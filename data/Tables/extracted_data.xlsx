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polymtlca-my.sharepoint.com/personal/marin_pellan_polymtl_ca/Documents/POST_DOC/CODE/metallican_db/data/Tables/"/>
    </mc:Choice>
  </mc:AlternateContent>
  <xr:revisionPtr revIDLastSave="267" documentId="13_ncr:1_{102EA618-91EE-41C9-9D34-74DA37281B99}" xr6:coauthVersionLast="47" xr6:coauthVersionMax="47" xr10:uidLastSave="{57A4112F-B4D3-42FF-8D43-9F19D1FBB3CA}"/>
  <bookViews>
    <workbookView xWindow="28680" yWindow="-120" windowWidth="29040" windowHeight="15720" firstSheet="3" activeTab="4" xr2:uid="{00000000-000D-0000-FFFF-FFFF00000000}"/>
  </bookViews>
  <sheets>
    <sheet name="REPORTING" sheetId="10" state="hidden" r:id="rId1"/>
    <sheet name="MAIN" sheetId="32" state="hidden" r:id="rId2"/>
    <sheet name="IDs" sheetId="27" state="hidden" r:id="rId3"/>
    <sheet name="Archetype" sheetId="25" r:id="rId4"/>
    <sheet name="Production" sheetId="14" r:id="rId5"/>
    <sheet name="Reserves" sheetId="15" r:id="rId6"/>
    <sheet name="Technical_attributes" sheetId="35" r:id="rId7"/>
    <sheet name="Ownership" sheetId="28" r:id="rId8"/>
    <sheet name="Waste" sheetId="37" r:id="rId9"/>
    <sheet name="Env" sheetId="24" r:id="rId10"/>
    <sheet name="NRJ_mat" sheetId="16" r:id="rId11"/>
    <sheet name="Intensity" sheetId="34" r:id="rId12"/>
    <sheet name="Company_agg" sheetId="38" state="hidden" r:id="rId13"/>
    <sheet name="TEMPLATE" sheetId="18" state="hidden" r:id="rId14"/>
  </sheets>
  <definedNames>
    <definedName name="_xlnm._FilterDatabase" localSheetId="3" hidden="1">Archetype!$A$1:$Q$85</definedName>
    <definedName name="_xlnm._FilterDatabase" localSheetId="9" hidden="1">Env!$A$1:$T$1</definedName>
    <definedName name="_xlnm._FilterDatabase" localSheetId="2" hidden="1">IDs!$A$1:$R$271</definedName>
    <definedName name="_xlnm._FilterDatabase" localSheetId="11" hidden="1">Intensity!$A$1:$P$132</definedName>
    <definedName name="_xlnm._FilterDatabase" localSheetId="1" hidden="1">MAIN!$A$1:$U$274</definedName>
    <definedName name="_xlnm._FilterDatabase" localSheetId="10" hidden="1">NRJ_mat!$A$1:$P$233</definedName>
    <definedName name="_xlnm._FilterDatabase" localSheetId="7" hidden="1">Ownership!$A$1:$N$271</definedName>
    <definedName name="_xlnm._FilterDatabase" localSheetId="4" hidden="1">Production!$A$1:$T$214</definedName>
    <definedName name="_xlnm._FilterDatabase" localSheetId="0" hidden="1">REPORTING!$A$1:$R$329</definedName>
    <definedName name="_xlnm._FilterDatabase" localSheetId="5" hidden="1">Reserves!$A$1:$V$395</definedName>
    <definedName name="_xlnm._FilterDatabase" localSheetId="6" hidden="1">Technical_attributes!$A$1:$S$131</definedName>
    <definedName name="_xlnm._FilterDatabase" localSheetId="8" hidden="1">Waste!$A$1:$P$91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3" i="14" l="1"/>
  <c r="R77" i="14" l="1"/>
  <c r="R199" i="14"/>
  <c r="R208" i="14"/>
  <c r="R150" i="14"/>
  <c r="R87" i="14"/>
  <c r="R28" i="14"/>
  <c r="R91" i="14"/>
  <c r="R26" i="14" l="1"/>
  <c r="N22" i="16"/>
  <c r="N23" i="16"/>
  <c r="N197" i="16"/>
  <c r="N198" i="16"/>
  <c r="N21" i="16"/>
  <c r="N196" i="16"/>
  <c r="R11" i="14" l="1"/>
  <c r="R12" i="14"/>
  <c r="R13" i="14"/>
  <c r="R153" i="14"/>
  <c r="R195" i="14"/>
  <c r="N78" i="34" l="1"/>
  <c r="R268" i="24" l="1"/>
  <c r="R181" i="24"/>
  <c r="R265" i="24" l="1"/>
  <c r="N78" i="16" l="1"/>
  <c r="N79" i="16"/>
  <c r="N34" i="16"/>
  <c r="N35" i="16"/>
  <c r="N131" i="16" l="1"/>
  <c r="N132" i="16"/>
  <c r="T14" i="15"/>
  <c r="T13" i="15"/>
  <c r="T5" i="15"/>
  <c r="T4"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tc={69262AF1-40D0-4120-AEAB-8844FD9B638C}</author>
    <author>tc={6CBFBEE9-BB42-4E27-A3B8-AEA61CEACAE4}</author>
  </authors>
  <commentList>
    <comment ref="L97" authorId="0" shapeId="0" xr:uid="{69262AF1-40D0-4120-AEAB-8844FD9B638C}">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5PGM+Au, that is platinum, palladium, rhodium, ruthenium, osmium and gold</t>
      </text>
    </comment>
    <comment ref="R205" authorId="1" shapeId="0" xr:uid="{6CBFBEE9-BB42-4E27-A3B8-AEA61CEACAE4}">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shows smelter grade alumina only and excludes hydrate produced and used for specialty alumina.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tc={1D7E966F-EF38-456E-860D-3A9ABED68F2D}</author>
  </authors>
  <commentList>
    <comment ref="L41" authorId="0" shapeId="0" xr:uid="{1D7E966F-EF38-456E-860D-3A9ABED68F2D}">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5PGM+Au, that is platinum, palladium, rhodium, ruthenium, osmium and gold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tc={4F2EB63B-0014-4A53-9DEF-EDB5160CFC57}</author>
    <author>tc={963CBBC0-1BCA-4DAA-A1D8-7B31636DD577}</author>
  </authors>
  <commentList>
    <comment ref="N79" authorId="0" shapeId="0" xr:uid="{4F2EB63B-0014-4A53-9DEF-EDB5160CFC57}">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Hazardous air pollutants</t>
      </text>
    </comment>
    <comment ref="P79" authorId="1" shapeId="0" xr:uid="{963CBBC0-1BCA-4DAA-A1D8-7B31636DD577}">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Hazardous air pollutants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tc={14034196-F146-4235-B111-D9DB44CB83C5}</author>
  </authors>
  <commentList>
    <comment ref="P114" authorId="0" shapeId="0" xr:uid="{14034196-F146-4235-B111-D9DB44CB83C5}">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“open mine area is the cumulative area of lanad that has not been rehabilitated”.</t>
      </text>
    </comment>
  </commentList>
</comments>
</file>

<file path=xl/sharedStrings.xml><?xml version="1.0" encoding="utf-8"?>
<sst xmlns="http://schemas.openxmlformats.org/spreadsheetml/2006/main" count="41172" uniqueCount="3229">
  <si>
    <t>reported_company_nrcan</t>
  </si>
  <si>
    <t>facility_name_nrcan</t>
  </si>
  <si>
    <t>main_id</t>
  </si>
  <si>
    <t>status</t>
  </si>
  <si>
    <t>facility_type</t>
  </si>
  <si>
    <t>commodities</t>
  </si>
  <si>
    <t>mining_processing_type</t>
  </si>
  <si>
    <t>comment</t>
  </si>
  <si>
    <t>Hecla Mining Company</t>
  </si>
  <si>
    <t>Keno Hill Silver District</t>
  </si>
  <si>
    <t>active_facility</t>
  </si>
  <si>
    <t>mining</t>
  </si>
  <si>
    <t>Silver, zinc, lead</t>
  </si>
  <si>
    <t>Underground, concentrator</t>
  </si>
  <si>
    <t>Agnico Eagle Mines Limited</t>
  </si>
  <si>
    <t>Amaruq</t>
  </si>
  <si>
    <t>Gold</t>
  </si>
  <si>
    <t>Open-pit, underground</t>
  </si>
  <si>
    <t>Detour Lake</t>
  </si>
  <si>
    <t>Open-pit, concentrator</t>
  </si>
  <si>
    <t>Meadowbank</t>
  </si>
  <si>
    <t>Concentrator</t>
  </si>
  <si>
    <t>Meliadine</t>
  </si>
  <si>
    <t>Open-pit, underground, concentrator</t>
  </si>
  <si>
    <t>Alamos Gold Inc.</t>
  </si>
  <si>
    <t>Island</t>
  </si>
  <si>
    <t>Young-Davidson</t>
  </si>
  <si>
    <t>Barrick Gold Corporation</t>
  </si>
  <si>
    <t>Hemlo (Williams)</t>
  </si>
  <si>
    <t>Marathon</t>
  </si>
  <si>
    <t>Eldorado Gold</t>
  </si>
  <si>
    <t>Lamaque</t>
  </si>
  <si>
    <t>Gold Mountain Mining Corp.</t>
  </si>
  <si>
    <t>Elk</t>
  </si>
  <si>
    <t>Open-pit</t>
  </si>
  <si>
    <t>Maritime Resources Corp.</t>
  </si>
  <si>
    <t>Point Rousse</t>
  </si>
  <si>
    <t>McEwen Mining Inc.</t>
  </si>
  <si>
    <t>Fox Complex</t>
  </si>
  <si>
    <t>Newmont Corporation</t>
  </si>
  <si>
    <t>Borden</t>
  </si>
  <si>
    <t>Éléonore</t>
  </si>
  <si>
    <t>Hollinger</t>
  </si>
  <si>
    <t>Hoyle Pond</t>
  </si>
  <si>
    <t>Underground</t>
  </si>
  <si>
    <t>Porcupine</t>
  </si>
  <si>
    <t>Pan American Silver Corp.</t>
  </si>
  <si>
    <t>Bell Creek</t>
  </si>
  <si>
    <t>Timmins West</t>
  </si>
  <si>
    <t>Silver Lake Resources Ltd.</t>
  </si>
  <si>
    <t>Sugar Zone</t>
  </si>
  <si>
    <t>SSR Mining Inc.</t>
  </si>
  <si>
    <t>Santoy</t>
  </si>
  <si>
    <t>Seabee</t>
  </si>
  <si>
    <t>St Barbara Limited</t>
  </si>
  <si>
    <t>Moose River Consolidated</t>
  </si>
  <si>
    <t>Victoria Gold Corporation</t>
  </si>
  <si>
    <t>Eagle (Dublin Gulch)</t>
  </si>
  <si>
    <t>Wesdome Gold Mines Ltd.</t>
  </si>
  <si>
    <t>Eagle River</t>
  </si>
  <si>
    <t>Kiena</t>
  </si>
  <si>
    <t>Mishi</t>
  </si>
  <si>
    <t>Abcourt Mines Inc.</t>
  </si>
  <si>
    <t>Sleeping Giant</t>
  </si>
  <si>
    <t>Gold, silver</t>
  </si>
  <si>
    <t>Canadian Malartic</t>
  </si>
  <si>
    <t>Goldex</t>
  </si>
  <si>
    <t>Macassa</t>
  </si>
  <si>
    <t>Argonaut Gold Inc.</t>
  </si>
  <si>
    <t>Magino</t>
  </si>
  <si>
    <t>Evolution Mining Ltd.</t>
  </si>
  <si>
    <t>Red Lake</t>
  </si>
  <si>
    <t>Casa Berardi</t>
  </si>
  <si>
    <t>IAMGOLD Corporation</t>
  </si>
  <si>
    <t>Westwood-Doyon</t>
  </si>
  <si>
    <t>New Gold Inc.</t>
  </si>
  <si>
    <t>Rainy River</t>
  </si>
  <si>
    <t>Brucejack</t>
  </si>
  <si>
    <t>Musselwhite</t>
  </si>
  <si>
    <t>Hudbay Minerals Inc.</t>
  </si>
  <si>
    <t>New Britannia</t>
  </si>
  <si>
    <t>Gold, copper</t>
  </si>
  <si>
    <t>Imperial Metals Corporation</t>
  </si>
  <si>
    <t>Mount Polley</t>
  </si>
  <si>
    <t>Gold, copper, silver</t>
  </si>
  <si>
    <t>New Afton</t>
  </si>
  <si>
    <t>Red Chris</t>
  </si>
  <si>
    <t>Stall Lake</t>
  </si>
  <si>
    <t>Gold, zinc</t>
  </si>
  <si>
    <t>Lalor Lake</t>
  </si>
  <si>
    <t>Gold, zinc, copper, silver</t>
  </si>
  <si>
    <t>LaRonde</t>
  </si>
  <si>
    <t>Gold, zinc, copper, silver, cadmium</t>
  </si>
  <si>
    <t>Conuma Coal Resources Ltd.</t>
  </si>
  <si>
    <t>Brule</t>
  </si>
  <si>
    <t>Coal (metallurgical)</t>
  </si>
  <si>
    <t>Willow Creek</t>
  </si>
  <si>
    <t>Wolverine</t>
  </si>
  <si>
    <t>Open-pit, plant</t>
  </si>
  <si>
    <t>CST Canada Coal Limited</t>
  </si>
  <si>
    <t>Grande Cache</t>
  </si>
  <si>
    <t>Teck Resources Limited</t>
  </si>
  <si>
    <t>Elkview</t>
  </si>
  <si>
    <t>Fording River</t>
  </si>
  <si>
    <t>Greenhills</t>
  </si>
  <si>
    <t>Kameron Collieries ULC</t>
  </si>
  <si>
    <t>Donkin</t>
  </si>
  <si>
    <t>Coal (metallurgical, thermal)</t>
  </si>
  <si>
    <t>Line Creek</t>
  </si>
  <si>
    <t>Bighorn Mining Ltd.</t>
  </si>
  <si>
    <t>Vista</t>
  </si>
  <si>
    <t>Coal (thermal)</t>
  </si>
  <si>
    <t>Pioneer Coal Ltd.</t>
  </si>
  <si>
    <t>Stellarton</t>
  </si>
  <si>
    <t>Westmoreland Coal Company</t>
  </si>
  <si>
    <t>Coal Valley</t>
  </si>
  <si>
    <t>Estevan</t>
  </si>
  <si>
    <t>Genesee</t>
  </si>
  <si>
    <t>Poplar River</t>
  </si>
  <si>
    <t>Sinomine Resource Grp Co. Ltd.</t>
  </si>
  <si>
    <t>Tanco</t>
  </si>
  <si>
    <t>Cesium, lithium</t>
  </si>
  <si>
    <t>Underground, concentrator, plant</t>
  </si>
  <si>
    <t>FireFly Metals Ltd.</t>
  </si>
  <si>
    <t>Nugget Pond</t>
  </si>
  <si>
    <t>Copper</t>
  </si>
  <si>
    <t>Highland Valley</t>
  </si>
  <si>
    <t>Copper, silver, molybdenum</t>
  </si>
  <si>
    <t>Centerra Gold Inc.</t>
  </si>
  <si>
    <t>Mount Milligan</t>
  </si>
  <si>
    <t>Copper, gold, silver</t>
  </si>
  <si>
    <t>Ming</t>
  </si>
  <si>
    <t>Copper Mountain</t>
  </si>
  <si>
    <t>Minto Metals Corporation</t>
  </si>
  <si>
    <t>Minto</t>
  </si>
  <si>
    <t>Taseko Mines Limited</t>
  </si>
  <si>
    <t>Gibraltar</t>
  </si>
  <si>
    <t>Copper, molybdenum, silver</t>
  </si>
  <si>
    <t>KGHM Polska Miedź S.A.</t>
  </si>
  <si>
    <t>McCreedy West</t>
  </si>
  <si>
    <t>Sudbury</t>
  </si>
  <si>
    <t>Copper, nickel, platinum group metals, gold, silver, cobalt</t>
  </si>
  <si>
    <t>Glencore Canada Corporation</t>
  </si>
  <si>
    <t>Kidd Creek</t>
  </si>
  <si>
    <t>Copper, zinc, silver, selenium, indium</t>
  </si>
  <si>
    <t>Burgundy Diamond Mines</t>
  </si>
  <si>
    <t>Ekati</t>
  </si>
  <si>
    <t>Diamonds</t>
  </si>
  <si>
    <t>Underground, plant</t>
  </si>
  <si>
    <t>De Beers Canada Inc.</t>
  </si>
  <si>
    <t>Gahcho Kué</t>
  </si>
  <si>
    <t>Rio Tinto Group</t>
  </si>
  <si>
    <t>Diavik</t>
  </si>
  <si>
    <t>Stornoway Diamonds Corporation</t>
  </si>
  <si>
    <t>Renard</t>
  </si>
  <si>
    <t>ArcelorMittal</t>
  </si>
  <si>
    <t>Fire Lake</t>
  </si>
  <si>
    <t>Iron</t>
  </si>
  <si>
    <t>Mont-Wright</t>
  </si>
  <si>
    <t>Baffinland Iron Mines Corporation</t>
  </si>
  <si>
    <t>Mary River</t>
  </si>
  <si>
    <t>Champion Iron Ltd.</t>
  </si>
  <si>
    <t>Bloom Lake</t>
  </si>
  <si>
    <t>Iron Ore Company of Canada Inc.</t>
  </si>
  <si>
    <t>Carol Lake</t>
  </si>
  <si>
    <t>Tacora Resources Inc.</t>
  </si>
  <si>
    <t>Scully</t>
  </si>
  <si>
    <t>Tata Steel Minerals Canada Limited</t>
  </si>
  <si>
    <t>DSO (3 and 4)</t>
  </si>
  <si>
    <t>DSO (Goodwood)</t>
  </si>
  <si>
    <t>Lac Tio</t>
  </si>
  <si>
    <t>Ilmenite</t>
  </si>
  <si>
    <t>Sayona Québec Inc.</t>
  </si>
  <si>
    <t>North American Lithium</t>
  </si>
  <si>
    <t>Lithium</t>
  </si>
  <si>
    <t>Magris Performance Materials Inc.</t>
  </si>
  <si>
    <t>Niobec</t>
  </si>
  <si>
    <t>Niobium</t>
  </si>
  <si>
    <t>Vale Canada Limited</t>
  </si>
  <si>
    <t>Thompson (T-1 and T-3)</t>
  </si>
  <si>
    <t>Nickel, cobalt, copper, platinum group metals, gold, silver</t>
  </si>
  <si>
    <t>Vale Newfoundland and Labrador Limited</t>
  </si>
  <si>
    <t>Voisey’s Bay</t>
  </si>
  <si>
    <t>Nickel, copper, cobalt</t>
  </si>
  <si>
    <t>Nickel Rim South</t>
  </si>
  <si>
    <t>Nickel, copper, cobalt, platinum group metals, gold</t>
  </si>
  <si>
    <t>Totten</t>
  </si>
  <si>
    <t>Nickel, copper, platinum group metals, gold, silver, cobalt</t>
  </si>
  <si>
    <t>Strathcona</t>
  </si>
  <si>
    <t>Nickel, copper, platinum group metals, gold, silver, cobalt, selenium, tellurium</t>
  </si>
  <si>
    <t>Clarabelle</t>
  </si>
  <si>
    <t>Coleman</t>
  </si>
  <si>
    <t>Copper Cliff Complex</t>
  </si>
  <si>
    <t>Creighton</t>
  </si>
  <si>
    <t>Garson</t>
  </si>
  <si>
    <t>Fraser</t>
  </si>
  <si>
    <t>Nickel, copper, platinum group metals, gold, cobalt, silver</t>
  </si>
  <si>
    <t>Canadian Royalties Inc.</t>
  </si>
  <si>
    <t>Nunavik Nickel</t>
  </si>
  <si>
    <t>Nickel, copper, platinum group metals, cobalt</t>
  </si>
  <si>
    <t>Raglan</t>
  </si>
  <si>
    <t>Nickel, platinum group metals, copper, cobalt, gold, silver</t>
  </si>
  <si>
    <t>Impala Canada Ltd.</t>
  </si>
  <si>
    <t>Lac des Iles</t>
  </si>
  <si>
    <t>Platinum group metals, gold, nickel, copper, cobalt</t>
  </si>
  <si>
    <t>China Minmetals Rare Earth Group Co. Ltd.</t>
  </si>
  <si>
    <t>Beaver Brook</t>
  </si>
  <si>
    <t>Antimony</t>
  </si>
  <si>
    <t>Cameco Corporation</t>
  </si>
  <si>
    <t>Cigar Lake</t>
  </si>
  <si>
    <t>Uranium</t>
  </si>
  <si>
    <t>Key Lake</t>
  </si>
  <si>
    <t>McArthur River</t>
  </si>
  <si>
    <t>Orano Canada Inc.</t>
  </si>
  <si>
    <t>McClean Lake</t>
  </si>
  <si>
    <t>Canadian Natural Resources Limited</t>
  </si>
  <si>
    <t>Horizon</t>
  </si>
  <si>
    <t>Upgraded crude oil</t>
  </si>
  <si>
    <t>Jackpine</t>
  </si>
  <si>
    <t>Muskeg River</t>
  </si>
  <si>
    <t>Imperial Oil Ltd.</t>
  </si>
  <si>
    <t>Kearl</t>
  </si>
  <si>
    <t>Suncor Energy Inc.</t>
  </si>
  <si>
    <t>Fort Hills</t>
  </si>
  <si>
    <t>Millennium and Steepbank</t>
  </si>
  <si>
    <t>Syncrude Canada Ltd.</t>
  </si>
  <si>
    <t>Aurora North and South</t>
  </si>
  <si>
    <t>Mildred Lake</t>
  </si>
  <si>
    <t>Trafigura Mining Group</t>
  </si>
  <si>
    <t>Myra Falls</t>
  </si>
  <si>
    <t>Zinc, copper, silver, gold, lead</t>
  </si>
  <si>
    <t>Riva Group</t>
  </si>
  <si>
    <t>A.S.I. - Ste Catherine</t>
  </si>
  <si>
    <t>manufacturing</t>
  </si>
  <si>
    <t>American Iron &amp; Metal Co. Inc.</t>
  </si>
  <si>
    <t>AIM Recycling Atlantic</t>
  </si>
  <si>
    <t>AIM Recycling Hamilton</t>
  </si>
  <si>
    <t>AIM Recycling La Prairie</t>
  </si>
  <si>
    <t>AIM Recycling Laval</t>
  </si>
  <si>
    <t>AIM Recycling Lévis</t>
  </si>
  <si>
    <t>AIM Recycling Montréal-Est</t>
  </si>
  <si>
    <t>AIM Recycling Ottawa East</t>
  </si>
  <si>
    <t>Algoma Steel Inc.</t>
  </si>
  <si>
    <t>Algoma Steel</t>
  </si>
  <si>
    <t>Steel</t>
  </si>
  <si>
    <t>Basic oxygen furnace</t>
  </si>
  <si>
    <t>Rio Tinto Aluminum Inc.</t>
  </si>
  <si>
    <t>Alma</t>
  </si>
  <si>
    <t>Aluminum (pure or alloyed)</t>
  </si>
  <si>
    <t>Smelter</t>
  </si>
  <si>
    <t>Rio Tinto Aluminum Inc., Aluminium Austria Metall Québec Inc., Hydro Aluminium a.s., Société générale de financement du Québec and Marubeni Québec Inc.</t>
  </si>
  <si>
    <t>Alouette</t>
  </si>
  <si>
    <t>Aluminum (pure)</t>
  </si>
  <si>
    <t>AltaSteel Inc.</t>
  </si>
  <si>
    <t>AltaSteel</t>
  </si>
  <si>
    <t>Electric arc furnace</t>
  </si>
  <si>
    <t>ArcelorMittal S.A.</t>
  </si>
  <si>
    <t>ArcelorMittal Dofasco</t>
  </si>
  <si>
    <t>Basic oxygen furnace, electric arc furnace</t>
  </si>
  <si>
    <t>Arvida</t>
  </si>
  <si>
    <t>Aluminum (pure or alloyed), alumina, aluminum chemicals, composites</t>
  </si>
  <si>
    <t>Alcoa Corporation</t>
  </si>
  <si>
    <t>Baie-Comeau</t>
  </si>
  <si>
    <t>Baymag Inc.</t>
  </si>
  <si>
    <t>Baymag</t>
  </si>
  <si>
    <t>Magnesium oxide</t>
  </si>
  <si>
    <t>Plant</t>
  </si>
  <si>
    <t>Alcoa Corporation and Rio Tinto Aluminum Inc.</t>
  </si>
  <si>
    <t>Bécancour</t>
  </si>
  <si>
    <t>Ferroglobe PLC</t>
  </si>
  <si>
    <t>Becancour Silicon</t>
  </si>
  <si>
    <t>Silicon metal, ferrosilicon</t>
  </si>
  <si>
    <t>Blind River</t>
  </si>
  <si>
    <t>Uranium (trioxide)</t>
  </si>
  <si>
    <t>Refinery</t>
  </si>
  <si>
    <t>Asahi Refining Canada Ltd.</t>
  </si>
  <si>
    <t>Brampton</t>
  </si>
  <si>
    <t>Triple M Metal LP</t>
  </si>
  <si>
    <t>Brampton Division</t>
  </si>
  <si>
    <t>Calgary Metal Recycling Inc.</t>
  </si>
  <si>
    <t>Calgary Facility</t>
  </si>
  <si>
    <t>Gerdau S.A.</t>
  </si>
  <si>
    <t>Cambridge Mill</t>
  </si>
  <si>
    <t>Canadian Electrolytic Zinc Limited (CEZinc)</t>
  </si>
  <si>
    <t>Zinc, cadmium, liquid sulfur dioxide, sulfuric acid</t>
  </si>
  <si>
    <t>CCR</t>
  </si>
  <si>
    <t>Copper (cathodes), gold, silver, tellurium, selenium, nickel sulfate, copper sulfate, platinum group metals</t>
  </si>
  <si>
    <t>ArcelorMittal Long Products Canada</t>
  </si>
  <si>
    <t>Contrecœur East</t>
  </si>
  <si>
    <t>Contrecœur West</t>
  </si>
  <si>
    <t>Contrecœur-Feruni</t>
  </si>
  <si>
    <t>Nickel (oxide sinter, pellets, powder, sulfide), copper cathodes, gold, silver, selenium cake, tellurium dioxide cake, platinum group metals (in residues), liquid sulfur dioxide, sulfuric acid</t>
  </si>
  <si>
    <t>Smelter, refinery, plant</t>
  </si>
  <si>
    <t>Deschambault</t>
  </si>
  <si>
    <t>Elkem Metal Canada Inc.</t>
  </si>
  <si>
    <t>Elkem Chicoutimi</t>
  </si>
  <si>
    <t>Ferrosilicon</t>
  </si>
  <si>
    <t>EVRAZ North America Inc.</t>
  </si>
  <si>
    <t>EVRAZ Regina</t>
  </si>
  <si>
    <t>GenAlta Recycling Inc.</t>
  </si>
  <si>
    <t>General Scrap</t>
  </si>
  <si>
    <t>General Smelting Company of Canada</t>
  </si>
  <si>
    <t>Recycled lead</t>
  </si>
  <si>
    <t>Secondary smelter</t>
  </si>
  <si>
    <t>Grande-Baie</t>
  </si>
  <si>
    <t>Hamilton Parkdale Division</t>
  </si>
  <si>
    <t>Stelco Inc.</t>
  </si>
  <si>
    <t>Hamilton Works</t>
  </si>
  <si>
    <t>Horne</t>
  </si>
  <si>
    <t>Copper anodes, precious metals, sulfuric acid</t>
  </si>
  <si>
    <t>Industrial Metals</t>
  </si>
  <si>
    <t>Heico Companies, LLC</t>
  </si>
  <si>
    <t>Ivaco Rolling Mills</t>
  </si>
  <si>
    <t>KIMCO Steel Sales Ltd.</t>
  </si>
  <si>
    <t>Kingston Operation</t>
  </si>
  <si>
    <t>Kitimat</t>
  </si>
  <si>
    <t>Lake Erie Works</t>
  </si>
  <si>
    <t>Laterrière</t>
  </si>
  <si>
    <t>Long Harbour</t>
  </si>
  <si>
    <t>Manitoba Mill</t>
  </si>
  <si>
    <t>Real Alloy Canada Ltd.</t>
  </si>
  <si>
    <t>Mississauga</t>
  </si>
  <si>
    <t>Recycled  zinc</t>
  </si>
  <si>
    <t>Terrapure Environmental</t>
  </si>
  <si>
    <t>Navajo Metals Inc.</t>
  </si>
  <si>
    <t>Magris Performance Materials</t>
  </si>
  <si>
    <t>Niobec Converter</t>
  </si>
  <si>
    <t>Ferroniobium</t>
  </si>
  <si>
    <t>Royal Canadian Mint</t>
  </si>
  <si>
    <t>Ottawa</t>
  </si>
  <si>
    <t>Masterloy Products Limited</t>
  </si>
  <si>
    <t>Ottawa Plant</t>
  </si>
  <si>
    <t>Vanadium, molybdenum</t>
  </si>
  <si>
    <t>Port Colborne</t>
  </si>
  <si>
    <t>Electrolytic cobalt, platinum group metals (in residues), copper oxide</t>
  </si>
  <si>
    <t>Port Hope</t>
  </si>
  <si>
    <t>Uranium (hexafluoride, dioxide, metals, alloys)</t>
  </si>
  <si>
    <t>Conversion facility</t>
  </si>
  <si>
    <t>ArcelorMittal Mining Canada</t>
  </si>
  <si>
    <t>Port-Cartier</t>
  </si>
  <si>
    <t>Iron ore</t>
  </si>
  <si>
    <t>Pelletizing plant</t>
  </si>
  <si>
    <t>Metalex Products Ltd.</t>
  </si>
  <si>
    <t>Richmond</t>
  </si>
  <si>
    <t>Richmond Steel Recycling Limited</t>
  </si>
  <si>
    <t>Rio Tinto Iron and Titanium</t>
  </si>
  <si>
    <t>Steel, titanium dioxide, scandium</t>
  </si>
  <si>
    <t>Sainte-Catherine</t>
  </si>
  <si>
    <t>Refinery, secondary smelter</t>
  </si>
  <si>
    <t>Sault Ste. Marie Division</t>
  </si>
  <si>
    <t>Gerdau Corporation</t>
  </si>
  <si>
    <t>Selkirk Division</t>
  </si>
  <si>
    <t>Glenview Iron &amp; Metal Ltd.</t>
  </si>
  <si>
    <t>Smiths Falls Operation</t>
  </si>
  <si>
    <t>Swiss Steel Holding AG</t>
  </si>
  <si>
    <t>Sorel Forge</t>
  </si>
  <si>
    <t>Nickel-copper matte containing cobalt, gold, silver, platinum group metals</t>
  </si>
  <si>
    <t>Smelter, plant</t>
  </si>
  <si>
    <t>Sherritt International Corporation and General Nickel Company S.A.</t>
  </si>
  <si>
    <t>The Cobalt Refinery Company Inc.</t>
  </si>
  <si>
    <t>Nickel, cobalt, copper sulfide, ammonium sulfate</t>
  </si>
  <si>
    <t>Trail</t>
  </si>
  <si>
    <t>Zinc, lead, bismuth, cadmium, indium, germanium, precious metals, liquid sulfur dioxide, sulfuric acid</t>
  </si>
  <si>
    <t>Vaudreuil</t>
  </si>
  <si>
    <t>Alumina</t>
  </si>
  <si>
    <t>Radius Recyling</t>
  </si>
  <si>
    <t>Victoria Depot</t>
  </si>
  <si>
    <t>Valbruna ASW Inc.</t>
  </si>
  <si>
    <t>Welland Mill</t>
  </si>
  <si>
    <t>Wheat City Metals Inc.</t>
  </si>
  <si>
    <t>Whitby Division</t>
  </si>
  <si>
    <t>Whitby Mill</t>
  </si>
  <si>
    <t>Alcoa Corporation / Rio Tinto Aluminum Inc.</t>
  </si>
  <si>
    <t>Elysis</t>
  </si>
  <si>
    <t>project_facility</t>
  </si>
  <si>
    <t>project</t>
  </si>
  <si>
    <t>Aluminum</t>
  </si>
  <si>
    <t>Lithion</t>
  </si>
  <si>
    <t>Lithion St-Bruno</t>
  </si>
  <si>
    <t>Battery materials (black mass)</t>
  </si>
  <si>
    <t>Li-Cycle Corp</t>
  </si>
  <si>
    <t>Ontario Spoke</t>
  </si>
  <si>
    <t>Fortune Minerals Limited</t>
  </si>
  <si>
    <t>Fortune Minerals Refinery</t>
  </si>
  <si>
    <t>Cobalt, gold, bismuth, copper</t>
  </si>
  <si>
    <t>NICO</t>
  </si>
  <si>
    <t>Electra Battery Materials Corporation</t>
  </si>
  <si>
    <t>Battery Materials Park</t>
  </si>
  <si>
    <t>Cobalt, nickel, lithium</t>
  </si>
  <si>
    <t>Copper, gold</t>
  </si>
  <si>
    <t>Spruce Ridge Resources Limited</t>
  </si>
  <si>
    <t>Great Burnt Lake</t>
  </si>
  <si>
    <t>Northisle Copper and Gold Inc.</t>
  </si>
  <si>
    <t>North Island</t>
  </si>
  <si>
    <t>Copper, gold, molybdenum, rhenium</t>
  </si>
  <si>
    <t>Western Copper and Gold Corporation</t>
  </si>
  <si>
    <t>Casino</t>
  </si>
  <si>
    <t>Copper, gold, molybdenum, silver</t>
  </si>
  <si>
    <t>Surge Copper Corp.</t>
  </si>
  <si>
    <t>Ootsa</t>
  </si>
  <si>
    <t>Newmont Corporation, Teck Resources Limited</t>
  </si>
  <si>
    <t>Galore Creek</t>
  </si>
  <si>
    <t>GJ</t>
  </si>
  <si>
    <t>Kemess</t>
  </si>
  <si>
    <t>NorthWest Copper Corp.</t>
  </si>
  <si>
    <t>Kwanika</t>
  </si>
  <si>
    <t>FireFly Metals Ltd</t>
  </si>
  <si>
    <t>Yellowhead</t>
  </si>
  <si>
    <t>Granite Creek Copper</t>
  </si>
  <si>
    <t>Carmacks</t>
  </si>
  <si>
    <t>Copper, gold, silver, molybdenum</t>
  </si>
  <si>
    <t>Rail</t>
  </si>
  <si>
    <t>Copper, gold, zinc, silver</t>
  </si>
  <si>
    <t>Surge Copper Corp., Centerra Gold Inc.</t>
  </si>
  <si>
    <t>Berg</t>
  </si>
  <si>
    <t>Copper, Molybdenum, Gold, Silver</t>
  </si>
  <si>
    <t>Schaft Creek</t>
  </si>
  <si>
    <t>Copper, molybdenum, gold, silver</t>
  </si>
  <si>
    <t>Canadian Critical Minerals Inc</t>
  </si>
  <si>
    <t>Thierry</t>
  </si>
  <si>
    <t>Copper, nickel, silver, gold, platinum, palladium</t>
  </si>
  <si>
    <t>MMG Limited</t>
  </si>
  <si>
    <t>High Lake</t>
  </si>
  <si>
    <t>Copper, zinc, gold, silver, lead</t>
  </si>
  <si>
    <t>Foran Mining Corporation</t>
  </si>
  <si>
    <t>McIlvenna Bay</t>
  </si>
  <si>
    <t>Kutcho Copper Corp.</t>
  </si>
  <si>
    <t>Kutcho</t>
  </si>
  <si>
    <t>Copper, zinc, silver, gold, lead</t>
  </si>
  <si>
    <t>Akasaba West</t>
  </si>
  <si>
    <t>Canxgold Mining Corp.</t>
  </si>
  <si>
    <t>Golden Crown</t>
  </si>
  <si>
    <t>Upper Beaver</t>
  </si>
  <si>
    <t>Troilus Gold Corporation</t>
  </si>
  <si>
    <t>Troilus</t>
  </si>
  <si>
    <t>Seabridge Gold Inc.</t>
  </si>
  <si>
    <t>Iskut</t>
  </si>
  <si>
    <t>Gold, copper, silver, iron ore</t>
  </si>
  <si>
    <t>KSM</t>
  </si>
  <si>
    <t>Gold, copper, silver, molybdenum</t>
  </si>
  <si>
    <t>Rokmaster Resources Corp.</t>
  </si>
  <si>
    <t>Revel Ridge</t>
  </si>
  <si>
    <t>Gold, lead, silver, zinc</t>
  </si>
  <si>
    <t>Dolly Varden Silver Corporation</t>
  </si>
  <si>
    <t>Kitsault Valley</t>
  </si>
  <si>
    <t>Gold, silver, copper, lead</t>
  </si>
  <si>
    <t>Skeena Resources Limited</t>
  </si>
  <si>
    <t>Eskay Creek</t>
  </si>
  <si>
    <t>Gold, Silver, copper, lead, zinc</t>
  </si>
  <si>
    <t>Triumph Gold Corp.</t>
  </si>
  <si>
    <t>Freegold Mountain</t>
  </si>
  <si>
    <t>Gold, silver, copper, molybdenum, tungsten</t>
  </si>
  <si>
    <t>Kinross Gold Corporation</t>
  </si>
  <si>
    <t>East Wekusko - Snow Lake</t>
  </si>
  <si>
    <t>Gold, silver, copper, zinc</t>
  </si>
  <si>
    <t>Rockhaven Resources Ltd.</t>
  </si>
  <si>
    <t>Klaza</t>
  </si>
  <si>
    <t>Gold, silver, lead, zinc</t>
  </si>
  <si>
    <t>First Tellurium Corp.</t>
  </si>
  <si>
    <t>Deer Horn</t>
  </si>
  <si>
    <t>Gold, silver, tellurium, copper, zinc, lead</t>
  </si>
  <si>
    <t>Monument Bay</t>
  </si>
  <si>
    <t>Gold, tungsten</t>
  </si>
  <si>
    <t>Rackla Gold</t>
  </si>
  <si>
    <t>1901</t>
  </si>
  <si>
    <t>Talbot</t>
  </si>
  <si>
    <t>Tower</t>
  </si>
  <si>
    <t>Wim</t>
  </si>
  <si>
    <t>Graphite</t>
  </si>
  <si>
    <t>Northern Graphite Corporation</t>
  </si>
  <si>
    <t>Bissett Creek</t>
  </si>
  <si>
    <t>Lomiko Metals Inc.</t>
  </si>
  <si>
    <t>La Loutre</t>
  </si>
  <si>
    <t>Mason Graphite Inc. and Nouveau Monde Graphite, Inc.</t>
  </si>
  <si>
    <t>Lac Guéret (Uatnan)</t>
  </si>
  <si>
    <t>Metals Australia Ltd.</t>
  </si>
  <si>
    <t>Lac Rainy Graphite</t>
  </si>
  <si>
    <t>Nouveau Monde Graphite, Inc.</t>
  </si>
  <si>
    <t>Matawinie</t>
  </si>
  <si>
    <t>Focus Graphite Inc.</t>
  </si>
  <si>
    <t>Lac Knife</t>
  </si>
  <si>
    <t>Royal Helium Ltd.</t>
  </si>
  <si>
    <t>Steveville</t>
  </si>
  <si>
    <t>Helium</t>
  </si>
  <si>
    <t>First Helium Inc.</t>
  </si>
  <si>
    <t>Worsley</t>
  </si>
  <si>
    <t>Voyager Metals inc.</t>
  </si>
  <si>
    <t>Mont Sorcier</t>
  </si>
  <si>
    <t>Iron ore, vanadium</t>
  </si>
  <si>
    <t>Strategic Resources Inc</t>
  </si>
  <si>
    <t>Blackrock</t>
  </si>
  <si>
    <t>Iron ore, vanadium, titanium</t>
  </si>
  <si>
    <t>Blackrock Pyrometallurgical Facility</t>
  </si>
  <si>
    <t>VanadiumCorp Resource Inc.</t>
  </si>
  <si>
    <t>Lac Doré Vanadium</t>
  </si>
  <si>
    <t>Lithium Demonstration Plant</t>
  </si>
  <si>
    <t>E3 Lithium Ltd</t>
  </si>
  <si>
    <t>Bashaw District</t>
  </si>
  <si>
    <t>Lithium (brine)</t>
  </si>
  <si>
    <t>Lithium Bank</t>
  </si>
  <si>
    <t>Boardwalk</t>
  </si>
  <si>
    <t>Grounded Lithium Corp.</t>
  </si>
  <si>
    <t>Kindersley Lithium</t>
  </si>
  <si>
    <t>Arizona Lithium Ltd</t>
  </si>
  <si>
    <t>Prairie Lithium</t>
  </si>
  <si>
    <t>Volt Lithium Corporation</t>
  </si>
  <si>
    <t>Rainbow Lake</t>
  </si>
  <si>
    <t>Sayona Québec inc.</t>
  </si>
  <si>
    <t>Authier</t>
  </si>
  <si>
    <t>Lithium (spodumene)</t>
  </si>
  <si>
    <t>Rock Tech Lithium Inc.</t>
  </si>
  <si>
    <t>Georgia Lake</t>
  </si>
  <si>
    <t>Allkem Limited</t>
  </si>
  <si>
    <t>James Bay Lithium</t>
  </si>
  <si>
    <t>Sayona Nord</t>
  </si>
  <si>
    <t>Moblan</t>
  </si>
  <si>
    <t>Avalon Advanced Materials Inc.</t>
  </si>
  <si>
    <t>Separation Rapids</t>
  </si>
  <si>
    <t>Green Technology Metals Limited</t>
  </si>
  <si>
    <t>Seymour Lake</t>
  </si>
  <si>
    <t>Nemaska Lithium Inc.</t>
  </si>
  <si>
    <t>Whabouchi</t>
  </si>
  <si>
    <t>Critical Elements Lithium Corporation</t>
  </si>
  <si>
    <t>Rose</t>
  </si>
  <si>
    <t>Lithium (spodumene), tantalum</t>
  </si>
  <si>
    <t>Frontier Lithium Inc.</t>
  </si>
  <si>
    <t>Pakeagama</t>
  </si>
  <si>
    <t>Lithium (spodumene), tantalum, tin, niobium, rubidium, cesium</t>
  </si>
  <si>
    <t>Nemaska lithium conversion facility</t>
  </si>
  <si>
    <t>Lithium hydroxide</t>
  </si>
  <si>
    <t>Li-Metal Corp.</t>
  </si>
  <si>
    <t>Markham lithium reprocessing facility</t>
  </si>
  <si>
    <t>Lithium metal</t>
  </si>
  <si>
    <t>Vision Lithium Inc</t>
  </si>
  <si>
    <t>Sirmac</t>
  </si>
  <si>
    <t>Lithium, tantalum</t>
  </si>
  <si>
    <t>Magnesium</t>
  </si>
  <si>
    <t>MGX Minerals Inc.</t>
  </si>
  <si>
    <t>Driftwood Creek</t>
  </si>
  <si>
    <t>West High Yield Resources Ltd.</t>
  </si>
  <si>
    <t>Record Ridge</t>
  </si>
  <si>
    <t>Scully Mine - Manganese project</t>
  </si>
  <si>
    <t>Manganese</t>
  </si>
  <si>
    <t>Euro Manganese Inc</t>
  </si>
  <si>
    <t>Becancour Plant</t>
  </si>
  <si>
    <t>Manganese sulphate</t>
  </si>
  <si>
    <t>Manganese X Energy Corp.</t>
  </si>
  <si>
    <t>Battery Hill</t>
  </si>
  <si>
    <t>Manganese, iron ore</t>
  </si>
  <si>
    <t>Canadian Manganese Company Inc.</t>
  </si>
  <si>
    <t>Woodstock</t>
  </si>
  <si>
    <t>Alloycorp Mining Inc.</t>
  </si>
  <si>
    <t>Avanti Kitsault</t>
  </si>
  <si>
    <t>Molybdenum, silver, lead</t>
  </si>
  <si>
    <t>Generation Mining Limited</t>
  </si>
  <si>
    <t>Flying Nickel Mining Corp.</t>
  </si>
  <si>
    <t>Minago</t>
  </si>
  <si>
    <t>Nickel</t>
  </si>
  <si>
    <t>FPX Nickel Corp.</t>
  </si>
  <si>
    <t>Decar</t>
  </si>
  <si>
    <t>Nickel, cobalt</t>
  </si>
  <si>
    <t>Hard Creek Nickel Corp. (Giga Metals Corporation)</t>
  </si>
  <si>
    <t>Turnagain</t>
  </si>
  <si>
    <t>Nickel, cobalt, platinum, palladium</t>
  </si>
  <si>
    <t>Magneto Investments Limited Partnership</t>
  </si>
  <si>
    <t>Dumont Nickel</t>
  </si>
  <si>
    <t>Nickel, cobalt, platinum, palladium, iron ore</t>
  </si>
  <si>
    <t>Tartisan Nickel Corp.</t>
  </si>
  <si>
    <t>Kenbridge</t>
  </si>
  <si>
    <t>Corazon Mining Limited</t>
  </si>
  <si>
    <t>Lynn Lake</t>
  </si>
  <si>
    <t>Magna Mining Inc.</t>
  </si>
  <si>
    <t>Crean Hill</t>
  </si>
  <si>
    <t>Nickel, copper, cobalt, platinum, palladium, gold</t>
  </si>
  <si>
    <t>Onaping Depth</t>
  </si>
  <si>
    <t>Nickel, copper, cobalt, platinum, palladium, rhodium, gold, silver</t>
  </si>
  <si>
    <t>Victoria</t>
  </si>
  <si>
    <t>Nickel, copper, gold, cobalt, platinum, palladium</t>
  </si>
  <si>
    <t>Wyloo</t>
  </si>
  <si>
    <t>Eagle's Nest</t>
  </si>
  <si>
    <t>Nickel, copper, gold, platinum, palladium</t>
  </si>
  <si>
    <t>Grid Metals Corp.</t>
  </si>
  <si>
    <t>Makwa Mayville</t>
  </si>
  <si>
    <t>Nickel, copper, gold, platinum, palladium, cobalt</t>
  </si>
  <si>
    <t>Canadian North Resources Inc.</t>
  </si>
  <si>
    <t>Ferguson Lake</t>
  </si>
  <si>
    <t>Nickel, copper, palladium, platinum, cobalt</t>
  </si>
  <si>
    <t>Shakespeare</t>
  </si>
  <si>
    <t>Nickel, copper, palladium, platinum, gold, cobalt</t>
  </si>
  <si>
    <t>Nickel Creek Platinum Corp.</t>
  </si>
  <si>
    <t>Nickel Shaw</t>
  </si>
  <si>
    <t>Nickel, copper, platinum, palladium, gold, cobalt</t>
  </si>
  <si>
    <t>Canada Nickel Company Inc.</t>
  </si>
  <si>
    <t>Crawford</t>
  </si>
  <si>
    <t>Nickel, iron ore, cobalt, palladium, platinum, chromite</t>
  </si>
  <si>
    <t>Aley</t>
  </si>
  <si>
    <t>Niobay Metals Inc.</t>
  </si>
  <si>
    <t>Crevier</t>
  </si>
  <si>
    <t>Niobium, tantalum</t>
  </si>
  <si>
    <t>Palladium, platinum, gold, copper, silver</t>
  </si>
  <si>
    <t>New Age Metals Inc.</t>
  </si>
  <si>
    <t>River Valley</t>
  </si>
  <si>
    <t>Palladium, platinum, gold, nickel, copper, rhodium, cobalt</t>
  </si>
  <si>
    <t>Fox River Resources Corp.</t>
  </si>
  <si>
    <t>Martison</t>
  </si>
  <si>
    <t>Phosphate, niobium</t>
  </si>
  <si>
    <t>Clean Air Metals Inc.</t>
  </si>
  <si>
    <t>Thunder Bay North</t>
  </si>
  <si>
    <t>Platinum, palladium, gold, nickel, copper, silver, rhodium, cobalt</t>
  </si>
  <si>
    <t>BHP Group</t>
  </si>
  <si>
    <t>Jansen</t>
  </si>
  <si>
    <t>Potash</t>
  </si>
  <si>
    <t>Western Resources Corp.</t>
  </si>
  <si>
    <t>Milestone</t>
  </si>
  <si>
    <t>Atlantic Potash Corporation</t>
  </si>
  <si>
    <t>Millstream</t>
  </si>
  <si>
    <t>Encanto Potash Corporation</t>
  </si>
  <si>
    <t>Muskowekwan</t>
  </si>
  <si>
    <t>Potash and Agri Development Corporation of Manitoba Ltd. (PADCOM)</t>
  </si>
  <si>
    <t>PADCOM Potash Mine</t>
  </si>
  <si>
    <t>Yancoal Canada Resosurces Co., ltd.</t>
  </si>
  <si>
    <t>Southey</t>
  </si>
  <si>
    <t>Gensource Potash Corp.</t>
  </si>
  <si>
    <t>Vanguard</t>
  </si>
  <si>
    <t>Karnalyte Resources Inc.</t>
  </si>
  <si>
    <t>Wynyard</t>
  </si>
  <si>
    <t>Potash, magnesium</t>
  </si>
  <si>
    <t>Rare earth elements</t>
  </si>
  <si>
    <t>Commerce Resources Corp.</t>
  </si>
  <si>
    <t>Eldor (Ashram)</t>
  </si>
  <si>
    <t>Vital Metals Inc.</t>
  </si>
  <si>
    <t>Nechalacho - T-Zone &amp; Tardiff Zone</t>
  </si>
  <si>
    <t>Saskatchewan Research Council (SRC)</t>
  </si>
  <si>
    <t>Rare Earth Processing Facility</t>
  </si>
  <si>
    <t>Ucore Rare Metals Inc</t>
  </si>
  <si>
    <t>RapidSX Demonstration Plant</t>
  </si>
  <si>
    <t>Geomega Resources Inc.</t>
  </si>
  <si>
    <t>REE Recycling Facility (Saint-Bruno)</t>
  </si>
  <si>
    <t>Defense Metals Corp.</t>
  </si>
  <si>
    <t>Wicheeda</t>
  </si>
  <si>
    <t>Torngat Metals Ltd.</t>
  </si>
  <si>
    <t>Strange Lake</t>
  </si>
  <si>
    <t>Rare earth elements, niobium</t>
  </si>
  <si>
    <t>Nechalacho - Basal Zone</t>
  </si>
  <si>
    <t>Rare earth elements, niobium, tantalum, zirconium</t>
  </si>
  <si>
    <t>SOQUEM (Investissement Québec)</t>
  </si>
  <si>
    <t>Kwyjibo</t>
  </si>
  <si>
    <t>Rare earth elements, phosphate, iron ore</t>
  </si>
  <si>
    <t>Scandium Demonstration Plant</t>
  </si>
  <si>
    <t>Scandium</t>
  </si>
  <si>
    <t>Imperial Mining Group</t>
  </si>
  <si>
    <t>Crater Lake</t>
  </si>
  <si>
    <t>Scandium, rare earth elements</t>
  </si>
  <si>
    <t>Tungsten</t>
  </si>
  <si>
    <t>Fireweed Metals Corp.</t>
  </si>
  <si>
    <t>Mactung</t>
  </si>
  <si>
    <t>Tungsten, molybdenum</t>
  </si>
  <si>
    <t>Northcliff Resources Ltd.</t>
  </si>
  <si>
    <t>Sisson</t>
  </si>
  <si>
    <t>Uranium Energy Corp</t>
  </si>
  <si>
    <t>Horseshoe-Raven</t>
  </si>
  <si>
    <t>Paladin Energy Limited</t>
  </si>
  <si>
    <t>Michelin</t>
  </si>
  <si>
    <t>Fission Uranium Corp.</t>
  </si>
  <si>
    <t>Patterson Lake South</t>
  </si>
  <si>
    <t>NexGen Energy Ltd.</t>
  </si>
  <si>
    <t>Rook I</t>
  </si>
  <si>
    <t>Denison Mines Corp.</t>
  </si>
  <si>
    <t>Waterbury</t>
  </si>
  <si>
    <t>Wheeler River</t>
  </si>
  <si>
    <t>Critical Minerals Americas Inc</t>
  </si>
  <si>
    <t>SBH Black Shale</t>
  </si>
  <si>
    <t>Vanadium, zinc, nickel, uranium, copper, cobalt, rare earth elements, scandium, lithium, molybdenum</t>
  </si>
  <si>
    <t>Zinc, copper, gold, silver</t>
  </si>
  <si>
    <t>Waroona Energy Inc</t>
  </si>
  <si>
    <t>Superior Lake</t>
  </si>
  <si>
    <t>Nuvau Minerals Corp.</t>
  </si>
  <si>
    <t>Caber Complex</t>
  </si>
  <si>
    <t>Zinc, copper, silver, gold</t>
  </si>
  <si>
    <t>Izok Lake</t>
  </si>
  <si>
    <t>Zinc, copper, silver, lead, gold</t>
  </si>
  <si>
    <t>Osisko Metals Inc.</t>
  </si>
  <si>
    <t>Pine Point</t>
  </si>
  <si>
    <t>Zinc, lead</t>
  </si>
  <si>
    <t>Selwyn Chihong Mining Ltd.</t>
  </si>
  <si>
    <t>Selwyn</t>
  </si>
  <si>
    <t>Buchans Resources Limited</t>
  </si>
  <si>
    <t>Buchans River</t>
  </si>
  <si>
    <t>Zinc, lead, copper, silver, gold</t>
  </si>
  <si>
    <t>BMC (UK) Limited</t>
  </si>
  <si>
    <t>Kudz Ze Kayah</t>
  </si>
  <si>
    <t>ZincX Resources Corp.</t>
  </si>
  <si>
    <t>Akie</t>
  </si>
  <si>
    <t>Zinc, lead, silver</t>
  </si>
  <si>
    <t>Macmillan Pass</t>
  </si>
  <si>
    <t>Callinex Mines Inc.</t>
  </si>
  <si>
    <t>Nash Creek</t>
  </si>
  <si>
    <t>NorZinc Ltd.</t>
  </si>
  <si>
    <t>Prairie Creek</t>
  </si>
  <si>
    <t>Zinc, lead, silver, copper, gold</t>
  </si>
  <si>
    <t>Canadian Copper</t>
  </si>
  <si>
    <t>Murray Brook</t>
  </si>
  <si>
    <t>Abcourt-Barvue</t>
  </si>
  <si>
    <t>Zinc, silver</t>
  </si>
  <si>
    <t>CVW CleanTech Inc.</t>
  </si>
  <si>
    <t>Zircon, titanium, rare earth elements</t>
  </si>
  <si>
    <t>Key Lake + McArthur River</t>
  </si>
  <si>
    <t>-</t>
  </si>
  <si>
    <t>data_quality</t>
  </si>
  <si>
    <t>Not found</t>
  </si>
  <si>
    <t>Yes</t>
  </si>
  <si>
    <t>https://www.teck.com/operations/canada/operations/trail-operations/</t>
  </si>
  <si>
    <t>https://www.teck.com/operations/canada/operations/highland-valley-copper/</t>
  </si>
  <si>
    <t>Seems good</t>
  </si>
  <si>
    <t>Gerdau</t>
  </si>
  <si>
    <t>Glencore</t>
  </si>
  <si>
    <t>EVRAZ North America Inc</t>
  </si>
  <si>
    <t>Hudbay Minerals Inc</t>
  </si>
  <si>
    <t>Rio Tinto</t>
  </si>
  <si>
    <t>Vale</t>
  </si>
  <si>
    <t>x</t>
  </si>
  <si>
    <t>Conuma Coal Resources Ltd</t>
  </si>
  <si>
    <t>https://www.hecla.com/</t>
  </si>
  <si>
    <t>Seems very good, TR and SR with additional resources on the website</t>
  </si>
  <si>
    <t>https://kghm.com/en</t>
  </si>
  <si>
    <t>KGHM</t>
  </si>
  <si>
    <t>https://magnamining.com/acquisition-includes-a-portfolio-of-critical-mineral-exploration-and-development-assets-in-the-sudbury-basin-mining-district/</t>
  </si>
  <si>
    <t>https://www.tasekomines.com/</t>
  </si>
  <si>
    <t>Seems good. Detailed information per site on the website</t>
  </si>
  <si>
    <t>https://www.wesdome.com/English/overview/default.aspx</t>
  </si>
  <si>
    <t>Wesdome Gold Mines Ltd</t>
  </si>
  <si>
    <t>https://westmoreland.com/</t>
  </si>
  <si>
    <t>2017 (SEC fillings)</t>
  </si>
  <si>
    <t>2018 (SEC fillings)</t>
  </si>
  <si>
    <t>2019 (SEC fillings)</t>
  </si>
  <si>
    <t>2020 (SEC fillings)</t>
  </si>
  <si>
    <t>Alamos Gold Inc</t>
  </si>
  <si>
    <t>https://alamosgold.com</t>
  </si>
  <si>
    <t>https://www.alcoa.com/global/en/home/</t>
  </si>
  <si>
    <t>Excel file with environmental data aggregated at company level with metric per ton of production</t>
  </si>
  <si>
    <t>Alcoa Corporation / Rio Tinto</t>
  </si>
  <si>
    <t>Avalon Advanced Materials Inc</t>
  </si>
  <si>
    <t>https://avalonadvancedmaterials.com/</t>
  </si>
  <si>
    <t>https://www.centerragold.com/</t>
  </si>
  <si>
    <t>https://www.centerragold.com/operations/mount-milligan/</t>
  </si>
  <si>
    <t>MAC_member</t>
  </si>
  <si>
    <t>No</t>
  </si>
  <si>
    <t>Yes (ArcelorMittal Mines Canada)</t>
  </si>
  <si>
    <t>Yes (MAQ)</t>
  </si>
  <si>
    <t>Yes (Rio Tinto Canada)</t>
  </si>
  <si>
    <t>Doc_extracted</t>
  </si>
  <si>
    <t>https://www.barrick.com/English/home/default.aspx</t>
  </si>
  <si>
    <t>https://www.canadianroyalties.com/</t>
  </si>
  <si>
    <t>Canadian Royalties Inc</t>
  </si>
  <si>
    <t>De Beers Canada Inc</t>
  </si>
  <si>
    <t>New Gold Inc</t>
  </si>
  <si>
    <t>Pan American Silver Corp</t>
  </si>
  <si>
    <t>https://www.debeersgroup.com/about-us/our-operations/our-mines/canada</t>
  </si>
  <si>
    <t>https://www.eldoradogold.com/</t>
  </si>
  <si>
    <t>https://www.iamgold.com/English/home/default.aspx</t>
  </si>
  <si>
    <t>Good with SR, Tailings Report, Scope 3 and Excel data but not by site, aggregated for the group</t>
  </si>
  <si>
    <t>Tacora Resources Inc</t>
  </si>
  <si>
    <t>https://newgold.com/home/default.aspx</t>
  </si>
  <si>
    <t>https://panamericansilver.com/</t>
  </si>
  <si>
    <t>Sherritt International Corporation</t>
  </si>
  <si>
    <t>https://www.suncor.com/</t>
  </si>
  <si>
    <t>https://www.suncor.com/en-ca/what-we-do/oil-sands/syncrude</t>
  </si>
  <si>
    <t>https://tacoraresources.com/</t>
  </si>
  <si>
    <t>https://agnicoeagle.com/Home/default.aspx</t>
  </si>
  <si>
    <t>https://corporate.arcelormittal.com/</t>
  </si>
  <si>
    <t>https://www.cameco.com/</t>
  </si>
  <si>
    <t>https://www.cnrl.com/</t>
  </si>
  <si>
    <t>Site-specific</t>
  </si>
  <si>
    <t>PDF</t>
  </si>
  <si>
    <t>Abcourt Mines Inc</t>
  </si>
  <si>
    <t>https://abcourt.info/</t>
  </si>
  <si>
    <t>No relevant document available</t>
  </si>
  <si>
    <t>Only on website, but recent TR</t>
  </si>
  <si>
    <t>https://www.algoma.com/</t>
  </si>
  <si>
    <t>Algoma Steel Inc</t>
  </si>
  <si>
    <t>AltaSteel Inc</t>
  </si>
  <si>
    <t>Only PDF data, ESG report, no TR</t>
  </si>
  <si>
    <t>https://www.altasteel.com/</t>
  </si>
  <si>
    <t>AltaSteel is a 100% owned subsidiary of a Japanese steelmaking company, Kyoei Steel Ltd.</t>
  </si>
  <si>
    <t>Argonaut Gold Inc</t>
  </si>
  <si>
    <t>Asahi Refining Canada Ltd</t>
  </si>
  <si>
    <t>https://www.asahirefining.com/</t>
  </si>
  <si>
    <t>No data in the ESG report</t>
  </si>
  <si>
    <t>https://alamosgold.com/</t>
  </si>
  <si>
    <t>https://www.baymag.com/</t>
  </si>
  <si>
    <t>https://www.linkedin.com/company/bighorn-mining-ltd/</t>
  </si>
  <si>
    <t>Not even a company website</t>
  </si>
  <si>
    <t>https://calgarymetal.com</t>
  </si>
  <si>
    <t>Centerra Gold Inc</t>
  </si>
  <si>
    <t>https://www.championiron.com/</t>
  </si>
  <si>
    <t>Champion Iron Ltd</t>
  </si>
  <si>
    <t>https://cstcoal.ca/</t>
  </si>
  <si>
    <t>Elkem Metal Canada Inc</t>
  </si>
  <si>
    <t>Evolution Mining Ltd</t>
  </si>
  <si>
    <t>PDF aggregated for the company, not very useful. Check more website maybe</t>
  </si>
  <si>
    <t>https://evolutionmining.com.au/</t>
  </si>
  <si>
    <t>Aggregation_level</t>
  </si>
  <si>
    <t>Data_format</t>
  </si>
  <si>
    <t>AR_SR_year</t>
  </si>
  <si>
    <t>TR_year</t>
  </si>
  <si>
    <t>Spreadsheet</t>
  </si>
  <si>
    <t>Report in Alamos Gold Inc</t>
  </si>
  <si>
    <t>Company-level</t>
  </si>
  <si>
    <t>PDF, Spreadsheet</t>
  </si>
  <si>
    <t>Intensity, company-level</t>
  </si>
  <si>
    <t>https://www.aim-recycling.com/</t>
  </si>
  <si>
    <t>https://mines-infrastructure-arcelormittal.com/en</t>
  </si>
  <si>
    <t>https://long-canada.arcelormittal.com/fr/</t>
  </si>
  <si>
    <t>company_URL</t>
  </si>
  <si>
    <t>MDO_URL</t>
  </si>
  <si>
    <t>https://miningdataonline.com/property/962/Mont-Wright-Mine.aspx</t>
  </si>
  <si>
    <t>https://miningdataonline.com/property/963/Fire-Lake-Mine.aspx</t>
  </si>
  <si>
    <t>Bad information in PDF, check website and PDF</t>
  </si>
  <si>
    <t>Acquired by Alamos Gold Inc in 2024. See p13 for site-specific data</t>
  </si>
  <si>
    <t>https://miningdataonline.com/property/1752/Magino-Project.aspx</t>
  </si>
  <si>
    <t>No data</t>
  </si>
  <si>
    <t>https://www.baffinland.com/operation/mary-river-mine/</t>
  </si>
  <si>
    <t>Very few numbers in the PDF. Might be good to check website page</t>
  </si>
  <si>
    <t>https://miningdataonline.com/property/57/Mary-River-Mine.aspx</t>
  </si>
  <si>
    <t>Reporting_standard</t>
  </si>
  <si>
    <t>GRI</t>
  </si>
  <si>
    <t xml:space="preserve">Only social data on the PDF. Website gives better data </t>
  </si>
  <si>
    <t>Aggregated, site-specific (website)</t>
  </si>
  <si>
    <t>https://miningdataonline.com/property/17/Ekati-Mine.aspx</t>
  </si>
  <si>
    <t>https://miningdataonline.com/property/26/Cigar-Lake-Mine.aspx</t>
  </si>
  <si>
    <t>https://miningdataonline.com/property/54/McArthur-River---Key-Lake-Mine.aspx</t>
  </si>
  <si>
    <t>Site-specific and aggregated</t>
  </si>
  <si>
    <t>PDF and spreadsheet</t>
  </si>
  <si>
    <t>No environmental and social data. Minimal information on the website: https://www.cnrl.com/world-class-assets/oil-sands/oilsands-mining-upgrading/#sustainability</t>
  </si>
  <si>
    <t>No environmental and social data.</t>
  </si>
  <si>
    <t>https://miningdataonline.com/property/1603/Nunavik-Nickel-Mine.aspx</t>
  </si>
  <si>
    <t>PDFs for water, GHG, biodiversity but very few useful number. In the website, they mention four mines (Expo West underground mine, Ivakkak open pit mine, Méquillon open pit mine,  Méquillon underground mine) to provide ore to the concentrator. Produce two concentrate : nickel and copper. Concentrator production capacity : 4 500 t/day</t>
  </si>
  <si>
    <t>company_facility_URL</t>
  </si>
  <si>
    <t>Clean Air Metals Inc</t>
  </si>
  <si>
    <t>Commerce Resources Corp</t>
  </si>
  <si>
    <t>CVW CleanTech Inc</t>
  </si>
  <si>
    <t>Defense Metals Corp</t>
  </si>
  <si>
    <t>Denison Mines Corp</t>
  </si>
  <si>
    <t>Fireweed Metals Corp</t>
  </si>
  <si>
    <t>First Helium Inc</t>
  </si>
  <si>
    <t>First Tellurium Corp</t>
  </si>
  <si>
    <t>Fission Uranium Corp</t>
  </si>
  <si>
    <t>Flying Nickel Mining Corp</t>
  </si>
  <si>
    <t>Focus Graphite Inc</t>
  </si>
  <si>
    <t>Fox River Resources Corp</t>
  </si>
  <si>
    <t>FPX Nickel Corp</t>
  </si>
  <si>
    <t>Frontier Lithium Inc</t>
  </si>
  <si>
    <t>Gensource Potash Corp</t>
  </si>
  <si>
    <t>Geomega Resources Inc</t>
  </si>
  <si>
    <t>Glenview Iron &amp; Metal Ltd</t>
  </si>
  <si>
    <t>Gold Mountain Mining Corp</t>
  </si>
  <si>
    <t>Grid Metals Corp</t>
  </si>
  <si>
    <t>Grounded Lithium Corp</t>
  </si>
  <si>
    <t>Hard Creek Nickel Corp</t>
  </si>
  <si>
    <t>Impala Canada Ltd</t>
  </si>
  <si>
    <t>Imperial Oil Ltd</t>
  </si>
  <si>
    <t>Iron Ore Company of Canada Inc</t>
  </si>
  <si>
    <t>Karnalyte Resources Inc</t>
  </si>
  <si>
    <t>KIMCO Steel Sales Ltd</t>
  </si>
  <si>
    <t>Kutcho Copper Corp</t>
  </si>
  <si>
    <t>Li-Metal Corp</t>
  </si>
  <si>
    <t>Lomiko Metals Inc</t>
  </si>
  <si>
    <t>Magna Mining Inc</t>
  </si>
  <si>
    <t>Magris Performance Materials Inc</t>
  </si>
  <si>
    <t>Manganese X Energy Corp</t>
  </si>
  <si>
    <t>Maritime Resources Corp</t>
  </si>
  <si>
    <t>Mason Graphite Inc. and Nouveau Monde Graphite, Inc</t>
  </si>
  <si>
    <t>McEwen Mining Inc</t>
  </si>
  <si>
    <t>Metalex Products Ltd</t>
  </si>
  <si>
    <t>Metals Australia Ltd</t>
  </si>
  <si>
    <t>MGX Minerals Inc</t>
  </si>
  <si>
    <t>Nemaska Lithium Inc</t>
  </si>
  <si>
    <t>New Age Metals Inc</t>
  </si>
  <si>
    <t>NexGen Energy Ltd</t>
  </si>
  <si>
    <t>Nickel Creek Platinum Corp</t>
  </si>
  <si>
    <t>Niobay Metals Inc</t>
  </si>
  <si>
    <t>Northcliff Resources Ltd</t>
  </si>
  <si>
    <t>Northisle Copper and Gold Inc</t>
  </si>
  <si>
    <t>NorthWest Copper Corp</t>
  </si>
  <si>
    <t>NorZinc Ltd</t>
  </si>
  <si>
    <t>Nouveau Monde Graphite, Inc</t>
  </si>
  <si>
    <t>Nuvau Minerals Corp</t>
  </si>
  <si>
    <t>Orano Canada Inc</t>
  </si>
  <si>
    <t>Osisko Metals Inc</t>
  </si>
  <si>
    <t>Pioneer Coal Ltd</t>
  </si>
  <si>
    <t>Potash and Agri Development Corporation of Manitoba Ltd</t>
  </si>
  <si>
    <t>Real Alloy Canada Ltd</t>
  </si>
  <si>
    <t>Rock Tech Lithium Inc</t>
  </si>
  <si>
    <t>Rockhaven Resources Ltd</t>
  </si>
  <si>
    <t>Rokmaster Resources Corp</t>
  </si>
  <si>
    <t>Royal Helium Ltd</t>
  </si>
  <si>
    <t>Sayona Québec Inc</t>
  </si>
  <si>
    <t>Sayona Québec inc</t>
  </si>
  <si>
    <t>Seabridge Gold Inc</t>
  </si>
  <si>
    <t>Selwyn Chihong Mining Ltd</t>
  </si>
  <si>
    <t>Silver Lake Resources Ltd</t>
  </si>
  <si>
    <t>Sinomine Resource Grp Co. Ltd</t>
  </si>
  <si>
    <t>SSR Mining Inc</t>
  </si>
  <si>
    <t>Stelco Inc</t>
  </si>
  <si>
    <t>Surge Copper Corp</t>
  </si>
  <si>
    <t>Surge Copper Corp., Centerra Gold Inc</t>
  </si>
  <si>
    <t>Tartisan Nickel Corp</t>
  </si>
  <si>
    <t>Torngat Metals Ltd</t>
  </si>
  <si>
    <t>Triumph Gold Corp</t>
  </si>
  <si>
    <t>Valbruna ASW Inc</t>
  </si>
  <si>
    <t>VanadiumCorp Resource Inc</t>
  </si>
  <si>
    <t>Vital Metals Inc</t>
  </si>
  <si>
    <t>Voyager Metals inc</t>
  </si>
  <si>
    <t>West High Yield Resources Ltd</t>
  </si>
  <si>
    <t>Western Resources Corp</t>
  </si>
  <si>
    <t>Yancoal Canada Resosurces Co., ltd</t>
  </si>
  <si>
    <t>ZincX Resources Corp</t>
  </si>
  <si>
    <t>At least reserves estimation</t>
  </si>
  <si>
    <t>GRI, SASB, TCFD</t>
  </si>
  <si>
    <t>Intensity and company-level</t>
  </si>
  <si>
    <t>Site-specific data for tailings?</t>
  </si>
  <si>
    <t>SASB</t>
  </si>
  <si>
    <t>https://conumaresources.com/</t>
  </si>
  <si>
    <t>https://conumaresources.com/about/our-mines/brule/</t>
  </si>
  <si>
    <t>https://conumaresources.com/about/our-mines/willow-creek/</t>
  </si>
  <si>
    <t>https://conumaresources.com/about/our-mines/wolverine/</t>
  </si>
  <si>
    <t>https://miningdataonline.com/property/78/Willow-Creek-Mine.aspx</t>
  </si>
  <si>
    <t>https://miningdataonline.com/property/19/Brule-Mine.aspx</t>
  </si>
  <si>
    <t>https://miningdataonline.com/property/1510/WolverinePerry-Creek-Mine.aspx</t>
  </si>
  <si>
    <t>https://miningdataonline.com/property/40/Gahcho-Ku%C3%A9-Mine.aspx</t>
  </si>
  <si>
    <t>https://www.debeersgroup.com/</t>
  </si>
  <si>
    <t>Site-specific socio data available</t>
  </si>
  <si>
    <t>Site-specific data also in the SR</t>
  </si>
  <si>
    <t>https://miningdataonline.com/property/1694/Lamaque-Project.aspx</t>
  </si>
  <si>
    <t>https://www.eldoradogold.com/assets/operations/lamaque-complex</t>
  </si>
  <si>
    <t>GRI, SASB, UNGP</t>
  </si>
  <si>
    <t>https://www.elkem.com/about-elkem/worldwide-presence/canada/elkem-chicoutimi/</t>
  </si>
  <si>
    <t>https://www.elkem.com/</t>
  </si>
  <si>
    <t>Very detailed</t>
  </si>
  <si>
    <t>GRI, UNGC, IFRS, TCFD, TNFD</t>
  </si>
  <si>
    <t>https://evolutionmining.com.au/red-lake/</t>
  </si>
  <si>
    <t>https://miningdataonline.com/property/234/Red-Lake-Operation.aspx</t>
  </si>
  <si>
    <t>GRI, UNGC, IFRS, TCFD</t>
  </si>
  <si>
    <t>https://www.evrazna.com/</t>
  </si>
  <si>
    <t>https://www.ferroglobe.com/about-ferroglobe/industrial-footprint/b%C3%A9cancour</t>
  </si>
  <si>
    <t>https://www.ferroglobe.com/</t>
  </si>
  <si>
    <t>No relevant document</t>
  </si>
  <si>
    <t>https://fireflymetals.com.au</t>
  </si>
  <si>
    <t>https://fireflymetals.com.au/ming-underground-mine/</t>
  </si>
  <si>
    <t>https://fireflymetals.com.au/nugget-pond-processing-plant/</t>
  </si>
  <si>
    <t>https://miningdataonline.com/property/960/Ming-Mine.aspx</t>
  </si>
  <si>
    <t>https://www2.gerdau.com/</t>
  </si>
  <si>
    <t>Recycling company</t>
  </si>
  <si>
    <t>https://www.glenviewiron.ca/</t>
  </si>
  <si>
    <t>No relevant document found</t>
  </si>
  <si>
    <t>https://gold-mountain.ca/</t>
  </si>
  <si>
    <t>https://gold-mountain.ca/operations/</t>
  </si>
  <si>
    <t>https://miningdataonline.com/property/3134/Elk-Gold-Mine.aspx</t>
  </si>
  <si>
    <t>Not yet producing</t>
  </si>
  <si>
    <t>PDF and website</t>
  </si>
  <si>
    <t>https://www.glencore.ca/en/kidd/</t>
  </si>
  <si>
    <t>https://miningdataonline.com/property/367/Kidd-Creek-Mine.aspx</t>
  </si>
  <si>
    <t>https://www.glencore.ca/en</t>
  </si>
  <si>
    <t>https://www.glencore.ca/en/sudburyino/</t>
  </si>
  <si>
    <t>https://miningdataonline.com/property/1375/Sudbury-INO-Operation.aspx</t>
  </si>
  <si>
    <t>Mill of the Sudbury INO</t>
  </si>
  <si>
    <t>https://www.glencore.ca/en/ccr/</t>
  </si>
  <si>
    <t>https://www.cezinc.com/en</t>
  </si>
  <si>
    <t>https://www.glencore.ca/en/raglan/</t>
  </si>
  <si>
    <t>https://miningdataonline.com/property/68/Raglan-Mine.aspx</t>
  </si>
  <si>
    <t>Part of the Subdbury INO</t>
  </si>
  <si>
    <t>https://miningdataonline.com/property/4563/Keno-Hill-Operation.aspx</t>
  </si>
  <si>
    <t>https://www.hecla.com/operations/hecla-keno-hill-yukon-territory-canada</t>
  </si>
  <si>
    <t>https://www.hecla.com/operations/casa-berardi-quebec-canada</t>
  </si>
  <si>
    <t>https://www.hecla.com/exploration#racklaexplorationproject</t>
  </si>
  <si>
    <t>https://miningdataonline.com/property/24/Casa-Berardi-Mine.aspx</t>
  </si>
  <si>
    <t>https://miningdataonline.com/property/1801/Tiger-Rackla-Project.aspx</t>
  </si>
  <si>
    <t>https://www.ivacorm.com/</t>
  </si>
  <si>
    <t>https://heicocompanies.com/</t>
  </si>
  <si>
    <t>GRI, SASB</t>
  </si>
  <si>
    <t>https://hudbayminerals.com/canada/default.aspx</t>
  </si>
  <si>
    <t>Mill, part of the Snow Lake</t>
  </si>
  <si>
    <t>Mine, part of the Snow Lake</t>
  </si>
  <si>
    <t>https://miningdataonline.com/property/563/Manitoba-Snow-Lake-Operation.aspx</t>
  </si>
  <si>
    <t>https://miningdataonline.com/property/1/copper-mountain-mine.aspx</t>
  </si>
  <si>
    <t>https://www.iamgold.com/English/operations/westwood/default.aspx</t>
  </si>
  <si>
    <t>https://miningdataonline.com/property/77/Westwood-Operation.aspx</t>
  </si>
  <si>
    <t>https://www.nap.com/home/default.aspx</t>
  </si>
  <si>
    <t>https://www.nap.com/operations/default.aspx#operations</t>
  </si>
  <si>
    <t>https://miningdataonline.com/property/55/Lac-des-Iles-Mine.aspx</t>
  </si>
  <si>
    <t>https://imperialmetals.com/</t>
  </si>
  <si>
    <t>https://www.mountpolley.com/</t>
  </si>
  <si>
    <t>https://miningdataonline.com/property/61/Mount-Polley.aspx</t>
  </si>
  <si>
    <t>https://www.imperialoil.ca/en-CA</t>
  </si>
  <si>
    <t>https://www.imperialoil.ca/company/operations/kearl</t>
  </si>
  <si>
    <t>https://www.ironore.ca/en</t>
  </si>
  <si>
    <t>https://miningdataonline.com/property/23/Carol-Lake-Mine.aspx</t>
  </si>
  <si>
    <t>https://miningdataonline.com/property/1713/Donkin-Mine.aspx</t>
  </si>
  <si>
    <t>Not found (suspended)</t>
  </si>
  <si>
    <t>Check TR first, other information aggregated</t>
  </si>
  <si>
    <t>https://miningdataonline.com/property/173/McCreedy-West,--Morrison-Levack-Sudbury-Basin-Mine.aspx</t>
  </si>
  <si>
    <t>https://kimcosteel.com/</t>
  </si>
  <si>
    <t>Structural steel and recycling</t>
  </si>
  <si>
    <t>https://www.magrispm.com/</t>
  </si>
  <si>
    <t>SASB, GRI</t>
  </si>
  <si>
    <t>https://www.magrispm.com/niobec</t>
  </si>
  <si>
    <t>https://miningdataonline.com/property/12/Niobec-Mine.aspx</t>
  </si>
  <si>
    <t>https://maritimeresourcescorp.com/</t>
  </si>
  <si>
    <t>https://maritimeresourcescorp.com/exploration/point-rousse-project/</t>
  </si>
  <si>
    <t>https://miningdataonline.com/property/454/Eagle-Mine-Operation.aspx</t>
  </si>
  <si>
    <t>Label as exploration project in the website</t>
  </si>
  <si>
    <t>https://www.linkedin.com/company/masterloy-products-company/?originalSubdomain=ca</t>
  </si>
  <si>
    <t>No website. Producing ferrovanadium and ferromolybdenum</t>
  </si>
  <si>
    <t>https://mcewenmining.com/</t>
  </si>
  <si>
    <t>https://mcewenmining.com/operations/black-fox-complex/default.aspx</t>
  </si>
  <si>
    <t>https://miningdataonline.com/property/588/Fox-Complex.aspx</t>
  </si>
  <si>
    <t>SEC fillings</t>
  </si>
  <si>
    <t>https://metalexleadrecycling.com/</t>
  </si>
  <si>
    <t>Cease production, transfer</t>
  </si>
  <si>
    <t>https://www.pwc.com/ca/en/services/insolvency-assignments/minto.html</t>
  </si>
  <si>
    <t>https://miningdataonline.com/property/58/Minto-Mine.aspx</t>
  </si>
  <si>
    <t>https://newgold.com/assets/#rainy-river-mine</t>
  </si>
  <si>
    <t>https://newgold.com/assets/#new-afton-mine</t>
  </si>
  <si>
    <t>https://miningdataonline.com/property/69/Rainy-River-Mine.aspx</t>
  </si>
  <si>
    <t>https://miningdataonline.com/property/11/new-afton-mine.aspx</t>
  </si>
  <si>
    <t>https://operations.newmont.com/north-america/brucejack-canada</t>
  </si>
  <si>
    <t>https://operations.newmont.com/north-america/porcupine-canada</t>
  </si>
  <si>
    <t>https://operations.newmont.com/north-america/red-chris-canada</t>
  </si>
  <si>
    <t>Part of the Porcupine complex</t>
  </si>
  <si>
    <t>https://miningdataonline.com/property/1731/Borden-Mine.aspx</t>
  </si>
  <si>
    <t>https://www.newmont.com/home/default.aspx</t>
  </si>
  <si>
    <t>https://miningdataonline.com/property/233/Eleonore-Mine.aspx</t>
  </si>
  <si>
    <t>https://miningdataonline.com/property/420/Hollinger-Mine.aspx</t>
  </si>
  <si>
    <t>Sold in March 2025: https://www.newmont.com/investors/news-release/news-details/2025/Newmont-Completes-the-Sale-of-Musselwhite-lonore-and-CCV/default.aspx</t>
  </si>
  <si>
    <t>https://miningdataonline.com/property/66/Porcupine-Operation.aspx</t>
  </si>
  <si>
    <t>https://miningdataonline.com/property/72/Brucejack-Mine.aspx</t>
  </si>
  <si>
    <t>https://miningdataonline.com/property/63/Musselwhite-Mine.aspx</t>
  </si>
  <si>
    <t>https://miningdataonline.com/property/246/Red-Chris-Mine.aspx</t>
  </si>
  <si>
    <t>https://www.gcmc.ca/</t>
  </si>
  <si>
    <t>https://www.orano.group/canada/en/our-uranium-expertise/mining-and-milling</t>
  </si>
  <si>
    <t>https://www.orano.group/canada/en</t>
  </si>
  <si>
    <t>Co-owned with Cameco</t>
  </si>
  <si>
    <t>https://miningdataonline.com/property/98/McClean-Lake-Mine.aspx</t>
  </si>
  <si>
    <t>https://miningdataonline.com/property/8/Bell-Creek-Mine.aspx</t>
  </si>
  <si>
    <t>https://panamericansilver.com/operations-2/gold-segment/timmins/</t>
  </si>
  <si>
    <t>Part of the Timmins operation (aggregated data in the SR)</t>
  </si>
  <si>
    <t>https://miningdataonline.com/property/9/Timmins-West-Mine.aspx</t>
  </si>
  <si>
    <t>https://www.gem.wiki/Stellarton_Coal_Mine</t>
  </si>
  <si>
    <t>No company website. Not sure it is in operation yet. Check GEM data.</t>
  </si>
  <si>
    <t>https://www.radiusrecycling.com/</t>
  </si>
  <si>
    <t>Recyling</t>
  </si>
  <si>
    <t>https://realalloy.com/</t>
  </si>
  <si>
    <t>Only emission data per energy type + water and waste</t>
  </si>
  <si>
    <t>https://richmondsteel.ca/</t>
  </si>
  <si>
    <t>No document found in the website</t>
  </si>
  <si>
    <t>https://www.riotinto.com/en/can</t>
  </si>
  <si>
    <t>Part of the Saguenay–Lac-Saint-Jean Operations</t>
  </si>
  <si>
    <t>Part of the RTFT Operations Quebec</t>
  </si>
  <si>
    <t>https://www.alouette.com/en/our-company/shareholders</t>
  </si>
  <si>
    <t>https://www.riotinto.com/en/operations/canada/diavik</t>
  </si>
  <si>
    <t>https://miningdataonline.com/property/14/Diavik-Mine.aspx</t>
  </si>
  <si>
    <t>Part of the Saguenay–Lac-Saint-Jean Operations (40% ownership)</t>
  </si>
  <si>
    <t>https://www.riotinto.com/en/operations/canada/saguenay</t>
  </si>
  <si>
    <t>https://www.riotinto.com/en/operations/canada/bc-works</t>
  </si>
  <si>
    <t>https://www.riotinto.com/en/operations/canada/iron-ore-company-canada</t>
  </si>
  <si>
    <t>https://www.riotinto.com/en/operations/canada/rio-tinto-fer-et-titane</t>
  </si>
  <si>
    <t>GRI, TCFD, CA100+, TNFD, SASB, UNGC, PAI, TSM</t>
  </si>
  <si>
    <t>https://miningdataonline.com/property/955/Lac-Tio-(Havre-St-Pierre)-Mine.aspx</t>
  </si>
  <si>
    <t>Part of the BC Works Operation. Independent report available</t>
  </si>
  <si>
    <t>Independent report available</t>
  </si>
  <si>
    <t>Part of the RTFT Operations Quebec. Independent report available</t>
  </si>
  <si>
    <t>https://www.rivagroup.com/en/</t>
  </si>
  <si>
    <t>Recycling</t>
  </si>
  <si>
    <t>https://asiriva.com/en/</t>
  </si>
  <si>
    <t>No document available on the website</t>
  </si>
  <si>
    <t>https://www.mint.ca/en</t>
  </si>
  <si>
    <t>https://www.mint.ca/en/storage-and-refinery/refinery</t>
  </si>
  <si>
    <t>TCFD</t>
  </si>
  <si>
    <t>https://www.sayona.ca/</t>
  </si>
  <si>
    <t>https://www.sayona.ca/en/projets/the-north-american-lithium-complex/</t>
  </si>
  <si>
    <t>https://miningdataonline.com/property/1628/North-American-Lithium-NAL-Mine.aspx</t>
  </si>
  <si>
    <t>No environmental data, only production and reserves at facility-level</t>
  </si>
  <si>
    <t>https://www.sherritt.com/English/Home/default.aspx</t>
  </si>
  <si>
    <t>https://miningdataonline.com/property/1741/Sugar-Zone-Mine.aspx</t>
  </si>
  <si>
    <t>https://vaultminerals.com/</t>
  </si>
  <si>
    <t>No environmental data</t>
  </si>
  <si>
    <t>https://vaultminerals.com/operations/sugar-zone</t>
  </si>
  <si>
    <t>https://tancomine.com/</t>
  </si>
  <si>
    <t>https://miningdataonline.com/property/977/Tanco-Bernic-Lake-Mine.aspx</t>
  </si>
  <si>
    <t>https://www.ssrmining.com</t>
  </si>
  <si>
    <t>https://www.ssrmining.com/operations/production/seabee/</t>
  </si>
  <si>
    <t>Part of the Seabee Gold Operation</t>
  </si>
  <si>
    <t>https://miningdataonline.com/property/1524/Seabee-Gold-Operation.aspx</t>
  </si>
  <si>
    <t>https://stbarbara.com.au/</t>
  </si>
  <si>
    <t>Atlantic Gold’s Moose River Consolidated (MRC) Project involves the combined development of the Touquoy gold mine and the neighbouring Beaver Dam gold mine</t>
  </si>
  <si>
    <t>https://miningdataonline.com/property/944/Atlantic-Operation.aspx</t>
  </si>
  <si>
    <t>https://stbarbara.com.au/our-operations/our-atlantic-operations/</t>
  </si>
  <si>
    <t>https://www.stelco.com/</t>
  </si>
  <si>
    <t>https://www.stelco.com/about-us/our-facilities</t>
  </si>
  <si>
    <t>Only Annual Toxics Reduction</t>
  </si>
  <si>
    <t>https://www.tatasteel.com/investors/annual-report-2014-15/html/tata-steel-minerals-canada.html</t>
  </si>
  <si>
    <t>https://miningdataonline.com/property/941/Howse-Project.aspx</t>
  </si>
  <si>
    <t>Seems not operationg</t>
  </si>
  <si>
    <t>http://www.sorelforge.com/</t>
  </si>
  <si>
    <t>https://swisssteel-group.com/en</t>
  </si>
  <si>
    <t>https://terrapureenv.com/fr/</t>
  </si>
  <si>
    <t>https://www.trafigura.com/</t>
  </si>
  <si>
    <t>https://miningdataonline.com/property/64/Myra-Falls-Mine.aspx</t>
  </si>
  <si>
    <t>In care and maintenance</t>
  </si>
  <si>
    <t>https://www.triplemmetal.com/</t>
  </si>
  <si>
    <t>https://www.valbrunaasw.ca/</t>
  </si>
  <si>
    <t>https://vgcx.com/</t>
  </si>
  <si>
    <t>https://miningdataonline.com/property/1596/Eagle-Gold-Mine.aspx</t>
  </si>
  <si>
    <t>activity_status</t>
  </si>
  <si>
    <t>development_stage</t>
  </si>
  <si>
    <t>Active</t>
  </si>
  <si>
    <t>Advanced project</t>
  </si>
  <si>
    <t>Advanced processing project</t>
  </si>
  <si>
    <t>Advanced unconventional project</t>
  </si>
  <si>
    <t>Advanced Project</t>
  </si>
  <si>
    <t>Battery recycling facility</t>
  </si>
  <si>
    <t>Demonstration plant</t>
  </si>
  <si>
    <t>QC-MAIN-d29e0839</t>
  </si>
  <si>
    <t>QC-MAIN-5801b453</t>
  </si>
  <si>
    <t>QC-MAIN-c0660aec</t>
  </si>
  <si>
    <t>QC-MAIN-e7e6a960</t>
  </si>
  <si>
    <t>QC-MAIN-e51eda66</t>
  </si>
  <si>
    <t>ON-MAIN-aeafbb59</t>
  </si>
  <si>
    <t>ON-MAIN-1f126a43</t>
  </si>
  <si>
    <t>NU-MAIN-8b0264c9</t>
  </si>
  <si>
    <t>NU-MAIN-730aefe3</t>
  </si>
  <si>
    <t>NU-MAIN-4ea8ac9d</t>
  </si>
  <si>
    <t>QC-MAIN-f1ff4920</t>
  </si>
  <si>
    <t>ON-MAIN-74997012</t>
  </si>
  <si>
    <t>MB-MAIN-5d21dbd5</t>
  </si>
  <si>
    <t>ON-MAIN-7607a50e</t>
  </si>
  <si>
    <t>ON-MAIN-687b8c8d</t>
  </si>
  <si>
    <t>QC-MAIN-52c01ae4</t>
  </si>
  <si>
    <t>QC-MAIN-eac5a52b</t>
  </si>
  <si>
    <t>QC-MAIN-81a288d0</t>
  </si>
  <si>
    <t>QC-MAIN-c8966bdc</t>
  </si>
  <si>
    <t>ON-MAIN-eab8c362</t>
  </si>
  <si>
    <t>QC-MAIN-8c7063b2</t>
  </si>
  <si>
    <t>BC-MAIN-3ef4f421</t>
  </si>
  <si>
    <t>AB-MAIN-9fed34a8</t>
  </si>
  <si>
    <t>NB-MAIN-9e0c4fb2</t>
  </si>
  <si>
    <t>QC-MAIN-15d7c629</t>
  </si>
  <si>
    <t>QC-MAIN-abe563b5</t>
  </si>
  <si>
    <t>QC-MAIN-41bf5ea5</t>
  </si>
  <si>
    <t>QC-MAIN-a1159813</t>
  </si>
  <si>
    <t>ON-MAIN-8056a739</t>
  </si>
  <si>
    <t>ON-MAIN-9623499f</t>
  </si>
  <si>
    <t>QC-MAIN-084bd95c</t>
  </si>
  <si>
    <t>QC-MAIN-33c09b8b</t>
  </si>
  <si>
    <t>QC-MAIN-30ff61c3</t>
  </si>
  <si>
    <t>QC-MAIN-1eee4ace</t>
  </si>
  <si>
    <t>QC-MAIN-844dcc47</t>
  </si>
  <si>
    <t>QC-MAIN-e25eed27</t>
  </si>
  <si>
    <t>ON-MAIN-4c35e094</t>
  </si>
  <si>
    <t>ON-MAIN-8825d90d</t>
  </si>
  <si>
    <t>SK-MAIN-de2e2f8e</t>
  </si>
  <si>
    <t>ON-MAIN-e928d96a</t>
  </si>
  <si>
    <t>NB-MAIN-e55cb3d1</t>
  </si>
  <si>
    <t>ON-MAIN-46f71d5b</t>
  </si>
  <si>
    <t>NT-MAIN-4f11f183</t>
  </si>
  <si>
    <t>NU-MAIN-5154702a</t>
  </si>
  <si>
    <t>ON-MAIN-6e9be24e</t>
  </si>
  <si>
    <t>AB-MAIN-8434dce0</t>
  </si>
  <si>
    <t>SK-MAIN-f79436ec</t>
  </si>
  <si>
    <t>AB-MAIN-a67a8e37</t>
  </si>
  <si>
    <t>YT-MAIN-2cc9bb06</t>
  </si>
  <si>
    <t>NL-MAIN-895cb178</t>
  </si>
  <si>
    <t>NT-MAIN-6c1d6ee6</t>
  </si>
  <si>
    <t>AB-MAIN-2951d12e</t>
  </si>
  <si>
    <t>NB-MAIN-0c5b40d8</t>
  </si>
  <si>
    <t>SK-MAIN-91cf5448</t>
  </si>
  <si>
    <t>SK-MAIN-d3c471e8</t>
  </si>
  <si>
    <t>SK-MAIN-bb89158f</t>
  </si>
  <si>
    <t>ON-MAIN-237587f6</t>
  </si>
  <si>
    <t>ON-MAIN-484e4fa3</t>
  </si>
  <si>
    <t>ON-MAIN-4c5c1179</t>
  </si>
  <si>
    <t>NB-MAIN-8e04eb21</t>
  </si>
  <si>
    <t>ON-MAIN-37e9571e</t>
  </si>
  <si>
    <t>NB-MAIN-3e7d42ac</t>
  </si>
  <si>
    <t>AB-MAIN-70af0605</t>
  </si>
  <si>
    <t>AB-MAIN-e4a2cc7b</t>
  </si>
  <si>
    <t>AB-MAIN-f7556a3a</t>
  </si>
  <si>
    <t>NU-MAIN-eae1621e</t>
  </si>
  <si>
    <t>QC-MAIN-5ce331b8</t>
  </si>
  <si>
    <t>BC-MAIN-eba3e309</t>
  </si>
  <si>
    <t>BC-MAIN-ed23117f</t>
  </si>
  <si>
    <t>BC-MAIN-e34feb4d</t>
  </si>
  <si>
    <t>QC-MAIN-089f3c60</t>
  </si>
  <si>
    <t>NL-MAIN-251d6364</t>
  </si>
  <si>
    <t>ON-MAIN-be399420</t>
  </si>
  <si>
    <t>QC-MAIN-3330383b</t>
  </si>
  <si>
    <t>BC-MAIN-afd7eec5</t>
  </si>
  <si>
    <t>BC-MAIN-becbbe67</t>
  </si>
  <si>
    <t>BC-MAIN-fb4d0c45</t>
  </si>
  <si>
    <t>MB-MAIN-6fca9d6d</t>
  </si>
  <si>
    <t>QC-MAIN-d4e2812a</t>
  </si>
  <si>
    <t>AB-MAIN-9a0307f6</t>
  </si>
  <si>
    <t>AB-MAIN-ddfda037</t>
  </si>
  <si>
    <t>QC-MAIN-715d4318</t>
  </si>
  <si>
    <t>NT-MAIN-94e652a5</t>
  </si>
  <si>
    <t>BC-MAIN-382acb18</t>
  </si>
  <si>
    <t>SK-MAIN-4aef3cb2</t>
  </si>
  <si>
    <t>SK-MAIN-95ec2625</t>
  </si>
  <si>
    <t>BC-MAIN-51068f3b</t>
  </si>
  <si>
    <t>AB-MAIN-7d4a0421</t>
  </si>
  <si>
    <t>QC-MAIN-f9e41c2a</t>
  </si>
  <si>
    <t>ON-MAIN-6664e89b</t>
  </si>
  <si>
    <t>QC-MAIN-5398dfac</t>
  </si>
  <si>
    <t>SK-MAIN-8daee686</t>
  </si>
  <si>
    <t>QC-MAIN-2cf66e65</t>
  </si>
  <si>
    <t>ON-MAIN-7f050560</t>
  </si>
  <si>
    <t>SK-MAIN-26b9aaf3</t>
  </si>
  <si>
    <t>MB-MAIN-c3d6d0d2</t>
  </si>
  <si>
    <t>SK-MAIN-5faf4b42</t>
  </si>
  <si>
    <t>AB-MAIN-575ff9de</t>
  </si>
  <si>
    <t>AB-MAIN-2a44a3b1</t>
  </si>
  <si>
    <t>QC-MAIN-c1cc9f7c</t>
  </si>
  <si>
    <t>NL-MAIN-c139de6d</t>
  </si>
  <si>
    <t>NL-MAIN-842ba1b4</t>
  </si>
  <si>
    <t>YT-MAIN-70d629b4</t>
  </si>
  <si>
    <t>YT-MAIN-ca488f19</t>
  </si>
  <si>
    <t>AB-MAIN-4eee18d1</t>
  </si>
  <si>
    <t>BC-MAIN-efff21d3</t>
  </si>
  <si>
    <t>SK-MAIN-0684a5d8</t>
  </si>
  <si>
    <t>MB-MAIN-f7fde5b4</t>
  </si>
  <si>
    <t>QC-MAIN-ae473a4e</t>
  </si>
  <si>
    <t>SK-MAIN-7a11ae49</t>
  </si>
  <si>
    <t>AB-MAIN-ca9625ce</t>
  </si>
  <si>
    <t>NT-MAIN-b7cdf82c</t>
  </si>
  <si>
    <t>ON-MAIN-d47616e5</t>
  </si>
  <si>
    <t>BC-MAIN-e1641dfb</t>
  </si>
  <si>
    <t>ON-MAIN-c06904f0</t>
  </si>
  <si>
    <t>ON-MAIN-64bbe7e6</t>
  </si>
  <si>
    <t>SK-MAIN-f2a5edd8</t>
  </si>
  <si>
    <t>QC-MAIN-22426144</t>
  </si>
  <si>
    <t>ON-MAIN-92cdea80</t>
  </si>
  <si>
    <t>MB-MAIN-0d5c2cae</t>
  </si>
  <si>
    <t>ON-MAIN-21b6ab35</t>
  </si>
  <si>
    <t>ON-MAIN-bddeaef0</t>
  </si>
  <si>
    <t>MB-MAIN-b4ca1426</t>
  </si>
  <si>
    <t>QC-MAIN-a97821c0</t>
  </si>
  <si>
    <t>ON-MAIN-fcb287a4</t>
  </si>
  <si>
    <t>ON-MAIN-206041d1</t>
  </si>
  <si>
    <t>ON-MAIN-ed85ac94</t>
  </si>
  <si>
    <t>ON-MAIN-f8313ebd</t>
  </si>
  <si>
    <t>QC-MAIN-529c96b4</t>
  </si>
  <si>
    <t>QC-MAIN-abb3e1c7</t>
  </si>
  <si>
    <t>QC-MAIN-de3d8b7b</t>
  </si>
  <si>
    <t>QC-MAIN-30c1828c</t>
  </si>
  <si>
    <t>ON-MAIN-40ce0593</t>
  </si>
  <si>
    <t>ON-MAIN-319e04a8</t>
  </si>
  <si>
    <t>ON-MAIN-4440c34c</t>
  </si>
  <si>
    <t>BC-MAIN-4724f4ba</t>
  </si>
  <si>
    <t>YT-MAIN-956d050a</t>
  </si>
  <si>
    <t>ON-MAIN-97ee890f</t>
  </si>
  <si>
    <t>MB-MAIN-27a90834</t>
  </si>
  <si>
    <t>SK-MAIN-fbe28fef</t>
  </si>
  <si>
    <t>BC-MAIN-b031959a</t>
  </si>
  <si>
    <t>QC-MAIN-b86f7d07</t>
  </si>
  <si>
    <t>YT-MAIN-44857446</t>
  </si>
  <si>
    <t>YT-MAIN-c3105f43</t>
  </si>
  <si>
    <t>ON-MAIN-fc6f1a44</t>
  </si>
  <si>
    <t>MB-MAIN-0898e255</t>
  </si>
  <si>
    <t>MB-MAIN-da0b5c3d</t>
  </si>
  <si>
    <t>MB-MAIN-be5b3dc8</t>
  </si>
  <si>
    <t>BC-MAIN-599152a0</t>
  </si>
  <si>
    <t>MB-MAIN-c0684566</t>
  </si>
  <si>
    <t>MB-MAIN-e2e67f8f</t>
  </si>
  <si>
    <t>MB-MAIN-854abe09</t>
  </si>
  <si>
    <t>MB-MAIN-1a82a1b7</t>
  </si>
  <si>
    <t>MB-MAIN-b5b81ee3</t>
  </si>
  <si>
    <t>QC-MAIN-02884fb5</t>
  </si>
  <si>
    <t>ON-MAIN-a3c56a83</t>
  </si>
  <si>
    <t>BC-MAIN-3f490561</t>
  </si>
  <si>
    <t>QC-MAIN-586679b9</t>
  </si>
  <si>
    <t>AB-MAIN-eec2cd4c</t>
  </si>
  <si>
    <t>MB-MAIN-d7217475</t>
  </si>
  <si>
    <t>NL-MAIN-dd723db4</t>
  </si>
  <si>
    <t>NS-MAIN-baf0bfbd</t>
  </si>
  <si>
    <t>SK-MAIN-017a6137</t>
  </si>
  <si>
    <t>ON-MAIN-7001a391</t>
  </si>
  <si>
    <t>ON-MAIN-9a34108c</t>
  </si>
  <si>
    <t>ON-MAIN-6bd6cc80</t>
  </si>
  <si>
    <t>MB-MAIN-a832fb0a</t>
  </si>
  <si>
    <t>BC-MAIN-12730593</t>
  </si>
  <si>
    <t>ON-MAIN-575c5e66</t>
  </si>
  <si>
    <t>ON-MAIN-6b998583</t>
  </si>
  <si>
    <t>QC-MAIN-0414a373</t>
  </si>
  <si>
    <t>AB-MAIN-35d0dc71</t>
  </si>
  <si>
    <t>QC-MAIN-a2c6775d</t>
  </si>
  <si>
    <t>ON-MAIN-b1d981ca</t>
  </si>
  <si>
    <t>ON-MAIN-54b7e152</t>
  </si>
  <si>
    <t>QC-MAIN-aa793d35</t>
  </si>
  <si>
    <t>QC-MAIN-649d2873</t>
  </si>
  <si>
    <t>QC-MAIN-a555d9b9</t>
  </si>
  <si>
    <t>NB-MAIN-c1e4dee0</t>
  </si>
  <si>
    <t>NL-MAIN-f021107e</t>
  </si>
  <si>
    <t>QC-MAIN-615ebdb4</t>
  </si>
  <si>
    <t>ON-MAIN-470b504b</t>
  </si>
  <si>
    <t>ON-MAIN-4e0734b5</t>
  </si>
  <si>
    <t>BC-MAIN-d9e2f362</t>
  </si>
  <si>
    <t>QC-MAIN-237d67c1</t>
  </si>
  <si>
    <t>BC-MAIN-c7247100</t>
  </si>
  <si>
    <t>YT-MAIN-752fbcae</t>
  </si>
  <si>
    <t>NU-MAIN-8e62bfbc</t>
  </si>
  <si>
    <t>NU-MAIN-1ef8af2c</t>
  </si>
  <si>
    <t>QC-MAIN-9d41d417</t>
  </si>
  <si>
    <t>QC-MAIN-eb73fd68</t>
  </si>
  <si>
    <t>ON-MAIN-2bb07cd3</t>
  </si>
  <si>
    <t>ON-MAIN-0aadf28f</t>
  </si>
  <si>
    <t>BC-MAIN-aa76f6f2</t>
  </si>
  <si>
    <t>QC-MAIN-6dc537e6</t>
  </si>
  <si>
    <t>ON-MAIN-538513cd</t>
  </si>
  <si>
    <t>ON-MAIN-3b3e5365</t>
  </si>
  <si>
    <t>ON-MAIN-8629a493</t>
  </si>
  <si>
    <t>ON-MAIN-1c674cd0</t>
  </si>
  <si>
    <t>ON-MAIN-fefeaee4</t>
  </si>
  <si>
    <t>BC-MAIN-8eb8be0d</t>
  </si>
  <si>
    <t>BC-MAIN-857b7b89</t>
  </si>
  <si>
    <t>BC-MAIN-c720b195</t>
  </si>
  <si>
    <t>BC-MAIN-b4655afb</t>
  </si>
  <si>
    <t>SK-MAIN-3012889c</t>
  </si>
  <si>
    <t>YT-MAIN-1910d1c3</t>
  </si>
  <si>
    <t>QC-MAIN-288718a6</t>
  </si>
  <si>
    <t>NB-MAIN-f58cc895</t>
  </si>
  <si>
    <t>ON-MAIN-8b86d975</t>
  </si>
  <si>
    <t>BC-MAIN-6fbdcf4c</t>
  </si>
  <si>
    <t>BC-MAIN-265a57f6</t>
  </si>
  <si>
    <t>NT-MAIN-b3681e03</t>
  </si>
  <si>
    <t>QC-MAIN-d6748d40</t>
  </si>
  <si>
    <t>QC-MAIN-69bb36c1</t>
  </si>
  <si>
    <t>SK-MAIN-60ba74c4</t>
  </si>
  <si>
    <t>NT-MAIN-b99d4cb2</t>
  </si>
  <si>
    <t>NL-MAIN-a498ddc6</t>
  </si>
  <si>
    <t>ON-MAIN-bfbcd72e</t>
  </si>
  <si>
    <t>ON-MAIN-f3e6ff08</t>
  </si>
  <si>
    <t>NS-MAIN-fb4e8e94</t>
  </si>
  <si>
    <t>MB-MAIN-3ab82795</t>
  </si>
  <si>
    <t>BC-MAIN-1f842681</t>
  </si>
  <si>
    <t>ON-MAIN-b466361f</t>
  </si>
  <si>
    <t>BC-MAIN-ee65d38c</t>
  </si>
  <si>
    <t>QC-MAIN-01c1e81f</t>
  </si>
  <si>
    <t>QC-MAIN-c0e3a48b</t>
  </si>
  <si>
    <t>QC-MAIN-92628f16</t>
  </si>
  <si>
    <t>QC-MAIN-c1c7eb99</t>
  </si>
  <si>
    <t>QC-MAIN-3aa117d8</t>
  </si>
  <si>
    <t>BC-MAIN-eb47f7c7</t>
  </si>
  <si>
    <t>QC-MAIN-8d6616b4</t>
  </si>
  <si>
    <t>QC-MAIN-e82266c5</t>
  </si>
  <si>
    <t>NT-MAIN-0ec39ce0</t>
  </si>
  <si>
    <t>QC-MAIN-3e146840</t>
  </si>
  <si>
    <t>QC-MAIN-11c40b1f</t>
  </si>
  <si>
    <t>QC-MAIN-7b3b4c8b</t>
  </si>
  <si>
    <t>QC-MAIN-bebff037</t>
  </si>
  <si>
    <t>ON-MAIN-eda110b0</t>
  </si>
  <si>
    <t>YT-MAIN-73ce66b5</t>
  </si>
  <si>
    <t>BC-MAIN-116ae608</t>
  </si>
  <si>
    <t>ON-MAIN-dca9cce7</t>
  </si>
  <si>
    <t>AB-MAIN-7430be9d</t>
  </si>
  <si>
    <t>SK-MAIN-d5c9124e</t>
  </si>
  <si>
    <t>QC-MAIN-c4fb59c2</t>
  </si>
  <si>
    <t>QC-MAIN-dc1a16f9</t>
  </si>
  <si>
    <t>QC-MAIN-1186a6d0</t>
  </si>
  <si>
    <t>BC-MAIN-b7591127</t>
  </si>
  <si>
    <t>BC-MAIN-4959ea63</t>
  </si>
  <si>
    <t>YT-MAIN-03a159d7</t>
  </si>
  <si>
    <t>AB-MAIN-d3a4aba9</t>
  </si>
  <si>
    <t>ON-MAIN-f4fc3276</t>
  </si>
  <si>
    <t>MB-MAIN-915d9faa</t>
  </si>
  <si>
    <t>BC-MAIN-b1fe389a</t>
  </si>
  <si>
    <t>QC-MAIN-1d2f31f9</t>
  </si>
  <si>
    <t>NL-MAIN-bb23d8a6</t>
  </si>
  <si>
    <t>SK-MAIN-22ce14be</t>
  </si>
  <si>
    <t>SK-MAIN-29afbdb5</t>
  </si>
  <si>
    <t>NS-MAIN-c9c77a59</t>
  </si>
  <si>
    <t>ON-MAIN-020a683c</t>
  </si>
  <si>
    <t>ON-MAIN-b2e5c9bb</t>
  </si>
  <si>
    <t>QC-MAIN-3032c251</t>
  </si>
  <si>
    <t>QC-MAIN-b5937543</t>
  </si>
  <si>
    <t>QC-MAIN-64595b02</t>
  </si>
  <si>
    <t>AB-MAIN-7dabaf6e</t>
  </si>
  <si>
    <t>AB-MAIN-3f0e46be</t>
  </si>
  <si>
    <t>BC-MAIN-a505d25d</t>
  </si>
  <si>
    <t>BC-MAIN-c5d1b42d</t>
  </si>
  <si>
    <t>QC-MAIN-6a26086e</t>
  </si>
  <si>
    <t>AB-MAIN-c42b8de9</t>
  </si>
  <si>
    <t>AB-MAIN-5ce71d64</t>
  </si>
  <si>
    <t>NL-MAIN-b64bae7a</t>
  </si>
  <si>
    <t>NL-MAIN-18695c6d</t>
  </si>
  <si>
    <t>ON-MAIN-1aa10efa</t>
  </si>
  <si>
    <t>BC-MAIN-6b4800fe</t>
  </si>
  <si>
    <t>BC-MAIN-18bed6d7</t>
  </si>
  <si>
    <t>BC-MAIN-23f67ea8</t>
  </si>
  <si>
    <t>NL-MAIN-e09881ff</t>
  </si>
  <si>
    <t>QC-MAIN-b8c826a2</t>
  </si>
  <si>
    <t>BC-MAIN-bf503b6b</t>
  </si>
  <si>
    <t>BC-MAIN-9e101b16</t>
  </si>
  <si>
    <t>BC-MAIN-48ad5435</t>
  </si>
  <si>
    <t>BC-MAIN-c202b377</t>
  </si>
  <si>
    <t>BC-MAIN-2c4ceca5</t>
  </si>
  <si>
    <t>BC-MAIN-3bb6b7cd</t>
  </si>
  <si>
    <t>BC-MAIN-193ddddb</t>
  </si>
  <si>
    <t>QC-MAIN-4f03382f</t>
  </si>
  <si>
    <t>ON-MAIN-137bbc71</t>
  </si>
  <si>
    <t>QC-MAIN-2587e541</t>
  </si>
  <si>
    <t>BC-MAIN-23155c25</t>
  </si>
  <si>
    <t>ON-MAIN-75f260ea</t>
  </si>
  <si>
    <t>ON-MAIN-59a49b3e</t>
  </si>
  <si>
    <t>ON-MAIN-00855a72</t>
  </si>
  <si>
    <t>YT-MAIN-68c87980</t>
  </si>
  <si>
    <t>QC-MAIN-b2148882</t>
  </si>
  <si>
    <t>ON-MAIN-4a6187a4</t>
  </si>
  <si>
    <t>SK-MAIN-9dd2b7f8</t>
  </si>
  <si>
    <t>ON-MAIN-387b06fe</t>
  </si>
  <si>
    <t>ON-MAIN-48fe2205</t>
  </si>
  <si>
    <t>ON-MAIN-de2f9639</t>
  </si>
  <si>
    <t>ON-MAIN-f080c409</t>
  </si>
  <si>
    <t>ON-MAIN-52224e1e</t>
  </si>
  <si>
    <t>ON-MAIN-6e9b2449</t>
  </si>
  <si>
    <t>ON-MAIN-28f3f0fc</t>
  </si>
  <si>
    <t>MB-MAIN-e0a6250e</t>
  </si>
  <si>
    <t>ON-MAIN-2e13aaa0</t>
  </si>
  <si>
    <t>ON-MAIN-63b394c3</t>
  </si>
  <si>
    <t>NL-MAIN-2d8801d6</t>
  </si>
  <si>
    <t>NL-MAIN-d9036091</t>
  </si>
  <si>
    <t>QC-MAIN-860bbbfc</t>
  </si>
  <si>
    <t>YT-MAIN-e05ed9fe</t>
  </si>
  <si>
    <t>QC-MAIN-d59f82aa</t>
  </si>
  <si>
    <t>NT-MAIN-b1b28b01</t>
  </si>
  <si>
    <t>AB-MAIN-63f096a6</t>
  </si>
  <si>
    <t>QC-MAIN-be473617</t>
  </si>
  <si>
    <t>ON-MAIN-3c468faa</t>
  </si>
  <si>
    <t>QC-MAIN-9de9bb0d</t>
  </si>
  <si>
    <t>ON-MAIN-c5fefb01</t>
  </si>
  <si>
    <t>ON-MAIN-cb85213a</t>
  </si>
  <si>
    <t>BC-MAIN-feb13c30</t>
  </si>
  <si>
    <t>YT-MAIN-5e0d8b48</t>
  </si>
  <si>
    <t>SK-MAIN-71ad0a66</t>
  </si>
  <si>
    <t>SK-MAIN-ae4fcc15</t>
  </si>
  <si>
    <t>SK-MAIN-a35bfc1b</t>
  </si>
  <si>
    <t>AB-MAIN-526c6c76</t>
  </si>
  <si>
    <t>AB-MAIN-0c614cfb</t>
  </si>
  <si>
    <t>ON-MAIN-12c68d49</t>
  </si>
  <si>
    <t>SK-MAIN-bae48393</t>
  </si>
  <si>
    <t>BC-MAIN-891d3cb5</t>
  </si>
  <si>
    <t>https://miningdataonline.com/property/968/Renard-Mine.aspx</t>
  </si>
  <si>
    <t>https://stornowaydiamonds.com/English/our-business/renard-mine/default.html</t>
  </si>
  <si>
    <t>https://stornowaydiamonds.com/English/home/default.html</t>
  </si>
  <si>
    <t>In care and maintenance. Oudated data.</t>
  </si>
  <si>
    <t>Suncor Energy Inc</t>
  </si>
  <si>
    <t>https://www.suncor.com/en-ca/what-we-do/oil-sands/fort-hills</t>
  </si>
  <si>
    <t>https://miningdataonline.com/property/567/Fort-Hills-Mine.aspx</t>
  </si>
  <si>
    <t>Part of the Base Plant Operation</t>
  </si>
  <si>
    <t>https://www.suncor.com/en-ca/what-we-do/oil-sands/base-plant-operations</t>
  </si>
  <si>
    <t>https://miningdataonline.com/property/4651/Scully-Mine.aspx</t>
  </si>
  <si>
    <t>https://miningdataonline.com/property/2/Gibraltar-Mine.aspx</t>
  </si>
  <si>
    <t>https://www.tasekomines.com/properties/gibraltar-mine/</t>
  </si>
  <si>
    <t>https://www.tasekomines.com/properties/yellowhead-project/</t>
  </si>
  <si>
    <t>https://www.tasekomines.com/properties/aley-project/</t>
  </si>
  <si>
    <t>https://miningdataonline.com/property/1663/Yellowhead-Project.aspx</t>
  </si>
  <si>
    <t>https://miningdataonline.com/property/1500/Aley-Project.aspx</t>
  </si>
  <si>
    <t>https://www.teck.com/</t>
  </si>
  <si>
    <t>https://miningdataonline.com/property/18/Elkview-Mine.aspx</t>
  </si>
  <si>
    <t>https://miningdataonline.com/property/39/Fording-River-Mine.aspx</t>
  </si>
  <si>
    <t>https://miningdataonline.com/property/48/Greenhills-Mine.aspx</t>
  </si>
  <si>
    <t>https://miningdataonline.com/property/56/Line-Creek-Mine.aspx</t>
  </si>
  <si>
    <t>https://miningdataonline.com/property/50/Highland-Valley-Mine.aspx</t>
  </si>
  <si>
    <t>https://vale.com/canada</t>
  </si>
  <si>
    <t>Part of the Sudbury Operation</t>
  </si>
  <si>
    <t>https://vale.com/port-colborne</t>
  </si>
  <si>
    <t>https://vale.com/sudbury</t>
  </si>
  <si>
    <t>https://miningdataonline.com/property/1485/Sudbury-Mine.aspx</t>
  </si>
  <si>
    <t>https://miningdataonline.com/property/1377/Thompson-Mine.aspx</t>
  </si>
  <si>
    <t>https://vale.com/thompson</t>
  </si>
  <si>
    <t>https://miningdataonline.com/property/626/Totten-Mine.aspx</t>
  </si>
  <si>
    <t>Can be part of the Subdbury Operation (35km away)</t>
  </si>
  <si>
    <t>https://vale.com/long-harbour</t>
  </si>
  <si>
    <t>https://vale.com/voisey-s-bay</t>
  </si>
  <si>
    <t>https://miningdataonline.com/property/417/Voiseys-Bay-Mine.aspx</t>
  </si>
  <si>
    <t>GRI, SASB, TCFD, TNFD, WEF, ICMM</t>
  </si>
  <si>
    <t>Closed</t>
  </si>
  <si>
    <t>https://miningdataonline.com/property/1238/Mishi-Mine.aspx</t>
  </si>
  <si>
    <t>https://www.wesdome.com/English/operations/eagle-river/default.aspx</t>
  </si>
  <si>
    <t>https://www.wesdome.com/English/operations/kiena/default.aspx</t>
  </si>
  <si>
    <t>https://miningdataonline.com/property/1254/Eagle-River-Complex.aspx</t>
  </si>
  <si>
    <t>https://miningdataonline.com/property/3048/Kiena-Mine.aspx</t>
  </si>
  <si>
    <t>https://westmoreland.com/coal-valley-mine-2/</t>
  </si>
  <si>
    <t>https://westmoreland.com/estevan-mine-2/</t>
  </si>
  <si>
    <t>https://westmoreland.com/genesee-mine-2/</t>
  </si>
  <si>
    <t>https://westmoreland.com/poplar-river-mine-2/</t>
  </si>
  <si>
    <t>https://miningdataonline.com/property/231/Coal-Valley-Mine.aspx</t>
  </si>
  <si>
    <t>https://miningdataonline.com/property/932/Estevan-Mine.aspx</t>
  </si>
  <si>
    <t>https://miningdataonline.com/property/42/Genesee-Mine.aspx</t>
  </si>
  <si>
    <t>https://miningdataonline.com/property/457/Poplar-River-Mine.aspx</t>
  </si>
  <si>
    <t>Part of the Meadowbank complex</t>
  </si>
  <si>
    <t>https://miningdataonline.com/property/47/Meadowbank-Mine.aspx</t>
  </si>
  <si>
    <t>https://www.agnicoeagle.com/English/operations/operations/meadowbank/default.aspx</t>
  </si>
  <si>
    <t>https://www.agnicoeagle.com/English/operations/operations/Detour-Lake-Mine/default.aspx</t>
  </si>
  <si>
    <t>https://miningdataonline.com/property/13/Detour-Lake-Mine.aspx</t>
  </si>
  <si>
    <t>https://miningdataonline.com/property/959/Meliadine-Mine.aspx</t>
  </si>
  <si>
    <t>https://www.agnicoeagle.com/English/operations/operations/meliadine/default.aspx</t>
  </si>
  <si>
    <t>https://malartic.agnicoeagle.com/en/</t>
  </si>
  <si>
    <t>https://miningdataonline.com/property/20/Canadian-Malartic-Complex.aspx</t>
  </si>
  <si>
    <t>https://www.agnicoeagle.com/English/operations/operations/goldex/default.aspx</t>
  </si>
  <si>
    <t>https://miningdataonline.com/property/44/Goldex-Mine.aspx</t>
  </si>
  <si>
    <t>https://www.agnicoeagle.com/English/operations/operations/Macassa-Mine/default.aspx</t>
  </si>
  <si>
    <t>https://miningdataonline.com/property/453/Macassa-Complex.aspx</t>
  </si>
  <si>
    <t>https://www.agnicoeagle.com/English/operations/operations/laronde/default.aspx</t>
  </si>
  <si>
    <t>https://miningdataonline.com/property/46/LaRonde-Mine.aspx</t>
  </si>
  <si>
    <t>GRI, SASN, TCFD, TNFD</t>
  </si>
  <si>
    <t>Associated with the Goldex complex</t>
  </si>
  <si>
    <t>https://www.agnicoeagle.com/English/exploration/exploration-projects/Upper-Beaver/default.aspx</t>
  </si>
  <si>
    <t>Associated with the Macassa Mine</t>
  </si>
  <si>
    <t>https://www.alamosgold.com/operations/producing-mines/island-gold-canada/default.aspx</t>
  </si>
  <si>
    <t>https://www.alamosgold.com/operations/producing-mines/young-davidson-canada/default.aspx</t>
  </si>
  <si>
    <t>https://miningdataonline.com/property/7/Island-Gold-Mine.aspx</t>
  </si>
  <si>
    <t>https://miningdataonline.com/property/1484/young-davidson-mine.aspx</t>
  </si>
  <si>
    <t>https://corazon.com.au/our-projects/lynn-lake-project/</t>
  </si>
  <si>
    <t>https://corazon.com.au/</t>
  </si>
  <si>
    <t>https://miningdataonline.com/property/49/Hemlo-Williams,-David-Bell-Mine.aspx</t>
  </si>
  <si>
    <t>https://www.barrick.com/English/operations/hemlo/default.aspx</t>
  </si>
  <si>
    <t>https://www.baffinland.com/</t>
  </si>
  <si>
    <t xml:space="preserve">
https://burgundydiamonds.com/</t>
  </si>
  <si>
    <t>https://www.cameco.com/businesses/uranium-operations/canada/cigar-lake</t>
  </si>
  <si>
    <t>Part of the McArthur River/Key Lake operation</t>
  </si>
  <si>
    <t>https://www.cameco.com/businesses/uranium-operations/canada/mcarthur-river-key-lake</t>
  </si>
  <si>
    <t>https://www.cameco.com/businesses/fuel-services/refining-blind-river</t>
  </si>
  <si>
    <t>https://www.cameco.com/businesses/fuel-services/conversion-port-hope</t>
  </si>
  <si>
    <t>https://www.cnrl.com/working-together/horizon-oil-sands/</t>
  </si>
  <si>
    <t>https://www.oilsandsmagazine.com/projects/cnrl-jackpine-mine</t>
  </si>
  <si>
    <t>https://www.oilsandsmagazine.com/projects/cnrl-muskeg-river-mine</t>
  </si>
  <si>
    <t>Timmins Operation</t>
  </si>
  <si>
    <t>Facility-group</t>
  </si>
  <si>
    <t>year</t>
  </si>
  <si>
    <t>level</t>
  </si>
  <si>
    <t>commodity</t>
  </si>
  <si>
    <t>material_type</t>
  </si>
  <si>
    <t>unit</t>
  </si>
  <si>
    <t>source</t>
  </si>
  <si>
    <t>?</t>
  </si>
  <si>
    <t>Ore processed</t>
  </si>
  <si>
    <t>t</t>
  </si>
  <si>
    <t>2023-Sustainability-Performance_data</t>
  </si>
  <si>
    <t>oz</t>
  </si>
  <si>
    <t>Silver</t>
  </si>
  <si>
    <t>koz</t>
  </si>
  <si>
    <t>Zinc</t>
  </si>
  <si>
    <t>Concentrate</t>
  </si>
  <si>
    <t>reporting_level</t>
  </si>
  <si>
    <t>reserves_resources</t>
  </si>
  <si>
    <t>reserves_resources_type</t>
  </si>
  <si>
    <t>ore</t>
  </si>
  <si>
    <t>ore_unit</t>
  </si>
  <si>
    <t>grade</t>
  </si>
  <si>
    <t>grade_unit</t>
  </si>
  <si>
    <t>metal_content</t>
  </si>
  <si>
    <t>metal_content_unit</t>
  </si>
  <si>
    <t>norm</t>
  </si>
  <si>
    <t>recovery_rate</t>
  </si>
  <si>
    <t>Reserves</t>
  </si>
  <si>
    <t>Proven</t>
  </si>
  <si>
    <t>kt</t>
  </si>
  <si>
    <t>g/t</t>
  </si>
  <si>
    <t>2024_MRMR</t>
  </si>
  <si>
    <t xml:space="preserve">Probable </t>
  </si>
  <si>
    <t>Resources</t>
  </si>
  <si>
    <t>Measured</t>
  </si>
  <si>
    <t>Indicated</t>
  </si>
  <si>
    <t>Inferred</t>
  </si>
  <si>
    <t>Probable</t>
  </si>
  <si>
    <t>Facility-level</t>
  </si>
  <si>
    <t>Electricity consumption</t>
  </si>
  <si>
    <t>kWh</t>
  </si>
  <si>
    <t>Electricity intensity</t>
  </si>
  <si>
    <t>kWh/t ore processed</t>
  </si>
  <si>
    <t>Energy intensity</t>
  </si>
  <si>
    <t>GJ/t ore processed</t>
  </si>
  <si>
    <t>Electricity consumption|Generated on-site</t>
  </si>
  <si>
    <t>2023-Performance-data.xlsx</t>
  </si>
  <si>
    <t>Solar</t>
  </si>
  <si>
    <t>Biodiesel</t>
  </si>
  <si>
    <t>Previously owned by Newcrest</t>
  </si>
  <si>
    <t>Porcupine complex</t>
  </si>
  <si>
    <t>NI-43101</t>
  </si>
  <si>
    <t>%</t>
  </si>
  <si>
    <t>Eleonore</t>
  </si>
  <si>
    <t>Newmount Corporation</t>
  </si>
  <si>
    <t>2023_reserves</t>
  </si>
  <si>
    <t>Operating_statistics_2023</t>
  </si>
  <si>
    <t>Ore mined</t>
  </si>
  <si>
    <t>Mill ore grade</t>
  </si>
  <si>
    <t>Operating_statistics_2024</t>
  </si>
  <si>
    <t>Operating_statistics_2025</t>
  </si>
  <si>
    <t>AR_2024</t>
  </si>
  <si>
    <t>Mill recovery rate</t>
  </si>
  <si>
    <t>Proven &amp; Probable</t>
  </si>
  <si>
    <t>Data_2023.xlsx</t>
  </si>
  <si>
    <t>Measured &amp; Indicated</t>
  </si>
  <si>
    <t>GJ/t ore mined</t>
  </si>
  <si>
    <t>GJ/oz gold produced</t>
  </si>
  <si>
    <t>scope1</t>
  </si>
  <si>
    <t>scope2</t>
  </si>
  <si>
    <t>scope3</t>
  </si>
  <si>
    <t>CO2eq/t ore mined</t>
  </si>
  <si>
    <t>CO2eq/t ore treated</t>
  </si>
  <si>
    <t>CO2eq/oz gold production</t>
  </si>
  <si>
    <t>https://miningdataonline.com/property/3240/Lynn-Lake-Project.aspx</t>
  </si>
  <si>
    <t>CO</t>
  </si>
  <si>
    <t>PM2.5</t>
  </si>
  <si>
    <t>Mercury</t>
  </si>
  <si>
    <t>Lead</t>
  </si>
  <si>
    <t>Total water withdrawal</t>
  </si>
  <si>
    <t>ML</t>
  </si>
  <si>
    <t>Total water discharge</t>
  </si>
  <si>
    <t>Total consumption</t>
  </si>
  <si>
    <t>Total sodium cyanide used</t>
  </si>
  <si>
    <t>Total blasting agents used e.g. ANFO</t>
  </si>
  <si>
    <t>Tailings produced</t>
  </si>
  <si>
    <t>Total mineral waste</t>
  </si>
  <si>
    <t>Total waste rock generated</t>
  </si>
  <si>
    <t>Total non-mineral waste</t>
  </si>
  <si>
    <t>Size of operation</t>
  </si>
  <si>
    <t>Total disturbed land not rehabilitated</t>
  </si>
  <si>
    <t>Total tailings generated</t>
  </si>
  <si>
    <t>ha</t>
  </si>
  <si>
    <t>Ore grade</t>
  </si>
  <si>
    <t>Mill grade</t>
  </si>
  <si>
    <t>Ammonium nitrate</t>
  </si>
  <si>
    <t>Emulsions</t>
  </si>
  <si>
    <t>ESG_data_2023.xlsx</t>
  </si>
  <si>
    <t>tCO2eq</t>
  </si>
  <si>
    <t>NOx</t>
  </si>
  <si>
    <t>SOx</t>
  </si>
  <si>
    <t>m3</t>
  </si>
  <si>
    <t>Total water consumption</t>
  </si>
  <si>
    <t>Maximum permitted storage capacity</t>
  </si>
  <si>
    <t>Mt</t>
  </si>
  <si>
    <t>Current amount of tailings stored</t>
  </si>
  <si>
    <t>dry t</t>
  </si>
  <si>
    <t>Tailings|Not used as hydraulic backfill</t>
  </si>
  <si>
    <t>Tailings|Used as hydraulic backfill</t>
  </si>
  <si>
    <t>Waste rock|Not used as backfill</t>
  </si>
  <si>
    <t>Waste rock|Used as backfill</t>
  </si>
  <si>
    <t>Reserves_2024</t>
  </si>
  <si>
    <t>Financial_results</t>
  </si>
  <si>
    <t>SO2</t>
  </si>
  <si>
    <t>NO2</t>
  </si>
  <si>
    <t>% U3O8</t>
  </si>
  <si>
    <t>name</t>
  </si>
  <si>
    <t>Unconformity-related</t>
  </si>
  <si>
    <t>Jet Boring System (JBS), frozen ore</t>
  </si>
  <si>
    <t>Slurry to McClean Lake mill, acid leach (~99.5% recovery)</t>
  </si>
  <si>
    <t>Underground blasthole &amp; raisebore</t>
  </si>
  <si>
    <t>Acid leach at Key Lake mill, blended with lower-grade feed</t>
  </si>
  <si>
    <t>Mesothermal lode-gold mineralization (including hybrid, stratiform, and vein-type iron-formation-hosted gold deposits)​</t>
  </si>
  <si>
    <t>Open pit truck and shovel methods; selective mining within ore zones</t>
  </si>
  <si>
    <t>Primary and secondary crushing, semi-autogenous grinding (SAG), ball mill, gravity concentration, cyanide leaching, and carbon-in-pulp (CIP)​</t>
  </si>
  <si>
    <t>Disseminated and structurally controlled lode gold deposit​</t>
  </si>
  <si>
    <t>Open pit, conventional truck and shovel method</t>
  </si>
  <si>
    <t>Crushing, grinding, gravity concentration, cyanide leaching, and carbon-in-pulp (CIP) circuit​</t>
  </si>
  <si>
    <t>Mesothermal lode gold deposits, primarily iron-formation-hosted</t>
  </si>
  <si>
    <t>Long-hole mining method (both transverse and longitudinal mining); Cemented pastefill in primary stopes, rockfill in secondary stopes</t>
  </si>
  <si>
    <t>Disseminated gold deposit</t>
  </si>
  <si>
    <t>Open pit, conventional truck and shovel; remote-controlled shovels, drills, and dozers used in legacy underground mining areas​</t>
  </si>
  <si>
    <t>Conventional crushing, grinding, gravity concentration, cyanide leaching, and carbon-in-pulp recovery​</t>
  </si>
  <si>
    <t>Polymetallic massive sulphide and lode gold deposit</t>
  </si>
  <si>
    <t>Longitudinal and transverse longhole open stoping methods, primary-secondary or pillarless mining sequences, and paste backfill​</t>
  </si>
  <si>
    <t>company_name_folder</t>
  </si>
  <si>
    <t>reported_company</t>
  </si>
  <si>
    <t>facility_name</t>
  </si>
  <si>
    <t>"In absence of site-level monitoring emission are estimated based on fuel consumption"</t>
  </si>
  <si>
    <t>Total water withdrawal|Total freshwater withdrawal for use</t>
  </si>
  <si>
    <t>Freshwater withdrawn for use intensity</t>
  </si>
  <si>
    <t>m3 of water/t of ore processed</t>
  </si>
  <si>
    <t>m3 of water/oz of gold</t>
  </si>
  <si>
    <t>Total water discharged</t>
  </si>
  <si>
    <t>Total waste generated</t>
  </si>
  <si>
    <t>Total waste rock mined</t>
  </si>
  <si>
    <t>Total mill tailings produced</t>
  </si>
  <si>
    <t>Total mined material</t>
  </si>
  <si>
    <t>Not available for 2023</t>
  </si>
  <si>
    <t>Total area of site</t>
  </si>
  <si>
    <t>Site area physically disturbed by mine-related activity</t>
  </si>
  <si>
    <t>Site area currently undisturbed</t>
  </si>
  <si>
    <t>Water withdrawal</t>
  </si>
  <si>
    <t>Water discharge</t>
  </si>
  <si>
    <t>Water consumption</t>
  </si>
  <si>
    <t>Black caving, longhole stoping</t>
  </si>
  <si>
    <t>Alkalic coppergold porphyry</t>
  </si>
  <si>
    <t>VMS, vein/narrow vein</t>
  </si>
  <si>
    <t>kg</t>
  </si>
  <si>
    <t>scope1+2</t>
  </si>
  <si>
    <t>Non-mineral waste generated</t>
  </si>
  <si>
    <t>Hazardous waste generated</t>
  </si>
  <si>
    <t>Waste generated</t>
  </si>
  <si>
    <t>Flocculant</t>
  </si>
  <si>
    <t>Lime</t>
  </si>
  <si>
    <t>Anti-scalant</t>
  </si>
  <si>
    <t>Polyfroth h57</t>
  </si>
  <si>
    <t>3/4'' balls</t>
  </si>
  <si>
    <t>2'' balls</t>
  </si>
  <si>
    <t>S60 SAG Balls</t>
  </si>
  <si>
    <t>Cyanide</t>
  </si>
  <si>
    <t>Caustic soda</t>
  </si>
  <si>
    <t>2.5'' balls</t>
  </si>
  <si>
    <t>5.5'' balls</t>
  </si>
  <si>
    <t>Waste rock generated</t>
  </si>
  <si>
    <t>Total land disturbed and not yet rehabilitated</t>
  </si>
  <si>
    <t>Mlbs</t>
  </si>
  <si>
    <t>New_gold_production.xlsx</t>
  </si>
  <si>
    <t>Waste mined</t>
  </si>
  <si>
    <t>Recovery rate</t>
  </si>
  <si>
    <t>Propane</t>
  </si>
  <si>
    <t>Natural gas</t>
  </si>
  <si>
    <t>kl</t>
  </si>
  <si>
    <t>GJ/t milled</t>
  </si>
  <si>
    <t>GJ/oz</t>
  </si>
  <si>
    <t>Electricity consumption|Grid electricity</t>
  </si>
  <si>
    <t>Diesel</t>
  </si>
  <si>
    <t>Gasoline</t>
  </si>
  <si>
    <t>Water withdrawal|Freshwater withdrawn</t>
  </si>
  <si>
    <t>Water intensity</t>
  </si>
  <si>
    <t>m3/t milled</t>
  </si>
  <si>
    <t>m3/oz produced</t>
  </si>
  <si>
    <t>tCO2eq/t milled</t>
  </si>
  <si>
    <t>tCO2eq/oz produced</t>
  </si>
  <si>
    <t>Tailings waste generated</t>
  </si>
  <si>
    <t>Non-hazardous waste generated</t>
  </si>
  <si>
    <t>2024-MDA-FINAL</t>
  </si>
  <si>
    <t>Ore milled</t>
  </si>
  <si>
    <t>Head grade</t>
  </si>
  <si>
    <t>Oz</t>
  </si>
  <si>
    <t>VOCs</t>
  </si>
  <si>
    <t>Total land footprint</t>
  </si>
  <si>
    <t>Grinding media</t>
  </si>
  <si>
    <t>Sodium cyanide (NaCN)</t>
  </si>
  <si>
    <t>Cement</t>
  </si>
  <si>
    <t>Lubricants</t>
  </si>
  <si>
    <t>Hydrochloric acid (HCL)</t>
  </si>
  <si>
    <r>
      <t>Sulfuric acid (H</t>
    </r>
    <r>
      <rPr>
        <vertAlign val="subscript"/>
        <sz val="11"/>
        <color rgb="FF000000"/>
        <rFont val="Calibri"/>
        <family val="2"/>
      </rPr>
      <t>2</t>
    </r>
    <r>
      <rPr>
        <sz val="11"/>
        <color rgb="FF000000"/>
        <rFont val="Calibri"/>
        <family val="2"/>
      </rPr>
      <t>SO</t>
    </r>
    <r>
      <rPr>
        <vertAlign val="subscript"/>
        <sz val="11"/>
        <color rgb="FF000000"/>
        <rFont val="Calibri"/>
        <family val="2"/>
      </rPr>
      <t>4</t>
    </r>
    <r>
      <rPr>
        <sz val="11"/>
        <color rgb="FF000000"/>
        <rFont val="Calibri"/>
        <family val="2"/>
      </rPr>
      <t>)</t>
    </r>
  </si>
  <si>
    <r>
      <t>Nitric acid (HNO</t>
    </r>
    <r>
      <rPr>
        <vertAlign val="subscript"/>
        <sz val="11"/>
        <color rgb="FF000000"/>
        <rFont val="Calibri"/>
        <family val="2"/>
      </rPr>
      <t>3</t>
    </r>
    <r>
      <rPr>
        <sz val="11"/>
        <color rgb="FF000000"/>
        <rFont val="Calibri"/>
        <family val="2"/>
      </rPr>
      <t>)</t>
    </r>
  </si>
  <si>
    <t>l</t>
  </si>
  <si>
    <t>Total tailings produced</t>
  </si>
  <si>
    <t>waste</t>
  </si>
  <si>
    <t>Total water withdrawn</t>
  </si>
  <si>
    <t>Total water consumed</t>
  </si>
  <si>
    <t>ML/thousand geo</t>
  </si>
  <si>
    <t>ML/t ore processed</t>
  </si>
  <si>
    <t>GRP-0a2c0d69</t>
  </si>
  <si>
    <t>GRP-0d911886</t>
  </si>
  <si>
    <t>GRP-147b3123</t>
  </si>
  <si>
    <t>CMP-cadb529a</t>
  </si>
  <si>
    <t>Total water withdrawal|Freshwater</t>
  </si>
  <si>
    <t>Contaminated waste</t>
  </si>
  <si>
    <t>Low-level radioactivate waste</t>
  </si>
  <si>
    <t>Non-hazardous waste</t>
  </si>
  <si>
    <t>Hazardous waste</t>
  </si>
  <si>
    <t>operational control</t>
  </si>
  <si>
    <t>Total energy consumed</t>
  </si>
  <si>
    <t>Ammonia</t>
  </si>
  <si>
    <t>Hydrogen fluoride</t>
  </si>
  <si>
    <t>Tires</t>
  </si>
  <si>
    <t>Company-level, with production and reserves per facility-group</t>
  </si>
  <si>
    <t>% Cu</t>
  </si>
  <si>
    <t>Cobalt</t>
  </si>
  <si>
    <t>% Zn</t>
  </si>
  <si>
    <t>Integrated Nickel Operations</t>
  </si>
  <si>
    <t>Platinum</t>
  </si>
  <si>
    <t>Palladium</t>
  </si>
  <si>
    <t>GLEN_2024_FY_ProductionReport</t>
  </si>
  <si>
    <t>Proved</t>
  </si>
  <si>
    <t>Ore</t>
  </si>
  <si>
    <t>MDA25</t>
  </si>
  <si>
    <t>Contained metal in concentrate</t>
  </si>
  <si>
    <t>Concentrate grade</t>
  </si>
  <si>
    <t>Strip ratio</t>
  </si>
  <si>
    <t>commodities_nrcan</t>
  </si>
  <si>
    <t>Snow Lake</t>
  </si>
  <si>
    <t>Direct energy consumption</t>
  </si>
  <si>
    <t>TJ</t>
  </si>
  <si>
    <t>Hudbay-2023-Integrated-Annual-Report-Performance-Data.xlsx</t>
  </si>
  <si>
    <t>ktCO2eq</t>
  </si>
  <si>
    <t>Particulate</t>
  </si>
  <si>
    <t>km3</t>
  </si>
  <si>
    <t xml:space="preserve">Total water discharge </t>
  </si>
  <si>
    <t>Waste rock</t>
  </si>
  <si>
    <t>Tailings</t>
  </si>
  <si>
    <t>Overburden</t>
  </si>
  <si>
    <t>Land use|mineral tenure</t>
  </si>
  <si>
    <t>Land use|surface rights</t>
  </si>
  <si>
    <t>Land use|disturbed land</t>
  </si>
  <si>
    <t>tCO2eq/t of ore processed</t>
  </si>
  <si>
    <t>tCO2eq/t of copper-equivalent production)</t>
  </si>
  <si>
    <t>TJ/Mt of ore processed</t>
  </si>
  <si>
    <t>TJ/kt of copper-equivalent production</t>
  </si>
  <si>
    <t>Volcanogenic Massive Sulphide (VMS) — Cu-Zn and Zn-Cu rich, and structurally controlled lode-gold vein-type for New Britannia and other gold zones</t>
  </si>
  <si>
    <t>Alkalic porphyry copper–gold deposit (silica saturated), typical of BC's Cordillera deposits​</t>
  </si>
  <si>
    <t>Open pit mining with blasting, loading, and hauling using shovels and 220-tonne haul trucks​</t>
  </si>
  <si>
    <t>Stall Mill: Crush, grind, flotation for Cu, Zn, Au
New Britannia: Grind, flotation, leaching (for Au), refining. Flotation tails optionally leached​</t>
  </si>
  <si>
    <t>Crush–grind–flotation: SAG mill + ball mill + pebble crusher; sulphide flotation producing Cu-Ag-Au concentrate</t>
  </si>
  <si>
    <t>https://burgundydiamonds.com/ekati-mine/</t>
  </si>
  <si>
    <t>Carats recovered</t>
  </si>
  <si>
    <t>Mwmt</t>
  </si>
  <si>
    <t>Mdmt</t>
  </si>
  <si>
    <t>Mcts</t>
  </si>
  <si>
    <t>Quarterly-Activities-Report-for-the-Period-ended-September-30th-2024</t>
  </si>
  <si>
    <t>Quarterly-Activities-Report-for-the-Period-ended-September-30th-2025</t>
  </si>
  <si>
    <t>Quarterly-Activities-Report-for-the-Period-ended-September-30th-2026</t>
  </si>
  <si>
    <t>Quarterly-Activities-Report-for-the-Period-ended-September-30th-2027</t>
  </si>
  <si>
    <t>c/t</t>
  </si>
  <si>
    <t>Mct</t>
  </si>
  <si>
    <t>LPG</t>
  </si>
  <si>
    <t>MWh/t of ore processed</t>
  </si>
  <si>
    <t>GJ/t of ore processed</t>
  </si>
  <si>
    <t>GJ/oz of gold produced</t>
  </si>
  <si>
    <t>kL</t>
  </si>
  <si>
    <t>Material mined</t>
  </si>
  <si>
    <t>Total non-hazardous waste generated</t>
  </si>
  <si>
    <t>Total hazardous waste generated</t>
  </si>
  <si>
    <t>Total waste mined</t>
  </si>
  <si>
    <t>Total non-mineral waste generated</t>
  </si>
  <si>
    <t>Land disturbed</t>
  </si>
  <si>
    <t>Land rehabilitated</t>
  </si>
  <si>
    <t>https://evolutionmining.com.au/reservesresources/</t>
  </si>
  <si>
    <t>EVN_FY24-ESG-Performance-Data_web.xlsx</t>
  </si>
  <si>
    <t>Barrick_2023_Performance-Data</t>
  </si>
  <si>
    <t>Barrick_2023_Performance-Data.xlsx</t>
  </si>
  <si>
    <t>Waste rock mined</t>
  </si>
  <si>
    <t>Total water withdrawal|High quality</t>
  </si>
  <si>
    <t>Total water discharge|High quality</t>
  </si>
  <si>
    <t>Withdrawal intensity</t>
  </si>
  <si>
    <t>Consumption intensity</t>
  </si>
  <si>
    <t>m3/t of ore processed</t>
  </si>
  <si>
    <t>tCO2eq/oz gold</t>
  </si>
  <si>
    <t>scope1+2?</t>
  </si>
  <si>
    <t>Electricity consumption|Non-renewable electricity use</t>
  </si>
  <si>
    <t>Moz</t>
  </si>
  <si>
    <t>Area of land yet to be restored or rehabilitated</t>
  </si>
  <si>
    <t>tailings from processing ore</t>
  </si>
  <si>
    <t>waste rock</t>
  </si>
  <si>
    <t>Coal</t>
  </si>
  <si>
    <t>Coke &amp; Petroleum coke</t>
  </si>
  <si>
    <t>Other</t>
  </si>
  <si>
    <t>Teck-Sustainability-Databook</t>
  </si>
  <si>
    <t>Teck-Sustainability-Databook.xlsx</t>
  </si>
  <si>
    <t>CMP-06e20c6e</t>
  </si>
  <si>
    <t>mining and manufacturing</t>
  </si>
  <si>
    <t>Cameco_2023_Sustainability_Report_Performance_Table_0.xlsx</t>
  </si>
  <si>
    <t>CMP-12afc634</t>
  </si>
  <si>
    <t>GRP-a13779f8</t>
  </si>
  <si>
    <t>Agnico-Eagle-2023-Sustainability-Performance-Data_25042028</t>
  </si>
  <si>
    <t>Agnico-Eagle-2023-Sustainability-Performance-Data_25042029</t>
  </si>
  <si>
    <t>Agnico-Eagle-2023-Sustainability-Performance-Data_25042049</t>
  </si>
  <si>
    <t>Agnico-Eagle-2023-Sustainability-Performance-Data_25042050</t>
  </si>
  <si>
    <t>Agnico-Eagle-2023-Sustainability-Performance-Data_25042070</t>
  </si>
  <si>
    <t>Agnico-Eagle-2023-Sustainability-Performance-Data_25042071</t>
  </si>
  <si>
    <t>Agnico-Eagle-2023-Sustainability-Performance-Data_25042091</t>
  </si>
  <si>
    <t>Agnico-Eagle-2023-Sustainability-Performance-Data_25042092</t>
  </si>
  <si>
    <t>Agnico-Eagle-2023-Sustainability-Performance-Data_25042112</t>
  </si>
  <si>
    <t>Agnico-Eagle-2023-Sustainability-Performance-Data_25042113</t>
  </si>
  <si>
    <t>Agnico-Eagle-2023-Sustainability-Performance-Data_25042133</t>
  </si>
  <si>
    <t>Agnico-Eagle-2023-Sustainability-Performance-Data_25042134</t>
  </si>
  <si>
    <t>Agnico-Eagle-2023-Sustainability-Performance-Data_25042154</t>
  </si>
  <si>
    <t>Agnico-Eagle-2023-Sustainability-Performance-Data_25042155</t>
  </si>
  <si>
    <t>2023-New-Gold-ESG-Data-Factbook.xlsx</t>
  </si>
  <si>
    <t>Newmont-2023-Performance-Data-Tables-V4-locked.xlsx</t>
  </si>
  <si>
    <t>PAS-2023-Sustainability-Performance-Data-Book.xlsx</t>
  </si>
  <si>
    <t>2023-ESG-Data-Tables.xlsx</t>
  </si>
  <si>
    <t>2024_Annual_report</t>
  </si>
  <si>
    <t>Molybdenum</t>
  </si>
  <si>
    <t>TR_Abcourt_Geant_Dormant_2023</t>
  </si>
  <si>
    <t>ttpa</t>
  </si>
  <si>
    <t>Proven+Probable</t>
  </si>
  <si>
    <t>Inferred+Indicated+Measured</t>
  </si>
  <si>
    <t>scope1?</t>
  </si>
  <si>
    <t>AR_2023.pdf</t>
  </si>
  <si>
    <t>Total footprint</t>
  </si>
  <si>
    <t>Other metals</t>
  </si>
  <si>
    <t>dmt</t>
  </si>
  <si>
    <t>klbs</t>
  </si>
  <si>
    <t>Data.xlsx</t>
  </si>
  <si>
    <t>Mm3</t>
  </si>
  <si>
    <t>Total waste rock</t>
  </si>
  <si>
    <t>Diesel|Mobile equipment</t>
  </si>
  <si>
    <t>Diesel|Stationary equipment</t>
  </si>
  <si>
    <t>LPG|Mobile equipment</t>
  </si>
  <si>
    <t>LPG|Stationary equipment</t>
  </si>
  <si>
    <t>ESG_2023.pdf</t>
  </si>
  <si>
    <t>tCO2eq/t ore milled</t>
  </si>
  <si>
    <t>tCO2eq/oz Au produced</t>
  </si>
  <si>
    <t>Mineral waste|Non-acid generating waste rock</t>
  </si>
  <si>
    <t>Non-mineral waste|Non-hazardous</t>
  </si>
  <si>
    <t>Non-mineral waste|Hazardous</t>
  </si>
  <si>
    <t>Total water discharges</t>
  </si>
  <si>
    <t>Q4.24-GMTN-Deck-2</t>
  </si>
  <si>
    <t>Q4.24-GMTN-Deck-3</t>
  </si>
  <si>
    <t>Q4.24-GMTN-Deck-4</t>
  </si>
  <si>
    <t>CMP-7e360a1f</t>
  </si>
  <si>
    <t>tCO2eq (biogenic)</t>
  </si>
  <si>
    <t>gallons</t>
  </si>
  <si>
    <t>Total water used</t>
  </si>
  <si>
    <t>Total freshwater withdrawal</t>
  </si>
  <si>
    <t>Waste rock produced</t>
  </si>
  <si>
    <t>Non-mineral waste produced</t>
  </si>
  <si>
    <t>Gasoline|Mobile equipment</t>
  </si>
  <si>
    <t>pounds</t>
  </si>
  <si>
    <t>SR_2023.pdf</t>
  </si>
  <si>
    <t>oz/t</t>
  </si>
  <si>
    <t>RR-tables-12-31-2024</t>
  </si>
  <si>
    <t>ANFO</t>
  </si>
  <si>
    <t>Emulsion ANFO</t>
  </si>
  <si>
    <t>2023_iamgold-esg-performance-data-final_protected</t>
  </si>
  <si>
    <t>Discharge</t>
  </si>
  <si>
    <t>Consumed</t>
  </si>
  <si>
    <t>Withdrawal|Freshwater</t>
  </si>
  <si>
    <t>Explosives</t>
  </si>
  <si>
    <t>Sulfur dioxide</t>
  </si>
  <si>
    <t>Hydraulic oil</t>
  </si>
  <si>
    <t>Transmission oil</t>
  </si>
  <si>
    <t>Carbon</t>
  </si>
  <si>
    <t>Grease</t>
  </si>
  <si>
    <t>Motor/drill oil</t>
  </si>
  <si>
    <t>Compressor oil</t>
  </si>
  <si>
    <t>Mineral waste|Waste rock</t>
  </si>
  <si>
    <t>Mineral waste|Tailings</t>
  </si>
  <si>
    <t>Non-mineral waste|Overburden</t>
  </si>
  <si>
    <t>operational_data</t>
  </si>
  <si>
    <t>Electricity consumption|Not specified</t>
  </si>
  <si>
    <t>Petrol</t>
  </si>
  <si>
    <t>GWh</t>
  </si>
  <si>
    <t>ESG_2024.pdf</t>
  </si>
  <si>
    <t>6E</t>
  </si>
  <si>
    <t>Total discharged</t>
  </si>
  <si>
    <t>mining right</t>
  </si>
  <si>
    <t>FY2024</t>
  </si>
  <si>
    <t>MRMR-2024.pdf</t>
  </si>
  <si>
    <t>2024-Q4-MDA</t>
  </si>
  <si>
    <t>Reserves-Resources_June-2023</t>
  </si>
  <si>
    <t>MWh</t>
  </si>
  <si>
    <t>CMP-9abface1</t>
  </si>
  <si>
    <t xml:space="preserve">Royal Canadian Mint </t>
  </si>
  <si>
    <t>Bullion</t>
  </si>
  <si>
    <t>Numismatic</t>
  </si>
  <si>
    <t>2024_IR</t>
  </si>
  <si>
    <t>Steel recycled</t>
  </si>
  <si>
    <t>GRP-14bfbb82</t>
  </si>
  <si>
    <t>Seabee Gold Operation</t>
  </si>
  <si>
    <t>Tailings deposited</t>
  </si>
  <si>
    <t>Waste rock backfilled</t>
  </si>
  <si>
    <t>Mill feed grade</t>
  </si>
  <si>
    <t>Reserves-and-Resources_2024</t>
  </si>
  <si>
    <t>CMP-140e111b</t>
  </si>
  <si>
    <t>2023-Sustainability-Data-Book.xlsx</t>
  </si>
  <si>
    <t>tCO2eq/t of production</t>
  </si>
  <si>
    <t>Refining</t>
  </si>
  <si>
    <t>Smelting</t>
  </si>
  <si>
    <t>Operational control</t>
  </si>
  <si>
    <t>MtCO2eq</t>
  </si>
  <si>
    <t>Oil</t>
  </si>
  <si>
    <t>Other renewables</t>
  </si>
  <si>
    <t>Distillates</t>
  </si>
  <si>
    <t>tGJ</t>
  </si>
  <si>
    <t>tMW</t>
  </si>
  <si>
    <t>GJ/t aluminum produced</t>
  </si>
  <si>
    <t>Land utilization requirements for bauxite residue</t>
  </si>
  <si>
    <t>Area disturbed|North America</t>
  </si>
  <si>
    <t>Area disturbed|Total</t>
  </si>
  <si>
    <t>Open area|Total</t>
  </si>
  <si>
    <t>Open area|North America</t>
  </si>
  <si>
    <t>kg/t of alumina produced</t>
  </si>
  <si>
    <t>kg/kt of alumina produced</t>
  </si>
  <si>
    <t>m2 land/kt alumina produced</t>
  </si>
  <si>
    <t>Landfilled waste</t>
  </si>
  <si>
    <t>Overburden and rock</t>
  </si>
  <si>
    <t>Topsoil</t>
  </si>
  <si>
    <t>Water use intensity</t>
  </si>
  <si>
    <t>m3/t alumina produced</t>
  </si>
  <si>
    <t>Freshwater use intensity</t>
  </si>
  <si>
    <t>m3/t primary aluminum</t>
  </si>
  <si>
    <t>Bauxite residue</t>
  </si>
  <si>
    <t>Bauxite residue intensity</t>
  </si>
  <si>
    <t>t/t alumina</t>
  </si>
  <si>
    <t>4Q23-Alcoa-Financial-Results</t>
  </si>
  <si>
    <t>kmt</t>
  </si>
  <si>
    <t>CMP-0f9c0b53</t>
  </si>
  <si>
    <t>Data is provided on a fiscal year basis with the exception of GHG emissions and air quality data which are provided for the calendar year.</t>
  </si>
  <si>
    <t>scope1 intensity</t>
  </si>
  <si>
    <t>scope1+2 intensity</t>
  </si>
  <si>
    <t>tCO2eq/t steel</t>
  </si>
  <si>
    <t>Freshwater withdrawn</t>
  </si>
  <si>
    <t>scope1|Diesel</t>
  </si>
  <si>
    <t>scope1|Other sources</t>
  </si>
  <si>
    <t>scope3|Diesel production</t>
  </si>
  <si>
    <t>scope3|Raw materials</t>
  </si>
  <si>
    <t>Electricity generation</t>
  </si>
  <si>
    <t>Combustion using stationary equipment</t>
  </si>
  <si>
    <t>Combustion using mobile equipment</t>
  </si>
  <si>
    <t>Explosives and burning of residual materials</t>
  </si>
  <si>
    <t>Refrigerant gas</t>
  </si>
  <si>
    <t>GHG intensity</t>
  </si>
  <si>
    <t>kWt/ore milled</t>
  </si>
  <si>
    <t>Rapport_Objectif_Emissions_GES_2023_EN</t>
  </si>
  <si>
    <t>m3/t ore</t>
  </si>
  <si>
    <t>https://www.mining-technology.com/marketdata/five-largest-nickel-mines-canada/?cf-view</t>
  </si>
  <si>
    <t>Light Fuel &amp; Gasoline</t>
  </si>
  <si>
    <t>Lubricating Oils &amp; Greases</t>
  </si>
  <si>
    <t>CMP-c08ac7d7</t>
  </si>
  <si>
    <t>scope2 intensity</t>
  </si>
  <si>
    <t>tCO2eq/t iron concentrate produced</t>
  </si>
  <si>
    <t>Light Oil Fuel</t>
  </si>
  <si>
    <t>MJ/t iron concentrate produced</t>
  </si>
  <si>
    <t>kg/t iron concentrate produced</t>
  </si>
  <si>
    <t>Sterile rock excavated</t>
  </si>
  <si>
    <t>Total area used and not restored</t>
  </si>
  <si>
    <t>Ore mined and hauled</t>
  </si>
  <si>
    <t>cil-23sr-esg-databookvf.xlsx</t>
  </si>
  <si>
    <t>General waste</t>
  </si>
  <si>
    <t>Total</t>
  </si>
  <si>
    <t>CMP-d899f7d7</t>
  </si>
  <si>
    <t>Fossil fuels</t>
  </si>
  <si>
    <t>mGJ</t>
  </si>
  <si>
    <t>Energy from renewable electricity purchased</t>
  </si>
  <si>
    <t>kct</t>
  </si>
  <si>
    <t>company_id</t>
  </si>
  <si>
    <t>facility_group_name</t>
  </si>
  <si>
    <t>facility_group_id</t>
  </si>
  <si>
    <t>CMP-0a6a3062</t>
  </si>
  <si>
    <t>https://abcourt.info/projects/the-sleeping-giant-mine/</t>
  </si>
  <si>
    <t>https://miningdataonline.com/property/1589/Sleeping-Giant-Mine.aspx</t>
  </si>
  <si>
    <t>CMP-6265c407</t>
  </si>
  <si>
    <t>Meadowbank complex</t>
  </si>
  <si>
    <t>Very good reporting with data for 2023.</t>
  </si>
  <si>
    <t>CMP-3a4ccc7f</t>
  </si>
  <si>
    <t>https://fr-ca.alcoa.com/canada/fr/factories</t>
  </si>
  <si>
    <t>Aggregated at company level with some environmental data given in intensity metrics.</t>
  </si>
  <si>
    <t>CMP-dc21de8a</t>
  </si>
  <si>
    <t>https://www.riotinto.com/en/operations/canada/saguenay
https://www.alcoa.com/canada/fr/factories</t>
  </si>
  <si>
    <t>Aggregated at company level with some environmental data given in intensity metrics. Mixed ownership.</t>
  </si>
  <si>
    <t>https://www.gem.wiki/Algoma_steel_plant#cite_note-autoref_12-21</t>
  </si>
  <si>
    <t>Aggregated at company level with some environmental data given in intensity metrics. GEM provides capacity and production data.</t>
  </si>
  <si>
    <t>CMP-c6e8351c</t>
  </si>
  <si>
    <t>No data found.</t>
  </si>
  <si>
    <t>CMP-9dd4e461</t>
  </si>
  <si>
    <t>CMP-3775c12e</t>
  </si>
  <si>
    <t>CMP-a6812c47</t>
  </si>
  <si>
    <t>CMP-c48042ef</t>
  </si>
  <si>
    <t>Some data in the IR of parent company. But seems impossible to downscale to Canada.</t>
  </si>
  <si>
    <t>CMP-9d03c9d4</t>
  </si>
  <si>
    <t>CMP-84fc7d46</t>
  </si>
  <si>
    <t>Production and reserves data from Global Energy Monitor. GHG, air pollution and land footprint from the AR.</t>
  </si>
  <si>
    <t>CMP-79bcdb91</t>
  </si>
  <si>
    <t>https://www.refra.com/en/Calgary/</t>
  </si>
  <si>
    <t>CMP-caa580a0</t>
  </si>
  <si>
    <t xml:space="preserve">
https://burgundydiamonds.com/ekati-mine/</t>
  </si>
  <si>
    <t>No environmental data available to extract. Production data is extracted for 2023. Reserves is split between the different mines of the facilities, making it difficult to get an average for the site.</t>
  </si>
  <si>
    <t>Environmental reporting at company level only</t>
  </si>
  <si>
    <t>GRP-21eee27d</t>
  </si>
  <si>
    <t>CMP-d87d1101</t>
  </si>
  <si>
    <t>GHG data, energy could be calculated based on it. Water intensity. Production data from Mining Technology, not detailed.</t>
  </si>
  <si>
    <t>CMP-fa032e20</t>
  </si>
  <si>
    <t>https://miningdataonline.com/property/59/Mount-Milligan-Mine.aspx</t>
  </si>
  <si>
    <t>Very good reporting. Energy given in tCO2eq only. No land use.</t>
  </si>
  <si>
    <t>https://www.championiron.com/project/bloom-lake/</t>
  </si>
  <si>
    <t>https://miningdataonline.com/property/3027/Bloom-Lake-Mine.aspx</t>
  </si>
  <si>
    <t>Aggregated at company-level with multiple indicators given in intensity-level (but company could == site). Reserves and resources are site-specific.</t>
  </si>
  <si>
    <t>No data found. Could be suspended.</t>
  </si>
  <si>
    <t>CMP-4b2ebf8a</t>
  </si>
  <si>
    <t>CMP-b57b14b5</t>
  </si>
  <si>
    <t>CMP-3a004643</t>
  </si>
  <si>
    <t>CMP-ad57c7dd</t>
  </si>
  <si>
    <t>CMP-94ee10f6</t>
  </si>
  <si>
    <t>CMP-0c229302</t>
  </si>
  <si>
    <t>CMP-a5ce7f9f</t>
  </si>
  <si>
    <t>CMP-fe387d85</t>
  </si>
  <si>
    <t>CMP-0f2021e7</t>
  </si>
  <si>
    <t>CMP-64d60fd7</t>
  </si>
  <si>
    <t>Very good reporting.</t>
  </si>
  <si>
    <t>CMP-4eadf926</t>
  </si>
  <si>
    <t>CMP-89ae3b2b</t>
  </si>
  <si>
    <t>CMP-6f1454e8</t>
  </si>
  <si>
    <t>CMP-ca642bce</t>
  </si>
  <si>
    <t>Very good reporting. Reporting year is 2024 for site-level information, except for reserves (2023). Aggregation at company level for land-use.</t>
  </si>
  <si>
    <t>CMP-28720916</t>
  </si>
  <si>
    <t>CMP-ef8ffade</t>
  </si>
  <si>
    <t>CMP-24a4f1d5</t>
  </si>
  <si>
    <t>Only resources data available.</t>
  </si>
  <si>
    <t>CMP-60ac0fea</t>
  </si>
  <si>
    <t>CMP-45e36495</t>
  </si>
  <si>
    <t>CMP-356a17d2</t>
  </si>
  <si>
    <t>CMP-56a7f77c</t>
  </si>
  <si>
    <t>CMP-7f274331</t>
  </si>
  <si>
    <t>CMP-2564a9f4</t>
  </si>
  <si>
    <t>CMP-7d4b0f2b</t>
  </si>
  <si>
    <t>CMP-a0c2f54b</t>
  </si>
  <si>
    <t>CMP-24e65547</t>
  </si>
  <si>
    <t>CMP-d089c70a</t>
  </si>
  <si>
    <t>CMP-628591a8</t>
  </si>
  <si>
    <t>CMP-567240f9</t>
  </si>
  <si>
    <t>CMP-a70130b4</t>
  </si>
  <si>
    <t>CMP-d5f1c66b</t>
  </si>
  <si>
    <t>Sudbury INO</t>
  </si>
  <si>
    <t>GRP-1437e854</t>
  </si>
  <si>
    <t>https://www.glencore.ca/en/generalsmelting/</t>
  </si>
  <si>
    <t>https://www.glencore.ca/en/horne/</t>
  </si>
  <si>
    <t>CMP-d726df1c</t>
  </si>
  <si>
    <t>CMP-fd6034ba</t>
  </si>
  <si>
    <t>CMP-cbd5b493</t>
  </si>
  <si>
    <t>CMP-0b224204</t>
  </si>
  <si>
    <t>CMP-5663037d</t>
  </si>
  <si>
    <t>CMP-11a5a1f5</t>
  </si>
  <si>
    <t>Only GHG and energy data given at site-level. Water, waste aggregagted at company level. Production at site-level is available. Tailings available</t>
  </si>
  <si>
    <t>CMP-a27e87a3</t>
  </si>
  <si>
    <t>Good reporting with data for 2023. Site-specific data includes energy, GHG and land-use (for Snow Lake only). Rest is aggregated at the company-level</t>
  </si>
  <si>
    <t>CMP-3d0a95b7</t>
  </si>
  <si>
    <t>CMP-967076a1</t>
  </si>
  <si>
    <t>Good reporting. Environmental data available include water, energy, ghg, land.</t>
  </si>
  <si>
    <t>CMP-0dfcd91e</t>
  </si>
  <si>
    <t>CMP-da2ad075</t>
  </si>
  <si>
    <t>CMP-2da4630a</t>
  </si>
  <si>
    <t>CMP-5f083f16</t>
  </si>
  <si>
    <t>https://magnamining.com/about/mccreedy-west-project/</t>
  </si>
  <si>
    <t>Only production data in 2023 (probably ore mined only). Sold to Magna Mining Inc, might affect data quality</t>
  </si>
  <si>
    <t>CMP-7079599b</t>
  </si>
  <si>
    <t>CMP-4fab35da</t>
  </si>
  <si>
    <t>CMP-12b1bf06</t>
  </si>
  <si>
    <t>CMP-935cdfdd</t>
  </si>
  <si>
    <t>CMP-e42fb633</t>
  </si>
  <si>
    <t>CMP-8e2791be</t>
  </si>
  <si>
    <t>CMP-ebdf8960</t>
  </si>
  <si>
    <t>CMP-cb42d3f9</t>
  </si>
  <si>
    <t>CMP-091fd609</t>
  </si>
  <si>
    <t>CMP-4a68042f</t>
  </si>
  <si>
    <t>CMP-9abb4c27</t>
  </si>
  <si>
    <t>CMP-f0009ac4</t>
  </si>
  <si>
    <t>CMP-8ee9b6db</t>
  </si>
  <si>
    <t>CMP-858cc590</t>
  </si>
  <si>
    <t>CMP-78394a5d</t>
  </si>
  <si>
    <t>CMP-e585d982</t>
  </si>
  <si>
    <t>CMP-3ff42329</t>
  </si>
  <si>
    <t>CMP-67e6bdcf</t>
  </si>
  <si>
    <t>CMP-e58d58d3</t>
  </si>
  <si>
    <t>CMP-e0e7077f</t>
  </si>
  <si>
    <t>CMP-c2d632d1</t>
  </si>
  <si>
    <t>CMP-e4cba588</t>
  </si>
  <si>
    <t>CMP-d877abda</t>
  </si>
  <si>
    <t>CMP-d94be190</t>
  </si>
  <si>
    <t>CMP-4a434d72</t>
  </si>
  <si>
    <t>https://miningdataonline.com/property/1439/Hoyle-Pond-Mine.aspx</t>
  </si>
  <si>
    <t>CMP-2c3cd7d6</t>
  </si>
  <si>
    <t>CMP-15e242d8</t>
  </si>
  <si>
    <t>CMP-1a36814f</t>
  </si>
  <si>
    <t>CMP-c2bf67a4</t>
  </si>
  <si>
    <t>CMP-79d7f4a0</t>
  </si>
  <si>
    <t>CMP-78a44c40</t>
  </si>
  <si>
    <t>CMP-8fc61de5</t>
  </si>
  <si>
    <t>CMP-ef31182b</t>
  </si>
  <si>
    <t>CMP-cc31efb5</t>
  </si>
  <si>
    <t>CMP-b3eef94f</t>
  </si>
  <si>
    <t>CMP-43299e17</t>
  </si>
  <si>
    <t>CMP-af17f2a6</t>
  </si>
  <si>
    <t>CMP-a68d12ce</t>
  </si>
  <si>
    <t>CMP-48a36546</t>
  </si>
  <si>
    <t>CMP-7a096012</t>
  </si>
  <si>
    <t>Saguenay–Lac-Saint-Jean Operations</t>
  </si>
  <si>
    <t>GRP-677b5973</t>
  </si>
  <si>
    <t>RTFT Operations Quebec</t>
  </si>
  <si>
    <t>GRP-25483238</t>
  </si>
  <si>
    <t>CMP-508b999b</t>
  </si>
  <si>
    <t>CMP-17eefa32</t>
  </si>
  <si>
    <t>CMP-4cd77318</t>
  </si>
  <si>
    <t>Aggregated at company level. Production, water, waste and ghg available.</t>
  </si>
  <si>
    <t>CMP-f57e5174</t>
  </si>
  <si>
    <t>CMP-f2392338</t>
  </si>
  <si>
    <t>CMP-9f967ad1</t>
  </si>
  <si>
    <t>CMP-ece75057</t>
  </si>
  <si>
    <t>CMP-be83d39d</t>
  </si>
  <si>
    <t>CMP-2ef1f553</t>
  </si>
  <si>
    <t>CMP-79f8bb59</t>
  </si>
  <si>
    <t>CMP-70e504c2</t>
  </si>
  <si>
    <t>CMP-aaf7bd8a</t>
  </si>
  <si>
    <t>CMP-ebcf59de</t>
  </si>
  <si>
    <t>CMP-b15b2ada</t>
  </si>
  <si>
    <t>CMP-4a73c5f8</t>
  </si>
  <si>
    <t>Very good reporting, facility-level. Land data missing</t>
  </si>
  <si>
    <t>CMP-0356d5ce</t>
  </si>
  <si>
    <t>CMP-75ff8886</t>
  </si>
  <si>
    <t>No data available.</t>
  </si>
  <si>
    <t>CMP-4566abf1</t>
  </si>
  <si>
    <t>In care and maintenance. No data available.</t>
  </si>
  <si>
    <t>CMP-408ea322</t>
  </si>
  <si>
    <t>CMP-0bd683f7</t>
  </si>
  <si>
    <t>CMP-ec368e4c</t>
  </si>
  <si>
    <t>CMP-d871d3db</t>
  </si>
  <si>
    <t>CMP-8a99044e</t>
  </si>
  <si>
    <t>CMP-b4041a5e</t>
  </si>
  <si>
    <t>CMP-e35f138c</t>
  </si>
  <si>
    <t>CMP-31bb0d19</t>
  </si>
  <si>
    <t>CMP-9f678e49</t>
  </si>
  <si>
    <t>CMP-05423572</t>
  </si>
  <si>
    <t>CMP-d4dec651</t>
  </si>
  <si>
    <t>CMP-1fbde0ec</t>
  </si>
  <si>
    <t>CMP-cb00fbae</t>
  </si>
  <si>
    <t>CMP-172beb3d</t>
  </si>
  <si>
    <t>CMP-a72e0313</t>
  </si>
  <si>
    <t>CMP-9617aef4</t>
  </si>
  <si>
    <t>Sudbury Operation</t>
  </si>
  <si>
    <t>GRP-dc07540b</t>
  </si>
  <si>
    <t>Mostly aggregated reporting at company level. Production data (finished production) given by site for the main metals. Total impacted area given by site</t>
  </si>
  <si>
    <t>CMP-9655934a</t>
  </si>
  <si>
    <t>CMP-661b40f2</t>
  </si>
  <si>
    <t>CMP-d62baf11</t>
  </si>
  <si>
    <t>CMP-15da9130</t>
  </si>
  <si>
    <t>CMP-b0a8e549</t>
  </si>
  <si>
    <t>CMP-4675cb8e</t>
  </si>
  <si>
    <t>CMP-888a49ae</t>
  </si>
  <si>
    <t>CMP-3d2c4955</t>
  </si>
  <si>
    <t>Very good reporting for 2023.</t>
  </si>
  <si>
    <t>CMP-1023f9c0</t>
  </si>
  <si>
    <t>CMP-2dac9896</t>
  </si>
  <si>
    <t>CMP-65b36728</t>
  </si>
  <si>
    <t>CMP-3416049b</t>
  </si>
  <si>
    <t>recent_transaction</t>
  </si>
  <si>
    <t>owner(s)</t>
  </si>
  <si>
    <t>operator(s)</t>
  </si>
  <si>
    <t>Abcourt Mines Inc (100%)</t>
  </si>
  <si>
    <t>Agnico Eagle Mines Limited (100%)</t>
  </si>
  <si>
    <t>Canadian Malartic Corporation</t>
  </si>
  <si>
    <t>Sold: https://nsuperior.com/northern-superior-announces-ongolds-completion-of-monument-bay-and-domain-projects-acquisition-in-manitoba/</t>
  </si>
  <si>
    <t>Alamos Gold Inc (100%)</t>
  </si>
  <si>
    <t>Alcoa Corporation (100%)</t>
  </si>
  <si>
    <t>Alcoa Corporation (74.95%), Rio Tinto (25.05%)</t>
  </si>
  <si>
    <t>Algoma Steel (100%)?</t>
  </si>
  <si>
    <t>Algoma Steel?</t>
  </si>
  <si>
    <t>Argonaut Gold Inc was acquired by Alamos Gold Inc in 2024: https://alamosgold.com/</t>
  </si>
  <si>
    <t>Alamos Gold Inc?</t>
  </si>
  <si>
    <t>ARE Holdings Inc (100%)</t>
  </si>
  <si>
    <t>Asahi Refining Canada Ltd?</t>
  </si>
  <si>
    <t>Arcelor Mittal (25.23%), The Energy &amp; Materials Group (74.77%)</t>
  </si>
  <si>
    <t>Refratechnik (100%)</t>
  </si>
  <si>
    <t>Baymag Inc?</t>
  </si>
  <si>
    <t>Burgundy Diamond Mines (100%)</t>
  </si>
  <si>
    <t>Cameco (100%)</t>
  </si>
  <si>
    <t>Cameco</t>
  </si>
  <si>
    <t>Cameco (83.33%), Orano (16.67%)</t>
  </si>
  <si>
    <t>Cameco (69.805%)</t>
  </si>
  <si>
    <t>Jin Horoc Nonferrous Metal Group (100%)</t>
  </si>
  <si>
    <t>Centerra Gold Inc (100%)</t>
  </si>
  <si>
    <t>Thompson Creek Metals Company Inc</t>
  </si>
  <si>
    <t>Champion Iron Ltd (100%)</t>
  </si>
  <si>
    <t>Quebec Iron Ore Inc</t>
  </si>
  <si>
    <t>De Beers Group (51%), Mountain Province Diamonds (49%)</t>
  </si>
  <si>
    <t>De Beers Group</t>
  </si>
  <si>
    <t>Eldorado Gold (100%)</t>
  </si>
  <si>
    <t>Eldora Gold (100%)</t>
  </si>
  <si>
    <t>FireFly Metals Ltd (100%)</t>
  </si>
  <si>
    <t>Hecla Mining Company (100%)</t>
  </si>
  <si>
    <t>IAMGOLD Corporation (100%)</t>
  </si>
  <si>
    <t>Implats (100%)</t>
  </si>
  <si>
    <t>Imperial Metals Corporation (100%)</t>
  </si>
  <si>
    <t>Mount Polley Mining Corp</t>
  </si>
  <si>
    <t>Acquired by Magna Mining in 2024: https://magnamining.com/acquisition-includes-a-portfolio-of-critical-mineral-exploration-and-development-assets-in-the-sudbury-basin-mining-district/</t>
  </si>
  <si>
    <t>Magna Mining Inc (100%)</t>
  </si>
  <si>
    <t>Suspended/Inactive since 2023</t>
  </si>
  <si>
    <t>Faillite, transfer to First Nation: https://www.miningnewsnorth.com/story/2024/09/20/northern-neighbors/first-nation-approved-to-acquire-minto-mine/8718.html and https://www.newswire.ca/news-releases/minto-metals-announces-suspension-of-operations-862485049.html and https://www.pwc.com/ca/en/services/insolvency-assignments/minto.html</t>
  </si>
  <si>
    <t>New Gold Inc (100%)</t>
  </si>
  <si>
    <t>Newmount Corporation (100%)</t>
  </si>
  <si>
    <t>Newmount Corporation (70%), Imperial Metals Corp (30%)</t>
  </si>
  <si>
    <t>https://www.newmont.com/investors/news-release/news-details/2018/Newmont-Acquires-50-Percent-Stake-in-Galore-Creek-Project-in-British-Columbia/default.aspx and https://www.gcmc.ca/</t>
  </si>
  <si>
    <t>Newmount Corporation (50%)</t>
  </si>
  <si>
    <t>Lake Shore Gold (Pan American Silver Corp's subsidiary)</t>
  </si>
  <si>
    <t>Pan American Silver Corp (100%)</t>
  </si>
  <si>
    <t>Vault Minerals Ltd (100%)</t>
  </si>
  <si>
    <t>Sold to another company: https://www.northernontariobusiness.com/industry-news/mining/new-australian-owners-of-white-river-mine-aim-for-june-takeover-8701357</t>
  </si>
  <si>
    <t>St Barbara Limited (100%)</t>
  </si>
  <si>
    <t>Stornoway Diamonds Corporation (100%)</t>
  </si>
  <si>
    <t>Teck Resources Limited (100%)</t>
  </si>
  <si>
    <t>Proposed closure plan in 2024: https://ero.ontario.ca/notice/019-9163</t>
  </si>
  <si>
    <t>Temporary suspension: https://yukon.ca/en/news/government-yukon-provides-update-october-11-eagle-gold-mine and https://vgcx.com/</t>
  </si>
  <si>
    <t>Wesdome Gold Mines Ltd (100%)</t>
  </si>
  <si>
    <t>Environmental data aggregated at company level. Production data in kct for Canada and the world.</t>
  </si>
  <si>
    <t>Glencore (100%)</t>
  </si>
  <si>
    <t>aggregation_level</t>
  </si>
  <si>
    <t>Environmental reporting at company-level with only GHG and water included</t>
  </si>
  <si>
    <t>GLENCORE+Resources+and+Reserves+report+2024.pdf</t>
  </si>
  <si>
    <t>Rio Tinto (100%)</t>
  </si>
  <si>
    <t>rt-fact-book-addendum.xlsx</t>
  </si>
  <si>
    <t>Rio Tinto (58.7%), Mitsubishi Corporation (26.2%) and Labrador Iron Ore Royalty Corporation (15.1%)</t>
  </si>
  <si>
    <t>Rio Tinto (100%) through Diavik Diamond Mines Inc subsidiary</t>
  </si>
  <si>
    <t xml:space="preserve">Rio Tinto (40%), AMAG Austria Metall AG (Austria, 20%), Hydro Aluminium (Norway, 20%), Investissement Québec (Canada, 6.67%), Marubeni Metals &amp; Minerals (Japan, 13.33%) </t>
  </si>
  <si>
    <t>Smelter grade alumina</t>
  </si>
  <si>
    <t>Smelter production</t>
  </si>
  <si>
    <t>Iron Ore Company of Canada</t>
  </si>
  <si>
    <t>Titanium dioxide slag</t>
  </si>
  <si>
    <t>Production, reserves/resources, tailings and archetype information given by site. GHG given by product group. Scope 1+2 given by country. Water performance given by product group-region. Other environmental impacts given at the company-level.</t>
  </si>
  <si>
    <t>2024-4qor-xlsx.xlsx</t>
  </si>
  <si>
    <t>Diamond recovered</t>
  </si>
  <si>
    <t>https://www.gem.wiki/Evraz_Regina_Steel_plant</t>
  </si>
  <si>
    <t>The recycling facilities are not covered in the SR to my understanding.</t>
  </si>
  <si>
    <t>EVRAZ North America Inc (100%)</t>
  </si>
  <si>
    <t>EAF production</t>
  </si>
  <si>
    <t>Nominal crude steel capacity</t>
  </si>
  <si>
    <t>Direct dust emissions</t>
  </si>
  <si>
    <t>Databook_2021</t>
  </si>
  <si>
    <t>Databook_2021.xlsx</t>
  </si>
  <si>
    <t>tCO2eq/t steel cast</t>
  </si>
  <si>
    <t>Freshwater withdrawal intensity</t>
  </si>
  <si>
    <t>m3/t of steel cast</t>
  </si>
  <si>
    <t>Non-mining waste &amp; by-product generation</t>
  </si>
  <si>
    <t>Non-hazardous waste generation</t>
  </si>
  <si>
    <t>Non-mining waste &amp; by-product recycled</t>
  </si>
  <si>
    <t>Non-mining waste &amp; by-product non-recycled</t>
  </si>
  <si>
    <t>Mining waste</t>
  </si>
  <si>
    <t>GJ/t of crude steel</t>
  </si>
  <si>
    <t>Site-specific production given by GEM. Aggregated environmental data at company level. Latest data available are for 2021.</t>
  </si>
  <si>
    <t>https://www.gem.wiki/Gerdau_Whitby_Steel_Mill</t>
  </si>
  <si>
    <t>Gerdau SA (98.2%)</t>
  </si>
  <si>
    <t>Production data from GEM.</t>
  </si>
  <si>
    <t>Not reported in GEM.</t>
  </si>
  <si>
    <t>https://www2.gerdau.com/sites/gln_gerdau/files/downloadable_files/epd_gerdau_whitby_rebar.pdf</t>
  </si>
  <si>
    <t>Not reported in GEM. EPD available.</t>
  </si>
  <si>
    <t>Heico Companies LLC (100%)</t>
  </si>
  <si>
    <t>https://www.gem.wiki/Ivaco_Rolling_Mills_steel_plant</t>
  </si>
  <si>
    <t>Only nominal capacity data from GEM. Production of hot rolled wire rod and steel billets.</t>
  </si>
  <si>
    <t>Site-specific and company-level</t>
  </si>
  <si>
    <t>kgCO2eq/kt</t>
  </si>
  <si>
    <t>tCO2/kt</t>
  </si>
  <si>
    <t>scope1+2 intensity|mining operation</t>
  </si>
  <si>
    <t>scope1+2 intensity|concentrate</t>
  </si>
  <si>
    <t>scope1+2 intensity|pellets</t>
  </si>
  <si>
    <t>scope1+2 intensity|saleable products</t>
  </si>
  <si>
    <t>tCO2eq/t of total saleable product</t>
  </si>
  <si>
    <t>GHG emissions and intensity, and total energy use given in the SR. Some data might be available from Rio Tinto reports. But to be check with co-ownership.</t>
  </si>
  <si>
    <t>Energy use</t>
  </si>
  <si>
    <t>Niobec Inc</t>
  </si>
  <si>
    <t>Magris Resources Inc (100%)</t>
  </si>
  <si>
    <t>Niobium, ferroniobium</t>
  </si>
  <si>
    <t>Talc</t>
  </si>
  <si>
    <t>tCO2eq/t</t>
  </si>
  <si>
    <t>Non-mineral waste produced|Hazardous</t>
  </si>
  <si>
    <t>Non-mineral waste produced|Non-hazardous</t>
  </si>
  <si>
    <t>Mineral waste produced</t>
  </si>
  <si>
    <t>Mineral waste produced|Tailings</t>
  </si>
  <si>
    <t>Mineral waste produced|Waste rock and overburden</t>
  </si>
  <si>
    <t>Total water used in operations</t>
  </si>
  <si>
    <t>GHG, water, waste data available. Data in the ESG report could be useful for archetypes. Few information about production, and for allocation between talc and niobium. No reserves&amp;resources</t>
  </si>
  <si>
    <t>No data found. Indicated in care and maintenance in MDO.</t>
  </si>
  <si>
    <t>Maritime Resources Corp (100%)</t>
  </si>
  <si>
    <t>https://www.masterloy.com/</t>
  </si>
  <si>
    <t>McEwen Mining Inc (100%)</t>
  </si>
  <si>
    <t>GEOs</t>
  </si>
  <si>
    <t>SEC_2024.pdf</t>
  </si>
  <si>
    <t>Only production data available, and resources by different mines (not extracted).</t>
  </si>
  <si>
    <t>In care and maintenance since may 2023</t>
  </si>
  <si>
    <t>Pembridge Resources PLC (11.2%),  Cedro Holdings I LLC (27.7%),  Copper Holdings LLC (37%)</t>
  </si>
  <si>
    <t>https://www.orano.group/canada/en/our-uranium-expertise/mining-and-milling
https://denisonmines.com/projects/other-projects/mcclean-lake-project/</t>
  </si>
  <si>
    <t>Orano Canada Inc (77.5%), Denison Mines Corp (22.5%)</t>
  </si>
  <si>
    <t>Only production data found. Receiving ore slurry from Cameco's Cigar Lake.</t>
  </si>
  <si>
    <t>wmt</t>
  </si>
  <si>
    <t>Only production and resources available. Very recent site.</t>
  </si>
  <si>
    <t>https://www.sayona.ca/projets/complexe-lithium-amerique-du-nord/</t>
  </si>
  <si>
    <t>Sayona Mining Ltd (75%), Piedmont Lithium (25%)</t>
  </si>
  <si>
    <t>https://sherritt.com/operations/</t>
  </si>
  <si>
    <t>Sherritt International Corporation (50%), General Nickel Company S.A (50%) through Moa Joint Venture</t>
  </si>
  <si>
    <t>Refinery production</t>
  </si>
  <si>
    <t>TR_2023.pdf</t>
  </si>
  <si>
    <t>Includes other third pary feeds</t>
  </si>
  <si>
    <t>Deducted as the difference and verified in the SR</t>
  </si>
  <si>
    <t>Metal-business emissions</t>
  </si>
  <si>
    <t>Production data given in the TR. GHG only at company-level (metal-business operations). Refine nickel and cobalt sulphide ore from Cuba facilities, which is shipped to Halifax, and transported by train to Alberta.</t>
  </si>
  <si>
    <t>Tantalum Mining Corporation of Canada Ltd</t>
  </si>
  <si>
    <t>Sinomine Resource Group Co Ltd (100%)</t>
  </si>
  <si>
    <t>Environmental reporting at company-level. Owned by a Chinese company. Seems impossible to allocate, not yet collected</t>
  </si>
  <si>
    <t>Swiss Steel Holding AG (100%)</t>
  </si>
  <si>
    <t>Not reported in GEM. Alloy steels used in the making of mold for the plastic injection industry. Not yet collected, seems difficult to downscale</t>
  </si>
  <si>
    <t>Tata Steel Limited (80%), New Millennium Iron Corporation (20%) through Tata Steel Minerals Canada (TSMC) joint venture</t>
  </si>
  <si>
    <t>https://www.gem.wiki/Tacora_Resources_Scully_Mine</t>
  </si>
  <si>
    <t>scope1|stationary combustion</t>
  </si>
  <si>
    <t>scope1|transportation of ore &amp; waste rock</t>
  </si>
  <si>
    <t>scope1|explosives</t>
  </si>
  <si>
    <t>scope 1|mobile combustion</t>
  </si>
  <si>
    <t>Production reported in GEM. GHG and energy reported only. Might check water (but at company-level)</t>
  </si>
  <si>
    <t>Taseko Mines Limited (100%)</t>
  </si>
  <si>
    <t>tCO2eq/t Cueq</t>
  </si>
  <si>
    <t>Total freshwater consumed</t>
  </si>
  <si>
    <t>https://www.tasekomines.com/properties/reserves-and-resources/</t>
  </si>
  <si>
    <t>No data found. Feasibility stage in MDO.</t>
  </si>
  <si>
    <t>Trafigura Mining Group (100%)</t>
  </si>
  <si>
    <t>Myra Falls Mine Ltd</t>
  </si>
  <si>
    <t>No data found. In care and maintenance.</t>
  </si>
  <si>
    <t>https://www.valbruna-stainless-steel.com/</t>
  </si>
  <si>
    <t>Company went bankrupt</t>
  </si>
  <si>
    <t>Environmental data available include water and ghg. Energy is only given for total fuel and total electricity. Units are not always given</t>
  </si>
  <si>
    <t>Not yet collected</t>
  </si>
  <si>
    <t>Arcelor Mittal SA (85%), POSCO International Corp (15%)</t>
  </si>
  <si>
    <t>Arcelor Mittal</t>
  </si>
  <si>
    <t>Barrick Gold Corporation (100%)</t>
  </si>
  <si>
    <t>Cameco Corporation (54.547%), Orano Canada (40.453%), TEPCO Resources Inc (5%)</t>
  </si>
  <si>
    <t>Cameco (69.8%), Orano Canada (30.2%)</t>
  </si>
  <si>
    <t>Cameco (83.3%), Orano Canada (16.7%)</t>
  </si>
  <si>
    <t>Gold Mountain Mining Corp (100%)</t>
  </si>
  <si>
    <t>Hudbay Minerals Inc (100%)</t>
  </si>
  <si>
    <t>Elk Gold Mining Corp</t>
  </si>
  <si>
    <t>Copper Mountain Mine Ltd</t>
  </si>
  <si>
    <t>Magris Performance Materials Inc (100%)</t>
  </si>
  <si>
    <t>Sold in 2025 to Discovery Silver Corp: https://www.timminstoday.com/local-news/newmonts-porcupine-operations-are-sold-10135564</t>
  </si>
  <si>
    <t>Dhilmar Ltd (100%)</t>
  </si>
  <si>
    <t>Orla Mining Ltd (100%)</t>
  </si>
  <si>
    <t>Discovery Silver Corp (100%)</t>
  </si>
  <si>
    <t>SSR Mining Inc (100%)</t>
  </si>
  <si>
    <t>Tacora Resources Inc (100%)</t>
  </si>
  <si>
    <t>Vale (90%), Manara Minerals Investment Co (10%)</t>
  </si>
  <si>
    <t>Acquisition of 10% in April 2024</t>
  </si>
  <si>
    <t>Flat</t>
  </si>
  <si>
    <t>Factbook_2024.pdf</t>
  </si>
  <si>
    <t>Facility-group and company-level</t>
  </si>
  <si>
    <t>Contrecoeur</t>
  </si>
  <si>
    <t>Integrated, mini-mill</t>
  </si>
  <si>
    <t>Mini-mill</t>
  </si>
  <si>
    <t>Long/wire rod, bars, slabs</t>
  </si>
  <si>
    <t>https://northamerica.arcelormittal.com/our-operations/arcelormittal-mines-and-infrastructure-canada</t>
  </si>
  <si>
    <t>AMCC</t>
  </si>
  <si>
    <t>% Fe</t>
  </si>
  <si>
    <t>tCO2eq/t of stell</t>
  </si>
  <si>
    <t>IR_2023.pdf</t>
  </si>
  <si>
    <t>scope1+2 intensity (steel)</t>
  </si>
  <si>
    <t>dust intensity (steel)</t>
  </si>
  <si>
    <t>Nox intensity (steel)</t>
  </si>
  <si>
    <t>Sox intensity (steel)</t>
  </si>
  <si>
    <t>kg/t of steel</t>
  </si>
  <si>
    <t>Net water use</t>
  </si>
  <si>
    <t>m3/t of steel</t>
  </si>
  <si>
    <t>Scarce environmental reporting. 2021 reporting for NA might help? Check Arcelor Mittal Factbook2024 for allocation?</t>
  </si>
  <si>
    <t>Site-specific, facility-group and company-level</t>
  </si>
  <si>
    <t>scope1|aluminium</t>
  </si>
  <si>
    <t>scope1|copper</t>
  </si>
  <si>
    <t>scope1|ferroalloys</t>
  </si>
  <si>
    <t>scope1|nickel</t>
  </si>
  <si>
    <t>scope1|zinc</t>
  </si>
  <si>
    <t>scope1|North America</t>
  </si>
  <si>
    <t>scope2|aluminium</t>
  </si>
  <si>
    <t>scope2|copper</t>
  </si>
  <si>
    <t>GLEN-2023-ESG-Data-Book.xlsx</t>
  </si>
  <si>
    <t>scope2|market-based</t>
  </si>
  <si>
    <t>scope2|market-based|aluminium</t>
  </si>
  <si>
    <t>scope2|market-based|copper</t>
  </si>
  <si>
    <t>scope2|market-based|ferroalloys</t>
  </si>
  <si>
    <t>scope2|market-based|nickel</t>
  </si>
  <si>
    <t>scope2|market-based|zinc</t>
  </si>
  <si>
    <t>scope2|market-based|North America</t>
  </si>
  <si>
    <t>Ferrochrome</t>
  </si>
  <si>
    <t>GLEN_2024-FY_ProductionReport_tables.xlsx</t>
  </si>
  <si>
    <t>allocation</t>
  </si>
  <si>
    <t>GLEN-2024-Preliminary-Results provides revenue per commodity.</t>
  </si>
  <si>
    <t>PJ</t>
  </si>
  <si>
    <t>Natural gas &amp; coal seam gas</t>
  </si>
  <si>
    <t>Mineral oil</t>
  </si>
  <si>
    <t>Renewable</t>
  </si>
  <si>
    <t>Other sources</t>
  </si>
  <si>
    <t>Ferroalloys</t>
  </si>
  <si>
    <t>Direct energy consumption|North America</t>
  </si>
  <si>
    <t>Purchased energy consumed</t>
  </si>
  <si>
    <t>Purchased energy consumed|North America</t>
  </si>
  <si>
    <t>Energy intensity of metals smelting</t>
  </si>
  <si>
    <t>Energy intensity of metals mining</t>
  </si>
  <si>
    <t>GJ/t Cu-eq</t>
  </si>
  <si>
    <t>2024+ESG+data+book.xlsx</t>
  </si>
  <si>
    <t>Aggregated production data with other zinc refineries. Environmental reporting at company-level with only energy, GHG and water included.</t>
  </si>
  <si>
    <t>Aggregated production data with other copper refineries. Environmental reporting at company-level with only energy, GHG and water included.</t>
  </si>
  <si>
    <t>Environmental reporting at company-level with only energy, GHG and water included.</t>
  </si>
  <si>
    <t>Part of CCR production? Environmental reporting at company-level with only energy, GHG and water included.</t>
  </si>
  <si>
    <t>Production-level is site-specific. Environmental reporting at company-level with only energy, GHG and water included.</t>
  </si>
  <si>
    <t>2024-sustainability-factbook.xlsx</t>
  </si>
  <si>
    <t>tCO2eq/t Cu-eq</t>
  </si>
  <si>
    <t>scope1|Canada</t>
  </si>
  <si>
    <t>scope2|market-based|Canada</t>
  </si>
  <si>
    <t>scope1|minerals</t>
  </si>
  <si>
    <t>scope2|minerals</t>
  </si>
  <si>
    <t>scope1|iron ore</t>
  </si>
  <si>
    <t>scope2|iron ore</t>
  </si>
  <si>
    <t>Fluoride emissions</t>
  </si>
  <si>
    <t>Mineral waste|Hazardous</t>
  </si>
  <si>
    <t>Mineral waste|Non-hazardous</t>
  </si>
  <si>
    <t>Non-mineral waste generated|Hazardous</t>
  </si>
  <si>
    <t>Total operational withdrawal</t>
  </si>
  <si>
    <t>GL</t>
  </si>
  <si>
    <t>Iron &amp; titanium</t>
  </si>
  <si>
    <t>Total operational withdrawal|Canada</t>
  </si>
  <si>
    <t>carats/t</t>
  </si>
  <si>
    <t>%SiO2</t>
  </si>
  <si>
    <t>Silicon dioxide</t>
  </si>
  <si>
    <t>Phosphorus</t>
  </si>
  <si>
    <t>% Al2O3</t>
  </si>
  <si>
    <t>% P</t>
  </si>
  <si>
    <t>rt-fact-book-addendum provides financials (EBITDA and Capex) by business unit</t>
  </si>
  <si>
    <t>TR_Bloom_Lake_2023.pdf</t>
  </si>
  <si>
    <t>Production, air pollution and water are site-specific.</t>
  </si>
  <si>
    <t>processing_method</t>
  </si>
  <si>
    <t>Vein / narrow vein
Breccia pipe / Stockwork</t>
  </si>
  <si>
    <t>Vein / narrow vein
Skarn
Hydrothermal</t>
  </si>
  <si>
    <t>reference_point</t>
  </si>
  <si>
    <t>value</t>
  </si>
  <si>
    <t>Truck &amp; Shovel / Loader</t>
  </si>
  <si>
    <t>Banded iron formation</t>
  </si>
  <si>
    <t>Breccia pipe / Stockwork
Vein / narrow vein
Epithermal</t>
  </si>
  <si>
    <t>Mechanized Cut &amp; Fill</t>
  </si>
  <si>
    <t>Hydrothermal
Vein / narrow vein</t>
  </si>
  <si>
    <t>Longhole open stoping</t>
  </si>
  <si>
    <t>VMS</t>
  </si>
  <si>
    <t>Magmatic
Footwall hosted</t>
  </si>
  <si>
    <t>Magmatic</t>
  </si>
  <si>
    <t>Magmatic
Footwall hosted
Breccia pipe / Stockwork</t>
  </si>
  <si>
    <t>Porphyry
Breccia pipe / Stockwork
Vein / narrow vein</t>
  </si>
  <si>
    <t>Porphyry</t>
  </si>
  <si>
    <t>Vein / narrow vein</t>
  </si>
  <si>
    <t>Intrusion related
Syenite hosted</t>
  </si>
  <si>
    <t>Vein / narrow vein
Orogenic
Breccia pipe / Stockwork</t>
  </si>
  <si>
    <t>Orogenic
Breccia pipe / Stockwork</t>
  </si>
  <si>
    <t>Kimberlite</t>
  </si>
  <si>
    <t>In care and maintenance.</t>
  </si>
  <si>
    <t>Vein / narrow vein
Orogenic</t>
  </si>
  <si>
    <t>Vein / narrow vein
Replacement
Breccia pipe / Stockwork</t>
  </si>
  <si>
    <t>Breccia pipe / Stockwork
Vein / narrow vein
Banded iron formation hosted</t>
  </si>
  <si>
    <t>VMS
Vein / narrow vein
Intrusion related
Orogenic</t>
  </si>
  <si>
    <t>Vein / narrow vein
Breccia pipe / Stockwork
Footwall hosted</t>
  </si>
  <si>
    <t>Open stopping</t>
  </si>
  <si>
    <t>Magmatic
Metasomatic</t>
  </si>
  <si>
    <t>Vein / narrow vein
Intrusion related
Breccia pipe / Stockwork
Porphyry
Epithermal</t>
  </si>
  <si>
    <t>Longhole upper cut retreat</t>
  </si>
  <si>
    <t>Sub-level Retreat</t>
  </si>
  <si>
    <t>Vein / narrow vein
Mesothermal</t>
  </si>
  <si>
    <t>Breccia pipe / Stockwork
Sediment-hosted</t>
  </si>
  <si>
    <t>Vein / narrow vein
Porphyry</t>
  </si>
  <si>
    <t>Longhole stoping</t>
  </si>
  <si>
    <t>Iron formation hosted
Vein / narrow vein
Stratabound</t>
  </si>
  <si>
    <t>Breccia pipe / Stockwork
Vein / narrow vein</t>
  </si>
  <si>
    <t>Borehole mining (SABRE)</t>
  </si>
  <si>
    <t>Unconformity related
Vein / narrow vein</t>
  </si>
  <si>
    <t>Veing / narrow vein
Mesothermal</t>
  </si>
  <si>
    <t>Vein / narrow vein
Mesothermal
Intrusion related</t>
  </si>
  <si>
    <t>Magmatic
Intrusion related</t>
  </si>
  <si>
    <t>Pegmatite</t>
  </si>
  <si>
    <t>Porphyry
Vein / narrow vein
Mesothermal</t>
  </si>
  <si>
    <t>Iron formation hosted</t>
  </si>
  <si>
    <t>Vein / narrow vein
Breccia pipe / Stockwork
Magmatic</t>
  </si>
  <si>
    <t>Inactive / suspended</t>
  </si>
  <si>
    <t>Vein / narrow vein
Intrusion related</t>
  </si>
  <si>
    <t>Mesothermal
Vein / narrow vein</t>
  </si>
  <si>
    <t>Vein / narrow vein
Breccia pipe / Stockwork
Orogenic</t>
  </si>
  <si>
    <t>Vale's performance in 1Q25 - xls</t>
  </si>
  <si>
    <t>Unknown</t>
  </si>
  <si>
    <t>longitude</t>
  </si>
  <si>
    <t>latitude</t>
  </si>
  <si>
    <t>city</t>
  </si>
  <si>
    <t>province</t>
  </si>
  <si>
    <t>commodity_group</t>
  </si>
  <si>
    <t>primary_commodity</t>
  </si>
  <si>
    <t>source_id</t>
  </si>
  <si>
    <t>geometry</t>
  </si>
  <si>
    <t>Quebec</t>
  </si>
  <si>
    <t>POINT (-77.67901 48.52154)</t>
  </si>
  <si>
    <t>north of Amos</t>
  </si>
  <si>
    <t>Precious metals</t>
  </si>
  <si>
    <t>POINT (-77.97434 49.13259)</t>
  </si>
  <si>
    <t>POINT (-77.58 48.04)</t>
  </si>
  <si>
    <t>Baker Lake</t>
  </si>
  <si>
    <t>Nunavut</t>
  </si>
  <si>
    <t>POINT (-96.697 65.415)</t>
  </si>
  <si>
    <t>Malartic</t>
  </si>
  <si>
    <t>POINT (-78.130824 48.122223)</t>
  </si>
  <si>
    <t>Northeast of Cochrane</t>
  </si>
  <si>
    <t>Ontario</t>
  </si>
  <si>
    <t>POINT (-79.717631 50.018143)</t>
  </si>
  <si>
    <t>Val-d’Or</t>
  </si>
  <si>
    <t>POINT (-77.8733 48.0926)</t>
  </si>
  <si>
    <t>Preissac</t>
  </si>
  <si>
    <t>POINT (-78.428 48.2516)</t>
  </si>
  <si>
    <t>Kirkland Lake area</t>
  </si>
  <si>
    <t>POINT (-80.071637 48.142528)</t>
  </si>
  <si>
    <t>POINT (-96.071313 65.0199956)</t>
  </si>
  <si>
    <t>Rankin Inlet</t>
  </si>
  <si>
    <t>POINT (-92.220206 63.031529)</t>
  </si>
  <si>
    <t>Manitoba</t>
  </si>
  <si>
    <t>POINT (-92.914016 54.446415)</t>
  </si>
  <si>
    <t>POINT (-79.76 48.16)</t>
  </si>
  <si>
    <t>Dubreuilville</t>
  </si>
  <si>
    <t>POINT (-84.449604 48.285667)</t>
  </si>
  <si>
    <t>Matachewan</t>
  </si>
  <si>
    <t>POINT (-80.67444 47.94667)</t>
  </si>
  <si>
    <t>POINT (-68.1491 49.2562)</t>
  </si>
  <si>
    <t>POINT (-71.9467 46.6939)</t>
  </si>
  <si>
    <t>POINT (-71.17565 48.43214)</t>
  </si>
  <si>
    <t>POINT (-72.3852 46.381)</t>
  </si>
  <si>
    <t>POINT (-84.36664 46.52055)</t>
  </si>
  <si>
    <t>POINT (-77.06667 52.23333)</t>
  </si>
  <si>
    <t>British Columbia</t>
  </si>
  <si>
    <t>POINT (-129.419 55.422)</t>
  </si>
  <si>
    <t>Alberta</t>
  </si>
  <si>
    <t>POINT (-113.387962 53.492783)</t>
  </si>
  <si>
    <t>Fermont</t>
  </si>
  <si>
    <t>POINT (-67.363935 52.352998)</t>
  </si>
  <si>
    <t>POINT (-67.330058 52.757053)</t>
  </si>
  <si>
    <t>POINT (-73.249081 45.837723)</t>
  </si>
  <si>
    <t>POINT (-73.263268 45.819938)</t>
  </si>
  <si>
    <t>POINT (-66.797531 50.03213)</t>
  </si>
  <si>
    <t>POINT (-79.805204 43.269132)</t>
  </si>
  <si>
    <t>Timmins</t>
  </si>
  <si>
    <t>POINT (-84.45744 48.28869)</t>
  </si>
  <si>
    <t>Saskatchewan</t>
  </si>
  <si>
    <t>POINT (-103.63518 49.21363)</t>
  </si>
  <si>
    <t>POINT (-79.722125 43.691066)</t>
  </si>
  <si>
    <t>Northwest Territories</t>
  </si>
  <si>
    <t>POINT (-112.59972 62.11806)</t>
  </si>
  <si>
    <t>POINT (-94.58258 50.266)</t>
  </si>
  <si>
    <t>Pond Inlet</t>
  </si>
  <si>
    <t>POINT (-78.556869 71.340446)</t>
  </si>
  <si>
    <t>POINT (-85.91598 48.695726)</t>
  </si>
  <si>
    <t>Base metals</t>
  </si>
  <si>
    <t>POINT (-115.210061 51.060022)</t>
  </si>
  <si>
    <t>Yukon</t>
  </si>
  <si>
    <t>POINT (-130.59894 61.47108)</t>
  </si>
  <si>
    <t>Newfoundland and Labrador</t>
  </si>
  <si>
    <t>POINT (-56.855965 48.829018)</t>
  </si>
  <si>
    <t>Lac de Gras</t>
  </si>
  <si>
    <t>POINT (-110.618 64.715)</t>
  </si>
  <si>
    <t>New Brunswick</t>
  </si>
  <si>
    <t>POINT (-66.09771 47.88939)</t>
  </si>
  <si>
    <t>POINT (-83.017246 46.180896)</t>
  </si>
  <si>
    <t>Waterbury Lake</t>
  </si>
  <si>
    <t>POINT (-104.54123 58.06819)</t>
  </si>
  <si>
    <t>north of Highrock Lake</t>
  </si>
  <si>
    <t>POINT (-105.647 57.207)</t>
  </si>
  <si>
    <t>north of Key Lake</t>
  </si>
  <si>
    <t>POINT (-105.053 57.7637)</t>
  </si>
  <si>
    <t>Uranium (hexafluoride</t>
  </si>
  <si>
    <t>POINT (-78.2943 43.9429)</t>
  </si>
  <si>
    <t>POINT (-81.37309 48.83972)</t>
  </si>
  <si>
    <t>POINT (-66.43167 47.52528)</t>
  </si>
  <si>
    <t>POINT (-90.34694 51.49667)</t>
  </si>
  <si>
    <t>POINT (-67.64 46.18)</t>
  </si>
  <si>
    <t>POINT (-96.83306 62.87306)</t>
  </si>
  <si>
    <t>Kangiqsujuaq</t>
  </si>
  <si>
    <t>POINT (-74.1375 61.420856)</t>
  </si>
  <si>
    <t>POINT (-118.59 49.09)</t>
  </si>
  <si>
    <t>POINT (-126.77117 57.05037)</t>
  </si>
  <si>
    <t>Fort St. James</t>
  </si>
  <si>
    <t>Base metals and precious metals</t>
  </si>
  <si>
    <t>POINT (-124.031 55.118)</t>
  </si>
  <si>
    <t>POINT (-67.28 52.84)</t>
  </si>
  <si>
    <t>Glenwood</t>
  </si>
  <si>
    <t>POINT (-55.196 48.715909)</t>
  </si>
  <si>
    <t>POINT (-88.931 48.79)</t>
  </si>
  <si>
    <t>POINT (-68.40417 56.94583)</t>
  </si>
  <si>
    <t>POINT (-101.03486 56.85217)</t>
  </si>
  <si>
    <t>POINT (-76.172 52.022485)</t>
  </si>
  <si>
    <t>Vanadium</t>
  </si>
  <si>
    <t>POINT (-111.90375 57.68711)</t>
  </si>
  <si>
    <t>Zircon</t>
  </si>
  <si>
    <t>POINT (-73.450825 45.57462)</t>
  </si>
  <si>
    <t>POINT (-109.21194 63.44528)</t>
  </si>
  <si>
    <t>POINT (-122.09912 54.53141)</t>
  </si>
  <si>
    <t>POINT (-104.03032 58.3478)</t>
  </si>
  <si>
    <t>POINT (-105.38137 57.50888)</t>
  </si>
  <si>
    <t>POINT (-129.57778 55.75361)</t>
  </si>
  <si>
    <t>POINT (-113.93655 51.77696)</t>
  </si>
  <si>
    <t>POINT (-77.739624 48.079221)</t>
  </si>
  <si>
    <t>POINT (-79.62229 47.40635)</t>
  </si>
  <si>
    <t>POINT (-71.131239 48.412769)</t>
  </si>
  <si>
    <t>POINT (-72.433334 46.333332)</t>
  </si>
  <si>
    <t>Balmertown</t>
  </si>
  <si>
    <t>POINT (-93.732922 51.050557)</t>
  </si>
  <si>
    <t>POINT (-104.623843 50.515263)</t>
  </si>
  <si>
    <t>Silicon metal</t>
  </si>
  <si>
    <t>POINT (-72.39 46.37)</t>
  </si>
  <si>
    <t>Baie Verte</t>
  </si>
  <si>
    <t>POINT (-56.087 49.915)</t>
  </si>
  <si>
    <t>Snook’s Arm</t>
  </si>
  <si>
    <t>POINT (-55.7753 49.845)</t>
  </si>
  <si>
    <t>POINT (-130.15143 63.16057)</t>
  </si>
  <si>
    <t>POINT (-130.1525 63.2822222222)</t>
  </si>
  <si>
    <t>POINT (-127.30826 53.3607)</t>
  </si>
  <si>
    <t>POINT (-109.364 57.639)</t>
  </si>
  <si>
    <t>POINT (-99.21912 54.1092)</t>
  </si>
  <si>
    <t>POINT (-67.18179 52.54974)</t>
  </si>
  <si>
    <t>POINT (-102.89498 54.65977)</t>
  </si>
  <si>
    <t>POINT (-112.513502 53.797615)</t>
  </si>
  <si>
    <t>POINT (-116.74583 63.55)</t>
  </si>
  <si>
    <t>Phosphate</t>
  </si>
  <si>
    <t>POINT (-83.414444 50.314444)</t>
  </si>
  <si>
    <t>POINT (-125.359691 54.894513)</t>
  </si>
  <si>
    <t>POINT (-93.37727 52.60026)</t>
  </si>
  <si>
    <t>POINT (-86.3263 48.78758)</t>
  </si>
  <si>
    <t>POINT (-73.340812 45.525976)</t>
  </si>
  <si>
    <t>POINT (-96.911166 50.133771)</t>
  </si>
  <si>
    <t>POINT (-78.910676 43.851906)</t>
  </si>
  <si>
    <t>POINT (-80.28 43.37)</t>
  </si>
  <si>
    <t>POINT (-96.893633 50.130273)</t>
  </si>
  <si>
    <t>POINT (-78.91 43.86)</t>
  </si>
  <si>
    <t>POINT (-74.097205 45.228312)</t>
  </si>
  <si>
    <t>Copper (cathodes)</t>
  </si>
  <si>
    <t>POINT (-73.511778 45.627518)</t>
  </si>
  <si>
    <t>POINT (-81.3404 46.6633)</t>
  </si>
  <si>
    <t>POINT (-73.676345 45.448518)</t>
  </si>
  <si>
    <t>Copper anodes</t>
  </si>
  <si>
    <t>POINT (-79.0151 48.2534)</t>
  </si>
  <si>
    <t>POINT (-81.37 48.6894)</t>
  </si>
  <si>
    <t>POINT (-80.796793 46.657982)</t>
  </si>
  <si>
    <t>POINT (-81.383878 46.632019)</t>
  </si>
  <si>
    <t>Katinniq</t>
  </si>
  <si>
    <t>POINT (-73.674669 61.687171)</t>
  </si>
  <si>
    <t>POINT (-81.3427 46.6734)</t>
  </si>
  <si>
    <t>Nickel-copper matte containing cobalt</t>
  </si>
  <si>
    <t>POINT (-80.7993 46.5763)</t>
  </si>
  <si>
    <t>Peachland</t>
  </si>
  <si>
    <t>POINT (-120.31487 49.8538)</t>
  </si>
  <si>
    <t>POINT (-136.7 62.33)</t>
  </si>
  <si>
    <t>POINT (-88.4491 50.40987)</t>
  </si>
  <si>
    <t>POINT (-95.60953 50.6298)</t>
  </si>
  <si>
    <t>POINT (-109.19120556 51.73894139)</t>
  </si>
  <si>
    <t>POINT (-128.86282 58.47856)</t>
  </si>
  <si>
    <t>north of La Sarre, Casa Berardi Twp.</t>
  </si>
  <si>
    <t>POINT (-79.231307 49.5719)</t>
  </si>
  <si>
    <t>Mayo</t>
  </si>
  <si>
    <t>Precious metals and Base metals</t>
  </si>
  <si>
    <t>POINT (-135.4833 63.9167)</t>
  </si>
  <si>
    <t>POINT (-134.41278 64.19667)</t>
  </si>
  <si>
    <t>POINT (-74.704435 45.6119)</t>
  </si>
  <si>
    <t>POINT (-100.134 54.8557)</t>
  </si>
  <si>
    <t>Princeton</t>
  </si>
  <si>
    <t>POINT (-120.533 49.331)</t>
  </si>
  <si>
    <t>POINT (-100.13333 54.86667)</t>
  </si>
  <si>
    <t>POINT (-100.024002 54.886349)</t>
  </si>
  <si>
    <t>POINT (-100.5916 54.7463)</t>
  </si>
  <si>
    <t>POINT (-99.9451 54.85692)</t>
  </si>
  <si>
    <t>POINT (-99.6343 54.1133)</t>
  </si>
  <si>
    <t>POINT (-99.2284 53.9623)</t>
  </si>
  <si>
    <t>POINT (-100.05248 55.02136)</t>
  </si>
  <si>
    <t>Cadillac</t>
  </si>
  <si>
    <t>POINT (-78.502 48.256)</t>
  </si>
  <si>
    <t>Thunder Bay</t>
  </si>
  <si>
    <t>Platinum group metals</t>
  </si>
  <si>
    <t>POINT (-89.6105 49.1691)</t>
  </si>
  <si>
    <t>northeast of Williams Lake</t>
  </si>
  <si>
    <t>POINT (-121.633931 52.544959)</t>
  </si>
  <si>
    <t>POINT (-63.8991 55.35025)</t>
  </si>
  <si>
    <t>Labrador City</t>
  </si>
  <si>
    <t>POINT (-66.936774 53.039755)</t>
  </si>
  <si>
    <t>POINT (-81.39894 46.638059)</t>
  </si>
  <si>
    <t>POINT (-81.38333 46.41667)</t>
  </si>
  <si>
    <t>POINT (-76.5121 44.2615)</t>
  </si>
  <si>
    <t>POINT (-99.77143 54.78534)</t>
  </si>
  <si>
    <t>POINT (-128.38736 58.20996)</t>
  </si>
  <si>
    <t>POINT (-76.5 44.233334)</t>
  </si>
  <si>
    <t>POINT (-79.3415 43.8331)</t>
  </si>
  <si>
    <t>POINT (-73.349998 45.533333)</t>
  </si>
  <si>
    <t>POINT (-117.163427 54.946792)</t>
  </si>
  <si>
    <t>POINT (-74.99714 46.03656)</t>
  </si>
  <si>
    <t>POINT (-81.36167 46.42472)</t>
  </si>
  <si>
    <t>POINT (-81.85944 46.33417)</t>
  </si>
  <si>
    <t>POINT (-78.4425 48.64667)</t>
  </si>
  <si>
    <t>POINT (-71.158168 48.531738)</t>
  </si>
  <si>
    <t>Saint-Honoré-de-Chicoutimi</t>
  </si>
  <si>
    <t>POINT (-71.156929 48.532148)</t>
  </si>
  <si>
    <t>POINT (-67.62547 46.22531)</t>
  </si>
  <si>
    <t>POINT (-56.124447 49.96142)</t>
  </si>
  <si>
    <t>POINT (-69.1 51.14)</t>
  </si>
  <si>
    <t>POINT (-75.562391 45.298042)</t>
  </si>
  <si>
    <t>Matheson</t>
  </si>
  <si>
    <t>POINT (-80.340814 48.534362)</t>
  </si>
  <si>
    <t>POINT (-67.07597 52.60511)</t>
  </si>
  <si>
    <t>POINT (-116.575 50.904)</t>
  </si>
  <si>
    <t>Pelly Crossing</t>
  </si>
  <si>
    <t>POINT (-137.23858 62.618875)</t>
  </si>
  <si>
    <t>POINT (-110.8436 67.37556)</t>
  </si>
  <si>
    <t>POINT (-112.79889 65.63056)</t>
  </si>
  <si>
    <t>POINT (-75.85333 51.67972)</t>
  </si>
  <si>
    <t>POINT (-80.27606 46.70591)</t>
  </si>
  <si>
    <t>Kamloops</t>
  </si>
  <si>
    <t>POINT (-120.514 50.661)</t>
  </si>
  <si>
    <t>Fort Frances</t>
  </si>
  <si>
    <t>POINT (-94.012 48.833)</t>
  </si>
  <si>
    <t>Chapleau</t>
  </si>
  <si>
    <t>POINT (-83.260981 47.871883)</t>
  </si>
  <si>
    <t>Stewart</t>
  </si>
  <si>
    <t>POINT (-130.21783 56.47554)</t>
  </si>
  <si>
    <t>POINT (-130.25 57.63)</t>
  </si>
  <si>
    <t>POINT (-81.31314 48.4733)</t>
  </si>
  <si>
    <t>south of Porcupine</t>
  </si>
  <si>
    <t>POINT (-81.1083 48.5519)</t>
  </si>
  <si>
    <t>north of Pickle Lake</t>
  </si>
  <si>
    <t>POINT (-90.3636 52.6127)</t>
  </si>
  <si>
    <t>POINT (-81.242719 48.463511)</t>
  </si>
  <si>
    <t>Kinaskan Lake</t>
  </si>
  <si>
    <t>POINT (-129.78333 57.7)</t>
  </si>
  <si>
    <t>Opinaca Reservoir</t>
  </si>
  <si>
    <t>POINT (-76.08667 52.69889)</t>
  </si>
  <si>
    <t>POINT (-131.45 57.13)</t>
  </si>
  <si>
    <t>POINT (-108.9925 57.59144)</t>
  </si>
  <si>
    <t>POINT (-139.53333 61.46667)</t>
  </si>
  <si>
    <t>POINT (-72.7644 49.46003)</t>
  </si>
  <si>
    <t>POINT (-67.045 46.365)</t>
  </si>
  <si>
    <t>POINT (-78.05992 46.11814)</t>
  </si>
  <si>
    <t>POINT (-127.85639 50.67556)</t>
  </si>
  <si>
    <t>POINT (-125.271268 55.415303)</t>
  </si>
  <si>
    <t>POINT (-124.79938 61.55713)</t>
  </si>
  <si>
    <t>POINT (-73.9212 46.61728)</t>
  </si>
  <si>
    <t>POINT (-77.936644 49.773163)</t>
  </si>
  <si>
    <t>POINT (-103.8361 58.3472)</t>
  </si>
  <si>
    <t>POINT (-114.38652 60.87216)</t>
  </si>
  <si>
    <t>POINT (-59.984 54.584)</t>
  </si>
  <si>
    <t>POINT (-81.178 48.553)</t>
  </si>
  <si>
    <t>POINT (-81.549826 48.383275)</t>
  </si>
  <si>
    <t>POINT (-71.6897 48.5847)</t>
  </si>
  <si>
    <t>POINT (-71.165521 48.430174)</t>
  </si>
  <si>
    <t>POINT (-70.9258 48.3058)</t>
  </si>
  <si>
    <t>POINT (-128.6954 53.9976)</t>
  </si>
  <si>
    <t>POINT (-71.1287 48.3013)</t>
  </si>
  <si>
    <t>POINT (-71.157919 48.428476)</t>
  </si>
  <si>
    <t>POINT (-66.4429 50.1571)</t>
  </si>
  <si>
    <t>POINT (-110.272 64.495)</t>
  </si>
  <si>
    <t>Havre-Saint-Pierre</t>
  </si>
  <si>
    <t>POINT (-63.416 50.5541)</t>
  </si>
  <si>
    <t>POINT (-73.139626 46.043727)</t>
  </si>
  <si>
    <t>POINT (-73.138424 46.045907)</t>
  </si>
  <si>
    <t>POINT (-88.00298 49.45236)</t>
  </si>
  <si>
    <t>POINT (-137.3175 62.14117)</t>
  </si>
  <si>
    <t>POINT (-118.121 51.287)</t>
  </si>
  <si>
    <t>POINT (-75.69922 45.431332)</t>
  </si>
  <si>
    <t>POINT (-106.62737 52.1400327)</t>
  </si>
  <si>
    <t>POINT (-74.91215 50.73176)</t>
  </si>
  <si>
    <t>POINT (-78.19557 48.36207)</t>
  </si>
  <si>
    <t>La Corne</t>
  </si>
  <si>
    <t>POINT (-77.80934 48.4115)</t>
  </si>
  <si>
    <t>POINT (-131.0925 56.66667)</t>
  </si>
  <si>
    <t>POINT (-130.33556 56.46666)</t>
  </si>
  <si>
    <t>POINT (-129.20011 62.45542)</t>
  </si>
  <si>
    <t>POINT (-113.19011 53.719929)</t>
  </si>
  <si>
    <t>White River</t>
  </si>
  <si>
    <t>POINT (-85.00401 48.80496)</t>
  </si>
  <si>
    <t>Lac-du-Bonnet</t>
  </si>
  <si>
    <t>Cesium</t>
  </si>
  <si>
    <t>POINT (-95.4502 50.4291)</t>
  </si>
  <si>
    <t>POINT (-130.43 56.653)</t>
  </si>
  <si>
    <t>POINT (-65.26564 51.04975)</t>
  </si>
  <si>
    <t>POINT (-56.1344 48.3758)</t>
  </si>
  <si>
    <t>Santoy Lake</t>
  </si>
  <si>
    <t>POINT (-103.414571 55.66778)</t>
  </si>
  <si>
    <t>Laonil Lake</t>
  </si>
  <si>
    <t>POINT (-103.622257 55.683772)</t>
  </si>
  <si>
    <t>Upper Musquodoboit</t>
  </si>
  <si>
    <t>Nova Scotia</t>
  </si>
  <si>
    <t>POINT (-62.94292 44.98243)</t>
  </si>
  <si>
    <t>POINT (-79.819 43.275)</t>
  </si>
  <si>
    <t>POINT (-80.0937 42.8001)</t>
  </si>
  <si>
    <t>Mistissini</t>
  </si>
  <si>
    <t>POINT (-72.190579 52.813913)</t>
  </si>
  <si>
    <t>POINT (-74.062113 49.800453)</t>
  </si>
  <si>
    <t>POINT (-70.854841 48.399648)</t>
  </si>
  <si>
    <t>POINT (-127.08333 53.63333)</t>
  </si>
  <si>
    <t>POINT (-127.431 53.802)</t>
  </si>
  <si>
    <t>POINT (-73.124998 46.045865)</t>
  </si>
  <si>
    <t>Wabush</t>
  </si>
  <si>
    <t>POINT (-66.912573 52.907129)</t>
  </si>
  <si>
    <t>POINT (-66.91222 52.91806)</t>
  </si>
  <si>
    <t>POINT (-93.6347 49.48357)</t>
  </si>
  <si>
    <t>POINT (-123.77829 56.4471)</t>
  </si>
  <si>
    <t>north of Williams Lake</t>
  </si>
  <si>
    <t>POINT (-122.28716 52.528495)</t>
  </si>
  <si>
    <t>POINT (-119.817 51.52)</t>
  </si>
  <si>
    <t>Menihek</t>
  </si>
  <si>
    <t>POINT (-67.081916 54.890828)</t>
  </si>
  <si>
    <t>Schefferville</t>
  </si>
  <si>
    <t>POINT (-67.34778 55.09939)</t>
  </si>
  <si>
    <t>Logan Lake</t>
  </si>
  <si>
    <t>POINT (-121.0483 50.4855)</t>
  </si>
  <si>
    <t>POINT (-131 57.36667)</t>
  </si>
  <si>
    <t>POINT (-117.7137 49.0999)</t>
  </si>
  <si>
    <t>POINT (-64.2 56.35)</t>
  </si>
  <si>
    <t>POINT (-125.59 49.57)</t>
  </si>
  <si>
    <t>POINT (-137.2 62.3)</t>
  </si>
  <si>
    <t>POINT (-74.46 51.01)</t>
  </si>
  <si>
    <t>POINT (-103.73639 58.15333)</t>
  </si>
  <si>
    <t>POINT (-79.235065 42.998265)</t>
  </si>
  <si>
    <t>POINT (-81.056782 46.495822)</t>
  </si>
  <si>
    <t>POINT (-81.3397 46.6771)</t>
  </si>
  <si>
    <t>POINT (-81.068205 46.491445)</t>
  </si>
  <si>
    <t>Nickel (oxide sinter</t>
  </si>
  <si>
    <t>POINT (-81.0569 46.4801)</t>
  </si>
  <si>
    <t>POINT (-81.1861 46.474)</t>
  </si>
  <si>
    <t>POINT (-80.857 46.568)</t>
  </si>
  <si>
    <t>Electrolytic cobalt</t>
  </si>
  <si>
    <t>POINT (-79.24 42.883)</t>
  </si>
  <si>
    <t>Thompson</t>
  </si>
  <si>
    <t>POINT (-97.8444 55.7152)</t>
  </si>
  <si>
    <t>Worthington</t>
  </si>
  <si>
    <t>POINT (-81.454839 46.381174)</t>
  </si>
  <si>
    <t>POINT (-53.811792 47.410938)</t>
  </si>
  <si>
    <t>POINT (-62.090855 56.331659)</t>
  </si>
  <si>
    <t>POINT (-73.95682 49.84573)</t>
  </si>
  <si>
    <t>POINT (-135.8456 64.0322)</t>
  </si>
  <si>
    <t>POINT (-75.47624 50.62225)</t>
  </si>
  <si>
    <t>POINT (-119.30174 58.50664)</t>
  </si>
  <si>
    <t>POINT (-74.127578 49.918163)</t>
  </si>
  <si>
    <t>POINT (-87.38361 48.9775)</t>
  </si>
  <si>
    <t>Wawa</t>
  </si>
  <si>
    <t>POINT (-85.4619 47.9861)</t>
  </si>
  <si>
    <t>POINT (-77.91 48.12)</t>
  </si>
  <si>
    <t>POINT (-85.4525 48.11028)</t>
  </si>
  <si>
    <t>POINT (-117.884 49.082)</t>
  </si>
  <si>
    <t>POINT (-138.83333 62.73333)</t>
  </si>
  <si>
    <t>POINT (-86.3038 52.74202)</t>
  </si>
  <si>
    <t>POINT (-124.86599 57.38088)</t>
  </si>
  <si>
    <t>data_type</t>
  </si>
  <si>
    <t>Capacity</t>
  </si>
  <si>
    <t>Production</t>
  </si>
  <si>
    <t>Not sure of the unit</t>
  </si>
  <si>
    <t>Given in ttpa (total ton per annum)</t>
  </si>
  <si>
    <t>Impossible to assign a reference point. Probably 4 or 5?</t>
  </si>
  <si>
    <t>geography</t>
  </si>
  <si>
    <t>Canada</t>
  </si>
  <si>
    <t>World</t>
  </si>
  <si>
    <t>Aluminum production</t>
  </si>
  <si>
    <t>https://open.canada.ca/data/en/dataset/22b2db8a-dc12-47f2-9737-99d3da921751</t>
  </si>
  <si>
    <t>https://open.canada.ca/data/en/dataset/000183ed-8864-42f0-ae43-c4313a860720</t>
  </si>
  <si>
    <t>CMP-336d5ebc</t>
  </si>
  <si>
    <t>AMMC</t>
  </si>
  <si>
    <t>GRP-1402249f</t>
  </si>
  <si>
    <t>GRP-7a9ba115</t>
  </si>
  <si>
    <t>GRP-b48ec279</t>
  </si>
  <si>
    <t>GRP-de097f20</t>
  </si>
  <si>
    <t>https://aluminium.ca/en/the-industry/</t>
  </si>
  <si>
    <t>Ambigous production type</t>
  </si>
  <si>
    <t>Total production based on Rio Tinto's ownership share</t>
  </si>
  <si>
    <t xml:space="preserve"> </t>
  </si>
  <si>
    <t>DSO</t>
  </si>
  <si>
    <t>https://www.gov.nl.ca/iet/files/Mining-in-NL-Fall-2024.pdf</t>
  </si>
  <si>
    <t>"Production reflects Agnico Eagle's 50% interest up to March 30 2023 and 100% thereafter"</t>
  </si>
  <si>
    <t>Includes production by Horne and CCR but also other refineries not in Canada.</t>
  </si>
  <si>
    <t>Ore delivered</t>
  </si>
  <si>
    <t>https://www.accessnewswire.com/newsroom/en/metals-and-mining/gold-mountain-reports-its-interim-q4-2025-financial-and-operating-results-1001121?utm_source=chatgpt.com</t>
  </si>
  <si>
    <t>Only production and resources data available. TR is preliminary step.</t>
  </si>
  <si>
    <t>waste/ore</t>
  </si>
  <si>
    <t>No environmental data.</t>
  </si>
  <si>
    <t>Only resources data available. In care and maintenance.</t>
  </si>
  <si>
    <t>No environmental data available to extract. Production reported for 2023. Reserves and resources date back from 2016.</t>
  </si>
  <si>
    <t>In care and maintenance in MDO. Production reported by Geology Ontario. Reserves and resources data available.</t>
  </si>
  <si>
    <t>In care and maintenance in MDO. Only reserves and resources data available.</t>
  </si>
  <si>
    <t>Bought by Alamos Gold Inc in 2024. Site-specific production data but integrated in Island Gold District for environmental reporting?</t>
  </si>
  <si>
    <t>Data from Alamos Gold</t>
  </si>
  <si>
    <t>Difficult to assign a reference point. Probably 4 or 5?</t>
  </si>
  <si>
    <t>Aluminum oxide</t>
  </si>
  <si>
    <t>Calcium oxide</t>
  </si>
  <si>
    <t>Open-pit part</t>
  </si>
  <si>
    <t>Underground part</t>
  </si>
  <si>
    <t>GRP-2a663492</t>
  </si>
  <si>
    <t>GRP-de097f21</t>
  </si>
  <si>
    <t>GRP-de097f22</t>
  </si>
  <si>
    <t>GRP-de097f23</t>
  </si>
  <si>
    <t>GRP-de097f24</t>
  </si>
  <si>
    <t>GRP-de097f25</t>
  </si>
  <si>
    <t>GRP-de097f26</t>
  </si>
  <si>
    <t>GRP-de097f27</t>
  </si>
  <si>
    <t>GRP-de097f28</t>
  </si>
  <si>
    <t>GRP-de097f29</t>
  </si>
  <si>
    <t>GRP-de097f30</t>
  </si>
  <si>
    <t>GRP-de097f31</t>
  </si>
  <si>
    <t>GRP-de097f32</t>
  </si>
  <si>
    <t>GRP-de097f33</t>
  </si>
  <si>
    <t>GRP-de097f34</t>
  </si>
  <si>
    <t>GRP-de097f35</t>
  </si>
  <si>
    <t>GRP-de097f36</t>
  </si>
  <si>
    <t>GRP-de097f37</t>
  </si>
  <si>
    <t>GRP-de097f38</t>
  </si>
  <si>
    <t>GRP-de097f39</t>
  </si>
  <si>
    <t>GRP-de097f40</t>
  </si>
  <si>
    <t>GRP-de097f41</t>
  </si>
  <si>
    <t>GRP-de097f42</t>
  </si>
  <si>
    <t>GRP-de097f43</t>
  </si>
  <si>
    <t>GRP-de097f44</t>
  </si>
  <si>
    <t>GRP-de097f45</t>
  </si>
  <si>
    <t>GRP-de097f46</t>
  </si>
  <si>
    <t>GRP-de097f47</t>
  </si>
  <si>
    <t>GRP-de097f48</t>
  </si>
  <si>
    <t>GRP-de097f49</t>
  </si>
  <si>
    <t>Underground, concentrator, Smelter</t>
  </si>
  <si>
    <t>4q24-analyst-model-with-factbook-app.xlsx</t>
  </si>
  <si>
    <t>Reported by Arcelor Mittal</t>
  </si>
  <si>
    <t>Reserves_2024.pdf</t>
  </si>
  <si>
    <t>2024-Annual-Mineral-Resouces-and-Ore-Reserves-.pdf</t>
  </si>
  <si>
    <t>https://tasekomines.com/properties/gibraltar/reserves-and-resources</t>
  </si>
  <si>
    <t>2024-MDA-FINAL.pdf</t>
  </si>
  <si>
    <t>Reported by Rio Tinto</t>
  </si>
  <si>
    <t>SR_2024.pdf</t>
  </si>
  <si>
    <t>2023-Sustainability-Performance_data.xlsx</t>
  </si>
  <si>
    <t>operational_data.xlsx</t>
  </si>
  <si>
    <t>PGM</t>
  </si>
  <si>
    <t>No commodity is given, probably a concentrate mix?</t>
  </si>
  <si>
    <t>Assumed concentrate as it is not a refinery/smelter</t>
  </si>
  <si>
    <r>
      <t>"</t>
    </r>
    <r>
      <rPr>
        <i/>
        <sz val="11"/>
        <color theme="1"/>
        <rFont val="Calibri"/>
        <family val="2"/>
        <scheme val="minor"/>
      </rPr>
      <t>As Copper Mountain was acquired on June 20, 2023, the results for the year ended December 31, 2023 represents the period from the acquisition date, June 20, 2023, through to the end of the fourth quarter of 2023</t>
    </r>
    <r>
      <rPr>
        <sz val="11"/>
        <color theme="1"/>
        <rFont val="Calibri"/>
        <family val="2"/>
        <scheme val="minor"/>
      </rPr>
      <t>"</t>
    </r>
  </si>
  <si>
    <t>flow_type</t>
  </si>
  <si>
    <t>substance_name</t>
  </si>
  <si>
    <t>Land</t>
  </si>
  <si>
    <t>Water</t>
  </si>
  <si>
    <t>Air</t>
  </si>
  <si>
    <t>subflow_type</t>
  </si>
  <si>
    <t>CO2</t>
  </si>
  <si>
    <t>CH4</t>
  </si>
  <si>
    <t>N2O</t>
  </si>
  <si>
    <t>PFCs</t>
  </si>
  <si>
    <t>Polycyclic aromatic hydrocarbons (PAH)</t>
  </si>
  <si>
    <t>Total extraction</t>
  </si>
  <si>
    <t>Crude ore</t>
  </si>
  <si>
    <t>Usable ore</t>
  </si>
  <si>
    <t>Intermediate metal produced</t>
  </si>
  <si>
    <t>Refined metal produced</t>
  </si>
  <si>
    <t>Intermediate metal produced or Refined metal produced</t>
  </si>
  <si>
    <t>Contained metal in concentrate and doré produced</t>
  </si>
  <si>
    <t>Sum of total open pit and total underground ore</t>
  </si>
  <si>
    <t>Sum of open pit ore and open pit waste</t>
  </si>
  <si>
    <t>https://www.tasekomines.com/investors/news/taseko-reports-strong-fourth-quarter-financial-performance-and-190-million-of-adjusted-ebitda-for-2023/</t>
  </si>
  <si>
    <t>Copper recovery</t>
  </si>
  <si>
    <t>Given in Mlbs Cu so assumed metal in concentrate</t>
  </si>
  <si>
    <t>Given in klbs Mo so assumed metal in concentrate</t>
  </si>
  <si>
    <t>Unspecified</t>
  </si>
  <si>
    <t>Gold ounces sold'</t>
  </si>
  <si>
    <t>method</t>
  </si>
  <si>
    <t>Reported</t>
  </si>
  <si>
    <t>reported</t>
  </si>
  <si>
    <t xml:space="preserve">Ore from McCreedy West is processed by Vale at the local Clarabelle Mill under an offtake agreement. </t>
  </si>
  <si>
    <t>Vein</t>
  </si>
  <si>
    <t>deposit_mdo</t>
  </si>
  <si>
    <t>mining_method_mdo</t>
  </si>
  <si>
    <t>Metamorphic hydrothermal</t>
  </si>
  <si>
    <t>Orogenic</t>
  </si>
  <si>
    <t>Mesozonal orogenic Au</t>
  </si>
  <si>
    <t>Ultramafic and (or) mafic intrusion</t>
  </si>
  <si>
    <t>Impact U-M intrusion Ni-Cu-PGE</t>
  </si>
  <si>
    <t>Volcanic basin hydrothermal</t>
  </si>
  <si>
    <t>Volcanogenic massive sulfide (VMS)</t>
  </si>
  <si>
    <t>Bimodal-felsic VMS</t>
  </si>
  <si>
    <t>Magmatic hydrothermal</t>
  </si>
  <si>
    <t>Vein polymetallic</t>
  </si>
  <si>
    <t>Bimodal-mafic VMS</t>
  </si>
  <si>
    <t>Komatiite</t>
  </si>
  <si>
    <t>Komatiite Ni-Cu-PGE</t>
  </si>
  <si>
    <t>Epithermal</t>
  </si>
  <si>
    <t>IS epithermal Ag-Au Â± Zn, Pb, Cu, Sn, Mn</t>
  </si>
  <si>
    <t>Anorthosite conduit</t>
  </si>
  <si>
    <t>Anorthosite conduit Ni-Cu-PGE</t>
  </si>
  <si>
    <t>million short tons</t>
  </si>
  <si>
    <t>Non-renewable fuel use</t>
  </si>
  <si>
    <t>Share of primary energy source derived from the all group</t>
  </si>
  <si>
    <t>No decomposition per energy type</t>
  </si>
  <si>
    <t>Other types are electricity, diesel, natural gas, propane</t>
  </si>
  <si>
    <t>Acetylene</t>
  </si>
  <si>
    <t>Naphta</t>
  </si>
  <si>
    <t>Aviation fuel</t>
  </si>
  <si>
    <t>Used oil</t>
  </si>
  <si>
    <t>Dynamite</t>
  </si>
  <si>
    <t>compartment_name</t>
  </si>
  <si>
    <t>type</t>
  </si>
  <si>
    <t>subtype</t>
  </si>
  <si>
    <t>GHG</t>
  </si>
  <si>
    <t>NA - 02</t>
  </si>
  <si>
    <t>630-08-0</t>
  </si>
  <si>
    <t>NA - 08</t>
  </si>
  <si>
    <t>NA - 09</t>
  </si>
  <si>
    <t>NA - 10</t>
  </si>
  <si>
    <t>NA - 12</t>
  </si>
  <si>
    <t>NA - M16</t>
  </si>
  <si>
    <t>10024-97-2</t>
  </si>
  <si>
    <t>124-38-9</t>
  </si>
  <si>
    <t>74-82-8</t>
  </si>
  <si>
    <t>7440-61-1</t>
  </si>
  <si>
    <t>10102-44-0</t>
  </si>
  <si>
    <t>7664-41-7</t>
  </si>
  <si>
    <t>7664-39-3</t>
  </si>
  <si>
    <t>cas_number</t>
  </si>
  <si>
    <t>Substance</t>
  </si>
  <si>
    <t>Group of substances</t>
  </si>
  <si>
    <t>Total weight of industrial waste</t>
  </si>
  <si>
    <t>NA - GHG</t>
  </si>
  <si>
    <t>7732-18-5</t>
  </si>
  <si>
    <t>NA - NOx</t>
  </si>
  <si>
    <t>NA - Particulate</t>
  </si>
  <si>
    <t>NA - PFCs</t>
  </si>
  <si>
    <t>NA - PAH</t>
  </si>
  <si>
    <t>NA - SOx</t>
  </si>
  <si>
    <t>substance_type</t>
  </si>
  <si>
    <t>flow_direction</t>
  </si>
  <si>
    <t>Emission</t>
  </si>
  <si>
    <t>Occupation and transformation</t>
  </si>
  <si>
    <t>Withdrawal</t>
  </si>
  <si>
    <t>Discharged</t>
  </si>
  <si>
    <t>Consumption</t>
  </si>
  <si>
    <t>Total particulate matter</t>
  </si>
  <si>
    <t>NA - M08</t>
  </si>
  <si>
    <t>Particulate Matter &lt;= 10 Micrometers</t>
  </si>
  <si>
    <t>NA - M09</t>
  </si>
  <si>
    <t>PM2.5 - Particulate Matter &lt;= 2.5 Micrometers</t>
  </si>
  <si>
    <t>NA - M10</t>
  </si>
  <si>
    <t>likely_ore_type</t>
  </si>
  <si>
    <t>Sulfide</t>
  </si>
  <si>
    <t>Oxide</t>
  </si>
  <si>
    <t>Oxide or Sulfide</t>
  </si>
  <si>
    <t>Energy</t>
  </si>
  <si>
    <t>Material use</t>
  </si>
  <si>
    <t>TR_available</t>
  </si>
  <si>
    <t>Intrusion related
Vein / narrow vein</t>
  </si>
  <si>
    <t>deposit_cmmi</t>
  </si>
  <si>
    <t>deposit_gr_cmmi</t>
  </si>
  <si>
    <t>deposit_type_cmmi</t>
  </si>
  <si>
    <t>Porphyry
Breccia pipe / Stockwork</t>
  </si>
  <si>
    <t>Magmatic
Footwal hosted
Breccia pipe / stockwork</t>
  </si>
  <si>
    <t>Veing / narrow vein
Contact-metasomatic
Footwall hosted</t>
  </si>
  <si>
    <t>Shrinkage stoping;Room-and-pillar;Longhole stoping</t>
  </si>
  <si>
    <t>Truck &amp; Shovel / Loader;Longhole stoping</t>
  </si>
  <si>
    <t>Longhole stoping;Mechanized Cut &amp; Fill;Underhand Cut &amp; Fill;Overhand Cut &amp; Fill</t>
  </si>
  <si>
    <t>Longitudinal open stoping;Longhole open stoping;Transverse open stoping</t>
  </si>
  <si>
    <t>Longitudinal stoping;Transverse stoping</t>
  </si>
  <si>
    <t>Longitudinal stoping;Alimak;Transverse stoping</t>
  </si>
  <si>
    <t>Truck &amp; Shovel / Loader;Sub-level Retreat</t>
  </si>
  <si>
    <t>Longhole stoping;Longitudinal stoping;Transverse stoping;Longitudinal retreat;Sill mining</t>
  </si>
  <si>
    <t>Sub-level open stoping (SLOS);Avoca</t>
  </si>
  <si>
    <t>Post Pillar Cut &amp; Fill;Longhole stoping;Transverse stoping</t>
  </si>
  <si>
    <t>Cut &amp; Fill;Blast Hole Stoping;Longhole stoping</t>
  </si>
  <si>
    <t>Cut &amp; Fill;Longhole stoping</t>
  </si>
  <si>
    <t>Truck &amp; Shovel / Loader;Longhole stoping;Transverse stoping;Longitudinal stoping</t>
  </si>
  <si>
    <t>Lalor: Cut and fill &amp; Longhole open stoping;1901: Post-Pillar Mechanized Cut &amp; Fill (PPMCAF) and Inclined Room &amp; Pillar;WIM/3 Zone: Longhole retreat​</t>
  </si>
  <si>
    <t>Truck &amp; Shovel / Loader;Underhand stoping;Longhole open stoping</t>
  </si>
  <si>
    <t>Truck &amp; Shovel / Loader;Longhole open stoping;Sub-level shrinkage;Sub-level caving</t>
  </si>
  <si>
    <t>Back stoping;Undercut mining</t>
  </si>
  <si>
    <t>Longitudinal stoping;Transverse stoping;Longhole stoping;Longitudinal open stoping</t>
  </si>
  <si>
    <t>Truck &amp; Shovel / Loader;Longitudinal open stoping;Transverse stoping;Longhole open stoping;Avoca</t>
  </si>
  <si>
    <t>Longhole open stoping;Transverse open stoping;Longitudinal open stoping</t>
  </si>
  <si>
    <t>Transverse open stoping;Open stoping;Longitudinal retreat</t>
  </si>
  <si>
    <t>Longhole stoping;Shrinkage stoping;Mechanized Cut &amp; Fill</t>
  </si>
  <si>
    <t>Avoca;Transverse stoping;Longhole stoping;Longitudinal retreat;Sub-level stoping</t>
  </si>
  <si>
    <t>Truck &amp; Shovel / Loader;Shrinkage stoping;Sub-level Retreat;Longhole stoping;Mechanized Cut &amp; Fill</t>
  </si>
  <si>
    <t>Longitudinal stoping;Transverse stoping;Longhole stoping</t>
  </si>
  <si>
    <t>Blast Hole Stoping;Sub-level Retreat</t>
  </si>
  <si>
    <t>Longhole open stoping;Longitudinal retreat</t>
  </si>
  <si>
    <t>Room-and-pillar;Longhole stoping</t>
  </si>
  <si>
    <t>Avoca;Transverse stoping;Alimak;Longitudinal retreat</t>
  </si>
  <si>
    <t>Truck &amp; Shovel / Loader;Blast Hole Stoping</t>
  </si>
  <si>
    <t>Cut &amp; Fill;Drift &amp; Fill;Sub-level open stoping (SLOS);Longhole open stoping</t>
  </si>
  <si>
    <t>Mechanized Cut &amp; Fill;Post Pillar Cut &amp; Fill;Longitudinal stoping;Transverse stoping;Slot-Slash;Uppers Retreat;Vertical Crater Retreat;Drift &amp; Fill</t>
  </si>
  <si>
    <t>Cut &amp; Fill;Vertical block mining (VBM);Slot-Slash</t>
  </si>
  <si>
    <t>Slot-Slash;Mechanized Cut &amp; Fill;Transverse stoping;Longitudinal stoping</t>
  </si>
  <si>
    <t>Drift &amp; Fill;Open stoping</t>
  </si>
  <si>
    <t>Longhole stoping;Alimak;Sub-level open stoping (SLOS)</t>
  </si>
  <si>
    <t>Longhole stoping;Longitudinal retreat</t>
  </si>
  <si>
    <t>Underground – Room and pillar – Room-and-Pillar, Underground – Stoping – Long-Hole Stoping, Underground – Stoping – Shrinkage Stoping</t>
  </si>
  <si>
    <t>Surface – Truck &amp; Shovel</t>
  </si>
  <si>
    <t>Surface – Truck &amp; Shovel, Underground – Stoping – Long-Hole Stoping</t>
  </si>
  <si>
    <t>Underground – Stoping – Cut-and-Fill Stoping, Underground – Stoping – Long-Hole Stoping</t>
  </si>
  <si>
    <t>Underground – Stoping – Long-Hole Stoping</t>
  </si>
  <si>
    <t>Surface – Truck &amp; Shovel, Underground – Caving – Sublevel Caving</t>
  </si>
  <si>
    <t>Underground – Stoping – Cut-and-Fill Stoping</t>
  </si>
  <si>
    <t>Underground – Caving – Block Caving</t>
  </si>
  <si>
    <t>Underground – Caving – Sublevel Caving</t>
  </si>
  <si>
    <t>Underground – Stoping – Cut-and-Fill Stoping, Underground – Stoping – Long-Hole Stoping, Underground – Stoping – Shrinkage Stoping</t>
  </si>
  <si>
    <t>Surface – Truck &amp; Shovel, Underground – Caving – Sublevel Caving, Underground – Stoping – Cut-and-Fill Stoping, Underground – Stoping – Long-Hole Stoping, Underground – Stoping – Shrinkage Stoping</t>
  </si>
  <si>
    <t>Underground – Room and pillar – Room-and-Pillar, Underground – Stoping – Long-Hole Stoping</t>
  </si>
  <si>
    <t>mining_method_cleaned</t>
  </si>
  <si>
    <t>mining_processing_type_nrcan</t>
  </si>
  <si>
    <t>CMP-fa032e21</t>
  </si>
  <si>
    <t>CMP-fa032e22</t>
  </si>
  <si>
    <t>CMP-fa032e23</t>
  </si>
  <si>
    <t>Assumed g/t</t>
  </si>
  <si>
    <t>Assumed ore grade</t>
  </si>
  <si>
    <t>Gold production'</t>
  </si>
  <si>
    <t>Given in MW in the Excel file but does not make sense</t>
  </si>
  <si>
    <t>Explosives, treated as energy consumption</t>
  </si>
  <si>
    <t>Surface/underground emulsion &amp; ANFO</t>
  </si>
  <si>
    <t>Mineral waste|Sludges</t>
  </si>
  <si>
    <t>Mill feed</t>
  </si>
  <si>
    <t>TR_Keno_Hill_2024.pdf</t>
  </si>
  <si>
    <t>TR_Casa_Berardi_2024.pdf</t>
  </si>
  <si>
    <t>"The Casa Berardi mill processes 3,730tpd, with future maximum production of 4,400tpd."</t>
  </si>
  <si>
    <t>https://www.gem.wiki/IOC_Carol_Lake_Mine</t>
  </si>
  <si>
    <t>https://www.gem.wiki/ArcelorMittal_Fire_Lake_Mine</t>
  </si>
  <si>
    <t>https://www.gem.wiki/Baffinland_Mary_River_Mine</t>
  </si>
  <si>
    <t>Turned to million metric tons when compared to Jasansky et al (2023), although the report says 7.9 'wet metric tons'</t>
  </si>
  <si>
    <t>Volatile Organic Compounds (Total)</t>
  </si>
  <si>
    <t>Arsenic (and its compounds)</t>
  </si>
  <si>
    <t>Mercury (and its compounds)</t>
  </si>
  <si>
    <t>Lead (and its compounds)</t>
  </si>
  <si>
    <t>Selenium (and its compounds)</t>
  </si>
  <si>
    <t>PM10 - Particulate Matter &lt;= 10 Micrometers</t>
  </si>
  <si>
    <t>Carbon monoxide</t>
  </si>
  <si>
    <t>https://miningdataonline.com/property/453/Macassa-Mine.aspx</t>
  </si>
  <si>
    <t>https://miningdataonline.com/property/1552/15-Mile-and-Beaver-Dam-Project.aspx</t>
  </si>
  <si>
    <t>Calculated</t>
  </si>
  <si>
    <t>Total waste generated taken for calculation</t>
  </si>
  <si>
    <t>Total waste rock generated taken for calculation</t>
  </si>
  <si>
    <t>Waste mined taken for calculation. Data from Alamos Gold</t>
  </si>
  <si>
    <t>Waste rock mined taken for calculation</t>
  </si>
  <si>
    <t>Total waste mined taken for calculation</t>
  </si>
  <si>
    <t>Mineral waste|Waste rock taken for calculation</t>
  </si>
  <si>
    <t>Waste rock generated taken for calculation</t>
  </si>
  <si>
    <t>Matte</t>
  </si>
  <si>
    <t>https://www.glencore.ca/en/sudburyino/who-we-are/at-a-glance</t>
  </si>
  <si>
    <t>Mining Technology provides a figure of 18,59kt in 2023, we rely on official Glencore's data,</t>
  </si>
  <si>
    <t>Nickel concentrate from Raglan is transported to Sudbury smelter (ship + train), returns to Quebec (train) and is shipped to Nikkelverk refinery in Norway</t>
  </si>
  <si>
    <t>https://www.glencore.ca/en/raglan/what-we-do/our-mining-activity</t>
  </si>
  <si>
    <t>On a 100% ownership basis, Assumed contained metal in concentrate as it is given in U3O8</t>
  </si>
  <si>
    <t>Given in ttpa (total ton per annum). Assumed ore processed as it does not require concentration (DSO), 'What makes Baffinland's operations different than many other mines is that we crush and screen the ore on site, and then ship it directly to markets – no concentrating or processing is needed, and therefore no tailings are produced.'</t>
  </si>
  <si>
    <t>https://www.gem.wiki/ArcelorMittal_Mont_Wright_Mine</t>
  </si>
  <si>
    <t>https://iaac-aeic.gc.ca/050/evaluations/proj/80011</t>
  </si>
  <si>
    <t>Assumed ore mined and stable production</t>
  </si>
  <si>
    <t>"Finished production", unclear what it refers to, Assumed refined production as it contains a refinery (Copper Cliff Complex)</t>
  </si>
  <si>
    <t>"Finished production", unclear what it refers to, Assumed metal in concentrate as it is a mine</t>
  </si>
  <si>
    <t>Calculated based on a 15,87% ore grade and 98,7% recovery rate</t>
  </si>
  <si>
    <t>Calculated based on a 6,55% ore grade and 95% recovery rate</t>
  </si>
  <si>
    <t>Calculated based on a 1,41% ore grade and 85% recovery rate for copper, which has the highest ore processed estimate</t>
  </si>
  <si>
    <t>Process the high-grade uranium ore which is supplied by the Cigar Lake mine</t>
  </si>
  <si>
    <t>Assumed 1% ore grade and 85% recovery rate (hypothesis, no data)</t>
  </si>
  <si>
    <t>Assumed 0,5% ore grade and 85% recovery rate, taking copper as the reference</t>
  </si>
  <si>
    <t>Assumed 0,34% ore grade and 85% recovery rate, taking copper as the reference</t>
  </si>
  <si>
    <t>https://minfile.gov.bc.ca/summary.aspx?minfilno=092ISW012</t>
  </si>
  <si>
    <t>Assumed metal in concentrate</t>
  </si>
  <si>
    <t>scope1|Biogenic CO2</t>
  </si>
  <si>
    <t>Explosives, treated as material input because in t</t>
  </si>
  <si>
    <t>Contained metal in doré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</si>
</sst>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3" x14ac:knownFonts="1">
    <font>
      <sz val="11"/>
      <color theme="1"/>
      <name val="Calibri"/>
      <family val="2"/>
      <scheme val="minor"/>
    </font>
    <font>
      <b/>
      <sz val="11"/>
      <color theme="1"/>
      <name val="Calibri"/>
      <family val="2"/>
      <scheme val="minor"/>
    </font>
    <font>
      <u/>
      <sz val="11"/>
      <color theme="10"/>
      <name val="Calibri"/>
      <family val="2"/>
      <scheme val="minor"/>
    </font>
    <font>
      <sz val="8"/>
      <name val="Calibri"/>
      <family val="2"/>
      <scheme val="minor"/>
    </font>
    <font>
      <b/>
      <sz val="11"/>
      <color theme="1"/>
      <name val="Calibri"/>
      <family val="2"/>
    </font>
    <font>
      <b/>
      <sz val="11"/>
      <name val="Calibri"/>
      <family val="2"/>
    </font>
    <font>
      <i/>
      <sz val="11"/>
      <color theme="1"/>
      <name val="Calibri"/>
      <family val="2"/>
      <scheme val="minor"/>
    </font>
    <font>
      <sz val="12"/>
      <color rgb="FF000000"/>
      <name val="Calibri"/>
      <family val="2"/>
    </font>
    <font>
      <sz val="11"/>
      <color rgb="FF000000"/>
      <name val="Calibri"/>
      <family val="2"/>
    </font>
    <font>
      <vertAlign val="subscript"/>
      <sz val="11"/>
      <color rgb="FF000000"/>
      <name val="Calibri"/>
      <family val="2"/>
    </font>
    <font>
      <sz val="11"/>
      <name val="Calibri"/>
      <family val="2"/>
    </font>
    <font>
      <sz val="8"/>
      <color rgb="FF000000"/>
      <name val="Verdana"/>
      <family val="2"/>
    </font>
    <font>
      <sz val="11"/>
      <color rgb="FF000000"/>
      <name val="Calibri"/>
      <family val="2"/>
      <scheme val="minor"/>
    </font>
  </fonts>
  <fills count="8">
    <fill>
      <patternFill patternType="none"/>
    </fill>
    <fill>
      <patternFill patternType="gray125"/>
    </fill>
    <fill>
      <patternFill patternType="solid">
        <fgColor theme="2" tint="-9.9978637043366805E-2"/>
        <bgColor indexed="64"/>
      </patternFill>
    </fill>
    <fill>
      <patternFill patternType="solid">
        <fgColor rgb="FFFFFF00"/>
        <bgColor indexed="64"/>
      </patternFill>
    </fill>
    <fill>
      <patternFill patternType="solid">
        <fgColor theme="1" tint="0.499984740745262"/>
        <bgColor indexed="64"/>
      </patternFill>
    </fill>
    <fill>
      <patternFill patternType="solid">
        <fgColor theme="0"/>
        <bgColor indexed="64"/>
      </patternFill>
    </fill>
    <fill>
      <patternFill patternType="solid">
        <fgColor theme="2"/>
        <bgColor indexed="64"/>
      </patternFill>
    </fill>
    <fill>
      <patternFill patternType="solid">
        <fgColor rgb="FFFFFFFF"/>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indexed="64"/>
      </bottom>
      <diagonal/>
    </border>
    <border>
      <left style="thin">
        <color auto="1"/>
      </left>
      <right/>
      <top/>
      <bottom style="thin">
        <color indexed="64"/>
      </bottom>
      <diagonal/>
    </border>
    <border>
      <left/>
      <right style="thin">
        <color auto="1"/>
      </right>
      <top/>
      <bottom style="thin">
        <color indexed="64"/>
      </bottom>
      <diagonal/>
    </border>
    <border>
      <left/>
      <right/>
      <top/>
      <bottom style="thin">
        <color indexed="64"/>
      </bottom>
      <diagonal/>
    </border>
    <border>
      <left style="thin">
        <color rgb="FFD0D0D0"/>
      </left>
      <right style="thin">
        <color rgb="FFD0D0D0"/>
      </right>
      <top style="thin">
        <color rgb="FFD0D0D0"/>
      </top>
      <bottom style="thin">
        <color rgb="FFD0D0D0"/>
      </bottom>
      <diagonal/>
    </border>
  </borders>
  <cellStyleXfs count="2">
    <xf numFmtId="0" fontId="0" fillId="0" borderId="0"/>
    <xf numFmtId="0" fontId="2" fillId="0" borderId="0" applyNumberFormat="0" applyFill="0" applyBorder="0" applyAlignment="0" applyProtection="0"/>
  </cellStyleXfs>
  <cellXfs count="57">
    <xf numFmtId="0" fontId="0" fillId="0" borderId="0" xfId="0"/>
    <xf numFmtId="0" fontId="4" fillId="0" borderId="1" xfId="0" applyFont="1" applyBorder="1" applyAlignment="1">
      <alignment horizontal="center" vertical="top"/>
    </xf>
    <xf numFmtId="0" fontId="2" fillId="0" borderId="0" xfId="1" applyFill="1"/>
    <xf numFmtId="0" fontId="2" fillId="0" borderId="0" xfId="1" applyFill="1" applyAlignment="1">
      <alignment wrapText="1"/>
    </xf>
    <xf numFmtId="0" fontId="1" fillId="0" borderId="5" xfId="0" applyFont="1" applyBorder="1"/>
    <xf numFmtId="0" fontId="0" fillId="0" borderId="5" xfId="0" applyBorder="1"/>
    <xf numFmtId="0" fontId="1" fillId="0" borderId="0" xfId="0" applyFont="1"/>
    <xf numFmtId="0" fontId="4" fillId="0" borderId="0" xfId="0" applyFont="1" applyAlignment="1">
      <alignment horizontal="center" vertical="top"/>
    </xf>
    <xf numFmtId="0" fontId="5" fillId="0" borderId="0" xfId="0" applyFont="1" applyAlignment="1">
      <alignment horizontal="left" vertical="top"/>
    </xf>
    <xf numFmtId="164" fontId="1" fillId="0" borderId="0" xfId="0" applyNumberFormat="1" applyFont="1"/>
    <xf numFmtId="164" fontId="0" fillId="0" borderId="0" xfId="0" applyNumberFormat="1"/>
    <xf numFmtId="0" fontId="0" fillId="0" borderId="0" xfId="0" applyAlignment="1">
      <alignment vertical="center"/>
    </xf>
    <xf numFmtId="0" fontId="1" fillId="0" borderId="3" xfId="0" applyFont="1" applyBorder="1"/>
    <xf numFmtId="0" fontId="1" fillId="0" borderId="4" xfId="0" applyFont="1" applyBorder="1"/>
    <xf numFmtId="0" fontId="1" fillId="0" borderId="2" xfId="0" applyFont="1" applyBorder="1"/>
    <xf numFmtId="0" fontId="4" fillId="0" borderId="2" xfId="0" applyFont="1" applyBorder="1" applyAlignment="1">
      <alignment horizontal="center" vertical="top"/>
    </xf>
    <xf numFmtId="0" fontId="4" fillId="0" borderId="5" xfId="0" applyFont="1" applyBorder="1" applyAlignment="1">
      <alignment horizontal="center" vertical="top"/>
    </xf>
    <xf numFmtId="0" fontId="0" fillId="0" borderId="0" xfId="0" applyAlignment="1">
      <alignment wrapText="1"/>
    </xf>
    <xf numFmtId="0" fontId="0" fillId="2" borderId="0" xfId="0" applyFill="1"/>
    <xf numFmtId="0" fontId="2" fillId="2" borderId="0" xfId="1" applyFill="1"/>
    <xf numFmtId="0" fontId="0" fillId="2" borderId="0" xfId="0" applyFill="1" applyAlignment="1">
      <alignment wrapText="1"/>
    </xf>
    <xf numFmtId="0" fontId="6" fillId="0" borderId="0" xfId="0" applyFont="1"/>
    <xf numFmtId="0" fontId="2" fillId="0" borderId="0" xfId="1"/>
    <xf numFmtId="3" fontId="0" fillId="0" borderId="0" xfId="0" applyNumberFormat="1"/>
    <xf numFmtId="2" fontId="7" fillId="0" borderId="0" xfId="0" applyNumberFormat="1" applyFont="1" applyAlignment="1">
      <alignment horizontal="right" vertical="center" wrapText="1"/>
    </xf>
    <xf numFmtId="2" fontId="0" fillId="0" borderId="0" xfId="0" applyNumberFormat="1"/>
    <xf numFmtId="2" fontId="8" fillId="0" borderId="0" xfId="0" applyNumberFormat="1" applyFont="1" applyAlignment="1">
      <alignment horizontal="right" vertical="center" wrapText="1"/>
    </xf>
    <xf numFmtId="0" fontId="8" fillId="0" borderId="0" xfId="0" applyFont="1"/>
    <xf numFmtId="0" fontId="0" fillId="0" borderId="0" xfId="0" applyAlignment="1">
      <alignment vertical="center" wrapText="1"/>
    </xf>
    <xf numFmtId="3" fontId="0" fillId="0" borderId="0" xfId="0" applyNumberFormat="1" applyAlignment="1">
      <alignment vertical="center" wrapText="1"/>
    </xf>
    <xf numFmtId="0" fontId="2" fillId="0" borderId="0" xfId="1" applyAlignment="1">
      <alignment wrapText="1"/>
    </xf>
    <xf numFmtId="4" fontId="0" fillId="0" borderId="0" xfId="0" applyNumberFormat="1"/>
    <xf numFmtId="0" fontId="5" fillId="0" borderId="1" xfId="0" applyFont="1" applyBorder="1" applyAlignment="1">
      <alignment horizontal="center" vertical="top"/>
    </xf>
    <xf numFmtId="0" fontId="10" fillId="0" borderId="0" xfId="0" applyFont="1" applyAlignment="1">
      <alignment horizontal="left" vertical="top"/>
    </xf>
    <xf numFmtId="0" fontId="0" fillId="3" borderId="0" xfId="0" applyFill="1"/>
    <xf numFmtId="0" fontId="2" fillId="3" borderId="0" xfId="1" applyFill="1"/>
    <xf numFmtId="0" fontId="1" fillId="4" borderId="0" xfId="0" applyFont="1" applyFill="1"/>
    <xf numFmtId="0" fontId="0" fillId="4" borderId="0" xfId="0" applyFill="1"/>
    <xf numFmtId="0" fontId="0" fillId="4" borderId="0" xfId="0" applyFill="1" applyAlignment="1">
      <alignment vertical="center" wrapText="1"/>
    </xf>
    <xf numFmtId="49" fontId="0" fillId="0" borderId="0" xfId="0" applyNumberFormat="1"/>
    <xf numFmtId="0" fontId="5" fillId="0" borderId="0" xfId="0" applyFont="1" applyAlignment="1">
      <alignment horizontal="left" vertical="top" wrapText="1"/>
    </xf>
    <xf numFmtId="4" fontId="1" fillId="0" borderId="0" xfId="0" applyNumberFormat="1" applyFont="1"/>
    <xf numFmtId="0" fontId="0" fillId="0" borderId="0" xfId="0" quotePrefix="1"/>
    <xf numFmtId="0" fontId="0" fillId="5" borderId="0" xfId="0" applyFill="1"/>
    <xf numFmtId="164" fontId="0" fillId="5" borderId="0" xfId="0" applyNumberFormat="1" applyFill="1"/>
    <xf numFmtId="0" fontId="0" fillId="6" borderId="0" xfId="0" applyFill="1"/>
    <xf numFmtId="164" fontId="0" fillId="6" borderId="0" xfId="0" applyNumberFormat="1" applyFill="1"/>
    <xf numFmtId="0" fontId="12" fillId="0" borderId="0" xfId="0" applyFont="1" applyAlignment="1">
      <alignment horizontal="right"/>
    </xf>
    <xf numFmtId="0" fontId="12" fillId="7" borderId="0" xfId="0" applyFont="1" applyFill="1" applyAlignment="1">
      <alignment horizontal="right"/>
    </xf>
    <xf numFmtId="0" fontId="0" fillId="0" borderId="6" xfId="0" applyBorder="1"/>
    <xf numFmtId="165" fontId="11" fillId="7" borderId="0" xfId="0" applyNumberFormat="1" applyFont="1" applyFill="1" applyAlignment="1">
      <alignment horizontal="right"/>
    </xf>
    <xf numFmtId="0" fontId="1" fillId="0" borderId="0" xfId="0" applyFont="1" applyFill="1"/>
    <xf numFmtId="0" fontId="4" fillId="0" borderId="0" xfId="0" applyFont="1" applyFill="1" applyAlignment="1">
      <alignment horizontal="center" vertical="top"/>
    </xf>
    <xf numFmtId="164" fontId="1" fillId="0" borderId="0" xfId="0" applyNumberFormat="1" applyFont="1" applyFill="1"/>
    <xf numFmtId="0" fontId="0" fillId="0" borderId="0" xfId="0" applyFill="1"/>
    <xf numFmtId="164" fontId="0" fillId="0" borderId="0" xfId="0" applyNumberFormat="1" applyFill="1"/>
    <xf numFmtId="0" fontId="8" fillId="0" borderId="0" xfId="0" applyFont="1" applyFill="1"/>
  </cellXfs>
  <cellStyles count="2">
    <cellStyle name="Lien hypertexte"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person displayName="Marin PELLAN" id="{38345E2C-A498-4DF2-856C-A1A5BD8FF5A2}" userId="S::marin.pellan@polymtlus.ca::b769edc3-00f3-432c-88ea-f74fb5c6c1e4"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L97" dT="2025-05-06T14:26:15.08" personId="{38345E2C-A498-4DF2-856C-A1A5BD8FF5A2}" id="{69262AF1-40D0-4120-AEAB-8844FD9B638C}">
    <text>5PGM+Au, that is platinum, palladium, rhodium, ruthenium, osmium and gold</text>
  </threadedComment>
  <threadedComment ref="R205" dT="2025-05-08T14:38:53.93" personId="{38345E2C-A498-4DF2-856C-A1A5BD8FF5A2}" id="{6CBFBEE9-BB42-4E27-A3B8-AEA61CEACAE4}">
    <text>shows smelter grade alumina only and excludes hydrate produced and used for specialty alumina.</text>
  </threadedComment>
</ThreadedComments>
</file>

<file path=xl/threadedComments/threadedComment2.xml><?xml version="1.0" encoding="utf-8"?>
<ThreadedComments xmlns="http://schemas.microsoft.com/office/spreadsheetml/2018/threadedcomments" xmlns:x="http://schemas.openxmlformats.org/spreadsheetml/2006/main">
  <threadedComment ref="L41" dT="2025-05-06T14:26:15.08" personId="{38345E2C-A498-4DF2-856C-A1A5BD8FF5A2}" id="{1D7E966F-EF38-456E-860D-3A9ABED68F2D}">
    <text>5PGM+Au, that is platinum, palladium, rhodium, ruthenium, osmium and gold</text>
  </threadedComment>
</ThreadedComments>
</file>

<file path=xl/threadedComments/threadedComment3.xml><?xml version="1.0" encoding="utf-8"?>
<ThreadedComments xmlns="http://schemas.microsoft.com/office/spreadsheetml/2018/threadedcomments" xmlns:x="http://schemas.openxmlformats.org/spreadsheetml/2006/main">
  <threadedComment ref="N79" dT="2025-04-22T18:03:08.91" personId="{38345E2C-A498-4DF2-856C-A1A5BD8FF5A2}" id="{4F2EB63B-0014-4A53-9DEF-EDB5160CFC57}">
    <text>Hazardous air pollutants</text>
  </threadedComment>
  <threadedComment ref="P79" dT="2025-04-22T18:03:08.91" personId="{38345E2C-A498-4DF2-856C-A1A5BD8FF5A2}" id="{963CBBC0-1BCA-4DAA-A1D8-7B31636DD577}">
    <text>Hazardous air pollutants</text>
  </threadedComment>
</ThreadedComments>
</file>

<file path=xl/threadedComments/threadedComment4.xml><?xml version="1.0" encoding="utf-8"?>
<ThreadedComments xmlns="http://schemas.microsoft.com/office/spreadsheetml/2018/threadedcomments" xmlns:x="http://schemas.openxmlformats.org/spreadsheetml/2006/main">
  <threadedComment ref="P114" dT="2025-05-07T12:40:49.57" personId="{38345E2C-A498-4DF2-856C-A1A5BD8FF5A2}" id="{14034196-F146-4235-B111-D9DB44CB83C5}">
    <text>“open mine area is the cumulative area of lanad that has not been rehabilitated”.</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s://www.cnrl.com/" TargetMode="External"/><Relationship Id="rId21" Type="http://schemas.openxmlformats.org/officeDocument/2006/relationships/hyperlink" Target="https://westmoreland.com/" TargetMode="External"/><Relationship Id="rId42" Type="http://schemas.openxmlformats.org/officeDocument/2006/relationships/hyperlink" Target="https://miningdataonline.com/property/46/LaRonde-Mine.aspx" TargetMode="External"/><Relationship Id="rId47" Type="http://schemas.openxmlformats.org/officeDocument/2006/relationships/hyperlink" Target="https://operations.newmont.com/north-america/porcupine-canada" TargetMode="External"/><Relationship Id="rId63" Type="http://schemas.openxmlformats.org/officeDocument/2006/relationships/hyperlink" Target="https://miningdataonline.com/property/3048/Kiena-Mine.aspx" TargetMode="External"/><Relationship Id="rId68" Type="http://schemas.openxmlformats.org/officeDocument/2006/relationships/hyperlink" Target="https://miningdataonline.com/property/17/Ekati-Mine.aspx" TargetMode="External"/><Relationship Id="rId84" Type="http://schemas.openxmlformats.org/officeDocument/2006/relationships/hyperlink" Target="https://realalloy.com/" TargetMode="External"/><Relationship Id="rId89" Type="http://schemas.openxmlformats.org/officeDocument/2006/relationships/hyperlink" Target="https://miningdataonline.com/property/1524/Seabee-Gold-Operation.aspx" TargetMode="External"/><Relationship Id="rId16" Type="http://schemas.openxmlformats.org/officeDocument/2006/relationships/hyperlink" Target="https://www.riotinto.com/en/operations/canada/iron-ore-company-canada" TargetMode="External"/><Relationship Id="rId107" Type="http://schemas.openxmlformats.org/officeDocument/2006/relationships/hyperlink" Target="https://www.tatasteel.com/investors/annual-report-2014-15/html/tata-steel-minerals-canada.html" TargetMode="External"/><Relationship Id="rId11" Type="http://schemas.openxmlformats.org/officeDocument/2006/relationships/hyperlink" Target="https://hudbayminerals.com/canada/default.aspx" TargetMode="External"/><Relationship Id="rId32" Type="http://schemas.openxmlformats.org/officeDocument/2006/relationships/hyperlink" Target="https://malartic.agnicoeagle.com/en/" TargetMode="External"/><Relationship Id="rId37" Type="http://schemas.openxmlformats.org/officeDocument/2006/relationships/hyperlink" Target="https://miningdataonline.com/property/47/Meadowbank-Mine.aspx" TargetMode="External"/><Relationship Id="rId53" Type="http://schemas.openxmlformats.org/officeDocument/2006/relationships/hyperlink" Target="https://panamericansilver.com/operations-2/gold-segment/timmins/" TargetMode="External"/><Relationship Id="rId58" Type="http://schemas.openxmlformats.org/officeDocument/2006/relationships/hyperlink" Target="https://www.teck.com/operations/canada/operations/highland-valley-copper/" TargetMode="External"/><Relationship Id="rId74" Type="http://schemas.openxmlformats.org/officeDocument/2006/relationships/hyperlink" Target="https://www.hecla.com/operations/hecla-keno-hill-yukon-territory-canada" TargetMode="External"/><Relationship Id="rId79" Type="http://schemas.openxmlformats.org/officeDocument/2006/relationships/hyperlink" Target="https://miningdataonline.com/property/55/Lac-des-Iles-Mine.aspx" TargetMode="External"/><Relationship Id="rId102" Type="http://schemas.openxmlformats.org/officeDocument/2006/relationships/hyperlink" Target="https://miningdataonline.com/property/1510/WolverinePerry-Creek-Mine.aspx" TargetMode="External"/><Relationship Id="rId5" Type="http://schemas.openxmlformats.org/officeDocument/2006/relationships/hyperlink" Target="https://www.centerragold.com/" TargetMode="External"/><Relationship Id="rId90" Type="http://schemas.openxmlformats.org/officeDocument/2006/relationships/hyperlink" Target="https://stbarbara.com.au/our-operations/our-atlantic-operations/" TargetMode="External"/><Relationship Id="rId95" Type="http://schemas.openxmlformats.org/officeDocument/2006/relationships/hyperlink" Target="https://miningdataonline.com/property/567/Fort-Hills-Mine.aspx" TargetMode="External"/><Relationship Id="rId22" Type="http://schemas.openxmlformats.org/officeDocument/2006/relationships/hyperlink" Target="https://agnicoeagle.com/Home/default.aspx" TargetMode="External"/><Relationship Id="rId27" Type="http://schemas.openxmlformats.org/officeDocument/2006/relationships/hyperlink" Target="https://www.canadianroyalties.com/" TargetMode="External"/><Relationship Id="rId43" Type="http://schemas.openxmlformats.org/officeDocument/2006/relationships/hyperlink" Target="https://miningdataonline.com/property/20/Canadian-Malartic-Complex.aspx" TargetMode="External"/><Relationship Id="rId48" Type="http://schemas.openxmlformats.org/officeDocument/2006/relationships/hyperlink" Target="https://miningdataonline.com/property/7/Island-Gold-Mine.aspx" TargetMode="External"/><Relationship Id="rId64" Type="http://schemas.openxmlformats.org/officeDocument/2006/relationships/hyperlink" Target="https://miningdataonline.com/property/1238/Mishi-Mine.aspx" TargetMode="External"/><Relationship Id="rId69" Type="http://schemas.openxmlformats.org/officeDocument/2006/relationships/hyperlink" Target="https://miningdataonline.com/property/57/Mary-River-Mine.aspx" TargetMode="External"/><Relationship Id="rId80" Type="http://schemas.openxmlformats.org/officeDocument/2006/relationships/hyperlink" Target="https://www.mountpolley.com/" TargetMode="External"/><Relationship Id="rId85" Type="http://schemas.openxmlformats.org/officeDocument/2006/relationships/hyperlink" Target="https://www.mint.ca/en/storage-and-refinery/refinery" TargetMode="External"/><Relationship Id="rId12" Type="http://schemas.openxmlformats.org/officeDocument/2006/relationships/hyperlink" Target="https://www.iamgold.com/English/home/default.aspx" TargetMode="External"/><Relationship Id="rId17" Type="http://schemas.openxmlformats.org/officeDocument/2006/relationships/hyperlink" Target="https://www.sherritt.com/English/Home/default.aspx" TargetMode="External"/><Relationship Id="rId33" Type="http://schemas.openxmlformats.org/officeDocument/2006/relationships/hyperlink" Target="https://www.agnicoeagle.com/English/operations/operations/goldex/default.aspx" TargetMode="External"/><Relationship Id="rId38" Type="http://schemas.openxmlformats.org/officeDocument/2006/relationships/hyperlink" Target="https://miningdataonline.com/property/13/Detour-Lake-Mine.aspx" TargetMode="External"/><Relationship Id="rId59" Type="http://schemas.openxmlformats.org/officeDocument/2006/relationships/hyperlink" Target="https://www.teck.com/operations/canada/operations/trail-operations/" TargetMode="External"/><Relationship Id="rId103" Type="http://schemas.openxmlformats.org/officeDocument/2006/relationships/hyperlink" Target="https://miningdataonline.com/property/977/Tanco-Bernic-Lake-Mine.aspx" TargetMode="External"/><Relationship Id="rId108" Type="http://schemas.openxmlformats.org/officeDocument/2006/relationships/hyperlink" Target="https://miningdataonline.com/property/64/Myra-Falls-Mine.aspx" TargetMode="External"/><Relationship Id="rId20" Type="http://schemas.openxmlformats.org/officeDocument/2006/relationships/hyperlink" Target="https://www.wesdome.com/English/overview/default.aspx" TargetMode="External"/><Relationship Id="rId41" Type="http://schemas.openxmlformats.org/officeDocument/2006/relationships/hyperlink" Target="https://miningdataonline.com/property/44/Goldex-Mine.aspx" TargetMode="External"/><Relationship Id="rId54" Type="http://schemas.openxmlformats.org/officeDocument/2006/relationships/hyperlink" Target="https://panamericansilver.com/operations-2/gold-segment/timmins/" TargetMode="External"/><Relationship Id="rId62" Type="http://schemas.openxmlformats.org/officeDocument/2006/relationships/hyperlink" Target="https://miningdataonline.com/property/1254/Eagle-River-Complex.aspx" TargetMode="External"/><Relationship Id="rId70" Type="http://schemas.openxmlformats.org/officeDocument/2006/relationships/hyperlink" Target="https://www.eldoradogold.com/assets/operations/lamaque-complex" TargetMode="External"/><Relationship Id="rId75" Type="http://schemas.openxmlformats.org/officeDocument/2006/relationships/hyperlink" Target="https://www.hecla.com/operations/casa-berardi-quebec-canada" TargetMode="External"/><Relationship Id="rId83" Type="http://schemas.openxmlformats.org/officeDocument/2006/relationships/hyperlink" Target="https://magnamining.com/acquisition-includes-a-portfolio-of-critical-mineral-exploration-and-development-assets-in-the-sudbury-basin-mining-district/" TargetMode="External"/><Relationship Id="rId88" Type="http://schemas.openxmlformats.org/officeDocument/2006/relationships/hyperlink" Target="https://www.ssrmining.com/operations/production/seabee/" TargetMode="External"/><Relationship Id="rId91" Type="http://schemas.openxmlformats.org/officeDocument/2006/relationships/hyperlink" Target="https://miningdataonline.com/property/944/Atlantic-Operation.aspx" TargetMode="External"/><Relationship Id="rId96" Type="http://schemas.openxmlformats.org/officeDocument/2006/relationships/hyperlink" Target="https://www.alcoa.com/global/en/home/" TargetMode="External"/><Relationship Id="rId1" Type="http://schemas.openxmlformats.org/officeDocument/2006/relationships/hyperlink" Target="https://alamosgold.com/" TargetMode="External"/><Relationship Id="rId6" Type="http://schemas.openxmlformats.org/officeDocument/2006/relationships/hyperlink" Target="https://conumaresources.com/" TargetMode="External"/><Relationship Id="rId15" Type="http://schemas.openxmlformats.org/officeDocument/2006/relationships/hyperlink" Target="https://panamericansilver.com/" TargetMode="External"/><Relationship Id="rId23" Type="http://schemas.openxmlformats.org/officeDocument/2006/relationships/hyperlink" Target="https://www.barrick.com/English/home/default.aspx" TargetMode="External"/><Relationship Id="rId28" Type="http://schemas.openxmlformats.org/officeDocument/2006/relationships/hyperlink" Target="https://www.agnicoeagle.com/English/operations/operations/meadowbank/default.aspx" TargetMode="External"/><Relationship Id="rId36" Type="http://schemas.openxmlformats.org/officeDocument/2006/relationships/hyperlink" Target="https://agnicoeagle.com/Home/default.aspx" TargetMode="External"/><Relationship Id="rId49" Type="http://schemas.openxmlformats.org/officeDocument/2006/relationships/hyperlink" Target="https://miningdataonline.com/property/1484/young-davidson-mine.aspx" TargetMode="External"/><Relationship Id="rId57" Type="http://schemas.openxmlformats.org/officeDocument/2006/relationships/hyperlink" Target="https://miningdataonline.com/property/50/Highland-Valley-Mine.aspx" TargetMode="External"/><Relationship Id="rId106" Type="http://schemas.openxmlformats.org/officeDocument/2006/relationships/hyperlink" Target="https://www.tasekomines.com/properties/yellowhead-project/" TargetMode="External"/><Relationship Id="rId10" Type="http://schemas.openxmlformats.org/officeDocument/2006/relationships/hyperlink" Target="https://www.hecla.com/" TargetMode="External"/><Relationship Id="rId31" Type="http://schemas.openxmlformats.org/officeDocument/2006/relationships/hyperlink" Target="https://www.agnicoeagle.com/English/operations/operations/meliadine/default.aspx" TargetMode="External"/><Relationship Id="rId44" Type="http://schemas.openxmlformats.org/officeDocument/2006/relationships/hyperlink" Target="https://miningdataonline.com/property/453/Macassa-Complex.aspx" TargetMode="External"/><Relationship Id="rId52" Type="http://schemas.openxmlformats.org/officeDocument/2006/relationships/hyperlink" Target="https://www.alamosgold.com/operations/producing-mines/young-davidson-canada/default.aspx" TargetMode="External"/><Relationship Id="rId60" Type="http://schemas.openxmlformats.org/officeDocument/2006/relationships/hyperlink" Target="https://miningdataonline.com/property/69/Rainy-River-Mine.aspx" TargetMode="External"/><Relationship Id="rId65" Type="http://schemas.openxmlformats.org/officeDocument/2006/relationships/hyperlink" Target="https://www.glencore.ca/en" TargetMode="External"/><Relationship Id="rId73" Type="http://schemas.openxmlformats.org/officeDocument/2006/relationships/hyperlink" Target="https://gold-mountain.ca/operations/" TargetMode="External"/><Relationship Id="rId78" Type="http://schemas.openxmlformats.org/officeDocument/2006/relationships/hyperlink" Target="https://www.nap.com/operations/default.aspx" TargetMode="External"/><Relationship Id="rId81" Type="http://schemas.openxmlformats.org/officeDocument/2006/relationships/hyperlink" Target="https://miningdataonline.com/property/61/Mount-Polley.aspx" TargetMode="External"/><Relationship Id="rId86" Type="http://schemas.openxmlformats.org/officeDocument/2006/relationships/hyperlink" Target="https://miningdataonline.com/property/1741/Sugar-Zone-Mine.aspx" TargetMode="External"/><Relationship Id="rId94" Type="http://schemas.openxmlformats.org/officeDocument/2006/relationships/hyperlink" Target="https://www.suncor.com/" TargetMode="External"/><Relationship Id="rId99" Type="http://schemas.openxmlformats.org/officeDocument/2006/relationships/hyperlink" Target="https://www.baymag.com/" TargetMode="External"/><Relationship Id="rId101" Type="http://schemas.openxmlformats.org/officeDocument/2006/relationships/hyperlink" Target="https://miningdataonline.com/property/78/Willow-Creek-Mine.aspx" TargetMode="External"/><Relationship Id="rId4" Type="http://schemas.openxmlformats.org/officeDocument/2006/relationships/hyperlink" Target="https://www.cnrl.com/" TargetMode="External"/><Relationship Id="rId9" Type="http://schemas.openxmlformats.org/officeDocument/2006/relationships/hyperlink" Target="https://www.ferroglobe.com/about-ferroglobe/industrial-footprint/b%C3%A9cancour" TargetMode="External"/><Relationship Id="rId13" Type="http://schemas.openxmlformats.org/officeDocument/2006/relationships/hyperlink" Target="https://kghm.com/en" TargetMode="External"/><Relationship Id="rId18" Type="http://schemas.openxmlformats.org/officeDocument/2006/relationships/hyperlink" Target="https://stornowaydiamonds.com/English/home/default.html" TargetMode="External"/><Relationship Id="rId39" Type="http://schemas.openxmlformats.org/officeDocument/2006/relationships/hyperlink" Target="https://miningdataonline.com/property/47/Meadowbank-Mine.aspx" TargetMode="External"/><Relationship Id="rId34" Type="http://schemas.openxmlformats.org/officeDocument/2006/relationships/hyperlink" Target="https://www.agnicoeagle.com/English/operations/operations/Macassa-Mine/default.aspx" TargetMode="External"/><Relationship Id="rId50" Type="http://schemas.openxmlformats.org/officeDocument/2006/relationships/hyperlink" Target="https://corazon.com.au/our-projects/lynn-lake-project/" TargetMode="External"/><Relationship Id="rId55" Type="http://schemas.openxmlformats.org/officeDocument/2006/relationships/hyperlink" Target="https://miningdataonline.com/property/8/Bell-Creek-Mine.aspx" TargetMode="External"/><Relationship Id="rId76" Type="http://schemas.openxmlformats.org/officeDocument/2006/relationships/hyperlink" Target="https://miningdataonline.com/property/4563/Keno-Hill-Operation.aspx" TargetMode="External"/><Relationship Id="rId97" Type="http://schemas.openxmlformats.org/officeDocument/2006/relationships/hyperlink" Target="https://www.algoma.com/" TargetMode="External"/><Relationship Id="rId104" Type="http://schemas.openxmlformats.org/officeDocument/2006/relationships/hyperlink" Target="https://tancomine.com/" TargetMode="External"/><Relationship Id="rId7" Type="http://schemas.openxmlformats.org/officeDocument/2006/relationships/hyperlink" Target="https://www.elkem.com/" TargetMode="External"/><Relationship Id="rId71" Type="http://schemas.openxmlformats.org/officeDocument/2006/relationships/hyperlink" Target="https://miningdataonline.com/property/1694/Lamaque-Project.aspx" TargetMode="External"/><Relationship Id="rId92" Type="http://schemas.openxmlformats.org/officeDocument/2006/relationships/hyperlink" Target="https://www.stelco.com/about-us/our-facilities" TargetMode="External"/><Relationship Id="rId2" Type="http://schemas.openxmlformats.org/officeDocument/2006/relationships/hyperlink" Target="https://www.altasteel.com/" TargetMode="External"/><Relationship Id="rId29" Type="http://schemas.openxmlformats.org/officeDocument/2006/relationships/hyperlink" Target="https://www.agnicoeagle.com/English/operations/operations/Detour-Lake-Mine/default.aspx" TargetMode="External"/><Relationship Id="rId24" Type="http://schemas.openxmlformats.org/officeDocument/2006/relationships/hyperlink" Target="https://www.baffinland.com/operation/mary-river-mine/" TargetMode="External"/><Relationship Id="rId40" Type="http://schemas.openxmlformats.org/officeDocument/2006/relationships/hyperlink" Target="https://miningdataonline.com/property/959/Meliadine-Mine.aspx" TargetMode="External"/><Relationship Id="rId45" Type="http://schemas.openxmlformats.org/officeDocument/2006/relationships/hyperlink" Target="https://operations.newmont.com/north-america/brucejack-canada" TargetMode="External"/><Relationship Id="rId66" Type="http://schemas.openxmlformats.org/officeDocument/2006/relationships/hyperlink" Target="https://miningdataonline.com/property/1375/Sudbury-INO-Operation.aspx" TargetMode="External"/><Relationship Id="rId87" Type="http://schemas.openxmlformats.org/officeDocument/2006/relationships/hyperlink" Target="https://vaultminerals.com/operations/sugar-zone" TargetMode="External"/><Relationship Id="rId61" Type="http://schemas.openxmlformats.org/officeDocument/2006/relationships/hyperlink" Target="https://miningdataonline.com/property/11/new-afton-mine.aspx" TargetMode="External"/><Relationship Id="rId82" Type="http://schemas.openxmlformats.org/officeDocument/2006/relationships/hyperlink" Target="https://miningdataonline.com/property/173/McCreedy-West,--Morrison-Levack-Sudbury-Basin-Mine.aspx" TargetMode="External"/><Relationship Id="rId19" Type="http://schemas.openxmlformats.org/officeDocument/2006/relationships/hyperlink" Target="https://www.tasekomines.com/" TargetMode="External"/><Relationship Id="rId14" Type="http://schemas.openxmlformats.org/officeDocument/2006/relationships/hyperlink" Target="https://newgold.com/home/default.aspx" TargetMode="External"/><Relationship Id="rId30" Type="http://schemas.openxmlformats.org/officeDocument/2006/relationships/hyperlink" Target="https://www.agnicoeagle.com/English/operations/operations/meadowbank/default.aspx" TargetMode="External"/><Relationship Id="rId35" Type="http://schemas.openxmlformats.org/officeDocument/2006/relationships/hyperlink" Target="https://www.agnicoeagle.com/English/operations/operations/laronde/default.aspx" TargetMode="External"/><Relationship Id="rId56" Type="http://schemas.openxmlformats.org/officeDocument/2006/relationships/hyperlink" Target="https://miningdataonline.com/property/9/Timmins-West-Mine.aspx" TargetMode="External"/><Relationship Id="rId77" Type="http://schemas.openxmlformats.org/officeDocument/2006/relationships/hyperlink" Target="https://miningdataonline.com/property/24/Casa-Berardi-Mine.aspx" TargetMode="External"/><Relationship Id="rId100" Type="http://schemas.openxmlformats.org/officeDocument/2006/relationships/hyperlink" Target="https://miningdataonline.com/property/19/Brule-Mine.aspx" TargetMode="External"/><Relationship Id="rId105" Type="http://schemas.openxmlformats.org/officeDocument/2006/relationships/hyperlink" Target="https://swisssteel-group.com/en" TargetMode="External"/><Relationship Id="rId8" Type="http://schemas.openxmlformats.org/officeDocument/2006/relationships/hyperlink" Target="https://www.ferroglobe.com/" TargetMode="External"/><Relationship Id="rId51" Type="http://schemas.openxmlformats.org/officeDocument/2006/relationships/hyperlink" Target="https://www.alamosgold.com/operations/producing-mines/island-gold-canada/default.aspx" TargetMode="External"/><Relationship Id="rId72" Type="http://schemas.openxmlformats.org/officeDocument/2006/relationships/hyperlink" Target="https://miningdataonline.com/property/3134/Elk-Gold-Mine.aspx" TargetMode="External"/><Relationship Id="rId93" Type="http://schemas.openxmlformats.org/officeDocument/2006/relationships/hyperlink" Target="https://miningdataonline.com/property/968/Renard-Mine.aspx" TargetMode="External"/><Relationship Id="rId98" Type="http://schemas.openxmlformats.org/officeDocument/2006/relationships/hyperlink" Target="https://www.asahirefining.com/" TargetMode="External"/><Relationship Id="rId3" Type="http://schemas.openxmlformats.org/officeDocument/2006/relationships/hyperlink" Target="https://miningdataonline.com/property/962/Mont-Wright-Mine.aspx" TargetMode="External"/><Relationship Id="rId25" Type="http://schemas.openxmlformats.org/officeDocument/2006/relationships/hyperlink" Target="https://www.cameco.com/" TargetMode="External"/><Relationship Id="rId46" Type="http://schemas.openxmlformats.org/officeDocument/2006/relationships/hyperlink" Target="https://operations.newmont.com/north-america/porcupine-canada" TargetMode="External"/><Relationship Id="rId67" Type="http://schemas.openxmlformats.org/officeDocument/2006/relationships/hyperlink" Target="https://burgundydiamonds.com/ekati-mine/"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miningdataonline.com/property/420/Hollinger-Mine.aspx" TargetMode="External"/><Relationship Id="rId21" Type="http://schemas.openxmlformats.org/officeDocument/2006/relationships/hyperlink" Target="https://www.cameco.com/" TargetMode="External"/><Relationship Id="rId42" Type="http://schemas.openxmlformats.org/officeDocument/2006/relationships/hyperlink" Target="https://miningdataonline.com/property/13/Detour-Lake-Mine.aspx" TargetMode="External"/><Relationship Id="rId63" Type="http://schemas.openxmlformats.org/officeDocument/2006/relationships/hyperlink" Target="https://fireflymetals.com.au/nugget-pond-processing-plant/" TargetMode="External"/><Relationship Id="rId84" Type="http://schemas.openxmlformats.org/officeDocument/2006/relationships/hyperlink" Target="https://tancomine.com/" TargetMode="External"/><Relationship Id="rId138" Type="http://schemas.openxmlformats.org/officeDocument/2006/relationships/hyperlink" Target="https://abcourt.info/projects/the-sleeping-giant-mine/" TargetMode="External"/><Relationship Id="rId107" Type="http://schemas.openxmlformats.org/officeDocument/2006/relationships/hyperlink" Target="https://miningdataonline.com/property/50/Highland-Valley-Mine.aspx" TargetMode="External"/><Relationship Id="rId11" Type="http://schemas.openxmlformats.org/officeDocument/2006/relationships/hyperlink" Target="https://newgold.com/home/default.aspx" TargetMode="External"/><Relationship Id="rId32" Type="http://schemas.openxmlformats.org/officeDocument/2006/relationships/hyperlink" Target="https://panamericansilver.com/operations-2/gold-segment/timmins/" TargetMode="External"/><Relationship Id="rId37" Type="http://schemas.openxmlformats.org/officeDocument/2006/relationships/hyperlink" Target="https://miningdataonline.com/property/47/Meadowbank-Mine.aspx" TargetMode="External"/><Relationship Id="rId53" Type="http://schemas.openxmlformats.org/officeDocument/2006/relationships/hyperlink" Target="https://www.riotinto.com/en/operations/canada/saguenay" TargetMode="External"/><Relationship Id="rId58" Type="http://schemas.openxmlformats.org/officeDocument/2006/relationships/hyperlink" Target="https://abcourt.info/" TargetMode="External"/><Relationship Id="rId74" Type="http://schemas.openxmlformats.org/officeDocument/2006/relationships/hyperlink" Target="https://miningdataonline.com/property/12/Niobec-Mine.aspx" TargetMode="External"/><Relationship Id="rId79" Type="http://schemas.openxmlformats.org/officeDocument/2006/relationships/hyperlink" Target="https://www.orano.group/canada/en/our-uranium-expertise/mining-and-milling" TargetMode="External"/><Relationship Id="rId102" Type="http://schemas.openxmlformats.org/officeDocument/2006/relationships/hyperlink" Target="https://miningdataonline.com/property/563/Manitoba-Snow-Lake-Operation.aspx" TargetMode="External"/><Relationship Id="rId123" Type="http://schemas.openxmlformats.org/officeDocument/2006/relationships/hyperlink" Target="https://miningdataonline.com/property/955/Lac-Tio-(Havre-St-Pierre)-Mine.aspx" TargetMode="External"/><Relationship Id="rId128" Type="http://schemas.openxmlformats.org/officeDocument/2006/relationships/hyperlink" Target="https://miningdataonline.com/property/944/Atlantic-Operation.aspx" TargetMode="External"/><Relationship Id="rId5" Type="http://schemas.openxmlformats.org/officeDocument/2006/relationships/hyperlink" Target="https://www.ferroglobe.com/" TargetMode="External"/><Relationship Id="rId90" Type="http://schemas.openxmlformats.org/officeDocument/2006/relationships/hyperlink" Target="https://miningdataonline.com/property/941/Howse-Project.aspx" TargetMode="External"/><Relationship Id="rId95" Type="http://schemas.openxmlformats.org/officeDocument/2006/relationships/hyperlink" Target="https://www.glencore.ca/en/generalsmelting/" TargetMode="External"/><Relationship Id="rId22" Type="http://schemas.openxmlformats.org/officeDocument/2006/relationships/hyperlink" Target="https://www.canadianroyalties.com/" TargetMode="External"/><Relationship Id="rId27" Type="http://schemas.openxmlformats.org/officeDocument/2006/relationships/hyperlink" Target="https://miningdataonline.com/property/7/Island-Gold-Mine.aspx" TargetMode="External"/><Relationship Id="rId43" Type="http://schemas.openxmlformats.org/officeDocument/2006/relationships/hyperlink" Target="https://miningdataonline.com/property/20/Canadian-Malartic-Complex.aspx" TargetMode="External"/><Relationship Id="rId48" Type="http://schemas.openxmlformats.org/officeDocument/2006/relationships/hyperlink" Target="https://www.agnicoeagle.com/English/operations/operations/Macassa-Mine/default.aspx" TargetMode="External"/><Relationship Id="rId64" Type="http://schemas.openxmlformats.org/officeDocument/2006/relationships/hyperlink" Target="https://miningdataonline.com/property/960/Ming-Mine.aspx" TargetMode="External"/><Relationship Id="rId69" Type="http://schemas.openxmlformats.org/officeDocument/2006/relationships/hyperlink" Target="https://www.gem.wiki/Algoma_steel_plant" TargetMode="External"/><Relationship Id="rId113" Type="http://schemas.openxmlformats.org/officeDocument/2006/relationships/hyperlink" Target="https://miningdataonline.com/property/1694/Lamaque-Project.aspx" TargetMode="External"/><Relationship Id="rId118" Type="http://schemas.openxmlformats.org/officeDocument/2006/relationships/hyperlink" Target="https://miningdataonline.com/property/1439/Hoyle-Pond-Mine.aspx" TargetMode="External"/><Relationship Id="rId134" Type="http://schemas.openxmlformats.org/officeDocument/2006/relationships/hyperlink" Target="https://miningdataonline.com/property/1596/Eagle-Gold-Mine.aspx" TargetMode="External"/><Relationship Id="rId139" Type="http://schemas.openxmlformats.org/officeDocument/2006/relationships/hyperlink" Target="https://stbarbara.com.au/our-operations/our-atlantic-operations/" TargetMode="External"/><Relationship Id="rId80" Type="http://schemas.openxmlformats.org/officeDocument/2006/relationships/hyperlink" Target="https://miningdataonline.com/property/98/McClean-Lake-Mine.aspx" TargetMode="External"/><Relationship Id="rId85" Type="http://schemas.openxmlformats.org/officeDocument/2006/relationships/hyperlink" Target="https://miningdataonline.com/property/4651/Scully-Mine.aspx" TargetMode="External"/><Relationship Id="rId12" Type="http://schemas.openxmlformats.org/officeDocument/2006/relationships/hyperlink" Target="https://panamericansilver.com/" TargetMode="External"/><Relationship Id="rId17" Type="http://schemas.openxmlformats.org/officeDocument/2006/relationships/hyperlink" Target="https://www.wesdome.com/English/overview/default.aspx" TargetMode="External"/><Relationship Id="rId33" Type="http://schemas.openxmlformats.org/officeDocument/2006/relationships/hyperlink" Target="https://panamericansilver.com/operations-2/gold-segment/timmins/" TargetMode="External"/><Relationship Id="rId38" Type="http://schemas.openxmlformats.org/officeDocument/2006/relationships/hyperlink" Target="https://miningdataonline.com/property/46/LaRonde-Mine.aspx" TargetMode="External"/><Relationship Id="rId59" Type="http://schemas.openxmlformats.org/officeDocument/2006/relationships/hyperlink" Target="https://miningdataonline.com/property/1752/Magino-Project.aspx" TargetMode="External"/><Relationship Id="rId103" Type="http://schemas.openxmlformats.org/officeDocument/2006/relationships/hyperlink" Target="https://miningdataonline.com/property/68/Raglan-Mine.aspx" TargetMode="External"/><Relationship Id="rId108" Type="http://schemas.openxmlformats.org/officeDocument/2006/relationships/hyperlink" Target="https://miningdataonline.com/property/59/Mount-Milligan-Mine.aspx" TargetMode="External"/><Relationship Id="rId124" Type="http://schemas.openxmlformats.org/officeDocument/2006/relationships/hyperlink" Target="https://miningdataonline.com/property/1628/North-American-Lithium-NAL-Mine.aspx" TargetMode="External"/><Relationship Id="rId129" Type="http://schemas.openxmlformats.org/officeDocument/2006/relationships/hyperlink" Target="https://miningdataonline.com/property/1524/Seabee-Gold-Operation.aspx" TargetMode="External"/><Relationship Id="rId54" Type="http://schemas.openxmlformats.org/officeDocument/2006/relationships/hyperlink" Target="https://miningdataonline.com/property/962/Mont-Wright-Mine.aspx" TargetMode="External"/><Relationship Id="rId70" Type="http://schemas.openxmlformats.org/officeDocument/2006/relationships/hyperlink" Target="https://miningdataonline.com/property/1603/Nunavik-Nickel-Mine.aspx" TargetMode="External"/><Relationship Id="rId75" Type="http://schemas.openxmlformats.org/officeDocument/2006/relationships/hyperlink" Target="https://miningdataonline.com/property/454/Eagle-Mine-Operation.aspx" TargetMode="External"/><Relationship Id="rId91" Type="http://schemas.openxmlformats.org/officeDocument/2006/relationships/hyperlink" Target="https://vgcx.com/" TargetMode="External"/><Relationship Id="rId96" Type="http://schemas.openxmlformats.org/officeDocument/2006/relationships/hyperlink" Target="https://miningdataonline.com/property/1485/Sudbury-Mine.aspx" TargetMode="External"/><Relationship Id="rId140" Type="http://schemas.openxmlformats.org/officeDocument/2006/relationships/hyperlink" Target="https://miningdataonline.com/property/233/Eleonore-Mine.aspx" TargetMode="External"/><Relationship Id="rId1" Type="http://schemas.openxmlformats.org/officeDocument/2006/relationships/hyperlink" Target="https://alamosgold.com/" TargetMode="External"/><Relationship Id="rId6" Type="http://schemas.openxmlformats.org/officeDocument/2006/relationships/hyperlink" Target="https://www.ferroglobe.com/about-ferroglobe/industrial-footprint/b%C3%A9cancour" TargetMode="External"/><Relationship Id="rId23" Type="http://schemas.openxmlformats.org/officeDocument/2006/relationships/hyperlink" Target="https://www.agnicoeagle.com/English/operations/operations/meadowbank/default.aspx" TargetMode="External"/><Relationship Id="rId28" Type="http://schemas.openxmlformats.org/officeDocument/2006/relationships/hyperlink" Target="https://miningdataonline.com/property/1484/young-davidson-mine.aspx" TargetMode="External"/><Relationship Id="rId49" Type="http://schemas.openxmlformats.org/officeDocument/2006/relationships/hyperlink" Target="https://www.agnicoeagle.com/English/operations/operations/meliadine/default.aspx" TargetMode="External"/><Relationship Id="rId114" Type="http://schemas.openxmlformats.org/officeDocument/2006/relationships/hyperlink" Target="https://miningdataonline.com/property/234/Red-Lake-Operation.aspx" TargetMode="External"/><Relationship Id="rId119" Type="http://schemas.openxmlformats.org/officeDocument/2006/relationships/hyperlink" Target="https://miningdataonline.com/property/63/Musselwhite-Mine.aspx" TargetMode="External"/><Relationship Id="rId44" Type="http://schemas.openxmlformats.org/officeDocument/2006/relationships/hyperlink" Target="https://miningdataonline.com/property/453/Macassa-Complex.aspx" TargetMode="External"/><Relationship Id="rId60" Type="http://schemas.openxmlformats.org/officeDocument/2006/relationships/hyperlink" Target="https://fireflymetals.com.au/" TargetMode="External"/><Relationship Id="rId65" Type="http://schemas.openxmlformats.org/officeDocument/2006/relationships/hyperlink" Target="https://miningdataonline.com/property/77/Westwood-Operation.aspx" TargetMode="External"/><Relationship Id="rId81" Type="http://schemas.openxmlformats.org/officeDocument/2006/relationships/hyperlink" Target="https://www.sayona.ca/" TargetMode="External"/><Relationship Id="rId86" Type="http://schemas.openxmlformats.org/officeDocument/2006/relationships/hyperlink" Target="https://tacoraresources.com/" TargetMode="External"/><Relationship Id="rId130" Type="http://schemas.openxmlformats.org/officeDocument/2006/relationships/hyperlink" Target="https://miningdataonline.com/property/968/Renard-Mine.aspx" TargetMode="External"/><Relationship Id="rId135" Type="http://schemas.openxmlformats.org/officeDocument/2006/relationships/hyperlink" Target="https://miningdataonline.com/property/1254/Eagle-River-Complex.aspx" TargetMode="External"/><Relationship Id="rId13" Type="http://schemas.openxmlformats.org/officeDocument/2006/relationships/hyperlink" Target="https://www.riotinto.com/en/operations/canada/iron-ore-company-canada" TargetMode="External"/><Relationship Id="rId18" Type="http://schemas.openxmlformats.org/officeDocument/2006/relationships/hyperlink" Target="https://agnicoeagle.com/Home/default.aspx" TargetMode="External"/><Relationship Id="rId39" Type="http://schemas.openxmlformats.org/officeDocument/2006/relationships/hyperlink" Target="https://miningdataonline.com/property/44/Goldex-Mine.aspx" TargetMode="External"/><Relationship Id="rId109" Type="http://schemas.openxmlformats.org/officeDocument/2006/relationships/hyperlink" Target="https://miningdataonline.com/property/1589/Sleeping-Giant-Mine.aspx" TargetMode="External"/><Relationship Id="rId34" Type="http://schemas.openxmlformats.org/officeDocument/2006/relationships/hyperlink" Target="https://miningdataonline.com/property/8/Bell-Creek-Mine.aspx" TargetMode="External"/><Relationship Id="rId50" Type="http://schemas.openxmlformats.org/officeDocument/2006/relationships/hyperlink" Target="https://malartic.agnicoeagle.com/en/" TargetMode="External"/><Relationship Id="rId55" Type="http://schemas.openxmlformats.org/officeDocument/2006/relationships/hyperlink" Target="https://miningdataonline.com/property/173/McCreedy-West,--Morrison-Levack-Sudbury-Basin-Mine.aspx" TargetMode="External"/><Relationship Id="rId76" Type="http://schemas.openxmlformats.org/officeDocument/2006/relationships/hyperlink" Target="https://mcewenmining.com/operations/black-fox-complex/default.aspx" TargetMode="External"/><Relationship Id="rId97" Type="http://schemas.openxmlformats.org/officeDocument/2006/relationships/hyperlink" Target="https://miningdataonline.com/property/3027/Bloom-Lake-Mine.aspx" TargetMode="External"/><Relationship Id="rId104" Type="http://schemas.openxmlformats.org/officeDocument/2006/relationships/hyperlink" Target="https://miningdataonline.com/property/1375/Sudbury-INO-Operation.aspx" TargetMode="External"/><Relationship Id="rId120" Type="http://schemas.openxmlformats.org/officeDocument/2006/relationships/hyperlink" Target="https://miningdataonline.com/property/66/Porcupine-Operation.aspx" TargetMode="External"/><Relationship Id="rId125" Type="http://schemas.openxmlformats.org/officeDocument/2006/relationships/hyperlink" Target="https://miningdataonline.com/property/1741/Sugar-Zone-Mine.aspx" TargetMode="External"/><Relationship Id="rId141" Type="http://schemas.openxmlformats.org/officeDocument/2006/relationships/printerSettings" Target="../printerSettings/printerSettings1.bin"/><Relationship Id="rId7" Type="http://schemas.openxmlformats.org/officeDocument/2006/relationships/hyperlink" Target="https://www.hecla.com/" TargetMode="External"/><Relationship Id="rId71" Type="http://schemas.openxmlformats.org/officeDocument/2006/relationships/hyperlink" Target="https://miningdataonline.com/property/23/Carol-Lake-Mine.aspx" TargetMode="External"/><Relationship Id="rId92" Type="http://schemas.openxmlformats.org/officeDocument/2006/relationships/hyperlink" Target="https://www.elkem.com/about-elkem/worldwide-presence/canada/elkem-chicoutimi/" TargetMode="External"/><Relationship Id="rId2" Type="http://schemas.openxmlformats.org/officeDocument/2006/relationships/hyperlink" Target="https://www.altasteel.com/" TargetMode="External"/><Relationship Id="rId29" Type="http://schemas.openxmlformats.org/officeDocument/2006/relationships/hyperlink" Target="https://corazon.com.au/our-projects/lynn-lake-project/" TargetMode="External"/><Relationship Id="rId24" Type="http://schemas.openxmlformats.org/officeDocument/2006/relationships/hyperlink" Target="https://agnicoeagle.com/Home/default.aspx" TargetMode="External"/><Relationship Id="rId40" Type="http://schemas.openxmlformats.org/officeDocument/2006/relationships/hyperlink" Target="https://miningdataonline.com/property/959/Meliadine-Mine.aspx" TargetMode="External"/><Relationship Id="rId45" Type="http://schemas.openxmlformats.org/officeDocument/2006/relationships/hyperlink" Target="https://www.agnicoeagle.com/English/operations/operations/Detour-Lake-Mine/default.aspx" TargetMode="External"/><Relationship Id="rId66" Type="http://schemas.openxmlformats.org/officeDocument/2006/relationships/hyperlink" Target="https://www.iamgold.com/English/operations/westwood/default.aspx" TargetMode="External"/><Relationship Id="rId87" Type="http://schemas.openxmlformats.org/officeDocument/2006/relationships/hyperlink" Target="https://www.gem.wiki/Tacora_Resources_Scully_Mine" TargetMode="External"/><Relationship Id="rId110" Type="http://schemas.openxmlformats.org/officeDocument/2006/relationships/hyperlink" Target="https://miningdataonline.com/property/49/Hemlo-Williams,-David-Bell-Mine.aspx" TargetMode="External"/><Relationship Id="rId115" Type="http://schemas.openxmlformats.org/officeDocument/2006/relationships/hyperlink" Target="https://miningdataonline.com/property/24/Casa-Berardi-Mine.aspx" TargetMode="External"/><Relationship Id="rId131" Type="http://schemas.openxmlformats.org/officeDocument/2006/relationships/hyperlink" Target="https://miningdataonline.com/property/64/Myra-Falls-Mine.aspx" TargetMode="External"/><Relationship Id="rId136" Type="http://schemas.openxmlformats.org/officeDocument/2006/relationships/hyperlink" Target="https://miningdataonline.com/property/3048/Kiena-Mine.aspx" TargetMode="External"/><Relationship Id="rId61" Type="http://schemas.openxmlformats.org/officeDocument/2006/relationships/hyperlink" Target="https://fireflymetals.com.au/" TargetMode="External"/><Relationship Id="rId82" Type="http://schemas.openxmlformats.org/officeDocument/2006/relationships/hyperlink" Target="https://www.sayona.ca/projets/complexe-lithium-amerique-du-nord/" TargetMode="External"/><Relationship Id="rId19" Type="http://schemas.openxmlformats.org/officeDocument/2006/relationships/hyperlink" Target="https://www.barrick.com/English/home/default.aspx" TargetMode="External"/><Relationship Id="rId14" Type="http://schemas.openxmlformats.org/officeDocument/2006/relationships/hyperlink" Target="https://www.sherritt.com/English/Home/default.aspx" TargetMode="External"/><Relationship Id="rId30" Type="http://schemas.openxmlformats.org/officeDocument/2006/relationships/hyperlink" Target="https://www.alamosgold.com/operations/producing-mines/island-gold-canada/default.aspx" TargetMode="External"/><Relationship Id="rId35" Type="http://schemas.openxmlformats.org/officeDocument/2006/relationships/hyperlink" Target="https://miningdataonline.com/property/9/Timmins-West-Mine.aspx" TargetMode="External"/><Relationship Id="rId56" Type="http://schemas.openxmlformats.org/officeDocument/2006/relationships/hyperlink" Target="https://maritimeresourcescorp.com/exploration/point-rousse-project/" TargetMode="External"/><Relationship Id="rId77" Type="http://schemas.openxmlformats.org/officeDocument/2006/relationships/hyperlink" Target="https://miningdataonline.com/property/588/Fox-Complex.aspx" TargetMode="External"/><Relationship Id="rId100" Type="http://schemas.openxmlformats.org/officeDocument/2006/relationships/hyperlink" Target="https://miningdataonline.com/property/4563/Keno-Hill-Operation.aspx" TargetMode="External"/><Relationship Id="rId105" Type="http://schemas.openxmlformats.org/officeDocument/2006/relationships/hyperlink" Target="https://miningdataonline.com/property/417/Voiseys-Bay-Mine.aspx" TargetMode="External"/><Relationship Id="rId126" Type="http://schemas.openxmlformats.org/officeDocument/2006/relationships/hyperlink" Target="https://miningdataonline.com/property/977/Tanco-Bernic-Lake-Mine.aspx" TargetMode="External"/><Relationship Id="rId8" Type="http://schemas.openxmlformats.org/officeDocument/2006/relationships/hyperlink" Target="https://hudbayminerals.com/canada/default.aspx" TargetMode="External"/><Relationship Id="rId51" Type="http://schemas.openxmlformats.org/officeDocument/2006/relationships/hyperlink" Target="https://www.agnicoeagle.com/English/operations/operations/meadowbank/default.aspx" TargetMode="External"/><Relationship Id="rId72" Type="http://schemas.openxmlformats.org/officeDocument/2006/relationships/hyperlink" Target="https://www.ironore.ca/en" TargetMode="External"/><Relationship Id="rId93" Type="http://schemas.openxmlformats.org/officeDocument/2006/relationships/hyperlink" Target="https://miningdataonline.com/property/963/Fire-Lake-Mine.aspx" TargetMode="External"/><Relationship Id="rId98" Type="http://schemas.openxmlformats.org/officeDocument/2006/relationships/hyperlink" Target="https://miningdataonline.com/property/57/Mary-River-Mine.aspx" TargetMode="External"/><Relationship Id="rId121" Type="http://schemas.openxmlformats.org/officeDocument/2006/relationships/hyperlink" Target="https://miningdataonline.com/property/1731/Borden-Mine.aspx" TargetMode="External"/><Relationship Id="rId3" Type="http://schemas.openxmlformats.org/officeDocument/2006/relationships/hyperlink" Target="https://www.centerragold.com/" TargetMode="External"/><Relationship Id="rId25" Type="http://schemas.openxmlformats.org/officeDocument/2006/relationships/hyperlink" Target="https://miningdataonline.com/property/47/Meadowbank-Mine.aspx" TargetMode="External"/><Relationship Id="rId46" Type="http://schemas.openxmlformats.org/officeDocument/2006/relationships/hyperlink" Target="https://www.agnicoeagle.com/English/operations/operations/meadowbank/default.aspx" TargetMode="External"/><Relationship Id="rId67" Type="http://schemas.openxmlformats.org/officeDocument/2006/relationships/hyperlink" Target="https://miningdataonline.com/property/246/Red-Chris-Mine.aspx" TargetMode="External"/><Relationship Id="rId116" Type="http://schemas.openxmlformats.org/officeDocument/2006/relationships/hyperlink" Target="https://miningdataonline.com/property/12/Niobec-Mine.aspx" TargetMode="External"/><Relationship Id="rId137" Type="http://schemas.openxmlformats.org/officeDocument/2006/relationships/hyperlink" Target="https://miningdataonline.com/property/1238/Mishi-Mine.aspx" TargetMode="External"/><Relationship Id="rId20" Type="http://schemas.openxmlformats.org/officeDocument/2006/relationships/hyperlink" Target="https://www.baffinland.com/operation/mary-river-mine/" TargetMode="External"/><Relationship Id="rId41" Type="http://schemas.openxmlformats.org/officeDocument/2006/relationships/hyperlink" Target="https://miningdataonline.com/property/47/Meadowbank-Mine.aspx" TargetMode="External"/><Relationship Id="rId62" Type="http://schemas.openxmlformats.org/officeDocument/2006/relationships/hyperlink" Target="https://fireflymetals.com.au/ming-underground-mine/" TargetMode="External"/><Relationship Id="rId83" Type="http://schemas.openxmlformats.org/officeDocument/2006/relationships/hyperlink" Target="https://sherritt.com/operations/" TargetMode="External"/><Relationship Id="rId88" Type="http://schemas.openxmlformats.org/officeDocument/2006/relationships/hyperlink" Target="https://miningdataonline.com/property/1663/Yellowhead-Project.aspx" TargetMode="External"/><Relationship Id="rId111" Type="http://schemas.openxmlformats.org/officeDocument/2006/relationships/hyperlink" Target="https://miningdataonline.com/property/17/Ekati-Mine.aspx" TargetMode="External"/><Relationship Id="rId132" Type="http://schemas.openxmlformats.org/officeDocument/2006/relationships/hyperlink" Target="https://miningdataonline.com/property/1377/Thompson-Mine.aspx" TargetMode="External"/><Relationship Id="rId15" Type="http://schemas.openxmlformats.org/officeDocument/2006/relationships/hyperlink" Target="https://stornowaydiamonds.com/English/home/default.html" TargetMode="External"/><Relationship Id="rId36" Type="http://schemas.openxmlformats.org/officeDocument/2006/relationships/hyperlink" Target="https://www.teck.com/operations/canada/operations/trail-operations/" TargetMode="External"/><Relationship Id="rId57" Type="http://schemas.openxmlformats.org/officeDocument/2006/relationships/hyperlink" Target="https://miningdataonline.com/property/1375/Sudbury-INO-Operation.aspx" TargetMode="External"/><Relationship Id="rId106" Type="http://schemas.openxmlformats.org/officeDocument/2006/relationships/hyperlink" Target="https://miningdataonline.com/property/1485/Sudbury-Mine.aspx" TargetMode="External"/><Relationship Id="rId127" Type="http://schemas.openxmlformats.org/officeDocument/2006/relationships/hyperlink" Target="https://miningdataonline.com/property/1524/Seabee-Gold-Operation.aspx" TargetMode="External"/><Relationship Id="rId10" Type="http://schemas.openxmlformats.org/officeDocument/2006/relationships/hyperlink" Target="https://kghm.com/en" TargetMode="External"/><Relationship Id="rId31" Type="http://schemas.openxmlformats.org/officeDocument/2006/relationships/hyperlink" Target="https://www.alamosgold.com/operations/producing-mines/young-davidson-canada/default.aspx" TargetMode="External"/><Relationship Id="rId52" Type="http://schemas.openxmlformats.org/officeDocument/2006/relationships/hyperlink" Target="https://www.agnicoeagle.com/English/operations/operations/goldex/default.aspx" TargetMode="External"/><Relationship Id="rId73" Type="http://schemas.openxmlformats.org/officeDocument/2006/relationships/hyperlink" Target="https://www.magrispm.com/niobec" TargetMode="External"/><Relationship Id="rId78" Type="http://schemas.openxmlformats.org/officeDocument/2006/relationships/hyperlink" Target="https://miningdataonline.com/property/58/Minto-Mine.aspx" TargetMode="External"/><Relationship Id="rId94" Type="http://schemas.openxmlformats.org/officeDocument/2006/relationships/hyperlink" Target="https://www.glencore.ca/en/horne/" TargetMode="External"/><Relationship Id="rId99" Type="http://schemas.openxmlformats.org/officeDocument/2006/relationships/hyperlink" Target="https://miningdataonline.com/property/72/Brucejack-Mine.aspx" TargetMode="External"/><Relationship Id="rId101" Type="http://schemas.openxmlformats.org/officeDocument/2006/relationships/hyperlink" Target="https://miningdataonline.com/property/367/Kidd-Creek-Mine.aspx" TargetMode="External"/><Relationship Id="rId122" Type="http://schemas.openxmlformats.org/officeDocument/2006/relationships/hyperlink" Target="https://miningdataonline.com/property/14/Diavik-Mine.aspx" TargetMode="External"/><Relationship Id="rId4" Type="http://schemas.openxmlformats.org/officeDocument/2006/relationships/hyperlink" Target="https://www.elkem.com/" TargetMode="External"/><Relationship Id="rId9" Type="http://schemas.openxmlformats.org/officeDocument/2006/relationships/hyperlink" Target="https://www.iamgold.com/English/home/default.aspx" TargetMode="External"/><Relationship Id="rId26" Type="http://schemas.openxmlformats.org/officeDocument/2006/relationships/hyperlink" Target="https://operations.newmont.com/north-america/porcupine-canada" TargetMode="External"/><Relationship Id="rId47" Type="http://schemas.openxmlformats.org/officeDocument/2006/relationships/hyperlink" Target="https://www.agnicoeagle.com/English/operations/operations/laronde/default.aspx" TargetMode="External"/><Relationship Id="rId68" Type="http://schemas.openxmlformats.org/officeDocument/2006/relationships/hyperlink" Target="https://stornowaydiamonds.com/English/our-business/renard-mine/default.html" TargetMode="External"/><Relationship Id="rId89" Type="http://schemas.openxmlformats.org/officeDocument/2006/relationships/hyperlink" Target="https://www.tasekomines.com/properties/yellowhead-project/" TargetMode="External"/><Relationship Id="rId112" Type="http://schemas.openxmlformats.org/officeDocument/2006/relationships/hyperlink" Target="https://miningdataonline.com/property/40/Gahcho-Ku%C3%A9-Mine.aspx" TargetMode="External"/><Relationship Id="rId133" Type="http://schemas.openxmlformats.org/officeDocument/2006/relationships/hyperlink" Target="https://miningdataonline.com/property/626/Totten-Mine.aspx" TargetMode="External"/><Relationship Id="rId16" Type="http://schemas.openxmlformats.org/officeDocument/2006/relationships/hyperlink" Target="https://www.tasekomines.co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8" Type="http://schemas.openxmlformats.org/officeDocument/2006/relationships/hyperlink" Target="https://aluminium.ca/en/the-industry/" TargetMode="External"/><Relationship Id="rId13" Type="http://schemas.openxmlformats.org/officeDocument/2006/relationships/hyperlink" Target="https://www.accessnewswire.com/newsroom/en/metals-and-mining/gold-mountain-reports-its-interim-q4-2025-financial-and-operating-results-1001121?utm_source=chatgpt.com" TargetMode="External"/><Relationship Id="rId18" Type="http://schemas.openxmlformats.org/officeDocument/2006/relationships/hyperlink" Target="https://www.orano.group/canada/en/our-uranium-expertise/mining-and-milling" TargetMode="External"/><Relationship Id="rId3" Type="http://schemas.openxmlformats.org/officeDocument/2006/relationships/hyperlink" Target="https://aluminium.ca/en/the-industry/" TargetMode="External"/><Relationship Id="rId21" Type="http://schemas.openxmlformats.org/officeDocument/2006/relationships/printerSettings" Target="../printerSettings/printerSettings3.bin"/><Relationship Id="rId7" Type="http://schemas.openxmlformats.org/officeDocument/2006/relationships/hyperlink" Target="https://aluminium.ca/en/the-industry/" TargetMode="External"/><Relationship Id="rId12" Type="http://schemas.openxmlformats.org/officeDocument/2006/relationships/hyperlink" Target="https://www.tasekomines.com/investors/news/taseko-reports-strong-fourth-quarter-financial-performance-and-190-million-of-adjusted-ebitda-for-2023/" TargetMode="External"/><Relationship Id="rId17" Type="http://schemas.openxmlformats.org/officeDocument/2006/relationships/hyperlink" Target="https://www.gov.nl.ca/iet/files/Mining-in-NL-Fall-2024.pdf" TargetMode="External"/><Relationship Id="rId2" Type="http://schemas.openxmlformats.org/officeDocument/2006/relationships/hyperlink" Target="https://aluminium.ca/en/the-industry/" TargetMode="External"/><Relationship Id="rId16" Type="http://schemas.openxmlformats.org/officeDocument/2006/relationships/hyperlink" Target="https://www.gem.wiki/ArcelorMittal_Mont_Wright_Mine" TargetMode="External"/><Relationship Id="rId20" Type="http://schemas.openxmlformats.org/officeDocument/2006/relationships/hyperlink" Target="https://www.geologyontario.mines.gov.on.ca/mineral-inventory/MDI42C14SE00005" TargetMode="External"/><Relationship Id="rId1" Type="http://schemas.openxmlformats.org/officeDocument/2006/relationships/hyperlink" Target="https://aluminium.ca/en/the-industry/" TargetMode="External"/><Relationship Id="rId6" Type="http://schemas.openxmlformats.org/officeDocument/2006/relationships/hyperlink" Target="https://aluminium.ca/en/the-industry/" TargetMode="External"/><Relationship Id="rId11" Type="http://schemas.openxmlformats.org/officeDocument/2006/relationships/hyperlink" Target="https://www.hecla.com/operations/hecla-keno-hill-yukon-territory-canada" TargetMode="External"/><Relationship Id="rId24" Type="http://schemas.microsoft.com/office/2017/10/relationships/threadedComment" Target="../threadedComments/threadedComment1.xml"/><Relationship Id="rId5" Type="http://schemas.openxmlformats.org/officeDocument/2006/relationships/hyperlink" Target="https://aluminium.ca/en/the-industry/" TargetMode="External"/><Relationship Id="rId15" Type="http://schemas.openxmlformats.org/officeDocument/2006/relationships/hyperlink" Target="https://www.gem.wiki/Baffinland_Mary_River_Mine" TargetMode="External"/><Relationship Id="rId23" Type="http://schemas.openxmlformats.org/officeDocument/2006/relationships/comments" Target="../comments1.xml"/><Relationship Id="rId10" Type="http://schemas.openxmlformats.org/officeDocument/2006/relationships/hyperlink" Target="https://www.geologyontario.mines.gov.on.ca/mineral-inventory/MDI42C14SE00005" TargetMode="External"/><Relationship Id="rId19" Type="http://schemas.openxmlformats.org/officeDocument/2006/relationships/hyperlink" Target="https://www.mining-technology.com/marketdata/five-largest-nickel-mines-canada/?cf-view" TargetMode="External"/><Relationship Id="rId4" Type="http://schemas.openxmlformats.org/officeDocument/2006/relationships/hyperlink" Target="https://aluminium.ca/en/the-industry/" TargetMode="External"/><Relationship Id="rId9" Type="http://schemas.openxmlformats.org/officeDocument/2006/relationships/hyperlink" Target="https://www.hecla.com/operations/casa-berardi-quebec-canada" TargetMode="External"/><Relationship Id="rId14" Type="http://schemas.openxmlformats.org/officeDocument/2006/relationships/hyperlink" Target="https://www.mining-technology.com/marketdata/five-largest-nickel-mines-canada/?cf-view" TargetMode="External"/><Relationship Id="rId22"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hyperlink" Target="https://www.geologyontario.mines.gov.on.ca/mineral-inventory/MDI42C14SE00006" TargetMode="External"/><Relationship Id="rId1" Type="http://schemas.openxmlformats.org/officeDocument/2006/relationships/hyperlink" Target="https://www.accessnewswire.com/newsroom/en/metals-and-mining/gold-mountain-reports-its-interim-q4-2025-financial-and-operating-results-1001121?utm_source=chatgpt.com" TargetMode="Externa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8.xml.rels><?xml version="1.0" encoding="UTF-8" standalone="yes"?>
<Relationships xmlns="http://schemas.openxmlformats.org/package/2006/relationships"><Relationship Id="rId26" Type="http://schemas.openxmlformats.org/officeDocument/2006/relationships/hyperlink" Target="https://operations.newmont.com/north-america/porcupine-canada" TargetMode="External"/><Relationship Id="rId21" Type="http://schemas.openxmlformats.org/officeDocument/2006/relationships/hyperlink" Target="https://www.cameco.com/" TargetMode="External"/><Relationship Id="rId42" Type="http://schemas.openxmlformats.org/officeDocument/2006/relationships/hyperlink" Target="https://miningdataonline.com/property/13/Detour-Lake-Mine.aspx" TargetMode="External"/><Relationship Id="rId47" Type="http://schemas.openxmlformats.org/officeDocument/2006/relationships/hyperlink" Target="https://www.agnicoeagle.com/English/operations/operations/laronde/default.aspx" TargetMode="External"/><Relationship Id="rId63" Type="http://schemas.openxmlformats.org/officeDocument/2006/relationships/hyperlink" Target="https://fireflymetals.com.au/nugget-pond-processing-plant/" TargetMode="External"/><Relationship Id="rId68" Type="http://schemas.openxmlformats.org/officeDocument/2006/relationships/hyperlink" Target="https://stornowaydiamonds.com/English/our-business/renard-mine/default.html" TargetMode="External"/><Relationship Id="rId84" Type="http://schemas.openxmlformats.org/officeDocument/2006/relationships/hyperlink" Target="https://tancomine.com/" TargetMode="External"/><Relationship Id="rId89" Type="http://schemas.openxmlformats.org/officeDocument/2006/relationships/hyperlink" Target="https://www.tasekomines.com/properties/yellowhead-project/" TargetMode="External"/><Relationship Id="rId16" Type="http://schemas.openxmlformats.org/officeDocument/2006/relationships/hyperlink" Target="https://www.tasekomines.com/" TargetMode="External"/><Relationship Id="rId107" Type="http://schemas.openxmlformats.org/officeDocument/2006/relationships/hyperlink" Target="https://miningdataonline.com/property/50/Highland-Valley-Mine.aspx" TargetMode="External"/><Relationship Id="rId11" Type="http://schemas.openxmlformats.org/officeDocument/2006/relationships/hyperlink" Target="https://newgold.com/home/default.aspx" TargetMode="External"/><Relationship Id="rId32" Type="http://schemas.openxmlformats.org/officeDocument/2006/relationships/hyperlink" Target="https://panamericansilver.com/operations-2/gold-segment/timmins/" TargetMode="External"/><Relationship Id="rId37" Type="http://schemas.openxmlformats.org/officeDocument/2006/relationships/hyperlink" Target="https://miningdataonline.com/property/47/Meadowbank-Mine.aspx" TargetMode="External"/><Relationship Id="rId53" Type="http://schemas.openxmlformats.org/officeDocument/2006/relationships/hyperlink" Target="https://www.riotinto.com/en/operations/canada/saguenay" TargetMode="External"/><Relationship Id="rId58" Type="http://schemas.openxmlformats.org/officeDocument/2006/relationships/hyperlink" Target="https://abcourt.info/" TargetMode="External"/><Relationship Id="rId74" Type="http://schemas.openxmlformats.org/officeDocument/2006/relationships/hyperlink" Target="https://miningdataonline.com/property/12/Niobec-Mine.aspx" TargetMode="External"/><Relationship Id="rId79" Type="http://schemas.openxmlformats.org/officeDocument/2006/relationships/hyperlink" Target="https://www.orano.group/canada/en/our-uranium-expertise/mining-and-milling" TargetMode="External"/><Relationship Id="rId102" Type="http://schemas.openxmlformats.org/officeDocument/2006/relationships/hyperlink" Target="https://miningdataonline.com/property/563/Manitoba-Snow-Lake-Operation.aspx" TargetMode="External"/><Relationship Id="rId5" Type="http://schemas.openxmlformats.org/officeDocument/2006/relationships/hyperlink" Target="https://www.ferroglobe.com/" TargetMode="External"/><Relationship Id="rId90" Type="http://schemas.openxmlformats.org/officeDocument/2006/relationships/hyperlink" Target="https://miningdataonline.com/property/941/Howse-Project.aspx" TargetMode="External"/><Relationship Id="rId95" Type="http://schemas.openxmlformats.org/officeDocument/2006/relationships/hyperlink" Target="https://www.glencore.ca/en/generalsmelting/" TargetMode="External"/><Relationship Id="rId22" Type="http://schemas.openxmlformats.org/officeDocument/2006/relationships/hyperlink" Target="https://www.canadianroyalties.com/" TargetMode="External"/><Relationship Id="rId27" Type="http://schemas.openxmlformats.org/officeDocument/2006/relationships/hyperlink" Target="https://miningdataonline.com/property/7/Island-Gold-Mine.aspx" TargetMode="External"/><Relationship Id="rId43" Type="http://schemas.openxmlformats.org/officeDocument/2006/relationships/hyperlink" Target="https://miningdataonline.com/property/20/Canadian-Malartic-Complex.aspx" TargetMode="External"/><Relationship Id="rId48" Type="http://schemas.openxmlformats.org/officeDocument/2006/relationships/hyperlink" Target="https://www.agnicoeagle.com/English/operations/operations/Macassa-Mine/default.aspx" TargetMode="External"/><Relationship Id="rId64" Type="http://schemas.openxmlformats.org/officeDocument/2006/relationships/hyperlink" Target="https://miningdataonline.com/property/960/Ming-Mine.aspx" TargetMode="External"/><Relationship Id="rId69" Type="http://schemas.openxmlformats.org/officeDocument/2006/relationships/hyperlink" Target="https://www.gem.wiki/Algoma_steel_plant" TargetMode="External"/><Relationship Id="rId80" Type="http://schemas.openxmlformats.org/officeDocument/2006/relationships/hyperlink" Target="https://miningdataonline.com/property/98/McClean-Lake-Mine.aspx" TargetMode="External"/><Relationship Id="rId85" Type="http://schemas.openxmlformats.org/officeDocument/2006/relationships/hyperlink" Target="https://miningdataonline.com/property/4651/Scully-Mine.aspx" TargetMode="External"/><Relationship Id="rId12" Type="http://schemas.openxmlformats.org/officeDocument/2006/relationships/hyperlink" Target="https://panamericansilver.com/" TargetMode="External"/><Relationship Id="rId17" Type="http://schemas.openxmlformats.org/officeDocument/2006/relationships/hyperlink" Target="https://www.wesdome.com/English/overview/default.aspx" TargetMode="External"/><Relationship Id="rId33" Type="http://schemas.openxmlformats.org/officeDocument/2006/relationships/hyperlink" Target="https://panamericansilver.com/operations-2/gold-segment/timmins/" TargetMode="External"/><Relationship Id="rId38" Type="http://schemas.openxmlformats.org/officeDocument/2006/relationships/hyperlink" Target="https://miningdataonline.com/property/46/LaRonde-Mine.aspx" TargetMode="External"/><Relationship Id="rId59" Type="http://schemas.openxmlformats.org/officeDocument/2006/relationships/hyperlink" Target="https://miningdataonline.com/property/1752/Magino-Project.aspx" TargetMode="External"/><Relationship Id="rId103" Type="http://schemas.openxmlformats.org/officeDocument/2006/relationships/hyperlink" Target="https://miningdataonline.com/property/68/Raglan-Mine.aspx" TargetMode="External"/><Relationship Id="rId108" Type="http://schemas.openxmlformats.org/officeDocument/2006/relationships/hyperlink" Target="https://miningdataonline.com/property/59/Mount-Milligan-Mine.aspx" TargetMode="External"/><Relationship Id="rId20" Type="http://schemas.openxmlformats.org/officeDocument/2006/relationships/hyperlink" Target="https://www.baffinland.com/operation/mary-river-mine/" TargetMode="External"/><Relationship Id="rId41" Type="http://schemas.openxmlformats.org/officeDocument/2006/relationships/hyperlink" Target="https://miningdataonline.com/property/47/Meadowbank-Mine.aspx" TargetMode="External"/><Relationship Id="rId54" Type="http://schemas.openxmlformats.org/officeDocument/2006/relationships/hyperlink" Target="https://miningdataonline.com/property/962/Mont-Wright-Mine.aspx" TargetMode="External"/><Relationship Id="rId62" Type="http://schemas.openxmlformats.org/officeDocument/2006/relationships/hyperlink" Target="https://fireflymetals.com.au/ming-underground-mine/" TargetMode="External"/><Relationship Id="rId70" Type="http://schemas.openxmlformats.org/officeDocument/2006/relationships/hyperlink" Target="https://miningdataonline.com/property/1603/Nunavik-Nickel-Mine.aspx" TargetMode="External"/><Relationship Id="rId75" Type="http://schemas.openxmlformats.org/officeDocument/2006/relationships/hyperlink" Target="https://miningdataonline.com/property/454/Eagle-Mine-Operation.aspx" TargetMode="External"/><Relationship Id="rId83" Type="http://schemas.openxmlformats.org/officeDocument/2006/relationships/hyperlink" Target="https://sherritt.com/operations/" TargetMode="External"/><Relationship Id="rId88" Type="http://schemas.openxmlformats.org/officeDocument/2006/relationships/hyperlink" Target="https://miningdataonline.com/property/1663/Yellowhead-Project.aspx" TargetMode="External"/><Relationship Id="rId91" Type="http://schemas.openxmlformats.org/officeDocument/2006/relationships/hyperlink" Target="https://vgcx.com/" TargetMode="External"/><Relationship Id="rId96" Type="http://schemas.openxmlformats.org/officeDocument/2006/relationships/hyperlink" Target="https://miningdataonline.com/property/1485/Sudbury-Mine.aspx" TargetMode="External"/><Relationship Id="rId1" Type="http://schemas.openxmlformats.org/officeDocument/2006/relationships/hyperlink" Target="https://alamosgold.com/" TargetMode="External"/><Relationship Id="rId6" Type="http://schemas.openxmlformats.org/officeDocument/2006/relationships/hyperlink" Target="https://www.ferroglobe.com/about-ferroglobe/industrial-footprint/b%C3%A9cancour" TargetMode="External"/><Relationship Id="rId15" Type="http://schemas.openxmlformats.org/officeDocument/2006/relationships/hyperlink" Target="https://stornowaydiamonds.com/English/home/default.html" TargetMode="External"/><Relationship Id="rId23" Type="http://schemas.openxmlformats.org/officeDocument/2006/relationships/hyperlink" Target="https://www.agnicoeagle.com/English/operations/operations/meadowbank/default.aspx" TargetMode="External"/><Relationship Id="rId28" Type="http://schemas.openxmlformats.org/officeDocument/2006/relationships/hyperlink" Target="https://miningdataonline.com/property/1484/young-davidson-mine.aspx" TargetMode="External"/><Relationship Id="rId36" Type="http://schemas.openxmlformats.org/officeDocument/2006/relationships/hyperlink" Target="https://www.teck.com/operations/canada/operations/trail-operations/" TargetMode="External"/><Relationship Id="rId49" Type="http://schemas.openxmlformats.org/officeDocument/2006/relationships/hyperlink" Target="https://www.agnicoeagle.com/English/operations/operations/meliadine/default.aspx" TargetMode="External"/><Relationship Id="rId57" Type="http://schemas.openxmlformats.org/officeDocument/2006/relationships/hyperlink" Target="https://miningdataonline.com/property/1375/Sudbury-INO-Operation.aspx" TargetMode="External"/><Relationship Id="rId106" Type="http://schemas.openxmlformats.org/officeDocument/2006/relationships/hyperlink" Target="https://miningdataonline.com/property/1485/Sudbury-Mine.aspx" TargetMode="External"/><Relationship Id="rId10" Type="http://schemas.openxmlformats.org/officeDocument/2006/relationships/hyperlink" Target="https://kghm.com/en" TargetMode="External"/><Relationship Id="rId31" Type="http://schemas.openxmlformats.org/officeDocument/2006/relationships/hyperlink" Target="https://www.alamosgold.com/operations/producing-mines/young-davidson-canada/default.aspx" TargetMode="External"/><Relationship Id="rId44" Type="http://schemas.openxmlformats.org/officeDocument/2006/relationships/hyperlink" Target="https://miningdataonline.com/property/453/Macassa-Complex.aspx" TargetMode="External"/><Relationship Id="rId52" Type="http://schemas.openxmlformats.org/officeDocument/2006/relationships/hyperlink" Target="https://www.agnicoeagle.com/English/operations/operations/goldex/default.aspx" TargetMode="External"/><Relationship Id="rId60" Type="http://schemas.openxmlformats.org/officeDocument/2006/relationships/hyperlink" Target="https://fireflymetals.com.au/" TargetMode="External"/><Relationship Id="rId65" Type="http://schemas.openxmlformats.org/officeDocument/2006/relationships/hyperlink" Target="https://miningdataonline.com/property/77/Westwood-Operation.aspx" TargetMode="External"/><Relationship Id="rId73" Type="http://schemas.openxmlformats.org/officeDocument/2006/relationships/hyperlink" Target="https://www.magrispm.com/niobec" TargetMode="External"/><Relationship Id="rId78" Type="http://schemas.openxmlformats.org/officeDocument/2006/relationships/hyperlink" Target="https://miningdataonline.com/property/58/Minto-Mine.aspx" TargetMode="External"/><Relationship Id="rId81" Type="http://schemas.openxmlformats.org/officeDocument/2006/relationships/hyperlink" Target="https://www.sayona.ca/" TargetMode="External"/><Relationship Id="rId86" Type="http://schemas.openxmlformats.org/officeDocument/2006/relationships/hyperlink" Target="https://tacoraresources.com/" TargetMode="External"/><Relationship Id="rId94" Type="http://schemas.openxmlformats.org/officeDocument/2006/relationships/hyperlink" Target="https://www.glencore.ca/en/horne/" TargetMode="External"/><Relationship Id="rId99" Type="http://schemas.openxmlformats.org/officeDocument/2006/relationships/hyperlink" Target="https://miningdataonline.com/property/72/Brucejack-Mine.aspx" TargetMode="External"/><Relationship Id="rId101" Type="http://schemas.openxmlformats.org/officeDocument/2006/relationships/hyperlink" Target="https://miningdataonline.com/property/367/Kidd-Creek-Mine.aspx" TargetMode="External"/><Relationship Id="rId4" Type="http://schemas.openxmlformats.org/officeDocument/2006/relationships/hyperlink" Target="https://www.elkem.com/" TargetMode="External"/><Relationship Id="rId9" Type="http://schemas.openxmlformats.org/officeDocument/2006/relationships/hyperlink" Target="https://www.iamgold.com/English/home/default.aspx" TargetMode="External"/><Relationship Id="rId13" Type="http://schemas.openxmlformats.org/officeDocument/2006/relationships/hyperlink" Target="https://www.riotinto.com/en/operations/canada/iron-ore-company-canada" TargetMode="External"/><Relationship Id="rId18" Type="http://schemas.openxmlformats.org/officeDocument/2006/relationships/hyperlink" Target="https://agnicoeagle.com/Home/default.aspx" TargetMode="External"/><Relationship Id="rId39" Type="http://schemas.openxmlformats.org/officeDocument/2006/relationships/hyperlink" Target="https://miningdataonline.com/property/44/Goldex-Mine.aspx" TargetMode="External"/><Relationship Id="rId34" Type="http://schemas.openxmlformats.org/officeDocument/2006/relationships/hyperlink" Target="https://miningdataonline.com/property/8/Bell-Creek-Mine.aspx" TargetMode="External"/><Relationship Id="rId50" Type="http://schemas.openxmlformats.org/officeDocument/2006/relationships/hyperlink" Target="https://malartic.agnicoeagle.com/en/" TargetMode="External"/><Relationship Id="rId55" Type="http://schemas.openxmlformats.org/officeDocument/2006/relationships/hyperlink" Target="https://miningdataonline.com/property/173/McCreedy-West,--Morrison-Levack-Sudbury-Basin-Mine.aspx" TargetMode="External"/><Relationship Id="rId76" Type="http://schemas.openxmlformats.org/officeDocument/2006/relationships/hyperlink" Target="https://mcewenmining.com/operations/black-fox-complex/default.aspx" TargetMode="External"/><Relationship Id="rId97" Type="http://schemas.openxmlformats.org/officeDocument/2006/relationships/hyperlink" Target="https://miningdataonline.com/property/3027/Bloom-Lake-Mine.aspx" TargetMode="External"/><Relationship Id="rId104" Type="http://schemas.openxmlformats.org/officeDocument/2006/relationships/hyperlink" Target="https://miningdataonline.com/property/1375/Sudbury-INO-Operation.aspx" TargetMode="External"/><Relationship Id="rId7" Type="http://schemas.openxmlformats.org/officeDocument/2006/relationships/hyperlink" Target="https://www.hecla.com/" TargetMode="External"/><Relationship Id="rId71" Type="http://schemas.openxmlformats.org/officeDocument/2006/relationships/hyperlink" Target="https://miningdataonline.com/property/23/Carol-Lake-Mine.aspx" TargetMode="External"/><Relationship Id="rId92" Type="http://schemas.openxmlformats.org/officeDocument/2006/relationships/hyperlink" Target="https://www.elkem.com/about-elkem/worldwide-presence/canada/elkem-chicoutimi/" TargetMode="External"/><Relationship Id="rId2" Type="http://schemas.openxmlformats.org/officeDocument/2006/relationships/hyperlink" Target="https://www.altasteel.com/" TargetMode="External"/><Relationship Id="rId29" Type="http://schemas.openxmlformats.org/officeDocument/2006/relationships/hyperlink" Target="https://corazon.com.au/our-projects/lynn-lake-project/" TargetMode="External"/><Relationship Id="rId24" Type="http://schemas.openxmlformats.org/officeDocument/2006/relationships/hyperlink" Target="https://agnicoeagle.com/Home/default.aspx" TargetMode="External"/><Relationship Id="rId40" Type="http://schemas.openxmlformats.org/officeDocument/2006/relationships/hyperlink" Target="https://miningdataonline.com/property/959/Meliadine-Mine.aspx" TargetMode="External"/><Relationship Id="rId45" Type="http://schemas.openxmlformats.org/officeDocument/2006/relationships/hyperlink" Target="https://www.agnicoeagle.com/English/operations/operations/Detour-Lake-Mine/default.aspx" TargetMode="External"/><Relationship Id="rId66" Type="http://schemas.openxmlformats.org/officeDocument/2006/relationships/hyperlink" Target="https://www.iamgold.com/English/operations/westwood/default.aspx" TargetMode="External"/><Relationship Id="rId87" Type="http://schemas.openxmlformats.org/officeDocument/2006/relationships/hyperlink" Target="https://www.gem.wiki/Tacora_Resources_Scully_Mine" TargetMode="External"/><Relationship Id="rId61" Type="http://schemas.openxmlformats.org/officeDocument/2006/relationships/hyperlink" Target="https://fireflymetals.com.au/" TargetMode="External"/><Relationship Id="rId82" Type="http://schemas.openxmlformats.org/officeDocument/2006/relationships/hyperlink" Target="https://www.sayona.ca/projets/complexe-lithium-amerique-du-nord/" TargetMode="External"/><Relationship Id="rId19" Type="http://schemas.openxmlformats.org/officeDocument/2006/relationships/hyperlink" Target="https://www.barrick.com/English/home/default.aspx" TargetMode="External"/><Relationship Id="rId14" Type="http://schemas.openxmlformats.org/officeDocument/2006/relationships/hyperlink" Target="https://www.sherritt.com/English/Home/default.aspx" TargetMode="External"/><Relationship Id="rId30" Type="http://schemas.openxmlformats.org/officeDocument/2006/relationships/hyperlink" Target="https://www.alamosgold.com/operations/producing-mines/island-gold-canada/default.aspx" TargetMode="External"/><Relationship Id="rId35" Type="http://schemas.openxmlformats.org/officeDocument/2006/relationships/hyperlink" Target="https://miningdataonline.com/property/9/Timmins-West-Mine.aspx" TargetMode="External"/><Relationship Id="rId56" Type="http://schemas.openxmlformats.org/officeDocument/2006/relationships/hyperlink" Target="https://maritimeresourcescorp.com/exploration/point-rousse-project/" TargetMode="External"/><Relationship Id="rId77" Type="http://schemas.openxmlformats.org/officeDocument/2006/relationships/hyperlink" Target="https://miningdataonline.com/property/588/Fox-Complex.aspx" TargetMode="External"/><Relationship Id="rId100" Type="http://schemas.openxmlformats.org/officeDocument/2006/relationships/hyperlink" Target="https://miningdataonline.com/property/4563/Keno-Hill-Operation.aspx" TargetMode="External"/><Relationship Id="rId105" Type="http://schemas.openxmlformats.org/officeDocument/2006/relationships/hyperlink" Target="https://miningdataonline.com/property/417/Voiseys-Bay-Mine.aspx" TargetMode="External"/><Relationship Id="rId8" Type="http://schemas.openxmlformats.org/officeDocument/2006/relationships/hyperlink" Target="https://hudbayminerals.com/canada/default.aspx" TargetMode="External"/><Relationship Id="rId51" Type="http://schemas.openxmlformats.org/officeDocument/2006/relationships/hyperlink" Target="https://www.agnicoeagle.com/English/operations/operations/meadowbank/default.aspx" TargetMode="External"/><Relationship Id="rId72" Type="http://schemas.openxmlformats.org/officeDocument/2006/relationships/hyperlink" Target="https://www.ironore.ca/en" TargetMode="External"/><Relationship Id="rId93" Type="http://schemas.openxmlformats.org/officeDocument/2006/relationships/hyperlink" Target="https://miningdataonline.com/property/963/Fire-Lake-Mine.aspx" TargetMode="External"/><Relationship Id="rId98" Type="http://schemas.openxmlformats.org/officeDocument/2006/relationships/hyperlink" Target="https://miningdataonline.com/property/57/Mary-River-Mine.aspx" TargetMode="External"/><Relationship Id="rId3" Type="http://schemas.openxmlformats.org/officeDocument/2006/relationships/hyperlink" Target="https://www.centerragold.com/" TargetMode="External"/><Relationship Id="rId25" Type="http://schemas.openxmlformats.org/officeDocument/2006/relationships/hyperlink" Target="https://miningdataonline.com/property/47/Meadowbank-Mine.aspx" TargetMode="External"/><Relationship Id="rId46" Type="http://schemas.openxmlformats.org/officeDocument/2006/relationships/hyperlink" Target="https://www.agnicoeagle.com/English/operations/operations/meadowbank/default.aspx" TargetMode="External"/><Relationship Id="rId67" Type="http://schemas.openxmlformats.org/officeDocument/2006/relationships/hyperlink" Target="https://miningdataonline.com/property/246/Red-Chris-Mine.aspx" TargetMode="Externa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11555-B15C-414F-80C5-7BACED6063E7}">
  <dimension ref="A1:U329"/>
  <sheetViews>
    <sheetView topLeftCell="Q1" workbookViewId="0">
      <selection activeCell="I6" sqref="I6"/>
    </sheetView>
  </sheetViews>
  <sheetFormatPr baseColWidth="10" defaultColWidth="8.7265625" defaultRowHeight="14.5" x14ac:dyDescent="0.35"/>
  <cols>
    <col min="1" max="1" width="24.81640625" bestFit="1" customWidth="1"/>
    <col min="2" max="2" width="27.36328125" bestFit="1" customWidth="1"/>
    <col min="3" max="3" width="12.1796875" bestFit="1" customWidth="1"/>
    <col min="4" max="4" width="44.90625" bestFit="1" customWidth="1"/>
    <col min="5" max="5" width="15.08984375" bestFit="1" customWidth="1"/>
    <col min="6" max="6" width="20.08984375" bestFit="1" customWidth="1"/>
    <col min="7" max="7" width="30.90625" bestFit="1" customWidth="1"/>
    <col min="8" max="8" width="131.36328125" bestFit="1" customWidth="1"/>
    <col min="9" max="9" width="35.81640625" bestFit="1" customWidth="1"/>
    <col min="10" max="10" width="19.6328125" bestFit="1" customWidth="1"/>
    <col min="11" max="11" width="13.36328125" bestFit="1" customWidth="1"/>
    <col min="12" max="12" width="17.81640625" bestFit="1" customWidth="1"/>
    <col min="13" max="13" width="28.54296875" bestFit="1" customWidth="1"/>
    <col min="14" max="14" width="15.81640625" bestFit="1" customWidth="1"/>
    <col min="15" max="15" width="35.36328125" bestFit="1" customWidth="1"/>
    <col min="16" max="16" width="151.453125" bestFit="1" customWidth="1"/>
    <col min="17" max="17" width="154.36328125" bestFit="1" customWidth="1"/>
    <col min="18" max="18" width="50.54296875" bestFit="1" customWidth="1"/>
    <col min="19" max="19" width="50.54296875" customWidth="1"/>
    <col min="20" max="20" width="89.453125" bestFit="1" customWidth="1"/>
    <col min="21" max="21" width="28.36328125" customWidth="1"/>
  </cols>
  <sheetData>
    <row r="1" spans="1:21" s="5" customFormat="1" x14ac:dyDescent="0.35">
      <c r="A1" s="4" t="s">
        <v>750</v>
      </c>
      <c r="B1" s="4" t="s">
        <v>803</v>
      </c>
      <c r="C1" s="1" t="s">
        <v>804</v>
      </c>
      <c r="D1" s="4" t="s">
        <v>801</v>
      </c>
      <c r="E1" s="4" t="s">
        <v>802</v>
      </c>
      <c r="F1" s="4" t="s">
        <v>824</v>
      </c>
      <c r="G1" s="4" t="s">
        <v>1672</v>
      </c>
      <c r="H1" s="1" t="s">
        <v>1673</v>
      </c>
      <c r="I1" s="1" t="s">
        <v>1674</v>
      </c>
      <c r="J1" s="1" t="s">
        <v>2</v>
      </c>
      <c r="K1" s="1" t="s">
        <v>3</v>
      </c>
      <c r="L1" s="12" t="s">
        <v>1113</v>
      </c>
      <c r="M1" s="13" t="s">
        <v>1114</v>
      </c>
      <c r="N1" s="1" t="s">
        <v>4</v>
      </c>
      <c r="O1" s="14" t="s">
        <v>6</v>
      </c>
      <c r="P1" s="1" t="s">
        <v>5</v>
      </c>
      <c r="Q1" s="1" t="s">
        <v>708</v>
      </c>
      <c r="R1" s="15" t="s">
        <v>813</v>
      </c>
      <c r="S1" s="16" t="s">
        <v>837</v>
      </c>
      <c r="T1" s="16" t="s">
        <v>814</v>
      </c>
      <c r="U1" s="4" t="s">
        <v>745</v>
      </c>
    </row>
    <row r="2" spans="1:21" s="18" customFormat="1" x14ac:dyDescent="0.35">
      <c r="A2" s="18" t="s">
        <v>710</v>
      </c>
      <c r="B2" s="18">
        <v>2023</v>
      </c>
      <c r="C2" s="18" t="s">
        <v>707</v>
      </c>
      <c r="F2" s="18" t="s">
        <v>979</v>
      </c>
      <c r="G2" s="18" t="s">
        <v>717</v>
      </c>
      <c r="H2" s="18" t="s">
        <v>79</v>
      </c>
      <c r="I2" s="18" t="s">
        <v>464</v>
      </c>
      <c r="J2" s="18" t="s">
        <v>1272</v>
      </c>
      <c r="K2" s="18" t="s">
        <v>374</v>
      </c>
      <c r="L2" s="18" t="s">
        <v>1115</v>
      </c>
      <c r="M2" s="18" t="s">
        <v>1116</v>
      </c>
      <c r="N2" s="18" t="s">
        <v>375</v>
      </c>
      <c r="P2" s="18" t="s">
        <v>90</v>
      </c>
      <c r="R2" s="18" t="s">
        <v>980</v>
      </c>
      <c r="U2" s="18" t="s">
        <v>746</v>
      </c>
    </row>
    <row r="3" spans="1:21" x14ac:dyDescent="0.35">
      <c r="A3" t="s">
        <v>709</v>
      </c>
      <c r="B3" t="s">
        <v>720</v>
      </c>
      <c r="C3" t="s">
        <v>720</v>
      </c>
      <c r="D3" t="s">
        <v>720</v>
      </c>
      <c r="E3" t="s">
        <v>720</v>
      </c>
      <c r="F3" t="s">
        <v>720</v>
      </c>
      <c r="G3" t="s">
        <v>231</v>
      </c>
      <c r="H3" t="s">
        <v>231</v>
      </c>
      <c r="I3" t="s">
        <v>232</v>
      </c>
      <c r="J3" t="s">
        <v>1358</v>
      </c>
      <c r="K3" t="s">
        <v>10</v>
      </c>
      <c r="N3" t="s">
        <v>233</v>
      </c>
      <c r="O3" t="s">
        <v>1072</v>
      </c>
      <c r="P3" t="s">
        <v>244</v>
      </c>
      <c r="Q3" t="s">
        <v>1074</v>
      </c>
      <c r="R3" t="s">
        <v>1071</v>
      </c>
      <c r="U3" t="s">
        <v>746</v>
      </c>
    </row>
    <row r="4" spans="1:21" s="18" customFormat="1" x14ac:dyDescent="0.35">
      <c r="G4" s="18" t="s">
        <v>774</v>
      </c>
      <c r="H4" s="18" t="s">
        <v>62</v>
      </c>
      <c r="I4" s="18" t="s">
        <v>702</v>
      </c>
      <c r="J4" s="18" t="s">
        <v>1123</v>
      </c>
      <c r="K4" s="18" t="s">
        <v>374</v>
      </c>
      <c r="L4" s="18" t="s">
        <v>1115</v>
      </c>
      <c r="M4" s="18" t="s">
        <v>1116</v>
      </c>
      <c r="N4" s="18" t="s">
        <v>375</v>
      </c>
      <c r="P4" s="18" t="s">
        <v>703</v>
      </c>
      <c r="S4" s="19" t="s">
        <v>1501</v>
      </c>
      <c r="T4" s="19" t="s">
        <v>1500</v>
      </c>
      <c r="U4" s="18" t="s">
        <v>710</v>
      </c>
    </row>
    <row r="5" spans="1:21" x14ac:dyDescent="0.35">
      <c r="A5" t="s">
        <v>709</v>
      </c>
      <c r="B5" t="s">
        <v>720</v>
      </c>
      <c r="C5" t="s">
        <v>720</v>
      </c>
      <c r="D5" t="s">
        <v>720</v>
      </c>
      <c r="E5" t="s">
        <v>720</v>
      </c>
      <c r="F5" t="s">
        <v>720</v>
      </c>
      <c r="G5" t="s">
        <v>720</v>
      </c>
      <c r="H5" t="s">
        <v>234</v>
      </c>
      <c r="I5" t="s">
        <v>235</v>
      </c>
      <c r="J5" t="s">
        <v>1145</v>
      </c>
      <c r="K5" t="s">
        <v>10</v>
      </c>
      <c r="N5" t="s">
        <v>233</v>
      </c>
      <c r="O5" t="s">
        <v>1072</v>
      </c>
      <c r="R5" t="s">
        <v>810</v>
      </c>
      <c r="S5" s="2" t="s">
        <v>1502</v>
      </c>
      <c r="T5" s="2" t="s">
        <v>1503</v>
      </c>
      <c r="U5" t="s">
        <v>710</v>
      </c>
    </row>
    <row r="6" spans="1:21" x14ac:dyDescent="0.35">
      <c r="A6" t="s">
        <v>709</v>
      </c>
      <c r="B6" t="s">
        <v>720</v>
      </c>
      <c r="C6" t="s">
        <v>720</v>
      </c>
      <c r="D6" t="s">
        <v>720</v>
      </c>
      <c r="E6" t="s">
        <v>720</v>
      </c>
      <c r="F6" t="s">
        <v>720</v>
      </c>
      <c r="G6" t="s">
        <v>720</v>
      </c>
      <c r="H6" t="s">
        <v>234</v>
      </c>
      <c r="I6" t="s">
        <v>236</v>
      </c>
      <c r="J6" t="s">
        <v>1146</v>
      </c>
      <c r="K6" t="s">
        <v>10</v>
      </c>
      <c r="N6" t="s">
        <v>233</v>
      </c>
      <c r="O6" t="s">
        <v>1072</v>
      </c>
      <c r="R6" t="s">
        <v>810</v>
      </c>
      <c r="S6" s="2" t="s">
        <v>1501</v>
      </c>
      <c r="T6" s="2" t="s">
        <v>1500</v>
      </c>
      <c r="U6" t="s">
        <v>710</v>
      </c>
    </row>
    <row r="7" spans="1:21" x14ac:dyDescent="0.35">
      <c r="A7" t="s">
        <v>709</v>
      </c>
      <c r="B7" t="s">
        <v>720</v>
      </c>
      <c r="C7" t="s">
        <v>720</v>
      </c>
      <c r="D7" t="s">
        <v>720</v>
      </c>
      <c r="E7" t="s">
        <v>720</v>
      </c>
      <c r="F7" t="s">
        <v>720</v>
      </c>
      <c r="G7" t="s">
        <v>720</v>
      </c>
      <c r="H7" t="s">
        <v>234</v>
      </c>
      <c r="I7" t="s">
        <v>237</v>
      </c>
      <c r="J7" t="s">
        <v>1147</v>
      </c>
      <c r="K7" t="s">
        <v>10</v>
      </c>
      <c r="N7" t="s">
        <v>233</v>
      </c>
      <c r="O7" t="s">
        <v>1072</v>
      </c>
      <c r="R7" t="s">
        <v>810</v>
      </c>
      <c r="S7" s="2" t="s">
        <v>1505</v>
      </c>
      <c r="T7" s="2" t="s">
        <v>1504</v>
      </c>
      <c r="U7" t="s">
        <v>710</v>
      </c>
    </row>
    <row r="8" spans="1:21" x14ac:dyDescent="0.35">
      <c r="A8" t="s">
        <v>709</v>
      </c>
      <c r="B8" t="s">
        <v>720</v>
      </c>
      <c r="C8" t="s">
        <v>720</v>
      </c>
      <c r="D8" t="s">
        <v>720</v>
      </c>
      <c r="E8" t="s">
        <v>720</v>
      </c>
      <c r="F8" t="s">
        <v>720</v>
      </c>
      <c r="G8" t="s">
        <v>720</v>
      </c>
      <c r="H8" t="s">
        <v>234</v>
      </c>
      <c r="I8" t="s">
        <v>238</v>
      </c>
      <c r="J8" t="s">
        <v>1148</v>
      </c>
      <c r="K8" t="s">
        <v>10</v>
      </c>
      <c r="N8" t="s">
        <v>233</v>
      </c>
      <c r="O8" t="s">
        <v>1072</v>
      </c>
      <c r="R8" t="s">
        <v>810</v>
      </c>
      <c r="S8" s="2" t="s">
        <v>1506</v>
      </c>
      <c r="T8" s="2" t="s">
        <v>1507</v>
      </c>
      <c r="U8" t="s">
        <v>710</v>
      </c>
    </row>
    <row r="9" spans="1:21" x14ac:dyDescent="0.35">
      <c r="A9" t="s">
        <v>709</v>
      </c>
      <c r="B9" t="s">
        <v>720</v>
      </c>
      <c r="C9" t="s">
        <v>720</v>
      </c>
      <c r="D9" t="s">
        <v>720</v>
      </c>
      <c r="E9" t="s">
        <v>720</v>
      </c>
      <c r="F9" t="s">
        <v>720</v>
      </c>
      <c r="G9" t="s">
        <v>720</v>
      </c>
      <c r="H9" t="s">
        <v>234</v>
      </c>
      <c r="I9" t="s">
        <v>239</v>
      </c>
      <c r="J9" t="s">
        <v>1149</v>
      </c>
      <c r="K9" t="s">
        <v>10</v>
      </c>
      <c r="N9" t="s">
        <v>233</v>
      </c>
      <c r="O9" t="s">
        <v>1072</v>
      </c>
      <c r="R9" t="s">
        <v>810</v>
      </c>
      <c r="S9" s="2" t="s">
        <v>1508</v>
      </c>
      <c r="T9" s="2" t="s">
        <v>1509</v>
      </c>
      <c r="U9" t="s">
        <v>710</v>
      </c>
    </row>
    <row r="10" spans="1:21" x14ac:dyDescent="0.35">
      <c r="A10" t="s">
        <v>709</v>
      </c>
      <c r="B10" t="s">
        <v>720</v>
      </c>
      <c r="C10" t="s">
        <v>720</v>
      </c>
      <c r="D10" t="s">
        <v>720</v>
      </c>
      <c r="E10" t="s">
        <v>720</v>
      </c>
      <c r="F10" t="s">
        <v>720</v>
      </c>
      <c r="G10" t="s">
        <v>720</v>
      </c>
      <c r="H10" t="s">
        <v>234</v>
      </c>
      <c r="I10" t="s">
        <v>240</v>
      </c>
      <c r="J10" t="s">
        <v>1150</v>
      </c>
      <c r="K10" t="s">
        <v>10</v>
      </c>
      <c r="N10" t="s">
        <v>233</v>
      </c>
      <c r="O10" t="s">
        <v>1072</v>
      </c>
      <c r="R10" t="s">
        <v>810</v>
      </c>
      <c r="S10" s="2" t="s">
        <v>1510</v>
      </c>
      <c r="T10" s="2" t="s">
        <v>1511</v>
      </c>
      <c r="U10" t="s">
        <v>710</v>
      </c>
    </row>
    <row r="11" spans="1:21" x14ac:dyDescent="0.35">
      <c r="A11" t="s">
        <v>709</v>
      </c>
      <c r="B11" t="s">
        <v>720</v>
      </c>
      <c r="C11" t="s">
        <v>720</v>
      </c>
      <c r="D11" t="s">
        <v>720</v>
      </c>
      <c r="E11" t="s">
        <v>720</v>
      </c>
      <c r="F11" t="s">
        <v>720</v>
      </c>
      <c r="G11" t="s">
        <v>720</v>
      </c>
      <c r="H11" t="s">
        <v>234</v>
      </c>
      <c r="I11" t="s">
        <v>241</v>
      </c>
      <c r="J11" t="s">
        <v>1151</v>
      </c>
      <c r="K11" t="s">
        <v>10</v>
      </c>
      <c r="N11" t="s">
        <v>233</v>
      </c>
      <c r="O11" t="s">
        <v>1072</v>
      </c>
      <c r="R11" t="s">
        <v>810</v>
      </c>
      <c r="S11" s="2" t="s">
        <v>1512</v>
      </c>
      <c r="T11" s="2" t="s">
        <v>1513</v>
      </c>
      <c r="U11" t="s">
        <v>710</v>
      </c>
    </row>
    <row r="12" spans="1:21" x14ac:dyDescent="0.35">
      <c r="A12" s="18" t="s">
        <v>710</v>
      </c>
      <c r="B12" s="18">
        <v>2023</v>
      </c>
      <c r="C12" s="18" t="s">
        <v>707</v>
      </c>
      <c r="D12" s="18"/>
      <c r="E12" s="18"/>
      <c r="F12" s="18"/>
      <c r="G12" s="18" t="s">
        <v>14</v>
      </c>
      <c r="H12" s="18" t="s">
        <v>14</v>
      </c>
      <c r="I12" s="18" t="s">
        <v>429</v>
      </c>
      <c r="J12" s="18" t="s">
        <v>1132</v>
      </c>
      <c r="K12" s="18" t="s">
        <v>374</v>
      </c>
      <c r="L12" s="18" t="s">
        <v>1115</v>
      </c>
      <c r="M12" s="18" t="s">
        <v>1116</v>
      </c>
      <c r="N12" s="18" t="s">
        <v>375</v>
      </c>
      <c r="O12" s="18"/>
      <c r="P12" s="18" t="s">
        <v>81</v>
      </c>
      <c r="Q12" s="18" t="s">
        <v>1515</v>
      </c>
      <c r="R12" s="18" t="s">
        <v>768</v>
      </c>
      <c r="S12" t="s">
        <v>1512</v>
      </c>
      <c r="T12" t="s">
        <v>1509</v>
      </c>
      <c r="U12" t="s">
        <v>710</v>
      </c>
    </row>
    <row r="13" spans="1:21" s="18" customFormat="1" x14ac:dyDescent="0.35">
      <c r="G13" s="18" t="s">
        <v>916</v>
      </c>
      <c r="H13" s="18" t="s">
        <v>691</v>
      </c>
      <c r="I13" s="18" t="s">
        <v>692</v>
      </c>
      <c r="J13" s="18" t="s">
        <v>1449</v>
      </c>
      <c r="K13" s="18" t="s">
        <v>374</v>
      </c>
      <c r="L13" s="18" t="s">
        <v>1115</v>
      </c>
      <c r="M13" s="18" t="s">
        <v>1116</v>
      </c>
      <c r="N13" s="18" t="s">
        <v>375</v>
      </c>
      <c r="P13" s="18" t="s">
        <v>693</v>
      </c>
      <c r="S13" s="18" t="s">
        <v>1512</v>
      </c>
      <c r="T13" s="18" t="s">
        <v>1516</v>
      </c>
      <c r="U13" s="18" t="s">
        <v>710</v>
      </c>
    </row>
    <row r="14" spans="1:21" s="18" customFormat="1" x14ac:dyDescent="0.35">
      <c r="A14" s="18" t="s">
        <v>710</v>
      </c>
      <c r="B14" s="18">
        <v>2023</v>
      </c>
      <c r="C14" s="18" t="s">
        <v>707</v>
      </c>
      <c r="G14" s="18" t="s">
        <v>135</v>
      </c>
      <c r="H14" s="18" t="s">
        <v>135</v>
      </c>
      <c r="I14" s="18" t="s">
        <v>595</v>
      </c>
      <c r="J14" s="18" t="s">
        <v>1397</v>
      </c>
      <c r="K14" s="18" t="s">
        <v>374</v>
      </c>
      <c r="L14" s="18" t="s">
        <v>1115</v>
      </c>
      <c r="M14" s="18" t="s">
        <v>1116</v>
      </c>
      <c r="N14" s="18" t="s">
        <v>375</v>
      </c>
      <c r="P14" s="18" t="s">
        <v>177</v>
      </c>
      <c r="Q14" s="18" t="s">
        <v>728</v>
      </c>
      <c r="R14" s="18" t="s">
        <v>727</v>
      </c>
      <c r="S14" s="18" t="s">
        <v>1512</v>
      </c>
      <c r="U14" s="18" t="s">
        <v>710</v>
      </c>
    </row>
    <row r="15" spans="1:21" x14ac:dyDescent="0.35">
      <c r="A15" t="s">
        <v>710</v>
      </c>
      <c r="B15">
        <v>2023</v>
      </c>
      <c r="C15" t="s">
        <v>707</v>
      </c>
      <c r="D15" t="s">
        <v>807</v>
      </c>
      <c r="E15" t="s">
        <v>773</v>
      </c>
      <c r="G15" t="s">
        <v>779</v>
      </c>
      <c r="H15" t="s">
        <v>242</v>
      </c>
      <c r="I15" t="s">
        <v>243</v>
      </c>
      <c r="J15" t="s">
        <v>1141</v>
      </c>
      <c r="K15" t="s">
        <v>10</v>
      </c>
      <c r="N15" t="s">
        <v>233</v>
      </c>
      <c r="O15" t="s">
        <v>245</v>
      </c>
      <c r="P15" t="s">
        <v>244</v>
      </c>
      <c r="Q15" t="s">
        <v>781</v>
      </c>
      <c r="R15" s="22" t="s">
        <v>778</v>
      </c>
      <c r="S15" s="2" t="s">
        <v>1518</v>
      </c>
      <c r="T15" s="2" t="s">
        <v>1520</v>
      </c>
      <c r="U15" t="s">
        <v>746</v>
      </c>
    </row>
    <row r="16" spans="1:21" x14ac:dyDescent="0.35">
      <c r="A16" t="s">
        <v>710</v>
      </c>
      <c r="B16">
        <v>2024</v>
      </c>
      <c r="C16" t="s">
        <v>707</v>
      </c>
      <c r="D16" t="s">
        <v>807</v>
      </c>
      <c r="E16" t="s">
        <v>805</v>
      </c>
      <c r="F16" t="s">
        <v>1066</v>
      </c>
      <c r="G16" t="s">
        <v>718</v>
      </c>
      <c r="H16" t="s">
        <v>246</v>
      </c>
      <c r="I16" t="s">
        <v>247</v>
      </c>
      <c r="J16" t="s">
        <v>1346</v>
      </c>
      <c r="K16" t="s">
        <v>10</v>
      </c>
      <c r="N16" t="s">
        <v>233</v>
      </c>
      <c r="O16" t="s">
        <v>249</v>
      </c>
      <c r="P16" t="s">
        <v>248</v>
      </c>
      <c r="Q16" t="s">
        <v>1056</v>
      </c>
      <c r="R16" t="s">
        <v>1055</v>
      </c>
      <c r="S16" s="2" t="s">
        <v>1519</v>
      </c>
      <c r="T16" s="2" t="s">
        <v>1521</v>
      </c>
      <c r="U16" t="s">
        <v>746</v>
      </c>
    </row>
    <row r="17" spans="1:21" x14ac:dyDescent="0.35">
      <c r="A17" t="s">
        <v>710</v>
      </c>
      <c r="B17">
        <v>2024</v>
      </c>
      <c r="C17" t="s">
        <v>707</v>
      </c>
      <c r="D17" t="s">
        <v>807</v>
      </c>
      <c r="E17" t="s">
        <v>805</v>
      </c>
      <c r="F17" t="s">
        <v>1066</v>
      </c>
      <c r="G17" t="s">
        <v>718</v>
      </c>
      <c r="H17" t="s">
        <v>250</v>
      </c>
      <c r="I17" t="s">
        <v>251</v>
      </c>
      <c r="J17" t="s">
        <v>1352</v>
      </c>
      <c r="K17" t="s">
        <v>10</v>
      </c>
      <c r="N17" t="s">
        <v>233</v>
      </c>
      <c r="O17" t="s">
        <v>249</v>
      </c>
      <c r="P17" t="s">
        <v>252</v>
      </c>
      <c r="Q17" t="s">
        <v>1061</v>
      </c>
      <c r="R17" t="s">
        <v>1058</v>
      </c>
      <c r="T17" t="s">
        <v>707</v>
      </c>
      <c r="U17" t="s">
        <v>746</v>
      </c>
    </row>
    <row r="18" spans="1:21" x14ac:dyDescent="0.35">
      <c r="A18" t="s">
        <v>709</v>
      </c>
      <c r="B18" t="s">
        <v>720</v>
      </c>
      <c r="C18" t="s">
        <v>720</v>
      </c>
      <c r="D18" t="s">
        <v>720</v>
      </c>
      <c r="E18" t="s">
        <v>720</v>
      </c>
      <c r="F18" t="s">
        <v>720</v>
      </c>
      <c r="G18" t="s">
        <v>780</v>
      </c>
      <c r="H18" t="s">
        <v>253</v>
      </c>
      <c r="I18" t="s">
        <v>254</v>
      </c>
      <c r="J18" t="s">
        <v>1144</v>
      </c>
      <c r="K18" t="s">
        <v>10</v>
      </c>
      <c r="N18" t="s">
        <v>233</v>
      </c>
      <c r="O18" t="s">
        <v>255</v>
      </c>
      <c r="P18" t="s">
        <v>244</v>
      </c>
      <c r="Q18" t="s">
        <v>783</v>
      </c>
      <c r="R18" s="2" t="s">
        <v>782</v>
      </c>
      <c r="T18" t="s">
        <v>707</v>
      </c>
      <c r="U18" t="s">
        <v>746</v>
      </c>
    </row>
    <row r="19" spans="1:21" s="18" customFormat="1" x14ac:dyDescent="0.35">
      <c r="A19" t="s">
        <v>710</v>
      </c>
      <c r="B19">
        <v>2023</v>
      </c>
      <c r="C19">
        <v>2018</v>
      </c>
      <c r="D19" t="s">
        <v>772</v>
      </c>
      <c r="E19" t="s">
        <v>1537</v>
      </c>
      <c r="F19" t="s">
        <v>1514</v>
      </c>
      <c r="G19" t="s">
        <v>14</v>
      </c>
      <c r="H19" t="s">
        <v>14</v>
      </c>
      <c r="I19" t="s">
        <v>15</v>
      </c>
      <c r="J19" t="s">
        <v>1124</v>
      </c>
      <c r="K19" t="s">
        <v>10</v>
      </c>
      <c r="L19"/>
      <c r="M19"/>
      <c r="N19" t="s">
        <v>11</v>
      </c>
      <c r="O19" t="s">
        <v>17</v>
      </c>
      <c r="P19" t="s">
        <v>16</v>
      </c>
      <c r="Q19" t="s">
        <v>1499</v>
      </c>
      <c r="R19" s="2" t="s">
        <v>768</v>
      </c>
      <c r="U19" s="18" t="s">
        <v>746</v>
      </c>
    </row>
    <row r="20" spans="1:21" x14ac:dyDescent="0.35">
      <c r="A20" t="s">
        <v>710</v>
      </c>
      <c r="B20">
        <v>2023</v>
      </c>
      <c r="C20" t="s">
        <v>707</v>
      </c>
      <c r="D20" t="s">
        <v>807</v>
      </c>
      <c r="E20" t="s">
        <v>773</v>
      </c>
      <c r="G20" t="s">
        <v>155</v>
      </c>
      <c r="H20" t="s">
        <v>256</v>
      </c>
      <c r="I20" t="s">
        <v>257</v>
      </c>
      <c r="J20" t="s">
        <v>1158</v>
      </c>
      <c r="K20" t="s">
        <v>10</v>
      </c>
      <c r="N20" t="s">
        <v>233</v>
      </c>
      <c r="O20" t="s">
        <v>258</v>
      </c>
      <c r="P20" t="s">
        <v>244</v>
      </c>
      <c r="Q20" t="s">
        <v>817</v>
      </c>
      <c r="R20" t="s">
        <v>769</v>
      </c>
      <c r="S20" t="s">
        <v>1062</v>
      </c>
      <c r="T20" t="s">
        <v>707</v>
      </c>
      <c r="U20" t="s">
        <v>746</v>
      </c>
    </row>
    <row r="21" spans="1:21" x14ac:dyDescent="0.35">
      <c r="A21" t="s">
        <v>710</v>
      </c>
      <c r="B21">
        <v>2024</v>
      </c>
      <c r="C21" t="s">
        <v>707</v>
      </c>
      <c r="D21" t="s">
        <v>807</v>
      </c>
      <c r="E21" t="s">
        <v>805</v>
      </c>
      <c r="F21" t="s">
        <v>1066</v>
      </c>
      <c r="G21" t="s">
        <v>718</v>
      </c>
      <c r="H21" t="s">
        <v>246</v>
      </c>
      <c r="I21" t="s">
        <v>259</v>
      </c>
      <c r="J21" t="s">
        <v>1347</v>
      </c>
      <c r="K21" t="s">
        <v>10</v>
      </c>
      <c r="N21" t="s">
        <v>233</v>
      </c>
      <c r="O21" t="s">
        <v>249</v>
      </c>
      <c r="P21" t="s">
        <v>260</v>
      </c>
      <c r="Q21" t="s">
        <v>1056</v>
      </c>
      <c r="R21" t="s">
        <v>1055</v>
      </c>
      <c r="T21" t="s">
        <v>707</v>
      </c>
      <c r="U21" t="s">
        <v>746</v>
      </c>
    </row>
    <row r="22" spans="1:21" s="18" customFormat="1" x14ac:dyDescent="0.35">
      <c r="A22" t="s">
        <v>710</v>
      </c>
      <c r="B22">
        <v>2024</v>
      </c>
      <c r="C22" t="s">
        <v>707</v>
      </c>
      <c r="D22" t="s">
        <v>772</v>
      </c>
      <c r="E22" t="s">
        <v>773</v>
      </c>
      <c r="F22"/>
      <c r="G22" t="s">
        <v>1454</v>
      </c>
      <c r="H22" t="s">
        <v>225</v>
      </c>
      <c r="I22" t="s">
        <v>226</v>
      </c>
      <c r="J22" t="s">
        <v>1390</v>
      </c>
      <c r="K22" t="s">
        <v>10</v>
      </c>
      <c r="L22"/>
      <c r="M22"/>
      <c r="N22" t="s">
        <v>11</v>
      </c>
      <c r="O22" t="s">
        <v>34</v>
      </c>
      <c r="P22" t="s">
        <v>217</v>
      </c>
      <c r="Q22"/>
      <c r="R22" t="s">
        <v>766</v>
      </c>
      <c r="U22" s="18" t="s">
        <v>746</v>
      </c>
    </row>
    <row r="23" spans="1:21" s="18" customFormat="1" x14ac:dyDescent="0.35">
      <c r="A23" s="18" t="s">
        <v>710</v>
      </c>
      <c r="B23" s="18">
        <v>2023</v>
      </c>
      <c r="D23" s="18" t="s">
        <v>807</v>
      </c>
      <c r="E23" s="18" t="s">
        <v>773</v>
      </c>
      <c r="G23" s="18" t="s">
        <v>897</v>
      </c>
      <c r="H23" s="18" t="s">
        <v>507</v>
      </c>
      <c r="I23" s="18" t="s">
        <v>508</v>
      </c>
      <c r="J23" s="18" t="s">
        <v>1367</v>
      </c>
      <c r="K23" s="18" t="s">
        <v>374</v>
      </c>
      <c r="L23" s="18" t="s">
        <v>1115</v>
      </c>
      <c r="M23" s="18" t="s">
        <v>1116</v>
      </c>
      <c r="N23" s="18" t="s">
        <v>375</v>
      </c>
      <c r="P23" s="18" t="s">
        <v>509</v>
      </c>
      <c r="U23" s="18" t="s">
        <v>746</v>
      </c>
    </row>
    <row r="24" spans="1:21" x14ac:dyDescent="0.35">
      <c r="A24" s="18"/>
      <c r="B24" s="18"/>
      <c r="C24" s="18"/>
      <c r="D24" s="18"/>
      <c r="E24" s="18"/>
      <c r="F24" s="18"/>
      <c r="G24" s="18"/>
      <c r="H24" s="18" t="s">
        <v>551</v>
      </c>
      <c r="I24" s="18" t="s">
        <v>552</v>
      </c>
      <c r="J24" s="18" t="s">
        <v>1143</v>
      </c>
      <c r="K24" s="18" t="s">
        <v>374</v>
      </c>
      <c r="L24" s="18" t="s">
        <v>1115</v>
      </c>
      <c r="M24" s="18" t="s">
        <v>1116</v>
      </c>
      <c r="N24" s="18" t="s">
        <v>375</v>
      </c>
      <c r="O24" s="18"/>
      <c r="P24" s="18" t="s">
        <v>553</v>
      </c>
      <c r="Q24" s="18"/>
      <c r="R24" s="18"/>
      <c r="S24" s="2"/>
      <c r="T24" t="s">
        <v>707</v>
      </c>
      <c r="U24" t="s">
        <v>746</v>
      </c>
    </row>
    <row r="25" spans="1:21" x14ac:dyDescent="0.35">
      <c r="A25" t="s">
        <v>710</v>
      </c>
      <c r="B25">
        <v>2023</v>
      </c>
      <c r="C25" t="s">
        <v>707</v>
      </c>
      <c r="D25" t="s">
        <v>809</v>
      </c>
      <c r="E25" t="s">
        <v>805</v>
      </c>
      <c r="G25" t="s">
        <v>261</v>
      </c>
      <c r="H25" t="s">
        <v>261</v>
      </c>
      <c r="I25" t="s">
        <v>262</v>
      </c>
      <c r="J25" t="s">
        <v>1137</v>
      </c>
      <c r="K25" t="s">
        <v>10</v>
      </c>
      <c r="N25" t="s">
        <v>233</v>
      </c>
      <c r="O25" t="s">
        <v>249</v>
      </c>
      <c r="P25" t="s">
        <v>248</v>
      </c>
      <c r="Q25" t="s">
        <v>739</v>
      </c>
      <c r="R25" s="22" t="s">
        <v>738</v>
      </c>
      <c r="T25" t="s">
        <v>707</v>
      </c>
      <c r="U25" t="s">
        <v>746</v>
      </c>
    </row>
    <row r="26" spans="1:21" x14ac:dyDescent="0.35">
      <c r="A26" s="18"/>
      <c r="B26" s="18"/>
      <c r="C26" s="18"/>
      <c r="D26" s="18"/>
      <c r="E26" s="18"/>
      <c r="F26" s="18"/>
      <c r="G26" s="18" t="s">
        <v>496</v>
      </c>
      <c r="H26" s="18" t="s">
        <v>496</v>
      </c>
      <c r="I26" s="18" t="s">
        <v>497</v>
      </c>
      <c r="J26" s="18" t="s">
        <v>1209</v>
      </c>
      <c r="K26" s="18" t="s">
        <v>374</v>
      </c>
      <c r="L26" s="18" t="s">
        <v>1115</v>
      </c>
      <c r="M26" s="18" t="s">
        <v>1118</v>
      </c>
      <c r="N26" s="18" t="s">
        <v>375</v>
      </c>
      <c r="O26" s="18"/>
      <c r="P26" s="18" t="s">
        <v>498</v>
      </c>
      <c r="Q26" s="18"/>
      <c r="R26" s="18"/>
      <c r="T26" t="s">
        <v>707</v>
      </c>
      <c r="U26" t="s">
        <v>746</v>
      </c>
    </row>
    <row r="27" spans="1:21" x14ac:dyDescent="0.35">
      <c r="A27" s="18"/>
      <c r="B27" s="18"/>
      <c r="C27" s="18"/>
      <c r="D27" s="18"/>
      <c r="E27" s="18"/>
      <c r="F27" s="18"/>
      <c r="G27" s="18" t="s">
        <v>869</v>
      </c>
      <c r="H27" s="18" t="s">
        <v>546</v>
      </c>
      <c r="I27" s="18" t="s">
        <v>547</v>
      </c>
      <c r="J27" s="18" t="s">
        <v>1300</v>
      </c>
      <c r="K27" s="18" t="s">
        <v>374</v>
      </c>
      <c r="L27" s="18" t="s">
        <v>1115</v>
      </c>
      <c r="M27" s="18" t="s">
        <v>1116</v>
      </c>
      <c r="N27" s="18" t="s">
        <v>375</v>
      </c>
      <c r="O27" s="18"/>
      <c r="P27" s="18" t="s">
        <v>548</v>
      </c>
      <c r="Q27" s="18"/>
      <c r="R27" s="18"/>
      <c r="T27" t="s">
        <v>707</v>
      </c>
      <c r="U27" t="s">
        <v>746</v>
      </c>
    </row>
    <row r="28" spans="1:21" x14ac:dyDescent="0.35">
      <c r="A28" s="18"/>
      <c r="B28" s="18"/>
      <c r="C28" s="18"/>
      <c r="D28" s="18"/>
      <c r="E28" s="18"/>
      <c r="F28" s="18"/>
      <c r="G28" s="18" t="s">
        <v>386</v>
      </c>
      <c r="H28" s="18" t="s">
        <v>386</v>
      </c>
      <c r="I28" s="18" t="s">
        <v>387</v>
      </c>
      <c r="J28" s="18" t="s">
        <v>1211</v>
      </c>
      <c r="K28" s="18" t="s">
        <v>374</v>
      </c>
      <c r="L28" s="18" t="s">
        <v>1115</v>
      </c>
      <c r="M28" s="18" t="s">
        <v>1117</v>
      </c>
      <c r="N28" s="18" t="s">
        <v>375</v>
      </c>
      <c r="O28" s="18"/>
      <c r="P28" s="18" t="s">
        <v>388</v>
      </c>
      <c r="Q28" s="18"/>
      <c r="R28" s="18"/>
      <c r="T28" t="s">
        <v>707</v>
      </c>
      <c r="U28" t="s">
        <v>746</v>
      </c>
    </row>
    <row r="29" spans="1:21" x14ac:dyDescent="0.35">
      <c r="A29" t="s">
        <v>709</v>
      </c>
      <c r="B29" t="s">
        <v>720</v>
      </c>
      <c r="C29" t="s">
        <v>720</v>
      </c>
      <c r="D29" t="s">
        <v>720</v>
      </c>
      <c r="E29" t="s">
        <v>720</v>
      </c>
      <c r="F29" t="s">
        <v>720</v>
      </c>
      <c r="G29" t="s">
        <v>720</v>
      </c>
      <c r="H29" t="s">
        <v>263</v>
      </c>
      <c r="I29" t="s">
        <v>264</v>
      </c>
      <c r="J29" t="s">
        <v>1167</v>
      </c>
      <c r="K29" t="s">
        <v>10</v>
      </c>
      <c r="N29" t="s">
        <v>233</v>
      </c>
      <c r="O29" t="s">
        <v>266</v>
      </c>
      <c r="P29" t="s">
        <v>265</v>
      </c>
      <c r="R29" s="22" t="s">
        <v>789</v>
      </c>
      <c r="T29" t="s">
        <v>707</v>
      </c>
      <c r="U29" t="s">
        <v>746</v>
      </c>
    </row>
    <row r="30" spans="1:21" x14ac:dyDescent="0.35">
      <c r="A30" t="s">
        <v>709</v>
      </c>
      <c r="B30" t="s">
        <v>720</v>
      </c>
      <c r="C30" t="s">
        <v>720</v>
      </c>
      <c r="D30" t="s">
        <v>720</v>
      </c>
      <c r="E30" t="s">
        <v>720</v>
      </c>
      <c r="F30" t="s">
        <v>720</v>
      </c>
      <c r="G30" t="s">
        <v>720</v>
      </c>
      <c r="H30" t="s">
        <v>205</v>
      </c>
      <c r="I30" t="s">
        <v>206</v>
      </c>
      <c r="J30" t="s">
        <v>1193</v>
      </c>
      <c r="K30" t="s">
        <v>10</v>
      </c>
      <c r="N30" t="s">
        <v>11</v>
      </c>
      <c r="O30" t="s">
        <v>13</v>
      </c>
      <c r="P30" t="s">
        <v>207</v>
      </c>
      <c r="R30" t="s">
        <v>720</v>
      </c>
      <c r="T30" t="s">
        <v>707</v>
      </c>
      <c r="U30" t="s">
        <v>746</v>
      </c>
    </row>
    <row r="31" spans="1:21" x14ac:dyDescent="0.35">
      <c r="A31" t="s">
        <v>710</v>
      </c>
      <c r="B31">
        <v>2023</v>
      </c>
      <c r="C31" t="s">
        <v>707</v>
      </c>
      <c r="D31" t="s">
        <v>809</v>
      </c>
      <c r="E31" t="s">
        <v>805</v>
      </c>
      <c r="G31" t="s">
        <v>740</v>
      </c>
      <c r="H31" t="s">
        <v>267</v>
      </c>
      <c r="I31" t="s">
        <v>268</v>
      </c>
      <c r="J31" t="s">
        <v>1140</v>
      </c>
      <c r="K31" t="s">
        <v>10</v>
      </c>
      <c r="N31" t="s">
        <v>233</v>
      </c>
      <c r="O31" t="s">
        <v>249</v>
      </c>
      <c r="P31" t="s">
        <v>248</v>
      </c>
      <c r="R31" t="s">
        <v>738</v>
      </c>
      <c r="T31" t="s">
        <v>707</v>
      </c>
      <c r="U31" t="s">
        <v>746</v>
      </c>
    </row>
    <row r="32" spans="1:21" x14ac:dyDescent="0.35">
      <c r="A32" s="18"/>
      <c r="B32" s="18"/>
      <c r="C32" s="18"/>
      <c r="D32" s="18"/>
      <c r="E32" s="18"/>
      <c r="F32" s="18"/>
      <c r="G32" s="18" t="s">
        <v>543</v>
      </c>
      <c r="H32" s="18" t="s">
        <v>543</v>
      </c>
      <c r="I32" s="18" t="s">
        <v>544</v>
      </c>
      <c r="J32" s="18" t="s">
        <v>1214</v>
      </c>
      <c r="K32" s="18" t="s">
        <v>374</v>
      </c>
      <c r="L32" s="18" t="s">
        <v>1115</v>
      </c>
      <c r="M32" s="18" t="s">
        <v>1117</v>
      </c>
      <c r="N32" s="18" t="s">
        <v>375</v>
      </c>
      <c r="O32" s="18"/>
      <c r="P32" s="18" t="s">
        <v>545</v>
      </c>
      <c r="Q32" s="18"/>
      <c r="R32" s="18"/>
      <c r="T32" t="s">
        <v>816</v>
      </c>
      <c r="U32" t="s">
        <v>747</v>
      </c>
    </row>
    <row r="33" spans="1:21" x14ac:dyDescent="0.35">
      <c r="A33" t="s">
        <v>946</v>
      </c>
      <c r="B33" t="s">
        <v>720</v>
      </c>
      <c r="C33" t="s">
        <v>720</v>
      </c>
      <c r="D33" t="s">
        <v>720</v>
      </c>
      <c r="E33" t="s">
        <v>720</v>
      </c>
      <c r="F33" t="s">
        <v>720</v>
      </c>
      <c r="G33" t="s">
        <v>269</v>
      </c>
      <c r="H33" t="s">
        <v>269</v>
      </c>
      <c r="I33" t="s">
        <v>270</v>
      </c>
      <c r="J33" t="s">
        <v>1221</v>
      </c>
      <c r="K33" t="s">
        <v>10</v>
      </c>
      <c r="N33" t="s">
        <v>233</v>
      </c>
      <c r="P33" t="s">
        <v>271</v>
      </c>
      <c r="R33" s="3" t="s">
        <v>945</v>
      </c>
      <c r="T33" s="2" t="s">
        <v>815</v>
      </c>
      <c r="U33" t="s">
        <v>747</v>
      </c>
    </row>
    <row r="34" spans="1:21" x14ac:dyDescent="0.35">
      <c r="A34" t="s">
        <v>710</v>
      </c>
      <c r="B34">
        <v>2023</v>
      </c>
      <c r="C34">
        <v>2021</v>
      </c>
      <c r="D34" t="s">
        <v>772</v>
      </c>
      <c r="E34" t="s">
        <v>805</v>
      </c>
      <c r="F34" t="s">
        <v>979</v>
      </c>
      <c r="G34" t="s">
        <v>756</v>
      </c>
      <c r="H34" t="s">
        <v>46</v>
      </c>
      <c r="I34" t="s">
        <v>47</v>
      </c>
      <c r="J34" t="s">
        <v>1339</v>
      </c>
      <c r="K34" t="s">
        <v>10</v>
      </c>
      <c r="N34" t="s">
        <v>11</v>
      </c>
      <c r="O34" t="s">
        <v>13</v>
      </c>
      <c r="P34" t="s">
        <v>16</v>
      </c>
      <c r="Q34" t="s">
        <v>1045</v>
      </c>
      <c r="R34" s="2" t="s">
        <v>763</v>
      </c>
      <c r="T34" t="s">
        <v>707</v>
      </c>
      <c r="U34" t="s">
        <v>747</v>
      </c>
    </row>
    <row r="35" spans="1:21" x14ac:dyDescent="0.35">
      <c r="A35" s="18"/>
      <c r="B35" s="18"/>
      <c r="C35" s="18"/>
      <c r="D35" s="18"/>
      <c r="E35" s="18"/>
      <c r="F35" s="18"/>
      <c r="G35" s="18" t="s">
        <v>905</v>
      </c>
      <c r="H35" s="18" t="s">
        <v>413</v>
      </c>
      <c r="I35" s="18" t="s">
        <v>414</v>
      </c>
      <c r="J35" s="18" t="s">
        <v>1388</v>
      </c>
      <c r="K35" s="18" t="s">
        <v>374</v>
      </c>
      <c r="L35" s="18" t="s">
        <v>1115</v>
      </c>
      <c r="M35" s="18" t="s">
        <v>1116</v>
      </c>
      <c r="N35" s="18" t="s">
        <v>375</v>
      </c>
      <c r="O35" s="18"/>
      <c r="P35" s="18" t="s">
        <v>415</v>
      </c>
      <c r="Q35" s="18"/>
      <c r="R35" s="18"/>
      <c r="T35" t="s">
        <v>707</v>
      </c>
      <c r="U35" t="s">
        <v>747</v>
      </c>
    </row>
    <row r="36" spans="1:21" x14ac:dyDescent="0.35">
      <c r="A36" s="18"/>
      <c r="B36" s="18"/>
      <c r="C36" s="18"/>
      <c r="D36" s="18"/>
      <c r="E36" s="18"/>
      <c r="F36" s="18"/>
      <c r="G36" s="18" t="s">
        <v>469</v>
      </c>
      <c r="H36" s="18" t="s">
        <v>469</v>
      </c>
      <c r="I36" s="18" t="s">
        <v>470</v>
      </c>
      <c r="J36" s="18" t="s">
        <v>1330</v>
      </c>
      <c r="K36" s="18" t="s">
        <v>374</v>
      </c>
      <c r="L36" s="18" t="s">
        <v>1115</v>
      </c>
      <c r="M36" s="18" t="s">
        <v>1116</v>
      </c>
      <c r="N36" s="18" t="s">
        <v>375</v>
      </c>
      <c r="O36" s="18"/>
      <c r="P36" s="18" t="s">
        <v>468</v>
      </c>
      <c r="Q36" s="18"/>
      <c r="R36" s="18"/>
      <c r="T36" t="s">
        <v>707</v>
      </c>
      <c r="U36" t="s">
        <v>747</v>
      </c>
    </row>
    <row r="37" spans="1:21" x14ac:dyDescent="0.35">
      <c r="A37" s="18"/>
      <c r="B37" s="18"/>
      <c r="C37" s="18"/>
      <c r="D37" s="18"/>
      <c r="E37" s="18"/>
      <c r="F37" s="18"/>
      <c r="G37" s="18" t="s">
        <v>489</v>
      </c>
      <c r="H37" s="18" t="s">
        <v>489</v>
      </c>
      <c r="I37" s="18" t="s">
        <v>490</v>
      </c>
      <c r="J37" s="18" t="s">
        <v>1383</v>
      </c>
      <c r="K37" s="18" t="s">
        <v>374</v>
      </c>
      <c r="L37" s="18" t="s">
        <v>1115</v>
      </c>
      <c r="M37" s="18" t="s">
        <v>1116</v>
      </c>
      <c r="N37" s="18" t="s">
        <v>375</v>
      </c>
      <c r="O37" s="18"/>
      <c r="P37" s="18" t="s">
        <v>491</v>
      </c>
      <c r="Q37" s="18"/>
      <c r="R37" s="18"/>
      <c r="T37" t="s">
        <v>707</v>
      </c>
      <c r="U37" t="s">
        <v>747</v>
      </c>
    </row>
    <row r="38" spans="1:21" x14ac:dyDescent="0.35">
      <c r="A38" s="18"/>
      <c r="B38" s="18"/>
      <c r="C38" s="18"/>
      <c r="D38" s="18"/>
      <c r="E38" s="18"/>
      <c r="F38" s="18"/>
      <c r="G38" s="18" t="s">
        <v>489</v>
      </c>
      <c r="H38" s="18" t="s">
        <v>489</v>
      </c>
      <c r="I38" s="18" t="s">
        <v>492</v>
      </c>
      <c r="J38" s="18" t="s">
        <v>1384</v>
      </c>
      <c r="K38" s="18" t="s">
        <v>374</v>
      </c>
      <c r="L38" s="18" t="s">
        <v>1115</v>
      </c>
      <c r="M38" s="18" t="s">
        <v>1117</v>
      </c>
      <c r="N38" s="18" t="s">
        <v>375</v>
      </c>
      <c r="O38" s="18"/>
      <c r="P38" s="18" t="s">
        <v>491</v>
      </c>
      <c r="Q38" s="18"/>
      <c r="R38" s="18"/>
      <c r="T38" t="s">
        <v>707</v>
      </c>
      <c r="U38" t="s">
        <v>747</v>
      </c>
    </row>
    <row r="39" spans="1:21" x14ac:dyDescent="0.35">
      <c r="A39" t="s">
        <v>710</v>
      </c>
      <c r="B39">
        <v>2023</v>
      </c>
      <c r="C39" t="s">
        <v>707</v>
      </c>
      <c r="D39" t="s">
        <v>831</v>
      </c>
      <c r="E39" t="s">
        <v>832</v>
      </c>
      <c r="G39" t="s">
        <v>208</v>
      </c>
      <c r="H39" t="s">
        <v>208</v>
      </c>
      <c r="I39" t="s">
        <v>272</v>
      </c>
      <c r="J39" t="s">
        <v>1178</v>
      </c>
      <c r="K39" t="s">
        <v>10</v>
      </c>
      <c r="N39" t="s">
        <v>233</v>
      </c>
      <c r="O39" t="s">
        <v>274</v>
      </c>
      <c r="P39" t="s">
        <v>273</v>
      </c>
      <c r="R39" t="s">
        <v>770</v>
      </c>
      <c r="T39" t="s">
        <v>819</v>
      </c>
      <c r="U39" t="s">
        <v>746</v>
      </c>
    </row>
    <row r="40" spans="1:21" s="18" customFormat="1" x14ac:dyDescent="0.35">
      <c r="A40" t="s">
        <v>710</v>
      </c>
      <c r="B40">
        <v>2023</v>
      </c>
      <c r="C40">
        <v>2023</v>
      </c>
      <c r="D40" t="s">
        <v>919</v>
      </c>
      <c r="E40" t="s">
        <v>805</v>
      </c>
      <c r="F40" t="s">
        <v>918</v>
      </c>
      <c r="G40" t="s">
        <v>795</v>
      </c>
      <c r="H40" t="s">
        <v>161</v>
      </c>
      <c r="I40" t="s">
        <v>162</v>
      </c>
      <c r="J40" t="s">
        <v>1192</v>
      </c>
      <c r="K40" t="s">
        <v>10</v>
      </c>
      <c r="L40"/>
      <c r="M40"/>
      <c r="N40" t="s">
        <v>11</v>
      </c>
      <c r="O40" t="s">
        <v>34</v>
      </c>
      <c r="P40" t="s">
        <v>157</v>
      </c>
      <c r="Q40" t="s">
        <v>920</v>
      </c>
      <c r="R40" t="s">
        <v>794</v>
      </c>
      <c r="U40" s="18" t="s">
        <v>746</v>
      </c>
    </row>
    <row r="41" spans="1:21" x14ac:dyDescent="0.35">
      <c r="A41" s="18"/>
      <c r="B41" s="18"/>
      <c r="C41" s="18"/>
      <c r="D41" s="18"/>
      <c r="E41" s="18"/>
      <c r="F41" s="18"/>
      <c r="G41" s="18" t="s">
        <v>499</v>
      </c>
      <c r="H41" s="18" t="s">
        <v>499</v>
      </c>
      <c r="I41" s="18" t="s">
        <v>500</v>
      </c>
      <c r="J41" s="18" t="s">
        <v>1293</v>
      </c>
      <c r="K41" s="18" t="s">
        <v>374</v>
      </c>
      <c r="L41" s="18" t="s">
        <v>1115</v>
      </c>
      <c r="M41" s="18" t="s">
        <v>1118</v>
      </c>
      <c r="N41" s="18" t="s">
        <v>375</v>
      </c>
      <c r="O41" s="18"/>
      <c r="P41" s="18" t="s">
        <v>498</v>
      </c>
      <c r="Q41" s="18"/>
      <c r="R41" s="18"/>
      <c r="T41" t="s">
        <v>707</v>
      </c>
      <c r="U41" t="s">
        <v>746</v>
      </c>
    </row>
    <row r="42" spans="1:21" s="18" customFormat="1" x14ac:dyDescent="0.35">
      <c r="A42" t="s">
        <v>710</v>
      </c>
      <c r="B42">
        <v>2024</v>
      </c>
      <c r="C42" t="s">
        <v>707</v>
      </c>
      <c r="D42"/>
      <c r="E42"/>
      <c r="F42"/>
      <c r="G42" t="s">
        <v>39</v>
      </c>
      <c r="H42" t="s">
        <v>39</v>
      </c>
      <c r="I42" t="s">
        <v>40</v>
      </c>
      <c r="J42" t="s">
        <v>1316</v>
      </c>
      <c r="K42" t="s">
        <v>10</v>
      </c>
      <c r="L42"/>
      <c r="M42"/>
      <c r="N42" t="s">
        <v>11</v>
      </c>
      <c r="O42" t="s">
        <v>17</v>
      </c>
      <c r="P42" t="s">
        <v>16</v>
      </c>
      <c r="Q42" t="s">
        <v>1028</v>
      </c>
      <c r="R42" t="s">
        <v>1030</v>
      </c>
      <c r="U42" s="18" t="s">
        <v>746</v>
      </c>
    </row>
    <row r="43" spans="1:21" s="18" customFormat="1" x14ac:dyDescent="0.35">
      <c r="A43" t="s">
        <v>710</v>
      </c>
      <c r="B43">
        <v>2023</v>
      </c>
      <c r="C43" t="s">
        <v>707</v>
      </c>
      <c r="D43" t="s">
        <v>820</v>
      </c>
      <c r="E43" t="s">
        <v>773</v>
      </c>
      <c r="F43"/>
      <c r="G43" t="s">
        <v>785</v>
      </c>
      <c r="H43" t="s">
        <v>275</v>
      </c>
      <c r="I43" t="s">
        <v>276</v>
      </c>
      <c r="J43" t="s">
        <v>1161</v>
      </c>
      <c r="K43" t="s">
        <v>10</v>
      </c>
      <c r="L43"/>
      <c r="M43"/>
      <c r="N43" t="s">
        <v>233</v>
      </c>
      <c r="O43" t="s">
        <v>274</v>
      </c>
      <c r="P43" t="s">
        <v>64</v>
      </c>
      <c r="Q43" t="s">
        <v>787</v>
      </c>
      <c r="R43" s="22" t="s">
        <v>786</v>
      </c>
      <c r="U43" s="18" t="s">
        <v>746</v>
      </c>
    </row>
    <row r="44" spans="1:21" s="18" customFormat="1" x14ac:dyDescent="0.35">
      <c r="A44" t="s">
        <v>709</v>
      </c>
      <c r="B44" t="s">
        <v>720</v>
      </c>
      <c r="C44" t="s">
        <v>720</v>
      </c>
      <c r="D44" t="s">
        <v>720</v>
      </c>
      <c r="E44" t="s">
        <v>720</v>
      </c>
      <c r="F44" t="s">
        <v>720</v>
      </c>
      <c r="G44" t="s">
        <v>277</v>
      </c>
      <c r="H44" t="s">
        <v>277</v>
      </c>
      <c r="I44" t="s">
        <v>278</v>
      </c>
      <c r="J44" t="s">
        <v>1411</v>
      </c>
      <c r="K44" t="s">
        <v>10</v>
      </c>
      <c r="L44"/>
      <c r="M44"/>
      <c r="N44" t="s">
        <v>233</v>
      </c>
      <c r="O44" t="s">
        <v>1072</v>
      </c>
      <c r="P44"/>
      <c r="Q44"/>
      <c r="R44" t="s">
        <v>1109</v>
      </c>
      <c r="U44" s="18" t="s">
        <v>746</v>
      </c>
    </row>
    <row r="45" spans="1:21" x14ac:dyDescent="0.35">
      <c r="A45" t="s">
        <v>710</v>
      </c>
      <c r="B45">
        <v>2024</v>
      </c>
      <c r="C45" t="s">
        <v>707</v>
      </c>
      <c r="D45" t="s">
        <v>772</v>
      </c>
      <c r="E45" t="s">
        <v>805</v>
      </c>
      <c r="G45" t="s">
        <v>39</v>
      </c>
      <c r="H45" t="s">
        <v>39</v>
      </c>
      <c r="I45" t="s">
        <v>77</v>
      </c>
      <c r="J45" t="s">
        <v>1321</v>
      </c>
      <c r="K45" t="s">
        <v>10</v>
      </c>
      <c r="N45" t="s">
        <v>11</v>
      </c>
      <c r="O45" t="s">
        <v>13</v>
      </c>
      <c r="P45" t="s">
        <v>64</v>
      </c>
      <c r="Q45" t="s">
        <v>1586</v>
      </c>
      <c r="R45" t="s">
        <v>1030</v>
      </c>
      <c r="S45" s="3" t="s">
        <v>821</v>
      </c>
      <c r="T45" s="30" t="s">
        <v>823</v>
      </c>
      <c r="U45" t="s">
        <v>746</v>
      </c>
    </row>
    <row r="46" spans="1:21" x14ac:dyDescent="0.35">
      <c r="A46" t="s">
        <v>710</v>
      </c>
      <c r="B46">
        <v>2024</v>
      </c>
      <c r="C46" t="s">
        <v>707</v>
      </c>
      <c r="D46" t="s">
        <v>807</v>
      </c>
      <c r="E46" t="s">
        <v>773</v>
      </c>
      <c r="F46" t="s">
        <v>921</v>
      </c>
      <c r="G46" t="s">
        <v>721</v>
      </c>
      <c r="H46" t="s">
        <v>93</v>
      </c>
      <c r="I46" t="s">
        <v>94</v>
      </c>
      <c r="J46" t="s">
        <v>1196</v>
      </c>
      <c r="K46" t="s">
        <v>10</v>
      </c>
      <c r="N46" t="s">
        <v>11</v>
      </c>
      <c r="O46" t="s">
        <v>34</v>
      </c>
      <c r="P46" t="s">
        <v>95</v>
      </c>
      <c r="R46" s="2" t="s">
        <v>922</v>
      </c>
      <c r="S46" t="s">
        <v>1525</v>
      </c>
      <c r="T46" t="s">
        <v>1524</v>
      </c>
      <c r="U46" t="s">
        <v>710</v>
      </c>
    </row>
    <row r="47" spans="1:21" x14ac:dyDescent="0.35">
      <c r="A47" s="18"/>
      <c r="B47" s="18"/>
      <c r="C47" s="18"/>
      <c r="D47" s="18"/>
      <c r="E47" s="18"/>
      <c r="F47" s="18"/>
      <c r="G47" s="18"/>
      <c r="H47" s="18" t="s">
        <v>686</v>
      </c>
      <c r="I47" s="18" t="s">
        <v>687</v>
      </c>
      <c r="J47" s="18" t="s">
        <v>1171</v>
      </c>
      <c r="K47" s="18" t="s">
        <v>374</v>
      </c>
      <c r="L47" s="18" t="s">
        <v>1115</v>
      </c>
      <c r="M47" s="18" t="s">
        <v>1116</v>
      </c>
      <c r="N47" s="18" t="s">
        <v>375</v>
      </c>
      <c r="O47" s="18"/>
      <c r="P47" s="18" t="s">
        <v>688</v>
      </c>
      <c r="Q47" s="18"/>
      <c r="R47" s="18"/>
      <c r="T47" t="s">
        <v>707</v>
      </c>
      <c r="U47" t="s">
        <v>746</v>
      </c>
    </row>
    <row r="48" spans="1:21" s="18" customFormat="1" x14ac:dyDescent="0.35">
      <c r="G48" s="18" t="s">
        <v>886</v>
      </c>
      <c r="H48" s="18" t="s">
        <v>676</v>
      </c>
      <c r="I48" s="18" t="s">
        <v>677</v>
      </c>
      <c r="J48" s="18" t="s">
        <v>1335</v>
      </c>
      <c r="K48" s="18" t="s">
        <v>374</v>
      </c>
      <c r="L48" s="18" t="s">
        <v>1115</v>
      </c>
      <c r="M48" s="18" t="s">
        <v>1116</v>
      </c>
      <c r="N48" s="18" t="s">
        <v>375</v>
      </c>
      <c r="P48" s="18" t="s">
        <v>678</v>
      </c>
      <c r="U48" s="18" t="s">
        <v>746</v>
      </c>
    </row>
    <row r="49" spans="1:21" x14ac:dyDescent="0.35">
      <c r="A49" t="s">
        <v>709</v>
      </c>
      <c r="B49" t="s">
        <v>720</v>
      </c>
      <c r="C49" t="s">
        <v>720</v>
      </c>
      <c r="D49" t="s">
        <v>720</v>
      </c>
      <c r="E49" t="s">
        <v>720</v>
      </c>
      <c r="F49" t="s">
        <v>720</v>
      </c>
      <c r="G49" t="s">
        <v>720</v>
      </c>
      <c r="H49" t="s">
        <v>279</v>
      </c>
      <c r="I49" t="s">
        <v>280</v>
      </c>
      <c r="J49" t="s">
        <v>1173</v>
      </c>
      <c r="K49" t="s">
        <v>10</v>
      </c>
      <c r="N49" t="s">
        <v>233</v>
      </c>
      <c r="R49" t="s">
        <v>792</v>
      </c>
      <c r="U49" t="s">
        <v>746</v>
      </c>
    </row>
    <row r="50" spans="1:21" s="18" customFormat="1" x14ac:dyDescent="0.35">
      <c r="A50" t="s">
        <v>710</v>
      </c>
      <c r="B50">
        <v>2024</v>
      </c>
      <c r="C50" t="s">
        <v>707</v>
      </c>
      <c r="D50" t="s">
        <v>807</v>
      </c>
      <c r="E50" t="s">
        <v>773</v>
      </c>
      <c r="F50"/>
      <c r="G50" t="s">
        <v>714</v>
      </c>
      <c r="H50" t="s">
        <v>281</v>
      </c>
      <c r="I50" t="s">
        <v>282</v>
      </c>
      <c r="J50" t="s">
        <v>1242</v>
      </c>
      <c r="K50" t="s">
        <v>10</v>
      </c>
      <c r="L50"/>
      <c r="M50"/>
      <c r="N50" t="s">
        <v>233</v>
      </c>
      <c r="O50" t="s">
        <v>255</v>
      </c>
      <c r="P50" t="s">
        <v>244</v>
      </c>
      <c r="Q50"/>
      <c r="R50" t="s">
        <v>951</v>
      </c>
      <c r="U50" s="18" t="s">
        <v>746</v>
      </c>
    </row>
    <row r="51" spans="1:21" s="18" customFormat="1" x14ac:dyDescent="0.35">
      <c r="A51" t="s">
        <v>710</v>
      </c>
      <c r="B51">
        <v>2024</v>
      </c>
      <c r="C51" t="s">
        <v>707</v>
      </c>
      <c r="D51" t="s">
        <v>1767</v>
      </c>
      <c r="E51" t="s">
        <v>832</v>
      </c>
      <c r="F51"/>
      <c r="G51" t="s">
        <v>715</v>
      </c>
      <c r="H51" t="s">
        <v>142</v>
      </c>
      <c r="I51" t="s">
        <v>283</v>
      </c>
      <c r="J51" t="s">
        <v>1250</v>
      </c>
      <c r="K51" t="s">
        <v>10</v>
      </c>
      <c r="L51"/>
      <c r="M51"/>
      <c r="N51" t="s">
        <v>233</v>
      </c>
      <c r="O51" t="s">
        <v>274</v>
      </c>
      <c r="P51" t="s">
        <v>284</v>
      </c>
      <c r="Q51"/>
      <c r="R51" t="s">
        <v>962</v>
      </c>
      <c r="U51" s="18" t="s">
        <v>746</v>
      </c>
    </row>
    <row r="52" spans="1:21" x14ac:dyDescent="0.35">
      <c r="A52" t="s">
        <v>710</v>
      </c>
      <c r="B52">
        <v>2023</v>
      </c>
      <c r="C52">
        <v>2021</v>
      </c>
      <c r="D52" t="s">
        <v>772</v>
      </c>
      <c r="E52" t="s">
        <v>805</v>
      </c>
      <c r="F52" t="s">
        <v>1514</v>
      </c>
      <c r="G52" t="s">
        <v>14</v>
      </c>
      <c r="H52" t="s">
        <v>14</v>
      </c>
      <c r="I52" t="s">
        <v>65</v>
      </c>
      <c r="J52" t="s">
        <v>1128</v>
      </c>
      <c r="K52" t="s">
        <v>10</v>
      </c>
      <c r="N52" t="s">
        <v>11</v>
      </c>
      <c r="O52" t="s">
        <v>13</v>
      </c>
      <c r="P52" t="s">
        <v>64</v>
      </c>
      <c r="R52" s="2" t="s">
        <v>768</v>
      </c>
      <c r="S52" s="30" t="s">
        <v>1805</v>
      </c>
      <c r="T52" s="30" t="s">
        <v>828</v>
      </c>
      <c r="U52" t="s">
        <v>710</v>
      </c>
    </row>
    <row r="53" spans="1:21" x14ac:dyDescent="0.35">
      <c r="A53" s="18"/>
      <c r="B53" s="18"/>
      <c r="C53" s="18"/>
      <c r="D53" s="18"/>
      <c r="E53" s="18"/>
      <c r="F53" s="18"/>
      <c r="G53" s="18" t="s">
        <v>408</v>
      </c>
      <c r="H53" s="18" t="s">
        <v>408</v>
      </c>
      <c r="I53" s="18" t="s">
        <v>409</v>
      </c>
      <c r="J53" s="18" t="s">
        <v>1258</v>
      </c>
      <c r="K53" s="18" t="s">
        <v>374</v>
      </c>
      <c r="L53" s="18" t="s">
        <v>1115</v>
      </c>
      <c r="M53" s="18" t="s">
        <v>1116</v>
      </c>
      <c r="N53" s="18" t="s">
        <v>375</v>
      </c>
      <c r="O53" s="18"/>
      <c r="P53" s="18" t="s">
        <v>410</v>
      </c>
      <c r="Q53" s="18"/>
      <c r="R53" s="18"/>
      <c r="T53" t="s">
        <v>707</v>
      </c>
      <c r="U53" t="s">
        <v>746</v>
      </c>
    </row>
    <row r="54" spans="1:21" s="18" customFormat="1" x14ac:dyDescent="0.35">
      <c r="A54" t="s">
        <v>710</v>
      </c>
      <c r="B54">
        <v>2023</v>
      </c>
      <c r="C54" t="s">
        <v>707</v>
      </c>
      <c r="D54" t="s">
        <v>807</v>
      </c>
      <c r="E54" t="s">
        <v>773</v>
      </c>
      <c r="F54"/>
      <c r="G54" t="s">
        <v>861</v>
      </c>
      <c r="H54" t="s">
        <v>163</v>
      </c>
      <c r="I54" t="s">
        <v>164</v>
      </c>
      <c r="J54" t="s">
        <v>1282</v>
      </c>
      <c r="K54" t="s">
        <v>10</v>
      </c>
      <c r="L54"/>
      <c r="M54"/>
      <c r="N54" t="s">
        <v>11</v>
      </c>
      <c r="O54" t="s">
        <v>19</v>
      </c>
      <c r="P54" t="s">
        <v>157</v>
      </c>
      <c r="Q54"/>
      <c r="R54" t="s">
        <v>995</v>
      </c>
      <c r="U54" s="18" t="s">
        <v>746</v>
      </c>
    </row>
    <row r="55" spans="1:21" x14ac:dyDescent="0.35">
      <c r="A55" t="s">
        <v>710</v>
      </c>
      <c r="B55">
        <v>2023</v>
      </c>
      <c r="C55">
        <v>2024</v>
      </c>
      <c r="D55" t="s">
        <v>772</v>
      </c>
      <c r="E55" t="s">
        <v>773</v>
      </c>
      <c r="G55" t="s">
        <v>8</v>
      </c>
      <c r="H55" t="s">
        <v>8</v>
      </c>
      <c r="I55" t="s">
        <v>72</v>
      </c>
      <c r="J55" t="s">
        <v>1264</v>
      </c>
      <c r="K55" t="s">
        <v>10</v>
      </c>
      <c r="N55" t="s">
        <v>11</v>
      </c>
      <c r="O55" t="s">
        <v>13</v>
      </c>
      <c r="P55" t="s">
        <v>64</v>
      </c>
      <c r="Q55" t="s">
        <v>723</v>
      </c>
      <c r="R55" t="s">
        <v>722</v>
      </c>
      <c r="S55" t="s">
        <v>1528</v>
      </c>
      <c r="T55" t="s">
        <v>829</v>
      </c>
      <c r="U55" t="s">
        <v>710</v>
      </c>
    </row>
    <row r="56" spans="1:21" x14ac:dyDescent="0.35">
      <c r="A56" s="18"/>
      <c r="B56" s="18"/>
      <c r="C56" s="18"/>
      <c r="D56" s="18"/>
      <c r="E56" s="18"/>
      <c r="F56" s="18"/>
      <c r="G56" s="18" t="s">
        <v>395</v>
      </c>
      <c r="H56" s="18" t="s">
        <v>395</v>
      </c>
      <c r="I56" s="18" t="s">
        <v>396</v>
      </c>
      <c r="J56" s="18" t="s">
        <v>1441</v>
      </c>
      <c r="K56" s="18" t="s">
        <v>374</v>
      </c>
      <c r="L56" s="18" t="s">
        <v>1115</v>
      </c>
      <c r="M56" s="18" t="s">
        <v>1116</v>
      </c>
      <c r="N56" s="18" t="s">
        <v>375</v>
      </c>
      <c r="O56" s="18"/>
      <c r="P56" s="18" t="s">
        <v>397</v>
      </c>
      <c r="Q56" s="18"/>
      <c r="R56" s="18"/>
      <c r="S56" t="s">
        <v>1530</v>
      </c>
      <c r="T56" t="s">
        <v>830</v>
      </c>
      <c r="U56" t="s">
        <v>710</v>
      </c>
    </row>
    <row r="57" spans="1:21" x14ac:dyDescent="0.35">
      <c r="A57" t="s">
        <v>710</v>
      </c>
      <c r="B57">
        <v>2024</v>
      </c>
      <c r="C57" t="s">
        <v>707</v>
      </c>
      <c r="D57" t="s">
        <v>1767</v>
      </c>
      <c r="E57" t="s">
        <v>832</v>
      </c>
      <c r="G57" t="s">
        <v>715</v>
      </c>
      <c r="H57" t="s">
        <v>142</v>
      </c>
      <c r="I57" t="s">
        <v>285</v>
      </c>
      <c r="J57" t="s">
        <v>1251</v>
      </c>
      <c r="K57" t="s">
        <v>10</v>
      </c>
      <c r="N57" t="s">
        <v>233</v>
      </c>
      <c r="O57" t="s">
        <v>274</v>
      </c>
      <c r="P57" t="s">
        <v>286</v>
      </c>
      <c r="R57" t="s">
        <v>962</v>
      </c>
      <c r="S57" t="s">
        <v>1530</v>
      </c>
      <c r="T57" t="s">
        <v>830</v>
      </c>
      <c r="U57" t="s">
        <v>710</v>
      </c>
    </row>
    <row r="58" spans="1:21" x14ac:dyDescent="0.35">
      <c r="A58" t="s">
        <v>710</v>
      </c>
      <c r="B58">
        <v>2023</v>
      </c>
      <c r="C58">
        <v>2024</v>
      </c>
      <c r="D58" t="s">
        <v>831</v>
      </c>
      <c r="E58" t="s">
        <v>832</v>
      </c>
      <c r="G58" t="s">
        <v>208</v>
      </c>
      <c r="H58" t="s">
        <v>208</v>
      </c>
      <c r="I58" t="s">
        <v>209</v>
      </c>
      <c r="J58" t="s">
        <v>1175</v>
      </c>
      <c r="K58" t="s">
        <v>10</v>
      </c>
      <c r="N58" t="s">
        <v>11</v>
      </c>
      <c r="O58" t="s">
        <v>44</v>
      </c>
      <c r="P58" t="s">
        <v>210</v>
      </c>
      <c r="R58" t="s">
        <v>770</v>
      </c>
      <c r="S58" t="s">
        <v>1531</v>
      </c>
      <c r="T58" t="s">
        <v>707</v>
      </c>
      <c r="U58" t="s">
        <v>710</v>
      </c>
    </row>
    <row r="59" spans="1:21" x14ac:dyDescent="0.35">
      <c r="A59" t="s">
        <v>710</v>
      </c>
      <c r="B59">
        <v>2023</v>
      </c>
      <c r="C59" t="s">
        <v>720</v>
      </c>
      <c r="D59" t="s">
        <v>807</v>
      </c>
      <c r="E59" t="s">
        <v>805</v>
      </c>
      <c r="F59" t="s">
        <v>1484</v>
      </c>
      <c r="G59" t="s">
        <v>719</v>
      </c>
      <c r="H59" t="s">
        <v>178</v>
      </c>
      <c r="I59" t="s">
        <v>190</v>
      </c>
      <c r="J59" t="s">
        <v>1419</v>
      </c>
      <c r="K59" t="s">
        <v>10</v>
      </c>
      <c r="N59" t="s">
        <v>11</v>
      </c>
      <c r="O59" t="s">
        <v>21</v>
      </c>
      <c r="P59" t="s">
        <v>189</v>
      </c>
      <c r="Q59" t="s">
        <v>1473</v>
      </c>
      <c r="R59" t="s">
        <v>1472</v>
      </c>
      <c r="S59" t="s">
        <v>1532</v>
      </c>
      <c r="T59" t="s">
        <v>707</v>
      </c>
      <c r="U59" t="s">
        <v>710</v>
      </c>
    </row>
    <row r="60" spans="1:21" s="18" customFormat="1" x14ac:dyDescent="0.35">
      <c r="A60" t="s">
        <v>709</v>
      </c>
      <c r="B60" t="s">
        <v>732</v>
      </c>
      <c r="C60"/>
      <c r="D60"/>
      <c r="E60"/>
      <c r="F60"/>
      <c r="G60" t="s">
        <v>114</v>
      </c>
      <c r="H60" t="s">
        <v>114</v>
      </c>
      <c r="I60" t="s">
        <v>115</v>
      </c>
      <c r="J60" t="s">
        <v>1443</v>
      </c>
      <c r="K60" t="s">
        <v>10</v>
      </c>
      <c r="L60"/>
      <c r="M60"/>
      <c r="N60" t="s">
        <v>11</v>
      </c>
      <c r="O60" t="s">
        <v>34</v>
      </c>
      <c r="P60" t="s">
        <v>111</v>
      </c>
      <c r="Q60"/>
      <c r="R60" s="2" t="s">
        <v>731</v>
      </c>
      <c r="U60" s="18" t="s">
        <v>746</v>
      </c>
    </row>
    <row r="61" spans="1:21" s="18" customFormat="1" x14ac:dyDescent="0.35">
      <c r="A61" t="s">
        <v>710</v>
      </c>
      <c r="B61">
        <v>2023</v>
      </c>
      <c r="C61" t="s">
        <v>720</v>
      </c>
      <c r="D61" t="s">
        <v>807</v>
      </c>
      <c r="E61" t="s">
        <v>805</v>
      </c>
      <c r="F61" t="s">
        <v>1484</v>
      </c>
      <c r="G61" t="s">
        <v>719</v>
      </c>
      <c r="H61" t="s">
        <v>178</v>
      </c>
      <c r="I61" t="s">
        <v>191</v>
      </c>
      <c r="J61" t="s">
        <v>1420</v>
      </c>
      <c r="K61" t="s">
        <v>10</v>
      </c>
      <c r="L61"/>
      <c r="M61"/>
      <c r="N61" t="s">
        <v>11</v>
      </c>
      <c r="O61" t="s">
        <v>44</v>
      </c>
      <c r="P61" t="s">
        <v>189</v>
      </c>
      <c r="Q61" t="s">
        <v>1473</v>
      </c>
      <c r="R61" t="s">
        <v>1472</v>
      </c>
      <c r="U61" s="18" t="s">
        <v>746</v>
      </c>
    </row>
    <row r="62" spans="1:21" s="18" customFormat="1" x14ac:dyDescent="0.35">
      <c r="A62" t="s">
        <v>710</v>
      </c>
      <c r="B62">
        <v>2023</v>
      </c>
      <c r="C62" t="s">
        <v>707</v>
      </c>
      <c r="D62" t="s">
        <v>807</v>
      </c>
      <c r="E62" t="s">
        <v>773</v>
      </c>
      <c r="F62"/>
      <c r="G62" t="s">
        <v>155</v>
      </c>
      <c r="H62" t="s">
        <v>287</v>
      </c>
      <c r="I62" t="s">
        <v>288</v>
      </c>
      <c r="J62" t="s">
        <v>1155</v>
      </c>
      <c r="K62" t="s">
        <v>10</v>
      </c>
      <c r="L62"/>
      <c r="M62"/>
      <c r="N62" t="s">
        <v>233</v>
      </c>
      <c r="O62" t="s">
        <v>255</v>
      </c>
      <c r="P62" t="s">
        <v>244</v>
      </c>
      <c r="Q62" t="s">
        <v>817</v>
      </c>
      <c r="R62" t="s">
        <v>812</v>
      </c>
      <c r="U62" s="18" t="s">
        <v>746</v>
      </c>
    </row>
    <row r="63" spans="1:21" s="18" customFormat="1" x14ac:dyDescent="0.35">
      <c r="A63" t="s">
        <v>710</v>
      </c>
      <c r="B63">
        <v>2023</v>
      </c>
      <c r="C63" t="s">
        <v>707</v>
      </c>
      <c r="D63" t="s">
        <v>807</v>
      </c>
      <c r="E63" t="s">
        <v>773</v>
      </c>
      <c r="F63"/>
      <c r="G63" t="s">
        <v>155</v>
      </c>
      <c r="H63" t="s">
        <v>287</v>
      </c>
      <c r="I63" t="s">
        <v>289</v>
      </c>
      <c r="J63" t="s">
        <v>1156</v>
      </c>
      <c r="K63" t="s">
        <v>10</v>
      </c>
      <c r="L63"/>
      <c r="M63"/>
      <c r="N63" t="s">
        <v>233</v>
      </c>
      <c r="O63" t="s">
        <v>255</v>
      </c>
      <c r="P63" t="s">
        <v>244</v>
      </c>
      <c r="Q63" t="s">
        <v>817</v>
      </c>
      <c r="R63" t="s">
        <v>812</v>
      </c>
      <c r="U63" s="18" t="s">
        <v>746</v>
      </c>
    </row>
    <row r="64" spans="1:21" x14ac:dyDescent="0.35">
      <c r="A64" t="s">
        <v>710</v>
      </c>
      <c r="B64">
        <v>2023</v>
      </c>
      <c r="C64" t="s">
        <v>707</v>
      </c>
      <c r="D64" t="s">
        <v>807</v>
      </c>
      <c r="E64" t="s">
        <v>773</v>
      </c>
      <c r="G64" t="s">
        <v>155</v>
      </c>
      <c r="H64" t="s">
        <v>155</v>
      </c>
      <c r="I64" t="s">
        <v>290</v>
      </c>
      <c r="J64" t="s">
        <v>1154</v>
      </c>
      <c r="K64" t="s">
        <v>10</v>
      </c>
      <c r="N64" t="s">
        <v>233</v>
      </c>
      <c r="O64" t="s">
        <v>1072</v>
      </c>
      <c r="Q64" t="s">
        <v>817</v>
      </c>
      <c r="R64" t="s">
        <v>769</v>
      </c>
      <c r="S64" t="s">
        <v>1533</v>
      </c>
      <c r="T64" t="s">
        <v>707</v>
      </c>
      <c r="U64" t="s">
        <v>710</v>
      </c>
    </row>
    <row r="65" spans="1:21" x14ac:dyDescent="0.35">
      <c r="A65" t="s">
        <v>710</v>
      </c>
      <c r="B65">
        <v>2023</v>
      </c>
      <c r="C65" t="s">
        <v>720</v>
      </c>
      <c r="D65" t="s">
        <v>807</v>
      </c>
      <c r="E65" t="s">
        <v>805</v>
      </c>
      <c r="F65" t="s">
        <v>1484</v>
      </c>
      <c r="G65" t="s">
        <v>719</v>
      </c>
      <c r="H65" t="s">
        <v>178</v>
      </c>
      <c r="I65" t="s">
        <v>192</v>
      </c>
      <c r="J65" t="s">
        <v>1421</v>
      </c>
      <c r="K65" t="s">
        <v>10</v>
      </c>
      <c r="N65" t="s">
        <v>11</v>
      </c>
      <c r="O65" t="s">
        <v>44</v>
      </c>
      <c r="P65" t="s">
        <v>189</v>
      </c>
      <c r="Q65" t="s">
        <v>1473</v>
      </c>
      <c r="R65" t="s">
        <v>1472</v>
      </c>
      <c r="S65" s="2" t="s">
        <v>1534</v>
      </c>
      <c r="T65" t="s">
        <v>707</v>
      </c>
      <c r="U65" t="s">
        <v>710</v>
      </c>
    </row>
    <row r="66" spans="1:21" x14ac:dyDescent="0.35">
      <c r="A66" t="s">
        <v>710</v>
      </c>
      <c r="B66">
        <v>2023</v>
      </c>
      <c r="C66" t="s">
        <v>720</v>
      </c>
      <c r="D66" t="s">
        <v>807</v>
      </c>
      <c r="E66" t="s">
        <v>805</v>
      </c>
      <c r="F66" t="s">
        <v>1484</v>
      </c>
      <c r="G66" t="s">
        <v>719</v>
      </c>
      <c r="H66" t="s">
        <v>178</v>
      </c>
      <c r="I66" t="s">
        <v>192</v>
      </c>
      <c r="J66" t="s">
        <v>1422</v>
      </c>
      <c r="K66" t="s">
        <v>10</v>
      </c>
      <c r="N66" t="s">
        <v>233</v>
      </c>
      <c r="O66" t="s">
        <v>44</v>
      </c>
      <c r="P66" t="s">
        <v>291</v>
      </c>
      <c r="Q66" t="s">
        <v>1473</v>
      </c>
      <c r="R66" t="s">
        <v>1472</v>
      </c>
      <c r="S66" t="s">
        <v>1535</v>
      </c>
      <c r="T66" t="s">
        <v>707</v>
      </c>
      <c r="U66" t="s">
        <v>710</v>
      </c>
    </row>
    <row r="67" spans="1:21" s="18" customFormat="1" x14ac:dyDescent="0.35">
      <c r="A67" t="s">
        <v>710</v>
      </c>
      <c r="B67">
        <v>2023</v>
      </c>
      <c r="C67">
        <v>2023</v>
      </c>
      <c r="D67" t="s">
        <v>772</v>
      </c>
      <c r="E67" t="s">
        <v>832</v>
      </c>
      <c r="F67" t="s">
        <v>979</v>
      </c>
      <c r="G67" t="s">
        <v>717</v>
      </c>
      <c r="H67" t="s">
        <v>79</v>
      </c>
      <c r="I67" t="s">
        <v>132</v>
      </c>
      <c r="J67" t="s">
        <v>1270</v>
      </c>
      <c r="K67" t="s">
        <v>10</v>
      </c>
      <c r="L67"/>
      <c r="M67"/>
      <c r="N67" t="s">
        <v>11</v>
      </c>
      <c r="O67" t="s">
        <v>21</v>
      </c>
      <c r="P67" t="s">
        <v>130</v>
      </c>
      <c r="Q67"/>
      <c r="R67" t="s">
        <v>980</v>
      </c>
      <c r="U67" s="18" t="s">
        <v>746</v>
      </c>
    </row>
    <row r="68" spans="1:21" x14ac:dyDescent="0.35">
      <c r="A68" s="18"/>
      <c r="B68" s="18"/>
      <c r="C68" s="18"/>
      <c r="D68" s="18"/>
      <c r="E68" s="18"/>
      <c r="F68" s="18"/>
      <c r="G68" s="18" t="s">
        <v>650</v>
      </c>
      <c r="H68" s="18" t="s">
        <v>650</v>
      </c>
      <c r="I68" s="18" t="s">
        <v>651</v>
      </c>
      <c r="J68" s="18" t="s">
        <v>1279</v>
      </c>
      <c r="K68" s="18" t="s">
        <v>374</v>
      </c>
      <c r="L68" s="18" t="s">
        <v>1115</v>
      </c>
      <c r="M68" s="18" t="s">
        <v>1116</v>
      </c>
      <c r="N68" s="18" t="s">
        <v>375</v>
      </c>
      <c r="O68" s="18"/>
      <c r="P68" s="18" t="s">
        <v>652</v>
      </c>
      <c r="Q68" s="18"/>
      <c r="R68" s="18"/>
      <c r="S68" t="s">
        <v>707</v>
      </c>
      <c r="T68" t="s">
        <v>835</v>
      </c>
      <c r="U68" t="s">
        <v>748</v>
      </c>
    </row>
    <row r="69" spans="1:21" s="18" customFormat="1" x14ac:dyDescent="0.35">
      <c r="H69" s="18" t="s">
        <v>592</v>
      </c>
      <c r="I69" s="18" t="s">
        <v>593</v>
      </c>
      <c r="J69" s="18" t="s">
        <v>1180</v>
      </c>
      <c r="K69" s="18" t="s">
        <v>374</v>
      </c>
      <c r="L69" s="18" t="s">
        <v>1115</v>
      </c>
      <c r="M69" s="18" t="s">
        <v>1116</v>
      </c>
      <c r="N69" s="18" t="s">
        <v>375</v>
      </c>
      <c r="P69" s="18" t="s">
        <v>594</v>
      </c>
      <c r="U69" s="18" t="s">
        <v>746</v>
      </c>
    </row>
    <row r="70" spans="1:21" s="18" customFormat="1" ht="29" x14ac:dyDescent="0.35">
      <c r="G70" s="18" t="s">
        <v>867</v>
      </c>
      <c r="H70" s="18" t="s">
        <v>571</v>
      </c>
      <c r="I70" s="18" t="s">
        <v>572</v>
      </c>
      <c r="J70" s="18" t="s">
        <v>1295</v>
      </c>
      <c r="K70" s="18" t="s">
        <v>374</v>
      </c>
      <c r="L70" s="18" t="s">
        <v>1115</v>
      </c>
      <c r="M70" s="18" t="s">
        <v>1116</v>
      </c>
      <c r="N70" s="18" t="s">
        <v>375</v>
      </c>
      <c r="P70" s="18" t="s">
        <v>573</v>
      </c>
      <c r="S70" s="20" t="s">
        <v>744</v>
      </c>
      <c r="T70" s="20"/>
      <c r="U70" s="18" t="s">
        <v>746</v>
      </c>
    </row>
    <row r="71" spans="1:21" x14ac:dyDescent="0.35">
      <c r="A71" t="s">
        <v>710</v>
      </c>
      <c r="B71">
        <v>2023</v>
      </c>
      <c r="C71" t="s">
        <v>720</v>
      </c>
      <c r="D71" t="s">
        <v>807</v>
      </c>
      <c r="E71" t="s">
        <v>805</v>
      </c>
      <c r="F71" t="s">
        <v>1484</v>
      </c>
      <c r="G71" t="s">
        <v>719</v>
      </c>
      <c r="H71" t="s">
        <v>178</v>
      </c>
      <c r="I71" t="s">
        <v>193</v>
      </c>
      <c r="J71" t="s">
        <v>1423</v>
      </c>
      <c r="K71" t="s">
        <v>10</v>
      </c>
      <c r="N71" t="s">
        <v>11</v>
      </c>
      <c r="O71" t="s">
        <v>44</v>
      </c>
      <c r="P71" t="s">
        <v>189</v>
      </c>
      <c r="Q71" t="s">
        <v>1473</v>
      </c>
      <c r="R71" t="s">
        <v>1472</v>
      </c>
      <c r="U71" t="s">
        <v>746</v>
      </c>
    </row>
    <row r="72" spans="1:21" x14ac:dyDescent="0.35">
      <c r="A72" s="18"/>
      <c r="B72" s="18"/>
      <c r="C72" s="18"/>
      <c r="D72" s="18"/>
      <c r="E72" s="18"/>
      <c r="F72" s="18"/>
      <c r="G72" s="18" t="s">
        <v>880</v>
      </c>
      <c r="H72" s="18" t="s">
        <v>596</v>
      </c>
      <c r="I72" s="18" t="s">
        <v>597</v>
      </c>
      <c r="J72" s="18" t="s">
        <v>1328</v>
      </c>
      <c r="K72" s="18" t="s">
        <v>374</v>
      </c>
      <c r="L72" s="18" t="s">
        <v>1115</v>
      </c>
      <c r="M72" s="18" t="s">
        <v>1116</v>
      </c>
      <c r="N72" s="18" t="s">
        <v>375</v>
      </c>
      <c r="O72" s="18"/>
      <c r="P72" s="18" t="s">
        <v>598</v>
      </c>
      <c r="Q72" s="18"/>
      <c r="R72" s="18"/>
      <c r="U72" t="s">
        <v>746</v>
      </c>
    </row>
    <row r="73" spans="1:21" x14ac:dyDescent="0.35">
      <c r="A73" s="18"/>
      <c r="B73" s="18"/>
      <c r="C73" s="18"/>
      <c r="D73" s="18"/>
      <c r="E73" s="18"/>
      <c r="F73" s="18"/>
      <c r="G73" s="18" t="s">
        <v>850</v>
      </c>
      <c r="H73" s="18" t="s">
        <v>558</v>
      </c>
      <c r="I73" s="18" t="s">
        <v>559</v>
      </c>
      <c r="J73" s="18" t="s">
        <v>1235</v>
      </c>
      <c r="K73" s="18" t="s">
        <v>374</v>
      </c>
      <c r="L73" s="18" t="s">
        <v>1115</v>
      </c>
      <c r="M73" s="18" t="s">
        <v>1116</v>
      </c>
      <c r="N73" s="18" t="s">
        <v>375</v>
      </c>
      <c r="O73" s="18"/>
      <c r="P73" s="18" t="s">
        <v>560</v>
      </c>
      <c r="Q73" s="18"/>
      <c r="R73" s="18"/>
      <c r="S73" t="s">
        <v>720</v>
      </c>
      <c r="T73" t="s">
        <v>720</v>
      </c>
      <c r="U73" t="s">
        <v>746</v>
      </c>
    </row>
    <row r="74" spans="1:21" s="18" customFormat="1" x14ac:dyDescent="0.35">
      <c r="G74" s="18" t="s">
        <v>845</v>
      </c>
      <c r="H74" s="18" t="s">
        <v>458</v>
      </c>
      <c r="I74" s="18" t="s">
        <v>459</v>
      </c>
      <c r="J74" s="18" t="s">
        <v>1227</v>
      </c>
      <c r="K74" s="18" t="s">
        <v>374</v>
      </c>
      <c r="L74" s="18" t="s">
        <v>1115</v>
      </c>
      <c r="M74" s="18" t="s">
        <v>1116</v>
      </c>
      <c r="N74" s="18" t="s">
        <v>375</v>
      </c>
      <c r="P74" s="18" t="s">
        <v>460</v>
      </c>
      <c r="U74" s="18" t="s">
        <v>746</v>
      </c>
    </row>
    <row r="75" spans="1:21" s="18" customFormat="1" x14ac:dyDescent="0.35">
      <c r="A75" t="s">
        <v>710</v>
      </c>
      <c r="B75">
        <v>2023</v>
      </c>
      <c r="C75" t="s">
        <v>707</v>
      </c>
      <c r="D75" t="s">
        <v>809</v>
      </c>
      <c r="E75" t="s">
        <v>805</v>
      </c>
      <c r="F75"/>
      <c r="G75" t="s">
        <v>261</v>
      </c>
      <c r="H75" t="s">
        <v>261</v>
      </c>
      <c r="I75" t="s">
        <v>293</v>
      </c>
      <c r="J75" t="s">
        <v>1138</v>
      </c>
      <c r="K75" t="s">
        <v>10</v>
      </c>
      <c r="L75"/>
      <c r="M75"/>
      <c r="N75" t="s">
        <v>233</v>
      </c>
      <c r="O75" t="s">
        <v>249</v>
      </c>
      <c r="P75" t="s">
        <v>252</v>
      </c>
      <c r="Q75" t="s">
        <v>739</v>
      </c>
      <c r="R75" t="s">
        <v>738</v>
      </c>
      <c r="U75" s="18" t="s">
        <v>746</v>
      </c>
    </row>
    <row r="76" spans="1:21" x14ac:dyDescent="0.35">
      <c r="A76" t="s">
        <v>710</v>
      </c>
      <c r="B76">
        <v>2023</v>
      </c>
      <c r="C76">
        <v>2024</v>
      </c>
      <c r="D76" t="s">
        <v>772</v>
      </c>
      <c r="E76" t="s">
        <v>805</v>
      </c>
      <c r="F76" t="s">
        <v>1514</v>
      </c>
      <c r="G76" t="s">
        <v>14</v>
      </c>
      <c r="H76" t="s">
        <v>14</v>
      </c>
      <c r="I76" t="s">
        <v>18</v>
      </c>
      <c r="J76" t="s">
        <v>1125</v>
      </c>
      <c r="K76" t="s">
        <v>10</v>
      </c>
      <c r="N76" t="s">
        <v>11</v>
      </c>
      <c r="O76" t="s">
        <v>19</v>
      </c>
      <c r="P76" t="s">
        <v>16</v>
      </c>
      <c r="R76" s="2" t="s">
        <v>768</v>
      </c>
      <c r="S76" t="s">
        <v>923</v>
      </c>
      <c r="T76" s="22" t="s">
        <v>927</v>
      </c>
      <c r="U76" t="s">
        <v>746</v>
      </c>
    </row>
    <row r="77" spans="1:21" x14ac:dyDescent="0.35">
      <c r="A77" t="s">
        <v>710</v>
      </c>
      <c r="B77">
        <v>2024</v>
      </c>
      <c r="C77" t="s">
        <v>707</v>
      </c>
      <c r="D77" t="s">
        <v>807</v>
      </c>
      <c r="E77" t="s">
        <v>805</v>
      </c>
      <c r="F77" t="s">
        <v>1066</v>
      </c>
      <c r="G77" t="s">
        <v>718</v>
      </c>
      <c r="H77" t="s">
        <v>151</v>
      </c>
      <c r="I77" t="s">
        <v>152</v>
      </c>
      <c r="J77" t="s">
        <v>1353</v>
      </c>
      <c r="K77" t="s">
        <v>10</v>
      </c>
      <c r="N77" t="s">
        <v>11</v>
      </c>
      <c r="O77" t="s">
        <v>148</v>
      </c>
      <c r="P77" t="s">
        <v>147</v>
      </c>
      <c r="Q77" t="s">
        <v>1069</v>
      </c>
      <c r="R77" t="s">
        <v>1055</v>
      </c>
      <c r="S77" t="s">
        <v>924</v>
      </c>
      <c r="T77" s="22" t="s">
        <v>926</v>
      </c>
      <c r="U77" t="s">
        <v>746</v>
      </c>
    </row>
    <row r="78" spans="1:21" x14ac:dyDescent="0.35">
      <c r="A78" t="s">
        <v>998</v>
      </c>
      <c r="B78" t="s">
        <v>720</v>
      </c>
      <c r="C78" t="s">
        <v>720</v>
      </c>
      <c r="D78" t="s">
        <v>720</v>
      </c>
      <c r="E78" t="s">
        <v>720</v>
      </c>
      <c r="F78" t="s">
        <v>720</v>
      </c>
      <c r="G78" t="s">
        <v>105</v>
      </c>
      <c r="H78" t="s">
        <v>105</v>
      </c>
      <c r="I78" t="s">
        <v>106</v>
      </c>
      <c r="J78" t="s">
        <v>1283</v>
      </c>
      <c r="K78" t="s">
        <v>10</v>
      </c>
      <c r="N78" t="s">
        <v>11</v>
      </c>
      <c r="O78" t="s">
        <v>44</v>
      </c>
      <c r="P78" t="s">
        <v>107</v>
      </c>
      <c r="S78" t="s">
        <v>925</v>
      </c>
      <c r="T78" s="22" t="s">
        <v>928</v>
      </c>
      <c r="U78" t="s">
        <v>746</v>
      </c>
    </row>
    <row r="79" spans="1:21" s="18" customFormat="1" x14ac:dyDescent="0.35">
      <c r="G79" s="18" t="s">
        <v>875</v>
      </c>
      <c r="H79" s="18" t="s">
        <v>537</v>
      </c>
      <c r="I79" s="18" t="s">
        <v>538</v>
      </c>
      <c r="J79" s="18" t="s">
        <v>1307</v>
      </c>
      <c r="K79" s="18" t="s">
        <v>374</v>
      </c>
      <c r="L79" s="18" t="s">
        <v>1115</v>
      </c>
      <c r="M79" s="18" t="s">
        <v>1116</v>
      </c>
      <c r="N79" s="18" t="s">
        <v>375</v>
      </c>
      <c r="P79" s="18" t="s">
        <v>536</v>
      </c>
      <c r="S79" s="19" t="s">
        <v>1522</v>
      </c>
      <c r="T79" s="18" t="s">
        <v>1611</v>
      </c>
      <c r="U79" s="18" t="s">
        <v>746</v>
      </c>
    </row>
    <row r="80" spans="1:21" s="18" customFormat="1" x14ac:dyDescent="0.35">
      <c r="A80" t="s">
        <v>709</v>
      </c>
      <c r="B80" t="s">
        <v>720</v>
      </c>
      <c r="C80" t="s">
        <v>720</v>
      </c>
      <c r="D80" t="s">
        <v>720</v>
      </c>
      <c r="E80" t="s">
        <v>720</v>
      </c>
      <c r="F80" t="s">
        <v>720</v>
      </c>
      <c r="G80" t="s">
        <v>167</v>
      </c>
      <c r="H80" t="s">
        <v>167</v>
      </c>
      <c r="I80" t="s">
        <v>168</v>
      </c>
      <c r="J80" t="s">
        <v>1398</v>
      </c>
      <c r="K80" t="s">
        <v>10</v>
      </c>
      <c r="L80"/>
      <c r="M80"/>
      <c r="N80" t="s">
        <v>11</v>
      </c>
      <c r="O80" t="s">
        <v>34</v>
      </c>
      <c r="P80" t="s">
        <v>157</v>
      </c>
      <c r="Q80" t="s">
        <v>1102</v>
      </c>
      <c r="R80" t="s">
        <v>1100</v>
      </c>
      <c r="U80" s="18" t="s">
        <v>746</v>
      </c>
    </row>
    <row r="81" spans="1:21" s="18" customFormat="1" x14ac:dyDescent="0.35">
      <c r="A81" t="s">
        <v>709</v>
      </c>
      <c r="B81" t="s">
        <v>720</v>
      </c>
      <c r="C81" t="s">
        <v>720</v>
      </c>
      <c r="D81" t="s">
        <v>720</v>
      </c>
      <c r="E81" t="s">
        <v>720</v>
      </c>
      <c r="F81" t="s">
        <v>720</v>
      </c>
      <c r="G81" t="s">
        <v>167</v>
      </c>
      <c r="H81" t="s">
        <v>167</v>
      </c>
      <c r="I81" t="s">
        <v>169</v>
      </c>
      <c r="J81" t="s">
        <v>1399</v>
      </c>
      <c r="K81" t="s">
        <v>10</v>
      </c>
      <c r="L81"/>
      <c r="M81"/>
      <c r="N81" t="s">
        <v>11</v>
      </c>
      <c r="O81" t="s">
        <v>34</v>
      </c>
      <c r="P81" t="s">
        <v>157</v>
      </c>
      <c r="Q81" t="s">
        <v>1102</v>
      </c>
      <c r="R81" s="22" t="s">
        <v>1100</v>
      </c>
      <c r="U81" s="18" t="s">
        <v>746</v>
      </c>
    </row>
    <row r="82" spans="1:21" x14ac:dyDescent="0.35">
      <c r="A82" s="18"/>
      <c r="B82" s="18"/>
      <c r="C82" s="18"/>
      <c r="D82" s="18"/>
      <c r="E82" s="18"/>
      <c r="F82" s="18"/>
      <c r="G82" s="18" t="s">
        <v>564</v>
      </c>
      <c r="H82" s="18" t="s">
        <v>564</v>
      </c>
      <c r="I82" s="18" t="s">
        <v>565</v>
      </c>
      <c r="J82" s="18" t="s">
        <v>1297</v>
      </c>
      <c r="K82" s="18" t="s">
        <v>374</v>
      </c>
      <c r="L82" s="18" t="s">
        <v>1115</v>
      </c>
      <c r="M82" s="18" t="s">
        <v>1116</v>
      </c>
      <c r="N82" s="18" t="s">
        <v>375</v>
      </c>
      <c r="O82" s="18"/>
      <c r="P82" s="18" t="s">
        <v>566</v>
      </c>
      <c r="Q82" s="18"/>
      <c r="R82" s="18"/>
      <c r="U82" t="s">
        <v>746</v>
      </c>
    </row>
    <row r="83" spans="1:21" s="18" customFormat="1" x14ac:dyDescent="0.35">
      <c r="A83" t="s">
        <v>709</v>
      </c>
      <c r="B83" t="s">
        <v>720</v>
      </c>
      <c r="C83" t="s">
        <v>720</v>
      </c>
      <c r="D83" t="s">
        <v>720</v>
      </c>
      <c r="E83" t="s">
        <v>720</v>
      </c>
      <c r="F83" t="s">
        <v>720</v>
      </c>
      <c r="G83" t="s">
        <v>56</v>
      </c>
      <c r="H83" t="s">
        <v>56</v>
      </c>
      <c r="I83" t="s">
        <v>57</v>
      </c>
      <c r="J83" t="s">
        <v>1431</v>
      </c>
      <c r="K83" t="s">
        <v>10</v>
      </c>
      <c r="L83"/>
      <c r="M83"/>
      <c r="N83" t="s">
        <v>11</v>
      </c>
      <c r="O83" t="s">
        <v>19</v>
      </c>
      <c r="P83" t="s">
        <v>16</v>
      </c>
      <c r="Q83"/>
      <c r="R83" t="s">
        <v>1111</v>
      </c>
      <c r="U83" s="18" t="s">
        <v>746</v>
      </c>
    </row>
    <row r="84" spans="1:21" x14ac:dyDescent="0.35">
      <c r="A84" t="s">
        <v>710</v>
      </c>
      <c r="B84">
        <v>2023</v>
      </c>
      <c r="C84" t="s">
        <v>707</v>
      </c>
      <c r="D84" t="s">
        <v>772</v>
      </c>
      <c r="E84" t="s">
        <v>805</v>
      </c>
      <c r="F84" t="s">
        <v>979</v>
      </c>
      <c r="G84" t="s">
        <v>730</v>
      </c>
      <c r="H84" t="s">
        <v>58</v>
      </c>
      <c r="I84" t="s">
        <v>59</v>
      </c>
      <c r="J84" t="s">
        <v>1437</v>
      </c>
      <c r="K84" t="s">
        <v>10</v>
      </c>
      <c r="N84" t="s">
        <v>11</v>
      </c>
      <c r="O84" t="s">
        <v>13</v>
      </c>
      <c r="P84" t="s">
        <v>16</v>
      </c>
      <c r="R84" t="s">
        <v>729</v>
      </c>
      <c r="S84" t="s">
        <v>757</v>
      </c>
      <c r="T84" t="s">
        <v>929</v>
      </c>
      <c r="U84" t="s">
        <v>710</v>
      </c>
    </row>
    <row r="85" spans="1:21" s="18" customFormat="1" x14ac:dyDescent="0.35">
      <c r="G85" s="18" t="s">
        <v>578</v>
      </c>
      <c r="H85" s="18" t="s">
        <v>578</v>
      </c>
      <c r="I85" s="18" t="s">
        <v>579</v>
      </c>
      <c r="J85" s="18" t="s">
        <v>1447</v>
      </c>
      <c r="K85" s="18" t="s">
        <v>374</v>
      </c>
      <c r="L85" s="18" t="s">
        <v>1115</v>
      </c>
      <c r="M85" s="18" t="s">
        <v>1116</v>
      </c>
      <c r="N85" s="18" t="s">
        <v>375</v>
      </c>
      <c r="P85" s="18" t="s">
        <v>580</v>
      </c>
      <c r="U85" s="18" t="s">
        <v>746</v>
      </c>
    </row>
    <row r="86" spans="1:21" s="18" customFormat="1" x14ac:dyDescent="0.35">
      <c r="G86" s="18" t="s">
        <v>452</v>
      </c>
      <c r="H86" s="18" t="s">
        <v>452</v>
      </c>
      <c r="I86" s="18" t="s">
        <v>453</v>
      </c>
      <c r="J86" s="18" t="s">
        <v>1288</v>
      </c>
      <c r="K86" s="18" t="s">
        <v>374</v>
      </c>
      <c r="L86" s="18" t="s">
        <v>1115</v>
      </c>
      <c r="M86" s="18" t="s">
        <v>1116</v>
      </c>
      <c r="N86" s="18" t="s">
        <v>375</v>
      </c>
      <c r="P86" s="18" t="s">
        <v>454</v>
      </c>
      <c r="U86" s="18" t="s">
        <v>746</v>
      </c>
    </row>
    <row r="87" spans="1:21" s="18" customFormat="1" ht="29" x14ac:dyDescent="0.35">
      <c r="A87" t="s">
        <v>710</v>
      </c>
      <c r="B87">
        <v>2023</v>
      </c>
      <c r="C87" t="s">
        <v>707</v>
      </c>
      <c r="D87" t="s">
        <v>827</v>
      </c>
      <c r="E87" t="s">
        <v>773</v>
      </c>
      <c r="F87"/>
      <c r="G87" t="s">
        <v>145</v>
      </c>
      <c r="H87" t="s">
        <v>145</v>
      </c>
      <c r="I87" t="s">
        <v>146</v>
      </c>
      <c r="J87" t="s">
        <v>1172</v>
      </c>
      <c r="K87" t="s">
        <v>10</v>
      </c>
      <c r="L87"/>
      <c r="M87"/>
      <c r="N87" t="s">
        <v>11</v>
      </c>
      <c r="O87" t="s">
        <v>148</v>
      </c>
      <c r="P87" t="s">
        <v>147</v>
      </c>
      <c r="Q87" t="s">
        <v>826</v>
      </c>
      <c r="R87" s="17" t="s">
        <v>1527</v>
      </c>
      <c r="U87" s="18" t="s">
        <v>746</v>
      </c>
    </row>
    <row r="88" spans="1:21" s="18" customFormat="1" x14ac:dyDescent="0.35">
      <c r="G88" s="18" t="s">
        <v>839</v>
      </c>
      <c r="H88" s="18" t="s">
        <v>628</v>
      </c>
      <c r="I88" s="18" t="s">
        <v>629</v>
      </c>
      <c r="J88" s="18" t="s">
        <v>1195</v>
      </c>
      <c r="K88" s="18" t="s">
        <v>374</v>
      </c>
      <c r="L88" s="18" t="s">
        <v>1115</v>
      </c>
      <c r="M88" s="18" t="s">
        <v>1116</v>
      </c>
      <c r="N88" s="18" t="s">
        <v>375</v>
      </c>
      <c r="P88" s="18" t="s">
        <v>627</v>
      </c>
      <c r="U88" s="18" t="s">
        <v>746</v>
      </c>
    </row>
    <row r="89" spans="1:21" s="18" customFormat="1" x14ac:dyDescent="0.35">
      <c r="A89" t="s">
        <v>710</v>
      </c>
      <c r="B89">
        <v>2024</v>
      </c>
      <c r="C89" t="s">
        <v>707</v>
      </c>
      <c r="D89" t="s">
        <v>772</v>
      </c>
      <c r="E89" t="s">
        <v>805</v>
      </c>
      <c r="F89"/>
      <c r="G89" t="s">
        <v>39</v>
      </c>
      <c r="H89" t="s">
        <v>39</v>
      </c>
      <c r="I89" t="s">
        <v>41</v>
      </c>
      <c r="J89" t="s">
        <v>1317</v>
      </c>
      <c r="K89" t="s">
        <v>10</v>
      </c>
      <c r="L89"/>
      <c r="M89"/>
      <c r="N89" t="s">
        <v>11</v>
      </c>
      <c r="O89" t="s">
        <v>13</v>
      </c>
      <c r="P89" t="s">
        <v>16</v>
      </c>
      <c r="Q89" t="s">
        <v>1033</v>
      </c>
      <c r="R89"/>
      <c r="U89" s="18" t="s">
        <v>746</v>
      </c>
    </row>
    <row r="90" spans="1:21" x14ac:dyDescent="0.35">
      <c r="A90" t="s">
        <v>710</v>
      </c>
      <c r="B90" t="s">
        <v>707</v>
      </c>
      <c r="C90">
        <v>2022</v>
      </c>
      <c r="D90" t="s">
        <v>772</v>
      </c>
      <c r="E90" t="s">
        <v>959</v>
      </c>
      <c r="G90" t="s">
        <v>855</v>
      </c>
      <c r="H90" t="s">
        <v>32</v>
      </c>
      <c r="I90" t="s">
        <v>33</v>
      </c>
      <c r="J90" t="s">
        <v>1257</v>
      </c>
      <c r="K90" t="s">
        <v>10</v>
      </c>
      <c r="N90" t="s">
        <v>11</v>
      </c>
      <c r="O90" t="s">
        <v>34</v>
      </c>
      <c r="P90" t="s">
        <v>16</v>
      </c>
      <c r="Q90" t="s">
        <v>958</v>
      </c>
      <c r="R90" t="s">
        <v>955</v>
      </c>
      <c r="S90" s="22" t="s">
        <v>934</v>
      </c>
      <c r="T90" s="22" t="s">
        <v>933</v>
      </c>
      <c r="U90" t="s">
        <v>710</v>
      </c>
    </row>
    <row r="91" spans="1:21" s="18" customFormat="1" x14ac:dyDescent="0.35">
      <c r="A91" t="s">
        <v>710</v>
      </c>
      <c r="B91">
        <v>2024</v>
      </c>
      <c r="C91" t="s">
        <v>707</v>
      </c>
      <c r="D91" t="s">
        <v>807</v>
      </c>
      <c r="E91" t="s">
        <v>773</v>
      </c>
      <c r="F91"/>
      <c r="G91" t="s">
        <v>797</v>
      </c>
      <c r="H91" t="s">
        <v>294</v>
      </c>
      <c r="I91" t="s">
        <v>295</v>
      </c>
      <c r="J91" t="s">
        <v>1212</v>
      </c>
      <c r="K91" t="s">
        <v>10</v>
      </c>
      <c r="L91"/>
      <c r="M91"/>
      <c r="N91" t="s">
        <v>233</v>
      </c>
      <c r="O91"/>
      <c r="P91" t="s">
        <v>296</v>
      </c>
      <c r="Q91" t="s">
        <v>799</v>
      </c>
      <c r="R91" s="3" t="s">
        <v>937</v>
      </c>
      <c r="U91" s="18" t="s">
        <v>746</v>
      </c>
    </row>
    <row r="92" spans="1:21" ht="29" x14ac:dyDescent="0.35">
      <c r="A92" t="s">
        <v>710</v>
      </c>
      <c r="B92" t="s">
        <v>720</v>
      </c>
      <c r="C92" t="s">
        <v>707</v>
      </c>
      <c r="D92" t="s">
        <v>720</v>
      </c>
      <c r="F92" t="s">
        <v>979</v>
      </c>
      <c r="G92" t="s">
        <v>101</v>
      </c>
      <c r="H92" t="s">
        <v>101</v>
      </c>
      <c r="I92" t="s">
        <v>102</v>
      </c>
      <c r="J92" t="s">
        <v>1400</v>
      </c>
      <c r="K92" t="s">
        <v>10</v>
      </c>
      <c r="N92" t="s">
        <v>11</v>
      </c>
      <c r="O92" t="s">
        <v>34</v>
      </c>
      <c r="P92" t="s">
        <v>95</v>
      </c>
      <c r="R92" t="s">
        <v>1466</v>
      </c>
      <c r="S92" s="17" t="s">
        <v>936</v>
      </c>
      <c r="T92" t="s">
        <v>707</v>
      </c>
      <c r="U92" t="s">
        <v>746</v>
      </c>
    </row>
    <row r="93" spans="1:21" s="18" customFormat="1" x14ac:dyDescent="0.35">
      <c r="C93" s="18" t="s">
        <v>707</v>
      </c>
      <c r="G93" s="18" t="s">
        <v>740</v>
      </c>
      <c r="H93" s="18" t="s">
        <v>372</v>
      </c>
      <c r="I93" s="18" t="s">
        <v>373</v>
      </c>
      <c r="J93" s="18" t="s">
        <v>1139</v>
      </c>
      <c r="K93" s="18" t="s">
        <v>374</v>
      </c>
      <c r="L93" s="18" t="s">
        <v>1115</v>
      </c>
      <c r="M93" s="18" t="s">
        <v>1117</v>
      </c>
      <c r="N93" s="18" t="s">
        <v>375</v>
      </c>
      <c r="P93" s="18" t="s">
        <v>376</v>
      </c>
      <c r="U93" s="18" t="s">
        <v>746</v>
      </c>
    </row>
    <row r="94" spans="1:21" s="18" customFormat="1" x14ac:dyDescent="0.35">
      <c r="G94" s="18" t="s">
        <v>446</v>
      </c>
      <c r="H94" s="18" t="s">
        <v>446</v>
      </c>
      <c r="I94" s="18" t="s">
        <v>447</v>
      </c>
      <c r="J94" s="18" t="s">
        <v>1374</v>
      </c>
      <c r="K94" s="18" t="s">
        <v>374</v>
      </c>
      <c r="L94" s="18" t="s">
        <v>1115</v>
      </c>
      <c r="M94" s="18" t="s">
        <v>1116</v>
      </c>
      <c r="N94" s="18" t="s">
        <v>375</v>
      </c>
      <c r="P94" s="18" t="s">
        <v>448</v>
      </c>
      <c r="U94" s="18" t="s">
        <v>746</v>
      </c>
    </row>
    <row r="95" spans="1:21" x14ac:dyDescent="0.35">
      <c r="A95" t="s">
        <v>709</v>
      </c>
      <c r="B95" t="s">
        <v>733</v>
      </c>
      <c r="G95" t="s">
        <v>114</v>
      </c>
      <c r="H95" t="s">
        <v>114</v>
      </c>
      <c r="I95" t="s">
        <v>116</v>
      </c>
      <c r="J95" t="s">
        <v>1444</v>
      </c>
      <c r="K95" t="s">
        <v>10</v>
      </c>
      <c r="N95" t="s">
        <v>11</v>
      </c>
      <c r="O95" t="s">
        <v>34</v>
      </c>
      <c r="P95" t="s">
        <v>111</v>
      </c>
      <c r="R95" t="s">
        <v>731</v>
      </c>
      <c r="S95" t="s">
        <v>940</v>
      </c>
      <c r="T95" t="s">
        <v>941</v>
      </c>
      <c r="U95" t="s">
        <v>746</v>
      </c>
    </row>
    <row r="96" spans="1:21" x14ac:dyDescent="0.35">
      <c r="A96" t="s">
        <v>710</v>
      </c>
      <c r="B96">
        <v>2021</v>
      </c>
      <c r="C96" t="s">
        <v>707</v>
      </c>
      <c r="D96" t="s">
        <v>807</v>
      </c>
      <c r="E96" t="s">
        <v>773</v>
      </c>
      <c r="F96" t="s">
        <v>942</v>
      </c>
      <c r="G96" t="s">
        <v>716</v>
      </c>
      <c r="H96" t="s">
        <v>297</v>
      </c>
      <c r="I96" t="s">
        <v>298</v>
      </c>
      <c r="J96" t="s">
        <v>1216</v>
      </c>
      <c r="K96" t="s">
        <v>10</v>
      </c>
      <c r="N96" t="s">
        <v>233</v>
      </c>
      <c r="O96" t="s">
        <v>255</v>
      </c>
      <c r="P96" t="s">
        <v>244</v>
      </c>
      <c r="R96" t="s">
        <v>943</v>
      </c>
      <c r="S96" t="s">
        <v>707</v>
      </c>
      <c r="T96" t="s">
        <v>707</v>
      </c>
      <c r="U96" t="s">
        <v>746</v>
      </c>
    </row>
    <row r="97" spans="1:21" x14ac:dyDescent="0.35">
      <c r="A97" s="18"/>
      <c r="B97" s="18"/>
      <c r="C97" s="18"/>
      <c r="D97" s="18"/>
      <c r="E97" s="18"/>
      <c r="F97" s="18"/>
      <c r="G97" s="18"/>
      <c r="H97" s="18" t="s">
        <v>584</v>
      </c>
      <c r="I97" s="18" t="s">
        <v>585</v>
      </c>
      <c r="J97" s="18" t="s">
        <v>1187</v>
      </c>
      <c r="K97" s="18" t="s">
        <v>374</v>
      </c>
      <c r="L97" s="18" t="s">
        <v>1115</v>
      </c>
      <c r="M97" s="18" t="s">
        <v>1116</v>
      </c>
      <c r="N97" s="18" t="s">
        <v>375</v>
      </c>
      <c r="O97" s="18"/>
      <c r="P97" s="18" t="s">
        <v>586</v>
      </c>
      <c r="Q97" s="18"/>
      <c r="R97" s="18"/>
      <c r="S97" t="s">
        <v>707</v>
      </c>
      <c r="T97" t="s">
        <v>707</v>
      </c>
      <c r="U97" t="s">
        <v>746</v>
      </c>
    </row>
    <row r="98" spans="1:21" x14ac:dyDescent="0.35">
      <c r="A98" t="s">
        <v>710</v>
      </c>
      <c r="B98">
        <v>2023</v>
      </c>
      <c r="C98" t="s">
        <v>707</v>
      </c>
      <c r="D98" t="s">
        <v>807</v>
      </c>
      <c r="E98" t="s">
        <v>773</v>
      </c>
      <c r="G98" t="s">
        <v>155</v>
      </c>
      <c r="H98" t="s">
        <v>155</v>
      </c>
      <c r="I98" t="s">
        <v>156</v>
      </c>
      <c r="J98" t="s">
        <v>1152</v>
      </c>
      <c r="K98" t="s">
        <v>10</v>
      </c>
      <c r="N98" t="s">
        <v>11</v>
      </c>
      <c r="O98" t="s">
        <v>34</v>
      </c>
      <c r="P98" t="s">
        <v>157</v>
      </c>
      <c r="Q98" t="s">
        <v>817</v>
      </c>
      <c r="R98" t="s">
        <v>811</v>
      </c>
      <c r="S98" t="s">
        <v>707</v>
      </c>
      <c r="T98" t="s">
        <v>707</v>
      </c>
      <c r="U98" t="s">
        <v>746</v>
      </c>
    </row>
    <row r="99" spans="1:21" x14ac:dyDescent="0.35">
      <c r="A99" t="s">
        <v>710</v>
      </c>
      <c r="B99" t="s">
        <v>720</v>
      </c>
      <c r="C99" t="s">
        <v>707</v>
      </c>
      <c r="D99" t="s">
        <v>720</v>
      </c>
      <c r="F99" t="s">
        <v>979</v>
      </c>
      <c r="G99" t="s">
        <v>101</v>
      </c>
      <c r="H99" t="s">
        <v>101</v>
      </c>
      <c r="I99" t="s">
        <v>103</v>
      </c>
      <c r="J99" t="s">
        <v>1401</v>
      </c>
      <c r="K99" t="s">
        <v>10</v>
      </c>
      <c r="N99" t="s">
        <v>11</v>
      </c>
      <c r="O99" t="s">
        <v>34</v>
      </c>
      <c r="P99" t="s">
        <v>95</v>
      </c>
      <c r="R99" t="s">
        <v>1466</v>
      </c>
      <c r="S99" t="s">
        <v>707</v>
      </c>
      <c r="T99" t="s">
        <v>707</v>
      </c>
      <c r="U99" t="s">
        <v>746</v>
      </c>
    </row>
    <row r="100" spans="1:21" x14ac:dyDescent="0.35">
      <c r="A100" t="s">
        <v>710</v>
      </c>
      <c r="B100">
        <v>2024</v>
      </c>
      <c r="C100" t="s">
        <v>707</v>
      </c>
      <c r="D100" t="s">
        <v>772</v>
      </c>
      <c r="E100" t="s">
        <v>773</v>
      </c>
      <c r="G100" t="s">
        <v>1454</v>
      </c>
      <c r="H100" t="s">
        <v>222</v>
      </c>
      <c r="I100" t="s">
        <v>223</v>
      </c>
      <c r="J100" t="s">
        <v>1385</v>
      </c>
      <c r="K100" t="s">
        <v>10</v>
      </c>
      <c r="N100" t="s">
        <v>11</v>
      </c>
      <c r="O100" t="s">
        <v>34</v>
      </c>
      <c r="P100" t="s">
        <v>217</v>
      </c>
      <c r="R100" s="22" t="s">
        <v>765</v>
      </c>
      <c r="S100" t="s">
        <v>707</v>
      </c>
      <c r="T100" t="s">
        <v>707</v>
      </c>
      <c r="U100" t="s">
        <v>746</v>
      </c>
    </row>
    <row r="101" spans="1:21" ht="29" x14ac:dyDescent="0.35">
      <c r="A101" s="18"/>
      <c r="B101" s="18"/>
      <c r="C101" s="18"/>
      <c r="D101" s="18"/>
      <c r="E101" s="18"/>
      <c r="F101" s="18"/>
      <c r="G101" s="18" t="s">
        <v>382</v>
      </c>
      <c r="H101" s="18" t="s">
        <v>382</v>
      </c>
      <c r="I101" s="18" t="s">
        <v>383</v>
      </c>
      <c r="J101" s="18" t="s">
        <v>1232</v>
      </c>
      <c r="K101" s="18" t="s">
        <v>374</v>
      </c>
      <c r="L101" s="18" t="s">
        <v>1115</v>
      </c>
      <c r="M101" s="18" t="s">
        <v>1117</v>
      </c>
      <c r="N101" s="18" t="s">
        <v>375</v>
      </c>
      <c r="O101" s="18"/>
      <c r="P101" s="18" t="s">
        <v>384</v>
      </c>
      <c r="Q101" s="18"/>
      <c r="R101" s="18"/>
      <c r="S101" s="3" t="s">
        <v>944</v>
      </c>
      <c r="T101" t="s">
        <v>707</v>
      </c>
      <c r="U101" t="s">
        <v>746</v>
      </c>
    </row>
    <row r="102" spans="1:21" x14ac:dyDescent="0.35">
      <c r="A102" t="s">
        <v>710</v>
      </c>
      <c r="B102">
        <v>2024</v>
      </c>
      <c r="C102" t="s">
        <v>707</v>
      </c>
      <c r="D102" t="s">
        <v>807</v>
      </c>
      <c r="E102" t="s">
        <v>773</v>
      </c>
      <c r="G102" t="s">
        <v>872</v>
      </c>
      <c r="H102" t="s">
        <v>37</v>
      </c>
      <c r="I102" t="s">
        <v>38</v>
      </c>
      <c r="J102" t="s">
        <v>1304</v>
      </c>
      <c r="K102" t="s">
        <v>10</v>
      </c>
      <c r="N102" t="s">
        <v>11</v>
      </c>
      <c r="O102" t="s">
        <v>23</v>
      </c>
      <c r="P102" t="s">
        <v>16</v>
      </c>
      <c r="Q102" t="s">
        <v>1016</v>
      </c>
      <c r="R102" t="s">
        <v>1013</v>
      </c>
      <c r="S102" t="s">
        <v>949</v>
      </c>
      <c r="T102" t="s">
        <v>707</v>
      </c>
      <c r="U102" t="s">
        <v>746</v>
      </c>
    </row>
    <row r="103" spans="1:21" x14ac:dyDescent="0.35">
      <c r="A103" t="s">
        <v>710</v>
      </c>
      <c r="B103">
        <v>2024</v>
      </c>
      <c r="C103" t="s">
        <v>707</v>
      </c>
      <c r="D103" t="s">
        <v>1767</v>
      </c>
      <c r="E103" t="s">
        <v>832</v>
      </c>
      <c r="G103" t="s">
        <v>715</v>
      </c>
      <c r="H103" t="s">
        <v>142</v>
      </c>
      <c r="I103" t="s">
        <v>195</v>
      </c>
      <c r="J103" t="s">
        <v>1248</v>
      </c>
      <c r="K103" t="s">
        <v>10</v>
      </c>
      <c r="N103" t="s">
        <v>11</v>
      </c>
      <c r="O103" t="s">
        <v>13</v>
      </c>
      <c r="P103" t="s">
        <v>196</v>
      </c>
      <c r="Q103" t="s">
        <v>970</v>
      </c>
      <c r="R103" t="s">
        <v>962</v>
      </c>
      <c r="S103" t="s">
        <v>948</v>
      </c>
      <c r="T103" t="s">
        <v>950</v>
      </c>
      <c r="U103" t="s">
        <v>746</v>
      </c>
    </row>
    <row r="104" spans="1:21" s="18" customFormat="1" x14ac:dyDescent="0.35">
      <c r="G104" s="18" t="s">
        <v>908</v>
      </c>
      <c r="H104" s="18" t="s">
        <v>449</v>
      </c>
      <c r="I104" s="18" t="s">
        <v>450</v>
      </c>
      <c r="J104" s="18" t="s">
        <v>1414</v>
      </c>
      <c r="K104" s="18" t="s">
        <v>374</v>
      </c>
      <c r="L104" s="18" t="s">
        <v>1115</v>
      </c>
      <c r="M104" s="18" t="s">
        <v>1116</v>
      </c>
      <c r="N104" s="18" t="s">
        <v>375</v>
      </c>
      <c r="P104" s="18" t="s">
        <v>451</v>
      </c>
      <c r="U104" s="18" t="s">
        <v>746</v>
      </c>
    </row>
    <row r="105" spans="1:21" s="18" customFormat="1" x14ac:dyDescent="0.35">
      <c r="A105" t="s">
        <v>710</v>
      </c>
      <c r="B105">
        <v>2023</v>
      </c>
      <c r="C105" t="s">
        <v>707</v>
      </c>
      <c r="D105" t="s">
        <v>807</v>
      </c>
      <c r="E105" t="s">
        <v>773</v>
      </c>
      <c r="F105"/>
      <c r="G105" t="s">
        <v>754</v>
      </c>
      <c r="H105" t="s">
        <v>149</v>
      </c>
      <c r="I105" t="s">
        <v>150</v>
      </c>
      <c r="J105" t="s">
        <v>1204</v>
      </c>
      <c r="K105" t="s">
        <v>10</v>
      </c>
      <c r="L105"/>
      <c r="M105"/>
      <c r="N105" t="s">
        <v>11</v>
      </c>
      <c r="O105" t="s">
        <v>98</v>
      </c>
      <c r="P105" t="s">
        <v>147</v>
      </c>
      <c r="Q105" t="s">
        <v>931</v>
      </c>
      <c r="R105" t="s">
        <v>930</v>
      </c>
      <c r="U105" s="18" t="s">
        <v>746</v>
      </c>
    </row>
    <row r="106" spans="1:21" s="18" customFormat="1" x14ac:dyDescent="0.35">
      <c r="A106" s="18" t="s">
        <v>710</v>
      </c>
      <c r="B106" s="18">
        <v>2023</v>
      </c>
      <c r="G106" s="18" t="s">
        <v>39</v>
      </c>
      <c r="H106" s="18" t="s">
        <v>400</v>
      </c>
      <c r="I106" s="18" t="s">
        <v>401</v>
      </c>
      <c r="J106" s="18" t="s">
        <v>1325</v>
      </c>
      <c r="K106" s="18" t="s">
        <v>374</v>
      </c>
      <c r="L106" s="18" t="s">
        <v>1115</v>
      </c>
      <c r="M106" s="18" t="s">
        <v>1116</v>
      </c>
      <c r="N106" s="18" t="s">
        <v>375</v>
      </c>
      <c r="P106" s="18" t="s">
        <v>130</v>
      </c>
      <c r="R106" s="18" t="s">
        <v>1038</v>
      </c>
      <c r="U106" s="18" t="s">
        <v>746</v>
      </c>
    </row>
    <row r="107" spans="1:21" s="18" customFormat="1" x14ac:dyDescent="0.35">
      <c r="A107" t="s">
        <v>710</v>
      </c>
      <c r="B107">
        <v>2023</v>
      </c>
      <c r="C107" t="s">
        <v>720</v>
      </c>
      <c r="D107" t="s">
        <v>807</v>
      </c>
      <c r="E107" t="s">
        <v>805</v>
      </c>
      <c r="F107" t="s">
        <v>1484</v>
      </c>
      <c r="G107" t="s">
        <v>719</v>
      </c>
      <c r="H107" t="s">
        <v>178</v>
      </c>
      <c r="I107" t="s">
        <v>194</v>
      </c>
      <c r="J107" t="s">
        <v>1424</v>
      </c>
      <c r="K107" t="s">
        <v>10</v>
      </c>
      <c r="L107"/>
      <c r="M107"/>
      <c r="N107" t="s">
        <v>11</v>
      </c>
      <c r="O107" t="s">
        <v>23</v>
      </c>
      <c r="P107" t="s">
        <v>189</v>
      </c>
      <c r="Q107" t="s">
        <v>1473</v>
      </c>
      <c r="R107" t="s">
        <v>1472</v>
      </c>
      <c r="U107" s="18" t="s">
        <v>746</v>
      </c>
    </row>
    <row r="108" spans="1:21" s="18" customFormat="1" x14ac:dyDescent="0.35">
      <c r="A108" t="s">
        <v>710</v>
      </c>
      <c r="B108">
        <v>2021</v>
      </c>
      <c r="C108" t="s">
        <v>707</v>
      </c>
      <c r="D108" t="s">
        <v>807</v>
      </c>
      <c r="E108" t="s">
        <v>773</v>
      </c>
      <c r="F108" t="s">
        <v>942</v>
      </c>
      <c r="G108" t="s">
        <v>716</v>
      </c>
      <c r="H108" t="s">
        <v>297</v>
      </c>
      <c r="I108" t="s">
        <v>299</v>
      </c>
      <c r="J108" t="s">
        <v>1217</v>
      </c>
      <c r="K108" t="s">
        <v>10</v>
      </c>
      <c r="L108"/>
      <c r="M108"/>
      <c r="N108" t="s">
        <v>233</v>
      </c>
      <c r="O108"/>
      <c r="P108"/>
      <c r="Q108"/>
      <c r="R108" t="s">
        <v>943</v>
      </c>
      <c r="U108" s="18" t="s">
        <v>746</v>
      </c>
    </row>
    <row r="109" spans="1:21" s="18" customFormat="1" x14ac:dyDescent="0.35">
      <c r="A109" t="s">
        <v>710</v>
      </c>
      <c r="B109">
        <v>2021</v>
      </c>
      <c r="C109" t="s">
        <v>707</v>
      </c>
      <c r="D109" t="s">
        <v>807</v>
      </c>
      <c r="E109" t="s">
        <v>773</v>
      </c>
      <c r="F109" t="s">
        <v>942</v>
      </c>
      <c r="G109" t="s">
        <v>716</v>
      </c>
      <c r="H109" t="s">
        <v>297</v>
      </c>
      <c r="I109" t="s">
        <v>300</v>
      </c>
      <c r="J109" t="s">
        <v>1218</v>
      </c>
      <c r="K109" t="s">
        <v>10</v>
      </c>
      <c r="L109"/>
      <c r="M109"/>
      <c r="N109" t="s">
        <v>233</v>
      </c>
      <c r="O109"/>
      <c r="P109"/>
      <c r="Q109"/>
      <c r="R109" t="s">
        <v>943</v>
      </c>
      <c r="U109" s="18" t="s">
        <v>746</v>
      </c>
    </row>
    <row r="110" spans="1:21" s="18" customFormat="1" x14ac:dyDescent="0.35">
      <c r="A110" t="s">
        <v>710</v>
      </c>
      <c r="B110">
        <v>2024</v>
      </c>
      <c r="C110" t="s">
        <v>707</v>
      </c>
      <c r="D110" t="s">
        <v>1767</v>
      </c>
      <c r="E110" t="s">
        <v>832</v>
      </c>
      <c r="F110"/>
      <c r="G110" t="s">
        <v>715</v>
      </c>
      <c r="H110" t="s">
        <v>142</v>
      </c>
      <c r="I110" t="s">
        <v>301</v>
      </c>
      <c r="J110" t="s">
        <v>1252</v>
      </c>
      <c r="K110" t="s">
        <v>10</v>
      </c>
      <c r="L110"/>
      <c r="M110"/>
      <c r="N110" t="s">
        <v>233</v>
      </c>
      <c r="O110" t="s">
        <v>303</v>
      </c>
      <c r="P110" t="s">
        <v>302</v>
      </c>
      <c r="Q110"/>
      <c r="R110" t="s">
        <v>962</v>
      </c>
      <c r="U110" s="18" t="s">
        <v>746</v>
      </c>
    </row>
    <row r="111" spans="1:21" s="18" customFormat="1" x14ac:dyDescent="0.35">
      <c r="A111" t="s">
        <v>709</v>
      </c>
      <c r="B111" t="s">
        <v>734</v>
      </c>
      <c r="C111"/>
      <c r="D111"/>
      <c r="E111"/>
      <c r="F111"/>
      <c r="G111" t="s">
        <v>114</v>
      </c>
      <c r="H111" t="s">
        <v>114</v>
      </c>
      <c r="I111" t="s">
        <v>117</v>
      </c>
      <c r="J111" t="s">
        <v>1445</v>
      </c>
      <c r="K111" t="s">
        <v>10</v>
      </c>
      <c r="L111"/>
      <c r="M111"/>
      <c r="N111" t="s">
        <v>11</v>
      </c>
      <c r="O111" t="s">
        <v>34</v>
      </c>
      <c r="P111" t="s">
        <v>111</v>
      </c>
      <c r="Q111"/>
      <c r="R111" t="s">
        <v>731</v>
      </c>
      <c r="U111" s="18" t="s">
        <v>746</v>
      </c>
    </row>
    <row r="112" spans="1:21" s="18" customFormat="1" x14ac:dyDescent="0.35">
      <c r="G112" s="18" t="s">
        <v>892</v>
      </c>
      <c r="H112" s="18" t="s">
        <v>510</v>
      </c>
      <c r="I112" s="18" t="s">
        <v>511</v>
      </c>
      <c r="J112" s="18" t="s">
        <v>1359</v>
      </c>
      <c r="K112" s="18" t="s">
        <v>374</v>
      </c>
      <c r="L112" s="18" t="s">
        <v>1115</v>
      </c>
      <c r="M112" s="18" t="s">
        <v>1116</v>
      </c>
      <c r="N112" s="18" t="s">
        <v>375</v>
      </c>
      <c r="P112" s="18" t="s">
        <v>509</v>
      </c>
      <c r="U112" s="18" t="s">
        <v>746</v>
      </c>
    </row>
    <row r="113" spans="1:21" s="18" customFormat="1" x14ac:dyDescent="0.35">
      <c r="A113" t="s">
        <v>710</v>
      </c>
      <c r="B113">
        <v>2023</v>
      </c>
      <c r="C113">
        <v>2022</v>
      </c>
      <c r="D113" t="s">
        <v>772</v>
      </c>
      <c r="E113" t="s">
        <v>773</v>
      </c>
      <c r="F113"/>
      <c r="G113" t="s">
        <v>135</v>
      </c>
      <c r="H113" t="s">
        <v>135</v>
      </c>
      <c r="I113" t="s">
        <v>136</v>
      </c>
      <c r="J113" t="s">
        <v>1395</v>
      </c>
      <c r="K113" t="s">
        <v>10</v>
      </c>
      <c r="L113"/>
      <c r="M113"/>
      <c r="N113" t="s">
        <v>11</v>
      </c>
      <c r="O113" t="s">
        <v>19</v>
      </c>
      <c r="P113" t="s">
        <v>137</v>
      </c>
      <c r="Q113" t="s">
        <v>728</v>
      </c>
      <c r="R113" s="2" t="s">
        <v>727</v>
      </c>
      <c r="U113" s="18" t="s">
        <v>746</v>
      </c>
    </row>
    <row r="114" spans="1:21" s="18" customFormat="1" x14ac:dyDescent="0.35">
      <c r="A114" s="18" t="s">
        <v>710</v>
      </c>
      <c r="B114" s="18" t="s">
        <v>707</v>
      </c>
      <c r="C114" s="18" t="s">
        <v>707</v>
      </c>
      <c r="D114" s="18" t="s">
        <v>707</v>
      </c>
      <c r="E114" s="18" t="s">
        <v>707</v>
      </c>
      <c r="G114" s="18" t="s">
        <v>39</v>
      </c>
      <c r="H114" s="18" t="s">
        <v>39</v>
      </c>
      <c r="I114" s="18" t="s">
        <v>402</v>
      </c>
      <c r="J114" s="18" t="s">
        <v>1324</v>
      </c>
      <c r="K114" s="18" t="s">
        <v>374</v>
      </c>
      <c r="L114" s="18" t="s">
        <v>1115</v>
      </c>
      <c r="M114" s="18" t="s">
        <v>1116</v>
      </c>
      <c r="N114" s="18" t="s">
        <v>375</v>
      </c>
      <c r="P114" s="18" t="s">
        <v>130</v>
      </c>
      <c r="Q114" s="18" t="s">
        <v>709</v>
      </c>
      <c r="U114" s="18" t="s">
        <v>746</v>
      </c>
    </row>
    <row r="115" spans="1:21" s="18" customFormat="1" x14ac:dyDescent="0.35">
      <c r="H115" s="18" t="s">
        <v>430</v>
      </c>
      <c r="I115" s="18" t="s">
        <v>431</v>
      </c>
      <c r="J115" s="18" t="s">
        <v>1189</v>
      </c>
      <c r="K115" s="18" t="s">
        <v>374</v>
      </c>
      <c r="L115" s="18" t="s">
        <v>1115</v>
      </c>
      <c r="M115" s="18" t="s">
        <v>1116</v>
      </c>
      <c r="N115" s="18" t="s">
        <v>375</v>
      </c>
      <c r="P115" s="18" t="s">
        <v>81</v>
      </c>
      <c r="U115" s="18" t="s">
        <v>746</v>
      </c>
    </row>
    <row r="116" spans="1:21" s="18" customFormat="1" x14ac:dyDescent="0.35">
      <c r="A116" t="s">
        <v>710</v>
      </c>
      <c r="B116">
        <v>2023</v>
      </c>
      <c r="C116" t="s">
        <v>707</v>
      </c>
      <c r="D116" t="s">
        <v>772</v>
      </c>
      <c r="E116" t="s">
        <v>805</v>
      </c>
      <c r="F116" t="s">
        <v>1514</v>
      </c>
      <c r="G116" t="s">
        <v>14</v>
      </c>
      <c r="H116" t="s">
        <v>14</v>
      </c>
      <c r="I116" t="s">
        <v>66</v>
      </c>
      <c r="J116" t="s">
        <v>1129</v>
      </c>
      <c r="K116" t="s">
        <v>10</v>
      </c>
      <c r="L116"/>
      <c r="M116"/>
      <c r="N116" t="s">
        <v>11</v>
      </c>
      <c r="O116" t="s">
        <v>13</v>
      </c>
      <c r="P116" t="s">
        <v>64</v>
      </c>
      <c r="Q116"/>
      <c r="R116" s="2" t="s">
        <v>768</v>
      </c>
      <c r="U116" s="18" t="s">
        <v>746</v>
      </c>
    </row>
    <row r="117" spans="1:21" s="18" customFormat="1" x14ac:dyDescent="0.35">
      <c r="A117" t="s">
        <v>709</v>
      </c>
      <c r="B117" t="s">
        <v>720</v>
      </c>
      <c r="C117" t="s">
        <v>720</v>
      </c>
      <c r="D117" t="s">
        <v>720</v>
      </c>
      <c r="E117" t="s">
        <v>720</v>
      </c>
      <c r="F117" t="s">
        <v>720</v>
      </c>
      <c r="G117" t="s">
        <v>720</v>
      </c>
      <c r="H117" t="s">
        <v>99</v>
      </c>
      <c r="I117" t="s">
        <v>100</v>
      </c>
      <c r="J117" t="s">
        <v>1202</v>
      </c>
      <c r="K117" t="s">
        <v>10</v>
      </c>
      <c r="L117"/>
      <c r="M117"/>
      <c r="N117" t="s">
        <v>11</v>
      </c>
      <c r="O117" t="s">
        <v>17</v>
      </c>
      <c r="P117" t="s">
        <v>95</v>
      </c>
      <c r="Q117"/>
      <c r="R117" t="s">
        <v>796</v>
      </c>
      <c r="U117" s="18" t="s">
        <v>746</v>
      </c>
    </row>
    <row r="118" spans="1:21" s="18" customFormat="1" x14ac:dyDescent="0.35">
      <c r="A118" t="s">
        <v>710</v>
      </c>
      <c r="B118">
        <v>2024</v>
      </c>
      <c r="C118" t="s">
        <v>707</v>
      </c>
      <c r="D118" t="s">
        <v>807</v>
      </c>
      <c r="E118" t="s">
        <v>805</v>
      </c>
      <c r="F118" t="s">
        <v>1066</v>
      </c>
      <c r="G118" t="s">
        <v>718</v>
      </c>
      <c r="H118" t="s">
        <v>246</v>
      </c>
      <c r="I118" t="s">
        <v>304</v>
      </c>
      <c r="J118" t="s">
        <v>1348</v>
      </c>
      <c r="K118" t="s">
        <v>10</v>
      </c>
      <c r="L118"/>
      <c r="M118"/>
      <c r="N118" t="s">
        <v>233</v>
      </c>
      <c r="O118" t="s">
        <v>249</v>
      </c>
      <c r="P118" t="s">
        <v>248</v>
      </c>
      <c r="Q118" t="s">
        <v>1056</v>
      </c>
      <c r="R118" t="s">
        <v>1055</v>
      </c>
      <c r="U118" s="18" t="s">
        <v>746</v>
      </c>
    </row>
    <row r="119" spans="1:21" s="18" customFormat="1" x14ac:dyDescent="0.35">
      <c r="G119" s="18" t="s">
        <v>390</v>
      </c>
      <c r="H119" s="18" t="s">
        <v>390</v>
      </c>
      <c r="I119" s="18" t="s">
        <v>391</v>
      </c>
      <c r="J119" s="18" t="s">
        <v>1376</v>
      </c>
      <c r="K119" s="18" t="s">
        <v>374</v>
      </c>
      <c r="L119" s="18" t="s">
        <v>1115</v>
      </c>
      <c r="M119" s="18" t="s">
        <v>1116</v>
      </c>
      <c r="N119" s="18" t="s">
        <v>375</v>
      </c>
      <c r="P119" s="18" t="s">
        <v>389</v>
      </c>
      <c r="U119" s="18" t="s">
        <v>746</v>
      </c>
    </row>
    <row r="120" spans="1:21" x14ac:dyDescent="0.35">
      <c r="A120" t="s">
        <v>710</v>
      </c>
      <c r="B120" t="s">
        <v>720</v>
      </c>
      <c r="C120" t="s">
        <v>707</v>
      </c>
      <c r="D120" t="s">
        <v>720</v>
      </c>
      <c r="F120" t="s">
        <v>979</v>
      </c>
      <c r="G120" t="s">
        <v>101</v>
      </c>
      <c r="H120" t="s">
        <v>101</v>
      </c>
      <c r="I120" t="s">
        <v>104</v>
      </c>
      <c r="J120" t="s">
        <v>1402</v>
      </c>
      <c r="K120" t="s">
        <v>10</v>
      </c>
      <c r="N120" t="s">
        <v>11</v>
      </c>
      <c r="O120" t="s">
        <v>34</v>
      </c>
      <c r="P120" t="s">
        <v>95</v>
      </c>
      <c r="R120" t="s">
        <v>1466</v>
      </c>
      <c r="S120" t="s">
        <v>707</v>
      </c>
      <c r="T120" t="s">
        <v>707</v>
      </c>
      <c r="U120" t="s">
        <v>746</v>
      </c>
    </row>
    <row r="121" spans="1:21" x14ac:dyDescent="0.35">
      <c r="A121" t="s">
        <v>709</v>
      </c>
      <c r="B121" t="s">
        <v>720</v>
      </c>
      <c r="C121" t="s">
        <v>720</v>
      </c>
      <c r="D121" t="s">
        <v>720</v>
      </c>
      <c r="E121" t="s">
        <v>720</v>
      </c>
      <c r="F121" t="s">
        <v>720</v>
      </c>
      <c r="G121" t="s">
        <v>277</v>
      </c>
      <c r="H121" t="s">
        <v>277</v>
      </c>
      <c r="I121" t="s">
        <v>305</v>
      </c>
      <c r="J121" t="s">
        <v>1412</v>
      </c>
      <c r="K121" t="s">
        <v>10</v>
      </c>
      <c r="N121" t="s">
        <v>233</v>
      </c>
      <c r="O121" t="s">
        <v>1072</v>
      </c>
      <c r="R121" t="s">
        <v>1109</v>
      </c>
      <c r="S121" t="s">
        <v>707</v>
      </c>
      <c r="T121" t="s">
        <v>707</v>
      </c>
      <c r="U121" t="s">
        <v>746</v>
      </c>
    </row>
    <row r="122" spans="1:21" x14ac:dyDescent="0.35">
      <c r="A122" t="s">
        <v>710</v>
      </c>
      <c r="B122">
        <v>2020</v>
      </c>
      <c r="C122" t="s">
        <v>707</v>
      </c>
      <c r="D122" t="s">
        <v>772</v>
      </c>
      <c r="E122" t="s">
        <v>773</v>
      </c>
      <c r="G122" t="s">
        <v>903</v>
      </c>
      <c r="H122" t="s">
        <v>306</v>
      </c>
      <c r="I122" t="s">
        <v>307</v>
      </c>
      <c r="J122" t="s">
        <v>1380</v>
      </c>
      <c r="K122" t="s">
        <v>10</v>
      </c>
      <c r="N122" t="s">
        <v>233</v>
      </c>
      <c r="O122" t="s">
        <v>245</v>
      </c>
      <c r="P122" t="s">
        <v>244</v>
      </c>
      <c r="Q122" t="s">
        <v>1099</v>
      </c>
      <c r="R122" t="s">
        <v>1097</v>
      </c>
      <c r="S122" t="s">
        <v>707</v>
      </c>
      <c r="T122" t="s">
        <v>707</v>
      </c>
      <c r="U122" t="s">
        <v>746</v>
      </c>
    </row>
    <row r="123" spans="1:21" x14ac:dyDescent="0.35">
      <c r="A123" t="s">
        <v>710</v>
      </c>
      <c r="B123">
        <v>2023</v>
      </c>
      <c r="C123">
        <v>2017</v>
      </c>
      <c r="D123" t="s">
        <v>772</v>
      </c>
      <c r="E123" t="s">
        <v>805</v>
      </c>
      <c r="F123" t="s">
        <v>825</v>
      </c>
      <c r="G123" t="s">
        <v>27</v>
      </c>
      <c r="H123" t="s">
        <v>27</v>
      </c>
      <c r="I123" t="s">
        <v>28</v>
      </c>
      <c r="J123" t="s">
        <v>1166</v>
      </c>
      <c r="K123" t="s">
        <v>10</v>
      </c>
      <c r="N123" t="s">
        <v>11</v>
      </c>
      <c r="O123" t="s">
        <v>23</v>
      </c>
      <c r="P123" t="s">
        <v>16</v>
      </c>
      <c r="R123" s="2" t="s">
        <v>751</v>
      </c>
      <c r="S123" t="s">
        <v>707</v>
      </c>
      <c r="T123" t="s">
        <v>707</v>
      </c>
      <c r="U123" t="s">
        <v>746</v>
      </c>
    </row>
    <row r="124" spans="1:21" x14ac:dyDescent="0.35">
      <c r="A124" s="18"/>
      <c r="B124" s="18"/>
      <c r="C124" s="18"/>
      <c r="D124" s="18"/>
      <c r="E124" s="18"/>
      <c r="F124" s="18"/>
      <c r="G124" s="18" t="s">
        <v>421</v>
      </c>
      <c r="H124" s="18" t="s">
        <v>421</v>
      </c>
      <c r="I124" s="18" t="s">
        <v>422</v>
      </c>
      <c r="J124" s="18" t="s">
        <v>1309</v>
      </c>
      <c r="K124" s="18" t="s">
        <v>374</v>
      </c>
      <c r="L124" s="18" t="s">
        <v>1115</v>
      </c>
      <c r="M124" s="18" t="s">
        <v>1116</v>
      </c>
      <c r="N124" s="18" t="s">
        <v>375</v>
      </c>
      <c r="O124" s="18"/>
      <c r="P124" s="18" t="s">
        <v>423</v>
      </c>
      <c r="Q124" s="18"/>
      <c r="R124" s="18"/>
      <c r="S124" t="s">
        <v>707</v>
      </c>
      <c r="T124" t="s">
        <v>707</v>
      </c>
      <c r="U124" t="s">
        <v>746</v>
      </c>
    </row>
    <row r="125" spans="1:21" x14ac:dyDescent="0.35">
      <c r="A125" t="s">
        <v>710</v>
      </c>
      <c r="B125">
        <v>2024</v>
      </c>
      <c r="C125" t="s">
        <v>707</v>
      </c>
      <c r="D125" t="s">
        <v>772</v>
      </c>
      <c r="E125" t="s">
        <v>805</v>
      </c>
      <c r="F125" t="s">
        <v>979</v>
      </c>
      <c r="G125" t="s">
        <v>101</v>
      </c>
      <c r="H125" t="s">
        <v>101</v>
      </c>
      <c r="I125" t="s">
        <v>126</v>
      </c>
      <c r="J125" t="s">
        <v>1404</v>
      </c>
      <c r="K125" t="s">
        <v>10</v>
      </c>
      <c r="N125" t="s">
        <v>11</v>
      </c>
      <c r="O125" t="s">
        <v>34</v>
      </c>
      <c r="P125" t="s">
        <v>127</v>
      </c>
      <c r="R125" t="s">
        <v>1466</v>
      </c>
      <c r="S125" t="s">
        <v>960</v>
      </c>
      <c r="T125" t="s">
        <v>961</v>
      </c>
      <c r="U125" t="s">
        <v>710</v>
      </c>
    </row>
    <row r="126" spans="1:21" x14ac:dyDescent="0.35">
      <c r="A126" t="s">
        <v>710</v>
      </c>
      <c r="B126">
        <v>2024</v>
      </c>
      <c r="C126" t="s">
        <v>707</v>
      </c>
      <c r="D126" t="s">
        <v>1575</v>
      </c>
      <c r="E126" t="s">
        <v>805</v>
      </c>
      <c r="G126" t="s">
        <v>39</v>
      </c>
      <c r="H126" t="s">
        <v>39</v>
      </c>
      <c r="I126" t="s">
        <v>42</v>
      </c>
      <c r="J126" t="s">
        <v>1318</v>
      </c>
      <c r="K126" t="s">
        <v>10</v>
      </c>
      <c r="N126" t="s">
        <v>11</v>
      </c>
      <c r="O126" t="s">
        <v>13</v>
      </c>
      <c r="P126" t="s">
        <v>16</v>
      </c>
      <c r="Q126" t="s">
        <v>1028</v>
      </c>
      <c r="R126" t="s">
        <v>1030</v>
      </c>
      <c r="S126" t="s">
        <v>963</v>
      </c>
      <c r="T126" s="22" t="s">
        <v>964</v>
      </c>
      <c r="U126" t="s">
        <v>710</v>
      </c>
    </row>
    <row r="127" spans="1:21" x14ac:dyDescent="0.35">
      <c r="A127" t="s">
        <v>710</v>
      </c>
      <c r="B127">
        <v>2023</v>
      </c>
      <c r="C127" t="s">
        <v>707</v>
      </c>
      <c r="D127" t="s">
        <v>807</v>
      </c>
      <c r="E127" t="s">
        <v>773</v>
      </c>
      <c r="G127" t="s">
        <v>215</v>
      </c>
      <c r="H127" t="s">
        <v>215</v>
      </c>
      <c r="I127" t="s">
        <v>216</v>
      </c>
      <c r="J127" t="s">
        <v>1184</v>
      </c>
      <c r="K127" t="s">
        <v>10</v>
      </c>
      <c r="N127" t="s">
        <v>11</v>
      </c>
      <c r="O127" t="s">
        <v>34</v>
      </c>
      <c r="P127" t="s">
        <v>217</v>
      </c>
      <c r="Q127" t="s">
        <v>833</v>
      </c>
      <c r="R127" s="2" t="s">
        <v>771</v>
      </c>
      <c r="S127" t="s">
        <v>963</v>
      </c>
      <c r="T127" t="s">
        <v>964</v>
      </c>
      <c r="U127" t="s">
        <v>710</v>
      </c>
    </row>
    <row r="128" spans="1:21" x14ac:dyDescent="0.35">
      <c r="A128" s="18"/>
      <c r="B128" s="18"/>
      <c r="C128" s="18"/>
      <c r="D128" s="18"/>
      <c r="E128" s="18"/>
      <c r="F128" s="18"/>
      <c r="G128" s="18" t="s">
        <v>840</v>
      </c>
      <c r="H128" s="18" t="s">
        <v>704</v>
      </c>
      <c r="I128" s="18" t="s">
        <v>216</v>
      </c>
      <c r="J128" s="18" t="s">
        <v>1203</v>
      </c>
      <c r="K128" s="18" t="s">
        <v>374</v>
      </c>
      <c r="L128" s="18" t="s">
        <v>1115</v>
      </c>
      <c r="M128" s="18" t="s">
        <v>1118</v>
      </c>
      <c r="N128" s="18" t="s">
        <v>375</v>
      </c>
      <c r="O128" s="18"/>
      <c r="P128" s="18" t="s">
        <v>705</v>
      </c>
      <c r="Q128" s="18"/>
      <c r="R128" s="18"/>
      <c r="S128" t="s">
        <v>963</v>
      </c>
      <c r="T128" t="s">
        <v>964</v>
      </c>
      <c r="U128" t="s">
        <v>710</v>
      </c>
    </row>
    <row r="129" spans="1:21" x14ac:dyDescent="0.35">
      <c r="A129" t="s">
        <v>710</v>
      </c>
      <c r="B129">
        <v>2024</v>
      </c>
      <c r="C129" t="s">
        <v>707</v>
      </c>
      <c r="D129" t="s">
        <v>1767</v>
      </c>
      <c r="E129" t="s">
        <v>832</v>
      </c>
      <c r="G129" t="s">
        <v>715</v>
      </c>
      <c r="H129" t="s">
        <v>142</v>
      </c>
      <c r="I129" t="s">
        <v>308</v>
      </c>
      <c r="J129" t="s">
        <v>1253</v>
      </c>
      <c r="K129" t="s">
        <v>10</v>
      </c>
      <c r="N129" t="s">
        <v>233</v>
      </c>
      <c r="O129" t="s">
        <v>249</v>
      </c>
      <c r="P129" t="s">
        <v>309</v>
      </c>
      <c r="R129" t="s">
        <v>962</v>
      </c>
      <c r="S129" t="s">
        <v>968</v>
      </c>
      <c r="T129" t="s">
        <v>969</v>
      </c>
      <c r="U129" t="s">
        <v>710</v>
      </c>
    </row>
    <row r="130" spans="1:21" x14ac:dyDescent="0.35">
      <c r="A130" s="18"/>
      <c r="B130" s="18"/>
      <c r="C130" s="18"/>
      <c r="D130" s="18"/>
      <c r="E130" s="18"/>
      <c r="F130" s="18"/>
      <c r="G130" s="18" t="s">
        <v>659</v>
      </c>
      <c r="H130" s="18" t="s">
        <v>659</v>
      </c>
      <c r="I130" s="18" t="s">
        <v>660</v>
      </c>
      <c r="J130" s="18" t="s">
        <v>1417</v>
      </c>
      <c r="K130" s="18" t="s">
        <v>374</v>
      </c>
      <c r="L130" s="18" t="s">
        <v>1115</v>
      </c>
      <c r="M130" s="18" t="s">
        <v>1116</v>
      </c>
      <c r="N130" s="18" t="s">
        <v>375</v>
      </c>
      <c r="O130" s="18"/>
      <c r="P130" s="18" t="s">
        <v>210</v>
      </c>
      <c r="Q130" s="18"/>
      <c r="R130" s="18"/>
      <c r="S130" t="s">
        <v>967</v>
      </c>
      <c r="T130" t="s">
        <v>707</v>
      </c>
      <c r="U130" t="s">
        <v>710</v>
      </c>
    </row>
    <row r="131" spans="1:21" x14ac:dyDescent="0.35">
      <c r="A131" t="s">
        <v>710</v>
      </c>
      <c r="B131">
        <v>2024</v>
      </c>
      <c r="C131" t="s">
        <v>707</v>
      </c>
      <c r="D131" t="s">
        <v>1575</v>
      </c>
      <c r="E131" t="s">
        <v>805</v>
      </c>
      <c r="G131" t="s">
        <v>39</v>
      </c>
      <c r="H131" t="s">
        <v>39</v>
      </c>
      <c r="I131" t="s">
        <v>43</v>
      </c>
      <c r="J131" t="s">
        <v>1319</v>
      </c>
      <c r="K131" t="s">
        <v>10</v>
      </c>
      <c r="N131" t="s">
        <v>11</v>
      </c>
      <c r="O131" t="s">
        <v>34</v>
      </c>
      <c r="P131" t="s">
        <v>16</v>
      </c>
      <c r="Q131" t="s">
        <v>1028</v>
      </c>
      <c r="R131" t="s">
        <v>1030</v>
      </c>
      <c r="S131" t="s">
        <v>966</v>
      </c>
      <c r="T131" t="s">
        <v>707</v>
      </c>
      <c r="U131" t="s">
        <v>710</v>
      </c>
    </row>
    <row r="132" spans="1:21" s="18" customFormat="1" x14ac:dyDescent="0.35">
      <c r="A132"/>
      <c r="B132"/>
      <c r="C132"/>
      <c r="D132"/>
      <c r="E132"/>
      <c r="F132"/>
      <c r="G132" t="s">
        <v>310</v>
      </c>
      <c r="H132" t="s">
        <v>310</v>
      </c>
      <c r="I132" t="s">
        <v>310</v>
      </c>
      <c r="J132" t="s">
        <v>1281</v>
      </c>
      <c r="K132" t="s">
        <v>10</v>
      </c>
      <c r="L132"/>
      <c r="M132"/>
      <c r="N132" t="s">
        <v>233</v>
      </c>
      <c r="O132"/>
      <c r="P132"/>
      <c r="Q132"/>
      <c r="R132"/>
      <c r="T132" s="18" t="s">
        <v>707</v>
      </c>
      <c r="U132" s="18" t="s">
        <v>710</v>
      </c>
    </row>
    <row r="133" spans="1:21" x14ac:dyDescent="0.35">
      <c r="A133" s="18" t="s">
        <v>710</v>
      </c>
      <c r="B133" s="18" t="s">
        <v>720</v>
      </c>
      <c r="C133" s="18" t="s">
        <v>720</v>
      </c>
      <c r="D133" s="18" t="s">
        <v>709</v>
      </c>
      <c r="E133" s="18" t="s">
        <v>720</v>
      </c>
      <c r="F133" s="18" t="s">
        <v>720</v>
      </c>
      <c r="G133" s="18" t="s">
        <v>898</v>
      </c>
      <c r="H133" s="18" t="s">
        <v>435</v>
      </c>
      <c r="I133" s="18" t="s">
        <v>436</v>
      </c>
      <c r="J133" s="18" t="s">
        <v>1368</v>
      </c>
      <c r="K133" s="18" t="s">
        <v>374</v>
      </c>
      <c r="L133" s="18" t="s">
        <v>1115</v>
      </c>
      <c r="M133" s="18" t="s">
        <v>1116</v>
      </c>
      <c r="N133" s="18" t="s">
        <v>375</v>
      </c>
      <c r="O133" s="18"/>
      <c r="P133" s="18" t="s">
        <v>437</v>
      </c>
      <c r="Q133" s="18"/>
      <c r="R133" s="18"/>
      <c r="T133" t="s">
        <v>707</v>
      </c>
      <c r="U133" t="s">
        <v>710</v>
      </c>
    </row>
    <row r="134" spans="1:21" x14ac:dyDescent="0.35">
      <c r="A134" t="s">
        <v>710</v>
      </c>
      <c r="B134">
        <v>2023</v>
      </c>
      <c r="C134">
        <v>2022</v>
      </c>
      <c r="D134" t="s">
        <v>772</v>
      </c>
      <c r="E134" t="s">
        <v>808</v>
      </c>
      <c r="G134" t="s">
        <v>736</v>
      </c>
      <c r="H134" t="s">
        <v>24</v>
      </c>
      <c r="I134" t="s">
        <v>25</v>
      </c>
      <c r="J134" t="s">
        <v>1135</v>
      </c>
      <c r="K134" t="s">
        <v>10</v>
      </c>
      <c r="N134" t="s">
        <v>11</v>
      </c>
      <c r="O134" t="s">
        <v>13</v>
      </c>
      <c r="P134" t="s">
        <v>16</v>
      </c>
      <c r="R134" t="s">
        <v>737</v>
      </c>
      <c r="T134" t="s">
        <v>707</v>
      </c>
      <c r="U134" t="s">
        <v>710</v>
      </c>
    </row>
    <row r="135" spans="1:21" x14ac:dyDescent="0.35">
      <c r="A135" t="s">
        <v>709</v>
      </c>
      <c r="B135" t="s">
        <v>720</v>
      </c>
      <c r="C135" t="s">
        <v>720</v>
      </c>
      <c r="D135" t="s">
        <v>720</v>
      </c>
      <c r="E135" t="s">
        <v>720</v>
      </c>
      <c r="F135" t="s">
        <v>720</v>
      </c>
      <c r="G135" t="s">
        <v>311</v>
      </c>
      <c r="H135" t="s">
        <v>311</v>
      </c>
      <c r="I135" t="s">
        <v>312</v>
      </c>
      <c r="J135" t="s">
        <v>1266</v>
      </c>
      <c r="K135" t="s">
        <v>10</v>
      </c>
      <c r="N135" t="s">
        <v>233</v>
      </c>
      <c r="O135" t="s">
        <v>255</v>
      </c>
      <c r="P135" t="s">
        <v>244</v>
      </c>
      <c r="R135" t="s">
        <v>978</v>
      </c>
      <c r="U135" t="s">
        <v>710</v>
      </c>
    </row>
    <row r="136" spans="1:21" x14ac:dyDescent="0.35">
      <c r="A136" s="18"/>
      <c r="B136" s="18"/>
      <c r="C136" s="18"/>
      <c r="D136" s="18"/>
      <c r="E136" s="18"/>
      <c r="F136" s="18"/>
      <c r="G136" s="18" t="s">
        <v>421</v>
      </c>
      <c r="H136" s="18" t="s">
        <v>421</v>
      </c>
      <c r="I136" s="18" t="s">
        <v>679</v>
      </c>
      <c r="J136" s="18" t="s">
        <v>1310</v>
      </c>
      <c r="K136" s="18" t="s">
        <v>374</v>
      </c>
      <c r="L136" s="18" t="s">
        <v>1115</v>
      </c>
      <c r="M136" s="18" t="s">
        <v>1116</v>
      </c>
      <c r="N136" s="18" t="s">
        <v>375</v>
      </c>
      <c r="O136" s="18"/>
      <c r="P136" s="18" t="s">
        <v>680</v>
      </c>
      <c r="Q136" s="18"/>
      <c r="R136" s="18"/>
      <c r="S136" t="s">
        <v>707</v>
      </c>
      <c r="T136" t="s">
        <v>707</v>
      </c>
      <c r="U136" t="s">
        <v>746</v>
      </c>
    </row>
    <row r="137" spans="1:21" x14ac:dyDescent="0.35">
      <c r="A137" t="s">
        <v>710</v>
      </c>
      <c r="B137">
        <v>2023</v>
      </c>
      <c r="C137" t="s">
        <v>707</v>
      </c>
      <c r="D137" t="s">
        <v>807</v>
      </c>
      <c r="E137" t="s">
        <v>773</v>
      </c>
      <c r="G137" t="s">
        <v>215</v>
      </c>
      <c r="H137" t="s">
        <v>215</v>
      </c>
      <c r="I137" t="s">
        <v>218</v>
      </c>
      <c r="J137" t="s">
        <v>1185</v>
      </c>
      <c r="K137" t="s">
        <v>10</v>
      </c>
      <c r="N137" t="s">
        <v>11</v>
      </c>
      <c r="O137" t="s">
        <v>34</v>
      </c>
      <c r="P137" t="s">
        <v>217</v>
      </c>
      <c r="Q137" t="s">
        <v>834</v>
      </c>
      <c r="R137" s="2" t="s">
        <v>771</v>
      </c>
      <c r="S137" s="22" t="s">
        <v>956</v>
      </c>
      <c r="T137" s="22" t="s">
        <v>957</v>
      </c>
      <c r="U137" t="s">
        <v>746</v>
      </c>
    </row>
    <row r="138" spans="1:21" s="18" customFormat="1" x14ac:dyDescent="0.35">
      <c r="H138" s="18" t="s">
        <v>512</v>
      </c>
      <c r="I138" s="18" t="s">
        <v>513</v>
      </c>
      <c r="J138" s="18" t="s">
        <v>1142</v>
      </c>
      <c r="K138" s="18" t="s">
        <v>374</v>
      </c>
      <c r="L138" s="18" t="s">
        <v>1115</v>
      </c>
      <c r="M138" s="18" t="s">
        <v>1116</v>
      </c>
      <c r="N138" s="18" t="s">
        <v>375</v>
      </c>
      <c r="P138" s="18" t="s">
        <v>509</v>
      </c>
      <c r="U138" s="18" t="s">
        <v>746</v>
      </c>
    </row>
    <row r="139" spans="1:21" s="18" customFormat="1" x14ac:dyDescent="0.35">
      <c r="H139" s="18" t="s">
        <v>609</v>
      </c>
      <c r="I139" s="18" t="s">
        <v>610</v>
      </c>
      <c r="J139" s="18" t="s">
        <v>1168</v>
      </c>
      <c r="K139" s="18" t="s">
        <v>374</v>
      </c>
      <c r="L139" s="18" t="s">
        <v>1115</v>
      </c>
      <c r="M139" s="18" t="s">
        <v>1116</v>
      </c>
      <c r="N139" s="18" t="s">
        <v>375</v>
      </c>
      <c r="P139" s="18" t="s">
        <v>611</v>
      </c>
      <c r="U139" s="18" t="s">
        <v>746</v>
      </c>
    </row>
    <row r="140" spans="1:21" s="18" customFormat="1" x14ac:dyDescent="0.35">
      <c r="A140" t="s">
        <v>710</v>
      </c>
      <c r="B140">
        <v>2022</v>
      </c>
      <c r="C140" t="s">
        <v>707</v>
      </c>
      <c r="D140" t="s">
        <v>807</v>
      </c>
      <c r="E140" t="s">
        <v>773</v>
      </c>
      <c r="F140"/>
      <c r="G140" t="s">
        <v>860</v>
      </c>
      <c r="H140" t="s">
        <v>220</v>
      </c>
      <c r="I140" t="s">
        <v>221</v>
      </c>
      <c r="J140" t="s">
        <v>1280</v>
      </c>
      <c r="K140" t="s">
        <v>10</v>
      </c>
      <c r="L140"/>
      <c r="M140"/>
      <c r="N140" t="s">
        <v>11</v>
      </c>
      <c r="O140" t="s">
        <v>34</v>
      </c>
      <c r="P140" t="s">
        <v>217</v>
      </c>
      <c r="Q140" s="17"/>
      <c r="R140" t="s">
        <v>993</v>
      </c>
      <c r="U140" s="18" t="s">
        <v>746</v>
      </c>
    </row>
    <row r="141" spans="1:21" s="18" customFormat="1" x14ac:dyDescent="0.35">
      <c r="D141" s="18" t="s">
        <v>772</v>
      </c>
      <c r="E141" s="18" t="s">
        <v>773</v>
      </c>
      <c r="G141" s="18" t="s">
        <v>793</v>
      </c>
      <c r="H141" s="18" t="s">
        <v>128</v>
      </c>
      <c r="I141" s="18" t="s">
        <v>403</v>
      </c>
      <c r="J141" s="18" t="s">
        <v>1191</v>
      </c>
      <c r="K141" s="18" t="s">
        <v>374</v>
      </c>
      <c r="L141" s="18" t="s">
        <v>1115</v>
      </c>
      <c r="M141" s="18" t="s">
        <v>1116</v>
      </c>
      <c r="N141" s="18" t="s">
        <v>375</v>
      </c>
      <c r="P141" s="18" t="s">
        <v>130</v>
      </c>
      <c r="Q141" s="18" t="s">
        <v>917</v>
      </c>
      <c r="R141" s="18" t="s">
        <v>743</v>
      </c>
      <c r="U141" s="18" t="s">
        <v>746</v>
      </c>
    </row>
    <row r="142" spans="1:21" s="18" customFormat="1" x14ac:dyDescent="0.35">
      <c r="G142" s="18" t="s">
        <v>906</v>
      </c>
      <c r="H142" s="18" t="s">
        <v>567</v>
      </c>
      <c r="I142" s="18" t="s">
        <v>568</v>
      </c>
      <c r="J142" s="18" t="s">
        <v>1394</v>
      </c>
      <c r="K142" s="18" t="s">
        <v>374</v>
      </c>
      <c r="L142" s="18" t="s">
        <v>1115</v>
      </c>
      <c r="M142" s="18" t="s">
        <v>1116</v>
      </c>
      <c r="N142" s="18" t="s">
        <v>375</v>
      </c>
      <c r="P142" s="18" t="s">
        <v>183</v>
      </c>
      <c r="U142" s="18" t="s">
        <v>746</v>
      </c>
    </row>
    <row r="143" spans="1:21" x14ac:dyDescent="0.35">
      <c r="A143" t="s">
        <v>710</v>
      </c>
      <c r="B143">
        <v>2023</v>
      </c>
      <c r="C143">
        <v>2024</v>
      </c>
      <c r="D143" t="s">
        <v>772</v>
      </c>
      <c r="E143" t="s">
        <v>773</v>
      </c>
      <c r="G143" t="s">
        <v>8</v>
      </c>
      <c r="H143" t="s">
        <v>8</v>
      </c>
      <c r="I143" t="s">
        <v>9</v>
      </c>
      <c r="J143" t="s">
        <v>1263</v>
      </c>
      <c r="K143" t="s">
        <v>10</v>
      </c>
      <c r="N143" t="s">
        <v>11</v>
      </c>
      <c r="O143" t="s">
        <v>23</v>
      </c>
      <c r="P143" t="s">
        <v>12</v>
      </c>
      <c r="Q143" t="s">
        <v>723</v>
      </c>
      <c r="R143" s="2" t="s">
        <v>722</v>
      </c>
      <c r="S143" s="22" t="s">
        <v>972</v>
      </c>
      <c r="T143" s="22" t="s">
        <v>971</v>
      </c>
      <c r="U143" t="s">
        <v>710</v>
      </c>
    </row>
    <row r="144" spans="1:21" x14ac:dyDescent="0.35">
      <c r="A144" t="s">
        <v>710</v>
      </c>
      <c r="B144">
        <v>2023</v>
      </c>
      <c r="C144" t="s">
        <v>707</v>
      </c>
      <c r="D144" t="s">
        <v>831</v>
      </c>
      <c r="E144" t="s">
        <v>832</v>
      </c>
      <c r="G144" t="s">
        <v>208</v>
      </c>
      <c r="H144" t="s">
        <v>208</v>
      </c>
      <c r="I144" t="s">
        <v>211</v>
      </c>
      <c r="J144" t="s">
        <v>1176</v>
      </c>
      <c r="K144" t="s">
        <v>10</v>
      </c>
      <c r="N144" t="s">
        <v>11</v>
      </c>
      <c r="O144" t="s">
        <v>21</v>
      </c>
      <c r="P144" t="s">
        <v>210</v>
      </c>
      <c r="Q144" t="s">
        <v>1529</v>
      </c>
      <c r="R144" s="2" t="s">
        <v>770</v>
      </c>
      <c r="S144" s="22" t="s">
        <v>973</v>
      </c>
      <c r="T144" s="22" t="s">
        <v>975</v>
      </c>
      <c r="U144" t="s">
        <v>710</v>
      </c>
    </row>
    <row r="145" spans="1:21" s="18" customFormat="1" x14ac:dyDescent="0.35">
      <c r="A145" t="s">
        <v>710</v>
      </c>
      <c r="B145">
        <v>2024</v>
      </c>
      <c r="C145" t="s">
        <v>707</v>
      </c>
      <c r="D145" t="s">
        <v>1767</v>
      </c>
      <c r="E145" t="s">
        <v>832</v>
      </c>
      <c r="F145"/>
      <c r="G145" t="s">
        <v>715</v>
      </c>
      <c r="H145" t="s">
        <v>142</v>
      </c>
      <c r="I145" t="s">
        <v>143</v>
      </c>
      <c r="J145" t="s">
        <v>1245</v>
      </c>
      <c r="K145" t="s">
        <v>10</v>
      </c>
      <c r="L145"/>
      <c r="M145"/>
      <c r="N145" t="s">
        <v>11</v>
      </c>
      <c r="O145" t="s">
        <v>44</v>
      </c>
      <c r="P145" t="s">
        <v>144</v>
      </c>
      <c r="Q145"/>
      <c r="R145" t="s">
        <v>962</v>
      </c>
      <c r="S145" s="18" t="s">
        <v>974</v>
      </c>
      <c r="T145" s="18" t="s">
        <v>976</v>
      </c>
      <c r="U145" s="18" t="s">
        <v>710</v>
      </c>
    </row>
    <row r="146" spans="1:21" x14ac:dyDescent="0.35">
      <c r="A146" t="s">
        <v>710</v>
      </c>
      <c r="B146">
        <v>2023</v>
      </c>
      <c r="C146" t="s">
        <v>707</v>
      </c>
      <c r="D146" t="s">
        <v>772</v>
      </c>
      <c r="E146" t="s">
        <v>805</v>
      </c>
      <c r="F146" t="s">
        <v>979</v>
      </c>
      <c r="G146" t="s">
        <v>730</v>
      </c>
      <c r="H146" t="s">
        <v>58</v>
      </c>
      <c r="I146" t="s">
        <v>60</v>
      </c>
      <c r="J146" t="s">
        <v>1438</v>
      </c>
      <c r="K146" t="s">
        <v>10</v>
      </c>
      <c r="N146" t="s">
        <v>11</v>
      </c>
      <c r="O146" t="s">
        <v>19</v>
      </c>
      <c r="P146" t="s">
        <v>16</v>
      </c>
      <c r="R146" s="2" t="s">
        <v>729</v>
      </c>
      <c r="S146" t="s">
        <v>977</v>
      </c>
      <c r="T146" t="s">
        <v>707</v>
      </c>
      <c r="U146" t="s">
        <v>746</v>
      </c>
    </row>
    <row r="147" spans="1:21" s="18" customFormat="1" x14ac:dyDescent="0.35">
      <c r="G147" s="18" t="s">
        <v>857</v>
      </c>
      <c r="H147" s="18" t="s">
        <v>501</v>
      </c>
      <c r="I147" s="18" t="s">
        <v>502</v>
      </c>
      <c r="J147" s="18" t="s">
        <v>1261</v>
      </c>
      <c r="K147" s="18" t="s">
        <v>374</v>
      </c>
      <c r="L147" s="18" t="s">
        <v>1115</v>
      </c>
      <c r="M147" s="18" t="s">
        <v>1118</v>
      </c>
      <c r="N147" s="18" t="s">
        <v>375</v>
      </c>
      <c r="P147" s="18" t="s">
        <v>498</v>
      </c>
      <c r="S147" s="18" t="s">
        <v>707</v>
      </c>
      <c r="T147" s="18" t="s">
        <v>983</v>
      </c>
      <c r="U147" s="18" t="s">
        <v>710</v>
      </c>
    </row>
    <row r="148" spans="1:21" x14ac:dyDescent="0.35">
      <c r="A148" t="s">
        <v>709</v>
      </c>
      <c r="B148" t="s">
        <v>720</v>
      </c>
      <c r="C148" t="s">
        <v>720</v>
      </c>
      <c r="D148" t="s">
        <v>720</v>
      </c>
      <c r="E148" t="s">
        <v>720</v>
      </c>
      <c r="F148" t="s">
        <v>720</v>
      </c>
      <c r="G148" t="s">
        <v>863</v>
      </c>
      <c r="H148" t="s">
        <v>313</v>
      </c>
      <c r="I148" t="s">
        <v>314</v>
      </c>
      <c r="J148" t="s">
        <v>1287</v>
      </c>
      <c r="K148" t="s">
        <v>10</v>
      </c>
      <c r="N148" t="s">
        <v>233</v>
      </c>
      <c r="O148" t="s">
        <v>1002</v>
      </c>
      <c r="Q148" t="s">
        <v>1002</v>
      </c>
      <c r="R148" t="s">
        <v>1001</v>
      </c>
      <c r="S148" t="s">
        <v>707</v>
      </c>
      <c r="T148" t="s">
        <v>983</v>
      </c>
      <c r="U148" t="s">
        <v>710</v>
      </c>
    </row>
    <row r="149" spans="1:21" x14ac:dyDescent="0.35">
      <c r="A149" t="s">
        <v>710</v>
      </c>
      <c r="B149">
        <v>2024</v>
      </c>
      <c r="C149" t="s">
        <v>707</v>
      </c>
      <c r="D149" t="s">
        <v>807</v>
      </c>
      <c r="E149" t="s">
        <v>805</v>
      </c>
      <c r="F149" t="s">
        <v>1066</v>
      </c>
      <c r="G149" t="s">
        <v>718</v>
      </c>
      <c r="H149" t="s">
        <v>246</v>
      </c>
      <c r="I149" t="s">
        <v>315</v>
      </c>
      <c r="J149" t="s">
        <v>1349</v>
      </c>
      <c r="K149" t="s">
        <v>10</v>
      </c>
      <c r="N149" t="s">
        <v>233</v>
      </c>
      <c r="O149" t="s">
        <v>249</v>
      </c>
      <c r="P149" t="s">
        <v>248</v>
      </c>
      <c r="Q149" t="s">
        <v>1068</v>
      </c>
      <c r="R149" t="s">
        <v>1055</v>
      </c>
      <c r="S149" t="s">
        <v>707</v>
      </c>
      <c r="T149" t="s">
        <v>983</v>
      </c>
      <c r="U149" t="s">
        <v>710</v>
      </c>
    </row>
    <row r="150" spans="1:21" x14ac:dyDescent="0.35">
      <c r="A150" s="18"/>
      <c r="B150" s="18"/>
      <c r="C150" s="18"/>
      <c r="D150" s="18"/>
      <c r="E150" s="18"/>
      <c r="F150" s="18"/>
      <c r="G150" s="18" t="s">
        <v>443</v>
      </c>
      <c r="H150" s="18" t="s">
        <v>443</v>
      </c>
      <c r="I150" s="18" t="s">
        <v>444</v>
      </c>
      <c r="J150" s="18" t="s">
        <v>1208</v>
      </c>
      <c r="K150" s="18" t="s">
        <v>374</v>
      </c>
      <c r="L150" s="18" t="s">
        <v>1115</v>
      </c>
      <c r="M150" s="18" t="s">
        <v>1116</v>
      </c>
      <c r="N150" s="18" t="s">
        <v>375</v>
      </c>
      <c r="O150" s="18"/>
      <c r="P150" s="18" t="s">
        <v>445</v>
      </c>
      <c r="Q150" s="18"/>
      <c r="R150" s="18"/>
      <c r="S150" t="s">
        <v>707</v>
      </c>
      <c r="T150" t="s">
        <v>984</v>
      </c>
      <c r="U150" t="s">
        <v>710</v>
      </c>
    </row>
    <row r="151" spans="1:21" s="18" customFormat="1" x14ac:dyDescent="0.35">
      <c r="G151" s="18" t="s">
        <v>893</v>
      </c>
      <c r="H151" s="18" t="s">
        <v>455</v>
      </c>
      <c r="I151" s="18" t="s">
        <v>456</v>
      </c>
      <c r="J151" s="18" t="s">
        <v>1360</v>
      </c>
      <c r="K151" s="18" t="s">
        <v>374</v>
      </c>
      <c r="L151" s="18" t="s">
        <v>1115</v>
      </c>
      <c r="M151" s="18" t="s">
        <v>1116</v>
      </c>
      <c r="N151" s="18" t="s">
        <v>375</v>
      </c>
      <c r="P151" s="18" t="s">
        <v>457</v>
      </c>
      <c r="S151" s="18" t="s">
        <v>707</v>
      </c>
      <c r="U151" s="18" t="s">
        <v>710</v>
      </c>
    </row>
    <row r="152" spans="1:21" x14ac:dyDescent="0.35">
      <c r="A152" s="18"/>
      <c r="B152" s="18"/>
      <c r="C152" s="18"/>
      <c r="D152" s="18"/>
      <c r="E152" s="18"/>
      <c r="F152" s="18"/>
      <c r="G152" s="18" t="s">
        <v>898</v>
      </c>
      <c r="H152" s="18" t="s">
        <v>435</v>
      </c>
      <c r="I152" s="18" t="s">
        <v>438</v>
      </c>
      <c r="J152" s="18" t="s">
        <v>1369</v>
      </c>
      <c r="K152" s="18" t="s">
        <v>374</v>
      </c>
      <c r="L152" s="18" t="s">
        <v>1115</v>
      </c>
      <c r="M152" s="18" t="s">
        <v>1116</v>
      </c>
      <c r="N152" s="18" t="s">
        <v>375</v>
      </c>
      <c r="O152" s="18"/>
      <c r="P152" s="18" t="s">
        <v>439</v>
      </c>
      <c r="Q152" s="18"/>
      <c r="R152" s="18"/>
      <c r="S152" t="s">
        <v>707</v>
      </c>
      <c r="U152" t="s">
        <v>710</v>
      </c>
    </row>
    <row r="153" spans="1:21" s="18" customFormat="1" x14ac:dyDescent="0.35">
      <c r="H153" s="18" t="s">
        <v>689</v>
      </c>
      <c r="I153" s="18" t="s">
        <v>690</v>
      </c>
      <c r="J153" s="18" t="s">
        <v>1170</v>
      </c>
      <c r="K153" s="18" t="s">
        <v>374</v>
      </c>
      <c r="L153" s="18" t="s">
        <v>1115</v>
      </c>
      <c r="M153" s="18" t="s">
        <v>1116</v>
      </c>
      <c r="N153" s="18" t="s">
        <v>375</v>
      </c>
      <c r="P153" s="18" t="s">
        <v>688</v>
      </c>
      <c r="S153" s="18" t="s">
        <v>707</v>
      </c>
      <c r="U153" s="18" t="s">
        <v>710</v>
      </c>
    </row>
    <row r="154" spans="1:21" s="18" customFormat="1" x14ac:dyDescent="0.35">
      <c r="G154" s="18" t="s">
        <v>864</v>
      </c>
      <c r="H154" s="18" t="s">
        <v>426</v>
      </c>
      <c r="I154" s="18" t="s">
        <v>427</v>
      </c>
      <c r="J154" s="18" t="s">
        <v>1289</v>
      </c>
      <c r="K154" s="18" t="s">
        <v>374</v>
      </c>
      <c r="L154" s="18" t="s">
        <v>1115</v>
      </c>
      <c r="M154" s="18" t="s">
        <v>1116</v>
      </c>
      <c r="N154" s="18" t="s">
        <v>375</v>
      </c>
      <c r="P154" s="18" t="s">
        <v>428</v>
      </c>
      <c r="S154" s="18" t="s">
        <v>707</v>
      </c>
      <c r="U154" s="18" t="s">
        <v>710</v>
      </c>
    </row>
    <row r="155" spans="1:21" s="18" customFormat="1" x14ac:dyDescent="0.35">
      <c r="G155" s="18" t="s">
        <v>883</v>
      </c>
      <c r="H155" s="18" t="s">
        <v>404</v>
      </c>
      <c r="I155" s="18" t="s">
        <v>405</v>
      </c>
      <c r="J155" s="18" t="s">
        <v>1332</v>
      </c>
      <c r="K155" s="18" t="s">
        <v>374</v>
      </c>
      <c r="L155" s="18" t="s">
        <v>1115</v>
      </c>
      <c r="M155" s="18" t="s">
        <v>1116</v>
      </c>
      <c r="N155" s="18" t="s">
        <v>375</v>
      </c>
      <c r="P155" s="18" t="s">
        <v>130</v>
      </c>
      <c r="S155" s="18" t="s">
        <v>707</v>
      </c>
      <c r="U155" s="18" t="s">
        <v>710</v>
      </c>
    </row>
    <row r="156" spans="1:21" x14ac:dyDescent="0.35">
      <c r="A156" s="18"/>
      <c r="B156" s="18"/>
      <c r="C156" s="18"/>
      <c r="D156" s="18"/>
      <c r="E156" s="18"/>
      <c r="F156" s="18"/>
      <c r="G156" s="18" t="s">
        <v>645</v>
      </c>
      <c r="H156" s="18" t="s">
        <v>645</v>
      </c>
      <c r="I156" s="18" t="s">
        <v>646</v>
      </c>
      <c r="J156" s="18" t="s">
        <v>1375</v>
      </c>
      <c r="K156" s="18" t="s">
        <v>374</v>
      </c>
      <c r="L156" s="18" t="s">
        <v>1115</v>
      </c>
      <c r="M156" s="18" t="s">
        <v>1116</v>
      </c>
      <c r="N156" s="18" t="s">
        <v>375</v>
      </c>
      <c r="O156" s="18"/>
      <c r="P156" s="18" t="s">
        <v>647</v>
      </c>
      <c r="Q156" s="18"/>
      <c r="R156" s="18"/>
      <c r="S156" t="s">
        <v>985</v>
      </c>
      <c r="T156" t="s">
        <v>986</v>
      </c>
      <c r="U156" t="s">
        <v>710</v>
      </c>
    </row>
    <row r="157" spans="1:21" x14ac:dyDescent="0.35">
      <c r="A157" s="18"/>
      <c r="B157" s="18"/>
      <c r="C157" s="18"/>
      <c r="D157" s="18"/>
      <c r="E157" s="18"/>
      <c r="F157" s="18"/>
      <c r="G157" s="18" t="s">
        <v>866</v>
      </c>
      <c r="H157" s="18" t="s">
        <v>471</v>
      </c>
      <c r="I157" s="18" t="s">
        <v>472</v>
      </c>
      <c r="J157" s="18" t="s">
        <v>1294</v>
      </c>
      <c r="K157" s="18" t="s">
        <v>374</v>
      </c>
      <c r="L157" s="18" t="s">
        <v>1115</v>
      </c>
      <c r="M157" s="18" t="s">
        <v>1116</v>
      </c>
      <c r="N157" s="18" t="s">
        <v>375</v>
      </c>
      <c r="O157" s="18"/>
      <c r="P157" s="18" t="s">
        <v>468</v>
      </c>
      <c r="Q157" s="18"/>
      <c r="R157" s="18"/>
      <c r="S157" s="22" t="s">
        <v>988</v>
      </c>
      <c r="T157" s="22" t="s">
        <v>989</v>
      </c>
      <c r="U157" t="s">
        <v>746</v>
      </c>
    </row>
    <row r="158" spans="1:21" x14ac:dyDescent="0.35">
      <c r="A158" t="s">
        <v>710</v>
      </c>
      <c r="B158" t="s">
        <v>720</v>
      </c>
      <c r="C158">
        <v>2018</v>
      </c>
      <c r="D158" t="s">
        <v>772</v>
      </c>
      <c r="E158" t="s">
        <v>773</v>
      </c>
      <c r="G158" t="s">
        <v>859</v>
      </c>
      <c r="H158" t="s">
        <v>202</v>
      </c>
      <c r="I158" t="s">
        <v>203</v>
      </c>
      <c r="J158" t="s">
        <v>1277</v>
      </c>
      <c r="K158" t="s">
        <v>10</v>
      </c>
      <c r="N158" t="s">
        <v>11</v>
      </c>
      <c r="O158" t="s">
        <v>23</v>
      </c>
      <c r="P158" t="s">
        <v>204</v>
      </c>
      <c r="R158" t="s">
        <v>987</v>
      </c>
      <c r="S158" s="22" t="s">
        <v>991</v>
      </c>
      <c r="T158" s="22" t="s">
        <v>992</v>
      </c>
      <c r="U158" t="s">
        <v>746</v>
      </c>
    </row>
    <row r="159" spans="1:21" s="18" customFormat="1" x14ac:dyDescent="0.35">
      <c r="G159" s="18" t="s">
        <v>910</v>
      </c>
      <c r="H159" s="18" t="s">
        <v>493</v>
      </c>
      <c r="I159" s="18" t="s">
        <v>494</v>
      </c>
      <c r="J159" s="18" t="s">
        <v>1430</v>
      </c>
      <c r="K159" s="18" t="s">
        <v>374</v>
      </c>
      <c r="L159" s="18" t="s">
        <v>1115</v>
      </c>
      <c r="M159" s="18" t="s">
        <v>1116</v>
      </c>
      <c r="N159" s="18" t="s">
        <v>375</v>
      </c>
      <c r="P159" s="18" t="s">
        <v>491</v>
      </c>
      <c r="U159" s="18" t="s">
        <v>746</v>
      </c>
    </row>
    <row r="160" spans="1:21" x14ac:dyDescent="0.35">
      <c r="A160" s="18"/>
      <c r="B160" s="18"/>
      <c r="C160" s="18"/>
      <c r="D160" s="18"/>
      <c r="E160" s="18"/>
      <c r="F160" s="18"/>
      <c r="G160" s="18" t="s">
        <v>871</v>
      </c>
      <c r="H160" s="18" t="s">
        <v>473</v>
      </c>
      <c r="I160" s="18" t="s">
        <v>474</v>
      </c>
      <c r="J160" s="18" t="s">
        <v>1302</v>
      </c>
      <c r="K160" s="18" t="s">
        <v>374</v>
      </c>
      <c r="L160" s="18" t="s">
        <v>1115</v>
      </c>
      <c r="M160" s="18" t="s">
        <v>1116</v>
      </c>
      <c r="N160" s="18" t="s">
        <v>375</v>
      </c>
      <c r="O160" s="18"/>
      <c r="P160" s="18" t="s">
        <v>468</v>
      </c>
      <c r="Q160" s="18"/>
      <c r="R160" s="18"/>
      <c r="S160" t="s">
        <v>994</v>
      </c>
      <c r="T160" t="s">
        <v>707</v>
      </c>
      <c r="U160" t="s">
        <v>746</v>
      </c>
    </row>
    <row r="161" spans="1:21" x14ac:dyDescent="0.35">
      <c r="A161" s="18"/>
      <c r="B161" s="18"/>
      <c r="C161" s="18"/>
      <c r="D161" s="18"/>
      <c r="E161" s="18"/>
      <c r="F161" s="18"/>
      <c r="G161" s="18" t="s">
        <v>848</v>
      </c>
      <c r="H161" s="18" t="s">
        <v>479</v>
      </c>
      <c r="I161" s="18" t="s">
        <v>480</v>
      </c>
      <c r="J161" s="18" t="s">
        <v>1230</v>
      </c>
      <c r="K161" s="18" t="s">
        <v>374</v>
      </c>
      <c r="L161" s="18" t="s">
        <v>1115</v>
      </c>
      <c r="M161" s="18" t="s">
        <v>1116</v>
      </c>
      <c r="N161" s="18" t="s">
        <v>375</v>
      </c>
      <c r="O161" s="18"/>
      <c r="P161" s="18" t="s">
        <v>468</v>
      </c>
      <c r="Q161" s="18"/>
      <c r="R161" s="18"/>
      <c r="T161" t="s">
        <v>707</v>
      </c>
      <c r="U161" t="s">
        <v>746</v>
      </c>
    </row>
    <row r="162" spans="1:21" x14ac:dyDescent="0.35">
      <c r="A162" s="18"/>
      <c r="B162" s="18"/>
      <c r="C162" s="18"/>
      <c r="D162" s="18"/>
      <c r="E162" s="18"/>
      <c r="F162" s="18"/>
      <c r="G162" s="18" t="s">
        <v>874</v>
      </c>
      <c r="H162" s="18" t="s">
        <v>475</v>
      </c>
      <c r="I162" s="18" t="s">
        <v>476</v>
      </c>
      <c r="J162" s="18" t="s">
        <v>1306</v>
      </c>
      <c r="K162" s="18" t="s">
        <v>374</v>
      </c>
      <c r="L162" s="18" t="s">
        <v>1115</v>
      </c>
      <c r="M162" s="18" t="s">
        <v>1116</v>
      </c>
      <c r="N162" s="18" t="s">
        <v>375</v>
      </c>
      <c r="O162" s="18"/>
      <c r="P162" s="18" t="s">
        <v>468</v>
      </c>
      <c r="Q162" s="18"/>
      <c r="R162" s="18"/>
      <c r="S162" s="2" t="s">
        <v>1064</v>
      </c>
      <c r="T162" t="s">
        <v>996</v>
      </c>
      <c r="U162" t="s">
        <v>746</v>
      </c>
    </row>
    <row r="163" spans="1:21" x14ac:dyDescent="0.35">
      <c r="A163" t="s">
        <v>710</v>
      </c>
      <c r="B163">
        <v>2024</v>
      </c>
      <c r="C163" t="s">
        <v>707</v>
      </c>
      <c r="D163" t="s">
        <v>807</v>
      </c>
      <c r="E163" t="s">
        <v>805</v>
      </c>
      <c r="F163" t="s">
        <v>1066</v>
      </c>
      <c r="G163" t="s">
        <v>718</v>
      </c>
      <c r="H163" t="s">
        <v>151</v>
      </c>
      <c r="I163" t="s">
        <v>170</v>
      </c>
      <c r="J163" t="s">
        <v>1354</v>
      </c>
      <c r="K163" t="s">
        <v>10</v>
      </c>
      <c r="N163" t="s">
        <v>11</v>
      </c>
      <c r="O163" t="s">
        <v>34</v>
      </c>
      <c r="P163" t="s">
        <v>171</v>
      </c>
      <c r="Q163" t="s">
        <v>1070</v>
      </c>
      <c r="R163" t="s">
        <v>1055</v>
      </c>
      <c r="T163" t="s">
        <v>997</v>
      </c>
      <c r="U163" t="s">
        <v>746</v>
      </c>
    </row>
    <row r="164" spans="1:21" s="18" customFormat="1" x14ac:dyDescent="0.35">
      <c r="A164" t="s">
        <v>710</v>
      </c>
      <c r="B164">
        <v>2020</v>
      </c>
      <c r="C164" t="s">
        <v>707</v>
      </c>
      <c r="D164" t="s">
        <v>772</v>
      </c>
      <c r="E164" t="s">
        <v>773</v>
      </c>
      <c r="F164"/>
      <c r="G164" t="s">
        <v>903</v>
      </c>
      <c r="H164" t="s">
        <v>306</v>
      </c>
      <c r="I164" t="s">
        <v>316</v>
      </c>
      <c r="J164" t="s">
        <v>1381</v>
      </c>
      <c r="K164" t="s">
        <v>10</v>
      </c>
      <c r="L164"/>
      <c r="M164"/>
      <c r="N164" t="s">
        <v>233</v>
      </c>
      <c r="O164" t="s">
        <v>245</v>
      </c>
      <c r="P164" t="s">
        <v>244</v>
      </c>
      <c r="Q164" t="s">
        <v>1099</v>
      </c>
      <c r="R164" t="s">
        <v>1097</v>
      </c>
      <c r="U164" s="18" t="s">
        <v>746</v>
      </c>
    </row>
    <row r="165" spans="1:21" x14ac:dyDescent="0.35">
      <c r="A165" t="s">
        <v>710</v>
      </c>
      <c r="B165">
        <v>2023</v>
      </c>
      <c r="C165">
        <v>2021</v>
      </c>
      <c r="D165" t="s">
        <v>772</v>
      </c>
      <c r="E165" t="s">
        <v>832</v>
      </c>
      <c r="F165" t="s">
        <v>979</v>
      </c>
      <c r="G165" t="s">
        <v>717</v>
      </c>
      <c r="H165" t="s">
        <v>79</v>
      </c>
      <c r="I165" t="s">
        <v>89</v>
      </c>
      <c r="J165" t="s">
        <v>1269</v>
      </c>
      <c r="K165" t="s">
        <v>10</v>
      </c>
      <c r="N165" t="s">
        <v>11</v>
      </c>
      <c r="O165" t="s">
        <v>21</v>
      </c>
      <c r="P165" t="s">
        <v>90</v>
      </c>
      <c r="Q165" t="s">
        <v>982</v>
      </c>
      <c r="R165" t="s">
        <v>980</v>
      </c>
      <c r="S165" s="22" t="s">
        <v>726</v>
      </c>
      <c r="T165" s="22" t="s">
        <v>1000</v>
      </c>
      <c r="U165" t="s">
        <v>746</v>
      </c>
    </row>
    <row r="166" spans="1:21" s="18" customFormat="1" x14ac:dyDescent="0.35">
      <c r="A166" t="s">
        <v>710</v>
      </c>
      <c r="B166">
        <v>2023</v>
      </c>
      <c r="C166">
        <v>2025</v>
      </c>
      <c r="D166" t="s">
        <v>772</v>
      </c>
      <c r="E166" t="s">
        <v>773</v>
      </c>
      <c r="F166" t="s">
        <v>935</v>
      </c>
      <c r="G166" t="s">
        <v>30</v>
      </c>
      <c r="H166" t="s">
        <v>30</v>
      </c>
      <c r="I166" t="s">
        <v>31</v>
      </c>
      <c r="J166" t="s">
        <v>1210</v>
      </c>
      <c r="K166" t="s">
        <v>10</v>
      </c>
      <c r="L166"/>
      <c r="M166"/>
      <c r="N166" t="s">
        <v>11</v>
      </c>
      <c r="O166" t="s">
        <v>13</v>
      </c>
      <c r="P166" t="s">
        <v>16</v>
      </c>
      <c r="Q166" t="s">
        <v>932</v>
      </c>
      <c r="R166" t="s">
        <v>758</v>
      </c>
      <c r="U166" s="18" t="s">
        <v>746</v>
      </c>
    </row>
    <row r="167" spans="1:21" x14ac:dyDescent="0.35">
      <c r="A167" t="s">
        <v>710</v>
      </c>
      <c r="B167">
        <v>2023</v>
      </c>
      <c r="C167">
        <v>2023</v>
      </c>
      <c r="D167" t="s">
        <v>772</v>
      </c>
      <c r="E167" t="s">
        <v>805</v>
      </c>
      <c r="F167" t="s">
        <v>1514</v>
      </c>
      <c r="G167" t="s">
        <v>14</v>
      </c>
      <c r="H167" t="s">
        <v>14</v>
      </c>
      <c r="I167" t="s">
        <v>91</v>
      </c>
      <c r="J167" t="s">
        <v>1131</v>
      </c>
      <c r="K167" t="s">
        <v>10</v>
      </c>
      <c r="N167" t="s">
        <v>11</v>
      </c>
      <c r="O167" t="s">
        <v>23</v>
      </c>
      <c r="P167" t="s">
        <v>92</v>
      </c>
      <c r="R167" s="2" t="s">
        <v>768</v>
      </c>
      <c r="T167" t="s">
        <v>707</v>
      </c>
      <c r="U167" t="s">
        <v>746</v>
      </c>
    </row>
    <row r="168" spans="1:21" s="18" customFormat="1" x14ac:dyDescent="0.35">
      <c r="A168" t="s">
        <v>710</v>
      </c>
      <c r="B168">
        <v>2024</v>
      </c>
      <c r="C168" t="s">
        <v>707</v>
      </c>
      <c r="D168" t="s">
        <v>807</v>
      </c>
      <c r="E168" t="s">
        <v>805</v>
      </c>
      <c r="F168" t="s">
        <v>1066</v>
      </c>
      <c r="G168" t="s">
        <v>718</v>
      </c>
      <c r="H168" t="s">
        <v>246</v>
      </c>
      <c r="I168" t="s">
        <v>317</v>
      </c>
      <c r="J168" t="s">
        <v>1350</v>
      </c>
      <c r="K168" t="s">
        <v>10</v>
      </c>
      <c r="L168"/>
      <c r="M168"/>
      <c r="N168" t="s">
        <v>233</v>
      </c>
      <c r="O168" t="s">
        <v>249</v>
      </c>
      <c r="P168" t="s">
        <v>248</v>
      </c>
      <c r="Q168" t="s">
        <v>1056</v>
      </c>
      <c r="R168" t="s">
        <v>1055</v>
      </c>
      <c r="U168" s="18" t="s">
        <v>746</v>
      </c>
    </row>
    <row r="169" spans="1:21" s="18" customFormat="1" x14ac:dyDescent="0.35">
      <c r="A169" t="s">
        <v>710</v>
      </c>
      <c r="B169" t="s">
        <v>720</v>
      </c>
      <c r="C169" t="s">
        <v>707</v>
      </c>
      <c r="D169" t="s">
        <v>720</v>
      </c>
      <c r="E169"/>
      <c r="F169" t="s">
        <v>979</v>
      </c>
      <c r="G169" t="s">
        <v>101</v>
      </c>
      <c r="H169" t="s">
        <v>101</v>
      </c>
      <c r="I169" t="s">
        <v>108</v>
      </c>
      <c r="J169" t="s">
        <v>1403</v>
      </c>
      <c r="K169" t="s">
        <v>10</v>
      </c>
      <c r="L169"/>
      <c r="M169"/>
      <c r="N169" t="s">
        <v>11</v>
      </c>
      <c r="O169" t="s">
        <v>19</v>
      </c>
      <c r="P169" t="s">
        <v>107</v>
      </c>
      <c r="Q169"/>
      <c r="R169" t="s">
        <v>1466</v>
      </c>
      <c r="U169" s="18" t="s">
        <v>746</v>
      </c>
    </row>
    <row r="170" spans="1:21" s="18" customFormat="1" x14ac:dyDescent="0.35">
      <c r="G170" s="18" t="s">
        <v>377</v>
      </c>
      <c r="H170" s="18" t="s">
        <v>377</v>
      </c>
      <c r="I170" s="18" t="s">
        <v>378</v>
      </c>
      <c r="J170" s="18" t="s">
        <v>1292</v>
      </c>
      <c r="K170" s="18" t="s">
        <v>374</v>
      </c>
      <c r="L170" s="18" t="s">
        <v>1115</v>
      </c>
      <c r="M170" s="18" t="s">
        <v>1117</v>
      </c>
      <c r="N170" s="18" t="s">
        <v>375</v>
      </c>
      <c r="P170" s="18" t="s">
        <v>379</v>
      </c>
      <c r="U170" s="18" t="s">
        <v>746</v>
      </c>
    </row>
    <row r="171" spans="1:21" s="18" customFormat="1" x14ac:dyDescent="0.35">
      <c r="A171" s="18" t="s">
        <v>710</v>
      </c>
      <c r="B171" s="18">
        <v>2024</v>
      </c>
      <c r="E171" s="18" t="s">
        <v>805</v>
      </c>
      <c r="F171" s="18" t="s">
        <v>1066</v>
      </c>
      <c r="G171" s="18" t="s">
        <v>718</v>
      </c>
      <c r="H171" s="18" t="s">
        <v>151</v>
      </c>
      <c r="I171" s="18" t="s">
        <v>495</v>
      </c>
      <c r="J171" s="18" t="s">
        <v>1356</v>
      </c>
      <c r="K171" s="18" t="s">
        <v>374</v>
      </c>
      <c r="L171" s="18" t="s">
        <v>1115</v>
      </c>
      <c r="M171" s="18" t="s">
        <v>1117</v>
      </c>
      <c r="N171" s="18" t="s">
        <v>375</v>
      </c>
      <c r="P171" s="18" t="s">
        <v>174</v>
      </c>
      <c r="Q171" s="18" t="s">
        <v>1057</v>
      </c>
      <c r="R171" s="18" t="s">
        <v>1055</v>
      </c>
      <c r="U171" s="18" t="s">
        <v>746</v>
      </c>
    </row>
    <row r="172" spans="1:21" s="18" customFormat="1" x14ac:dyDescent="0.35">
      <c r="A172" t="s">
        <v>710</v>
      </c>
      <c r="B172">
        <v>2023</v>
      </c>
      <c r="C172" t="s">
        <v>720</v>
      </c>
      <c r="D172" t="s">
        <v>807</v>
      </c>
      <c r="E172" t="s">
        <v>805</v>
      </c>
      <c r="F172" t="s">
        <v>1484</v>
      </c>
      <c r="G172" t="s">
        <v>719</v>
      </c>
      <c r="H172" t="s">
        <v>181</v>
      </c>
      <c r="I172" t="s">
        <v>318</v>
      </c>
      <c r="J172" t="s">
        <v>1428</v>
      </c>
      <c r="K172" t="s">
        <v>10</v>
      </c>
      <c r="L172"/>
      <c r="M172"/>
      <c r="N172" t="s">
        <v>233</v>
      </c>
      <c r="O172" t="s">
        <v>23</v>
      </c>
      <c r="P172" t="s">
        <v>183</v>
      </c>
      <c r="Q172"/>
      <c r="R172" t="s">
        <v>1472</v>
      </c>
      <c r="U172" s="18" t="s">
        <v>746</v>
      </c>
    </row>
    <row r="173" spans="1:21" s="18" customFormat="1" x14ac:dyDescent="0.35">
      <c r="C173" s="18">
        <v>2023</v>
      </c>
      <c r="G173" s="18" t="s">
        <v>736</v>
      </c>
      <c r="H173" s="18" t="s">
        <v>569</v>
      </c>
      <c r="I173" s="18" t="s">
        <v>570</v>
      </c>
      <c r="J173" s="18" t="s">
        <v>1199</v>
      </c>
      <c r="K173" s="18" t="s">
        <v>374</v>
      </c>
      <c r="L173" s="18" t="s">
        <v>1115</v>
      </c>
      <c r="M173" s="18" t="s">
        <v>1116</v>
      </c>
      <c r="N173" s="18" t="s">
        <v>375</v>
      </c>
      <c r="P173" s="18" t="s">
        <v>183</v>
      </c>
      <c r="Q173" s="18" t="s">
        <v>806</v>
      </c>
      <c r="R173" s="18" t="s">
        <v>1523</v>
      </c>
      <c r="U173" s="18" t="s">
        <v>746</v>
      </c>
    </row>
    <row r="174" spans="1:21" s="18" customFormat="1" x14ac:dyDescent="0.35">
      <c r="A174" t="s">
        <v>710</v>
      </c>
      <c r="B174">
        <v>2023</v>
      </c>
      <c r="C174" t="s">
        <v>707</v>
      </c>
      <c r="D174" t="s">
        <v>772</v>
      </c>
      <c r="E174" t="s">
        <v>805</v>
      </c>
      <c r="F174" t="s">
        <v>1514</v>
      </c>
      <c r="G174" t="s">
        <v>14</v>
      </c>
      <c r="H174" t="s">
        <v>14</v>
      </c>
      <c r="I174" t="s">
        <v>67</v>
      </c>
      <c r="J174" t="s">
        <v>1130</v>
      </c>
      <c r="K174" t="s">
        <v>10</v>
      </c>
      <c r="L174"/>
      <c r="M174"/>
      <c r="N174" t="s">
        <v>11</v>
      </c>
      <c r="O174" t="s">
        <v>21</v>
      </c>
      <c r="P174" t="s">
        <v>64</v>
      </c>
      <c r="Q174"/>
      <c r="R174" s="2" t="s">
        <v>768</v>
      </c>
      <c r="U174" s="18" t="s">
        <v>746</v>
      </c>
    </row>
    <row r="175" spans="1:21" s="18" customFormat="1" x14ac:dyDescent="0.35">
      <c r="G175" s="18" t="s">
        <v>843</v>
      </c>
      <c r="H175" s="18" t="s">
        <v>654</v>
      </c>
      <c r="I175" s="18" t="s">
        <v>694</v>
      </c>
      <c r="J175" s="18" t="s">
        <v>1225</v>
      </c>
      <c r="K175" s="18" t="s">
        <v>374</v>
      </c>
      <c r="L175" s="18" t="s">
        <v>1115</v>
      </c>
      <c r="M175" s="18" t="s">
        <v>1116</v>
      </c>
      <c r="N175" s="18" t="s">
        <v>375</v>
      </c>
      <c r="P175" s="18" t="s">
        <v>693</v>
      </c>
      <c r="U175" s="18" t="s">
        <v>746</v>
      </c>
    </row>
    <row r="176" spans="1:21" s="18" customFormat="1" x14ac:dyDescent="0.35">
      <c r="G176" s="18" t="s">
        <v>843</v>
      </c>
      <c r="H176" s="18" t="s">
        <v>654</v>
      </c>
      <c r="I176" s="18" t="s">
        <v>655</v>
      </c>
      <c r="J176" s="18" t="s">
        <v>1224</v>
      </c>
      <c r="K176" s="18" t="s">
        <v>374</v>
      </c>
      <c r="L176" s="18" t="s">
        <v>1115</v>
      </c>
      <c r="M176" s="18" t="s">
        <v>1116</v>
      </c>
      <c r="N176" s="18" t="s">
        <v>375</v>
      </c>
      <c r="P176" s="18" t="s">
        <v>653</v>
      </c>
      <c r="U176" s="18" t="s">
        <v>746</v>
      </c>
    </row>
    <row r="177" spans="1:21" s="18" customFormat="1" x14ac:dyDescent="0.35">
      <c r="A177" t="s">
        <v>710</v>
      </c>
      <c r="B177">
        <v>2022</v>
      </c>
      <c r="C177" t="s">
        <v>707</v>
      </c>
      <c r="D177" t="s">
        <v>772</v>
      </c>
      <c r="E177" t="s">
        <v>773</v>
      </c>
      <c r="F177"/>
      <c r="G177" t="s">
        <v>784</v>
      </c>
      <c r="H177" t="s">
        <v>68</v>
      </c>
      <c r="I177" t="s">
        <v>69</v>
      </c>
      <c r="J177" t="s">
        <v>1159</v>
      </c>
      <c r="K177" t="s">
        <v>10</v>
      </c>
      <c r="L177"/>
      <c r="M177"/>
      <c r="N177" t="s">
        <v>11</v>
      </c>
      <c r="O177" t="s">
        <v>19</v>
      </c>
      <c r="P177" t="s">
        <v>64</v>
      </c>
      <c r="Q177" t="s">
        <v>818</v>
      </c>
      <c r="R177" t="s">
        <v>788</v>
      </c>
      <c r="U177" s="18" t="s">
        <v>746</v>
      </c>
    </row>
    <row r="178" spans="1:21" x14ac:dyDescent="0.35">
      <c r="A178" s="18"/>
      <c r="B178" s="18"/>
      <c r="C178" s="18"/>
      <c r="D178" s="18"/>
      <c r="E178" s="18"/>
      <c r="F178" s="18"/>
      <c r="G178" s="18" t="s">
        <v>856</v>
      </c>
      <c r="H178" s="18" t="s">
        <v>581</v>
      </c>
      <c r="I178" s="18" t="s">
        <v>582</v>
      </c>
      <c r="J178" s="18" t="s">
        <v>1260</v>
      </c>
      <c r="K178" s="18" t="s">
        <v>374</v>
      </c>
      <c r="L178" s="18" t="s">
        <v>1115</v>
      </c>
      <c r="M178" s="18" t="s">
        <v>1116</v>
      </c>
      <c r="N178" s="18" t="s">
        <v>375</v>
      </c>
      <c r="O178" s="18"/>
      <c r="P178" s="18" t="s">
        <v>583</v>
      </c>
      <c r="Q178" s="18"/>
      <c r="R178" s="18"/>
      <c r="S178" t="s">
        <v>1005</v>
      </c>
      <c r="T178" t="s">
        <v>1006</v>
      </c>
      <c r="U178" t="s">
        <v>746</v>
      </c>
    </row>
    <row r="179" spans="1:21" x14ac:dyDescent="0.35">
      <c r="A179" t="s">
        <v>710</v>
      </c>
      <c r="B179">
        <v>2024</v>
      </c>
      <c r="C179" t="s">
        <v>707</v>
      </c>
      <c r="D179" t="s">
        <v>807</v>
      </c>
      <c r="E179" t="s">
        <v>773</v>
      </c>
      <c r="G179" t="s">
        <v>714</v>
      </c>
      <c r="H179" t="s">
        <v>281</v>
      </c>
      <c r="I179" t="s">
        <v>319</v>
      </c>
      <c r="J179" t="s">
        <v>1243</v>
      </c>
      <c r="K179" t="s">
        <v>10</v>
      </c>
      <c r="N179" t="s">
        <v>233</v>
      </c>
      <c r="O179" t="s">
        <v>255</v>
      </c>
      <c r="P179" t="s">
        <v>244</v>
      </c>
      <c r="R179" t="s">
        <v>951</v>
      </c>
      <c r="S179" t="s">
        <v>1005</v>
      </c>
      <c r="T179" t="s">
        <v>1006</v>
      </c>
      <c r="U179" t="s">
        <v>746</v>
      </c>
    </row>
    <row r="180" spans="1:21" s="18" customFormat="1" x14ac:dyDescent="0.35">
      <c r="G180" s="18" t="s">
        <v>554</v>
      </c>
      <c r="H180" s="18" t="s">
        <v>554</v>
      </c>
      <c r="I180" s="18" t="s">
        <v>29</v>
      </c>
      <c r="J180" s="18" t="s">
        <v>1237</v>
      </c>
      <c r="K180" s="18" t="s">
        <v>374</v>
      </c>
      <c r="L180" s="18" t="s">
        <v>1115</v>
      </c>
      <c r="M180" s="18" t="s">
        <v>1116</v>
      </c>
      <c r="N180" s="18" t="s">
        <v>375</v>
      </c>
      <c r="P180" s="18" t="s">
        <v>599</v>
      </c>
      <c r="U180" s="18" t="s">
        <v>746</v>
      </c>
    </row>
    <row r="181" spans="1:21" x14ac:dyDescent="0.35">
      <c r="A181" s="18"/>
      <c r="B181" s="18"/>
      <c r="C181" s="18"/>
      <c r="D181" s="18"/>
      <c r="E181" s="18"/>
      <c r="F181" s="18"/>
      <c r="G181" s="18" t="s">
        <v>865</v>
      </c>
      <c r="H181" s="18" t="s">
        <v>530</v>
      </c>
      <c r="I181" s="18" t="s">
        <v>531</v>
      </c>
      <c r="J181" s="18" t="s">
        <v>1291</v>
      </c>
      <c r="K181" s="18" t="s">
        <v>374</v>
      </c>
      <c r="L181" s="18" t="s">
        <v>1115</v>
      </c>
      <c r="M181" s="18" t="s">
        <v>1117</v>
      </c>
      <c r="N181" s="18" t="s">
        <v>375</v>
      </c>
      <c r="O181" s="18"/>
      <c r="P181" s="18" t="s">
        <v>532</v>
      </c>
      <c r="Q181" s="18"/>
      <c r="R181" s="18"/>
      <c r="S181" t="s">
        <v>1008</v>
      </c>
      <c r="T181" t="s">
        <v>1009</v>
      </c>
      <c r="U181" t="s">
        <v>746</v>
      </c>
    </row>
    <row r="182" spans="1:21" s="18" customFormat="1" x14ac:dyDescent="0.35">
      <c r="G182" s="18" t="s">
        <v>849</v>
      </c>
      <c r="H182" s="18" t="s">
        <v>603</v>
      </c>
      <c r="I182" s="18" t="s">
        <v>604</v>
      </c>
      <c r="J182" s="18" t="s">
        <v>1234</v>
      </c>
      <c r="K182" s="18" t="s">
        <v>374</v>
      </c>
      <c r="L182" s="18" t="s">
        <v>1115</v>
      </c>
      <c r="M182" s="18" t="s">
        <v>1116</v>
      </c>
      <c r="N182" s="18" t="s">
        <v>375</v>
      </c>
      <c r="P182" s="18" t="s">
        <v>605</v>
      </c>
      <c r="U182" s="18" t="s">
        <v>746</v>
      </c>
    </row>
    <row r="183" spans="1:21" x14ac:dyDescent="0.35">
      <c r="A183" t="s">
        <v>710</v>
      </c>
      <c r="B183">
        <v>2023</v>
      </c>
      <c r="C183" t="s">
        <v>707</v>
      </c>
      <c r="D183" t="s">
        <v>772</v>
      </c>
      <c r="E183" t="s">
        <v>773</v>
      </c>
      <c r="G183" t="s">
        <v>159</v>
      </c>
      <c r="H183" t="s">
        <v>159</v>
      </c>
      <c r="I183" t="s">
        <v>160</v>
      </c>
      <c r="J183" t="s">
        <v>1165</v>
      </c>
      <c r="K183" t="s">
        <v>10</v>
      </c>
      <c r="N183" t="s">
        <v>11</v>
      </c>
      <c r="O183" t="s">
        <v>34</v>
      </c>
      <c r="P183" t="s">
        <v>157</v>
      </c>
      <c r="Q183" t="s">
        <v>822</v>
      </c>
      <c r="R183" s="3" t="s">
        <v>1526</v>
      </c>
      <c r="T183" t="s">
        <v>707</v>
      </c>
      <c r="U183" t="s">
        <v>746</v>
      </c>
    </row>
    <row r="184" spans="1:21" x14ac:dyDescent="0.35">
      <c r="A184" s="18"/>
      <c r="B184" s="18"/>
      <c r="C184" s="18"/>
      <c r="D184" s="18"/>
      <c r="E184" s="18"/>
      <c r="F184" s="18"/>
      <c r="G184" s="18" t="s">
        <v>885</v>
      </c>
      <c r="H184" s="18" t="s">
        <v>477</v>
      </c>
      <c r="I184" s="18" t="s">
        <v>478</v>
      </c>
      <c r="J184" s="18" t="s">
        <v>1334</v>
      </c>
      <c r="K184" s="18" t="s">
        <v>374</v>
      </c>
      <c r="L184" s="18" t="s">
        <v>1115</v>
      </c>
      <c r="M184" s="18" t="s">
        <v>1116</v>
      </c>
      <c r="N184" s="18" t="s">
        <v>375</v>
      </c>
      <c r="O184" s="18"/>
      <c r="P184" s="18" t="s">
        <v>468</v>
      </c>
      <c r="Q184" s="18"/>
      <c r="R184" s="18"/>
      <c r="S184" t="s">
        <v>1014</v>
      </c>
      <c r="T184" t="s">
        <v>1015</v>
      </c>
      <c r="U184" t="s">
        <v>746</v>
      </c>
    </row>
    <row r="185" spans="1:21" x14ac:dyDescent="0.35">
      <c r="A185" t="s">
        <v>710</v>
      </c>
      <c r="B185">
        <v>2023</v>
      </c>
      <c r="C185">
        <v>2019</v>
      </c>
      <c r="D185" t="s">
        <v>831</v>
      </c>
      <c r="E185" t="s">
        <v>832</v>
      </c>
      <c r="G185" t="s">
        <v>208</v>
      </c>
      <c r="H185" t="s">
        <v>208</v>
      </c>
      <c r="I185" t="s">
        <v>212</v>
      </c>
      <c r="J185" t="s">
        <v>1177</v>
      </c>
      <c r="K185" t="s">
        <v>10</v>
      </c>
      <c r="N185" t="s">
        <v>11</v>
      </c>
      <c r="O185" t="s">
        <v>44</v>
      </c>
      <c r="P185" t="s">
        <v>210</v>
      </c>
      <c r="Q185" t="s">
        <v>1529</v>
      </c>
      <c r="R185" t="s">
        <v>770</v>
      </c>
      <c r="T185" t="s">
        <v>707</v>
      </c>
      <c r="U185" t="s">
        <v>746</v>
      </c>
    </row>
    <row r="186" spans="1:21" s="18" customFormat="1" x14ac:dyDescent="0.35">
      <c r="A186" t="s">
        <v>710</v>
      </c>
      <c r="B186">
        <v>2023</v>
      </c>
      <c r="C186" t="s">
        <v>707</v>
      </c>
      <c r="D186" t="s">
        <v>772</v>
      </c>
      <c r="E186" t="s">
        <v>773</v>
      </c>
      <c r="F186"/>
      <c r="G186" t="s">
        <v>887</v>
      </c>
      <c r="H186" t="s">
        <v>213</v>
      </c>
      <c r="I186" t="s">
        <v>214</v>
      </c>
      <c r="J186" t="s">
        <v>1336</v>
      </c>
      <c r="K186" t="s">
        <v>10</v>
      </c>
      <c r="L186"/>
      <c r="M186"/>
      <c r="N186" t="s">
        <v>11</v>
      </c>
      <c r="O186" t="s">
        <v>21</v>
      </c>
      <c r="P186" t="s">
        <v>210</v>
      </c>
      <c r="Q186" t="s">
        <v>1041</v>
      </c>
      <c r="R186" t="s">
        <v>1040</v>
      </c>
      <c r="U186" s="18" t="s">
        <v>746</v>
      </c>
    </row>
    <row r="187" spans="1:21" s="18" customFormat="1" x14ac:dyDescent="0.35">
      <c r="A187" t="s">
        <v>710</v>
      </c>
      <c r="B187">
        <v>2022</v>
      </c>
      <c r="C187">
        <v>2024</v>
      </c>
      <c r="D187" t="s">
        <v>772</v>
      </c>
      <c r="E187" t="s">
        <v>773</v>
      </c>
      <c r="F187"/>
      <c r="G187" t="s">
        <v>725</v>
      </c>
      <c r="H187" t="s">
        <v>138</v>
      </c>
      <c r="I187" t="s">
        <v>139</v>
      </c>
      <c r="J187" t="s">
        <v>1285</v>
      </c>
      <c r="K187" t="s">
        <v>10</v>
      </c>
      <c r="L187"/>
      <c r="M187"/>
      <c r="N187" t="s">
        <v>11</v>
      </c>
      <c r="O187" t="s">
        <v>44</v>
      </c>
      <c r="P187" t="s">
        <v>141</v>
      </c>
      <c r="Q187" t="s">
        <v>999</v>
      </c>
      <c r="R187" s="2" t="s">
        <v>724</v>
      </c>
      <c r="U187" s="18" t="s">
        <v>746</v>
      </c>
    </row>
    <row r="188" spans="1:21" x14ac:dyDescent="0.35">
      <c r="A188" s="18"/>
      <c r="B188" s="18"/>
      <c r="C188" s="18"/>
      <c r="D188" s="18"/>
      <c r="E188" s="18"/>
      <c r="F188" s="18"/>
      <c r="G188" s="18" t="s">
        <v>424</v>
      </c>
      <c r="H188" s="18" t="s">
        <v>424</v>
      </c>
      <c r="I188" s="18" t="s">
        <v>425</v>
      </c>
      <c r="J188" s="18" t="s">
        <v>1231</v>
      </c>
      <c r="K188" s="18" t="s">
        <v>374</v>
      </c>
      <c r="L188" s="18" t="s">
        <v>1115</v>
      </c>
      <c r="M188" s="18" t="s">
        <v>1116</v>
      </c>
      <c r="N188" s="18" t="s">
        <v>375</v>
      </c>
      <c r="O188" s="18"/>
      <c r="P188" s="18" t="s">
        <v>423</v>
      </c>
      <c r="Q188" s="18"/>
      <c r="R188" s="18"/>
      <c r="T188" t="s">
        <v>1020</v>
      </c>
      <c r="U188" t="s">
        <v>746</v>
      </c>
    </row>
    <row r="189" spans="1:21" s="18" customFormat="1" x14ac:dyDescent="0.35">
      <c r="A189" t="s">
        <v>710</v>
      </c>
      <c r="B189">
        <v>2023</v>
      </c>
      <c r="C189">
        <v>2018</v>
      </c>
      <c r="D189" t="s">
        <v>772</v>
      </c>
      <c r="E189" t="s">
        <v>1537</v>
      </c>
      <c r="F189" t="s">
        <v>1514</v>
      </c>
      <c r="G189" t="s">
        <v>14</v>
      </c>
      <c r="H189" t="s">
        <v>14</v>
      </c>
      <c r="I189" t="s">
        <v>20</v>
      </c>
      <c r="J189" t="s">
        <v>1126</v>
      </c>
      <c r="K189" t="s">
        <v>10</v>
      </c>
      <c r="L189"/>
      <c r="M189"/>
      <c r="N189" t="s">
        <v>11</v>
      </c>
      <c r="O189" t="s">
        <v>19</v>
      </c>
      <c r="P189" t="s">
        <v>16</v>
      </c>
      <c r="Q189" t="s">
        <v>1499</v>
      </c>
      <c r="R189" s="2" t="s">
        <v>768</v>
      </c>
      <c r="U189" s="18" t="s">
        <v>746</v>
      </c>
    </row>
    <row r="190" spans="1:21" s="18" customFormat="1" x14ac:dyDescent="0.35">
      <c r="A190" t="s">
        <v>710</v>
      </c>
      <c r="B190">
        <v>2023</v>
      </c>
      <c r="C190">
        <v>2015</v>
      </c>
      <c r="D190" t="s">
        <v>772</v>
      </c>
      <c r="E190" t="s">
        <v>805</v>
      </c>
      <c r="F190" t="s">
        <v>1514</v>
      </c>
      <c r="G190" t="s">
        <v>14</v>
      </c>
      <c r="H190" t="s">
        <v>14</v>
      </c>
      <c r="I190" t="s">
        <v>22</v>
      </c>
      <c r="J190" t="s">
        <v>1127</v>
      </c>
      <c r="K190" t="s">
        <v>10</v>
      </c>
      <c r="L190"/>
      <c r="M190"/>
      <c r="N190" t="s">
        <v>11</v>
      </c>
      <c r="O190" t="s">
        <v>13</v>
      </c>
      <c r="P190" t="s">
        <v>16</v>
      </c>
      <c r="Q190"/>
      <c r="R190" s="2" t="s">
        <v>768</v>
      </c>
      <c r="U190" s="18" t="s">
        <v>746</v>
      </c>
    </row>
    <row r="191" spans="1:21" s="18" customFormat="1" x14ac:dyDescent="0.35">
      <c r="G191" s="18" t="s">
        <v>661</v>
      </c>
      <c r="H191" s="18" t="s">
        <v>661</v>
      </c>
      <c r="I191" s="18" t="s">
        <v>662</v>
      </c>
      <c r="J191" s="18" t="s">
        <v>1338</v>
      </c>
      <c r="K191" s="18" t="s">
        <v>374</v>
      </c>
      <c r="L191" s="18" t="s">
        <v>1115</v>
      </c>
      <c r="M191" s="18" t="s">
        <v>1116</v>
      </c>
      <c r="N191" s="18" t="s">
        <v>375</v>
      </c>
      <c r="P191" s="18" t="s">
        <v>210</v>
      </c>
      <c r="U191" s="18" t="s">
        <v>746</v>
      </c>
    </row>
    <row r="192" spans="1:21" s="18" customFormat="1" x14ac:dyDescent="0.35">
      <c r="A192" t="s">
        <v>710</v>
      </c>
      <c r="B192">
        <v>2024</v>
      </c>
      <c r="C192" t="s">
        <v>707</v>
      </c>
      <c r="D192" t="s">
        <v>772</v>
      </c>
      <c r="E192" t="s">
        <v>773</v>
      </c>
      <c r="F192"/>
      <c r="G192" t="s">
        <v>1454</v>
      </c>
      <c r="H192" t="s">
        <v>225</v>
      </c>
      <c r="I192" t="s">
        <v>227</v>
      </c>
      <c r="J192" t="s">
        <v>1391</v>
      </c>
      <c r="K192" t="s">
        <v>10</v>
      </c>
      <c r="L192"/>
      <c r="M192"/>
      <c r="N192" t="s">
        <v>11</v>
      </c>
      <c r="O192" t="s">
        <v>34</v>
      </c>
      <c r="P192" t="s">
        <v>217</v>
      </c>
      <c r="Q192"/>
      <c r="R192" t="s">
        <v>766</v>
      </c>
      <c r="U192" s="18" t="s">
        <v>746</v>
      </c>
    </row>
    <row r="193" spans="1:21" s="18" customFormat="1" x14ac:dyDescent="0.35">
      <c r="G193" s="18" t="s">
        <v>914</v>
      </c>
      <c r="H193" s="18" t="s">
        <v>612</v>
      </c>
      <c r="I193" s="18" t="s">
        <v>613</v>
      </c>
      <c r="J193" s="18" t="s">
        <v>1442</v>
      </c>
      <c r="K193" s="18" t="s">
        <v>374</v>
      </c>
      <c r="L193" s="18" t="s">
        <v>1115</v>
      </c>
      <c r="M193" s="18" t="s">
        <v>1116</v>
      </c>
      <c r="N193" s="18" t="s">
        <v>375</v>
      </c>
      <c r="P193" s="18" t="s">
        <v>611</v>
      </c>
      <c r="U193" s="18" t="s">
        <v>746</v>
      </c>
    </row>
    <row r="194" spans="1:21" x14ac:dyDescent="0.35">
      <c r="A194" t="s">
        <v>710</v>
      </c>
      <c r="B194">
        <v>2024</v>
      </c>
      <c r="C194" t="s">
        <v>707</v>
      </c>
      <c r="D194" t="s">
        <v>772</v>
      </c>
      <c r="E194" t="s">
        <v>773</v>
      </c>
      <c r="G194" t="s">
        <v>1454</v>
      </c>
      <c r="H194" t="s">
        <v>222</v>
      </c>
      <c r="I194" t="s">
        <v>224</v>
      </c>
      <c r="J194" t="s">
        <v>1386</v>
      </c>
      <c r="K194" t="s">
        <v>10</v>
      </c>
      <c r="N194" t="s">
        <v>11</v>
      </c>
      <c r="O194" t="s">
        <v>34</v>
      </c>
      <c r="P194" t="s">
        <v>217</v>
      </c>
      <c r="Q194" t="s">
        <v>1457</v>
      </c>
      <c r="R194" t="s">
        <v>765</v>
      </c>
      <c r="S194" t="s">
        <v>1021</v>
      </c>
      <c r="T194" s="22" t="s">
        <v>1023</v>
      </c>
      <c r="U194" t="s">
        <v>710</v>
      </c>
    </row>
    <row r="195" spans="1:21" x14ac:dyDescent="0.35">
      <c r="A195" s="18"/>
      <c r="B195" s="18"/>
      <c r="C195" s="18"/>
      <c r="D195" s="18"/>
      <c r="E195" s="18"/>
      <c r="F195" s="18"/>
      <c r="G195" s="18"/>
      <c r="H195" s="18" t="s">
        <v>614</v>
      </c>
      <c r="I195" s="18" t="s">
        <v>615</v>
      </c>
      <c r="J195" s="18" t="s">
        <v>1162</v>
      </c>
      <c r="K195" s="18" t="s">
        <v>374</v>
      </c>
      <c r="L195" s="18" t="s">
        <v>1115</v>
      </c>
      <c r="M195" s="18" t="s">
        <v>1116</v>
      </c>
      <c r="N195" s="18" t="s">
        <v>375</v>
      </c>
      <c r="O195" s="18"/>
      <c r="P195" s="18" t="s">
        <v>611</v>
      </c>
      <c r="Q195" s="18"/>
      <c r="R195" s="18"/>
      <c r="S195" t="s">
        <v>1022</v>
      </c>
      <c r="T195" s="22" t="s">
        <v>1024</v>
      </c>
      <c r="U195" t="s">
        <v>710</v>
      </c>
    </row>
    <row r="196" spans="1:21" x14ac:dyDescent="0.35">
      <c r="A196" s="18"/>
      <c r="B196" s="18"/>
      <c r="C196" s="18"/>
      <c r="D196" s="18"/>
      <c r="E196" s="18"/>
      <c r="F196" s="18"/>
      <c r="G196" s="18" t="s">
        <v>847</v>
      </c>
      <c r="H196" s="18" t="s">
        <v>555</v>
      </c>
      <c r="I196" s="18" t="s">
        <v>556</v>
      </c>
      <c r="J196" s="18" t="s">
        <v>1229</v>
      </c>
      <c r="K196" s="18" t="s">
        <v>374</v>
      </c>
      <c r="L196" s="18" t="s">
        <v>1115</v>
      </c>
      <c r="M196" s="18" t="s">
        <v>1116</v>
      </c>
      <c r="N196" s="18" t="s">
        <v>375</v>
      </c>
      <c r="O196" s="18"/>
      <c r="P196" s="18" t="s">
        <v>557</v>
      </c>
      <c r="Q196" s="18"/>
      <c r="R196" s="18"/>
      <c r="S196" t="s">
        <v>1026</v>
      </c>
      <c r="T196" t="s">
        <v>1029</v>
      </c>
      <c r="U196" t="s">
        <v>710</v>
      </c>
    </row>
    <row r="197" spans="1:21" x14ac:dyDescent="0.35">
      <c r="A197" t="s">
        <v>710</v>
      </c>
      <c r="B197">
        <v>2024</v>
      </c>
      <c r="C197">
        <v>2024</v>
      </c>
      <c r="D197" t="s">
        <v>772</v>
      </c>
      <c r="E197" t="s">
        <v>773</v>
      </c>
      <c r="G197" t="s">
        <v>406</v>
      </c>
      <c r="H197" t="s">
        <v>123</v>
      </c>
      <c r="I197" t="s">
        <v>131</v>
      </c>
      <c r="J197" t="s">
        <v>1222</v>
      </c>
      <c r="K197" t="s">
        <v>10</v>
      </c>
      <c r="N197" t="s">
        <v>11</v>
      </c>
      <c r="O197" t="s">
        <v>21</v>
      </c>
      <c r="P197" t="s">
        <v>130</v>
      </c>
      <c r="R197" t="s">
        <v>947</v>
      </c>
      <c r="T197" t="s">
        <v>1031</v>
      </c>
      <c r="U197" t="s">
        <v>710</v>
      </c>
    </row>
    <row r="198" spans="1:21" x14ac:dyDescent="0.35">
      <c r="A198" t="s">
        <v>709</v>
      </c>
      <c r="B198" t="s">
        <v>720</v>
      </c>
      <c r="C198" t="s">
        <v>720</v>
      </c>
      <c r="D198" t="s">
        <v>720</v>
      </c>
      <c r="E198" t="s">
        <v>720</v>
      </c>
      <c r="F198" t="s">
        <v>720</v>
      </c>
      <c r="G198" t="s">
        <v>133</v>
      </c>
      <c r="H198" t="s">
        <v>133</v>
      </c>
      <c r="I198" t="s">
        <v>134</v>
      </c>
      <c r="J198" t="s">
        <v>1308</v>
      </c>
      <c r="K198" t="s">
        <v>10</v>
      </c>
      <c r="N198" t="s">
        <v>11</v>
      </c>
      <c r="O198" t="s">
        <v>23</v>
      </c>
      <c r="P198" t="s">
        <v>130</v>
      </c>
      <c r="Q198" t="s">
        <v>1018</v>
      </c>
      <c r="R198" t="s">
        <v>1019</v>
      </c>
      <c r="S198" s="2" t="s">
        <v>1026</v>
      </c>
      <c r="T198" t="s">
        <v>1032</v>
      </c>
      <c r="U198" t="s">
        <v>710</v>
      </c>
    </row>
    <row r="199" spans="1:21" s="18" customFormat="1" x14ac:dyDescent="0.35">
      <c r="A199" t="s">
        <v>710</v>
      </c>
      <c r="B199">
        <v>2023</v>
      </c>
      <c r="C199" t="s">
        <v>707</v>
      </c>
      <c r="D199" t="s">
        <v>720</v>
      </c>
      <c r="E199" t="s">
        <v>720</v>
      </c>
      <c r="F199" t="s">
        <v>979</v>
      </c>
      <c r="G199" t="s">
        <v>730</v>
      </c>
      <c r="H199" t="s">
        <v>58</v>
      </c>
      <c r="I199" t="s">
        <v>61</v>
      </c>
      <c r="J199" t="s">
        <v>1439</v>
      </c>
      <c r="K199" t="s">
        <v>10</v>
      </c>
      <c r="L199"/>
      <c r="M199"/>
      <c r="N199" t="s">
        <v>11</v>
      </c>
      <c r="O199" t="s">
        <v>34</v>
      </c>
      <c r="P199" t="s">
        <v>16</v>
      </c>
      <c r="Q199" t="s">
        <v>1485</v>
      </c>
      <c r="R199" t="s">
        <v>729</v>
      </c>
      <c r="S199" s="19"/>
      <c r="U199" s="18" t="s">
        <v>710</v>
      </c>
    </row>
    <row r="200" spans="1:21" x14ac:dyDescent="0.35">
      <c r="A200" t="s">
        <v>710</v>
      </c>
      <c r="B200">
        <v>2023</v>
      </c>
      <c r="C200" t="s">
        <v>707</v>
      </c>
      <c r="D200" t="s">
        <v>772</v>
      </c>
      <c r="E200" t="s">
        <v>773</v>
      </c>
      <c r="G200" t="s">
        <v>891</v>
      </c>
      <c r="H200" t="s">
        <v>320</v>
      </c>
      <c r="I200" t="s">
        <v>321</v>
      </c>
      <c r="J200" t="s">
        <v>1344</v>
      </c>
      <c r="K200" t="s">
        <v>10</v>
      </c>
      <c r="N200" t="s">
        <v>233</v>
      </c>
      <c r="O200" t="s">
        <v>303</v>
      </c>
      <c r="P200" t="s">
        <v>322</v>
      </c>
      <c r="Q200" t="s">
        <v>1052</v>
      </c>
      <c r="R200" s="22" t="s">
        <v>1051</v>
      </c>
      <c r="S200" s="2" t="s">
        <v>1026</v>
      </c>
      <c r="T200" t="s">
        <v>1034</v>
      </c>
      <c r="U200" t="s">
        <v>710</v>
      </c>
    </row>
    <row r="201" spans="1:21" x14ac:dyDescent="0.35">
      <c r="A201" t="s">
        <v>709</v>
      </c>
      <c r="B201" t="s">
        <v>720</v>
      </c>
      <c r="C201" t="s">
        <v>720</v>
      </c>
      <c r="D201" t="s">
        <v>720</v>
      </c>
      <c r="E201" t="s">
        <v>720</v>
      </c>
      <c r="F201" t="s">
        <v>720</v>
      </c>
      <c r="G201" t="s">
        <v>323</v>
      </c>
      <c r="H201" t="s">
        <v>323</v>
      </c>
      <c r="I201" t="s">
        <v>321</v>
      </c>
      <c r="J201" t="s">
        <v>1407</v>
      </c>
      <c r="K201" t="s">
        <v>10</v>
      </c>
      <c r="N201" t="s">
        <v>233</v>
      </c>
      <c r="O201" t="s">
        <v>303</v>
      </c>
      <c r="P201" t="s">
        <v>302</v>
      </c>
      <c r="Q201" t="s">
        <v>1054</v>
      </c>
      <c r="R201" t="s">
        <v>1105</v>
      </c>
      <c r="S201" s="2" t="s">
        <v>1025</v>
      </c>
      <c r="T201" t="s">
        <v>1035</v>
      </c>
      <c r="U201" t="s">
        <v>710</v>
      </c>
    </row>
    <row r="202" spans="1:21" x14ac:dyDescent="0.35">
      <c r="A202" s="18"/>
      <c r="B202" s="18"/>
      <c r="C202" s="18"/>
      <c r="D202" s="18"/>
      <c r="E202" s="18"/>
      <c r="F202" s="18"/>
      <c r="G202" s="18" t="s">
        <v>514</v>
      </c>
      <c r="H202" s="18" t="s">
        <v>514</v>
      </c>
      <c r="I202" s="18" t="s">
        <v>515</v>
      </c>
      <c r="J202" s="18" t="s">
        <v>1365</v>
      </c>
      <c r="K202" s="18" t="s">
        <v>374</v>
      </c>
      <c r="L202" s="18" t="s">
        <v>1115</v>
      </c>
      <c r="M202" s="18" t="s">
        <v>1116</v>
      </c>
      <c r="N202" s="18" t="s">
        <v>375</v>
      </c>
      <c r="O202" s="18"/>
      <c r="P202" s="18" t="s">
        <v>509</v>
      </c>
      <c r="Q202" s="18"/>
      <c r="R202" s="18"/>
      <c r="S202" t="s">
        <v>720</v>
      </c>
      <c r="T202" t="s">
        <v>1036</v>
      </c>
      <c r="U202" t="s">
        <v>710</v>
      </c>
    </row>
    <row r="203" spans="1:21" x14ac:dyDescent="0.35">
      <c r="A203" s="18"/>
      <c r="B203" s="18"/>
      <c r="C203" s="18"/>
      <c r="D203" s="18"/>
      <c r="E203" s="18"/>
      <c r="F203" s="18"/>
      <c r="G203" s="18" t="s">
        <v>912</v>
      </c>
      <c r="H203" s="18" t="s">
        <v>486</v>
      </c>
      <c r="I203" s="18" t="s">
        <v>487</v>
      </c>
      <c r="J203" s="18" t="s">
        <v>1435</v>
      </c>
      <c r="K203" s="18" t="s">
        <v>374</v>
      </c>
      <c r="L203" s="18" t="s">
        <v>1115</v>
      </c>
      <c r="M203" s="18" t="s">
        <v>1116</v>
      </c>
      <c r="N203" s="18" t="s">
        <v>375</v>
      </c>
      <c r="O203" s="18"/>
      <c r="P203" s="18" t="s">
        <v>488</v>
      </c>
      <c r="Q203" s="18"/>
      <c r="R203" s="18"/>
      <c r="S203" t="s">
        <v>1026</v>
      </c>
      <c r="T203" t="s">
        <v>1034</v>
      </c>
      <c r="U203" t="s">
        <v>710</v>
      </c>
    </row>
    <row r="204" spans="1:21" x14ac:dyDescent="0.35">
      <c r="A204" t="s">
        <v>710</v>
      </c>
      <c r="B204">
        <v>2023</v>
      </c>
      <c r="C204" t="s">
        <v>707</v>
      </c>
      <c r="D204" t="s">
        <v>807</v>
      </c>
      <c r="E204" t="s">
        <v>773</v>
      </c>
      <c r="G204" t="s">
        <v>155</v>
      </c>
      <c r="H204" t="s">
        <v>155</v>
      </c>
      <c r="I204" t="s">
        <v>158</v>
      </c>
      <c r="J204" t="s">
        <v>1153</v>
      </c>
      <c r="K204" t="s">
        <v>10</v>
      </c>
      <c r="N204" t="s">
        <v>11</v>
      </c>
      <c r="O204" t="s">
        <v>19</v>
      </c>
      <c r="P204" t="s">
        <v>157</v>
      </c>
      <c r="Q204" t="s">
        <v>817</v>
      </c>
      <c r="R204" t="s">
        <v>811</v>
      </c>
      <c r="S204" t="s">
        <v>1027</v>
      </c>
      <c r="T204" t="s">
        <v>1037</v>
      </c>
      <c r="U204" t="s">
        <v>710</v>
      </c>
    </row>
    <row r="205" spans="1:21" s="18" customFormat="1" x14ac:dyDescent="0.35">
      <c r="A205" s="18" t="s">
        <v>710</v>
      </c>
      <c r="B205" s="18">
        <v>2023</v>
      </c>
      <c r="C205" s="18" t="s">
        <v>707</v>
      </c>
      <c r="G205" s="18" t="s">
        <v>14</v>
      </c>
      <c r="H205" s="18" t="s">
        <v>14</v>
      </c>
      <c r="I205" s="18" t="s">
        <v>461</v>
      </c>
      <c r="J205" s="18" t="s">
        <v>1134</v>
      </c>
      <c r="K205" s="18" t="s">
        <v>374</v>
      </c>
      <c r="L205" s="18" t="s">
        <v>1115</v>
      </c>
      <c r="M205" s="18" t="s">
        <v>1116</v>
      </c>
      <c r="N205" s="18" t="s">
        <v>375</v>
      </c>
      <c r="P205" s="18" t="s">
        <v>462</v>
      </c>
      <c r="R205" s="18" t="s">
        <v>768</v>
      </c>
      <c r="S205" s="18" t="s">
        <v>1038</v>
      </c>
      <c r="U205" s="18" t="s">
        <v>710</v>
      </c>
    </row>
    <row r="206" spans="1:21" s="18" customFormat="1" x14ac:dyDescent="0.35">
      <c r="A206" t="s">
        <v>710</v>
      </c>
      <c r="B206">
        <v>2019</v>
      </c>
      <c r="C206">
        <v>2019</v>
      </c>
      <c r="D206" t="s">
        <v>772</v>
      </c>
      <c r="E206" t="s">
        <v>773</v>
      </c>
      <c r="F206"/>
      <c r="G206" t="s">
        <v>54</v>
      </c>
      <c r="H206" t="s">
        <v>54</v>
      </c>
      <c r="I206" t="s">
        <v>55</v>
      </c>
      <c r="J206" t="s">
        <v>1379</v>
      </c>
      <c r="K206" t="s">
        <v>10</v>
      </c>
      <c r="L206"/>
      <c r="M206"/>
      <c r="N206" t="s">
        <v>11</v>
      </c>
      <c r="O206" t="s">
        <v>19</v>
      </c>
      <c r="P206" t="s">
        <v>16</v>
      </c>
      <c r="Q206" t="s">
        <v>1094</v>
      </c>
      <c r="R206" t="s">
        <v>1093</v>
      </c>
      <c r="U206" s="18" t="s">
        <v>746</v>
      </c>
    </row>
    <row r="207" spans="1:21" s="18" customFormat="1" x14ac:dyDescent="0.35">
      <c r="A207" t="s">
        <v>710</v>
      </c>
      <c r="B207">
        <v>2023</v>
      </c>
      <c r="C207">
        <v>2021</v>
      </c>
      <c r="D207" t="s">
        <v>772</v>
      </c>
      <c r="E207" t="s">
        <v>773</v>
      </c>
      <c r="F207"/>
      <c r="G207" t="s">
        <v>793</v>
      </c>
      <c r="H207" t="s">
        <v>128</v>
      </c>
      <c r="I207" t="s">
        <v>129</v>
      </c>
      <c r="J207" t="s">
        <v>1190</v>
      </c>
      <c r="K207" t="s">
        <v>10</v>
      </c>
      <c r="L207"/>
      <c r="M207"/>
      <c r="N207" t="s">
        <v>11</v>
      </c>
      <c r="O207" t="s">
        <v>19</v>
      </c>
      <c r="P207" t="s">
        <v>130</v>
      </c>
      <c r="Q207"/>
      <c r="R207" s="3" t="s">
        <v>743</v>
      </c>
      <c r="U207" s="18" t="s">
        <v>746</v>
      </c>
    </row>
    <row r="208" spans="1:21" s="18" customFormat="1" x14ac:dyDescent="0.35">
      <c r="A208" t="s">
        <v>710</v>
      </c>
      <c r="B208">
        <v>2024</v>
      </c>
      <c r="C208">
        <v>2016</v>
      </c>
      <c r="D208" t="s">
        <v>772</v>
      </c>
      <c r="E208" t="s">
        <v>773</v>
      </c>
      <c r="F208"/>
      <c r="G208" t="s">
        <v>82</v>
      </c>
      <c r="H208" t="s">
        <v>82</v>
      </c>
      <c r="I208" t="s">
        <v>83</v>
      </c>
      <c r="J208" t="s">
        <v>1278</v>
      </c>
      <c r="K208" t="s">
        <v>10</v>
      </c>
      <c r="L208"/>
      <c r="M208"/>
      <c r="N208" t="s">
        <v>11</v>
      </c>
      <c r="O208" t="s">
        <v>19</v>
      </c>
      <c r="P208" t="s">
        <v>84</v>
      </c>
      <c r="Q208"/>
      <c r="R208" t="s">
        <v>990</v>
      </c>
      <c r="U208" s="18" t="s">
        <v>746</v>
      </c>
    </row>
    <row r="209" spans="1:21" s="18" customFormat="1" x14ac:dyDescent="0.35">
      <c r="H209" s="18" t="s">
        <v>700</v>
      </c>
      <c r="I209" s="18" t="s">
        <v>701</v>
      </c>
      <c r="J209" s="18" t="s">
        <v>1181</v>
      </c>
      <c r="K209" s="18" t="s">
        <v>374</v>
      </c>
      <c r="L209" s="18" t="s">
        <v>1115</v>
      </c>
      <c r="M209" s="18" t="s">
        <v>1116</v>
      </c>
      <c r="N209" s="18" t="s">
        <v>375</v>
      </c>
      <c r="P209" s="18" t="s">
        <v>699</v>
      </c>
      <c r="U209" s="18" t="s">
        <v>746</v>
      </c>
    </row>
    <row r="210" spans="1:21" s="18" customFormat="1" x14ac:dyDescent="0.35">
      <c r="A210" t="s">
        <v>710</v>
      </c>
      <c r="B210">
        <v>2023</v>
      </c>
      <c r="C210" t="s">
        <v>707</v>
      </c>
      <c r="D210" t="s">
        <v>807</v>
      </c>
      <c r="E210" t="s">
        <v>773</v>
      </c>
      <c r="F210"/>
      <c r="G210" t="s">
        <v>215</v>
      </c>
      <c r="H210" t="s">
        <v>215</v>
      </c>
      <c r="I210" t="s">
        <v>219</v>
      </c>
      <c r="J210" t="s">
        <v>1186</v>
      </c>
      <c r="K210" t="s">
        <v>10</v>
      </c>
      <c r="L210"/>
      <c r="M210"/>
      <c r="N210" t="s">
        <v>11</v>
      </c>
      <c r="O210" t="s">
        <v>34</v>
      </c>
      <c r="P210" t="s">
        <v>217</v>
      </c>
      <c r="Q210" t="s">
        <v>834</v>
      </c>
      <c r="R210" t="s">
        <v>771</v>
      </c>
      <c r="U210" s="18" t="s">
        <v>746</v>
      </c>
    </row>
    <row r="211" spans="1:21" s="18" customFormat="1" x14ac:dyDescent="0.35">
      <c r="G211" s="18" t="s">
        <v>616</v>
      </c>
      <c r="H211" s="18" t="s">
        <v>616</v>
      </c>
      <c r="I211" s="18" t="s">
        <v>617</v>
      </c>
      <c r="J211" s="18" t="s">
        <v>1213</v>
      </c>
      <c r="K211" s="18" t="s">
        <v>374</v>
      </c>
      <c r="L211" s="18" t="s">
        <v>1115</v>
      </c>
      <c r="M211" s="18" t="s">
        <v>1116</v>
      </c>
      <c r="N211" s="18" t="s">
        <v>375</v>
      </c>
      <c r="P211" s="18" t="s">
        <v>611</v>
      </c>
      <c r="U211" s="18" t="s">
        <v>746</v>
      </c>
    </row>
    <row r="212" spans="1:21" s="18" customFormat="1" x14ac:dyDescent="0.35">
      <c r="A212" t="s">
        <v>710</v>
      </c>
      <c r="B212">
        <v>2024</v>
      </c>
      <c r="C212" t="s">
        <v>707</v>
      </c>
      <c r="D212" t="s">
        <v>772</v>
      </c>
      <c r="E212" t="s">
        <v>805</v>
      </c>
      <c r="F212"/>
      <c r="G212" t="s">
        <v>39</v>
      </c>
      <c r="H212" t="s">
        <v>39</v>
      </c>
      <c r="I212" t="s">
        <v>78</v>
      </c>
      <c r="J212" t="s">
        <v>1322</v>
      </c>
      <c r="K212" t="s">
        <v>10</v>
      </c>
      <c r="L212"/>
      <c r="M212"/>
      <c r="N212" t="s">
        <v>11</v>
      </c>
      <c r="O212" t="s">
        <v>21</v>
      </c>
      <c r="P212" t="s">
        <v>64</v>
      </c>
      <c r="Q212" t="s">
        <v>1033</v>
      </c>
      <c r="R212" t="s">
        <v>720</v>
      </c>
      <c r="U212" s="18" t="s">
        <v>746</v>
      </c>
    </row>
    <row r="213" spans="1:21" s="18" customFormat="1" x14ac:dyDescent="0.35">
      <c r="A213" t="s">
        <v>709</v>
      </c>
      <c r="B213" t="s">
        <v>720</v>
      </c>
      <c r="C213" t="s">
        <v>720</v>
      </c>
      <c r="D213" t="s">
        <v>720</v>
      </c>
      <c r="E213" t="s">
        <v>720</v>
      </c>
      <c r="F213" t="s">
        <v>720</v>
      </c>
      <c r="G213" t="s">
        <v>228</v>
      </c>
      <c r="H213" t="s">
        <v>228</v>
      </c>
      <c r="I213" t="s">
        <v>229</v>
      </c>
      <c r="J213" t="s">
        <v>1410</v>
      </c>
      <c r="K213" t="s">
        <v>10</v>
      </c>
      <c r="L213"/>
      <c r="M213"/>
      <c r="N213" t="s">
        <v>11</v>
      </c>
      <c r="O213" t="s">
        <v>44</v>
      </c>
      <c r="P213" t="s">
        <v>230</v>
      </c>
      <c r="Q213" t="s">
        <v>1108</v>
      </c>
      <c r="R213" t="s">
        <v>1106</v>
      </c>
      <c r="U213" s="18" t="s">
        <v>746</v>
      </c>
    </row>
    <row r="214" spans="1:21" s="18" customFormat="1" x14ac:dyDescent="0.35">
      <c r="H214" s="18" t="s">
        <v>695</v>
      </c>
      <c r="I214" s="18" t="s">
        <v>696</v>
      </c>
      <c r="J214" s="18" t="s">
        <v>1174</v>
      </c>
      <c r="K214" s="18" t="s">
        <v>374</v>
      </c>
      <c r="L214" s="18" t="s">
        <v>1115</v>
      </c>
      <c r="M214" s="18" t="s">
        <v>1116</v>
      </c>
      <c r="N214" s="18" t="s">
        <v>375</v>
      </c>
      <c r="P214" s="18" t="s">
        <v>693</v>
      </c>
      <c r="U214" s="18" t="s">
        <v>746</v>
      </c>
    </row>
    <row r="215" spans="1:21" s="18" customFormat="1" x14ac:dyDescent="0.35">
      <c r="A215" t="s">
        <v>710</v>
      </c>
      <c r="B215">
        <v>2021</v>
      </c>
      <c r="C215" t="s">
        <v>707</v>
      </c>
      <c r="D215" t="s">
        <v>807</v>
      </c>
      <c r="E215" t="s">
        <v>773</v>
      </c>
      <c r="F215" t="s">
        <v>942</v>
      </c>
      <c r="G215" t="s">
        <v>716</v>
      </c>
      <c r="H215" t="s">
        <v>297</v>
      </c>
      <c r="I215" t="s">
        <v>324</v>
      </c>
      <c r="J215" t="s">
        <v>1219</v>
      </c>
      <c r="K215" t="s">
        <v>10</v>
      </c>
      <c r="L215"/>
      <c r="M215"/>
      <c r="N215" t="s">
        <v>233</v>
      </c>
      <c r="O215"/>
      <c r="P215"/>
      <c r="Q215"/>
      <c r="R215" t="s">
        <v>943</v>
      </c>
      <c r="U215" s="18" t="s">
        <v>746</v>
      </c>
    </row>
    <row r="216" spans="1:21" x14ac:dyDescent="0.35">
      <c r="A216" s="18" t="s">
        <v>710</v>
      </c>
      <c r="B216" s="18">
        <v>2024</v>
      </c>
      <c r="C216" s="18">
        <v>2013</v>
      </c>
      <c r="D216" s="18" t="s">
        <v>772</v>
      </c>
      <c r="E216" s="18" t="s">
        <v>773</v>
      </c>
      <c r="F216" s="18"/>
      <c r="G216" s="18" t="s">
        <v>741</v>
      </c>
      <c r="H216" s="18" t="s">
        <v>516</v>
      </c>
      <c r="I216" s="18" t="s">
        <v>643</v>
      </c>
      <c r="J216" s="18" t="s">
        <v>1164</v>
      </c>
      <c r="K216" s="18" t="s">
        <v>374</v>
      </c>
      <c r="L216" s="18" t="s">
        <v>1115</v>
      </c>
      <c r="M216" s="18" t="s">
        <v>1116</v>
      </c>
      <c r="N216" s="18" t="s">
        <v>375</v>
      </c>
      <c r="O216" s="18"/>
      <c r="P216" s="18" t="s">
        <v>644</v>
      </c>
      <c r="Q216" s="18"/>
      <c r="R216" s="18" t="s">
        <v>742</v>
      </c>
      <c r="S216" t="s">
        <v>1039</v>
      </c>
      <c r="T216" t="s">
        <v>1042</v>
      </c>
      <c r="U216" t="s">
        <v>746</v>
      </c>
    </row>
    <row r="217" spans="1:21" s="18" customFormat="1" x14ac:dyDescent="0.35">
      <c r="G217" s="18" t="s">
        <v>911</v>
      </c>
      <c r="H217" s="18" t="s">
        <v>630</v>
      </c>
      <c r="I217" s="18" t="s">
        <v>631</v>
      </c>
      <c r="J217" s="18" t="s">
        <v>1433</v>
      </c>
      <c r="K217" s="18" t="s">
        <v>374</v>
      </c>
      <c r="L217" s="18" t="s">
        <v>1115</v>
      </c>
      <c r="M217" s="18" t="s">
        <v>1116</v>
      </c>
      <c r="N217" s="18" t="s">
        <v>375</v>
      </c>
      <c r="P217" s="18" t="s">
        <v>627</v>
      </c>
      <c r="U217" s="18" t="s">
        <v>746</v>
      </c>
    </row>
    <row r="218" spans="1:21" s="18" customFormat="1" x14ac:dyDescent="0.35">
      <c r="G218" s="18" t="s">
        <v>876</v>
      </c>
      <c r="H218" s="18" t="s">
        <v>520</v>
      </c>
      <c r="I218" s="18" t="s">
        <v>528</v>
      </c>
      <c r="J218" s="18" t="s">
        <v>1312</v>
      </c>
      <c r="K218" s="18" t="s">
        <v>374</v>
      </c>
      <c r="L218" s="18" t="s">
        <v>1115</v>
      </c>
      <c r="M218" s="18" t="s">
        <v>1117</v>
      </c>
      <c r="N218" s="18" t="s">
        <v>375</v>
      </c>
      <c r="P218" s="18" t="s">
        <v>529</v>
      </c>
      <c r="U218" s="18" t="s">
        <v>746</v>
      </c>
    </row>
    <row r="219" spans="1:21" x14ac:dyDescent="0.35">
      <c r="A219" t="s">
        <v>710</v>
      </c>
      <c r="B219">
        <v>2023</v>
      </c>
      <c r="C219">
        <v>2024</v>
      </c>
      <c r="D219" t="s">
        <v>772</v>
      </c>
      <c r="E219" t="s">
        <v>832</v>
      </c>
      <c r="G219" t="s">
        <v>755</v>
      </c>
      <c r="H219" t="s">
        <v>75</v>
      </c>
      <c r="I219" t="s">
        <v>85</v>
      </c>
      <c r="J219" t="s">
        <v>1315</v>
      </c>
      <c r="K219" t="s">
        <v>10</v>
      </c>
      <c r="N219" t="s">
        <v>11</v>
      </c>
      <c r="O219" t="s">
        <v>23</v>
      </c>
      <c r="P219" t="s">
        <v>84</v>
      </c>
      <c r="R219" s="2" t="s">
        <v>762</v>
      </c>
      <c r="S219" s="2" t="s">
        <v>1044</v>
      </c>
      <c r="T219" s="2" t="s">
        <v>1043</v>
      </c>
      <c r="U219" t="s">
        <v>710</v>
      </c>
    </row>
    <row r="220" spans="1:21" x14ac:dyDescent="0.35">
      <c r="A220" t="s">
        <v>710</v>
      </c>
      <c r="B220">
        <v>2023</v>
      </c>
      <c r="C220">
        <v>2021</v>
      </c>
      <c r="D220" t="s">
        <v>772</v>
      </c>
      <c r="E220" t="s">
        <v>832</v>
      </c>
      <c r="F220" t="s">
        <v>979</v>
      </c>
      <c r="G220" t="s">
        <v>717</v>
      </c>
      <c r="H220" t="s">
        <v>79</v>
      </c>
      <c r="I220" t="s">
        <v>80</v>
      </c>
      <c r="J220" t="s">
        <v>1267</v>
      </c>
      <c r="K220" t="s">
        <v>10</v>
      </c>
      <c r="N220" t="s">
        <v>11</v>
      </c>
      <c r="O220" t="s">
        <v>19</v>
      </c>
      <c r="P220" t="s">
        <v>81</v>
      </c>
      <c r="Q220" t="s">
        <v>981</v>
      </c>
      <c r="R220" s="2" t="s">
        <v>980</v>
      </c>
      <c r="S220" s="2" t="s">
        <v>1044</v>
      </c>
      <c r="T220" s="2" t="s">
        <v>1046</v>
      </c>
      <c r="U220" t="s">
        <v>710</v>
      </c>
    </row>
    <row r="221" spans="1:21" x14ac:dyDescent="0.35">
      <c r="A221" t="s">
        <v>710</v>
      </c>
      <c r="B221">
        <v>2024</v>
      </c>
      <c r="C221" t="s">
        <v>707</v>
      </c>
      <c r="D221" t="s">
        <v>1767</v>
      </c>
      <c r="E221" t="s">
        <v>832</v>
      </c>
      <c r="G221" t="s">
        <v>715</v>
      </c>
      <c r="H221" t="s">
        <v>142</v>
      </c>
      <c r="I221" t="s">
        <v>184</v>
      </c>
      <c r="J221" t="s">
        <v>1246</v>
      </c>
      <c r="K221" t="s">
        <v>10</v>
      </c>
      <c r="N221" t="s">
        <v>11</v>
      </c>
      <c r="O221" t="s">
        <v>13</v>
      </c>
      <c r="P221" t="s">
        <v>185</v>
      </c>
      <c r="Q221" t="s">
        <v>970</v>
      </c>
      <c r="R221" s="22" t="s">
        <v>962</v>
      </c>
      <c r="T221" t="s">
        <v>1047</v>
      </c>
      <c r="U221" t="s">
        <v>746</v>
      </c>
    </row>
    <row r="222" spans="1:21" s="18" customFormat="1" x14ac:dyDescent="0.35">
      <c r="G222" s="18" t="s">
        <v>879</v>
      </c>
      <c r="H222" s="18" t="s">
        <v>589</v>
      </c>
      <c r="I222" s="18" t="s">
        <v>590</v>
      </c>
      <c r="J222" s="18" t="s">
        <v>1327</v>
      </c>
      <c r="K222" s="18" t="s">
        <v>374</v>
      </c>
      <c r="L222" s="18" t="s">
        <v>1115</v>
      </c>
      <c r="M222" s="18" t="s">
        <v>1116</v>
      </c>
      <c r="N222" s="18" t="s">
        <v>375</v>
      </c>
      <c r="P222" s="18" t="s">
        <v>591</v>
      </c>
      <c r="U222" s="18" t="s">
        <v>746</v>
      </c>
    </row>
    <row r="223" spans="1:21" x14ac:dyDescent="0.35">
      <c r="A223" s="18"/>
      <c r="B223" s="18"/>
      <c r="C223" s="18"/>
      <c r="D223" s="18"/>
      <c r="E223" s="18"/>
      <c r="F223" s="18"/>
      <c r="G223" s="18" t="s">
        <v>382</v>
      </c>
      <c r="H223" s="18" t="s">
        <v>382</v>
      </c>
      <c r="I223" s="18" t="s">
        <v>385</v>
      </c>
      <c r="J223" s="18" t="s">
        <v>1233</v>
      </c>
      <c r="K223" s="18" t="s">
        <v>374</v>
      </c>
      <c r="L223" s="18" t="s">
        <v>1115</v>
      </c>
      <c r="M223" s="18" t="s">
        <v>1116</v>
      </c>
      <c r="N223" s="18" t="s">
        <v>375</v>
      </c>
      <c r="O223" s="18"/>
      <c r="P223" s="18" t="s">
        <v>384</v>
      </c>
      <c r="Q223" s="18"/>
      <c r="R223" s="18"/>
      <c r="T223" t="s">
        <v>707</v>
      </c>
      <c r="U223" t="s">
        <v>746</v>
      </c>
    </row>
    <row r="224" spans="1:21" x14ac:dyDescent="0.35">
      <c r="A224" t="s">
        <v>710</v>
      </c>
      <c r="B224">
        <v>2023</v>
      </c>
      <c r="C224" t="s">
        <v>707</v>
      </c>
      <c r="D224" t="s">
        <v>807</v>
      </c>
      <c r="E224" t="s">
        <v>773</v>
      </c>
      <c r="F224" t="s">
        <v>1004</v>
      </c>
      <c r="G224" t="s">
        <v>868</v>
      </c>
      <c r="H224" t="s">
        <v>175</v>
      </c>
      <c r="I224" t="s">
        <v>176</v>
      </c>
      <c r="J224" t="s">
        <v>1299</v>
      </c>
      <c r="K224" t="s">
        <v>10</v>
      </c>
      <c r="N224" t="s">
        <v>11</v>
      </c>
      <c r="O224" t="s">
        <v>13</v>
      </c>
      <c r="P224" t="s">
        <v>177</v>
      </c>
      <c r="R224" t="s">
        <v>1003</v>
      </c>
      <c r="T224" t="s">
        <v>707</v>
      </c>
      <c r="U224" t="s">
        <v>746</v>
      </c>
    </row>
    <row r="225" spans="1:21" x14ac:dyDescent="0.35">
      <c r="A225" t="s">
        <v>710</v>
      </c>
      <c r="B225">
        <v>2023</v>
      </c>
      <c r="C225" t="s">
        <v>707</v>
      </c>
      <c r="D225" t="s">
        <v>807</v>
      </c>
      <c r="E225" t="s">
        <v>773</v>
      </c>
      <c r="F225" t="s">
        <v>1004</v>
      </c>
      <c r="G225" t="s">
        <v>325</v>
      </c>
      <c r="H225" t="s">
        <v>325</v>
      </c>
      <c r="I225" t="s">
        <v>326</v>
      </c>
      <c r="J225" t="s">
        <v>1298</v>
      </c>
      <c r="K225" t="s">
        <v>10</v>
      </c>
      <c r="N225" t="s">
        <v>233</v>
      </c>
      <c r="P225" t="s">
        <v>327</v>
      </c>
      <c r="R225" t="s">
        <v>1003</v>
      </c>
      <c r="T225" t="s">
        <v>707</v>
      </c>
      <c r="U225" t="s">
        <v>746</v>
      </c>
    </row>
    <row r="226" spans="1:21" x14ac:dyDescent="0.35">
      <c r="A226" t="s">
        <v>710</v>
      </c>
      <c r="B226">
        <v>2023</v>
      </c>
      <c r="C226" t="s">
        <v>707</v>
      </c>
      <c r="D226" t="s">
        <v>807</v>
      </c>
      <c r="E226" t="s">
        <v>773</v>
      </c>
      <c r="G226" t="s">
        <v>896</v>
      </c>
      <c r="H226" t="s">
        <v>172</v>
      </c>
      <c r="I226" t="s">
        <v>173</v>
      </c>
      <c r="J226" t="s">
        <v>1366</v>
      </c>
      <c r="K226" t="s">
        <v>10</v>
      </c>
      <c r="N226" t="s">
        <v>11</v>
      </c>
      <c r="O226" t="s">
        <v>17</v>
      </c>
      <c r="P226" t="s">
        <v>174</v>
      </c>
      <c r="Q226" t="s">
        <v>1081</v>
      </c>
      <c r="R226" t="s">
        <v>1078</v>
      </c>
      <c r="S226" t="s">
        <v>1062</v>
      </c>
      <c r="T226" t="s">
        <v>707</v>
      </c>
      <c r="U226" t="s">
        <v>749</v>
      </c>
    </row>
    <row r="227" spans="1:21" x14ac:dyDescent="0.35">
      <c r="A227" s="18"/>
      <c r="B227" s="18"/>
      <c r="C227" s="18"/>
      <c r="D227" s="18"/>
      <c r="E227" s="18"/>
      <c r="F227" s="18"/>
      <c r="G227" s="18" t="s">
        <v>882</v>
      </c>
      <c r="H227" s="18" t="s">
        <v>392</v>
      </c>
      <c r="I227" s="18" t="s">
        <v>393</v>
      </c>
      <c r="J227" s="18" t="s">
        <v>1331</v>
      </c>
      <c r="K227" s="18" t="s">
        <v>374</v>
      </c>
      <c r="L227" s="18" t="s">
        <v>1115</v>
      </c>
      <c r="M227" s="18" t="s">
        <v>1116</v>
      </c>
      <c r="N227" s="18" t="s">
        <v>375</v>
      </c>
      <c r="O227" s="18"/>
      <c r="P227" s="18" t="s">
        <v>394</v>
      </c>
      <c r="Q227" s="18"/>
      <c r="R227" s="18"/>
      <c r="S227" t="s">
        <v>1062</v>
      </c>
      <c r="T227" t="s">
        <v>707</v>
      </c>
      <c r="U227" t="s">
        <v>749</v>
      </c>
    </row>
    <row r="228" spans="1:21" x14ac:dyDescent="0.35">
      <c r="A228" t="s">
        <v>710</v>
      </c>
      <c r="B228">
        <v>2024</v>
      </c>
      <c r="C228" t="s">
        <v>707</v>
      </c>
      <c r="D228" t="s">
        <v>772</v>
      </c>
      <c r="E228" t="s">
        <v>773</v>
      </c>
      <c r="G228" t="s">
        <v>406</v>
      </c>
      <c r="H228" t="s">
        <v>123</v>
      </c>
      <c r="I228" t="s">
        <v>124</v>
      </c>
      <c r="J228" t="s">
        <v>1223</v>
      </c>
      <c r="K228" t="s">
        <v>10</v>
      </c>
      <c r="N228" t="s">
        <v>11</v>
      </c>
      <c r="O228" t="s">
        <v>44</v>
      </c>
      <c r="P228" t="s">
        <v>125</v>
      </c>
      <c r="R228" t="s">
        <v>947</v>
      </c>
      <c r="S228" t="s">
        <v>1062</v>
      </c>
      <c r="T228" t="s">
        <v>707</v>
      </c>
      <c r="U228" t="s">
        <v>749</v>
      </c>
    </row>
    <row r="229" spans="1:21" ht="29" x14ac:dyDescent="0.35">
      <c r="A229" t="s">
        <v>710</v>
      </c>
      <c r="B229">
        <v>2023</v>
      </c>
      <c r="C229" t="s">
        <v>707</v>
      </c>
      <c r="D229" t="s">
        <v>807</v>
      </c>
      <c r="E229" t="s">
        <v>773</v>
      </c>
      <c r="G229" t="s">
        <v>753</v>
      </c>
      <c r="H229" t="s">
        <v>197</v>
      </c>
      <c r="I229" t="s">
        <v>198</v>
      </c>
      <c r="J229" t="s">
        <v>1188</v>
      </c>
      <c r="K229" t="s">
        <v>10</v>
      </c>
      <c r="N229" t="s">
        <v>11</v>
      </c>
      <c r="O229" t="s">
        <v>23</v>
      </c>
      <c r="P229" t="s">
        <v>199</v>
      </c>
      <c r="Q229" s="17" t="s">
        <v>836</v>
      </c>
      <c r="R229" s="2" t="s">
        <v>752</v>
      </c>
      <c r="S229" t="s">
        <v>1063</v>
      </c>
      <c r="T229" t="s">
        <v>707</v>
      </c>
      <c r="U229" t="s">
        <v>749</v>
      </c>
    </row>
    <row r="230" spans="1:21" x14ac:dyDescent="0.35">
      <c r="A230" s="18" t="s">
        <v>710</v>
      </c>
      <c r="B230" s="18"/>
      <c r="C230" s="18"/>
      <c r="D230" s="18"/>
      <c r="E230" s="18"/>
      <c r="F230" s="18"/>
      <c r="G230" s="18" t="s">
        <v>715</v>
      </c>
      <c r="H230" s="18" t="s">
        <v>142</v>
      </c>
      <c r="I230" s="18" t="s">
        <v>574</v>
      </c>
      <c r="J230" s="18" t="s">
        <v>1255</v>
      </c>
      <c r="K230" s="18" t="s">
        <v>374</v>
      </c>
      <c r="L230" s="18" t="s">
        <v>1115</v>
      </c>
      <c r="M230" s="18" t="s">
        <v>1116</v>
      </c>
      <c r="N230" s="18" t="s">
        <v>375</v>
      </c>
      <c r="O230" s="18"/>
      <c r="P230" s="18" t="s">
        <v>575</v>
      </c>
      <c r="Q230" s="18"/>
      <c r="R230" s="18"/>
      <c r="S230" t="s">
        <v>1062</v>
      </c>
      <c r="T230" t="s">
        <v>707</v>
      </c>
      <c r="U230" t="s">
        <v>749</v>
      </c>
    </row>
    <row r="231" spans="1:21" x14ac:dyDescent="0.35">
      <c r="A231" s="18"/>
      <c r="B231" s="18"/>
      <c r="C231" s="18"/>
      <c r="D231" s="18"/>
      <c r="E231" s="18"/>
      <c r="F231" s="18"/>
      <c r="G231" s="18" t="s">
        <v>380</v>
      </c>
      <c r="H231" s="18" t="s">
        <v>380</v>
      </c>
      <c r="I231" s="18" t="s">
        <v>381</v>
      </c>
      <c r="J231" s="18" t="s">
        <v>1290</v>
      </c>
      <c r="K231" s="18" t="s">
        <v>374</v>
      </c>
      <c r="L231" s="18" t="s">
        <v>1115</v>
      </c>
      <c r="M231" s="18" t="s">
        <v>1120</v>
      </c>
      <c r="N231" s="18" t="s">
        <v>375</v>
      </c>
      <c r="O231" s="18"/>
      <c r="P231" s="18" t="s">
        <v>379</v>
      </c>
      <c r="Q231" s="18"/>
      <c r="R231" s="18"/>
      <c r="S231" t="s">
        <v>1062</v>
      </c>
      <c r="T231" t="s">
        <v>707</v>
      </c>
      <c r="U231" t="s">
        <v>749</v>
      </c>
    </row>
    <row r="232" spans="1:21" x14ac:dyDescent="0.35">
      <c r="A232" s="18"/>
      <c r="B232" s="18"/>
      <c r="C232" s="18"/>
      <c r="D232" s="18"/>
      <c r="E232" s="18"/>
      <c r="F232" s="18"/>
      <c r="G232" s="18" t="s">
        <v>904</v>
      </c>
      <c r="H232" s="18" t="s">
        <v>398</v>
      </c>
      <c r="I232" s="18" t="s">
        <v>399</v>
      </c>
      <c r="J232" s="18" t="s">
        <v>1387</v>
      </c>
      <c r="K232" s="18" t="s">
        <v>374</v>
      </c>
      <c r="L232" s="18" t="s">
        <v>1115</v>
      </c>
      <c r="M232" s="18" t="s">
        <v>1116</v>
      </c>
      <c r="N232" s="18" t="s">
        <v>375</v>
      </c>
      <c r="O232" s="18"/>
      <c r="P232" s="18" t="s">
        <v>397</v>
      </c>
      <c r="Q232" s="18"/>
      <c r="R232" s="18"/>
      <c r="S232" t="s">
        <v>1062</v>
      </c>
      <c r="T232" t="s">
        <v>707</v>
      </c>
      <c r="U232" t="s">
        <v>749</v>
      </c>
    </row>
    <row r="233" spans="1:21" x14ac:dyDescent="0.35">
      <c r="A233" t="s">
        <v>710</v>
      </c>
      <c r="B233">
        <v>2023</v>
      </c>
      <c r="D233" t="s">
        <v>772</v>
      </c>
      <c r="E233" t="s">
        <v>773</v>
      </c>
      <c r="F233" t="s">
        <v>1077</v>
      </c>
      <c r="G233" t="s">
        <v>328</v>
      </c>
      <c r="H233" t="s">
        <v>328</v>
      </c>
      <c r="I233" t="s">
        <v>329</v>
      </c>
      <c r="J233" t="s">
        <v>1362</v>
      </c>
      <c r="K233" t="s">
        <v>10</v>
      </c>
      <c r="N233" t="s">
        <v>233</v>
      </c>
      <c r="O233" t="s">
        <v>274</v>
      </c>
      <c r="P233" t="s">
        <v>64</v>
      </c>
      <c r="R233" t="s">
        <v>1075</v>
      </c>
      <c r="S233" t="s">
        <v>1059</v>
      </c>
      <c r="T233" t="s">
        <v>1060</v>
      </c>
      <c r="U233" t="s">
        <v>749</v>
      </c>
    </row>
    <row r="234" spans="1:21" x14ac:dyDescent="0.35">
      <c r="A234" t="s">
        <v>709</v>
      </c>
      <c r="G234" t="s">
        <v>330</v>
      </c>
      <c r="H234" t="s">
        <v>330</v>
      </c>
      <c r="I234" t="s">
        <v>331</v>
      </c>
      <c r="J234" t="s">
        <v>1303</v>
      </c>
      <c r="K234" t="s">
        <v>10</v>
      </c>
      <c r="N234" t="s">
        <v>233</v>
      </c>
      <c r="P234" t="s">
        <v>332</v>
      </c>
      <c r="Q234" t="s">
        <v>1012</v>
      </c>
      <c r="R234" t="s">
        <v>1011</v>
      </c>
      <c r="S234" t="s">
        <v>1065</v>
      </c>
      <c r="T234" t="s">
        <v>1067</v>
      </c>
      <c r="U234" t="s">
        <v>749</v>
      </c>
    </row>
    <row r="235" spans="1:21" s="18" customFormat="1" x14ac:dyDescent="0.35">
      <c r="G235" s="18" t="s">
        <v>890</v>
      </c>
      <c r="H235" s="18" t="s">
        <v>618</v>
      </c>
      <c r="I235" s="18" t="s">
        <v>619</v>
      </c>
      <c r="J235" s="18" t="s">
        <v>1342</v>
      </c>
      <c r="K235" s="18" t="s">
        <v>374</v>
      </c>
      <c r="L235" s="18" t="s">
        <v>1115</v>
      </c>
      <c r="M235" s="18" t="s">
        <v>1116</v>
      </c>
      <c r="N235" s="18" t="s">
        <v>375</v>
      </c>
      <c r="P235" s="18" t="s">
        <v>611</v>
      </c>
      <c r="S235" s="18" t="s">
        <v>1065</v>
      </c>
      <c r="T235" s="18" t="s">
        <v>707</v>
      </c>
      <c r="U235" s="18" t="s">
        <v>749</v>
      </c>
    </row>
    <row r="236" spans="1:21" x14ac:dyDescent="0.35">
      <c r="A236" s="18"/>
      <c r="B236" s="18"/>
      <c r="C236" s="18"/>
      <c r="D236" s="18"/>
      <c r="E236" s="18"/>
      <c r="F236" s="18"/>
      <c r="G236" s="18" t="s">
        <v>851</v>
      </c>
      <c r="H236" s="18" t="s">
        <v>525</v>
      </c>
      <c r="I236" s="18" t="s">
        <v>526</v>
      </c>
      <c r="J236" s="18" t="s">
        <v>1236</v>
      </c>
      <c r="K236" s="18" t="s">
        <v>374</v>
      </c>
      <c r="L236" s="18" t="s">
        <v>1115</v>
      </c>
      <c r="M236" s="18" t="s">
        <v>1116</v>
      </c>
      <c r="N236" s="18" t="s">
        <v>375</v>
      </c>
      <c r="O236" s="18"/>
      <c r="P236" s="18" t="s">
        <v>527</v>
      </c>
      <c r="Q236" s="18"/>
      <c r="R236" s="18"/>
      <c r="S236" t="s">
        <v>1065</v>
      </c>
      <c r="U236" t="s">
        <v>749</v>
      </c>
    </row>
    <row r="237" spans="1:21" s="18" customFormat="1" x14ac:dyDescent="0.35">
      <c r="G237" s="18" t="s">
        <v>846</v>
      </c>
      <c r="H237" s="18" t="s">
        <v>663</v>
      </c>
      <c r="I237" s="18" t="s">
        <v>664</v>
      </c>
      <c r="J237" s="18" t="s">
        <v>1228</v>
      </c>
      <c r="K237" s="18" t="s">
        <v>374</v>
      </c>
      <c r="L237" s="18" t="s">
        <v>1115</v>
      </c>
      <c r="M237" s="18" t="s">
        <v>1116</v>
      </c>
      <c r="N237" s="18" t="s">
        <v>375</v>
      </c>
      <c r="P237" s="18" t="s">
        <v>210</v>
      </c>
      <c r="S237" s="18" t="s">
        <v>1065</v>
      </c>
      <c r="U237" s="18" t="s">
        <v>749</v>
      </c>
    </row>
    <row r="238" spans="1:21" x14ac:dyDescent="0.35">
      <c r="A238" s="18"/>
      <c r="B238" s="18"/>
      <c r="C238" s="18"/>
      <c r="D238" s="18"/>
      <c r="E238" s="18"/>
      <c r="F238" s="18"/>
      <c r="G238" s="18" t="s">
        <v>888</v>
      </c>
      <c r="H238" s="18" t="s">
        <v>681</v>
      </c>
      <c r="I238" s="18" t="s">
        <v>682</v>
      </c>
      <c r="J238" s="18" t="s">
        <v>1337</v>
      </c>
      <c r="K238" s="18" t="s">
        <v>374</v>
      </c>
      <c r="L238" s="18" t="s">
        <v>1115</v>
      </c>
      <c r="M238" s="18" t="s">
        <v>1116</v>
      </c>
      <c r="N238" s="18" t="s">
        <v>375</v>
      </c>
      <c r="O238" s="18"/>
      <c r="P238" s="18" t="s">
        <v>683</v>
      </c>
      <c r="Q238" s="18"/>
      <c r="R238" s="18"/>
      <c r="S238" t="s">
        <v>1073</v>
      </c>
      <c r="T238" t="s">
        <v>707</v>
      </c>
      <c r="U238" t="s">
        <v>746</v>
      </c>
    </row>
    <row r="239" spans="1:21" s="18" customFormat="1" x14ac:dyDescent="0.35">
      <c r="A239" t="s">
        <v>710</v>
      </c>
      <c r="B239">
        <v>2023</v>
      </c>
      <c r="C239"/>
      <c r="D239" t="s">
        <v>820</v>
      </c>
      <c r="E239" t="s">
        <v>773</v>
      </c>
      <c r="F239"/>
      <c r="G239" t="s">
        <v>870</v>
      </c>
      <c r="H239" t="s">
        <v>35</v>
      </c>
      <c r="I239" t="s">
        <v>36</v>
      </c>
      <c r="J239" t="s">
        <v>1301</v>
      </c>
      <c r="K239" t="s">
        <v>10</v>
      </c>
      <c r="L239"/>
      <c r="M239"/>
      <c r="N239" t="s">
        <v>11</v>
      </c>
      <c r="O239" t="s">
        <v>19</v>
      </c>
      <c r="P239" t="s">
        <v>16</v>
      </c>
      <c r="Q239" t="s">
        <v>1010</v>
      </c>
      <c r="R239" t="s">
        <v>1007</v>
      </c>
      <c r="U239" s="18" t="s">
        <v>746</v>
      </c>
    </row>
    <row r="240" spans="1:21" s="18" customFormat="1" x14ac:dyDescent="0.35">
      <c r="A240" t="s">
        <v>709</v>
      </c>
      <c r="B240" t="s">
        <v>735</v>
      </c>
      <c r="C240"/>
      <c r="D240"/>
      <c r="E240"/>
      <c r="F240"/>
      <c r="G240" t="s">
        <v>114</v>
      </c>
      <c r="H240" t="s">
        <v>114</v>
      </c>
      <c r="I240" t="s">
        <v>118</v>
      </c>
      <c r="J240" t="s">
        <v>1446</v>
      </c>
      <c r="K240" t="s">
        <v>10</v>
      </c>
      <c r="L240"/>
      <c r="M240"/>
      <c r="N240" t="s">
        <v>11</v>
      </c>
      <c r="O240" t="s">
        <v>34</v>
      </c>
      <c r="P240" t="s">
        <v>111</v>
      </c>
      <c r="Q240"/>
      <c r="R240" t="s">
        <v>731</v>
      </c>
      <c r="U240" s="18" t="s">
        <v>746</v>
      </c>
    </row>
    <row r="241" spans="1:21" s="18" customFormat="1" x14ac:dyDescent="0.35">
      <c r="A241" t="s">
        <v>710</v>
      </c>
      <c r="B241">
        <v>2024</v>
      </c>
      <c r="C241" t="s">
        <v>707</v>
      </c>
      <c r="D241" t="s">
        <v>1575</v>
      </c>
      <c r="E241" t="s">
        <v>805</v>
      </c>
      <c r="F241"/>
      <c r="G241" t="s">
        <v>39</v>
      </c>
      <c r="H241" t="s">
        <v>39</v>
      </c>
      <c r="I241" t="s">
        <v>45</v>
      </c>
      <c r="J241" t="s">
        <v>1320</v>
      </c>
      <c r="K241" t="s">
        <v>10</v>
      </c>
      <c r="L241"/>
      <c r="M241"/>
      <c r="N241" t="s">
        <v>11</v>
      </c>
      <c r="O241" t="s">
        <v>44</v>
      </c>
      <c r="P241" t="s">
        <v>16</v>
      </c>
      <c r="Q241"/>
      <c r="R241" t="s">
        <v>1030</v>
      </c>
      <c r="U241" s="18" t="s">
        <v>746</v>
      </c>
    </row>
    <row r="242" spans="1:21" x14ac:dyDescent="0.35">
      <c r="A242" t="s">
        <v>710</v>
      </c>
      <c r="B242">
        <v>2023</v>
      </c>
      <c r="C242" t="s">
        <v>720</v>
      </c>
      <c r="D242" t="s">
        <v>807</v>
      </c>
      <c r="E242" t="s">
        <v>805</v>
      </c>
      <c r="F242" t="s">
        <v>1484</v>
      </c>
      <c r="G242" t="s">
        <v>719</v>
      </c>
      <c r="H242" t="s">
        <v>178</v>
      </c>
      <c r="I242" t="s">
        <v>333</v>
      </c>
      <c r="J242" t="s">
        <v>1425</v>
      </c>
      <c r="K242" t="s">
        <v>10</v>
      </c>
      <c r="N242" t="s">
        <v>233</v>
      </c>
      <c r="O242" t="s">
        <v>44</v>
      </c>
      <c r="P242" t="s">
        <v>334</v>
      </c>
      <c r="R242" t="s">
        <v>1472</v>
      </c>
      <c r="S242" s="22" t="s">
        <v>1076</v>
      </c>
      <c r="T242" t="s">
        <v>707</v>
      </c>
      <c r="U242" t="s">
        <v>746</v>
      </c>
    </row>
    <row r="243" spans="1:21" s="18" customFormat="1" x14ac:dyDescent="0.35">
      <c r="A243" t="s">
        <v>710</v>
      </c>
      <c r="B243">
        <v>2023</v>
      </c>
      <c r="C243" t="s">
        <v>707</v>
      </c>
      <c r="D243" t="s">
        <v>831</v>
      </c>
      <c r="E243" t="s">
        <v>832</v>
      </c>
      <c r="F243"/>
      <c r="G243" t="s">
        <v>208</v>
      </c>
      <c r="H243" t="s">
        <v>208</v>
      </c>
      <c r="I243" t="s">
        <v>335</v>
      </c>
      <c r="J243" t="s">
        <v>1179</v>
      </c>
      <c r="K243" t="s">
        <v>10</v>
      </c>
      <c r="L243"/>
      <c r="M243"/>
      <c r="N243" t="s">
        <v>233</v>
      </c>
      <c r="O243" t="s">
        <v>337</v>
      </c>
      <c r="P243" t="s">
        <v>336</v>
      </c>
      <c r="Q243"/>
      <c r="R243" t="s">
        <v>770</v>
      </c>
      <c r="U243" s="18" t="s">
        <v>746</v>
      </c>
    </row>
    <row r="244" spans="1:21" s="18" customFormat="1" x14ac:dyDescent="0.35">
      <c r="A244" t="s">
        <v>710</v>
      </c>
      <c r="B244">
        <v>2023</v>
      </c>
      <c r="C244" t="s">
        <v>707</v>
      </c>
      <c r="D244" t="s">
        <v>807</v>
      </c>
      <c r="E244" t="s">
        <v>773</v>
      </c>
      <c r="F244"/>
      <c r="G244" t="s">
        <v>155</v>
      </c>
      <c r="H244" t="s">
        <v>338</v>
      </c>
      <c r="I244" t="s">
        <v>339</v>
      </c>
      <c r="J244" t="s">
        <v>1157</v>
      </c>
      <c r="K244" t="s">
        <v>10</v>
      </c>
      <c r="L244"/>
      <c r="M244"/>
      <c r="N244" t="s">
        <v>233</v>
      </c>
      <c r="O244" t="s">
        <v>341</v>
      </c>
      <c r="P244" t="s">
        <v>340</v>
      </c>
      <c r="Q244" t="s">
        <v>817</v>
      </c>
      <c r="R244" t="s">
        <v>769</v>
      </c>
      <c r="U244" s="18" t="s">
        <v>746</v>
      </c>
    </row>
    <row r="245" spans="1:21" s="18" customFormat="1" x14ac:dyDescent="0.35">
      <c r="G245" s="18" t="s">
        <v>884</v>
      </c>
      <c r="H245" s="18" t="s">
        <v>697</v>
      </c>
      <c r="I245" s="18" t="s">
        <v>698</v>
      </c>
      <c r="J245" s="18" t="s">
        <v>1333</v>
      </c>
      <c r="K245" s="18" t="s">
        <v>374</v>
      </c>
      <c r="L245" s="18" t="s">
        <v>1115</v>
      </c>
      <c r="M245" s="18" t="s">
        <v>1116</v>
      </c>
      <c r="N245" s="18" t="s">
        <v>375</v>
      </c>
      <c r="P245" s="18" t="s">
        <v>693</v>
      </c>
      <c r="U245" s="18" t="s">
        <v>746</v>
      </c>
    </row>
    <row r="246" spans="1:21" s="18" customFormat="1" x14ac:dyDescent="0.35">
      <c r="H246" s="18" t="s">
        <v>503</v>
      </c>
      <c r="I246" s="18" t="s">
        <v>504</v>
      </c>
      <c r="J246" s="18" t="s">
        <v>1160</v>
      </c>
      <c r="K246" s="18" t="s">
        <v>374</v>
      </c>
      <c r="L246" s="18" t="s">
        <v>1115</v>
      </c>
      <c r="M246" s="18" t="s">
        <v>1118</v>
      </c>
      <c r="N246" s="18" t="s">
        <v>375</v>
      </c>
      <c r="P246" s="18" t="s">
        <v>498</v>
      </c>
      <c r="S246" s="18" t="s">
        <v>1079</v>
      </c>
      <c r="T246" s="18" t="s">
        <v>1080</v>
      </c>
      <c r="U246" s="18" t="s">
        <v>746</v>
      </c>
    </row>
    <row r="247" spans="1:21" x14ac:dyDescent="0.35">
      <c r="A247" s="18" t="s">
        <v>710</v>
      </c>
      <c r="B247" s="18">
        <v>2023</v>
      </c>
      <c r="C247" s="18" t="s">
        <v>707</v>
      </c>
      <c r="D247" s="18" t="s">
        <v>707</v>
      </c>
      <c r="E247" s="18" t="s">
        <v>773</v>
      </c>
      <c r="F247" s="18"/>
      <c r="G247" s="18" t="s">
        <v>8</v>
      </c>
      <c r="H247" s="18" t="s">
        <v>8</v>
      </c>
      <c r="I247" s="18" t="s">
        <v>463</v>
      </c>
      <c r="J247" s="18" t="s">
        <v>1265</v>
      </c>
      <c r="K247" s="18" t="s">
        <v>374</v>
      </c>
      <c r="L247" s="18" t="s">
        <v>1115</v>
      </c>
      <c r="M247" s="18" t="s">
        <v>1116</v>
      </c>
      <c r="N247" s="18" t="s">
        <v>375</v>
      </c>
      <c r="O247" s="18"/>
      <c r="P247" s="18" t="s">
        <v>462</v>
      </c>
      <c r="Q247" s="18" t="s">
        <v>723</v>
      </c>
      <c r="R247" s="18" t="s">
        <v>722</v>
      </c>
      <c r="U247" t="s">
        <v>746</v>
      </c>
    </row>
    <row r="248" spans="1:21" s="18" customFormat="1" x14ac:dyDescent="0.35">
      <c r="A248" t="s">
        <v>710</v>
      </c>
      <c r="B248">
        <v>2024</v>
      </c>
      <c r="C248" t="s">
        <v>707</v>
      </c>
      <c r="D248" t="s">
        <v>1767</v>
      </c>
      <c r="E248" t="s">
        <v>832</v>
      </c>
      <c r="F248"/>
      <c r="G248" t="s">
        <v>715</v>
      </c>
      <c r="H248" t="s">
        <v>142</v>
      </c>
      <c r="I248" t="s">
        <v>200</v>
      </c>
      <c r="J248" t="s">
        <v>1249</v>
      </c>
      <c r="K248" t="s">
        <v>10</v>
      </c>
      <c r="L248"/>
      <c r="M248"/>
      <c r="N248" t="s">
        <v>11</v>
      </c>
      <c r="O248" t="s">
        <v>21</v>
      </c>
      <c r="P248" t="s">
        <v>201</v>
      </c>
      <c r="Q248"/>
      <c r="R248" t="s">
        <v>962</v>
      </c>
      <c r="U248" s="18" t="s">
        <v>746</v>
      </c>
    </row>
    <row r="249" spans="1:21" s="18" customFormat="1" x14ac:dyDescent="0.35">
      <c r="A249" s="18" t="s">
        <v>710</v>
      </c>
      <c r="B249" s="18">
        <v>2023</v>
      </c>
      <c r="C249" s="18" t="s">
        <v>707</v>
      </c>
      <c r="F249" s="18" t="s">
        <v>979</v>
      </c>
      <c r="G249" s="18" t="s">
        <v>717</v>
      </c>
      <c r="H249" s="18" t="s">
        <v>79</v>
      </c>
      <c r="I249" s="18" t="s">
        <v>411</v>
      </c>
      <c r="J249" s="18" t="s">
        <v>1271</v>
      </c>
      <c r="K249" s="18" t="s">
        <v>374</v>
      </c>
      <c r="L249" s="18" t="s">
        <v>1115</v>
      </c>
      <c r="M249" s="18" t="s">
        <v>1116</v>
      </c>
      <c r="N249" s="18" t="s">
        <v>375</v>
      </c>
      <c r="P249" s="18" t="s">
        <v>412</v>
      </c>
      <c r="R249" s="18" t="s">
        <v>980</v>
      </c>
      <c r="U249" s="18" t="s">
        <v>746</v>
      </c>
    </row>
    <row r="250" spans="1:21" s="18" customFormat="1" x14ac:dyDescent="0.35">
      <c r="G250" s="18" t="s">
        <v>505</v>
      </c>
      <c r="H250" s="18" t="s">
        <v>505</v>
      </c>
      <c r="I250" s="18" t="s">
        <v>506</v>
      </c>
      <c r="J250" s="18" t="s">
        <v>1434</v>
      </c>
      <c r="K250" s="18" t="s">
        <v>374</v>
      </c>
      <c r="L250" s="18" t="s">
        <v>1115</v>
      </c>
      <c r="M250" s="18" t="s">
        <v>1118</v>
      </c>
      <c r="N250" s="18" t="s">
        <v>375</v>
      </c>
      <c r="P250" s="18" t="s">
        <v>498</v>
      </c>
      <c r="U250" s="18" t="s">
        <v>746</v>
      </c>
    </row>
    <row r="251" spans="1:21" x14ac:dyDescent="0.35">
      <c r="A251" t="s">
        <v>710</v>
      </c>
      <c r="B251">
        <v>2023</v>
      </c>
      <c r="C251">
        <v>2024</v>
      </c>
      <c r="D251" t="s">
        <v>772</v>
      </c>
      <c r="E251" t="s">
        <v>832</v>
      </c>
      <c r="G251" t="s">
        <v>755</v>
      </c>
      <c r="H251" t="s">
        <v>75</v>
      </c>
      <c r="I251" t="s">
        <v>76</v>
      </c>
      <c r="J251" t="s">
        <v>1314</v>
      </c>
      <c r="K251" t="s">
        <v>10</v>
      </c>
      <c r="N251" t="s">
        <v>11</v>
      </c>
      <c r="O251" t="s">
        <v>13</v>
      </c>
      <c r="P251" t="s">
        <v>64</v>
      </c>
      <c r="R251" t="s">
        <v>762</v>
      </c>
      <c r="S251" s="17" t="s">
        <v>707</v>
      </c>
      <c r="T251" t="s">
        <v>707</v>
      </c>
      <c r="U251" t="s">
        <v>710</v>
      </c>
    </row>
    <row r="252" spans="1:21" x14ac:dyDescent="0.35">
      <c r="A252" s="18"/>
      <c r="B252" s="18"/>
      <c r="C252" s="18"/>
      <c r="D252" s="18"/>
      <c r="E252" s="18"/>
      <c r="F252" s="18"/>
      <c r="G252" s="18" t="s">
        <v>634</v>
      </c>
      <c r="H252" s="18" t="s">
        <v>634</v>
      </c>
      <c r="I252" s="18" t="s">
        <v>635</v>
      </c>
      <c r="J252" s="18" t="s">
        <v>1416</v>
      </c>
      <c r="K252" s="18" t="s">
        <v>374</v>
      </c>
      <c r="L252" s="18" t="s">
        <v>1115</v>
      </c>
      <c r="M252" s="18" t="s">
        <v>1121</v>
      </c>
      <c r="N252" s="18" t="s">
        <v>375</v>
      </c>
      <c r="O252" s="18"/>
      <c r="P252" s="18" t="s">
        <v>627</v>
      </c>
      <c r="Q252" s="18"/>
      <c r="R252" s="18"/>
      <c r="S252" s="22" t="s">
        <v>1086</v>
      </c>
      <c r="T252" s="22" t="s">
        <v>1083</v>
      </c>
      <c r="U252" t="s">
        <v>746</v>
      </c>
    </row>
    <row r="253" spans="1:21" x14ac:dyDescent="0.35">
      <c r="A253" s="18"/>
      <c r="B253" s="18"/>
      <c r="C253" s="18"/>
      <c r="D253" s="18"/>
      <c r="E253" s="18"/>
      <c r="F253" s="18"/>
      <c r="G253" s="18" t="s">
        <v>632</v>
      </c>
      <c r="H253" s="18" t="s">
        <v>632</v>
      </c>
      <c r="I253" s="18" t="s">
        <v>633</v>
      </c>
      <c r="J253" s="18" t="s">
        <v>1364</v>
      </c>
      <c r="K253" s="18" t="s">
        <v>374</v>
      </c>
      <c r="L253" s="18" t="s">
        <v>1115</v>
      </c>
      <c r="M253" s="18" t="s">
        <v>1117</v>
      </c>
      <c r="N253" s="18" t="s">
        <v>375</v>
      </c>
      <c r="O253" s="18"/>
      <c r="P253" s="18" t="s">
        <v>627</v>
      </c>
      <c r="Q253" s="18"/>
      <c r="R253" s="18"/>
      <c r="S253" s="22" t="s">
        <v>1087</v>
      </c>
      <c r="T253" s="22" t="s">
        <v>1088</v>
      </c>
      <c r="U253" t="s">
        <v>746</v>
      </c>
    </row>
    <row r="254" spans="1:21" s="18" customFormat="1" x14ac:dyDescent="0.35">
      <c r="G254" s="18" t="s">
        <v>913</v>
      </c>
      <c r="H254" s="18" t="s">
        <v>539</v>
      </c>
      <c r="I254" s="18" t="s">
        <v>540</v>
      </c>
      <c r="J254" s="18" t="s">
        <v>1440</v>
      </c>
      <c r="K254" s="18" t="s">
        <v>374</v>
      </c>
      <c r="L254" s="18" t="s">
        <v>1115</v>
      </c>
      <c r="M254" s="18" t="s">
        <v>1116</v>
      </c>
      <c r="N254" s="18" t="s">
        <v>375</v>
      </c>
      <c r="P254" s="18" t="s">
        <v>536</v>
      </c>
      <c r="U254" s="18" t="s">
        <v>746</v>
      </c>
    </row>
    <row r="255" spans="1:21" s="18" customFormat="1" x14ac:dyDescent="0.35">
      <c r="A255" t="s">
        <v>710</v>
      </c>
      <c r="B255">
        <v>2024</v>
      </c>
      <c r="C255" t="s">
        <v>707</v>
      </c>
      <c r="D255" t="s">
        <v>772</v>
      </c>
      <c r="E255" t="s">
        <v>805</v>
      </c>
      <c r="F255"/>
      <c r="G255" t="s">
        <v>39</v>
      </c>
      <c r="H255" t="s">
        <v>39</v>
      </c>
      <c r="I255" t="s">
        <v>86</v>
      </c>
      <c r="J255" t="s">
        <v>1323</v>
      </c>
      <c r="K255" t="s">
        <v>10</v>
      </c>
      <c r="L255"/>
      <c r="M255"/>
      <c r="N255" t="s">
        <v>11</v>
      </c>
      <c r="O255" t="s">
        <v>19</v>
      </c>
      <c r="P255" t="s">
        <v>84</v>
      </c>
      <c r="Q255" t="s">
        <v>1586</v>
      </c>
      <c r="R255" t="s">
        <v>1030</v>
      </c>
      <c r="U255" s="18" t="s">
        <v>746</v>
      </c>
    </row>
    <row r="256" spans="1:21" s="18" customFormat="1" x14ac:dyDescent="0.35">
      <c r="A256" t="s">
        <v>710</v>
      </c>
      <c r="B256">
        <v>2024</v>
      </c>
      <c r="C256" t="s">
        <v>707</v>
      </c>
      <c r="D256" t="s">
        <v>772</v>
      </c>
      <c r="E256" t="s">
        <v>805</v>
      </c>
      <c r="F256" t="s">
        <v>939</v>
      </c>
      <c r="G256" t="s">
        <v>798</v>
      </c>
      <c r="H256" t="s">
        <v>70</v>
      </c>
      <c r="I256" t="s">
        <v>71</v>
      </c>
      <c r="J256" t="s">
        <v>1215</v>
      </c>
      <c r="K256" t="s">
        <v>10</v>
      </c>
      <c r="L256"/>
      <c r="M256"/>
      <c r="N256" t="s">
        <v>11</v>
      </c>
      <c r="O256" t="s">
        <v>13</v>
      </c>
      <c r="P256" t="s">
        <v>64</v>
      </c>
      <c r="Q256" t="s">
        <v>938</v>
      </c>
      <c r="R256" t="s">
        <v>800</v>
      </c>
      <c r="U256" s="18" t="s">
        <v>746</v>
      </c>
    </row>
    <row r="257" spans="1:21" x14ac:dyDescent="0.35">
      <c r="A257" s="18"/>
      <c r="B257" s="18"/>
      <c r="C257" s="18"/>
      <c r="D257" s="18"/>
      <c r="E257" s="18"/>
      <c r="F257" s="18"/>
      <c r="G257" s="18" t="s">
        <v>853</v>
      </c>
      <c r="H257" s="18" t="s">
        <v>636</v>
      </c>
      <c r="I257" s="18" t="s">
        <v>637</v>
      </c>
      <c r="J257" s="18" t="s">
        <v>1239</v>
      </c>
      <c r="K257" s="18" t="s">
        <v>374</v>
      </c>
      <c r="L257" s="18" t="s">
        <v>1115</v>
      </c>
      <c r="M257" s="18" t="s">
        <v>1118</v>
      </c>
      <c r="N257" s="18" t="s">
        <v>375</v>
      </c>
      <c r="O257" s="18"/>
      <c r="P257" s="18" t="s">
        <v>627</v>
      </c>
      <c r="Q257" s="18"/>
      <c r="R257" s="18"/>
      <c r="S257" s="22" t="s">
        <v>1090</v>
      </c>
      <c r="T257" s="22" t="s">
        <v>1092</v>
      </c>
      <c r="U257" t="s">
        <v>746</v>
      </c>
    </row>
    <row r="258" spans="1:21" ht="29" x14ac:dyDescent="0.35">
      <c r="A258" t="s">
        <v>710</v>
      </c>
      <c r="B258" t="s">
        <v>707</v>
      </c>
      <c r="C258">
        <v>2016</v>
      </c>
      <c r="D258" t="s">
        <v>772</v>
      </c>
      <c r="E258" t="s">
        <v>773</v>
      </c>
      <c r="G258" t="s">
        <v>153</v>
      </c>
      <c r="H258" t="s">
        <v>153</v>
      </c>
      <c r="I258" t="s">
        <v>154</v>
      </c>
      <c r="J258" t="s">
        <v>1382</v>
      </c>
      <c r="K258" t="s">
        <v>10</v>
      </c>
      <c r="N258" t="s">
        <v>11</v>
      </c>
      <c r="O258" t="s">
        <v>23</v>
      </c>
      <c r="P258" t="s">
        <v>147</v>
      </c>
      <c r="Q258" t="s">
        <v>1453</v>
      </c>
      <c r="R258" s="3" t="s">
        <v>1452</v>
      </c>
      <c r="S258" t="s">
        <v>1090</v>
      </c>
      <c r="T258" t="s">
        <v>1092</v>
      </c>
      <c r="U258" t="s">
        <v>746</v>
      </c>
    </row>
    <row r="259" spans="1:21" x14ac:dyDescent="0.35">
      <c r="A259" s="18"/>
      <c r="B259" s="18"/>
      <c r="C259" s="18"/>
      <c r="D259" s="18"/>
      <c r="E259" s="18"/>
      <c r="F259" s="18"/>
      <c r="G259" s="18" t="s">
        <v>894</v>
      </c>
      <c r="H259" s="18" t="s">
        <v>440</v>
      </c>
      <c r="I259" s="18" t="s">
        <v>441</v>
      </c>
      <c r="J259" s="18" t="s">
        <v>1361</v>
      </c>
      <c r="K259" s="18" t="s">
        <v>374</v>
      </c>
      <c r="L259" s="18" t="s">
        <v>1115</v>
      </c>
      <c r="M259" s="18" t="s">
        <v>1116</v>
      </c>
      <c r="N259" s="18" t="s">
        <v>375</v>
      </c>
      <c r="O259" s="18"/>
      <c r="P259" s="18" t="s">
        <v>442</v>
      </c>
      <c r="Q259" s="18"/>
      <c r="R259" s="18"/>
      <c r="S259" s="22" t="s">
        <v>1096</v>
      </c>
      <c r="T259" s="22" t="s">
        <v>1095</v>
      </c>
      <c r="U259" t="s">
        <v>746</v>
      </c>
    </row>
    <row r="260" spans="1:21" x14ac:dyDescent="0.35">
      <c r="A260" t="s">
        <v>709</v>
      </c>
      <c r="B260" t="s">
        <v>720</v>
      </c>
      <c r="C260" t="s">
        <v>720</v>
      </c>
      <c r="D260" t="s">
        <v>720</v>
      </c>
      <c r="E260" t="s">
        <v>720</v>
      </c>
      <c r="F260" t="s">
        <v>720</v>
      </c>
      <c r="G260" t="s">
        <v>873</v>
      </c>
      <c r="H260" t="s">
        <v>342</v>
      </c>
      <c r="I260" t="s">
        <v>343</v>
      </c>
      <c r="J260" t="s">
        <v>1305</v>
      </c>
      <c r="K260" t="s">
        <v>10</v>
      </c>
      <c r="N260" t="s">
        <v>233</v>
      </c>
      <c r="O260" t="s">
        <v>303</v>
      </c>
      <c r="P260" t="s">
        <v>302</v>
      </c>
      <c r="R260" t="s">
        <v>1017</v>
      </c>
      <c r="S260" s="22" t="s">
        <v>1098</v>
      </c>
      <c r="T260" t="s">
        <v>707</v>
      </c>
      <c r="U260" t="s">
        <v>746</v>
      </c>
    </row>
    <row r="261" spans="1:21" x14ac:dyDescent="0.35">
      <c r="A261" t="s">
        <v>709</v>
      </c>
      <c r="B261" t="s">
        <v>720</v>
      </c>
      <c r="C261" t="s">
        <v>720</v>
      </c>
      <c r="D261" t="s">
        <v>720</v>
      </c>
      <c r="E261" t="s">
        <v>720</v>
      </c>
      <c r="F261" t="s">
        <v>720</v>
      </c>
      <c r="G261" t="s">
        <v>344</v>
      </c>
      <c r="H261" t="s">
        <v>344</v>
      </c>
      <c r="I261" t="s">
        <v>343</v>
      </c>
      <c r="J261" t="s">
        <v>1345</v>
      </c>
      <c r="K261" t="s">
        <v>10</v>
      </c>
      <c r="N261" t="s">
        <v>233</v>
      </c>
      <c r="Q261" t="s">
        <v>1054</v>
      </c>
      <c r="R261" t="s">
        <v>1053</v>
      </c>
      <c r="S261" t="s">
        <v>1098</v>
      </c>
      <c r="T261" t="s">
        <v>707</v>
      </c>
      <c r="U261" t="s">
        <v>746</v>
      </c>
    </row>
    <row r="262" spans="1:21" ht="29" x14ac:dyDescent="0.35">
      <c r="A262" t="s">
        <v>710</v>
      </c>
      <c r="B262">
        <v>2024</v>
      </c>
      <c r="C262" t="s">
        <v>707</v>
      </c>
      <c r="D262" t="s">
        <v>807</v>
      </c>
      <c r="E262" t="s">
        <v>805</v>
      </c>
      <c r="F262" t="s">
        <v>1066</v>
      </c>
      <c r="G262" t="s">
        <v>718</v>
      </c>
      <c r="H262" t="s">
        <v>151</v>
      </c>
      <c r="I262" t="s">
        <v>345</v>
      </c>
      <c r="J262" t="s">
        <v>1355</v>
      </c>
      <c r="K262" t="s">
        <v>10</v>
      </c>
      <c r="N262" t="s">
        <v>233</v>
      </c>
      <c r="O262" t="s">
        <v>255</v>
      </c>
      <c r="P262" t="s">
        <v>346</v>
      </c>
      <c r="Q262" t="s">
        <v>1070</v>
      </c>
      <c r="R262" t="s">
        <v>1055</v>
      </c>
      <c r="S262" s="17" t="s">
        <v>1451</v>
      </c>
      <c r="T262" s="30" t="s">
        <v>1450</v>
      </c>
      <c r="U262" t="s">
        <v>748</v>
      </c>
    </row>
    <row r="263" spans="1:21" s="18" customFormat="1" x14ac:dyDescent="0.35">
      <c r="G263" s="18" t="s">
        <v>877</v>
      </c>
      <c r="H263" s="18" t="s">
        <v>600</v>
      </c>
      <c r="I263" s="18" t="s">
        <v>601</v>
      </c>
      <c r="J263" s="18" t="s">
        <v>1313</v>
      </c>
      <c r="K263" s="18" t="s">
        <v>374</v>
      </c>
      <c r="L263" s="18" t="s">
        <v>1115</v>
      </c>
      <c r="M263" s="18" t="s">
        <v>1116</v>
      </c>
      <c r="N263" s="18" t="s">
        <v>375</v>
      </c>
      <c r="P263" s="18" t="s">
        <v>602</v>
      </c>
      <c r="U263" s="18" t="s">
        <v>746</v>
      </c>
    </row>
    <row r="264" spans="1:21" s="18" customFormat="1" x14ac:dyDescent="0.35">
      <c r="G264" s="18" t="s">
        <v>878</v>
      </c>
      <c r="H264" s="18" t="s">
        <v>665</v>
      </c>
      <c r="I264" s="18" t="s">
        <v>666</v>
      </c>
      <c r="J264" s="18" t="s">
        <v>1326</v>
      </c>
      <c r="K264" s="18" t="s">
        <v>374</v>
      </c>
      <c r="L264" s="18" t="s">
        <v>1115</v>
      </c>
      <c r="M264" s="18" t="s">
        <v>1116</v>
      </c>
      <c r="N264" s="18" t="s">
        <v>375</v>
      </c>
      <c r="P264" s="18" t="s">
        <v>210</v>
      </c>
      <c r="U264" s="18" t="s">
        <v>746</v>
      </c>
    </row>
    <row r="265" spans="1:21" x14ac:dyDescent="0.35">
      <c r="A265" s="18"/>
      <c r="B265" s="18"/>
      <c r="C265" s="18"/>
      <c r="D265" s="18"/>
      <c r="E265" s="18"/>
      <c r="F265" s="18"/>
      <c r="G265" s="18" t="s">
        <v>522</v>
      </c>
      <c r="H265" s="18" t="s">
        <v>522</v>
      </c>
      <c r="I265" s="18" t="s">
        <v>523</v>
      </c>
      <c r="J265" s="18" t="s">
        <v>1200</v>
      </c>
      <c r="K265" s="18" t="s">
        <v>374</v>
      </c>
      <c r="L265" s="18" t="s">
        <v>1115</v>
      </c>
      <c r="M265" s="18" t="s">
        <v>1116</v>
      </c>
      <c r="N265" s="18" t="s">
        <v>375</v>
      </c>
      <c r="O265" s="18"/>
      <c r="P265" s="18" t="s">
        <v>524</v>
      </c>
      <c r="Q265" s="18"/>
      <c r="R265" s="18"/>
      <c r="S265" t="s">
        <v>1455</v>
      </c>
      <c r="T265" s="22" t="s">
        <v>1456</v>
      </c>
      <c r="U265" t="s">
        <v>710</v>
      </c>
    </row>
    <row r="266" spans="1:21" x14ac:dyDescent="0.35">
      <c r="A266" t="s">
        <v>709</v>
      </c>
      <c r="B266" t="s">
        <v>720</v>
      </c>
      <c r="C266" t="s">
        <v>720</v>
      </c>
      <c r="D266" t="s">
        <v>720</v>
      </c>
      <c r="E266" t="s">
        <v>720</v>
      </c>
      <c r="F266" t="s">
        <v>720</v>
      </c>
      <c r="G266" t="s">
        <v>323</v>
      </c>
      <c r="H266" t="s">
        <v>323</v>
      </c>
      <c r="I266" t="s">
        <v>347</v>
      </c>
      <c r="J266" t="s">
        <v>1408</v>
      </c>
      <c r="K266" t="s">
        <v>10</v>
      </c>
      <c r="N266" t="s">
        <v>233</v>
      </c>
      <c r="O266" t="s">
        <v>348</v>
      </c>
      <c r="P266" t="s">
        <v>302</v>
      </c>
      <c r="Q266" t="s">
        <v>1054</v>
      </c>
      <c r="R266" t="s">
        <v>1105</v>
      </c>
      <c r="S266" t="s">
        <v>1458</v>
      </c>
      <c r="T266" t="s">
        <v>707</v>
      </c>
      <c r="U266" t="s">
        <v>710</v>
      </c>
    </row>
    <row r="267" spans="1:21" s="18" customFormat="1" x14ac:dyDescent="0.35">
      <c r="A267" t="s">
        <v>710</v>
      </c>
      <c r="B267">
        <v>2023</v>
      </c>
      <c r="C267">
        <v>2024</v>
      </c>
      <c r="D267" t="s">
        <v>772</v>
      </c>
      <c r="E267" t="s">
        <v>773</v>
      </c>
      <c r="F267"/>
      <c r="G267" t="s">
        <v>902</v>
      </c>
      <c r="H267" t="s">
        <v>51</v>
      </c>
      <c r="I267" t="s">
        <v>52</v>
      </c>
      <c r="J267" t="s">
        <v>1377</v>
      </c>
      <c r="K267" t="s">
        <v>10</v>
      </c>
      <c r="L267"/>
      <c r="M267"/>
      <c r="N267" t="s">
        <v>11</v>
      </c>
      <c r="O267" t="s">
        <v>44</v>
      </c>
      <c r="P267" t="s">
        <v>16</v>
      </c>
      <c r="Q267" t="s">
        <v>1091</v>
      </c>
      <c r="R267" t="s">
        <v>1089</v>
      </c>
      <c r="U267" s="18" t="s">
        <v>746</v>
      </c>
    </row>
    <row r="268" spans="1:21" s="18" customFormat="1" x14ac:dyDescent="0.35">
      <c r="A268" t="s">
        <v>709</v>
      </c>
      <c r="B268" t="s">
        <v>720</v>
      </c>
      <c r="C268" t="s">
        <v>720</v>
      </c>
      <c r="D268" t="s">
        <v>720</v>
      </c>
      <c r="E268" t="s">
        <v>720</v>
      </c>
      <c r="F268" t="s">
        <v>720</v>
      </c>
      <c r="G268" t="s">
        <v>277</v>
      </c>
      <c r="H268" t="s">
        <v>277</v>
      </c>
      <c r="I268" t="s">
        <v>349</v>
      </c>
      <c r="J268" t="s">
        <v>1413</v>
      </c>
      <c r="K268" t="s">
        <v>10</v>
      </c>
      <c r="L268"/>
      <c r="M268"/>
      <c r="N268" t="s">
        <v>233</v>
      </c>
      <c r="O268" t="s">
        <v>1072</v>
      </c>
      <c r="P268"/>
      <c r="Q268"/>
      <c r="R268" t="s">
        <v>1109</v>
      </c>
      <c r="U268" s="18" t="s">
        <v>746</v>
      </c>
    </row>
    <row r="269" spans="1:21" x14ac:dyDescent="0.35">
      <c r="A269" s="18"/>
      <c r="B269" s="18"/>
      <c r="C269" s="18"/>
      <c r="D269" s="18"/>
      <c r="E269" s="18"/>
      <c r="F269" s="18"/>
      <c r="G269" s="18" t="s">
        <v>670</v>
      </c>
      <c r="H269" s="18" t="s">
        <v>670</v>
      </c>
      <c r="I269" s="18" t="s">
        <v>671</v>
      </c>
      <c r="J269" s="18" t="s">
        <v>1201</v>
      </c>
      <c r="K269" s="18" t="s">
        <v>374</v>
      </c>
      <c r="L269" s="18" t="s">
        <v>1115</v>
      </c>
      <c r="M269" s="18" t="s">
        <v>1118</v>
      </c>
      <c r="N269" s="18" t="s">
        <v>375</v>
      </c>
      <c r="O269" s="18"/>
      <c r="P269" s="18" t="s">
        <v>672</v>
      </c>
      <c r="Q269" s="18"/>
      <c r="R269" s="18"/>
      <c r="S269" t="s">
        <v>1103</v>
      </c>
      <c r="T269" t="s">
        <v>707</v>
      </c>
      <c r="U269" t="s">
        <v>746</v>
      </c>
    </row>
    <row r="270" spans="1:21" x14ac:dyDescent="0.35">
      <c r="A270" s="18" t="s">
        <v>710</v>
      </c>
      <c r="B270" s="18">
        <v>2024</v>
      </c>
      <c r="C270" s="18"/>
      <c r="D270" s="18"/>
      <c r="E270" s="18" t="s">
        <v>805</v>
      </c>
      <c r="F270" s="18" t="s">
        <v>1066</v>
      </c>
      <c r="G270" s="18" t="s">
        <v>718</v>
      </c>
      <c r="H270" s="18" t="s">
        <v>151</v>
      </c>
      <c r="I270" s="18" t="s">
        <v>648</v>
      </c>
      <c r="J270" s="18" t="s">
        <v>1357</v>
      </c>
      <c r="K270" s="18" t="s">
        <v>374</v>
      </c>
      <c r="L270" s="18" t="s">
        <v>1115</v>
      </c>
      <c r="M270" s="18" t="s">
        <v>1118</v>
      </c>
      <c r="N270" s="18" t="s">
        <v>375</v>
      </c>
      <c r="O270" s="18"/>
      <c r="P270" s="18" t="s">
        <v>649</v>
      </c>
      <c r="Q270" s="18" t="s">
        <v>1057</v>
      </c>
      <c r="R270" s="18" t="s">
        <v>1055</v>
      </c>
      <c r="S270" t="s">
        <v>707</v>
      </c>
      <c r="T270" t="s">
        <v>707</v>
      </c>
      <c r="U270" t="s">
        <v>710</v>
      </c>
    </row>
    <row r="271" spans="1:21" x14ac:dyDescent="0.35">
      <c r="A271" s="18" t="s">
        <v>710</v>
      </c>
      <c r="B271" s="18"/>
      <c r="C271" s="18"/>
      <c r="D271" s="18"/>
      <c r="E271" s="18"/>
      <c r="F271" s="18"/>
      <c r="G271" s="18" t="s">
        <v>101</v>
      </c>
      <c r="H271" s="18" t="s">
        <v>101</v>
      </c>
      <c r="I271" s="18" t="s">
        <v>416</v>
      </c>
      <c r="J271" s="18" t="s">
        <v>1406</v>
      </c>
      <c r="K271" s="18" t="s">
        <v>374</v>
      </c>
      <c r="L271" s="18" t="s">
        <v>1115</v>
      </c>
      <c r="M271" s="18" t="s">
        <v>1116</v>
      </c>
      <c r="N271" s="18" t="s">
        <v>375</v>
      </c>
      <c r="O271" s="18"/>
      <c r="P271" s="18" t="s">
        <v>417</v>
      </c>
      <c r="Q271" s="18" t="s">
        <v>713</v>
      </c>
      <c r="R271" s="18"/>
      <c r="S271" t="s">
        <v>707</v>
      </c>
      <c r="T271" t="s">
        <v>707</v>
      </c>
      <c r="U271" t="s">
        <v>710</v>
      </c>
    </row>
    <row r="272" spans="1:21" x14ac:dyDescent="0.35">
      <c r="A272" t="s">
        <v>710</v>
      </c>
      <c r="B272">
        <v>2023</v>
      </c>
      <c r="C272">
        <v>2017</v>
      </c>
      <c r="D272" t="s">
        <v>772</v>
      </c>
      <c r="E272" t="s">
        <v>773</v>
      </c>
      <c r="G272" t="s">
        <v>761</v>
      </c>
      <c r="H272" t="s">
        <v>165</v>
      </c>
      <c r="I272" t="s">
        <v>166</v>
      </c>
      <c r="J272" t="s">
        <v>1392</v>
      </c>
      <c r="K272" t="s">
        <v>10</v>
      </c>
      <c r="N272" t="s">
        <v>11</v>
      </c>
      <c r="O272" t="s">
        <v>19</v>
      </c>
      <c r="P272" t="s">
        <v>157</v>
      </c>
      <c r="R272" t="s">
        <v>767</v>
      </c>
      <c r="S272" t="s">
        <v>707</v>
      </c>
      <c r="T272" t="s">
        <v>1459</v>
      </c>
      <c r="U272" t="s">
        <v>710</v>
      </c>
    </row>
    <row r="273" spans="1:21" s="18" customFormat="1" x14ac:dyDescent="0.35">
      <c r="A273" s="18" t="s">
        <v>710</v>
      </c>
      <c r="B273" s="18">
        <v>2023</v>
      </c>
      <c r="C273" s="18">
        <v>2017</v>
      </c>
      <c r="G273" s="18" t="s">
        <v>761</v>
      </c>
      <c r="H273" s="18" t="s">
        <v>165</v>
      </c>
      <c r="I273" s="18" t="s">
        <v>541</v>
      </c>
      <c r="J273" s="18" t="s">
        <v>1393</v>
      </c>
      <c r="K273" s="18" t="s">
        <v>374</v>
      </c>
      <c r="L273" s="18" t="s">
        <v>1115</v>
      </c>
      <c r="M273" s="18" t="s">
        <v>1118</v>
      </c>
      <c r="N273" s="18" t="s">
        <v>375</v>
      </c>
      <c r="P273" s="18" t="s">
        <v>542</v>
      </c>
      <c r="R273" s="18" t="s">
        <v>767</v>
      </c>
      <c r="T273" s="18" t="s">
        <v>1459</v>
      </c>
      <c r="U273" s="18" t="s">
        <v>710</v>
      </c>
    </row>
    <row r="274" spans="1:21" s="18" customFormat="1" x14ac:dyDescent="0.35">
      <c r="A274" t="s">
        <v>710</v>
      </c>
      <c r="B274">
        <v>2023</v>
      </c>
      <c r="C274">
        <v>2024</v>
      </c>
      <c r="D274" t="s">
        <v>772</v>
      </c>
      <c r="E274" t="s">
        <v>773</v>
      </c>
      <c r="F274"/>
      <c r="G274" t="s">
        <v>902</v>
      </c>
      <c r="H274" t="s">
        <v>51</v>
      </c>
      <c r="I274" t="s">
        <v>53</v>
      </c>
      <c r="J274" t="s">
        <v>1378</v>
      </c>
      <c r="K274" t="s">
        <v>10</v>
      </c>
      <c r="L274"/>
      <c r="M274"/>
      <c r="N274" t="s">
        <v>11</v>
      </c>
      <c r="O274" t="s">
        <v>21</v>
      </c>
      <c r="P274" t="s">
        <v>16</v>
      </c>
      <c r="Q274" t="s">
        <v>1091</v>
      </c>
      <c r="R274" t="s">
        <v>1089</v>
      </c>
      <c r="U274" s="18" t="s">
        <v>746</v>
      </c>
    </row>
    <row r="275" spans="1:21" s="18" customFormat="1" x14ac:dyDescent="0.35">
      <c r="A275" t="s">
        <v>710</v>
      </c>
      <c r="B275">
        <v>2024</v>
      </c>
      <c r="C275" t="s">
        <v>707</v>
      </c>
      <c r="D275" t="s">
        <v>807</v>
      </c>
      <c r="E275" t="s">
        <v>773</v>
      </c>
      <c r="F275"/>
      <c r="G275" t="s">
        <v>714</v>
      </c>
      <c r="H275" t="s">
        <v>350</v>
      </c>
      <c r="I275" t="s">
        <v>351</v>
      </c>
      <c r="J275" t="s">
        <v>1240</v>
      </c>
      <c r="K275" t="s">
        <v>10</v>
      </c>
      <c r="L275"/>
      <c r="M275"/>
      <c r="N275" t="s">
        <v>233</v>
      </c>
      <c r="O275"/>
      <c r="P275"/>
      <c r="Q275"/>
      <c r="R275" t="s">
        <v>951</v>
      </c>
      <c r="S275" s="18" t="s">
        <v>1461</v>
      </c>
      <c r="T275" s="18" t="s">
        <v>1460</v>
      </c>
      <c r="U275" s="18" t="s">
        <v>746</v>
      </c>
    </row>
    <row r="276" spans="1:21" x14ac:dyDescent="0.35">
      <c r="A276" s="18"/>
      <c r="B276" s="18"/>
      <c r="C276" s="18"/>
      <c r="D276" s="18"/>
      <c r="E276" s="18"/>
      <c r="F276" s="18"/>
      <c r="G276" s="18" t="s">
        <v>899</v>
      </c>
      <c r="H276" s="18" t="s">
        <v>684</v>
      </c>
      <c r="I276" s="18" t="s">
        <v>685</v>
      </c>
      <c r="J276" s="18" t="s">
        <v>1370</v>
      </c>
      <c r="K276" s="18" t="s">
        <v>374</v>
      </c>
      <c r="L276" s="18" t="s">
        <v>1115</v>
      </c>
      <c r="M276" s="18" t="s">
        <v>1116</v>
      </c>
      <c r="N276" s="18" t="s">
        <v>375</v>
      </c>
      <c r="O276" s="18"/>
      <c r="P276" s="18" t="s">
        <v>683</v>
      </c>
      <c r="Q276" s="18"/>
      <c r="R276" s="18"/>
      <c r="S276" s="22" t="s">
        <v>1462</v>
      </c>
      <c r="T276" t="s">
        <v>1464</v>
      </c>
      <c r="U276" t="s">
        <v>746</v>
      </c>
    </row>
    <row r="277" spans="1:21" s="18" customFormat="1" x14ac:dyDescent="0.35">
      <c r="A277" s="18" t="s">
        <v>710</v>
      </c>
      <c r="B277" s="18">
        <v>2024</v>
      </c>
      <c r="C277" s="18">
        <v>2018</v>
      </c>
      <c r="D277" s="18" t="s">
        <v>772</v>
      </c>
      <c r="E277" s="18" t="s">
        <v>773</v>
      </c>
      <c r="G277" s="18" t="s">
        <v>741</v>
      </c>
      <c r="H277" s="18" t="s">
        <v>516</v>
      </c>
      <c r="I277" s="18" t="s">
        <v>517</v>
      </c>
      <c r="J277" s="18" t="s">
        <v>1163</v>
      </c>
      <c r="K277" s="18" t="s">
        <v>374</v>
      </c>
      <c r="L277" s="18" t="s">
        <v>1115</v>
      </c>
      <c r="M277" s="18" t="s">
        <v>1116</v>
      </c>
      <c r="N277" s="18" t="s">
        <v>375</v>
      </c>
      <c r="P277" s="18" t="s">
        <v>509</v>
      </c>
      <c r="R277" s="18" t="s">
        <v>742</v>
      </c>
      <c r="S277" s="18" t="s">
        <v>1463</v>
      </c>
      <c r="T277" s="18" t="s">
        <v>1465</v>
      </c>
      <c r="U277" s="18" t="s">
        <v>746</v>
      </c>
    </row>
    <row r="278" spans="1:21" x14ac:dyDescent="0.35">
      <c r="A278" s="18"/>
      <c r="B278" s="18"/>
      <c r="C278" s="18"/>
      <c r="D278" s="18"/>
      <c r="E278" s="18"/>
      <c r="F278" s="18"/>
      <c r="G278" s="18" t="s">
        <v>518</v>
      </c>
      <c r="H278" s="18" t="s">
        <v>518</v>
      </c>
      <c r="I278" s="18" t="s">
        <v>519</v>
      </c>
      <c r="J278" s="18" t="s">
        <v>1259</v>
      </c>
      <c r="K278" s="18" t="s">
        <v>374</v>
      </c>
      <c r="L278" s="18" t="s">
        <v>1115</v>
      </c>
      <c r="M278" s="18" t="s">
        <v>1119</v>
      </c>
      <c r="N278" s="18" t="s">
        <v>375</v>
      </c>
      <c r="O278" s="18"/>
      <c r="P278" s="18" t="s">
        <v>509</v>
      </c>
      <c r="Q278" s="18"/>
      <c r="R278" s="18"/>
      <c r="S278" t="s">
        <v>707</v>
      </c>
      <c r="T278" t="s">
        <v>1101</v>
      </c>
      <c r="U278" t="s">
        <v>748</v>
      </c>
    </row>
    <row r="279" spans="1:21" x14ac:dyDescent="0.35">
      <c r="A279" s="18"/>
      <c r="B279" s="18"/>
      <c r="C279" s="18"/>
      <c r="D279" s="18"/>
      <c r="E279" s="18"/>
      <c r="F279" s="18"/>
      <c r="G279" s="18" t="s">
        <v>867</v>
      </c>
      <c r="H279" s="18" t="s">
        <v>571</v>
      </c>
      <c r="I279" s="18" t="s">
        <v>587</v>
      </c>
      <c r="J279" s="18" t="s">
        <v>1296</v>
      </c>
      <c r="K279" s="18" t="s">
        <v>374</v>
      </c>
      <c r="L279" s="18" t="s">
        <v>1115</v>
      </c>
      <c r="M279" s="18" t="s">
        <v>1116</v>
      </c>
      <c r="N279" s="18" t="s">
        <v>375</v>
      </c>
      <c r="O279" s="18"/>
      <c r="P279" s="18" t="s">
        <v>588</v>
      </c>
      <c r="Q279" s="18"/>
      <c r="R279" s="18"/>
      <c r="U279" t="s">
        <v>748</v>
      </c>
    </row>
    <row r="280" spans="1:21" x14ac:dyDescent="0.35">
      <c r="A280" s="18"/>
      <c r="B280" s="18"/>
      <c r="C280" s="18"/>
      <c r="D280" s="18"/>
      <c r="E280" s="18"/>
      <c r="F280" s="18"/>
      <c r="G280" s="18" t="s">
        <v>533</v>
      </c>
      <c r="H280" s="18" t="s">
        <v>533</v>
      </c>
      <c r="I280" s="18" t="s">
        <v>534</v>
      </c>
      <c r="J280" s="18" t="s">
        <v>1432</v>
      </c>
      <c r="K280" s="18" t="s">
        <v>374</v>
      </c>
      <c r="L280" s="18" t="s">
        <v>1115</v>
      </c>
      <c r="M280" s="18" t="s">
        <v>1116</v>
      </c>
      <c r="N280" s="18" t="s">
        <v>375</v>
      </c>
      <c r="O280" s="18"/>
      <c r="P280" s="18" t="s">
        <v>535</v>
      </c>
      <c r="Q280" s="18"/>
      <c r="R280" s="18"/>
      <c r="S280" t="s">
        <v>707</v>
      </c>
      <c r="T280" t="s">
        <v>1467</v>
      </c>
      <c r="U280" t="s">
        <v>710</v>
      </c>
    </row>
    <row r="281" spans="1:21" x14ac:dyDescent="0.35">
      <c r="A281" s="18"/>
      <c r="B281" s="18"/>
      <c r="C281" s="18"/>
      <c r="D281" s="18"/>
      <c r="E281" s="18"/>
      <c r="F281" s="18"/>
      <c r="G281" s="18" t="s">
        <v>881</v>
      </c>
      <c r="H281" s="18" t="s">
        <v>657</v>
      </c>
      <c r="I281" s="18" t="s">
        <v>658</v>
      </c>
      <c r="J281" s="18" t="s">
        <v>1329</v>
      </c>
      <c r="K281" s="18" t="s">
        <v>374</v>
      </c>
      <c r="L281" s="18" t="s">
        <v>1115</v>
      </c>
      <c r="M281" s="18" t="s">
        <v>1116</v>
      </c>
      <c r="N281" s="18" t="s">
        <v>375</v>
      </c>
      <c r="O281" s="18"/>
      <c r="P281" s="18" t="s">
        <v>656</v>
      </c>
      <c r="Q281" s="18"/>
      <c r="R281" s="18"/>
      <c r="S281" t="s">
        <v>707</v>
      </c>
      <c r="T281" t="s">
        <v>1468</v>
      </c>
      <c r="U281" t="s">
        <v>710</v>
      </c>
    </row>
    <row r="282" spans="1:21" x14ac:dyDescent="0.35">
      <c r="A282" t="s">
        <v>710</v>
      </c>
      <c r="B282" t="s">
        <v>776</v>
      </c>
      <c r="C282">
        <v>2023</v>
      </c>
      <c r="D282" t="s">
        <v>772</v>
      </c>
      <c r="E282" t="s">
        <v>773</v>
      </c>
      <c r="G282" t="s">
        <v>774</v>
      </c>
      <c r="H282" t="s">
        <v>62</v>
      </c>
      <c r="I282" t="s">
        <v>63</v>
      </c>
      <c r="J282" t="s">
        <v>1122</v>
      </c>
      <c r="K282" t="s">
        <v>10</v>
      </c>
      <c r="N282" t="s">
        <v>11</v>
      </c>
      <c r="O282" t="s">
        <v>21</v>
      </c>
      <c r="P282" t="s">
        <v>64</v>
      </c>
      <c r="Q282" t="s">
        <v>777</v>
      </c>
      <c r="R282" t="s">
        <v>775</v>
      </c>
      <c r="S282" t="s">
        <v>707</v>
      </c>
      <c r="T282" t="s">
        <v>1469</v>
      </c>
      <c r="U282" t="s">
        <v>710</v>
      </c>
    </row>
    <row r="283" spans="1:21" x14ac:dyDescent="0.35">
      <c r="A283" t="s">
        <v>954</v>
      </c>
      <c r="B283" t="s">
        <v>720</v>
      </c>
      <c r="C283" t="s">
        <v>720</v>
      </c>
      <c r="D283" t="s">
        <v>720</v>
      </c>
      <c r="E283" t="s">
        <v>720</v>
      </c>
      <c r="F283" t="s">
        <v>720</v>
      </c>
      <c r="G283" t="s">
        <v>854</v>
      </c>
      <c r="H283" t="s">
        <v>352</v>
      </c>
      <c r="I283" t="s">
        <v>353</v>
      </c>
      <c r="J283" t="s">
        <v>1256</v>
      </c>
      <c r="K283" t="s">
        <v>10</v>
      </c>
      <c r="N283" t="s">
        <v>233</v>
      </c>
      <c r="O283" t="s">
        <v>1072</v>
      </c>
      <c r="Q283" t="s">
        <v>952</v>
      </c>
      <c r="R283" t="s">
        <v>953</v>
      </c>
      <c r="S283" t="s">
        <v>707</v>
      </c>
      <c r="T283" t="s">
        <v>1470</v>
      </c>
      <c r="U283" t="s">
        <v>710</v>
      </c>
    </row>
    <row r="284" spans="1:21" x14ac:dyDescent="0.35">
      <c r="A284" t="s">
        <v>709</v>
      </c>
      <c r="B284" t="s">
        <v>720</v>
      </c>
      <c r="C284" t="s">
        <v>720</v>
      </c>
      <c r="D284" t="s">
        <v>720</v>
      </c>
      <c r="E284" t="s">
        <v>720</v>
      </c>
      <c r="F284" t="s">
        <v>720</v>
      </c>
      <c r="G284" t="s">
        <v>354</v>
      </c>
      <c r="H284" t="s">
        <v>354</v>
      </c>
      <c r="I284" t="s">
        <v>355</v>
      </c>
      <c r="J284" t="s">
        <v>1389</v>
      </c>
      <c r="K284" t="s">
        <v>10</v>
      </c>
      <c r="N284" t="s">
        <v>233</v>
      </c>
      <c r="O284" t="s">
        <v>255</v>
      </c>
      <c r="P284" t="s">
        <v>244</v>
      </c>
      <c r="Q284" t="s">
        <v>954</v>
      </c>
      <c r="R284" s="22" t="s">
        <v>1104</v>
      </c>
      <c r="S284" s="2" t="s">
        <v>712</v>
      </c>
      <c r="T284" s="2" t="s">
        <v>1471</v>
      </c>
      <c r="U284" t="s">
        <v>710</v>
      </c>
    </row>
    <row r="285" spans="1:21" s="18" customFormat="1" x14ac:dyDescent="0.35">
      <c r="G285" s="18" t="s">
        <v>915</v>
      </c>
      <c r="H285" s="18" t="s">
        <v>620</v>
      </c>
      <c r="I285" s="18" t="s">
        <v>621</v>
      </c>
      <c r="J285" s="18" t="s">
        <v>1448</v>
      </c>
      <c r="K285" s="18" t="s">
        <v>374</v>
      </c>
      <c r="L285" s="18" t="s">
        <v>1115</v>
      </c>
      <c r="M285" s="18" t="s">
        <v>1116</v>
      </c>
      <c r="N285" s="18" t="s">
        <v>375</v>
      </c>
      <c r="P285" s="18" t="s">
        <v>611</v>
      </c>
      <c r="S285" s="19" t="s">
        <v>711</v>
      </c>
      <c r="T285" s="18" t="s">
        <v>707</v>
      </c>
      <c r="U285" s="18" t="s">
        <v>710</v>
      </c>
    </row>
    <row r="286" spans="1:21" x14ac:dyDescent="0.35">
      <c r="A286" t="s">
        <v>710</v>
      </c>
      <c r="B286">
        <v>2023</v>
      </c>
      <c r="C286">
        <v>2021</v>
      </c>
      <c r="D286" t="s">
        <v>772</v>
      </c>
      <c r="E286" t="s">
        <v>832</v>
      </c>
      <c r="F286" t="s">
        <v>979</v>
      </c>
      <c r="G286" t="s">
        <v>717</v>
      </c>
      <c r="H286" t="s">
        <v>79</v>
      </c>
      <c r="I286" t="s">
        <v>87</v>
      </c>
      <c r="J286" t="s">
        <v>1268</v>
      </c>
      <c r="K286" t="s">
        <v>10</v>
      </c>
      <c r="N286" t="s">
        <v>11</v>
      </c>
      <c r="O286" t="s">
        <v>44</v>
      </c>
      <c r="P286" t="s">
        <v>88</v>
      </c>
      <c r="Q286" t="s">
        <v>981</v>
      </c>
      <c r="R286" t="s">
        <v>980</v>
      </c>
      <c r="U286" t="s">
        <v>710</v>
      </c>
    </row>
    <row r="287" spans="1:21" x14ac:dyDescent="0.35">
      <c r="A287" t="s">
        <v>709</v>
      </c>
      <c r="B287" t="s">
        <v>720</v>
      </c>
      <c r="C287" t="s">
        <v>720</v>
      </c>
      <c r="D287" t="s">
        <v>720</v>
      </c>
      <c r="E287" t="s">
        <v>720</v>
      </c>
      <c r="F287" t="s">
        <v>720</v>
      </c>
      <c r="G287" t="s">
        <v>889</v>
      </c>
      <c r="H287" t="s">
        <v>112</v>
      </c>
      <c r="I287" t="s">
        <v>113</v>
      </c>
      <c r="J287" t="s">
        <v>1341</v>
      </c>
      <c r="K287" t="s">
        <v>10</v>
      </c>
      <c r="N287" t="s">
        <v>11</v>
      </c>
      <c r="O287" t="s">
        <v>34</v>
      </c>
      <c r="P287" t="s">
        <v>111</v>
      </c>
      <c r="Q287" t="s">
        <v>1048</v>
      </c>
      <c r="T287" t="s">
        <v>707</v>
      </c>
      <c r="U287" t="s">
        <v>746</v>
      </c>
    </row>
    <row r="288" spans="1:21" x14ac:dyDescent="0.35">
      <c r="A288" s="18"/>
      <c r="B288" s="18"/>
      <c r="C288" s="18"/>
      <c r="D288" s="18"/>
      <c r="E288" s="18"/>
      <c r="F288" s="18"/>
      <c r="G288" s="18" t="s">
        <v>895</v>
      </c>
      <c r="H288" s="18" t="s">
        <v>481</v>
      </c>
      <c r="I288" s="18" t="s">
        <v>482</v>
      </c>
      <c r="J288" s="18" t="s">
        <v>1363</v>
      </c>
      <c r="K288" s="18" t="s">
        <v>374</v>
      </c>
      <c r="L288" s="18" t="s">
        <v>1115</v>
      </c>
      <c r="M288" s="18" t="s">
        <v>1116</v>
      </c>
      <c r="N288" s="18" t="s">
        <v>375</v>
      </c>
      <c r="O288" s="18"/>
      <c r="P288" s="18" t="s">
        <v>483</v>
      </c>
      <c r="Q288" s="18"/>
      <c r="R288" s="18"/>
      <c r="T288" t="s">
        <v>707</v>
      </c>
      <c r="U288" t="s">
        <v>746</v>
      </c>
    </row>
    <row r="289" spans="1:21" s="18" customFormat="1" x14ac:dyDescent="0.35">
      <c r="G289" s="18" t="s">
        <v>907</v>
      </c>
      <c r="H289" s="18" t="s">
        <v>640</v>
      </c>
      <c r="I289" s="18" t="s">
        <v>641</v>
      </c>
      <c r="J289" s="18" t="s">
        <v>1409</v>
      </c>
      <c r="K289" s="18" t="s">
        <v>374</v>
      </c>
      <c r="L289" s="18" t="s">
        <v>1115</v>
      </c>
      <c r="M289" s="18" t="s">
        <v>1116</v>
      </c>
      <c r="N289" s="18" t="s">
        <v>375</v>
      </c>
      <c r="P289" s="18" t="s">
        <v>642</v>
      </c>
      <c r="U289" s="18" t="s">
        <v>746</v>
      </c>
    </row>
    <row r="290" spans="1:21" x14ac:dyDescent="0.35">
      <c r="A290" t="s">
        <v>710</v>
      </c>
      <c r="B290">
        <v>2024</v>
      </c>
      <c r="C290" t="s">
        <v>707</v>
      </c>
      <c r="D290" t="s">
        <v>1767</v>
      </c>
      <c r="E290" t="s">
        <v>832</v>
      </c>
      <c r="G290" t="s">
        <v>715</v>
      </c>
      <c r="H290" t="s">
        <v>142</v>
      </c>
      <c r="I290" t="s">
        <v>188</v>
      </c>
      <c r="J290" t="s">
        <v>1247</v>
      </c>
      <c r="K290" t="s">
        <v>10</v>
      </c>
      <c r="N290" t="s">
        <v>11</v>
      </c>
      <c r="O290" t="s">
        <v>44</v>
      </c>
      <c r="P290" t="s">
        <v>189</v>
      </c>
      <c r="Q290" t="s">
        <v>965</v>
      </c>
      <c r="R290" t="s">
        <v>962</v>
      </c>
      <c r="T290" s="22" t="s">
        <v>1107</v>
      </c>
      <c r="U290" t="s">
        <v>746</v>
      </c>
    </row>
    <row r="291" spans="1:21" x14ac:dyDescent="0.35">
      <c r="A291" t="s">
        <v>710</v>
      </c>
      <c r="B291">
        <v>2024</v>
      </c>
      <c r="C291" t="s">
        <v>707</v>
      </c>
      <c r="D291" t="s">
        <v>1767</v>
      </c>
      <c r="E291" t="s">
        <v>832</v>
      </c>
      <c r="G291" t="s">
        <v>715</v>
      </c>
      <c r="H291" t="s">
        <v>142</v>
      </c>
      <c r="I291" t="s">
        <v>140</v>
      </c>
      <c r="J291" t="s">
        <v>1254</v>
      </c>
      <c r="K291" t="s">
        <v>10</v>
      </c>
      <c r="N291" t="s">
        <v>233</v>
      </c>
      <c r="O291" t="s">
        <v>357</v>
      </c>
      <c r="P291" t="s">
        <v>356</v>
      </c>
      <c r="R291" t="s">
        <v>962</v>
      </c>
      <c r="T291" t="s">
        <v>707</v>
      </c>
      <c r="U291" t="s">
        <v>746</v>
      </c>
    </row>
    <row r="292" spans="1:21" x14ac:dyDescent="0.35">
      <c r="A292" t="s">
        <v>710</v>
      </c>
      <c r="B292">
        <v>2023</v>
      </c>
      <c r="C292" t="s">
        <v>707</v>
      </c>
      <c r="D292" t="s">
        <v>772</v>
      </c>
      <c r="E292" t="s">
        <v>773</v>
      </c>
      <c r="G292" t="s">
        <v>900</v>
      </c>
      <c r="H292" t="s">
        <v>49</v>
      </c>
      <c r="I292" t="s">
        <v>50</v>
      </c>
      <c r="J292" t="s">
        <v>1372</v>
      </c>
      <c r="K292" t="s">
        <v>10</v>
      </c>
      <c r="N292" t="s">
        <v>11</v>
      </c>
      <c r="O292" t="s">
        <v>13</v>
      </c>
      <c r="P292" t="s">
        <v>16</v>
      </c>
      <c r="Q292" t="s">
        <v>1085</v>
      </c>
      <c r="R292" t="s">
        <v>1084</v>
      </c>
      <c r="T292" t="s">
        <v>707</v>
      </c>
      <c r="U292" t="s">
        <v>746</v>
      </c>
    </row>
    <row r="293" spans="1:21" x14ac:dyDescent="0.35">
      <c r="A293" s="18"/>
      <c r="B293" s="18"/>
      <c r="C293" s="18"/>
      <c r="D293" s="18"/>
      <c r="E293" s="18"/>
      <c r="F293" s="18"/>
      <c r="G293" s="18" t="s">
        <v>674</v>
      </c>
      <c r="H293" s="18" t="s">
        <v>674</v>
      </c>
      <c r="I293" s="18" t="s">
        <v>675</v>
      </c>
      <c r="J293" s="18" t="s">
        <v>1436</v>
      </c>
      <c r="K293" s="18" t="s">
        <v>374</v>
      </c>
      <c r="L293" s="18" t="s">
        <v>1115</v>
      </c>
      <c r="M293" s="18" t="s">
        <v>1116</v>
      </c>
      <c r="N293" s="18" t="s">
        <v>375</v>
      </c>
      <c r="O293" s="18"/>
      <c r="P293" s="18" t="s">
        <v>673</v>
      </c>
      <c r="Q293" s="18"/>
      <c r="R293" s="18"/>
      <c r="T293" t="s">
        <v>707</v>
      </c>
      <c r="U293" t="s">
        <v>746</v>
      </c>
    </row>
    <row r="294" spans="1:21" s="18" customFormat="1" x14ac:dyDescent="0.35">
      <c r="A294" s="18" t="s">
        <v>710</v>
      </c>
      <c r="B294" s="18">
        <v>2023</v>
      </c>
      <c r="C294" s="18" t="s">
        <v>707</v>
      </c>
      <c r="F294" s="18" t="s">
        <v>979</v>
      </c>
      <c r="G294" s="18" t="s">
        <v>717</v>
      </c>
      <c r="H294" s="18" t="s">
        <v>79</v>
      </c>
      <c r="I294" s="18" t="s">
        <v>465</v>
      </c>
      <c r="J294" s="18" t="s">
        <v>1273</v>
      </c>
      <c r="K294" s="18" t="s">
        <v>374</v>
      </c>
      <c r="L294" s="18" t="s">
        <v>1115</v>
      </c>
      <c r="M294" s="18" t="s">
        <v>1116</v>
      </c>
      <c r="N294" s="18" t="s">
        <v>375</v>
      </c>
      <c r="P294" s="18" t="s">
        <v>90</v>
      </c>
      <c r="R294" s="18" t="s">
        <v>980</v>
      </c>
      <c r="U294" s="18" t="s">
        <v>746</v>
      </c>
    </row>
    <row r="295" spans="1:21" s="18" customFormat="1" x14ac:dyDescent="0.35">
      <c r="A295" t="s">
        <v>709</v>
      </c>
      <c r="B295" t="s">
        <v>720</v>
      </c>
      <c r="C295" t="s">
        <v>720</v>
      </c>
      <c r="D295" t="s">
        <v>720</v>
      </c>
      <c r="E295" t="s">
        <v>720</v>
      </c>
      <c r="F295" t="s">
        <v>720</v>
      </c>
      <c r="G295" t="s">
        <v>901</v>
      </c>
      <c r="H295" t="s">
        <v>119</v>
      </c>
      <c r="I295" t="s">
        <v>120</v>
      </c>
      <c r="J295" t="s">
        <v>1373</v>
      </c>
      <c r="K295" t="s">
        <v>10</v>
      </c>
      <c r="L295"/>
      <c r="M295"/>
      <c r="N295" t="s">
        <v>11</v>
      </c>
      <c r="O295" t="s">
        <v>122</v>
      </c>
      <c r="P295" t="s">
        <v>121</v>
      </c>
      <c r="Q295" t="s">
        <v>1054</v>
      </c>
      <c r="R295" t="s">
        <v>1087</v>
      </c>
      <c r="U295" s="18" t="s">
        <v>746</v>
      </c>
    </row>
    <row r="296" spans="1:21" s="18" customFormat="1" x14ac:dyDescent="0.35">
      <c r="A296" t="s">
        <v>710</v>
      </c>
      <c r="B296">
        <v>2023</v>
      </c>
      <c r="C296" t="s">
        <v>707</v>
      </c>
      <c r="D296" t="s">
        <v>807</v>
      </c>
      <c r="E296" t="s">
        <v>773</v>
      </c>
      <c r="F296"/>
      <c r="G296" t="s">
        <v>764</v>
      </c>
      <c r="H296" t="s">
        <v>358</v>
      </c>
      <c r="I296" t="s">
        <v>359</v>
      </c>
      <c r="J296" t="s">
        <v>1371</v>
      </c>
      <c r="K296" t="s">
        <v>10</v>
      </c>
      <c r="L296"/>
      <c r="M296"/>
      <c r="N296" t="s">
        <v>233</v>
      </c>
      <c r="O296" t="s">
        <v>274</v>
      </c>
      <c r="P296" t="s">
        <v>360</v>
      </c>
      <c r="Q296"/>
      <c r="R296" s="3" t="s">
        <v>1082</v>
      </c>
      <c r="U296" s="18" t="s">
        <v>746</v>
      </c>
    </row>
    <row r="297" spans="1:21" s="18" customFormat="1" x14ac:dyDescent="0.35">
      <c r="H297" s="18" t="s">
        <v>418</v>
      </c>
      <c r="I297" s="18" t="s">
        <v>419</v>
      </c>
      <c r="J297" s="18" t="s">
        <v>1182</v>
      </c>
      <c r="K297" s="18" t="s">
        <v>374</v>
      </c>
      <c r="L297" s="18" t="s">
        <v>1115</v>
      </c>
      <c r="M297" s="18" t="s">
        <v>1116</v>
      </c>
      <c r="N297" s="18" t="s">
        <v>375</v>
      </c>
      <c r="P297" s="18" t="s">
        <v>420</v>
      </c>
      <c r="U297" s="18" t="s">
        <v>746</v>
      </c>
    </row>
    <row r="298" spans="1:21" x14ac:dyDescent="0.35">
      <c r="A298" t="s">
        <v>710</v>
      </c>
      <c r="B298">
        <v>2023</v>
      </c>
      <c r="C298" t="s">
        <v>720</v>
      </c>
      <c r="D298" t="s">
        <v>807</v>
      </c>
      <c r="E298" t="s">
        <v>805</v>
      </c>
      <c r="F298" t="s">
        <v>1484</v>
      </c>
      <c r="G298" t="s">
        <v>719</v>
      </c>
      <c r="H298" t="s">
        <v>178</v>
      </c>
      <c r="I298" t="s">
        <v>179</v>
      </c>
      <c r="J298" t="s">
        <v>1426</v>
      </c>
      <c r="K298" t="s">
        <v>10</v>
      </c>
      <c r="N298" t="s">
        <v>11</v>
      </c>
      <c r="O298" t="s">
        <v>292</v>
      </c>
      <c r="P298" t="s">
        <v>180</v>
      </c>
      <c r="R298" t="s">
        <v>1472</v>
      </c>
      <c r="S298" t="s">
        <v>2394</v>
      </c>
      <c r="T298" t="s">
        <v>707</v>
      </c>
      <c r="U298" t="s">
        <v>746</v>
      </c>
    </row>
    <row r="299" spans="1:21" x14ac:dyDescent="0.35">
      <c r="A299" s="18"/>
      <c r="B299" s="18"/>
      <c r="C299" s="18"/>
      <c r="D299" s="18"/>
      <c r="E299" s="18"/>
      <c r="F299" s="18"/>
      <c r="G299" s="18" t="s">
        <v>838</v>
      </c>
      <c r="H299" s="18" t="s">
        <v>606</v>
      </c>
      <c r="I299" s="18" t="s">
        <v>607</v>
      </c>
      <c r="J299" s="18" t="s">
        <v>1194</v>
      </c>
      <c r="K299" s="18" t="s">
        <v>374</v>
      </c>
      <c r="L299" s="18" t="s">
        <v>1115</v>
      </c>
      <c r="M299" s="18" t="s">
        <v>1116</v>
      </c>
      <c r="N299" s="18" t="s">
        <v>375</v>
      </c>
      <c r="O299" s="18"/>
      <c r="P299" s="18" t="s">
        <v>608</v>
      </c>
      <c r="Q299" s="18"/>
      <c r="R299" s="18"/>
      <c r="S299" t="s">
        <v>1475</v>
      </c>
      <c r="T299" t="s">
        <v>1476</v>
      </c>
      <c r="U299" t="s">
        <v>710</v>
      </c>
    </row>
    <row r="300" spans="1:21" x14ac:dyDescent="0.35">
      <c r="A300" t="s">
        <v>710</v>
      </c>
      <c r="B300">
        <v>2023</v>
      </c>
      <c r="C300">
        <v>2021</v>
      </c>
      <c r="D300" t="s">
        <v>772</v>
      </c>
      <c r="E300" t="s">
        <v>805</v>
      </c>
      <c r="F300" t="s">
        <v>979</v>
      </c>
      <c r="G300" t="s">
        <v>756</v>
      </c>
      <c r="H300" t="s">
        <v>46</v>
      </c>
      <c r="I300" t="s">
        <v>48</v>
      </c>
      <c r="J300" t="s">
        <v>1340</v>
      </c>
      <c r="K300" t="s">
        <v>10</v>
      </c>
      <c r="N300" t="s">
        <v>11</v>
      </c>
      <c r="O300" t="s">
        <v>44</v>
      </c>
      <c r="P300" t="s">
        <v>16</v>
      </c>
      <c r="Q300" t="s">
        <v>1045</v>
      </c>
      <c r="R300" t="s">
        <v>763</v>
      </c>
      <c r="S300" t="s">
        <v>1475</v>
      </c>
      <c r="T300" t="s">
        <v>1476</v>
      </c>
      <c r="U300" t="s">
        <v>710</v>
      </c>
    </row>
    <row r="301" spans="1:21" x14ac:dyDescent="0.35">
      <c r="A301" t="s">
        <v>710</v>
      </c>
      <c r="B301">
        <v>2023</v>
      </c>
      <c r="C301" t="s">
        <v>720</v>
      </c>
      <c r="D301" t="s">
        <v>807</v>
      </c>
      <c r="E301" t="s">
        <v>805</v>
      </c>
      <c r="F301" t="s">
        <v>1484</v>
      </c>
      <c r="G301" t="s">
        <v>719</v>
      </c>
      <c r="H301" t="s">
        <v>178</v>
      </c>
      <c r="I301" t="s">
        <v>186</v>
      </c>
      <c r="J301" t="s">
        <v>1427</v>
      </c>
      <c r="K301" t="s">
        <v>10</v>
      </c>
      <c r="N301" t="s">
        <v>11</v>
      </c>
      <c r="O301" t="s">
        <v>274</v>
      </c>
      <c r="P301" t="s">
        <v>187</v>
      </c>
      <c r="Q301" t="s">
        <v>1480</v>
      </c>
      <c r="R301" t="s">
        <v>1472</v>
      </c>
      <c r="S301" t="s">
        <v>1475</v>
      </c>
      <c r="T301" t="s">
        <v>1476</v>
      </c>
      <c r="U301" t="s">
        <v>710</v>
      </c>
    </row>
    <row r="302" spans="1:21" x14ac:dyDescent="0.35">
      <c r="A302" s="18" t="s">
        <v>710</v>
      </c>
      <c r="B302" s="18">
        <v>2023</v>
      </c>
      <c r="C302" s="18" t="s">
        <v>707</v>
      </c>
      <c r="D302" s="18"/>
      <c r="E302" s="18"/>
      <c r="F302" s="18" t="s">
        <v>979</v>
      </c>
      <c r="G302" s="18" t="s">
        <v>717</v>
      </c>
      <c r="H302" s="18" t="s">
        <v>79</v>
      </c>
      <c r="I302" s="18" t="s">
        <v>466</v>
      </c>
      <c r="J302" s="18" t="s">
        <v>1274</v>
      </c>
      <c r="K302" s="18" t="s">
        <v>374</v>
      </c>
      <c r="L302" s="18" t="s">
        <v>1115</v>
      </c>
      <c r="M302" s="18" t="s">
        <v>1116</v>
      </c>
      <c r="N302" s="18" t="s">
        <v>375</v>
      </c>
      <c r="O302" s="18"/>
      <c r="P302" s="18" t="s">
        <v>90</v>
      </c>
      <c r="Q302" s="18"/>
      <c r="R302" s="18" t="s">
        <v>980</v>
      </c>
      <c r="S302" t="s">
        <v>1475</v>
      </c>
      <c r="T302" t="s">
        <v>707</v>
      </c>
      <c r="U302" t="s">
        <v>710</v>
      </c>
    </row>
    <row r="303" spans="1:21" x14ac:dyDescent="0.35">
      <c r="A303" t="s">
        <v>710</v>
      </c>
      <c r="B303">
        <v>2024</v>
      </c>
      <c r="C303" t="s">
        <v>707</v>
      </c>
      <c r="D303" t="s">
        <v>772</v>
      </c>
      <c r="E303" t="s">
        <v>805</v>
      </c>
      <c r="F303" t="s">
        <v>979</v>
      </c>
      <c r="G303" t="s">
        <v>101</v>
      </c>
      <c r="H303" t="s">
        <v>101</v>
      </c>
      <c r="I303" t="s">
        <v>361</v>
      </c>
      <c r="J303" t="s">
        <v>1405</v>
      </c>
      <c r="K303" t="s">
        <v>10</v>
      </c>
      <c r="N303" t="s">
        <v>233</v>
      </c>
      <c r="O303" t="s">
        <v>292</v>
      </c>
      <c r="P303" t="s">
        <v>362</v>
      </c>
      <c r="R303" t="s">
        <v>1466</v>
      </c>
      <c r="S303" t="s">
        <v>1475</v>
      </c>
      <c r="T303" t="s">
        <v>1476</v>
      </c>
      <c r="U303" t="s">
        <v>710</v>
      </c>
    </row>
    <row r="304" spans="1:21" x14ac:dyDescent="0.35">
      <c r="A304" s="18"/>
      <c r="B304" s="18"/>
      <c r="C304" s="18"/>
      <c r="D304" s="18"/>
      <c r="E304" s="18"/>
      <c r="F304" s="18"/>
      <c r="G304" s="18" t="s">
        <v>433</v>
      </c>
      <c r="H304" s="18" t="s">
        <v>433</v>
      </c>
      <c r="I304" s="18" t="s">
        <v>434</v>
      </c>
      <c r="J304" s="18" t="s">
        <v>1415</v>
      </c>
      <c r="K304" s="18" t="s">
        <v>374</v>
      </c>
      <c r="L304" s="18" t="s">
        <v>1115</v>
      </c>
      <c r="M304" s="18" t="s">
        <v>1116</v>
      </c>
      <c r="N304" s="18" t="s">
        <v>375</v>
      </c>
      <c r="O304" s="18"/>
      <c r="P304" s="18" t="s">
        <v>84</v>
      </c>
      <c r="Q304" s="18"/>
      <c r="R304" s="18"/>
      <c r="S304" t="s">
        <v>1475</v>
      </c>
      <c r="T304" t="s">
        <v>1476</v>
      </c>
      <c r="U304" t="s">
        <v>710</v>
      </c>
    </row>
    <row r="305" spans="1:21" x14ac:dyDescent="0.35">
      <c r="A305" s="18"/>
      <c r="B305" s="18"/>
      <c r="C305" s="18"/>
      <c r="D305" s="18"/>
      <c r="E305" s="18"/>
      <c r="F305" s="18"/>
      <c r="G305" s="18" t="s">
        <v>858</v>
      </c>
      <c r="H305" s="18" t="s">
        <v>561</v>
      </c>
      <c r="I305" s="18" t="s">
        <v>562</v>
      </c>
      <c r="J305" s="18" t="s">
        <v>1262</v>
      </c>
      <c r="K305" s="18" t="s">
        <v>374</v>
      </c>
      <c r="L305" s="18" t="s">
        <v>1115</v>
      </c>
      <c r="M305" s="18" t="s">
        <v>1116</v>
      </c>
      <c r="N305" s="18" t="s">
        <v>375</v>
      </c>
      <c r="O305" s="18"/>
      <c r="P305" s="18" t="s">
        <v>563</v>
      </c>
      <c r="Q305" s="18"/>
      <c r="R305" s="18"/>
      <c r="S305" t="s">
        <v>1474</v>
      </c>
      <c r="T305" t="s">
        <v>707</v>
      </c>
      <c r="U305" t="s">
        <v>710</v>
      </c>
    </row>
    <row r="306" spans="1:21" x14ac:dyDescent="0.35">
      <c r="A306" s="18" t="s">
        <v>710</v>
      </c>
      <c r="B306" s="18">
        <v>2023</v>
      </c>
      <c r="C306" s="18" t="s">
        <v>707</v>
      </c>
      <c r="D306" s="18"/>
      <c r="E306" s="18"/>
      <c r="F306" s="18"/>
      <c r="G306" s="18" t="s">
        <v>14</v>
      </c>
      <c r="H306" s="18" t="s">
        <v>14</v>
      </c>
      <c r="I306" s="18" t="s">
        <v>432</v>
      </c>
      <c r="J306" s="18" t="s">
        <v>1133</v>
      </c>
      <c r="K306" s="18" t="s">
        <v>374</v>
      </c>
      <c r="L306" s="18" t="s">
        <v>1115</v>
      </c>
      <c r="M306" s="18" t="s">
        <v>1116</v>
      </c>
      <c r="N306" s="18" t="s">
        <v>375</v>
      </c>
      <c r="O306" s="18"/>
      <c r="P306" s="18" t="s">
        <v>81</v>
      </c>
      <c r="Q306" s="18" t="s">
        <v>1517</v>
      </c>
      <c r="R306" s="18" t="s">
        <v>768</v>
      </c>
      <c r="S306" t="s">
        <v>1478</v>
      </c>
      <c r="T306" t="s">
        <v>1477</v>
      </c>
      <c r="U306" t="s">
        <v>710</v>
      </c>
    </row>
    <row r="307" spans="1:21" x14ac:dyDescent="0.35">
      <c r="A307" s="18"/>
      <c r="B307" s="18"/>
      <c r="C307" s="18"/>
      <c r="D307" s="18"/>
      <c r="E307" s="18"/>
      <c r="F307" s="18"/>
      <c r="G307" s="18" t="s">
        <v>852</v>
      </c>
      <c r="H307" s="18" t="s">
        <v>622</v>
      </c>
      <c r="I307" s="18" t="s">
        <v>623</v>
      </c>
      <c r="J307" s="18" t="s">
        <v>1238</v>
      </c>
      <c r="K307" s="18" t="s">
        <v>374</v>
      </c>
      <c r="L307" s="18" t="s">
        <v>1115</v>
      </c>
      <c r="M307" s="18" t="s">
        <v>1116</v>
      </c>
      <c r="N307" s="18" t="s">
        <v>375</v>
      </c>
      <c r="O307" s="18"/>
      <c r="P307" s="18" t="s">
        <v>611</v>
      </c>
      <c r="Q307" s="18"/>
      <c r="R307" s="18"/>
      <c r="T307" t="s">
        <v>1479</v>
      </c>
      <c r="U307" t="s">
        <v>710</v>
      </c>
    </row>
    <row r="308" spans="1:21" x14ac:dyDescent="0.35">
      <c r="A308" t="s">
        <v>710</v>
      </c>
      <c r="B308">
        <v>2024</v>
      </c>
      <c r="C308" t="s">
        <v>707</v>
      </c>
      <c r="D308" t="s">
        <v>807</v>
      </c>
      <c r="E308" t="s">
        <v>805</v>
      </c>
      <c r="F308" t="s">
        <v>1066</v>
      </c>
      <c r="G308" t="s">
        <v>718</v>
      </c>
      <c r="H308" t="s">
        <v>246</v>
      </c>
      <c r="I308" t="s">
        <v>363</v>
      </c>
      <c r="J308" t="s">
        <v>1351</v>
      </c>
      <c r="K308" t="s">
        <v>10</v>
      </c>
      <c r="N308" t="s">
        <v>233</v>
      </c>
      <c r="O308" t="s">
        <v>274</v>
      </c>
      <c r="P308" t="s">
        <v>364</v>
      </c>
      <c r="Q308" t="s">
        <v>1056</v>
      </c>
      <c r="R308" t="s">
        <v>1055</v>
      </c>
      <c r="S308" t="s">
        <v>1481</v>
      </c>
      <c r="T308" t="s">
        <v>707</v>
      </c>
      <c r="U308" t="s">
        <v>710</v>
      </c>
    </row>
    <row r="309" spans="1:21" x14ac:dyDescent="0.35">
      <c r="A309" s="18" t="s">
        <v>710</v>
      </c>
      <c r="B309" s="18">
        <v>2022</v>
      </c>
      <c r="C309" s="18" t="s">
        <v>707</v>
      </c>
      <c r="D309" s="18"/>
      <c r="E309" s="18"/>
      <c r="F309" s="18"/>
      <c r="G309" s="18" t="s">
        <v>725</v>
      </c>
      <c r="H309" s="18" t="s">
        <v>138</v>
      </c>
      <c r="I309" s="18" t="s">
        <v>576</v>
      </c>
      <c r="J309" s="18" t="s">
        <v>1286</v>
      </c>
      <c r="K309" s="18" t="s">
        <v>374</v>
      </c>
      <c r="L309" s="18" t="s">
        <v>1115</v>
      </c>
      <c r="M309" s="18" t="s">
        <v>1116</v>
      </c>
      <c r="N309" s="18" t="s">
        <v>375</v>
      </c>
      <c r="O309" s="18"/>
      <c r="P309" s="18" t="s">
        <v>577</v>
      </c>
      <c r="Q309" s="18"/>
      <c r="R309" s="18" t="s">
        <v>724</v>
      </c>
      <c r="S309" t="s">
        <v>1482</v>
      </c>
      <c r="T309" t="s">
        <v>1483</v>
      </c>
      <c r="U309" t="s">
        <v>710</v>
      </c>
    </row>
    <row r="310" spans="1:21" s="18" customFormat="1" x14ac:dyDescent="0.35">
      <c r="A310" t="s">
        <v>710</v>
      </c>
      <c r="B310">
        <v>2023</v>
      </c>
      <c r="C310" t="s">
        <v>707</v>
      </c>
      <c r="D310" t="s">
        <v>807</v>
      </c>
      <c r="E310" t="s">
        <v>773</v>
      </c>
      <c r="F310" t="s">
        <v>979</v>
      </c>
      <c r="G310" t="s">
        <v>365</v>
      </c>
      <c r="H310" t="s">
        <v>365</v>
      </c>
      <c r="I310" t="s">
        <v>366</v>
      </c>
      <c r="J310" t="s">
        <v>1343</v>
      </c>
      <c r="K310" t="s">
        <v>10</v>
      </c>
      <c r="L310"/>
      <c r="M310"/>
      <c r="N310" t="s">
        <v>233</v>
      </c>
      <c r="O310" t="s">
        <v>1050</v>
      </c>
      <c r="P310"/>
      <c r="Q310"/>
      <c r="R310" t="s">
        <v>1049</v>
      </c>
      <c r="U310" s="18" t="s">
        <v>746</v>
      </c>
    </row>
    <row r="311" spans="1:21" x14ac:dyDescent="0.35">
      <c r="A311" t="s">
        <v>709</v>
      </c>
      <c r="B311" t="s">
        <v>720</v>
      </c>
      <c r="C311" t="s">
        <v>720</v>
      </c>
      <c r="D311" t="s">
        <v>720</v>
      </c>
      <c r="E311" t="s">
        <v>720</v>
      </c>
      <c r="F311" t="s">
        <v>720</v>
      </c>
      <c r="G311" t="s">
        <v>720</v>
      </c>
      <c r="H311" t="s">
        <v>109</v>
      </c>
      <c r="I311" t="s">
        <v>110</v>
      </c>
      <c r="J311" t="s">
        <v>1169</v>
      </c>
      <c r="K311" t="s">
        <v>10</v>
      </c>
      <c r="N311" t="s">
        <v>11</v>
      </c>
      <c r="O311" t="s">
        <v>34</v>
      </c>
      <c r="P311" t="s">
        <v>111</v>
      </c>
      <c r="Q311" t="s">
        <v>791</v>
      </c>
      <c r="R311" t="s">
        <v>790</v>
      </c>
      <c r="T311" t="s">
        <v>1112</v>
      </c>
      <c r="U311" t="s">
        <v>746</v>
      </c>
    </row>
    <row r="312" spans="1:21" s="18" customFormat="1" x14ac:dyDescent="0.35">
      <c r="A312" t="s">
        <v>710</v>
      </c>
      <c r="B312">
        <v>2023</v>
      </c>
      <c r="C312" t="s">
        <v>720</v>
      </c>
      <c r="D312" t="s">
        <v>807</v>
      </c>
      <c r="E312" t="s">
        <v>805</v>
      </c>
      <c r="F312" t="s">
        <v>1484</v>
      </c>
      <c r="G312" t="s">
        <v>719</v>
      </c>
      <c r="H312" t="s">
        <v>181</v>
      </c>
      <c r="I312" t="s">
        <v>182</v>
      </c>
      <c r="J312" t="s">
        <v>1429</v>
      </c>
      <c r="K312" t="s">
        <v>10</v>
      </c>
      <c r="L312"/>
      <c r="M312"/>
      <c r="N312" t="s">
        <v>11</v>
      </c>
      <c r="O312" t="s">
        <v>274</v>
      </c>
      <c r="P312" t="s">
        <v>183</v>
      </c>
      <c r="Q312"/>
      <c r="R312" t="s">
        <v>1472</v>
      </c>
      <c r="U312" s="18" t="s">
        <v>746</v>
      </c>
    </row>
    <row r="313" spans="1:21" s="18" customFormat="1" x14ac:dyDescent="0.35">
      <c r="G313" s="18" t="s">
        <v>842</v>
      </c>
      <c r="H313" s="18" t="s">
        <v>667</v>
      </c>
      <c r="I313" s="18" t="s">
        <v>668</v>
      </c>
      <c r="J313" s="18" t="s">
        <v>1206</v>
      </c>
      <c r="K313" s="18" t="s">
        <v>374</v>
      </c>
      <c r="L313" s="18" t="s">
        <v>1115</v>
      </c>
      <c r="M313" s="18" t="s">
        <v>1116</v>
      </c>
      <c r="N313" s="18" t="s">
        <v>375</v>
      </c>
      <c r="P313" s="18" t="s">
        <v>210</v>
      </c>
      <c r="U313" s="18" t="s">
        <v>746</v>
      </c>
    </row>
    <row r="314" spans="1:21" s="18" customFormat="1" x14ac:dyDescent="0.35">
      <c r="A314" t="s">
        <v>709</v>
      </c>
      <c r="B314" t="s">
        <v>720</v>
      </c>
      <c r="C314" t="s">
        <v>720</v>
      </c>
      <c r="D314" t="s">
        <v>720</v>
      </c>
      <c r="E314" t="s">
        <v>720</v>
      </c>
      <c r="F314" t="s">
        <v>720</v>
      </c>
      <c r="G314" t="s">
        <v>909</v>
      </c>
      <c r="H314" t="s">
        <v>367</v>
      </c>
      <c r="I314" t="s">
        <v>368</v>
      </c>
      <c r="J314" t="s">
        <v>1418</v>
      </c>
      <c r="K314" t="s">
        <v>10</v>
      </c>
      <c r="L314"/>
      <c r="M314"/>
      <c r="N314" t="s">
        <v>233</v>
      </c>
      <c r="O314" t="s">
        <v>255</v>
      </c>
      <c r="P314" t="s">
        <v>244</v>
      </c>
      <c r="Q314"/>
      <c r="R314" t="s">
        <v>1110</v>
      </c>
      <c r="U314" s="18" t="s">
        <v>746</v>
      </c>
    </row>
    <row r="315" spans="1:21" s="18" customFormat="1" x14ac:dyDescent="0.35">
      <c r="A315" t="s">
        <v>710</v>
      </c>
      <c r="B315">
        <v>2023</v>
      </c>
      <c r="C315">
        <v>2020</v>
      </c>
      <c r="D315" t="s">
        <v>772</v>
      </c>
      <c r="E315" t="s">
        <v>832</v>
      </c>
      <c r="F315" t="s">
        <v>918</v>
      </c>
      <c r="G315" t="s">
        <v>73</v>
      </c>
      <c r="H315" t="s">
        <v>73</v>
      </c>
      <c r="I315" t="s">
        <v>74</v>
      </c>
      <c r="J315" t="s">
        <v>1276</v>
      </c>
      <c r="K315" t="s">
        <v>10</v>
      </c>
      <c r="L315"/>
      <c r="M315"/>
      <c r="N315" t="s">
        <v>11</v>
      </c>
      <c r="O315" t="s">
        <v>13</v>
      </c>
      <c r="P315" t="s">
        <v>64</v>
      </c>
      <c r="Q315" t="s">
        <v>760</v>
      </c>
      <c r="R315" s="2" t="s">
        <v>759</v>
      </c>
      <c r="U315" s="18" t="s">
        <v>746</v>
      </c>
    </row>
    <row r="316" spans="1:21" s="18" customFormat="1" x14ac:dyDescent="0.35">
      <c r="G316" s="18" t="s">
        <v>876</v>
      </c>
      <c r="H316" s="18" t="s">
        <v>520</v>
      </c>
      <c r="I316" s="18" t="s">
        <v>521</v>
      </c>
      <c r="J316" s="18" t="s">
        <v>1311</v>
      </c>
      <c r="K316" s="18" t="s">
        <v>374</v>
      </c>
      <c r="L316" s="18" t="s">
        <v>1115</v>
      </c>
      <c r="M316" s="18" t="s">
        <v>1116</v>
      </c>
      <c r="N316" s="18" t="s">
        <v>375</v>
      </c>
      <c r="P316" s="18" t="s">
        <v>509</v>
      </c>
      <c r="U316" s="18" t="s">
        <v>746</v>
      </c>
    </row>
    <row r="317" spans="1:21" x14ac:dyDescent="0.35">
      <c r="A317" t="s">
        <v>710</v>
      </c>
      <c r="B317">
        <v>2021</v>
      </c>
      <c r="C317" t="s">
        <v>707</v>
      </c>
      <c r="D317" t="s">
        <v>807</v>
      </c>
      <c r="E317" t="s">
        <v>773</v>
      </c>
      <c r="F317" t="s">
        <v>942</v>
      </c>
      <c r="G317" t="s">
        <v>716</v>
      </c>
      <c r="H317" t="s">
        <v>297</v>
      </c>
      <c r="I317" t="s">
        <v>369</v>
      </c>
      <c r="J317" t="s">
        <v>1220</v>
      </c>
      <c r="K317" t="s">
        <v>10</v>
      </c>
      <c r="N317" t="s">
        <v>233</v>
      </c>
      <c r="R317" t="s">
        <v>943</v>
      </c>
      <c r="S317" t="s">
        <v>1487</v>
      </c>
      <c r="T317" s="22" t="s">
        <v>1489</v>
      </c>
      <c r="U317" t="s">
        <v>746</v>
      </c>
    </row>
    <row r="318" spans="1:21" x14ac:dyDescent="0.35">
      <c r="A318" s="18"/>
      <c r="B318" s="18"/>
      <c r="C318" s="18"/>
      <c r="D318" s="18"/>
      <c r="E318" s="18"/>
      <c r="F318" s="18"/>
      <c r="G318" s="18" t="s">
        <v>842</v>
      </c>
      <c r="H318" s="18" t="s">
        <v>667</v>
      </c>
      <c r="I318" s="18" t="s">
        <v>669</v>
      </c>
      <c r="J318" s="18" t="s">
        <v>1207</v>
      </c>
      <c r="K318" s="18" t="s">
        <v>374</v>
      </c>
      <c r="L318" s="18" t="s">
        <v>1115</v>
      </c>
      <c r="M318" s="18" t="s">
        <v>1116</v>
      </c>
      <c r="N318" s="18" t="s">
        <v>375</v>
      </c>
      <c r="O318" s="18"/>
      <c r="P318" s="18" t="s">
        <v>210</v>
      </c>
      <c r="Q318" s="18"/>
      <c r="R318" s="18"/>
      <c r="S318" t="s">
        <v>1488</v>
      </c>
      <c r="T318" s="22" t="s">
        <v>1490</v>
      </c>
      <c r="U318" t="s">
        <v>746</v>
      </c>
    </row>
    <row r="319" spans="1:21" x14ac:dyDescent="0.35">
      <c r="A319" t="s">
        <v>710</v>
      </c>
      <c r="B319">
        <v>2024</v>
      </c>
      <c r="C319" t="s">
        <v>707</v>
      </c>
      <c r="D319" t="s">
        <v>807</v>
      </c>
      <c r="E319" t="s">
        <v>773</v>
      </c>
      <c r="G319" t="s">
        <v>714</v>
      </c>
      <c r="H319" t="s">
        <v>350</v>
      </c>
      <c r="I319" t="s">
        <v>370</v>
      </c>
      <c r="J319" t="s">
        <v>1241</v>
      </c>
      <c r="K319" t="s">
        <v>10</v>
      </c>
      <c r="N319" t="s">
        <v>233</v>
      </c>
      <c r="R319" t="s">
        <v>951</v>
      </c>
      <c r="S319" t="s">
        <v>720</v>
      </c>
      <c r="T319" s="22" t="s">
        <v>1486</v>
      </c>
      <c r="U319" t="s">
        <v>746</v>
      </c>
    </row>
    <row r="320" spans="1:21" s="18" customFormat="1" x14ac:dyDescent="0.35">
      <c r="A320" t="s">
        <v>710</v>
      </c>
      <c r="B320">
        <v>2024</v>
      </c>
      <c r="C320" t="s">
        <v>707</v>
      </c>
      <c r="D320" t="s">
        <v>807</v>
      </c>
      <c r="E320" t="s">
        <v>773</v>
      </c>
      <c r="F320"/>
      <c r="G320" t="s">
        <v>714</v>
      </c>
      <c r="H320" t="s">
        <v>281</v>
      </c>
      <c r="I320" t="s">
        <v>371</v>
      </c>
      <c r="J320" t="s">
        <v>1244</v>
      </c>
      <c r="K320" t="s">
        <v>10</v>
      </c>
      <c r="L320"/>
      <c r="M320"/>
      <c r="N320" t="s">
        <v>233</v>
      </c>
      <c r="O320" t="s">
        <v>255</v>
      </c>
      <c r="P320" t="s">
        <v>244</v>
      </c>
      <c r="Q320"/>
      <c r="R320" t="s">
        <v>951</v>
      </c>
      <c r="U320" s="18" t="s">
        <v>746</v>
      </c>
    </row>
    <row r="321" spans="1:21" s="18" customFormat="1" x14ac:dyDescent="0.35">
      <c r="G321" s="18" t="s">
        <v>841</v>
      </c>
      <c r="H321" s="18" t="s">
        <v>638</v>
      </c>
      <c r="I321" s="18" t="s">
        <v>639</v>
      </c>
      <c r="J321" s="18" t="s">
        <v>1205</v>
      </c>
      <c r="K321" s="18" t="s">
        <v>374</v>
      </c>
      <c r="L321" s="18" t="s">
        <v>1115</v>
      </c>
      <c r="M321" s="18" t="s">
        <v>1116</v>
      </c>
      <c r="N321" s="18" t="s">
        <v>375</v>
      </c>
      <c r="P321" s="18" t="s">
        <v>627</v>
      </c>
      <c r="U321" s="18" t="s">
        <v>746</v>
      </c>
    </row>
    <row r="322" spans="1:21" s="18" customFormat="1" x14ac:dyDescent="0.35">
      <c r="A322" t="s">
        <v>710</v>
      </c>
      <c r="B322">
        <v>2024</v>
      </c>
      <c r="C322" t="s">
        <v>707</v>
      </c>
      <c r="D322" t="s">
        <v>807</v>
      </c>
      <c r="E322" t="s">
        <v>773</v>
      </c>
      <c r="F322" t="s">
        <v>921</v>
      </c>
      <c r="G322" t="s">
        <v>721</v>
      </c>
      <c r="H322" t="s">
        <v>93</v>
      </c>
      <c r="I322" t="s">
        <v>96</v>
      </c>
      <c r="J322" t="s">
        <v>1197</v>
      </c>
      <c r="K322" t="s">
        <v>10</v>
      </c>
      <c r="L322"/>
      <c r="M322"/>
      <c r="N322" t="s">
        <v>11</v>
      </c>
      <c r="O322" t="s">
        <v>34</v>
      </c>
      <c r="P322" t="s">
        <v>95</v>
      </c>
      <c r="Q322"/>
      <c r="R322" t="s">
        <v>922</v>
      </c>
      <c r="U322" s="18" t="s">
        <v>746</v>
      </c>
    </row>
    <row r="323" spans="1:21" x14ac:dyDescent="0.35">
      <c r="A323" s="18" t="s">
        <v>710</v>
      </c>
      <c r="B323" s="18">
        <v>2023</v>
      </c>
      <c r="C323" s="18" t="s">
        <v>707</v>
      </c>
      <c r="D323" s="18"/>
      <c r="E323" s="18"/>
      <c r="F323" s="18" t="s">
        <v>979</v>
      </c>
      <c r="G323" s="18" t="s">
        <v>717</v>
      </c>
      <c r="H323" s="18" t="s">
        <v>79</v>
      </c>
      <c r="I323" s="18" t="s">
        <v>467</v>
      </c>
      <c r="J323" s="18" t="s">
        <v>1275</v>
      </c>
      <c r="K323" s="18" t="s">
        <v>374</v>
      </c>
      <c r="L323" s="18" t="s">
        <v>1115</v>
      </c>
      <c r="M323" s="18" t="s">
        <v>1116</v>
      </c>
      <c r="N323" s="18" t="s">
        <v>375</v>
      </c>
      <c r="O323" s="18"/>
      <c r="P323" s="18" t="s">
        <v>90</v>
      </c>
      <c r="Q323" s="18"/>
      <c r="R323" s="18" t="s">
        <v>980</v>
      </c>
      <c r="S323" t="s">
        <v>1491</v>
      </c>
      <c r="T323" t="s">
        <v>1495</v>
      </c>
      <c r="U323" t="s">
        <v>746</v>
      </c>
    </row>
    <row r="324" spans="1:21" x14ac:dyDescent="0.35">
      <c r="A324" t="s">
        <v>710</v>
      </c>
      <c r="B324">
        <v>2024</v>
      </c>
      <c r="C324" t="s">
        <v>707</v>
      </c>
      <c r="D324" t="s">
        <v>807</v>
      </c>
      <c r="E324" t="s">
        <v>773</v>
      </c>
      <c r="F324" t="s">
        <v>921</v>
      </c>
      <c r="G324" t="s">
        <v>721</v>
      </c>
      <c r="H324" t="s">
        <v>93</v>
      </c>
      <c r="I324" t="s">
        <v>97</v>
      </c>
      <c r="J324" t="s">
        <v>1198</v>
      </c>
      <c r="K324" t="s">
        <v>10</v>
      </c>
      <c r="N324" t="s">
        <v>11</v>
      </c>
      <c r="O324" t="s">
        <v>98</v>
      </c>
      <c r="P324" t="s">
        <v>95</v>
      </c>
      <c r="R324" t="s">
        <v>922</v>
      </c>
      <c r="S324" t="s">
        <v>1492</v>
      </c>
      <c r="T324" t="s">
        <v>1496</v>
      </c>
      <c r="U324" t="s">
        <v>746</v>
      </c>
    </row>
    <row r="325" spans="1:21" x14ac:dyDescent="0.35">
      <c r="A325" s="18"/>
      <c r="B325" s="18"/>
      <c r="C325" s="18"/>
      <c r="D325" s="18"/>
      <c r="E325" s="18"/>
      <c r="F325" s="18"/>
      <c r="G325" s="18"/>
      <c r="H325" s="18" t="s">
        <v>549</v>
      </c>
      <c r="I325" s="18" t="s">
        <v>550</v>
      </c>
      <c r="J325" s="18" t="s">
        <v>1183</v>
      </c>
      <c r="K325" s="18" t="s">
        <v>374</v>
      </c>
      <c r="L325" s="18" t="s">
        <v>1115</v>
      </c>
      <c r="M325" s="18" t="s">
        <v>1116</v>
      </c>
      <c r="N325" s="18" t="s">
        <v>375</v>
      </c>
      <c r="O325" s="18"/>
      <c r="P325" s="18" t="s">
        <v>548</v>
      </c>
      <c r="Q325" s="20"/>
      <c r="R325" s="18"/>
      <c r="S325" t="s">
        <v>1493</v>
      </c>
      <c r="T325" t="s">
        <v>1497</v>
      </c>
      <c r="U325" t="s">
        <v>746</v>
      </c>
    </row>
    <row r="326" spans="1:21" x14ac:dyDescent="0.35">
      <c r="A326" s="18"/>
      <c r="B326" s="18"/>
      <c r="C326" s="18"/>
      <c r="D326" s="18"/>
      <c r="E326" s="18"/>
      <c r="F326" s="18"/>
      <c r="G326" s="18" t="s">
        <v>844</v>
      </c>
      <c r="H326" s="18" t="s">
        <v>484</v>
      </c>
      <c r="I326" s="18" t="s">
        <v>485</v>
      </c>
      <c r="J326" s="18" t="s">
        <v>1226</v>
      </c>
      <c r="K326" s="18" t="s">
        <v>374</v>
      </c>
      <c r="L326" s="18" t="s">
        <v>1115</v>
      </c>
      <c r="M326" s="18" t="s">
        <v>1116</v>
      </c>
      <c r="N326" s="18" t="s">
        <v>375</v>
      </c>
      <c r="O326" s="18"/>
      <c r="P326" s="18" t="s">
        <v>483</v>
      </c>
      <c r="Q326" s="18"/>
      <c r="R326" s="18"/>
      <c r="S326" t="s">
        <v>1494</v>
      </c>
      <c r="T326" t="s">
        <v>1498</v>
      </c>
      <c r="U326" t="s">
        <v>746</v>
      </c>
    </row>
    <row r="327" spans="1:21" s="18" customFormat="1" x14ac:dyDescent="0.35">
      <c r="G327" s="18" t="s">
        <v>862</v>
      </c>
      <c r="H327" s="18" t="s">
        <v>624</v>
      </c>
      <c r="I327" s="18" t="s">
        <v>625</v>
      </c>
      <c r="J327" s="18" t="s">
        <v>1284</v>
      </c>
      <c r="K327" s="18" t="s">
        <v>374</v>
      </c>
      <c r="L327" s="18" t="s">
        <v>1115</v>
      </c>
      <c r="M327" s="18" t="s">
        <v>1116</v>
      </c>
      <c r="N327" s="18" t="s">
        <v>375</v>
      </c>
      <c r="P327" s="18" t="s">
        <v>626</v>
      </c>
      <c r="U327" s="18" t="s">
        <v>746</v>
      </c>
    </row>
    <row r="328" spans="1:21" s="18" customFormat="1" x14ac:dyDescent="0.35">
      <c r="A328" s="18" t="s">
        <v>710</v>
      </c>
      <c r="B328" s="18">
        <v>2023</v>
      </c>
      <c r="C328" s="18">
        <v>2020</v>
      </c>
      <c r="D328" s="18" t="s">
        <v>772</v>
      </c>
      <c r="E328" s="18" t="s">
        <v>773</v>
      </c>
      <c r="G328" s="18" t="s">
        <v>135</v>
      </c>
      <c r="H328" s="18" t="s">
        <v>135</v>
      </c>
      <c r="I328" s="18" t="s">
        <v>407</v>
      </c>
      <c r="J328" s="18" t="s">
        <v>1396</v>
      </c>
      <c r="K328" s="18" t="s">
        <v>374</v>
      </c>
      <c r="L328" s="18" t="s">
        <v>1115</v>
      </c>
      <c r="M328" s="18" t="s">
        <v>1116</v>
      </c>
      <c r="N328" s="18" t="s">
        <v>375</v>
      </c>
      <c r="P328" s="18" t="s">
        <v>130</v>
      </c>
      <c r="Q328" s="18" t="s">
        <v>728</v>
      </c>
      <c r="R328" s="18" t="s">
        <v>727</v>
      </c>
      <c r="U328" s="18" t="s">
        <v>746</v>
      </c>
    </row>
    <row r="329" spans="1:21" s="18" customFormat="1" x14ac:dyDescent="0.35">
      <c r="A329" t="s">
        <v>710</v>
      </c>
      <c r="B329">
        <v>2023</v>
      </c>
      <c r="C329" t="s">
        <v>707</v>
      </c>
      <c r="D329" t="s">
        <v>772</v>
      </c>
      <c r="E329" t="s">
        <v>805</v>
      </c>
      <c r="F329"/>
      <c r="G329" t="s">
        <v>736</v>
      </c>
      <c r="H329" t="s">
        <v>24</v>
      </c>
      <c r="I329" t="s">
        <v>26</v>
      </c>
      <c r="J329" t="s">
        <v>1136</v>
      </c>
      <c r="K329" t="s">
        <v>10</v>
      </c>
      <c r="L329"/>
      <c r="M329"/>
      <c r="N329" t="s">
        <v>11</v>
      </c>
      <c r="O329" t="s">
        <v>13</v>
      </c>
      <c r="P329" t="s">
        <v>16</v>
      </c>
      <c r="Q329"/>
      <c r="R329" s="2" t="s">
        <v>737</v>
      </c>
      <c r="U329" s="18" t="s">
        <v>746</v>
      </c>
    </row>
  </sheetData>
  <autoFilter ref="A1:R329" xr:uid="{32C11555-B15C-414F-80C5-7BACED6063E7}">
    <sortState xmlns:xlrd2="http://schemas.microsoft.com/office/spreadsheetml/2017/richdata2" ref="A2:R329">
      <sortCondition ref="I1:I329"/>
    </sortState>
  </autoFilter>
  <phoneticPr fontId="3" type="noConversion"/>
  <hyperlinks>
    <hyperlink ref="R329" r:id="rId1" xr:uid="{08F174E3-8E52-414A-8779-76FB288FB472}"/>
    <hyperlink ref="R18" r:id="rId2" xr:uid="{C428379D-A514-49D3-9B14-22D7508A2917}"/>
    <hyperlink ref="T33" r:id="rId3" xr:uid="{9B7B7001-AF6D-49C4-8158-36EA7F71E289}"/>
    <hyperlink ref="R137" r:id="rId4" xr:uid="{C8C4B4B6-3CCD-436D-AF02-641F3904F3B2}"/>
    <hyperlink ref="R207" r:id="rId5" xr:uid="{9E1258B0-CC29-4D91-8C9D-8712261F9D9D}"/>
    <hyperlink ref="R46" r:id="rId6" xr:uid="{15B22D1C-9E2C-4B84-B8C1-0AF21B52BBBC}"/>
    <hyperlink ref="R91" r:id="rId7" xr:uid="{DA746B41-7C16-4E31-B79B-58AAC025FD70}"/>
    <hyperlink ref="R33" r:id="rId8" xr:uid="{A3458A72-D2CF-44B3-9312-45A1A6709D5B}"/>
    <hyperlink ref="S101" r:id="rId9" xr:uid="{10AA5334-995A-4380-9F66-4ECC2FBA8A41}"/>
    <hyperlink ref="R143" r:id="rId10" xr:uid="{E3E1D5CD-D4A8-4291-B967-1793B691AA78}"/>
    <hyperlink ref="R220" r:id="rId11" xr:uid="{F38C2A81-8397-4217-866A-A5ECD153B7E3}"/>
    <hyperlink ref="R315" r:id="rId12" xr:uid="{2ADD4930-3FB3-40F5-A8E7-FCC16FF17406}"/>
    <hyperlink ref="R187" r:id="rId13" xr:uid="{7AA3C1A8-7BAC-4356-B36D-CC7127943C79}"/>
    <hyperlink ref="R219" r:id="rId14" xr:uid="{B9959E55-626F-43E9-933B-398236F4CCC3}"/>
    <hyperlink ref="R34" r:id="rId15" xr:uid="{1402E06F-EA3B-459B-95E5-7BCD0C2EAB28}"/>
    <hyperlink ref="S162" r:id="rId16" xr:uid="{C534C3F9-D554-4408-8112-1F7392D50DDF}"/>
    <hyperlink ref="R296" r:id="rId17" xr:uid="{79D3B9B9-99E5-4AF3-BFEF-0C0D5D04F83B}"/>
    <hyperlink ref="R258" r:id="rId18" xr:uid="{82B281E6-B8B9-4FB5-81C2-74985A56BF02}"/>
    <hyperlink ref="R113" r:id="rId19" xr:uid="{58565451-014B-4C4B-90CA-73BC250C3E29}"/>
    <hyperlink ref="R146" r:id="rId20" xr:uid="{88219040-7A32-4F12-AE1A-CB606DC3A3B6}"/>
    <hyperlink ref="R60" r:id="rId21" xr:uid="{9A8846BE-0425-4B3A-8E2C-59207A06B756}"/>
    <hyperlink ref="R19" r:id="rId22" xr:uid="{A585BEB6-E4A3-48BB-9E7D-64C4CE8D4CD7}"/>
    <hyperlink ref="R123" r:id="rId23" xr:uid="{11846505-2518-469A-9A16-BD2307288544}"/>
    <hyperlink ref="S45" r:id="rId24" xr:uid="{E9007437-2319-47EB-A8F8-58B38DDAD90C}"/>
    <hyperlink ref="R144" r:id="rId25" xr:uid="{C3D0485D-0E0C-4218-AD2C-9B7C8E57FE0B}"/>
    <hyperlink ref="R127" r:id="rId26" xr:uid="{E9D6505B-2003-4753-923E-66C379A28112}"/>
    <hyperlink ref="R229" r:id="rId27" xr:uid="{1F9A29E4-9678-449B-A17C-3864B59A5BA3}"/>
    <hyperlink ref="S4" r:id="rId28" xr:uid="{D9BBC885-4B37-4ECC-88A2-A7B42B9E6DDC}"/>
    <hyperlink ref="S5" r:id="rId29" xr:uid="{BB1A3E78-4EC8-4EC3-95AA-3B0C640E6670}"/>
    <hyperlink ref="S6" r:id="rId30" xr:uid="{F9CDE3B3-21E0-4D64-94D5-E4C890BC48A0}"/>
    <hyperlink ref="S7" r:id="rId31" xr:uid="{79A11AD6-B287-46D8-971E-2FA60738F89E}"/>
    <hyperlink ref="S8" r:id="rId32" xr:uid="{2E678B11-C37C-41A9-8D18-D7E46D2F1873}"/>
    <hyperlink ref="S9" r:id="rId33" xr:uid="{2E073F66-C0B5-4CA8-96D2-F12AC3568FE4}"/>
    <hyperlink ref="S10" r:id="rId34" xr:uid="{F0AA85A4-480A-4589-A8A0-A9A14FCFF858}"/>
    <hyperlink ref="S11" r:id="rId35" xr:uid="{A14C390A-D010-4C9A-9007-E0DA78D43BEF}"/>
    <hyperlink ref="R5:R11" r:id="rId36" display="https://agnicoeagle.com/Home/default.aspx" xr:uid="{3F0F02A4-EB38-42B3-98C2-60853112BD06}"/>
    <hyperlink ref="T4" r:id="rId37" xr:uid="{6F244461-CE2A-4403-80FB-03080FCFA6BF}"/>
    <hyperlink ref="T5" r:id="rId38" xr:uid="{39483757-245E-499C-843C-1D57596A1F6F}"/>
    <hyperlink ref="T6" r:id="rId39" xr:uid="{FF611558-AA16-49B3-B5F4-DFCEBB8BF579}"/>
    <hyperlink ref="T7" r:id="rId40" xr:uid="{E0AEADE7-33FD-489B-96D0-43A2911AD201}"/>
    <hyperlink ref="T9" r:id="rId41" xr:uid="{3E639AB0-0CE9-40CC-AB3B-C8B38044C37A}"/>
    <hyperlink ref="T11" r:id="rId42" xr:uid="{78E9125E-9268-44AB-9358-09A62D6C14C9}"/>
    <hyperlink ref="T8" r:id="rId43" xr:uid="{27036C83-1153-40C1-9419-0D75B9D902AC}"/>
    <hyperlink ref="T10" r:id="rId44" xr:uid="{3C892912-4902-4528-8A0D-AFDBC767BA72}"/>
    <hyperlink ref="S201" r:id="rId45" xr:uid="{20BF8FAA-0E87-4B41-BD65-1B44AACAEBF5}"/>
    <hyperlink ref="S200" r:id="rId46" xr:uid="{C47D74D2-0CF4-4D3D-ACF6-32D14C7882B1}"/>
    <hyperlink ref="S198" r:id="rId47" xr:uid="{EC72CFDC-E542-49FC-B2DF-DDE9016D463F}"/>
    <hyperlink ref="T15" r:id="rId48" xr:uid="{94C90741-A9EF-434E-80C5-0375875C1FA9}"/>
    <hyperlink ref="T16" r:id="rId49" xr:uid="{1A35E118-20F2-450A-97DE-82307BB5E867}"/>
    <hyperlink ref="S79" r:id="rId50" xr:uid="{4CFF6E74-CAB8-47F6-A5EB-AD08A4B6E9DA}"/>
    <hyperlink ref="S15" r:id="rId51" xr:uid="{EB705FA4-AA3A-4EF7-829E-99337FEDCEED}"/>
    <hyperlink ref="S16" r:id="rId52" xr:uid="{247854FD-254F-45FD-90DF-33FAD26848D2}"/>
    <hyperlink ref="S219" r:id="rId53" xr:uid="{F6FB35BD-96A5-4B67-9705-57DDB4C211E6}"/>
    <hyperlink ref="S220" r:id="rId54" xr:uid="{ED49B214-7BF8-48CB-A115-F6A2643E7DE7}"/>
    <hyperlink ref="T219" r:id="rId55" xr:uid="{D30E10E1-DB5C-41D2-859F-15FA633AD379}"/>
    <hyperlink ref="T220" r:id="rId56" xr:uid="{4FE4B898-4CCE-4F75-A3A6-4ECD608E59BF}"/>
    <hyperlink ref="T284" r:id="rId57" xr:uid="{4606EC55-3F69-4603-A70E-56FD73390218}"/>
    <hyperlink ref="S284" r:id="rId58" xr:uid="{D018685B-5681-4080-A73B-4379E5278B42}"/>
    <hyperlink ref="S285" r:id="rId59" xr:uid="{0D3EDB4D-FA68-4240-AE91-1476A341136A}"/>
    <hyperlink ref="T194" r:id="rId60" xr:uid="{822FA9DE-FDA0-466B-8555-FB38BE4574C6}"/>
    <hyperlink ref="T195" r:id="rId61" xr:uid="{1D3CC533-71BC-4B8E-B998-C284775E1EEC}"/>
    <hyperlink ref="T317" r:id="rId62" xr:uid="{7A9AB6A5-EA7B-431F-ADF0-4CA812F7E86E}"/>
    <hyperlink ref="T318" r:id="rId63" xr:uid="{089C5663-D54A-4918-BE75-089DDF5E09EA}"/>
    <hyperlink ref="T319" r:id="rId64" xr:uid="{C8CA9A16-B3BC-4E14-9F49-D9A9F112817F}"/>
    <hyperlink ref="R221" r:id="rId65" xr:uid="{A4230F45-FAB8-488F-A09B-10D8A181C8C7}"/>
    <hyperlink ref="T126" r:id="rId66" xr:uid="{D01F2E6C-FCF2-4005-AEC0-B59F5038E152}"/>
    <hyperlink ref="S52" r:id="rId67" xr:uid="{A1496604-4B15-4195-8D90-7D9A534333D4}"/>
    <hyperlink ref="T52" r:id="rId68" xr:uid="{4C83427C-F60C-43A1-BF4F-971500E1073D}"/>
    <hyperlink ref="T45" r:id="rId69" xr:uid="{1EA7F35E-0554-4864-A149-A45A95A45127}"/>
    <hyperlink ref="S90" r:id="rId70" xr:uid="{D253EBAB-ED9C-47F8-A110-3CD6DF923E97}"/>
    <hyperlink ref="T90" r:id="rId71" xr:uid="{11AB7BF6-5B30-48A9-A2F1-C92C0F05AAD5}"/>
    <hyperlink ref="T137" r:id="rId72" xr:uid="{627E00C5-9D32-41A0-9129-1FB86CFC4E46}"/>
    <hyperlink ref="S137" r:id="rId73" xr:uid="{DF5A024F-77CA-4DFC-BD64-43DAABD9E2E5}"/>
    <hyperlink ref="S143" r:id="rId74" xr:uid="{183000A8-F6FD-4AEE-975B-420E3B23991A}"/>
    <hyperlink ref="S144" r:id="rId75" xr:uid="{87B7ADC9-EAB5-46C8-9A0F-A84774E2DFAD}"/>
    <hyperlink ref="T143" r:id="rId76" xr:uid="{3DA8A603-8764-427B-8CAA-2E79538EEF69}"/>
    <hyperlink ref="T144" r:id="rId77" xr:uid="{B2D76389-1C78-403F-AC23-2B70D73919DF}"/>
    <hyperlink ref="S157" r:id="rId78" location="operations" xr:uid="{99C0901F-6B77-4206-A0B6-403F0429EAFD}"/>
    <hyperlink ref="T157" r:id="rId79" xr:uid="{F5BDAD12-1BD8-48D2-B6B5-0E9CD0998FF6}"/>
    <hyperlink ref="S158" r:id="rId80" xr:uid="{A9F18F66-7FD8-42B6-A0D9-69EEB0137D97}"/>
    <hyperlink ref="T158" r:id="rId81" xr:uid="{ABA7A5FC-F965-41E5-9E12-5F8D3F930DB5}"/>
    <hyperlink ref="T165" r:id="rId82" xr:uid="{41C08E71-C31B-4F6D-8423-03A3A45BFF86}"/>
    <hyperlink ref="S165" r:id="rId83" xr:uid="{A8EA9F90-EF35-4DF7-B650-C0FC5B242BDB}"/>
    <hyperlink ref="R200" r:id="rId84" xr:uid="{F3CC0C08-58BE-4B79-9DE6-71A2FA16B220}"/>
    <hyperlink ref="S242" r:id="rId85" xr:uid="{906263BA-4432-4843-B19C-A6EF9D408E45}"/>
    <hyperlink ref="T252" r:id="rId86" xr:uid="{84A61021-B071-40A1-BD19-9AE64E9F2495}"/>
    <hyperlink ref="S252" r:id="rId87" xr:uid="{BA5610EB-E513-4D92-B490-3E89182C1FA2}"/>
    <hyperlink ref="S257" r:id="rId88" xr:uid="{E628CD86-3FAB-4149-9F69-318EE025EE2C}"/>
    <hyperlink ref="T257" r:id="rId89" xr:uid="{0EBCF90E-8742-4432-828B-DEF2BC46DF58}"/>
    <hyperlink ref="S259" r:id="rId90" xr:uid="{4DE5D130-6164-4E6C-8B72-C7330F2D5ECB}"/>
    <hyperlink ref="T259" r:id="rId91" xr:uid="{0E822897-7B5E-4D9F-A749-9D4889B3F742}"/>
    <hyperlink ref="S260" r:id="rId92" xr:uid="{57E55AC7-F79E-43FF-976F-587976DBBB7D}"/>
    <hyperlink ref="T262" r:id="rId93" xr:uid="{0A5655A2-9184-4F2B-BDA2-82BEA6403B0B}"/>
    <hyperlink ref="R100" r:id="rId94" xr:uid="{037C10D8-3BD1-417D-9CF5-2A3C968214CB}"/>
    <hyperlink ref="T265" r:id="rId95" xr:uid="{B1E47B88-F4FE-4715-92B2-249A8D59D5A9}"/>
    <hyperlink ref="R25" r:id="rId96" xr:uid="{CB401B1A-3DDE-471E-BBCD-EBC8EE4AF5AF}"/>
    <hyperlink ref="R15" r:id="rId97" xr:uid="{85DA9B42-180D-4004-AB6F-B1988E82D652}"/>
    <hyperlink ref="R43" r:id="rId98" xr:uid="{63A1956A-BBE7-49EF-9C60-872B35D2825C}"/>
    <hyperlink ref="R29" r:id="rId99" xr:uid="{B6F1B07E-C278-46EC-BAA3-B621F17512F4}"/>
    <hyperlink ref="T76" r:id="rId100" xr:uid="{BD054AF5-DD5A-41B7-ACEB-89E69BAD9EC6}"/>
    <hyperlink ref="T77" r:id="rId101" xr:uid="{22ECF136-8B85-4A3C-819B-D3C5458F878B}"/>
    <hyperlink ref="T78" r:id="rId102" xr:uid="{0B21AB91-ABD3-4BE2-A095-2B4E37ABDF18}"/>
    <hyperlink ref="T253" r:id="rId103" xr:uid="{15C35A27-11B5-4C04-87ED-EF9D3F426427}"/>
    <hyperlink ref="S253" r:id="rId104" xr:uid="{9FAA4855-90CC-40DE-ABCE-A7A5BF267070}"/>
    <hyperlink ref="R284" r:id="rId105" xr:uid="{224CC5E0-E15C-4F37-8BDC-3FC55E993E08}"/>
    <hyperlink ref="S276" r:id="rId106" xr:uid="{ADABC825-41BC-440B-87D5-0377EE6C3518}"/>
    <hyperlink ref="R81" r:id="rId107" xr:uid="{B14A01DD-EA29-4CCF-80C7-7C1053DFC8B4}"/>
    <hyperlink ref="T290" r:id="rId108" xr:uid="{E07BE806-E243-446F-97EA-E3FB2CC8F8D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91529-42E2-47C7-8A9A-09F073325AED}">
  <dimension ref="A1:U274"/>
  <sheetViews>
    <sheetView topLeftCell="A43" workbookViewId="0">
      <selection activeCell="A62" sqref="A62"/>
    </sheetView>
  </sheetViews>
  <sheetFormatPr baseColWidth="10" defaultColWidth="8.7265625" defaultRowHeight="14.5" x14ac:dyDescent="0.35"/>
  <cols>
    <col min="1" max="1" width="18" bestFit="1" customWidth="1"/>
    <col min="2" max="2" width="35.81640625" bestFit="1" customWidth="1"/>
    <col min="3" max="3" width="31.453125" bestFit="1" customWidth="1"/>
    <col min="4" max="4" width="15.1796875" bestFit="1" customWidth="1"/>
    <col min="5" max="5" width="131.36328125" bestFit="1" customWidth="1"/>
    <col min="6" max="6" width="46.6328125" bestFit="1" customWidth="1"/>
    <col min="7" max="7" width="13.54296875" bestFit="1" customWidth="1"/>
    <col min="8" max="8" width="12.6328125" bestFit="1" customWidth="1"/>
    <col min="9" max="9" width="12" bestFit="1" customWidth="1"/>
    <col min="10" max="10" width="31.54296875" bestFit="1" customWidth="1"/>
    <col min="11" max="11" width="30.81640625" bestFit="1" customWidth="1"/>
    <col min="12" max="12" width="24.54296875" bestFit="1" customWidth="1"/>
    <col min="13" max="13" width="13.36328125" bestFit="1" customWidth="1"/>
    <col min="14" max="14" width="13.1796875" bestFit="1" customWidth="1"/>
    <col min="15" max="15" width="28.54296875" bestFit="1" customWidth="1"/>
    <col min="16" max="16" width="12.81640625" bestFit="1" customWidth="1"/>
    <col min="17" max="17" width="35.36328125" bestFit="1" customWidth="1"/>
    <col min="18" max="18" width="27.90625" bestFit="1" customWidth="1"/>
    <col min="19" max="19" width="32.6328125" bestFit="1" customWidth="1"/>
    <col min="20" max="20" width="151.453125" bestFit="1" customWidth="1"/>
    <col min="21" max="21" width="71" bestFit="1" customWidth="1"/>
  </cols>
  <sheetData>
    <row r="1" spans="1:21" x14ac:dyDescent="0.35">
      <c r="A1" s="32" t="s">
        <v>2</v>
      </c>
      <c r="B1" s="32" t="s">
        <v>1674</v>
      </c>
      <c r="C1" s="32" t="s">
        <v>2029</v>
      </c>
      <c r="D1" s="32" t="s">
        <v>2030</v>
      </c>
      <c r="E1" s="32" t="s">
        <v>1673</v>
      </c>
      <c r="F1" s="32" t="s">
        <v>1672</v>
      </c>
      <c r="G1" s="32" t="s">
        <v>2028</v>
      </c>
      <c r="H1" s="32" t="s">
        <v>2555</v>
      </c>
      <c r="I1" s="32" t="s">
        <v>2556</v>
      </c>
      <c r="J1" s="32" t="s">
        <v>2562</v>
      </c>
      <c r="K1" s="32" t="s">
        <v>2557</v>
      </c>
      <c r="L1" s="32" t="s">
        <v>2558</v>
      </c>
      <c r="M1" s="32" t="s">
        <v>3</v>
      </c>
      <c r="N1" s="32" t="s">
        <v>1113</v>
      </c>
      <c r="O1" s="32" t="s">
        <v>1114</v>
      </c>
      <c r="P1" s="32" t="s">
        <v>4</v>
      </c>
      <c r="Q1" s="32" t="s">
        <v>6</v>
      </c>
      <c r="R1" s="32" t="s">
        <v>2559</v>
      </c>
      <c r="S1" s="32" t="s">
        <v>2560</v>
      </c>
      <c r="T1" s="32" t="s">
        <v>5</v>
      </c>
      <c r="U1" s="32" t="s">
        <v>2561</v>
      </c>
    </row>
    <row r="2" spans="1:21" s="18" customFormat="1" x14ac:dyDescent="0.35">
      <c r="A2" s="18" t="s">
        <v>1272</v>
      </c>
      <c r="B2" s="18" t="s">
        <v>464</v>
      </c>
      <c r="E2" s="18" t="s">
        <v>79</v>
      </c>
      <c r="F2" s="18" t="s">
        <v>717</v>
      </c>
      <c r="G2" s="18" t="s">
        <v>1853</v>
      </c>
      <c r="H2" s="18">
        <v>-100.134</v>
      </c>
      <c r="I2" s="18">
        <v>54.855699999999999</v>
      </c>
      <c r="J2" s="18" t="s">
        <v>2731</v>
      </c>
      <c r="L2" s="18" t="s">
        <v>2586</v>
      </c>
      <c r="M2" s="18" t="s">
        <v>374</v>
      </c>
      <c r="N2" s="18" t="s">
        <v>1115</v>
      </c>
      <c r="O2" s="18" t="s">
        <v>1116</v>
      </c>
      <c r="P2" s="18" t="s">
        <v>375</v>
      </c>
      <c r="S2" s="18" t="s">
        <v>16</v>
      </c>
      <c r="T2" s="18" t="s">
        <v>90</v>
      </c>
      <c r="U2" s="18" t="s">
        <v>2926</v>
      </c>
    </row>
    <row r="3" spans="1:21" x14ac:dyDescent="0.35">
      <c r="A3" s="18" t="s">
        <v>1123</v>
      </c>
      <c r="B3" s="18" t="s">
        <v>702</v>
      </c>
      <c r="C3" s="18"/>
      <c r="D3" s="18"/>
      <c r="E3" s="18" t="s">
        <v>62</v>
      </c>
      <c r="F3" s="18" t="s">
        <v>774</v>
      </c>
      <c r="G3" s="18" t="s">
        <v>2031</v>
      </c>
      <c r="H3" s="18">
        <v>-77.679010000000005</v>
      </c>
      <c r="I3" s="18">
        <v>48.521540000000002</v>
      </c>
      <c r="J3" s="18" t="s">
        <v>2564</v>
      </c>
      <c r="K3" s="18"/>
      <c r="L3" s="18" t="s">
        <v>2563</v>
      </c>
      <c r="M3" s="18" t="s">
        <v>374</v>
      </c>
      <c r="N3" s="18" t="s">
        <v>1115</v>
      </c>
      <c r="O3" s="18" t="s">
        <v>1116</v>
      </c>
      <c r="P3" s="18" t="s">
        <v>375</v>
      </c>
      <c r="Q3" s="18"/>
      <c r="R3" s="18"/>
      <c r="S3" s="18" t="s">
        <v>1551</v>
      </c>
      <c r="T3" s="18" t="s">
        <v>703</v>
      </c>
      <c r="U3" s="18" t="s">
        <v>2926</v>
      </c>
    </row>
    <row r="4" spans="1:21" s="18" customFormat="1" x14ac:dyDescent="0.35">
      <c r="A4" s="18" t="s">
        <v>1132</v>
      </c>
      <c r="B4" s="18" t="s">
        <v>429</v>
      </c>
      <c r="E4" s="18" t="s">
        <v>14</v>
      </c>
      <c r="F4" s="18" t="s">
        <v>14</v>
      </c>
      <c r="G4" s="18" t="s">
        <v>2034</v>
      </c>
      <c r="H4" s="18">
        <v>-77.58</v>
      </c>
      <c r="I4" s="18">
        <v>48.04</v>
      </c>
      <c r="J4" s="18" t="s">
        <v>2568</v>
      </c>
      <c r="L4" s="18" t="s">
        <v>2563</v>
      </c>
      <c r="M4" s="18" t="s">
        <v>374</v>
      </c>
      <c r="N4" s="18" t="s">
        <v>1115</v>
      </c>
      <c r="O4" s="18" t="s">
        <v>1116</v>
      </c>
      <c r="P4" s="18" t="s">
        <v>375</v>
      </c>
      <c r="S4" s="18" t="s">
        <v>16</v>
      </c>
      <c r="T4" s="18" t="s">
        <v>81</v>
      </c>
      <c r="U4" s="18" t="s">
        <v>2926</v>
      </c>
    </row>
    <row r="5" spans="1:21" x14ac:dyDescent="0.35">
      <c r="A5" s="18" t="s">
        <v>1449</v>
      </c>
      <c r="B5" s="18" t="s">
        <v>692</v>
      </c>
      <c r="C5" s="18"/>
      <c r="D5" s="18"/>
      <c r="E5" s="18" t="s">
        <v>691</v>
      </c>
      <c r="F5" s="18" t="s">
        <v>916</v>
      </c>
      <c r="G5" s="18" t="s">
        <v>2225</v>
      </c>
      <c r="H5" s="18">
        <v>-124.86599</v>
      </c>
      <c r="I5" s="18">
        <v>57.380879999999998</v>
      </c>
      <c r="J5" s="18" t="s">
        <v>2915</v>
      </c>
      <c r="K5" s="18"/>
      <c r="L5" s="18" t="s">
        <v>2599</v>
      </c>
      <c r="M5" s="18" t="s">
        <v>374</v>
      </c>
      <c r="N5" s="18" t="s">
        <v>1115</v>
      </c>
      <c r="O5" s="18" t="s">
        <v>1116</v>
      </c>
      <c r="P5" s="18" t="s">
        <v>375</v>
      </c>
      <c r="Q5" s="18"/>
      <c r="R5" s="18"/>
      <c r="S5" s="18" t="s">
        <v>1551</v>
      </c>
      <c r="T5" s="18" t="s">
        <v>693</v>
      </c>
      <c r="U5" s="18" t="s">
        <v>2926</v>
      </c>
    </row>
    <row r="6" spans="1:21" x14ac:dyDescent="0.35">
      <c r="A6" s="18" t="s">
        <v>1397</v>
      </c>
      <c r="B6" s="18" t="s">
        <v>595</v>
      </c>
      <c r="C6" s="18"/>
      <c r="D6" s="18"/>
      <c r="E6" s="18" t="s">
        <v>135</v>
      </c>
      <c r="F6" s="18" t="s">
        <v>135</v>
      </c>
      <c r="G6" s="18" t="s">
        <v>2200</v>
      </c>
      <c r="H6" s="18">
        <v>-123.77829</v>
      </c>
      <c r="I6" s="18">
        <v>56.447099999999999</v>
      </c>
      <c r="J6" s="18" t="s">
        <v>2869</v>
      </c>
      <c r="K6" s="18"/>
      <c r="L6" s="18" t="s">
        <v>2599</v>
      </c>
      <c r="M6" s="18" t="s">
        <v>374</v>
      </c>
      <c r="N6" s="18" t="s">
        <v>1115</v>
      </c>
      <c r="O6" s="18" t="s">
        <v>1116</v>
      </c>
      <c r="P6" s="18" t="s">
        <v>375</v>
      </c>
      <c r="Q6" s="18"/>
      <c r="R6" s="18"/>
      <c r="S6" s="18" t="s">
        <v>177</v>
      </c>
      <c r="T6" s="18" t="s">
        <v>177</v>
      </c>
      <c r="U6" s="18" t="s">
        <v>2926</v>
      </c>
    </row>
    <row r="7" spans="1:21" x14ac:dyDescent="0.35">
      <c r="A7" t="s">
        <v>1141</v>
      </c>
      <c r="B7" t="s">
        <v>243</v>
      </c>
      <c r="E7" t="s">
        <v>242</v>
      </c>
      <c r="F7" t="s">
        <v>779</v>
      </c>
      <c r="G7" t="s">
        <v>1989</v>
      </c>
      <c r="H7">
        <v>-84.366640000000004</v>
      </c>
      <c r="I7">
        <v>46.52055</v>
      </c>
      <c r="J7" t="s">
        <v>2597</v>
      </c>
      <c r="L7" t="s">
        <v>2575</v>
      </c>
      <c r="M7" t="s">
        <v>10</v>
      </c>
      <c r="P7" t="s">
        <v>233</v>
      </c>
      <c r="Q7" t="s">
        <v>245</v>
      </c>
      <c r="R7" t="s">
        <v>340</v>
      </c>
      <c r="S7" t="s">
        <v>244</v>
      </c>
      <c r="T7" t="s">
        <v>244</v>
      </c>
      <c r="U7" t="s">
        <v>2927</v>
      </c>
    </row>
    <row r="8" spans="1:21" x14ac:dyDescent="0.35">
      <c r="A8" t="s">
        <v>1350</v>
      </c>
      <c r="B8" t="s">
        <v>247</v>
      </c>
      <c r="C8" t="s">
        <v>2168</v>
      </c>
      <c r="D8" t="s">
        <v>2169</v>
      </c>
      <c r="E8" t="s">
        <v>246</v>
      </c>
      <c r="F8" t="s">
        <v>718</v>
      </c>
      <c r="G8" t="s">
        <v>2167</v>
      </c>
      <c r="H8">
        <v>-71.689700000000002</v>
      </c>
      <c r="I8">
        <v>48.584699999999998</v>
      </c>
      <c r="J8" t="s">
        <v>2816</v>
      </c>
      <c r="L8" t="s">
        <v>2563</v>
      </c>
      <c r="M8" t="s">
        <v>10</v>
      </c>
      <c r="P8" t="s">
        <v>233</v>
      </c>
      <c r="Q8" t="s">
        <v>249</v>
      </c>
      <c r="R8" t="s">
        <v>376</v>
      </c>
      <c r="S8" t="s">
        <v>248</v>
      </c>
      <c r="T8" t="s">
        <v>248</v>
      </c>
      <c r="U8" t="s">
        <v>2927</v>
      </c>
    </row>
    <row r="9" spans="1:21" x14ac:dyDescent="0.35">
      <c r="A9" t="s">
        <v>1352</v>
      </c>
      <c r="B9" t="s">
        <v>251</v>
      </c>
      <c r="C9" t="s">
        <v>2168</v>
      </c>
      <c r="D9" t="s">
        <v>2169</v>
      </c>
      <c r="E9" t="s">
        <v>250</v>
      </c>
      <c r="F9" t="s">
        <v>718</v>
      </c>
      <c r="G9" t="s">
        <v>2167</v>
      </c>
      <c r="H9">
        <v>-66.442899999999995</v>
      </c>
      <c r="I9">
        <v>50.1571</v>
      </c>
      <c r="J9" t="s">
        <v>2822</v>
      </c>
      <c r="L9" t="s">
        <v>2563</v>
      </c>
      <c r="M9" t="s">
        <v>10</v>
      </c>
      <c r="P9" t="s">
        <v>233</v>
      </c>
      <c r="Q9" t="s">
        <v>249</v>
      </c>
      <c r="R9" t="s">
        <v>376</v>
      </c>
      <c r="S9" t="s">
        <v>252</v>
      </c>
      <c r="T9" t="s">
        <v>252</v>
      </c>
      <c r="U9" t="s">
        <v>2927</v>
      </c>
    </row>
    <row r="10" spans="1:21" x14ac:dyDescent="0.35">
      <c r="A10" t="s">
        <v>1144</v>
      </c>
      <c r="B10" t="s">
        <v>254</v>
      </c>
      <c r="E10" t="s">
        <v>253</v>
      </c>
      <c r="F10" t="s">
        <v>780</v>
      </c>
      <c r="G10" t="s">
        <v>2045</v>
      </c>
      <c r="H10">
        <v>-113.387962</v>
      </c>
      <c r="I10">
        <v>53.492783000000003</v>
      </c>
      <c r="J10" t="s">
        <v>2602</v>
      </c>
      <c r="L10" t="s">
        <v>2601</v>
      </c>
      <c r="M10" t="s">
        <v>10</v>
      </c>
      <c r="P10" t="s">
        <v>233</v>
      </c>
      <c r="Q10" t="s">
        <v>255</v>
      </c>
      <c r="R10" t="s">
        <v>340</v>
      </c>
      <c r="S10" t="s">
        <v>244</v>
      </c>
      <c r="T10" t="s">
        <v>244</v>
      </c>
      <c r="U10" t="s">
        <v>2927</v>
      </c>
    </row>
    <row r="11" spans="1:21" x14ac:dyDescent="0.35">
      <c r="A11" t="s">
        <v>1131</v>
      </c>
      <c r="B11" t="s">
        <v>15</v>
      </c>
      <c r="C11" t="s">
        <v>2035</v>
      </c>
      <c r="D11" t="s">
        <v>1753</v>
      </c>
      <c r="E11" t="s">
        <v>14</v>
      </c>
      <c r="F11" t="s">
        <v>14</v>
      </c>
      <c r="G11" t="s">
        <v>2034</v>
      </c>
      <c r="H11">
        <v>-96.697000000000003</v>
      </c>
      <c r="I11">
        <v>65.415000000000006</v>
      </c>
      <c r="J11" t="s">
        <v>2571</v>
      </c>
      <c r="K11" t="s">
        <v>2569</v>
      </c>
      <c r="L11" t="s">
        <v>2570</v>
      </c>
      <c r="M11" t="s">
        <v>10</v>
      </c>
      <c r="P11" t="s">
        <v>11</v>
      </c>
      <c r="Q11" t="s">
        <v>17</v>
      </c>
      <c r="R11" t="s">
        <v>2566</v>
      </c>
      <c r="S11" t="s">
        <v>16</v>
      </c>
      <c r="T11" t="s">
        <v>16</v>
      </c>
      <c r="U11" t="s">
        <v>2927</v>
      </c>
    </row>
    <row r="12" spans="1:21" x14ac:dyDescent="0.35">
      <c r="A12" t="s">
        <v>1158</v>
      </c>
      <c r="B12" t="s">
        <v>257</v>
      </c>
      <c r="E12" t="s">
        <v>256</v>
      </c>
      <c r="F12" t="s">
        <v>155</v>
      </c>
      <c r="G12" t="s">
        <v>2048</v>
      </c>
      <c r="H12">
        <v>-79.805204000000003</v>
      </c>
      <c r="I12">
        <v>43.269131999999999</v>
      </c>
      <c r="J12" t="s">
        <v>2609</v>
      </c>
      <c r="L12" t="s">
        <v>2575</v>
      </c>
      <c r="M12" t="s">
        <v>10</v>
      </c>
      <c r="P12" t="s">
        <v>233</v>
      </c>
      <c r="Q12" t="s">
        <v>258</v>
      </c>
      <c r="R12" t="s">
        <v>340</v>
      </c>
      <c r="S12" t="s">
        <v>244</v>
      </c>
      <c r="T12" t="s">
        <v>244</v>
      </c>
      <c r="U12" t="s">
        <v>2927</v>
      </c>
    </row>
    <row r="13" spans="1:21" s="18" customFormat="1" x14ac:dyDescent="0.35">
      <c r="A13" t="s">
        <v>1349</v>
      </c>
      <c r="B13" t="s">
        <v>259</v>
      </c>
      <c r="C13" t="s">
        <v>2168</v>
      </c>
      <c r="D13" t="s">
        <v>2169</v>
      </c>
      <c r="E13" t="s">
        <v>246</v>
      </c>
      <c r="F13" t="s">
        <v>718</v>
      </c>
      <c r="G13" t="s">
        <v>2167</v>
      </c>
      <c r="H13">
        <v>-71.165520999999998</v>
      </c>
      <c r="I13">
        <v>48.430174000000001</v>
      </c>
      <c r="J13" t="s">
        <v>2817</v>
      </c>
      <c r="K13"/>
      <c r="L13" t="s">
        <v>2563</v>
      </c>
      <c r="M13" t="s">
        <v>10</v>
      </c>
      <c r="N13"/>
      <c r="O13"/>
      <c r="P13" t="s">
        <v>233</v>
      </c>
      <c r="Q13" t="s">
        <v>249</v>
      </c>
      <c r="R13" t="s">
        <v>376</v>
      </c>
      <c r="S13" t="s">
        <v>248</v>
      </c>
      <c r="T13" t="s">
        <v>260</v>
      </c>
      <c r="U13" t="s">
        <v>2927</v>
      </c>
    </row>
    <row r="14" spans="1:21" s="18" customFormat="1" x14ac:dyDescent="0.35">
      <c r="A14" s="18" t="s">
        <v>1367</v>
      </c>
      <c r="B14" s="18" t="s">
        <v>508</v>
      </c>
      <c r="E14" s="18" t="s">
        <v>507</v>
      </c>
      <c r="F14" s="18" t="s">
        <v>897</v>
      </c>
      <c r="G14" s="18" t="s">
        <v>2178</v>
      </c>
      <c r="H14" s="18">
        <v>-78.195570000000004</v>
      </c>
      <c r="I14" s="18">
        <v>48.362070000000003</v>
      </c>
      <c r="J14" s="18" t="s">
        <v>2834</v>
      </c>
      <c r="L14" s="18" t="s">
        <v>2563</v>
      </c>
      <c r="M14" s="18" t="s">
        <v>374</v>
      </c>
      <c r="N14" s="18" t="s">
        <v>1115</v>
      </c>
      <c r="O14" s="18" t="s">
        <v>1116</v>
      </c>
      <c r="P14" s="18" t="s">
        <v>375</v>
      </c>
      <c r="S14" s="18" t="s">
        <v>509</v>
      </c>
      <c r="T14" s="18" t="s">
        <v>509</v>
      </c>
      <c r="U14" s="18" t="s">
        <v>2926</v>
      </c>
    </row>
    <row r="15" spans="1:21" x14ac:dyDescent="0.35">
      <c r="A15" s="18" t="s">
        <v>1143</v>
      </c>
      <c r="B15" s="18" t="s">
        <v>552</v>
      </c>
      <c r="C15" s="18"/>
      <c r="D15" s="18"/>
      <c r="E15" s="18" t="s">
        <v>551</v>
      </c>
      <c r="F15" s="18" t="s">
        <v>707</v>
      </c>
      <c r="G15" s="18" t="s">
        <v>2928</v>
      </c>
      <c r="H15" s="18">
        <v>-129.41900000000001</v>
      </c>
      <c r="I15" s="18">
        <v>55.421999999999997</v>
      </c>
      <c r="J15" s="18" t="s">
        <v>2600</v>
      </c>
      <c r="K15" s="18"/>
      <c r="L15" s="18" t="s">
        <v>2599</v>
      </c>
      <c r="M15" s="18" t="s">
        <v>374</v>
      </c>
      <c r="N15" s="18" t="s">
        <v>1115</v>
      </c>
      <c r="O15" s="18" t="s">
        <v>1116</v>
      </c>
      <c r="P15" s="18" t="s">
        <v>375</v>
      </c>
      <c r="Q15" s="18"/>
      <c r="R15" s="18"/>
      <c r="S15" s="18" t="s">
        <v>1874</v>
      </c>
      <c r="T15" s="18" t="s">
        <v>553</v>
      </c>
      <c r="U15" s="18" t="s">
        <v>2926</v>
      </c>
    </row>
    <row r="16" spans="1:21" x14ac:dyDescent="0.35">
      <c r="A16" t="s">
        <v>1137</v>
      </c>
      <c r="B16" t="s">
        <v>262</v>
      </c>
      <c r="E16" t="s">
        <v>261</v>
      </c>
      <c r="F16" t="s">
        <v>261</v>
      </c>
      <c r="G16" t="s">
        <v>1956</v>
      </c>
      <c r="H16">
        <v>-68.149100000000004</v>
      </c>
      <c r="I16">
        <v>49.2562</v>
      </c>
      <c r="J16" t="s">
        <v>2593</v>
      </c>
      <c r="L16" t="s">
        <v>2563</v>
      </c>
      <c r="M16" t="s">
        <v>10</v>
      </c>
      <c r="P16" t="s">
        <v>233</v>
      </c>
      <c r="Q16" t="s">
        <v>249</v>
      </c>
      <c r="R16" t="s">
        <v>376</v>
      </c>
      <c r="S16" t="s">
        <v>248</v>
      </c>
      <c r="T16" t="s">
        <v>248</v>
      </c>
      <c r="U16" t="s">
        <v>2927</v>
      </c>
    </row>
    <row r="17" spans="1:21" x14ac:dyDescent="0.35">
      <c r="A17" s="18" t="s">
        <v>1209</v>
      </c>
      <c r="B17" s="18" t="s">
        <v>497</v>
      </c>
      <c r="C17" s="18"/>
      <c r="D17" s="18"/>
      <c r="E17" s="18" t="s">
        <v>496</v>
      </c>
      <c r="F17" s="18" t="s">
        <v>496</v>
      </c>
      <c r="G17" s="18" t="s">
        <v>2079</v>
      </c>
      <c r="H17" s="18">
        <v>-113.93655</v>
      </c>
      <c r="I17" s="18">
        <v>51.776960000000003</v>
      </c>
      <c r="J17" s="18" t="s">
        <v>2668</v>
      </c>
      <c r="K17" s="18"/>
      <c r="L17" s="18" t="s">
        <v>2601</v>
      </c>
      <c r="M17" s="18" t="s">
        <v>374</v>
      </c>
      <c r="N17" s="18" t="s">
        <v>1115</v>
      </c>
      <c r="O17" s="18" t="s">
        <v>1118</v>
      </c>
      <c r="P17" s="18" t="s">
        <v>375</v>
      </c>
      <c r="Q17" s="18"/>
      <c r="R17" s="18"/>
      <c r="S17" s="18" t="s">
        <v>498</v>
      </c>
      <c r="T17" s="18" t="s">
        <v>498</v>
      </c>
      <c r="U17" s="18" t="s">
        <v>2926</v>
      </c>
    </row>
    <row r="18" spans="1:21" x14ac:dyDescent="0.35">
      <c r="A18" s="18" t="s">
        <v>1300</v>
      </c>
      <c r="B18" s="18" t="s">
        <v>547</v>
      </c>
      <c r="C18" s="18"/>
      <c r="D18" s="18"/>
      <c r="E18" s="18" t="s">
        <v>546</v>
      </c>
      <c r="F18" s="18" t="s">
        <v>869</v>
      </c>
      <c r="G18" s="18" t="s">
        <v>2139</v>
      </c>
      <c r="H18" s="18">
        <v>-67.625470000000007</v>
      </c>
      <c r="I18" s="18">
        <v>46.22531</v>
      </c>
      <c r="J18" s="18" t="s">
        <v>2767</v>
      </c>
      <c r="K18" s="18"/>
      <c r="L18" s="18" t="s">
        <v>2629</v>
      </c>
      <c r="M18" s="18" t="s">
        <v>374</v>
      </c>
      <c r="N18" s="18" t="s">
        <v>1115</v>
      </c>
      <c r="O18" s="18" t="s">
        <v>1116</v>
      </c>
      <c r="P18" s="18" t="s">
        <v>375</v>
      </c>
      <c r="Q18" s="18"/>
      <c r="R18" s="18"/>
      <c r="S18" s="18" t="s">
        <v>542</v>
      </c>
      <c r="T18" s="18" t="s">
        <v>548</v>
      </c>
      <c r="U18" s="18" t="s">
        <v>2926</v>
      </c>
    </row>
    <row r="19" spans="1:21" s="18" customFormat="1" x14ac:dyDescent="0.35">
      <c r="A19" s="18" t="s">
        <v>1211</v>
      </c>
      <c r="B19" s="18" t="s">
        <v>387</v>
      </c>
      <c r="E19" s="18" t="s">
        <v>386</v>
      </c>
      <c r="F19" s="18" t="s">
        <v>386</v>
      </c>
      <c r="G19" s="18" t="s">
        <v>2082</v>
      </c>
      <c r="H19" s="18">
        <v>-79.622290000000007</v>
      </c>
      <c r="I19" s="18">
        <v>47.406350000000003</v>
      </c>
      <c r="J19" s="18" t="s">
        <v>2670</v>
      </c>
      <c r="L19" s="18" t="s">
        <v>2575</v>
      </c>
      <c r="M19" s="18" t="s">
        <v>374</v>
      </c>
      <c r="N19" s="18" t="s">
        <v>1115</v>
      </c>
      <c r="O19" s="18" t="s">
        <v>1117</v>
      </c>
      <c r="P19" s="18" t="s">
        <v>375</v>
      </c>
      <c r="S19" s="18" t="s">
        <v>1769</v>
      </c>
      <c r="T19" s="18" t="s">
        <v>388</v>
      </c>
      <c r="U19" s="18" t="s">
        <v>2926</v>
      </c>
    </row>
    <row r="20" spans="1:21" x14ac:dyDescent="0.35">
      <c r="A20" t="s">
        <v>1167</v>
      </c>
      <c r="B20" t="s">
        <v>264</v>
      </c>
      <c r="E20" t="s">
        <v>263</v>
      </c>
      <c r="F20" t="s">
        <v>27</v>
      </c>
      <c r="G20" t="s">
        <v>2055</v>
      </c>
      <c r="H20">
        <v>-115.210061</v>
      </c>
      <c r="I20">
        <v>51.060021999999996</v>
      </c>
      <c r="J20" t="s">
        <v>2622</v>
      </c>
      <c r="L20" t="s">
        <v>2601</v>
      </c>
      <c r="M20" t="s">
        <v>10</v>
      </c>
      <c r="P20" t="s">
        <v>233</v>
      </c>
      <c r="Q20" t="s">
        <v>266</v>
      </c>
      <c r="R20" t="s">
        <v>2621</v>
      </c>
      <c r="S20" t="s">
        <v>265</v>
      </c>
      <c r="T20" t="s">
        <v>265</v>
      </c>
      <c r="U20" t="s">
        <v>2927</v>
      </c>
    </row>
    <row r="21" spans="1:21" x14ac:dyDescent="0.35">
      <c r="A21" t="s">
        <v>1193</v>
      </c>
      <c r="B21" t="s">
        <v>206</v>
      </c>
      <c r="E21" t="s">
        <v>205</v>
      </c>
      <c r="F21" t="s">
        <v>707</v>
      </c>
      <c r="G21" t="s">
        <v>2928</v>
      </c>
      <c r="H21">
        <v>-55.195999999999998</v>
      </c>
      <c r="I21">
        <v>48.715909000000003</v>
      </c>
      <c r="J21" t="s">
        <v>2654</v>
      </c>
      <c r="K21" t="s">
        <v>2653</v>
      </c>
      <c r="L21" t="s">
        <v>2625</v>
      </c>
      <c r="M21" t="s">
        <v>10</v>
      </c>
      <c r="P21" t="s">
        <v>11</v>
      </c>
      <c r="Q21" t="s">
        <v>13</v>
      </c>
      <c r="R21" t="s">
        <v>1882</v>
      </c>
      <c r="S21" t="s">
        <v>207</v>
      </c>
      <c r="T21" t="s">
        <v>207</v>
      </c>
      <c r="U21" t="s">
        <v>2927</v>
      </c>
    </row>
    <row r="22" spans="1:21" s="18" customFormat="1" x14ac:dyDescent="0.35">
      <c r="A22" t="s">
        <v>1140</v>
      </c>
      <c r="B22" t="s">
        <v>268</v>
      </c>
      <c r="C22"/>
      <c r="D22"/>
      <c r="E22" t="s">
        <v>267</v>
      </c>
      <c r="F22" t="s">
        <v>740</v>
      </c>
      <c r="G22" t="s">
        <v>2040</v>
      </c>
      <c r="H22">
        <v>-72.385199999999998</v>
      </c>
      <c r="I22">
        <v>46.381</v>
      </c>
      <c r="J22" t="s">
        <v>2596</v>
      </c>
      <c r="K22"/>
      <c r="L22" t="s">
        <v>2563</v>
      </c>
      <c r="M22" t="s">
        <v>10</v>
      </c>
      <c r="N22"/>
      <c r="O22"/>
      <c r="P22" t="s">
        <v>233</v>
      </c>
      <c r="Q22" t="s">
        <v>249</v>
      </c>
      <c r="R22" t="s">
        <v>376</v>
      </c>
      <c r="S22" t="s">
        <v>248</v>
      </c>
      <c r="T22" t="s">
        <v>248</v>
      </c>
      <c r="U22" t="s">
        <v>2927</v>
      </c>
    </row>
    <row r="23" spans="1:21" s="18" customFormat="1" x14ac:dyDescent="0.35">
      <c r="A23" s="18" t="s">
        <v>1214</v>
      </c>
      <c r="B23" s="18" t="s">
        <v>544</v>
      </c>
      <c r="E23" s="18" t="s">
        <v>543</v>
      </c>
      <c r="F23" s="18" t="s">
        <v>543</v>
      </c>
      <c r="G23" s="18" t="s">
        <v>2084</v>
      </c>
      <c r="H23" s="18">
        <v>-72.433334000000002</v>
      </c>
      <c r="I23" s="18">
        <v>46.333331999999999</v>
      </c>
      <c r="J23" s="18" t="s">
        <v>2672</v>
      </c>
      <c r="L23" s="18" t="s">
        <v>2563</v>
      </c>
      <c r="M23" s="18" t="s">
        <v>374</v>
      </c>
      <c r="N23" s="18" t="s">
        <v>1115</v>
      </c>
      <c r="O23" s="18" t="s">
        <v>1117</v>
      </c>
      <c r="P23" s="18" t="s">
        <v>375</v>
      </c>
      <c r="S23" s="18" t="s">
        <v>545</v>
      </c>
      <c r="T23" s="18" t="s">
        <v>545</v>
      </c>
      <c r="U23" s="18" t="s">
        <v>2926</v>
      </c>
    </row>
    <row r="24" spans="1:21" x14ac:dyDescent="0.35">
      <c r="A24" t="s">
        <v>1221</v>
      </c>
      <c r="B24" t="s">
        <v>270</v>
      </c>
      <c r="E24" t="s">
        <v>269</v>
      </c>
      <c r="F24" t="s">
        <v>269</v>
      </c>
      <c r="G24" t="s">
        <v>2088</v>
      </c>
      <c r="H24">
        <v>-72.39</v>
      </c>
      <c r="I24">
        <v>46.37</v>
      </c>
      <c r="J24" t="s">
        <v>2677</v>
      </c>
      <c r="L24" t="s">
        <v>2563</v>
      </c>
      <c r="M24" t="s">
        <v>10</v>
      </c>
      <c r="P24" t="s">
        <v>233</v>
      </c>
      <c r="R24" t="s">
        <v>2463</v>
      </c>
      <c r="S24" t="s">
        <v>2676</v>
      </c>
      <c r="T24" t="s">
        <v>271</v>
      </c>
      <c r="U24" t="s">
        <v>2927</v>
      </c>
    </row>
    <row r="25" spans="1:21" x14ac:dyDescent="0.35">
      <c r="A25" t="s">
        <v>1339</v>
      </c>
      <c r="B25" t="s">
        <v>47</v>
      </c>
      <c r="C25" t="s">
        <v>1536</v>
      </c>
      <c r="D25" t="s">
        <v>1755</v>
      </c>
      <c r="E25" t="s">
        <v>46</v>
      </c>
      <c r="F25" t="s">
        <v>756</v>
      </c>
      <c r="G25" t="s">
        <v>2166</v>
      </c>
      <c r="H25">
        <v>-81.177999999999997</v>
      </c>
      <c r="I25">
        <v>48.552999999999997</v>
      </c>
      <c r="J25" t="s">
        <v>2814</v>
      </c>
      <c r="K25" t="s">
        <v>2610</v>
      </c>
      <c r="L25" t="s">
        <v>2575</v>
      </c>
      <c r="M25" t="s">
        <v>10</v>
      </c>
      <c r="P25" t="s">
        <v>11</v>
      </c>
      <c r="Q25" t="s">
        <v>13</v>
      </c>
      <c r="R25" t="s">
        <v>2566</v>
      </c>
      <c r="S25" t="s">
        <v>16</v>
      </c>
      <c r="T25" t="s">
        <v>16</v>
      </c>
      <c r="U25" t="s">
        <v>2927</v>
      </c>
    </row>
    <row r="26" spans="1:21" x14ac:dyDescent="0.35">
      <c r="A26" s="18" t="s">
        <v>1388</v>
      </c>
      <c r="B26" s="18" t="s">
        <v>414</v>
      </c>
      <c r="C26" s="18"/>
      <c r="D26" s="18"/>
      <c r="E26" s="18" t="s">
        <v>413</v>
      </c>
      <c r="F26" s="18" t="s">
        <v>905</v>
      </c>
      <c r="G26" s="18" t="s">
        <v>2196</v>
      </c>
      <c r="H26" s="18">
        <v>-127.431</v>
      </c>
      <c r="I26" s="18">
        <v>53.802</v>
      </c>
      <c r="J26" s="18" t="s">
        <v>2863</v>
      </c>
      <c r="K26" s="18"/>
      <c r="L26" s="18" t="s">
        <v>2599</v>
      </c>
      <c r="M26" s="18" t="s">
        <v>374</v>
      </c>
      <c r="N26" s="18" t="s">
        <v>1115</v>
      </c>
      <c r="O26" s="18" t="s">
        <v>1116</v>
      </c>
      <c r="P26" s="18" t="s">
        <v>375</v>
      </c>
      <c r="Q26" s="18"/>
      <c r="R26" s="18"/>
      <c r="S26" s="18" t="s">
        <v>125</v>
      </c>
      <c r="T26" s="18" t="s">
        <v>415</v>
      </c>
      <c r="U26" s="18" t="s">
        <v>2926</v>
      </c>
    </row>
    <row r="27" spans="1:21" x14ac:dyDescent="0.35">
      <c r="A27" s="18" t="s">
        <v>1330</v>
      </c>
      <c r="B27" s="18" t="s">
        <v>470</v>
      </c>
      <c r="C27" s="18"/>
      <c r="D27" s="18"/>
      <c r="E27" s="18" t="s">
        <v>469</v>
      </c>
      <c r="F27" s="18" t="s">
        <v>469</v>
      </c>
      <c r="G27" s="18" t="s">
        <v>2157</v>
      </c>
      <c r="H27" s="18">
        <v>-78.059920000000005</v>
      </c>
      <c r="I27" s="18">
        <v>46.118139999999997</v>
      </c>
      <c r="J27" s="18" t="s">
        <v>2805</v>
      </c>
      <c r="K27" s="18"/>
      <c r="L27" s="18" t="s">
        <v>2575</v>
      </c>
      <c r="M27" s="18" t="s">
        <v>374</v>
      </c>
      <c r="N27" s="18" t="s">
        <v>1115</v>
      </c>
      <c r="O27" s="18" t="s">
        <v>1116</v>
      </c>
      <c r="P27" s="18" t="s">
        <v>375</v>
      </c>
      <c r="Q27" s="18"/>
      <c r="R27" s="18"/>
      <c r="S27" s="18" t="s">
        <v>468</v>
      </c>
      <c r="T27" s="18" t="s">
        <v>468</v>
      </c>
      <c r="U27" s="18" t="s">
        <v>2926</v>
      </c>
    </row>
    <row r="28" spans="1:21" x14ac:dyDescent="0.35">
      <c r="A28" s="18" t="s">
        <v>1383</v>
      </c>
      <c r="B28" s="18" t="s">
        <v>490</v>
      </c>
      <c r="C28" s="18"/>
      <c r="D28" s="18"/>
      <c r="E28" s="18" t="s">
        <v>489</v>
      </c>
      <c r="F28" s="18" t="s">
        <v>489</v>
      </c>
      <c r="G28" s="18" t="s">
        <v>2194</v>
      </c>
      <c r="H28" s="18">
        <v>-74.062112999999997</v>
      </c>
      <c r="I28" s="18">
        <v>49.800452999999997</v>
      </c>
      <c r="J28" s="18" t="s">
        <v>2860</v>
      </c>
      <c r="K28" s="18"/>
      <c r="L28" s="18" t="s">
        <v>2563</v>
      </c>
      <c r="M28" s="18" t="s">
        <v>374</v>
      </c>
      <c r="N28" s="18" t="s">
        <v>1115</v>
      </c>
      <c r="O28" s="18" t="s">
        <v>1116</v>
      </c>
      <c r="P28" s="18" t="s">
        <v>375</v>
      </c>
      <c r="Q28" s="18"/>
      <c r="R28" s="18"/>
      <c r="S28" s="18" t="s">
        <v>340</v>
      </c>
      <c r="T28" s="18" t="s">
        <v>491</v>
      </c>
      <c r="U28" s="18" t="s">
        <v>2926</v>
      </c>
    </row>
    <row r="29" spans="1:21" x14ac:dyDescent="0.35">
      <c r="A29" s="18" t="s">
        <v>1384</v>
      </c>
      <c r="B29" s="18" t="s">
        <v>492</v>
      </c>
      <c r="C29" s="18"/>
      <c r="D29" s="18"/>
      <c r="E29" s="18" t="s">
        <v>489</v>
      </c>
      <c r="F29" s="18" t="s">
        <v>489</v>
      </c>
      <c r="G29" s="18" t="s">
        <v>2194</v>
      </c>
      <c r="H29" s="18">
        <v>-70.854840999999993</v>
      </c>
      <c r="I29" s="18">
        <v>48.399647999999999</v>
      </c>
      <c r="J29" s="18" t="s">
        <v>2861</v>
      </c>
      <c r="K29" s="18"/>
      <c r="L29" s="18" t="s">
        <v>2563</v>
      </c>
      <c r="M29" s="18" t="s">
        <v>374</v>
      </c>
      <c r="N29" s="18" t="s">
        <v>1115</v>
      </c>
      <c r="O29" s="18" t="s">
        <v>1117</v>
      </c>
      <c r="P29" s="18" t="s">
        <v>375</v>
      </c>
      <c r="Q29" s="18"/>
      <c r="R29" s="18"/>
      <c r="S29" s="18" t="s">
        <v>340</v>
      </c>
      <c r="T29" s="18" t="s">
        <v>491</v>
      </c>
      <c r="U29" s="18" t="s">
        <v>2926</v>
      </c>
    </row>
    <row r="30" spans="1:21" x14ac:dyDescent="0.35">
      <c r="A30" t="s">
        <v>1179</v>
      </c>
      <c r="B30" t="s">
        <v>272</v>
      </c>
      <c r="E30" t="s">
        <v>208</v>
      </c>
      <c r="F30" t="s">
        <v>208</v>
      </c>
      <c r="G30" t="s">
        <v>1756</v>
      </c>
      <c r="H30">
        <v>-83.017246</v>
      </c>
      <c r="I30">
        <v>46.180895999999997</v>
      </c>
      <c r="J30" t="s">
        <v>2631</v>
      </c>
      <c r="L30" t="s">
        <v>2575</v>
      </c>
      <c r="M30" t="s">
        <v>10</v>
      </c>
      <c r="P30" t="s">
        <v>233</v>
      </c>
      <c r="Q30" t="s">
        <v>274</v>
      </c>
      <c r="R30" t="s">
        <v>210</v>
      </c>
      <c r="S30" t="s">
        <v>273</v>
      </c>
      <c r="T30" t="s">
        <v>273</v>
      </c>
      <c r="U30" t="s">
        <v>2927</v>
      </c>
    </row>
    <row r="31" spans="1:21" x14ac:dyDescent="0.35">
      <c r="A31" t="s">
        <v>1192</v>
      </c>
      <c r="B31" t="s">
        <v>162</v>
      </c>
      <c r="E31" t="s">
        <v>161</v>
      </c>
      <c r="F31" t="s">
        <v>795</v>
      </c>
      <c r="G31" t="s">
        <v>2011</v>
      </c>
      <c r="H31">
        <v>-67.28</v>
      </c>
      <c r="I31">
        <v>52.84</v>
      </c>
      <c r="J31" t="s">
        <v>2652</v>
      </c>
      <c r="K31" t="s">
        <v>2603</v>
      </c>
      <c r="L31" t="s">
        <v>2563</v>
      </c>
      <c r="M31" t="s">
        <v>10</v>
      </c>
      <c r="P31" t="s">
        <v>11</v>
      </c>
      <c r="Q31" t="s">
        <v>34</v>
      </c>
      <c r="R31" t="s">
        <v>340</v>
      </c>
      <c r="S31" t="s">
        <v>157</v>
      </c>
      <c r="T31" t="s">
        <v>157</v>
      </c>
      <c r="U31" t="s">
        <v>2927</v>
      </c>
    </row>
    <row r="32" spans="1:21" s="18" customFormat="1" x14ac:dyDescent="0.35">
      <c r="A32" s="18" t="s">
        <v>1293</v>
      </c>
      <c r="B32" s="18" t="s">
        <v>500</v>
      </c>
      <c r="E32" s="18" t="s">
        <v>499</v>
      </c>
      <c r="F32" s="18" t="s">
        <v>499</v>
      </c>
      <c r="G32" s="18" t="s">
        <v>2133</v>
      </c>
      <c r="H32" s="18">
        <v>-117.163427</v>
      </c>
      <c r="I32" s="18">
        <v>54.946792000000002</v>
      </c>
      <c r="J32" s="18" t="s">
        <v>2759</v>
      </c>
      <c r="L32" s="18" t="s">
        <v>2601</v>
      </c>
      <c r="M32" s="18" t="s">
        <v>374</v>
      </c>
      <c r="N32" s="18" t="s">
        <v>1115</v>
      </c>
      <c r="O32" s="18" t="s">
        <v>1118</v>
      </c>
      <c r="P32" s="18" t="s">
        <v>375</v>
      </c>
      <c r="S32" s="18" t="s">
        <v>498</v>
      </c>
      <c r="T32" s="18" t="s">
        <v>498</v>
      </c>
      <c r="U32" s="18" t="s">
        <v>2926</v>
      </c>
    </row>
    <row r="33" spans="1:21" x14ac:dyDescent="0.35">
      <c r="A33" t="s">
        <v>1320</v>
      </c>
      <c r="B33" t="s">
        <v>40</v>
      </c>
      <c r="C33" t="s">
        <v>1587</v>
      </c>
      <c r="D33" t="s">
        <v>1754</v>
      </c>
      <c r="E33" t="s">
        <v>39</v>
      </c>
      <c r="F33" t="s">
        <v>39</v>
      </c>
      <c r="G33" t="s">
        <v>2151</v>
      </c>
      <c r="H33">
        <v>-83.260981000000001</v>
      </c>
      <c r="I33">
        <v>47.871882999999997</v>
      </c>
      <c r="J33" t="s">
        <v>2786</v>
      </c>
      <c r="K33" t="s">
        <v>2785</v>
      </c>
      <c r="L33" t="s">
        <v>2575</v>
      </c>
      <c r="M33" t="s">
        <v>10</v>
      </c>
      <c r="P33" t="s">
        <v>11</v>
      </c>
      <c r="Q33" t="s">
        <v>17</v>
      </c>
      <c r="R33" t="s">
        <v>2566</v>
      </c>
      <c r="S33" t="s">
        <v>16</v>
      </c>
      <c r="T33" t="s">
        <v>16</v>
      </c>
      <c r="U33" t="s">
        <v>2927</v>
      </c>
    </row>
    <row r="34" spans="1:21" s="18" customFormat="1" x14ac:dyDescent="0.35">
      <c r="A34" t="s">
        <v>1161</v>
      </c>
      <c r="B34" t="s">
        <v>276</v>
      </c>
      <c r="C34"/>
      <c r="D34"/>
      <c r="E34" t="s">
        <v>275</v>
      </c>
      <c r="F34" t="s">
        <v>785</v>
      </c>
      <c r="G34" t="s">
        <v>2050</v>
      </c>
      <c r="H34">
        <v>-79.722125000000005</v>
      </c>
      <c r="I34">
        <v>43.691065999999999</v>
      </c>
      <c r="J34" t="s">
        <v>2614</v>
      </c>
      <c r="K34"/>
      <c r="L34" t="s">
        <v>2575</v>
      </c>
      <c r="M34" t="s">
        <v>10</v>
      </c>
      <c r="N34"/>
      <c r="O34"/>
      <c r="P34" t="s">
        <v>233</v>
      </c>
      <c r="Q34" t="s">
        <v>274</v>
      </c>
      <c r="R34" t="s">
        <v>2566</v>
      </c>
      <c r="S34" t="s">
        <v>16</v>
      </c>
      <c r="T34" t="s">
        <v>64</v>
      </c>
      <c r="U34" t="s">
        <v>2927</v>
      </c>
    </row>
    <row r="35" spans="1:21" s="18" customFormat="1" x14ac:dyDescent="0.35">
      <c r="A35" t="s">
        <v>1323</v>
      </c>
      <c r="B35" t="s">
        <v>77</v>
      </c>
      <c r="C35"/>
      <c r="D35"/>
      <c r="E35" t="s">
        <v>39</v>
      </c>
      <c r="F35" t="s">
        <v>39</v>
      </c>
      <c r="G35" t="s">
        <v>2151</v>
      </c>
      <c r="H35">
        <v>-130.21782999999999</v>
      </c>
      <c r="I35">
        <v>56.475540000000002</v>
      </c>
      <c r="J35" t="s">
        <v>2788</v>
      </c>
      <c r="K35" t="s">
        <v>2787</v>
      </c>
      <c r="L35" t="s">
        <v>2599</v>
      </c>
      <c r="M35" t="s">
        <v>10</v>
      </c>
      <c r="N35"/>
      <c r="O35"/>
      <c r="P35" t="s">
        <v>11</v>
      </c>
      <c r="Q35" t="s">
        <v>13</v>
      </c>
      <c r="R35" t="s">
        <v>2566</v>
      </c>
      <c r="S35" t="s">
        <v>16</v>
      </c>
      <c r="T35" t="s">
        <v>64</v>
      </c>
      <c r="U35" t="s">
        <v>2927</v>
      </c>
    </row>
    <row r="36" spans="1:21" x14ac:dyDescent="0.35">
      <c r="A36" s="18" t="s">
        <v>1171</v>
      </c>
      <c r="B36" s="18" t="s">
        <v>687</v>
      </c>
      <c r="C36" s="18"/>
      <c r="D36" s="18"/>
      <c r="E36" s="18" t="s">
        <v>686</v>
      </c>
      <c r="F36" s="18" t="s">
        <v>707</v>
      </c>
      <c r="G36" s="18" t="s">
        <v>2928</v>
      </c>
      <c r="H36" s="18">
        <v>-56.855964999999998</v>
      </c>
      <c r="I36" s="18">
        <v>48.829017999999998</v>
      </c>
      <c r="J36" s="18" t="s">
        <v>2626</v>
      </c>
      <c r="K36" s="18"/>
      <c r="L36" s="18" t="s">
        <v>2625</v>
      </c>
      <c r="M36" s="18" t="s">
        <v>374</v>
      </c>
      <c r="N36" s="18" t="s">
        <v>1115</v>
      </c>
      <c r="O36" s="18" t="s">
        <v>1116</v>
      </c>
      <c r="P36" s="18" t="s">
        <v>375</v>
      </c>
      <c r="Q36" s="18"/>
      <c r="R36" s="18"/>
      <c r="S36" s="18" t="s">
        <v>1551</v>
      </c>
      <c r="T36" s="18" t="s">
        <v>688</v>
      </c>
      <c r="U36" s="18" t="s">
        <v>2926</v>
      </c>
    </row>
    <row r="37" spans="1:21" x14ac:dyDescent="0.35">
      <c r="A37" s="18" t="s">
        <v>1335</v>
      </c>
      <c r="B37" s="18" t="s">
        <v>677</v>
      </c>
      <c r="C37" s="18"/>
      <c r="D37" s="18"/>
      <c r="E37" s="18" t="s">
        <v>676</v>
      </c>
      <c r="F37" s="18" t="s">
        <v>886</v>
      </c>
      <c r="G37" s="18" t="s">
        <v>2162</v>
      </c>
      <c r="H37" s="18">
        <v>-77.936644000000001</v>
      </c>
      <c r="I37" s="18">
        <v>49.773162999999997</v>
      </c>
      <c r="J37" s="18" t="s">
        <v>2810</v>
      </c>
      <c r="K37" s="18"/>
      <c r="L37" s="18" t="s">
        <v>2563</v>
      </c>
      <c r="M37" s="18" t="s">
        <v>374</v>
      </c>
      <c r="N37" s="18" t="s">
        <v>1115</v>
      </c>
      <c r="O37" s="18" t="s">
        <v>1116</v>
      </c>
      <c r="P37" s="18" t="s">
        <v>375</v>
      </c>
      <c r="Q37" s="18"/>
      <c r="R37" s="18"/>
      <c r="S37" s="18" t="s">
        <v>1551</v>
      </c>
      <c r="T37" s="18" t="s">
        <v>678</v>
      </c>
      <c r="U37" s="18" t="s">
        <v>2926</v>
      </c>
    </row>
    <row r="38" spans="1:21" x14ac:dyDescent="0.35">
      <c r="A38" t="s">
        <v>1243</v>
      </c>
      <c r="B38" t="s">
        <v>282</v>
      </c>
      <c r="E38" t="s">
        <v>281</v>
      </c>
      <c r="F38" t="s">
        <v>714</v>
      </c>
      <c r="G38" t="s">
        <v>2103</v>
      </c>
      <c r="H38">
        <v>-80.28</v>
      </c>
      <c r="I38">
        <v>43.37</v>
      </c>
      <c r="J38" t="s">
        <v>2699</v>
      </c>
      <c r="L38" t="s">
        <v>2575</v>
      </c>
      <c r="M38" t="s">
        <v>10</v>
      </c>
      <c r="P38" t="s">
        <v>233</v>
      </c>
      <c r="Q38" t="s">
        <v>255</v>
      </c>
      <c r="R38" t="s">
        <v>340</v>
      </c>
      <c r="S38" t="s">
        <v>244</v>
      </c>
      <c r="T38" t="s">
        <v>244</v>
      </c>
      <c r="U38" t="s">
        <v>2927</v>
      </c>
    </row>
    <row r="39" spans="1:21" s="18" customFormat="1" x14ac:dyDescent="0.35">
      <c r="A39" t="s">
        <v>1252</v>
      </c>
      <c r="B39" t="s">
        <v>283</v>
      </c>
      <c r="C39"/>
      <c r="D39"/>
      <c r="E39" t="s">
        <v>142</v>
      </c>
      <c r="F39" t="s">
        <v>715</v>
      </c>
      <c r="G39" t="s">
        <v>2104</v>
      </c>
      <c r="H39">
        <v>-74.097205000000002</v>
      </c>
      <c r="I39">
        <v>45.228312000000003</v>
      </c>
      <c r="J39" t="s">
        <v>2702</v>
      </c>
      <c r="K39"/>
      <c r="L39" t="s">
        <v>2563</v>
      </c>
      <c r="M39" t="s">
        <v>10</v>
      </c>
      <c r="N39"/>
      <c r="O39"/>
      <c r="P39" t="s">
        <v>233</v>
      </c>
      <c r="Q39" t="s">
        <v>274</v>
      </c>
      <c r="R39" t="s">
        <v>2621</v>
      </c>
      <c r="S39" t="s">
        <v>1551</v>
      </c>
      <c r="T39" t="s">
        <v>284</v>
      </c>
      <c r="U39" t="s">
        <v>2927</v>
      </c>
    </row>
    <row r="40" spans="1:21" s="18" customFormat="1" x14ac:dyDescent="0.35">
      <c r="A40" t="s">
        <v>1125</v>
      </c>
      <c r="B40" t="s">
        <v>65</v>
      </c>
      <c r="C40"/>
      <c r="D40"/>
      <c r="E40" t="s">
        <v>14</v>
      </c>
      <c r="F40" t="s">
        <v>14</v>
      </c>
      <c r="G40" t="s">
        <v>2034</v>
      </c>
      <c r="H40">
        <v>-78.130824000000004</v>
      </c>
      <c r="I40">
        <v>48.122222999999998</v>
      </c>
      <c r="J40" t="s">
        <v>2573</v>
      </c>
      <c r="K40" t="s">
        <v>2572</v>
      </c>
      <c r="L40" t="s">
        <v>2563</v>
      </c>
      <c r="M40" t="s">
        <v>10</v>
      </c>
      <c r="N40"/>
      <c r="O40"/>
      <c r="P40" t="s">
        <v>11</v>
      </c>
      <c r="Q40" t="s">
        <v>19</v>
      </c>
      <c r="R40" t="s">
        <v>2566</v>
      </c>
      <c r="S40" t="s">
        <v>16</v>
      </c>
      <c r="T40" t="s">
        <v>64</v>
      </c>
      <c r="U40" t="s">
        <v>2927</v>
      </c>
    </row>
    <row r="41" spans="1:21" x14ac:dyDescent="0.35">
      <c r="A41" s="18" t="s">
        <v>1258</v>
      </c>
      <c r="B41" s="18" t="s">
        <v>409</v>
      </c>
      <c r="C41" s="18"/>
      <c r="D41" s="18"/>
      <c r="E41" s="18" t="s">
        <v>408</v>
      </c>
      <c r="F41" s="18" t="s">
        <v>408</v>
      </c>
      <c r="G41" s="18" t="s">
        <v>2110</v>
      </c>
      <c r="H41" s="18">
        <v>-136.69999999999999</v>
      </c>
      <c r="I41" s="18">
        <v>62.33</v>
      </c>
      <c r="J41" s="18" t="s">
        <v>2719</v>
      </c>
      <c r="K41" s="18"/>
      <c r="L41" s="18" t="s">
        <v>2623</v>
      </c>
      <c r="M41" s="18" t="s">
        <v>374</v>
      </c>
      <c r="N41" s="18" t="s">
        <v>1115</v>
      </c>
      <c r="O41" s="18" t="s">
        <v>1116</v>
      </c>
      <c r="P41" s="18" t="s">
        <v>375</v>
      </c>
      <c r="Q41" s="18"/>
      <c r="R41" s="18"/>
      <c r="S41" s="18" t="s">
        <v>125</v>
      </c>
      <c r="T41" s="18" t="s">
        <v>410</v>
      </c>
      <c r="U41" s="18" t="s">
        <v>2926</v>
      </c>
    </row>
    <row r="42" spans="1:21" s="18" customFormat="1" x14ac:dyDescent="0.35">
      <c r="A42" t="s">
        <v>1282</v>
      </c>
      <c r="B42" t="s">
        <v>164</v>
      </c>
      <c r="C42"/>
      <c r="D42"/>
      <c r="E42" t="s">
        <v>163</v>
      </c>
      <c r="F42" t="s">
        <v>861</v>
      </c>
      <c r="G42" t="s">
        <v>2123</v>
      </c>
      <c r="H42">
        <v>-66.936774</v>
      </c>
      <c r="I42">
        <v>53.039755</v>
      </c>
      <c r="J42" t="s">
        <v>2750</v>
      </c>
      <c r="K42" t="s">
        <v>2749</v>
      </c>
      <c r="L42" t="s">
        <v>2625</v>
      </c>
      <c r="M42" t="s">
        <v>10</v>
      </c>
      <c r="N42"/>
      <c r="O42"/>
      <c r="P42" t="s">
        <v>11</v>
      </c>
      <c r="Q42" t="s">
        <v>19</v>
      </c>
      <c r="R42" t="s">
        <v>340</v>
      </c>
      <c r="S42" t="s">
        <v>157</v>
      </c>
      <c r="T42" t="s">
        <v>157</v>
      </c>
      <c r="U42" t="s">
        <v>2927</v>
      </c>
    </row>
    <row r="43" spans="1:21" x14ac:dyDescent="0.35">
      <c r="A43" t="s">
        <v>1263</v>
      </c>
      <c r="B43" t="s">
        <v>72</v>
      </c>
      <c r="E43" t="s">
        <v>8</v>
      </c>
      <c r="F43" t="s">
        <v>8</v>
      </c>
      <c r="G43" t="s">
        <v>1902</v>
      </c>
      <c r="H43">
        <v>-79.231307000000001</v>
      </c>
      <c r="I43">
        <v>49.571899999999999</v>
      </c>
      <c r="J43" t="s">
        <v>2725</v>
      </c>
      <c r="K43" t="s">
        <v>2724</v>
      </c>
      <c r="L43" t="s">
        <v>2563</v>
      </c>
      <c r="M43" t="s">
        <v>10</v>
      </c>
      <c r="P43" t="s">
        <v>11</v>
      </c>
      <c r="Q43" t="s">
        <v>23</v>
      </c>
      <c r="R43" t="s">
        <v>2566</v>
      </c>
      <c r="S43" t="s">
        <v>16</v>
      </c>
      <c r="T43" t="s">
        <v>64</v>
      </c>
      <c r="U43" t="s">
        <v>2927</v>
      </c>
    </row>
    <row r="44" spans="1:21" x14ac:dyDescent="0.35">
      <c r="A44" s="18" t="s">
        <v>1441</v>
      </c>
      <c r="B44" s="18" t="s">
        <v>396</v>
      </c>
      <c r="C44" s="18"/>
      <c r="D44" s="18"/>
      <c r="E44" s="18" t="s">
        <v>395</v>
      </c>
      <c r="F44" s="18" t="s">
        <v>395</v>
      </c>
      <c r="G44" s="18" t="s">
        <v>2223</v>
      </c>
      <c r="H44" s="18">
        <v>-138.83332999999999</v>
      </c>
      <c r="I44" s="18">
        <v>62.733330000000002</v>
      </c>
      <c r="J44" s="18" t="s">
        <v>2913</v>
      </c>
      <c r="K44" s="18"/>
      <c r="L44" s="18" t="s">
        <v>2623</v>
      </c>
      <c r="M44" s="18" t="s">
        <v>374</v>
      </c>
      <c r="N44" s="18" t="s">
        <v>1115</v>
      </c>
      <c r="O44" s="18" t="s">
        <v>1116</v>
      </c>
      <c r="P44" s="18" t="s">
        <v>375</v>
      </c>
      <c r="Q44" s="18"/>
      <c r="R44" s="18"/>
      <c r="S44" s="18" t="s">
        <v>125</v>
      </c>
      <c r="T44" s="18" t="s">
        <v>397</v>
      </c>
      <c r="U44" s="18" t="s">
        <v>2926</v>
      </c>
    </row>
    <row r="45" spans="1:21" x14ac:dyDescent="0.35">
      <c r="A45" t="s">
        <v>1250</v>
      </c>
      <c r="B45" t="s">
        <v>285</v>
      </c>
      <c r="C45" t="s">
        <v>285</v>
      </c>
      <c r="D45" t="s">
        <v>2932</v>
      </c>
      <c r="E45" t="s">
        <v>142</v>
      </c>
      <c r="F45" t="s">
        <v>715</v>
      </c>
      <c r="G45" t="s">
        <v>2104</v>
      </c>
      <c r="H45">
        <v>-73.511778000000007</v>
      </c>
      <c r="I45">
        <v>45.627518000000002</v>
      </c>
      <c r="J45" t="s">
        <v>2704</v>
      </c>
      <c r="L45" t="s">
        <v>2563</v>
      </c>
      <c r="M45" t="s">
        <v>10</v>
      </c>
      <c r="P45" t="s">
        <v>233</v>
      </c>
      <c r="Q45" t="s">
        <v>274</v>
      </c>
      <c r="R45" t="s">
        <v>2621</v>
      </c>
      <c r="S45" t="s">
        <v>2703</v>
      </c>
      <c r="T45" t="s">
        <v>286</v>
      </c>
      <c r="U45" t="s">
        <v>2927</v>
      </c>
    </row>
    <row r="46" spans="1:21" x14ac:dyDescent="0.35">
      <c r="A46" t="s">
        <v>1175</v>
      </c>
      <c r="B46" t="s">
        <v>209</v>
      </c>
      <c r="E46" t="s">
        <v>208</v>
      </c>
      <c r="F46" t="s">
        <v>208</v>
      </c>
      <c r="G46" t="s">
        <v>1756</v>
      </c>
      <c r="H46">
        <v>-104.54123</v>
      </c>
      <c r="I46">
        <v>58.068190000000001</v>
      </c>
      <c r="J46" t="s">
        <v>2633</v>
      </c>
      <c r="K46" t="s">
        <v>2632</v>
      </c>
      <c r="L46" t="s">
        <v>2612</v>
      </c>
      <c r="M46" t="s">
        <v>10</v>
      </c>
      <c r="P46" t="s">
        <v>11</v>
      </c>
      <c r="Q46" t="s">
        <v>44</v>
      </c>
      <c r="R46" t="s">
        <v>210</v>
      </c>
      <c r="S46" t="s">
        <v>210</v>
      </c>
      <c r="T46" t="s">
        <v>210</v>
      </c>
      <c r="U46" t="s">
        <v>2927</v>
      </c>
    </row>
    <row r="47" spans="1:21" x14ac:dyDescent="0.35">
      <c r="A47" t="s">
        <v>1420</v>
      </c>
      <c r="B47" t="s">
        <v>190</v>
      </c>
      <c r="C47" t="s">
        <v>2210</v>
      </c>
      <c r="D47" t="s">
        <v>2211</v>
      </c>
      <c r="E47" t="s">
        <v>178</v>
      </c>
      <c r="F47" t="s">
        <v>719</v>
      </c>
      <c r="G47" t="s">
        <v>2209</v>
      </c>
      <c r="H47">
        <v>-81.056781999999998</v>
      </c>
      <c r="I47">
        <v>46.495821999999997</v>
      </c>
      <c r="J47" t="s">
        <v>2887</v>
      </c>
      <c r="K47" t="s">
        <v>140</v>
      </c>
      <c r="L47" t="s">
        <v>2575</v>
      </c>
      <c r="M47" t="s">
        <v>10</v>
      </c>
      <c r="P47" t="s">
        <v>11</v>
      </c>
      <c r="Q47" t="s">
        <v>21</v>
      </c>
      <c r="R47" t="s">
        <v>2621</v>
      </c>
      <c r="S47" t="s">
        <v>557</v>
      </c>
      <c r="T47" t="s">
        <v>189</v>
      </c>
      <c r="U47" t="s">
        <v>2927</v>
      </c>
    </row>
    <row r="48" spans="1:21" s="18" customFormat="1" x14ac:dyDescent="0.35">
      <c r="A48" t="s">
        <v>1423</v>
      </c>
      <c r="B48" t="s">
        <v>191</v>
      </c>
      <c r="C48" t="s">
        <v>2210</v>
      </c>
      <c r="D48" t="s">
        <v>2211</v>
      </c>
      <c r="E48" t="s">
        <v>178</v>
      </c>
      <c r="F48" t="s">
        <v>719</v>
      </c>
      <c r="G48" t="s">
        <v>2209</v>
      </c>
      <c r="H48">
        <v>-81.339699999999993</v>
      </c>
      <c r="I48">
        <v>46.677100000000003</v>
      </c>
      <c r="J48" t="s">
        <v>2888</v>
      </c>
      <c r="K48" t="s">
        <v>140</v>
      </c>
      <c r="L48" t="s">
        <v>2575</v>
      </c>
      <c r="M48" t="s">
        <v>10</v>
      </c>
      <c r="N48"/>
      <c r="O48"/>
      <c r="P48" t="s">
        <v>11</v>
      </c>
      <c r="Q48" t="s">
        <v>44</v>
      </c>
      <c r="R48" t="s">
        <v>2621</v>
      </c>
      <c r="S48" t="s">
        <v>557</v>
      </c>
      <c r="T48" t="s">
        <v>189</v>
      </c>
      <c r="U48" t="s">
        <v>2927</v>
      </c>
    </row>
    <row r="49" spans="1:21" s="18" customFormat="1" x14ac:dyDescent="0.35">
      <c r="A49" t="s">
        <v>1155</v>
      </c>
      <c r="B49" t="s">
        <v>288</v>
      </c>
      <c r="C49" t="s">
        <v>2420</v>
      </c>
      <c r="D49" t="s">
        <v>2931</v>
      </c>
      <c r="E49" t="s">
        <v>287</v>
      </c>
      <c r="F49" t="s">
        <v>155</v>
      </c>
      <c r="G49" t="s">
        <v>2048</v>
      </c>
      <c r="H49">
        <v>-73.249081000000004</v>
      </c>
      <c r="I49">
        <v>45.837722999999997</v>
      </c>
      <c r="J49" t="s">
        <v>2606</v>
      </c>
      <c r="K49"/>
      <c r="L49" t="s">
        <v>2563</v>
      </c>
      <c r="M49" t="s">
        <v>10</v>
      </c>
      <c r="N49"/>
      <c r="O49"/>
      <c r="P49" t="s">
        <v>233</v>
      </c>
      <c r="Q49" t="s">
        <v>255</v>
      </c>
      <c r="R49" t="s">
        <v>340</v>
      </c>
      <c r="S49" t="s">
        <v>244</v>
      </c>
      <c r="T49" t="s">
        <v>244</v>
      </c>
      <c r="U49" t="s">
        <v>2927</v>
      </c>
    </row>
    <row r="50" spans="1:21" s="18" customFormat="1" x14ac:dyDescent="0.35">
      <c r="A50" t="s">
        <v>1156</v>
      </c>
      <c r="B50" t="s">
        <v>289</v>
      </c>
      <c r="C50" t="s">
        <v>2420</v>
      </c>
      <c r="D50" t="s">
        <v>2931</v>
      </c>
      <c r="E50" t="s">
        <v>287</v>
      </c>
      <c r="F50" t="s">
        <v>155</v>
      </c>
      <c r="G50" t="s">
        <v>2048</v>
      </c>
      <c r="H50">
        <v>-73.263267999999997</v>
      </c>
      <c r="I50">
        <v>45.819938</v>
      </c>
      <c r="J50" t="s">
        <v>2607</v>
      </c>
      <c r="K50"/>
      <c r="L50" t="s">
        <v>2563</v>
      </c>
      <c r="M50" t="s">
        <v>10</v>
      </c>
      <c r="N50"/>
      <c r="O50"/>
      <c r="P50" t="s">
        <v>233</v>
      </c>
      <c r="Q50" t="s">
        <v>255</v>
      </c>
      <c r="R50" t="s">
        <v>340</v>
      </c>
      <c r="S50" t="s">
        <v>244</v>
      </c>
      <c r="T50" t="s">
        <v>244</v>
      </c>
      <c r="U50" t="s">
        <v>2927</v>
      </c>
    </row>
    <row r="51" spans="1:21" s="18" customFormat="1" x14ac:dyDescent="0.35">
      <c r="A51" t="s">
        <v>1421</v>
      </c>
      <c r="B51" t="s">
        <v>192</v>
      </c>
      <c r="C51" t="s">
        <v>2210</v>
      </c>
      <c r="D51" t="s">
        <v>2211</v>
      </c>
      <c r="E51" t="s">
        <v>178</v>
      </c>
      <c r="F51" t="s">
        <v>719</v>
      </c>
      <c r="G51" t="s">
        <v>2209</v>
      </c>
      <c r="H51">
        <v>-81.068205000000006</v>
      </c>
      <c r="I51">
        <v>46.491444999999999</v>
      </c>
      <c r="J51" t="s">
        <v>2889</v>
      </c>
      <c r="K51" t="s">
        <v>140</v>
      </c>
      <c r="L51" t="s">
        <v>2575</v>
      </c>
      <c r="M51" t="s">
        <v>10</v>
      </c>
      <c r="N51"/>
      <c r="O51"/>
      <c r="P51" t="s">
        <v>11</v>
      </c>
      <c r="Q51" t="s">
        <v>44</v>
      </c>
      <c r="R51" t="s">
        <v>2621</v>
      </c>
      <c r="S51" t="s">
        <v>557</v>
      </c>
      <c r="T51" t="s">
        <v>189</v>
      </c>
      <c r="U51" t="s">
        <v>2927</v>
      </c>
    </row>
    <row r="52" spans="1:21" s="18" customFormat="1" x14ac:dyDescent="0.35">
      <c r="A52" t="s">
        <v>1427</v>
      </c>
      <c r="B52" t="s">
        <v>192</v>
      </c>
      <c r="C52" t="s">
        <v>2210</v>
      </c>
      <c r="D52" t="s">
        <v>2211</v>
      </c>
      <c r="E52" t="s">
        <v>178</v>
      </c>
      <c r="F52" t="s">
        <v>719</v>
      </c>
      <c r="G52" t="s">
        <v>2209</v>
      </c>
      <c r="H52">
        <v>-81.056899999999999</v>
      </c>
      <c r="I52">
        <v>46.4801</v>
      </c>
      <c r="J52" t="s">
        <v>2891</v>
      </c>
      <c r="K52"/>
      <c r="L52" t="s">
        <v>2575</v>
      </c>
      <c r="M52" t="s">
        <v>10</v>
      </c>
      <c r="N52"/>
      <c r="O52"/>
      <c r="P52" t="s">
        <v>233</v>
      </c>
      <c r="Q52" t="s">
        <v>292</v>
      </c>
      <c r="R52" t="s">
        <v>2621</v>
      </c>
      <c r="S52" t="s">
        <v>2890</v>
      </c>
      <c r="T52" t="s">
        <v>291</v>
      </c>
      <c r="U52" t="s">
        <v>2927</v>
      </c>
    </row>
    <row r="53" spans="1:21" x14ac:dyDescent="0.35">
      <c r="A53" t="s">
        <v>1270</v>
      </c>
      <c r="B53" t="s">
        <v>132</v>
      </c>
      <c r="E53" t="s">
        <v>79</v>
      </c>
      <c r="F53" t="s">
        <v>717</v>
      </c>
      <c r="G53" t="s">
        <v>1853</v>
      </c>
      <c r="H53">
        <v>-120.533</v>
      </c>
      <c r="I53">
        <v>49.331000000000003</v>
      </c>
      <c r="J53" t="s">
        <v>2733</v>
      </c>
      <c r="K53" t="s">
        <v>2732</v>
      </c>
      <c r="L53" t="s">
        <v>2599</v>
      </c>
      <c r="M53" t="s">
        <v>10</v>
      </c>
      <c r="P53" t="s">
        <v>11</v>
      </c>
      <c r="Q53" t="s">
        <v>19</v>
      </c>
      <c r="R53" t="s">
        <v>2621</v>
      </c>
      <c r="S53" t="s">
        <v>125</v>
      </c>
      <c r="T53" t="s">
        <v>130</v>
      </c>
      <c r="U53" t="s">
        <v>2927</v>
      </c>
    </row>
    <row r="54" spans="1:21" s="18" customFormat="1" x14ac:dyDescent="0.35">
      <c r="A54" s="18" t="s">
        <v>1279</v>
      </c>
      <c r="B54" s="18" t="s">
        <v>651</v>
      </c>
      <c r="E54" s="18" t="s">
        <v>650</v>
      </c>
      <c r="F54" s="18" t="s">
        <v>650</v>
      </c>
      <c r="G54" s="18" t="s">
        <v>2122</v>
      </c>
      <c r="H54" s="18">
        <v>-63.899099999999997</v>
      </c>
      <c r="I54" s="18">
        <v>55.350250000000003</v>
      </c>
      <c r="J54" s="18" t="s">
        <v>2748</v>
      </c>
      <c r="L54" s="18" t="s">
        <v>2563</v>
      </c>
      <c r="M54" s="18" t="s">
        <v>374</v>
      </c>
      <c r="N54" s="18" t="s">
        <v>1115</v>
      </c>
      <c r="O54" s="18" t="s">
        <v>1116</v>
      </c>
      <c r="P54" s="18" t="s">
        <v>375</v>
      </c>
      <c r="S54" s="18" t="s">
        <v>649</v>
      </c>
      <c r="T54" s="18" t="s">
        <v>652</v>
      </c>
      <c r="U54" s="18" t="s">
        <v>2926</v>
      </c>
    </row>
    <row r="55" spans="1:21" s="18" customFormat="1" x14ac:dyDescent="0.35">
      <c r="A55" s="18" t="s">
        <v>1180</v>
      </c>
      <c r="B55" s="18" t="s">
        <v>593</v>
      </c>
      <c r="E55" s="18" t="s">
        <v>592</v>
      </c>
      <c r="F55" s="18" t="s">
        <v>707</v>
      </c>
      <c r="G55" s="18" t="s">
        <v>2928</v>
      </c>
      <c r="H55" s="18">
        <v>-81.373090000000005</v>
      </c>
      <c r="I55" s="18">
        <v>48.83972</v>
      </c>
      <c r="J55" s="18" t="s">
        <v>2640</v>
      </c>
      <c r="L55" s="18" t="s">
        <v>2575</v>
      </c>
      <c r="M55" s="18" t="s">
        <v>374</v>
      </c>
      <c r="N55" s="18" t="s">
        <v>1115</v>
      </c>
      <c r="O55" s="18" t="s">
        <v>1116</v>
      </c>
      <c r="P55" s="18" t="s">
        <v>375</v>
      </c>
      <c r="S55" s="18" t="s">
        <v>557</v>
      </c>
      <c r="T55" s="18" t="s">
        <v>594</v>
      </c>
      <c r="U55" s="18" t="s">
        <v>2926</v>
      </c>
    </row>
    <row r="56" spans="1:21" x14ac:dyDescent="0.35">
      <c r="A56" s="18" t="s">
        <v>1295</v>
      </c>
      <c r="B56" s="18" t="s">
        <v>572</v>
      </c>
      <c r="C56" s="18"/>
      <c r="D56" s="18"/>
      <c r="E56" s="18" t="s">
        <v>571</v>
      </c>
      <c r="F56" s="18" t="s">
        <v>867</v>
      </c>
      <c r="G56" s="18" t="s">
        <v>2135</v>
      </c>
      <c r="H56" s="18">
        <v>-81.361670000000004</v>
      </c>
      <c r="I56" s="18">
        <v>46.424720000000001</v>
      </c>
      <c r="J56" s="18" t="s">
        <v>2761</v>
      </c>
      <c r="K56" s="18"/>
      <c r="L56" s="18" t="s">
        <v>2575</v>
      </c>
      <c r="M56" s="18" t="s">
        <v>374</v>
      </c>
      <c r="N56" s="18" t="s">
        <v>1115</v>
      </c>
      <c r="O56" s="18" t="s">
        <v>1116</v>
      </c>
      <c r="P56" s="18" t="s">
        <v>375</v>
      </c>
      <c r="Q56" s="18"/>
      <c r="R56" s="18"/>
      <c r="S56" s="18" t="s">
        <v>557</v>
      </c>
      <c r="T56" s="18" t="s">
        <v>573</v>
      </c>
      <c r="U56" s="18" t="s">
        <v>2926</v>
      </c>
    </row>
    <row r="57" spans="1:21" x14ac:dyDescent="0.35">
      <c r="A57" t="s">
        <v>1422</v>
      </c>
      <c r="B57" t="s">
        <v>193</v>
      </c>
      <c r="C57" t="s">
        <v>2210</v>
      </c>
      <c r="D57" t="s">
        <v>2211</v>
      </c>
      <c r="E57" t="s">
        <v>178</v>
      </c>
      <c r="F57" t="s">
        <v>719</v>
      </c>
      <c r="G57" t="s">
        <v>2209</v>
      </c>
      <c r="H57">
        <v>-81.186099999999996</v>
      </c>
      <c r="I57">
        <v>46.473999999999997</v>
      </c>
      <c r="J57" t="s">
        <v>2892</v>
      </c>
      <c r="K57" t="s">
        <v>140</v>
      </c>
      <c r="L57" t="s">
        <v>2575</v>
      </c>
      <c r="M57" t="s">
        <v>10</v>
      </c>
      <c r="P57" t="s">
        <v>11</v>
      </c>
      <c r="Q57" t="s">
        <v>44</v>
      </c>
      <c r="R57" t="s">
        <v>2621</v>
      </c>
      <c r="S57" t="s">
        <v>557</v>
      </c>
      <c r="T57" t="s">
        <v>189</v>
      </c>
      <c r="U57" t="s">
        <v>2927</v>
      </c>
    </row>
    <row r="58" spans="1:21" x14ac:dyDescent="0.35">
      <c r="A58" s="18" t="s">
        <v>1328</v>
      </c>
      <c r="B58" s="18" t="s">
        <v>597</v>
      </c>
      <c r="C58" s="18"/>
      <c r="D58" s="18"/>
      <c r="E58" s="18" t="s">
        <v>596</v>
      </c>
      <c r="F58" s="18" t="s">
        <v>880</v>
      </c>
      <c r="G58" s="18" t="s">
        <v>2155</v>
      </c>
      <c r="H58" s="18">
        <v>-72.764399999999995</v>
      </c>
      <c r="I58" s="18">
        <v>49.460030000000003</v>
      </c>
      <c r="J58" s="18" t="s">
        <v>2803</v>
      </c>
      <c r="K58" s="18"/>
      <c r="L58" s="18" t="s">
        <v>2563</v>
      </c>
      <c r="M58" s="18" t="s">
        <v>374</v>
      </c>
      <c r="N58" s="18" t="s">
        <v>1115</v>
      </c>
      <c r="O58" s="18" t="s">
        <v>1116</v>
      </c>
      <c r="P58" s="18" t="s">
        <v>375</v>
      </c>
      <c r="Q58" s="18"/>
      <c r="R58" s="18"/>
      <c r="S58" s="18" t="s">
        <v>177</v>
      </c>
      <c r="T58" s="18" t="s">
        <v>598</v>
      </c>
      <c r="U58" s="18" t="s">
        <v>2926</v>
      </c>
    </row>
    <row r="59" spans="1:21" s="18" customFormat="1" x14ac:dyDescent="0.35">
      <c r="A59" s="18" t="s">
        <v>1235</v>
      </c>
      <c r="B59" s="18" t="s">
        <v>559</v>
      </c>
      <c r="E59" s="18" t="s">
        <v>558</v>
      </c>
      <c r="F59" s="18" t="s">
        <v>850</v>
      </c>
      <c r="G59" s="18" t="s">
        <v>2099</v>
      </c>
      <c r="H59" s="18">
        <v>-125.359691</v>
      </c>
      <c r="I59" s="18">
        <v>54.894513000000003</v>
      </c>
      <c r="J59" s="18" t="s">
        <v>2693</v>
      </c>
      <c r="L59" s="18" t="s">
        <v>2599</v>
      </c>
      <c r="M59" s="18" t="s">
        <v>374</v>
      </c>
      <c r="N59" s="18" t="s">
        <v>1115</v>
      </c>
      <c r="O59" s="18" t="s">
        <v>1116</v>
      </c>
      <c r="P59" s="18" t="s">
        <v>375</v>
      </c>
      <c r="S59" s="18" t="s">
        <v>557</v>
      </c>
      <c r="T59" s="18" t="s">
        <v>560</v>
      </c>
      <c r="U59" s="18" t="s">
        <v>2926</v>
      </c>
    </row>
    <row r="60" spans="1:21" s="18" customFormat="1" x14ac:dyDescent="0.35">
      <c r="A60" s="18" t="s">
        <v>1227</v>
      </c>
      <c r="B60" s="18" t="s">
        <v>459</v>
      </c>
      <c r="E60" s="18" t="s">
        <v>458</v>
      </c>
      <c r="F60" s="18" t="s">
        <v>845</v>
      </c>
      <c r="G60" s="18" t="s">
        <v>2092</v>
      </c>
      <c r="H60" s="18">
        <v>-127.30826</v>
      </c>
      <c r="I60" s="18">
        <v>53.360700000000001</v>
      </c>
      <c r="J60" s="18" t="s">
        <v>2684</v>
      </c>
      <c r="L60" s="18" t="s">
        <v>2599</v>
      </c>
      <c r="M60" s="18" t="s">
        <v>374</v>
      </c>
      <c r="N60" s="18" t="s">
        <v>1115</v>
      </c>
      <c r="O60" s="18" t="s">
        <v>1116</v>
      </c>
      <c r="P60" s="18" t="s">
        <v>375</v>
      </c>
      <c r="S60" s="18" t="s">
        <v>16</v>
      </c>
      <c r="T60" s="18" t="s">
        <v>460</v>
      </c>
      <c r="U60" s="18" t="s">
        <v>2926</v>
      </c>
    </row>
    <row r="61" spans="1:21" s="18" customFormat="1" x14ac:dyDescent="0.35">
      <c r="A61" t="s">
        <v>1138</v>
      </c>
      <c r="B61" t="s">
        <v>293</v>
      </c>
      <c r="C61"/>
      <c r="D61"/>
      <c r="E61" t="s">
        <v>261</v>
      </c>
      <c r="F61" t="s">
        <v>261</v>
      </c>
      <c r="G61" t="s">
        <v>1956</v>
      </c>
      <c r="H61">
        <v>-71.946700000000007</v>
      </c>
      <c r="I61">
        <v>46.693899999999999</v>
      </c>
      <c r="J61" t="s">
        <v>2594</v>
      </c>
      <c r="K61"/>
      <c r="L61" t="s">
        <v>2563</v>
      </c>
      <c r="M61" t="s">
        <v>10</v>
      </c>
      <c r="N61"/>
      <c r="O61"/>
      <c r="P61" t="s">
        <v>233</v>
      </c>
      <c r="Q61" t="s">
        <v>249</v>
      </c>
      <c r="R61" t="s">
        <v>376</v>
      </c>
      <c r="S61" t="s">
        <v>252</v>
      </c>
      <c r="T61" t="s">
        <v>252</v>
      </c>
      <c r="U61" t="s">
        <v>2927</v>
      </c>
    </row>
    <row r="62" spans="1:21" s="18" customFormat="1" x14ac:dyDescent="0.35">
      <c r="A62" t="s">
        <v>1127</v>
      </c>
      <c r="B62" t="s">
        <v>18</v>
      </c>
      <c r="C62"/>
      <c r="D62"/>
      <c r="E62" t="s">
        <v>14</v>
      </c>
      <c r="F62" t="s">
        <v>14</v>
      </c>
      <c r="G62" t="s">
        <v>2034</v>
      </c>
      <c r="H62">
        <v>-79.717630999999997</v>
      </c>
      <c r="I62">
        <v>50.018143000000002</v>
      </c>
      <c r="J62" t="s">
        <v>2576</v>
      </c>
      <c r="K62" t="s">
        <v>2574</v>
      </c>
      <c r="L62" t="s">
        <v>2575</v>
      </c>
      <c r="M62" t="s">
        <v>10</v>
      </c>
      <c r="N62"/>
      <c r="O62"/>
      <c r="P62" t="s">
        <v>11</v>
      </c>
      <c r="Q62" t="s">
        <v>19</v>
      </c>
      <c r="R62" t="s">
        <v>2566</v>
      </c>
      <c r="S62" t="s">
        <v>16</v>
      </c>
      <c r="T62" t="s">
        <v>16</v>
      </c>
      <c r="U62" t="s">
        <v>2927</v>
      </c>
    </row>
    <row r="63" spans="1:21" s="18" customFormat="1" x14ac:dyDescent="0.35">
      <c r="A63" t="s">
        <v>1354</v>
      </c>
      <c r="B63" t="s">
        <v>152</v>
      </c>
      <c r="C63"/>
      <c r="D63"/>
      <c r="E63" t="s">
        <v>151</v>
      </c>
      <c r="F63" t="s">
        <v>718</v>
      </c>
      <c r="G63" t="s">
        <v>2167</v>
      </c>
      <c r="H63">
        <v>-110.27200000000001</v>
      </c>
      <c r="I63">
        <v>64.495000000000005</v>
      </c>
      <c r="J63" t="s">
        <v>2823</v>
      </c>
      <c r="K63" t="s">
        <v>2627</v>
      </c>
      <c r="L63" t="s">
        <v>2615</v>
      </c>
      <c r="M63" t="s">
        <v>10</v>
      </c>
      <c r="N63"/>
      <c r="O63"/>
      <c r="P63" t="s">
        <v>11</v>
      </c>
      <c r="Q63" t="s">
        <v>148</v>
      </c>
      <c r="R63" t="s">
        <v>147</v>
      </c>
      <c r="S63" t="s">
        <v>147</v>
      </c>
      <c r="T63" t="s">
        <v>147</v>
      </c>
      <c r="U63" t="s">
        <v>2927</v>
      </c>
    </row>
    <row r="64" spans="1:21" s="18" customFormat="1" x14ac:dyDescent="0.35">
      <c r="A64" s="18" t="s">
        <v>1307</v>
      </c>
      <c r="B64" s="18" t="s">
        <v>538</v>
      </c>
      <c r="E64" s="18" t="s">
        <v>537</v>
      </c>
      <c r="F64" s="18" t="s">
        <v>875</v>
      </c>
      <c r="G64" s="18" t="s">
        <v>2145</v>
      </c>
      <c r="H64" s="18">
        <v>-116.575</v>
      </c>
      <c r="I64" s="18">
        <v>50.904000000000003</v>
      </c>
      <c r="J64" s="18" t="s">
        <v>2774</v>
      </c>
      <c r="L64" s="18" t="s">
        <v>2599</v>
      </c>
      <c r="M64" s="18" t="s">
        <v>374</v>
      </c>
      <c r="N64" s="18" t="s">
        <v>1115</v>
      </c>
      <c r="O64" s="18" t="s">
        <v>1116</v>
      </c>
      <c r="P64" s="18" t="s">
        <v>375</v>
      </c>
      <c r="S64" s="18" t="s">
        <v>536</v>
      </c>
      <c r="T64" s="18" t="s">
        <v>536</v>
      </c>
      <c r="U64" s="18" t="s">
        <v>2926</v>
      </c>
    </row>
    <row r="65" spans="1:21" x14ac:dyDescent="0.35">
      <c r="A65" t="s">
        <v>1398</v>
      </c>
      <c r="B65" t="s">
        <v>168</v>
      </c>
      <c r="E65" t="s">
        <v>167</v>
      </c>
      <c r="F65" t="s">
        <v>167</v>
      </c>
      <c r="G65" t="s">
        <v>2201</v>
      </c>
      <c r="H65">
        <v>-67.081916000000007</v>
      </c>
      <c r="I65">
        <v>54.890827999999999</v>
      </c>
      <c r="J65" t="s">
        <v>2874</v>
      </c>
      <c r="K65" t="s">
        <v>2873</v>
      </c>
      <c r="L65" t="s">
        <v>2625</v>
      </c>
      <c r="M65" t="s">
        <v>10</v>
      </c>
      <c r="P65" t="s">
        <v>11</v>
      </c>
      <c r="Q65" t="s">
        <v>34</v>
      </c>
      <c r="R65" t="s">
        <v>340</v>
      </c>
      <c r="S65" t="s">
        <v>157</v>
      </c>
      <c r="T65" t="s">
        <v>157</v>
      </c>
      <c r="U65" t="s">
        <v>2927</v>
      </c>
    </row>
    <row r="66" spans="1:21" s="18" customFormat="1" x14ac:dyDescent="0.35">
      <c r="A66" t="s">
        <v>1399</v>
      </c>
      <c r="B66" t="s">
        <v>169</v>
      </c>
      <c r="C66"/>
      <c r="D66"/>
      <c r="E66" t="s">
        <v>167</v>
      </c>
      <c r="F66" t="s">
        <v>167</v>
      </c>
      <c r="G66" t="s">
        <v>2201</v>
      </c>
      <c r="H66">
        <v>-67.34778</v>
      </c>
      <c r="I66">
        <v>55.09939</v>
      </c>
      <c r="J66" t="s">
        <v>2876</v>
      </c>
      <c r="K66" t="s">
        <v>2875</v>
      </c>
      <c r="L66" t="s">
        <v>2563</v>
      </c>
      <c r="M66" t="s">
        <v>10</v>
      </c>
      <c r="N66"/>
      <c r="O66"/>
      <c r="P66" t="s">
        <v>11</v>
      </c>
      <c r="Q66" t="s">
        <v>34</v>
      </c>
      <c r="R66" t="s">
        <v>340</v>
      </c>
      <c r="S66" t="s">
        <v>157</v>
      </c>
      <c r="T66" t="s">
        <v>157</v>
      </c>
      <c r="U66" t="s">
        <v>2927</v>
      </c>
    </row>
    <row r="67" spans="1:21" s="18" customFormat="1" x14ac:dyDescent="0.35">
      <c r="A67" s="18" t="s">
        <v>1297</v>
      </c>
      <c r="B67" s="18" t="s">
        <v>565</v>
      </c>
      <c r="E67" s="18" t="s">
        <v>564</v>
      </c>
      <c r="F67" s="18" t="s">
        <v>564</v>
      </c>
      <c r="G67" s="18" t="s">
        <v>2136</v>
      </c>
      <c r="H67" s="18">
        <v>-78.442499999999995</v>
      </c>
      <c r="I67" s="18">
        <v>48.64667</v>
      </c>
      <c r="J67" s="18" t="s">
        <v>2763</v>
      </c>
      <c r="L67" s="18" t="s">
        <v>2563</v>
      </c>
      <c r="M67" s="18" t="s">
        <v>374</v>
      </c>
      <c r="N67" s="18" t="s">
        <v>1115</v>
      </c>
      <c r="O67" s="18" t="s">
        <v>1116</v>
      </c>
      <c r="P67" s="18" t="s">
        <v>375</v>
      </c>
      <c r="S67" s="18" t="s">
        <v>557</v>
      </c>
      <c r="T67" s="18" t="s">
        <v>566</v>
      </c>
      <c r="U67" s="18" t="s">
        <v>2926</v>
      </c>
    </row>
    <row r="68" spans="1:21" s="18" customFormat="1" x14ac:dyDescent="0.35">
      <c r="A68" t="s">
        <v>1431</v>
      </c>
      <c r="B68" t="s">
        <v>57</v>
      </c>
      <c r="C68"/>
      <c r="D68"/>
      <c r="E68" t="s">
        <v>56</v>
      </c>
      <c r="F68" t="s">
        <v>56</v>
      </c>
      <c r="G68" t="s">
        <v>2214</v>
      </c>
      <c r="H68">
        <v>-135.84559999999999</v>
      </c>
      <c r="I68">
        <v>64.032200000000003</v>
      </c>
      <c r="J68" t="s">
        <v>2903</v>
      </c>
      <c r="K68" t="s">
        <v>2726</v>
      </c>
      <c r="L68" t="s">
        <v>2623</v>
      </c>
      <c r="M68" t="s">
        <v>10</v>
      </c>
      <c r="N68"/>
      <c r="O68"/>
      <c r="P68" t="s">
        <v>11</v>
      </c>
      <c r="Q68" t="s">
        <v>19</v>
      </c>
      <c r="R68" t="s">
        <v>2566</v>
      </c>
      <c r="S68" t="s">
        <v>16</v>
      </c>
      <c r="T68" t="s">
        <v>16</v>
      </c>
      <c r="U68" t="s">
        <v>2927</v>
      </c>
    </row>
    <row r="69" spans="1:21" s="18" customFormat="1" x14ac:dyDescent="0.35">
      <c r="A69" t="s">
        <v>1439</v>
      </c>
      <c r="B69" t="s">
        <v>59</v>
      </c>
      <c r="C69"/>
      <c r="D69"/>
      <c r="E69" t="s">
        <v>58</v>
      </c>
      <c r="F69" t="s">
        <v>730</v>
      </c>
      <c r="G69" t="s">
        <v>2220</v>
      </c>
      <c r="H69">
        <v>-85.4619</v>
      </c>
      <c r="I69">
        <v>47.9861</v>
      </c>
      <c r="J69" t="s">
        <v>2909</v>
      </c>
      <c r="K69" t="s">
        <v>2908</v>
      </c>
      <c r="L69" t="s">
        <v>2575</v>
      </c>
      <c r="M69" t="s">
        <v>10</v>
      </c>
      <c r="N69"/>
      <c r="O69"/>
      <c r="P69" t="s">
        <v>11</v>
      </c>
      <c r="Q69" t="s">
        <v>13</v>
      </c>
      <c r="R69" t="s">
        <v>2566</v>
      </c>
      <c r="S69" t="s">
        <v>16</v>
      </c>
      <c r="T69" t="s">
        <v>16</v>
      </c>
      <c r="U69" t="s">
        <v>2927</v>
      </c>
    </row>
    <row r="70" spans="1:21" s="18" customFormat="1" x14ac:dyDescent="0.35">
      <c r="A70" s="18" t="s">
        <v>1447</v>
      </c>
      <c r="B70" s="18" t="s">
        <v>579</v>
      </c>
      <c r="E70" s="18" t="s">
        <v>578</v>
      </c>
      <c r="F70" s="18" t="s">
        <v>578</v>
      </c>
      <c r="G70" s="18" t="s">
        <v>2224</v>
      </c>
      <c r="H70" s="18">
        <v>-86.303799999999995</v>
      </c>
      <c r="I70" s="18">
        <v>52.742019999999997</v>
      </c>
      <c r="J70" s="18" t="s">
        <v>2914</v>
      </c>
      <c r="L70" s="18" t="s">
        <v>2575</v>
      </c>
      <c r="M70" s="18" t="s">
        <v>374</v>
      </c>
      <c r="N70" s="18" t="s">
        <v>1115</v>
      </c>
      <c r="O70" s="18" t="s">
        <v>1116</v>
      </c>
      <c r="P70" s="18" t="s">
        <v>375</v>
      </c>
      <c r="S70" s="18" t="s">
        <v>557</v>
      </c>
      <c r="T70" s="18" t="s">
        <v>580</v>
      </c>
      <c r="U70" s="18" t="s">
        <v>2926</v>
      </c>
    </row>
    <row r="71" spans="1:21" x14ac:dyDescent="0.35">
      <c r="A71" s="18" t="s">
        <v>1288</v>
      </c>
      <c r="B71" s="18" t="s">
        <v>453</v>
      </c>
      <c r="C71" s="18"/>
      <c r="D71" s="18"/>
      <c r="E71" s="18" t="s">
        <v>452</v>
      </c>
      <c r="F71" s="18" t="s">
        <v>452</v>
      </c>
      <c r="G71" s="18" t="s">
        <v>2128</v>
      </c>
      <c r="H71" s="18">
        <v>-99.771429999999995</v>
      </c>
      <c r="I71" s="18">
        <v>54.785339999999998</v>
      </c>
      <c r="J71" s="18" t="s">
        <v>2754</v>
      </c>
      <c r="K71" s="18"/>
      <c r="L71" s="18" t="s">
        <v>2586</v>
      </c>
      <c r="M71" s="18" t="s">
        <v>374</v>
      </c>
      <c r="N71" s="18" t="s">
        <v>1115</v>
      </c>
      <c r="O71" s="18" t="s">
        <v>1116</v>
      </c>
      <c r="P71" s="18" t="s">
        <v>375</v>
      </c>
      <c r="Q71" s="18"/>
      <c r="R71" s="18"/>
      <c r="S71" s="18" t="s">
        <v>16</v>
      </c>
      <c r="T71" s="18" t="s">
        <v>454</v>
      </c>
      <c r="U71" s="18" t="s">
        <v>2926</v>
      </c>
    </row>
    <row r="72" spans="1:21" s="18" customFormat="1" x14ac:dyDescent="0.35">
      <c r="A72" t="s">
        <v>1172</v>
      </c>
      <c r="B72" t="s">
        <v>146</v>
      </c>
      <c r="C72"/>
      <c r="D72"/>
      <c r="E72" t="s">
        <v>145</v>
      </c>
      <c r="F72" t="s">
        <v>145</v>
      </c>
      <c r="G72" t="s">
        <v>2057</v>
      </c>
      <c r="H72">
        <v>-110.61799999999999</v>
      </c>
      <c r="I72">
        <v>64.715000000000003</v>
      </c>
      <c r="J72" t="s">
        <v>2628</v>
      </c>
      <c r="K72" t="s">
        <v>2627</v>
      </c>
      <c r="L72" t="s">
        <v>2615</v>
      </c>
      <c r="M72" t="s">
        <v>10</v>
      </c>
      <c r="N72"/>
      <c r="O72"/>
      <c r="P72" t="s">
        <v>11</v>
      </c>
      <c r="Q72" t="s">
        <v>148</v>
      </c>
      <c r="R72" t="s">
        <v>147</v>
      </c>
      <c r="S72" t="s">
        <v>147</v>
      </c>
      <c r="T72" t="s">
        <v>147</v>
      </c>
      <c r="U72" t="s">
        <v>2927</v>
      </c>
    </row>
    <row r="73" spans="1:21" x14ac:dyDescent="0.35">
      <c r="A73" s="18" t="s">
        <v>1195</v>
      </c>
      <c r="B73" s="18" t="s">
        <v>629</v>
      </c>
      <c r="C73" s="18"/>
      <c r="D73" s="18"/>
      <c r="E73" s="18" t="s">
        <v>628</v>
      </c>
      <c r="F73" s="18" t="s">
        <v>839</v>
      </c>
      <c r="G73" s="18" t="s">
        <v>2072</v>
      </c>
      <c r="H73" s="18">
        <v>-68.404169999999993</v>
      </c>
      <c r="I73" s="18">
        <v>56.945830000000001</v>
      </c>
      <c r="J73" s="18" t="s">
        <v>2656</v>
      </c>
      <c r="K73" s="18"/>
      <c r="L73" s="18" t="s">
        <v>2563</v>
      </c>
      <c r="M73" s="18" t="s">
        <v>374</v>
      </c>
      <c r="N73" s="18" t="s">
        <v>1115</v>
      </c>
      <c r="O73" s="18" t="s">
        <v>1116</v>
      </c>
      <c r="P73" s="18" t="s">
        <v>375</v>
      </c>
      <c r="Q73" s="18"/>
      <c r="R73" s="18"/>
      <c r="S73" s="18" t="s">
        <v>627</v>
      </c>
      <c r="T73" s="18" t="s">
        <v>627</v>
      </c>
      <c r="U73" s="18" t="s">
        <v>2926</v>
      </c>
    </row>
    <row r="74" spans="1:21" s="18" customFormat="1" x14ac:dyDescent="0.35">
      <c r="A74" t="s">
        <v>1316</v>
      </c>
      <c r="B74" t="s">
        <v>41</v>
      </c>
      <c r="C74"/>
      <c r="D74"/>
      <c r="E74" t="s">
        <v>39</v>
      </c>
      <c r="F74" t="s">
        <v>39</v>
      </c>
      <c r="G74" t="s">
        <v>2151</v>
      </c>
      <c r="H74">
        <v>-76.086669999999998</v>
      </c>
      <c r="I74">
        <v>52.698889999999999</v>
      </c>
      <c r="J74" t="s">
        <v>2799</v>
      </c>
      <c r="K74" t="s">
        <v>2798</v>
      </c>
      <c r="L74" t="s">
        <v>2563</v>
      </c>
      <c r="M74" t="s">
        <v>10</v>
      </c>
      <c r="N74"/>
      <c r="O74"/>
      <c r="P74" t="s">
        <v>11</v>
      </c>
      <c r="Q74" t="s">
        <v>13</v>
      </c>
      <c r="R74" t="s">
        <v>2566</v>
      </c>
      <c r="S74" t="s">
        <v>16</v>
      </c>
      <c r="T74" t="s">
        <v>16</v>
      </c>
      <c r="U74" t="s">
        <v>2927</v>
      </c>
    </row>
    <row r="75" spans="1:21" x14ac:dyDescent="0.35">
      <c r="A75" t="s">
        <v>1257</v>
      </c>
      <c r="B75" t="s">
        <v>33</v>
      </c>
      <c r="E75" t="s">
        <v>32</v>
      </c>
      <c r="F75" t="s">
        <v>855</v>
      </c>
      <c r="G75" t="s">
        <v>2109</v>
      </c>
      <c r="H75">
        <v>-120.31487</v>
      </c>
      <c r="I75">
        <v>49.8538</v>
      </c>
      <c r="J75" t="s">
        <v>2718</v>
      </c>
      <c r="K75" t="s">
        <v>2717</v>
      </c>
      <c r="L75" t="s">
        <v>2599</v>
      </c>
      <c r="M75" t="s">
        <v>10</v>
      </c>
      <c r="P75" t="s">
        <v>11</v>
      </c>
      <c r="Q75" t="s">
        <v>34</v>
      </c>
      <c r="R75" t="s">
        <v>2566</v>
      </c>
      <c r="S75" t="s">
        <v>16</v>
      </c>
      <c r="T75" t="s">
        <v>16</v>
      </c>
      <c r="U75" t="s">
        <v>2927</v>
      </c>
    </row>
    <row r="76" spans="1:21" x14ac:dyDescent="0.35">
      <c r="A76" t="s">
        <v>1212</v>
      </c>
      <c r="B76" t="s">
        <v>295</v>
      </c>
      <c r="E76" t="s">
        <v>294</v>
      </c>
      <c r="F76" t="s">
        <v>797</v>
      </c>
      <c r="G76" t="s">
        <v>2083</v>
      </c>
      <c r="H76">
        <v>-71.131238999999994</v>
      </c>
      <c r="I76">
        <v>48.412768999999997</v>
      </c>
      <c r="J76" t="s">
        <v>2671</v>
      </c>
      <c r="L76" t="s">
        <v>2563</v>
      </c>
      <c r="M76" t="s">
        <v>10</v>
      </c>
      <c r="P76" t="s">
        <v>233</v>
      </c>
      <c r="R76" t="s">
        <v>2463</v>
      </c>
      <c r="S76" t="s">
        <v>296</v>
      </c>
      <c r="T76" t="s">
        <v>296</v>
      </c>
      <c r="U76" t="s">
        <v>2927</v>
      </c>
    </row>
    <row r="77" spans="1:21" x14ac:dyDescent="0.35">
      <c r="A77" s="18" t="s">
        <v>1139</v>
      </c>
      <c r="B77" s="18" t="s">
        <v>373</v>
      </c>
      <c r="C77" s="18"/>
      <c r="D77" s="18"/>
      <c r="E77" s="18" t="s">
        <v>372</v>
      </c>
      <c r="F77" s="18" t="s">
        <v>740</v>
      </c>
      <c r="G77" s="18" t="s">
        <v>2040</v>
      </c>
      <c r="H77" s="18">
        <v>-71.175650000000005</v>
      </c>
      <c r="I77" s="18">
        <v>48.432139999999997</v>
      </c>
      <c r="J77" s="18" t="s">
        <v>2595</v>
      </c>
      <c r="K77" s="18"/>
      <c r="L77" s="18" t="s">
        <v>2563</v>
      </c>
      <c r="M77" s="18" t="s">
        <v>374</v>
      </c>
      <c r="N77" s="18" t="s">
        <v>1115</v>
      </c>
      <c r="O77" s="18" t="s">
        <v>1117</v>
      </c>
      <c r="P77" s="18" t="s">
        <v>375</v>
      </c>
      <c r="Q77" s="18"/>
      <c r="R77" s="18"/>
      <c r="S77" s="18" t="s">
        <v>376</v>
      </c>
      <c r="T77" s="18" t="s">
        <v>376</v>
      </c>
      <c r="U77" s="18" t="s">
        <v>2926</v>
      </c>
    </row>
    <row r="78" spans="1:21" x14ac:dyDescent="0.35">
      <c r="A78" s="18" t="s">
        <v>1374</v>
      </c>
      <c r="B78" s="18" t="s">
        <v>447</v>
      </c>
      <c r="C78" s="18"/>
      <c r="D78" s="18"/>
      <c r="E78" s="18" t="s">
        <v>446</v>
      </c>
      <c r="F78" s="18" t="s">
        <v>446</v>
      </c>
      <c r="G78" s="18" t="s">
        <v>2184</v>
      </c>
      <c r="H78" s="18">
        <v>-130.43</v>
      </c>
      <c r="I78" s="18">
        <v>56.652999999999999</v>
      </c>
      <c r="J78" s="18" t="s">
        <v>2846</v>
      </c>
      <c r="K78" s="18"/>
      <c r="L78" s="18" t="s">
        <v>2599</v>
      </c>
      <c r="M78" s="18" t="s">
        <v>374</v>
      </c>
      <c r="N78" s="18" t="s">
        <v>1115</v>
      </c>
      <c r="O78" s="18" t="s">
        <v>1116</v>
      </c>
      <c r="P78" s="18" t="s">
        <v>375</v>
      </c>
      <c r="Q78" s="18"/>
      <c r="R78" s="18"/>
      <c r="S78" s="18" t="s">
        <v>16</v>
      </c>
      <c r="T78" s="18" t="s">
        <v>448</v>
      </c>
      <c r="U78" s="18" t="s">
        <v>2926</v>
      </c>
    </row>
    <row r="79" spans="1:21" x14ac:dyDescent="0.35">
      <c r="A79" t="s">
        <v>1216</v>
      </c>
      <c r="B79" t="s">
        <v>298</v>
      </c>
      <c r="E79" t="s">
        <v>297</v>
      </c>
      <c r="F79" t="s">
        <v>716</v>
      </c>
      <c r="G79" t="s">
        <v>2087</v>
      </c>
      <c r="H79">
        <v>-104.62384299999999</v>
      </c>
      <c r="I79">
        <v>50.515262999999997</v>
      </c>
      <c r="J79" t="s">
        <v>2675</v>
      </c>
      <c r="L79" t="s">
        <v>2612</v>
      </c>
      <c r="M79" t="s">
        <v>10</v>
      </c>
      <c r="P79" t="s">
        <v>233</v>
      </c>
      <c r="Q79" t="s">
        <v>255</v>
      </c>
      <c r="R79" t="s">
        <v>340</v>
      </c>
      <c r="S79" t="s">
        <v>244</v>
      </c>
      <c r="T79" t="s">
        <v>244</v>
      </c>
      <c r="U79" t="s">
        <v>2927</v>
      </c>
    </row>
    <row r="80" spans="1:21" s="18" customFormat="1" x14ac:dyDescent="0.35">
      <c r="A80" s="18" t="s">
        <v>1187</v>
      </c>
      <c r="B80" s="18" t="s">
        <v>585</v>
      </c>
      <c r="E80" s="18" t="s">
        <v>584</v>
      </c>
      <c r="F80" s="18" t="s">
        <v>707</v>
      </c>
      <c r="G80" s="18" t="s">
        <v>2928</v>
      </c>
      <c r="H80" s="18">
        <v>-96.833060000000003</v>
      </c>
      <c r="I80" s="18">
        <v>62.873060000000002</v>
      </c>
      <c r="J80" s="18" t="s">
        <v>2644</v>
      </c>
      <c r="L80" s="18" t="s">
        <v>2570</v>
      </c>
      <c r="M80" s="18" t="s">
        <v>374</v>
      </c>
      <c r="N80" s="18" t="s">
        <v>1115</v>
      </c>
      <c r="O80" s="18" t="s">
        <v>1116</v>
      </c>
      <c r="P80" s="18" t="s">
        <v>375</v>
      </c>
      <c r="S80" s="18" t="s">
        <v>557</v>
      </c>
      <c r="T80" s="18" t="s">
        <v>586</v>
      </c>
      <c r="U80" s="18" t="s">
        <v>2926</v>
      </c>
    </row>
    <row r="81" spans="1:21" s="18" customFormat="1" x14ac:dyDescent="0.35">
      <c r="A81" t="s">
        <v>1153</v>
      </c>
      <c r="B81" t="s">
        <v>156</v>
      </c>
      <c r="C81" t="s">
        <v>2929</v>
      </c>
      <c r="D81" t="s">
        <v>2930</v>
      </c>
      <c r="E81" t="s">
        <v>155</v>
      </c>
      <c r="F81" t="s">
        <v>155</v>
      </c>
      <c r="G81" t="s">
        <v>2048</v>
      </c>
      <c r="H81">
        <v>-67.363934999999998</v>
      </c>
      <c r="I81">
        <v>52.352997999999999</v>
      </c>
      <c r="J81" t="s">
        <v>2604</v>
      </c>
      <c r="K81" t="s">
        <v>2603</v>
      </c>
      <c r="L81" t="s">
        <v>2563</v>
      </c>
      <c r="M81" t="s">
        <v>10</v>
      </c>
      <c r="N81"/>
      <c r="O81"/>
      <c r="P81" t="s">
        <v>11</v>
      </c>
      <c r="Q81" t="s">
        <v>34</v>
      </c>
      <c r="R81" t="s">
        <v>340</v>
      </c>
      <c r="S81" t="s">
        <v>157</v>
      </c>
      <c r="T81" t="s">
        <v>157</v>
      </c>
      <c r="U81" t="s">
        <v>2927</v>
      </c>
    </row>
    <row r="82" spans="1:21" s="18" customFormat="1" x14ac:dyDescent="0.35">
      <c r="A82" s="18" t="s">
        <v>1232</v>
      </c>
      <c r="B82" s="18" t="s">
        <v>383</v>
      </c>
      <c r="E82" s="18" t="s">
        <v>382</v>
      </c>
      <c r="F82" s="18" t="s">
        <v>382</v>
      </c>
      <c r="G82" s="18" t="s">
        <v>2097</v>
      </c>
      <c r="H82" s="18">
        <v>-112.513502</v>
      </c>
      <c r="I82" s="18">
        <v>53.797615</v>
      </c>
      <c r="J82" s="18" t="s">
        <v>2689</v>
      </c>
      <c r="L82" s="18" t="s">
        <v>2601</v>
      </c>
      <c r="M82" s="18" t="s">
        <v>374</v>
      </c>
      <c r="N82" s="18" t="s">
        <v>1115</v>
      </c>
      <c r="O82" s="18" t="s">
        <v>1117</v>
      </c>
      <c r="P82" s="18" t="s">
        <v>375</v>
      </c>
      <c r="S82" s="18" t="s">
        <v>1769</v>
      </c>
      <c r="T82" s="18" t="s">
        <v>384</v>
      </c>
      <c r="U82" s="18" t="s">
        <v>2926</v>
      </c>
    </row>
    <row r="83" spans="1:21" s="18" customFormat="1" x14ac:dyDescent="0.35">
      <c r="A83" t="s">
        <v>1304</v>
      </c>
      <c r="B83" t="s">
        <v>38</v>
      </c>
      <c r="C83"/>
      <c r="D83"/>
      <c r="E83" t="s">
        <v>37</v>
      </c>
      <c r="F83" t="s">
        <v>872</v>
      </c>
      <c r="G83" t="s">
        <v>2143</v>
      </c>
      <c r="H83">
        <v>-80.340813999999995</v>
      </c>
      <c r="I83">
        <v>48.534362000000002</v>
      </c>
      <c r="J83" t="s">
        <v>2772</v>
      </c>
      <c r="K83" t="s">
        <v>2771</v>
      </c>
      <c r="L83" t="s">
        <v>2575</v>
      </c>
      <c r="M83" t="s">
        <v>10</v>
      </c>
      <c r="N83"/>
      <c r="O83"/>
      <c r="P83" t="s">
        <v>11</v>
      </c>
      <c r="Q83" t="s">
        <v>23</v>
      </c>
      <c r="R83" t="s">
        <v>2566</v>
      </c>
      <c r="S83" t="s">
        <v>16</v>
      </c>
      <c r="T83" t="s">
        <v>16</v>
      </c>
      <c r="U83" t="s">
        <v>2927</v>
      </c>
    </row>
    <row r="84" spans="1:21" s="18" customFormat="1" x14ac:dyDescent="0.35">
      <c r="A84" t="s">
        <v>1247</v>
      </c>
      <c r="B84" t="s">
        <v>195</v>
      </c>
      <c r="C84" t="s">
        <v>2105</v>
      </c>
      <c r="D84" t="s">
        <v>2106</v>
      </c>
      <c r="E84" t="s">
        <v>142</v>
      </c>
      <c r="F84" t="s">
        <v>715</v>
      </c>
      <c r="G84" t="s">
        <v>2104</v>
      </c>
      <c r="H84">
        <v>-81.340400000000002</v>
      </c>
      <c r="I84">
        <v>46.6633</v>
      </c>
      <c r="J84" t="s">
        <v>2705</v>
      </c>
      <c r="K84" t="s">
        <v>140</v>
      </c>
      <c r="L84" t="s">
        <v>2575</v>
      </c>
      <c r="M84" t="s">
        <v>10</v>
      </c>
      <c r="N84"/>
      <c r="O84"/>
      <c r="P84" t="s">
        <v>11</v>
      </c>
      <c r="Q84" t="s">
        <v>44</v>
      </c>
      <c r="R84" t="s">
        <v>2621</v>
      </c>
      <c r="S84" t="s">
        <v>557</v>
      </c>
      <c r="T84" t="s">
        <v>196</v>
      </c>
      <c r="U84" t="s">
        <v>2927</v>
      </c>
    </row>
    <row r="85" spans="1:21" s="18" customFormat="1" x14ac:dyDescent="0.35">
      <c r="A85" t="s">
        <v>1247</v>
      </c>
      <c r="B85" t="s">
        <v>195</v>
      </c>
      <c r="C85" t="s">
        <v>1771</v>
      </c>
      <c r="D85" t="s">
        <v>2933</v>
      </c>
      <c r="E85" t="s">
        <v>142</v>
      </c>
      <c r="F85" t="s">
        <v>715</v>
      </c>
      <c r="G85" t="s">
        <v>2104</v>
      </c>
      <c r="H85">
        <v>-81.340400000000002</v>
      </c>
      <c r="I85">
        <v>46.6633</v>
      </c>
      <c r="J85" t="s">
        <v>2705</v>
      </c>
      <c r="K85" t="s">
        <v>140</v>
      </c>
      <c r="L85" t="s">
        <v>2575</v>
      </c>
      <c r="M85" t="s">
        <v>10</v>
      </c>
      <c r="N85"/>
      <c r="O85"/>
      <c r="P85" t="s">
        <v>11</v>
      </c>
      <c r="Q85" t="s">
        <v>44</v>
      </c>
      <c r="R85" t="s">
        <v>2621</v>
      </c>
      <c r="S85" t="s">
        <v>557</v>
      </c>
      <c r="T85" t="s">
        <v>196</v>
      </c>
      <c r="U85" t="s">
        <v>2927</v>
      </c>
    </row>
    <row r="86" spans="1:21" s="18" customFormat="1" x14ac:dyDescent="0.35">
      <c r="A86" s="18" t="s">
        <v>1414</v>
      </c>
      <c r="B86" s="18" t="s">
        <v>450</v>
      </c>
      <c r="E86" s="18" t="s">
        <v>449</v>
      </c>
      <c r="F86" s="18" t="s">
        <v>908</v>
      </c>
      <c r="G86" s="18" t="s">
        <v>2204</v>
      </c>
      <c r="H86" s="18">
        <v>-137.19999999999999</v>
      </c>
      <c r="I86" s="18">
        <v>62.3</v>
      </c>
      <c r="J86" s="18" t="s">
        <v>2883</v>
      </c>
      <c r="L86" s="18" t="s">
        <v>2623</v>
      </c>
      <c r="M86" s="18" t="s">
        <v>374</v>
      </c>
      <c r="N86" s="18" t="s">
        <v>1115</v>
      </c>
      <c r="O86" s="18" t="s">
        <v>1116</v>
      </c>
      <c r="P86" s="18" t="s">
        <v>375</v>
      </c>
      <c r="S86" s="18" t="s">
        <v>16</v>
      </c>
      <c r="T86" s="18" t="s">
        <v>451</v>
      </c>
      <c r="U86" s="18" t="s">
        <v>2926</v>
      </c>
    </row>
    <row r="87" spans="1:21" s="18" customFormat="1" x14ac:dyDescent="0.35">
      <c r="A87" t="s">
        <v>1204</v>
      </c>
      <c r="B87" t="s">
        <v>150</v>
      </c>
      <c r="C87"/>
      <c r="D87"/>
      <c r="E87" t="s">
        <v>149</v>
      </c>
      <c r="F87" t="s">
        <v>754</v>
      </c>
      <c r="G87" t="s">
        <v>2023</v>
      </c>
      <c r="H87">
        <v>-109.21194</v>
      </c>
      <c r="I87">
        <v>63.445279999999997</v>
      </c>
      <c r="J87" t="s">
        <v>2663</v>
      </c>
      <c r="K87" t="s">
        <v>2627</v>
      </c>
      <c r="L87" t="s">
        <v>2615</v>
      </c>
      <c r="M87" t="s">
        <v>10</v>
      </c>
      <c r="N87"/>
      <c r="O87"/>
      <c r="P87" t="s">
        <v>11</v>
      </c>
      <c r="Q87" t="s">
        <v>98</v>
      </c>
      <c r="R87" t="s">
        <v>147</v>
      </c>
      <c r="S87" t="s">
        <v>147</v>
      </c>
      <c r="T87" t="s">
        <v>147</v>
      </c>
      <c r="U87" t="s">
        <v>2927</v>
      </c>
    </row>
    <row r="88" spans="1:21" s="18" customFormat="1" x14ac:dyDescent="0.35">
      <c r="A88" s="18" t="s">
        <v>1325</v>
      </c>
      <c r="B88" s="18" t="s">
        <v>401</v>
      </c>
      <c r="E88" s="18" t="s">
        <v>400</v>
      </c>
      <c r="F88" s="18" t="s">
        <v>39</v>
      </c>
      <c r="G88" s="18" t="s">
        <v>2151</v>
      </c>
      <c r="H88" s="18">
        <v>-131.44999999999999</v>
      </c>
      <c r="I88" s="18">
        <v>57.13</v>
      </c>
      <c r="J88" s="18" t="s">
        <v>2800</v>
      </c>
      <c r="L88" s="18" t="s">
        <v>2599</v>
      </c>
      <c r="M88" s="18" t="s">
        <v>374</v>
      </c>
      <c r="N88" s="18" t="s">
        <v>1115</v>
      </c>
      <c r="O88" s="18" t="s">
        <v>1116</v>
      </c>
      <c r="P88" s="18" t="s">
        <v>375</v>
      </c>
      <c r="S88" s="18" t="s">
        <v>125</v>
      </c>
      <c r="T88" s="18" t="s">
        <v>130</v>
      </c>
      <c r="U88" s="18" t="s">
        <v>2926</v>
      </c>
    </row>
    <row r="89" spans="1:21" s="18" customFormat="1" x14ac:dyDescent="0.35">
      <c r="A89" t="s">
        <v>1419</v>
      </c>
      <c r="B89" t="s">
        <v>194</v>
      </c>
      <c r="C89" t="s">
        <v>2210</v>
      </c>
      <c r="D89" t="s">
        <v>2211</v>
      </c>
      <c r="E89" t="s">
        <v>178</v>
      </c>
      <c r="F89" t="s">
        <v>719</v>
      </c>
      <c r="G89" t="s">
        <v>2209</v>
      </c>
      <c r="H89">
        <v>-80.856999999999999</v>
      </c>
      <c r="I89">
        <v>46.567999999999998</v>
      </c>
      <c r="J89" t="s">
        <v>2893</v>
      </c>
      <c r="K89" t="s">
        <v>140</v>
      </c>
      <c r="L89" t="s">
        <v>2575</v>
      </c>
      <c r="M89" t="s">
        <v>10</v>
      </c>
      <c r="N89"/>
      <c r="O89"/>
      <c r="P89" t="s">
        <v>11</v>
      </c>
      <c r="Q89" t="s">
        <v>44</v>
      </c>
      <c r="R89" t="s">
        <v>2621</v>
      </c>
      <c r="S89" t="s">
        <v>557</v>
      </c>
      <c r="T89" t="s">
        <v>189</v>
      </c>
      <c r="U89" t="s">
        <v>2927</v>
      </c>
    </row>
    <row r="90" spans="1:21" s="18" customFormat="1" x14ac:dyDescent="0.35">
      <c r="A90" t="s">
        <v>1251</v>
      </c>
      <c r="B90" t="s">
        <v>301</v>
      </c>
      <c r="C90"/>
      <c r="D90"/>
      <c r="E90" t="s">
        <v>142</v>
      </c>
      <c r="F90" t="s">
        <v>715</v>
      </c>
      <c r="G90" t="s">
        <v>2104</v>
      </c>
      <c r="H90">
        <v>-73.676344999999998</v>
      </c>
      <c r="I90">
        <v>45.448518</v>
      </c>
      <c r="J90" t="s">
        <v>2706</v>
      </c>
      <c r="K90"/>
      <c r="L90" t="s">
        <v>2563</v>
      </c>
      <c r="M90" t="s">
        <v>10</v>
      </c>
      <c r="N90"/>
      <c r="O90"/>
      <c r="P90" t="s">
        <v>233</v>
      </c>
      <c r="Q90" t="s">
        <v>303</v>
      </c>
      <c r="R90" t="s">
        <v>2621</v>
      </c>
      <c r="S90" t="s">
        <v>302</v>
      </c>
      <c r="T90" t="s">
        <v>302</v>
      </c>
      <c r="U90" t="s">
        <v>2927</v>
      </c>
    </row>
    <row r="91" spans="1:21" s="18" customFormat="1" x14ac:dyDescent="0.35">
      <c r="A91" s="18" t="s">
        <v>1359</v>
      </c>
      <c r="B91" s="18" t="s">
        <v>511</v>
      </c>
      <c r="E91" s="18" t="s">
        <v>510</v>
      </c>
      <c r="F91" s="18" t="s">
        <v>892</v>
      </c>
      <c r="G91" s="18" t="s">
        <v>2172</v>
      </c>
      <c r="H91" s="18">
        <v>-88.002979999999994</v>
      </c>
      <c r="I91" s="18">
        <v>49.452359999999999</v>
      </c>
      <c r="J91" s="18" t="s">
        <v>2828</v>
      </c>
      <c r="L91" s="18" t="s">
        <v>2575</v>
      </c>
      <c r="M91" s="18" t="s">
        <v>374</v>
      </c>
      <c r="N91" s="18" t="s">
        <v>1115</v>
      </c>
      <c r="O91" s="18" t="s">
        <v>1116</v>
      </c>
      <c r="P91" s="18" t="s">
        <v>375</v>
      </c>
      <c r="S91" s="18" t="s">
        <v>509</v>
      </c>
      <c r="T91" s="18" t="s">
        <v>509</v>
      </c>
      <c r="U91" s="18" t="s">
        <v>2926</v>
      </c>
    </row>
    <row r="92" spans="1:21" s="18" customFormat="1" x14ac:dyDescent="0.35">
      <c r="A92" t="s">
        <v>1395</v>
      </c>
      <c r="B92" t="s">
        <v>136</v>
      </c>
      <c r="C92"/>
      <c r="D92"/>
      <c r="E92" t="s">
        <v>135</v>
      </c>
      <c r="F92" t="s">
        <v>135</v>
      </c>
      <c r="G92" t="s">
        <v>2200</v>
      </c>
      <c r="H92">
        <v>-122.28716</v>
      </c>
      <c r="I92">
        <v>52.528494999999999</v>
      </c>
      <c r="J92" t="s">
        <v>2871</v>
      </c>
      <c r="K92" t="s">
        <v>2870</v>
      </c>
      <c r="L92" t="s">
        <v>2599</v>
      </c>
      <c r="M92" t="s">
        <v>10</v>
      </c>
      <c r="N92"/>
      <c r="O92"/>
      <c r="P92" t="s">
        <v>11</v>
      </c>
      <c r="Q92" t="s">
        <v>19</v>
      </c>
      <c r="R92" t="s">
        <v>2621</v>
      </c>
      <c r="S92" t="s">
        <v>125</v>
      </c>
      <c r="T92" t="s">
        <v>137</v>
      </c>
      <c r="U92" t="s">
        <v>2927</v>
      </c>
    </row>
    <row r="93" spans="1:21" s="18" customFormat="1" x14ac:dyDescent="0.35">
      <c r="A93" s="18" t="s">
        <v>1324</v>
      </c>
      <c r="B93" s="18" t="s">
        <v>402</v>
      </c>
      <c r="E93" s="18" t="s">
        <v>39</v>
      </c>
      <c r="F93" s="18" t="s">
        <v>39</v>
      </c>
      <c r="G93" s="18" t="s">
        <v>2151</v>
      </c>
      <c r="H93" s="18">
        <v>-130.25</v>
      </c>
      <c r="I93" s="18">
        <v>57.63</v>
      </c>
      <c r="J93" s="18" t="s">
        <v>2789</v>
      </c>
      <c r="L93" s="18" t="s">
        <v>2599</v>
      </c>
      <c r="M93" s="18" t="s">
        <v>374</v>
      </c>
      <c r="N93" s="18" t="s">
        <v>1115</v>
      </c>
      <c r="O93" s="18" t="s">
        <v>1116</v>
      </c>
      <c r="P93" s="18" t="s">
        <v>375</v>
      </c>
      <c r="S93" s="18" t="s">
        <v>125</v>
      </c>
      <c r="T93" s="18" t="s">
        <v>130</v>
      </c>
      <c r="U93" s="18" t="s">
        <v>2926</v>
      </c>
    </row>
    <row r="94" spans="1:21" x14ac:dyDescent="0.35">
      <c r="A94" s="18" t="s">
        <v>1189</v>
      </c>
      <c r="B94" s="18" t="s">
        <v>431</v>
      </c>
      <c r="C94" s="18"/>
      <c r="D94" s="18"/>
      <c r="E94" s="18" t="s">
        <v>430</v>
      </c>
      <c r="F94" s="18" t="s">
        <v>707</v>
      </c>
      <c r="G94" s="18" t="s">
        <v>2928</v>
      </c>
      <c r="H94" s="18">
        <v>-118.59</v>
      </c>
      <c r="I94" s="18">
        <v>49.09</v>
      </c>
      <c r="J94" s="18" t="s">
        <v>2647</v>
      </c>
      <c r="K94" s="18"/>
      <c r="L94" s="18" t="s">
        <v>2599</v>
      </c>
      <c r="M94" s="18" t="s">
        <v>374</v>
      </c>
      <c r="N94" s="18" t="s">
        <v>1115</v>
      </c>
      <c r="O94" s="18" t="s">
        <v>1116</v>
      </c>
      <c r="P94" s="18" t="s">
        <v>375</v>
      </c>
      <c r="Q94" s="18"/>
      <c r="R94" s="18"/>
      <c r="S94" s="18" t="s">
        <v>16</v>
      </c>
      <c r="T94" s="18" t="s">
        <v>81</v>
      </c>
      <c r="U94" s="18" t="s">
        <v>2926</v>
      </c>
    </row>
    <row r="95" spans="1:21" x14ac:dyDescent="0.35">
      <c r="A95" t="s">
        <v>1124</v>
      </c>
      <c r="B95" t="s">
        <v>66</v>
      </c>
      <c r="E95" t="s">
        <v>14</v>
      </c>
      <c r="F95" t="s">
        <v>14</v>
      </c>
      <c r="G95" t="s">
        <v>2034</v>
      </c>
      <c r="H95">
        <v>-77.8733</v>
      </c>
      <c r="I95">
        <v>48.092599999999997</v>
      </c>
      <c r="J95" t="s">
        <v>2578</v>
      </c>
      <c r="K95" t="s">
        <v>2577</v>
      </c>
      <c r="L95" t="s">
        <v>2563</v>
      </c>
      <c r="M95" t="s">
        <v>10</v>
      </c>
      <c r="P95" t="s">
        <v>11</v>
      </c>
      <c r="Q95" t="s">
        <v>13</v>
      </c>
      <c r="R95" t="s">
        <v>2566</v>
      </c>
      <c r="S95" t="s">
        <v>16</v>
      </c>
      <c r="T95" t="s">
        <v>64</v>
      </c>
      <c r="U95" t="s">
        <v>2927</v>
      </c>
    </row>
    <row r="96" spans="1:21" x14ac:dyDescent="0.35">
      <c r="A96" t="s">
        <v>1346</v>
      </c>
      <c r="B96" t="s">
        <v>304</v>
      </c>
      <c r="C96" t="s">
        <v>2168</v>
      </c>
      <c r="D96" t="s">
        <v>2169</v>
      </c>
      <c r="E96" t="s">
        <v>246</v>
      </c>
      <c r="F96" t="s">
        <v>718</v>
      </c>
      <c r="G96" t="s">
        <v>2167</v>
      </c>
      <c r="H96">
        <v>-70.925799999999995</v>
      </c>
      <c r="I96">
        <v>48.305799999999998</v>
      </c>
      <c r="J96" t="s">
        <v>2818</v>
      </c>
      <c r="L96" t="s">
        <v>2563</v>
      </c>
      <c r="M96" t="s">
        <v>10</v>
      </c>
      <c r="P96" t="s">
        <v>233</v>
      </c>
      <c r="Q96" t="s">
        <v>249</v>
      </c>
      <c r="R96" t="s">
        <v>376</v>
      </c>
      <c r="S96" t="s">
        <v>248</v>
      </c>
      <c r="T96" t="s">
        <v>248</v>
      </c>
      <c r="U96" t="s">
        <v>2927</v>
      </c>
    </row>
    <row r="97" spans="1:21" x14ac:dyDescent="0.35">
      <c r="A97" s="18" t="s">
        <v>1376</v>
      </c>
      <c r="B97" s="18" t="s">
        <v>391</v>
      </c>
      <c r="C97" s="18"/>
      <c r="D97" s="18"/>
      <c r="E97" s="18" t="s">
        <v>390</v>
      </c>
      <c r="F97" s="18" t="s">
        <v>390</v>
      </c>
      <c r="G97" s="18" t="s">
        <v>2186</v>
      </c>
      <c r="H97" s="18">
        <v>-56.134399999999999</v>
      </c>
      <c r="I97" s="18">
        <v>48.375799999999998</v>
      </c>
      <c r="J97" s="18" t="s">
        <v>2848</v>
      </c>
      <c r="K97" s="18"/>
      <c r="L97" s="18" t="s">
        <v>2625</v>
      </c>
      <c r="M97" s="18" t="s">
        <v>374</v>
      </c>
      <c r="N97" s="18" t="s">
        <v>1115</v>
      </c>
      <c r="O97" s="18" t="s">
        <v>1116</v>
      </c>
      <c r="P97" s="18" t="s">
        <v>375</v>
      </c>
      <c r="Q97" s="18"/>
      <c r="R97" s="18"/>
      <c r="S97" s="18" t="s">
        <v>125</v>
      </c>
      <c r="T97" s="18" t="s">
        <v>389</v>
      </c>
      <c r="U97" s="18" t="s">
        <v>2926</v>
      </c>
    </row>
    <row r="98" spans="1:21" x14ac:dyDescent="0.35">
      <c r="A98" t="s">
        <v>1380</v>
      </c>
      <c r="B98" t="s">
        <v>307</v>
      </c>
      <c r="E98" t="s">
        <v>306</v>
      </c>
      <c r="F98" t="s">
        <v>903</v>
      </c>
      <c r="G98" t="s">
        <v>2190</v>
      </c>
      <c r="H98">
        <v>-79.819000000000003</v>
      </c>
      <c r="I98">
        <v>43.274999999999999</v>
      </c>
      <c r="J98" t="s">
        <v>2856</v>
      </c>
      <c r="L98" t="s">
        <v>2575</v>
      </c>
      <c r="M98" t="s">
        <v>10</v>
      </c>
      <c r="P98" t="s">
        <v>233</v>
      </c>
      <c r="Q98" t="s">
        <v>245</v>
      </c>
      <c r="R98" t="s">
        <v>340</v>
      </c>
      <c r="S98" t="s">
        <v>244</v>
      </c>
      <c r="T98" t="s">
        <v>244</v>
      </c>
      <c r="U98" t="s">
        <v>2927</v>
      </c>
    </row>
    <row r="99" spans="1:21" x14ac:dyDescent="0.35">
      <c r="A99" t="s">
        <v>1166</v>
      </c>
      <c r="B99" t="s">
        <v>28</v>
      </c>
      <c r="E99" t="s">
        <v>27</v>
      </c>
      <c r="F99" t="s">
        <v>159</v>
      </c>
      <c r="G99" t="s">
        <v>2053</v>
      </c>
      <c r="H99">
        <v>-85.915980000000005</v>
      </c>
      <c r="I99">
        <v>48.695726000000001</v>
      </c>
      <c r="J99" t="s">
        <v>2620</v>
      </c>
      <c r="K99" t="s">
        <v>29</v>
      </c>
      <c r="L99" t="s">
        <v>2575</v>
      </c>
      <c r="M99" t="s">
        <v>10</v>
      </c>
      <c r="P99" t="s">
        <v>11</v>
      </c>
      <c r="Q99" t="s">
        <v>23</v>
      </c>
      <c r="R99" t="s">
        <v>2566</v>
      </c>
      <c r="S99" t="s">
        <v>16</v>
      </c>
      <c r="T99" t="s">
        <v>16</v>
      </c>
      <c r="U99" t="s">
        <v>2927</v>
      </c>
    </row>
    <row r="100" spans="1:21" x14ac:dyDescent="0.35">
      <c r="A100" s="18" t="s">
        <v>1309</v>
      </c>
      <c r="B100" s="18" t="s">
        <v>422</v>
      </c>
      <c r="C100" s="18"/>
      <c r="D100" s="18"/>
      <c r="E100" s="18" t="s">
        <v>421</v>
      </c>
      <c r="F100" s="18" t="s">
        <v>421</v>
      </c>
      <c r="G100" s="18" t="s">
        <v>2147</v>
      </c>
      <c r="H100" s="18">
        <v>-110.8436</v>
      </c>
      <c r="I100" s="18">
        <v>67.375559999999993</v>
      </c>
      <c r="J100" s="18" t="s">
        <v>2777</v>
      </c>
      <c r="K100" s="18"/>
      <c r="L100" s="18" t="s">
        <v>2570</v>
      </c>
      <c r="M100" s="18" t="s">
        <v>374</v>
      </c>
      <c r="N100" s="18" t="s">
        <v>1115</v>
      </c>
      <c r="O100" s="18" t="s">
        <v>1116</v>
      </c>
      <c r="P100" s="18" t="s">
        <v>375</v>
      </c>
      <c r="Q100" s="18"/>
      <c r="R100" s="18"/>
      <c r="S100" s="18" t="s">
        <v>125</v>
      </c>
      <c r="T100" s="18" t="s">
        <v>423</v>
      </c>
      <c r="U100" s="18" t="s">
        <v>2926</v>
      </c>
    </row>
    <row r="101" spans="1:21" x14ac:dyDescent="0.35">
      <c r="A101" t="s">
        <v>1400</v>
      </c>
      <c r="B101" t="s">
        <v>126</v>
      </c>
      <c r="E101" t="s">
        <v>101</v>
      </c>
      <c r="F101" t="s">
        <v>101</v>
      </c>
      <c r="G101" t="s">
        <v>1850</v>
      </c>
      <c r="H101">
        <v>-121.0483</v>
      </c>
      <c r="I101">
        <v>50.485500000000002</v>
      </c>
      <c r="J101" t="s">
        <v>2878</v>
      </c>
      <c r="K101" t="s">
        <v>2877</v>
      </c>
      <c r="L101" t="s">
        <v>2599</v>
      </c>
      <c r="M101" t="s">
        <v>10</v>
      </c>
      <c r="P101" t="s">
        <v>11</v>
      </c>
      <c r="Q101" t="s">
        <v>19</v>
      </c>
      <c r="R101" t="s">
        <v>2621</v>
      </c>
      <c r="S101" t="s">
        <v>125</v>
      </c>
      <c r="T101" t="s">
        <v>127</v>
      </c>
      <c r="U101" t="s">
        <v>2927</v>
      </c>
    </row>
    <row r="102" spans="1:21" x14ac:dyDescent="0.35">
      <c r="A102" t="s">
        <v>1319</v>
      </c>
      <c r="B102" t="s">
        <v>42</v>
      </c>
      <c r="C102" t="s">
        <v>1587</v>
      </c>
      <c r="D102" t="s">
        <v>1754</v>
      </c>
      <c r="E102" t="s">
        <v>39</v>
      </c>
      <c r="F102" t="s">
        <v>39</v>
      </c>
      <c r="G102" t="s">
        <v>2151</v>
      </c>
      <c r="H102">
        <v>-81.313140000000004</v>
      </c>
      <c r="I102">
        <v>48.473300000000002</v>
      </c>
      <c r="J102" t="s">
        <v>2790</v>
      </c>
      <c r="K102" t="s">
        <v>2610</v>
      </c>
      <c r="L102" t="s">
        <v>2575</v>
      </c>
      <c r="M102" t="s">
        <v>10</v>
      </c>
      <c r="P102" t="s">
        <v>11</v>
      </c>
      <c r="Q102" t="s">
        <v>34</v>
      </c>
      <c r="R102" t="s">
        <v>2566</v>
      </c>
      <c r="S102" t="s">
        <v>16</v>
      </c>
      <c r="T102" t="s">
        <v>16</v>
      </c>
      <c r="U102" t="s">
        <v>2927</v>
      </c>
    </row>
    <row r="103" spans="1:21" x14ac:dyDescent="0.35">
      <c r="A103" s="18" t="s">
        <v>1203</v>
      </c>
      <c r="B103" s="18" t="s">
        <v>216</v>
      </c>
      <c r="C103" s="18"/>
      <c r="D103" s="18"/>
      <c r="E103" s="18" t="s">
        <v>704</v>
      </c>
      <c r="F103" s="18" t="s">
        <v>840</v>
      </c>
      <c r="G103" s="18" t="s">
        <v>2075</v>
      </c>
      <c r="H103" s="18">
        <v>-73.450824999999995</v>
      </c>
      <c r="I103" s="18">
        <v>45.574620000000003</v>
      </c>
      <c r="J103" s="18" t="s">
        <v>2662</v>
      </c>
      <c r="K103" s="18"/>
      <c r="L103" s="18" t="s">
        <v>2601</v>
      </c>
      <c r="M103" s="18" t="s">
        <v>374</v>
      </c>
      <c r="N103" s="18" t="s">
        <v>1115</v>
      </c>
      <c r="O103" s="18" t="s">
        <v>1118</v>
      </c>
      <c r="P103" s="18" t="s">
        <v>375</v>
      </c>
      <c r="Q103" s="18"/>
      <c r="R103" s="18"/>
      <c r="S103" s="18" t="s">
        <v>2661</v>
      </c>
      <c r="T103" s="18" t="s">
        <v>705</v>
      </c>
      <c r="U103" s="18" t="s">
        <v>2926</v>
      </c>
    </row>
    <row r="104" spans="1:21" x14ac:dyDescent="0.35">
      <c r="A104" t="s">
        <v>1253</v>
      </c>
      <c r="B104" t="s">
        <v>308</v>
      </c>
      <c r="C104" t="s">
        <v>285</v>
      </c>
      <c r="D104" t="s">
        <v>2932</v>
      </c>
      <c r="E104" t="s">
        <v>142</v>
      </c>
      <c r="F104" t="s">
        <v>715</v>
      </c>
      <c r="G104" t="s">
        <v>2104</v>
      </c>
      <c r="H104">
        <v>-79.015100000000004</v>
      </c>
      <c r="I104">
        <v>48.253399999999999</v>
      </c>
      <c r="J104" t="s">
        <v>2708</v>
      </c>
      <c r="L104" t="s">
        <v>2563</v>
      </c>
      <c r="M104" t="s">
        <v>10</v>
      </c>
      <c r="P104" t="s">
        <v>233</v>
      </c>
      <c r="Q104" t="s">
        <v>249</v>
      </c>
      <c r="R104" t="s">
        <v>2621</v>
      </c>
      <c r="S104" t="s">
        <v>2707</v>
      </c>
      <c r="T104" t="s">
        <v>309</v>
      </c>
      <c r="U104" t="s">
        <v>2927</v>
      </c>
    </row>
    <row r="105" spans="1:21" x14ac:dyDescent="0.35">
      <c r="A105" s="18" t="s">
        <v>1417</v>
      </c>
      <c r="B105" s="18" t="s">
        <v>660</v>
      </c>
      <c r="C105" s="18"/>
      <c r="D105" s="18"/>
      <c r="E105" s="18" t="s">
        <v>659</v>
      </c>
      <c r="F105" s="18" t="s">
        <v>659</v>
      </c>
      <c r="G105" s="18" t="s">
        <v>2207</v>
      </c>
      <c r="H105" s="18">
        <v>-103.73639</v>
      </c>
      <c r="I105" s="18">
        <v>58.153329999999997</v>
      </c>
      <c r="J105" s="18" t="s">
        <v>2885</v>
      </c>
      <c r="K105" s="18"/>
      <c r="L105" s="18" t="s">
        <v>2612</v>
      </c>
      <c r="M105" s="18" t="s">
        <v>374</v>
      </c>
      <c r="N105" s="18" t="s">
        <v>1115</v>
      </c>
      <c r="O105" s="18" t="s">
        <v>1116</v>
      </c>
      <c r="P105" s="18" t="s">
        <v>375</v>
      </c>
      <c r="Q105" s="18"/>
      <c r="R105" s="18"/>
      <c r="S105" s="18" t="s">
        <v>210</v>
      </c>
      <c r="T105" s="18" t="s">
        <v>210</v>
      </c>
      <c r="U105" s="18" t="s">
        <v>2926</v>
      </c>
    </row>
    <row r="106" spans="1:21" x14ac:dyDescent="0.35">
      <c r="A106" t="s">
        <v>1317</v>
      </c>
      <c r="B106" t="s">
        <v>43</v>
      </c>
      <c r="C106" t="s">
        <v>1587</v>
      </c>
      <c r="D106" t="s">
        <v>1754</v>
      </c>
      <c r="E106" t="s">
        <v>39</v>
      </c>
      <c r="F106" t="s">
        <v>39</v>
      </c>
      <c r="G106" t="s">
        <v>2151</v>
      </c>
      <c r="H106">
        <v>-81.1083</v>
      </c>
      <c r="I106">
        <v>48.551900000000003</v>
      </c>
      <c r="J106" t="s">
        <v>2792</v>
      </c>
      <c r="K106" t="s">
        <v>2791</v>
      </c>
      <c r="L106" t="s">
        <v>2575</v>
      </c>
      <c r="M106" t="s">
        <v>10</v>
      </c>
      <c r="P106" t="s">
        <v>11</v>
      </c>
      <c r="Q106" t="s">
        <v>44</v>
      </c>
      <c r="R106" t="s">
        <v>2566</v>
      </c>
      <c r="S106" t="s">
        <v>16</v>
      </c>
      <c r="T106" t="s">
        <v>16</v>
      </c>
      <c r="U106" t="s">
        <v>2927</v>
      </c>
    </row>
    <row r="107" spans="1:21" x14ac:dyDescent="0.35">
      <c r="A107" s="18" t="s">
        <v>1368</v>
      </c>
      <c r="B107" s="18" t="s">
        <v>436</v>
      </c>
      <c r="C107" s="18"/>
      <c r="D107" s="18"/>
      <c r="E107" s="18" t="s">
        <v>435</v>
      </c>
      <c r="F107" s="18" t="s">
        <v>898</v>
      </c>
      <c r="G107" s="18" t="s">
        <v>2179</v>
      </c>
      <c r="H107" s="18">
        <v>-131.0925</v>
      </c>
      <c r="I107" s="18">
        <v>56.666670000000003</v>
      </c>
      <c r="J107" s="18" t="s">
        <v>2837</v>
      </c>
      <c r="K107" s="18"/>
      <c r="L107" s="18" t="s">
        <v>2599</v>
      </c>
      <c r="M107" s="18" t="s">
        <v>374</v>
      </c>
      <c r="N107" s="18" t="s">
        <v>1115</v>
      </c>
      <c r="O107" s="18" t="s">
        <v>1116</v>
      </c>
      <c r="P107" s="18" t="s">
        <v>375</v>
      </c>
      <c r="Q107" s="18"/>
      <c r="R107" s="18"/>
      <c r="S107" s="18" t="s">
        <v>16</v>
      </c>
      <c r="T107" s="18" t="s">
        <v>437</v>
      </c>
      <c r="U107" s="18" t="s">
        <v>2926</v>
      </c>
    </row>
    <row r="108" spans="1:21" s="18" customFormat="1" x14ac:dyDescent="0.35">
      <c r="A108" t="s">
        <v>1136</v>
      </c>
      <c r="B108" t="s">
        <v>25</v>
      </c>
      <c r="C108"/>
      <c r="D108"/>
      <c r="E108" t="s">
        <v>24</v>
      </c>
      <c r="F108" t="s">
        <v>736</v>
      </c>
      <c r="G108" t="s">
        <v>2037</v>
      </c>
      <c r="H108">
        <v>-84.449603999999994</v>
      </c>
      <c r="I108">
        <v>48.285666999999997</v>
      </c>
      <c r="J108" t="s">
        <v>2590</v>
      </c>
      <c r="K108" t="s">
        <v>2589</v>
      </c>
      <c r="L108" t="s">
        <v>2575</v>
      </c>
      <c r="M108" t="s">
        <v>10</v>
      </c>
      <c r="N108"/>
      <c r="O108"/>
      <c r="P108" t="s">
        <v>11</v>
      </c>
      <c r="Q108" t="s">
        <v>13</v>
      </c>
      <c r="R108" t="s">
        <v>2566</v>
      </c>
      <c r="S108" t="s">
        <v>16</v>
      </c>
      <c r="T108" t="s">
        <v>16</v>
      </c>
      <c r="U108" t="s">
        <v>2927</v>
      </c>
    </row>
    <row r="109" spans="1:21" x14ac:dyDescent="0.35">
      <c r="A109" t="s">
        <v>1266</v>
      </c>
      <c r="B109" t="s">
        <v>312</v>
      </c>
      <c r="E109" t="s">
        <v>311</v>
      </c>
      <c r="F109" t="s">
        <v>311</v>
      </c>
      <c r="G109" t="s">
        <v>2116</v>
      </c>
      <c r="H109">
        <v>-74.704435000000004</v>
      </c>
      <c r="I109">
        <v>45.611899999999999</v>
      </c>
      <c r="J109" t="s">
        <v>2730</v>
      </c>
      <c r="L109" t="s">
        <v>2575</v>
      </c>
      <c r="M109" t="s">
        <v>10</v>
      </c>
      <c r="P109" t="s">
        <v>233</v>
      </c>
      <c r="Q109" t="s">
        <v>255</v>
      </c>
      <c r="R109" t="s">
        <v>340</v>
      </c>
      <c r="S109" t="s">
        <v>244</v>
      </c>
      <c r="T109" t="s">
        <v>244</v>
      </c>
      <c r="U109" t="s">
        <v>2927</v>
      </c>
    </row>
    <row r="110" spans="1:21" x14ac:dyDescent="0.35">
      <c r="A110" s="18" t="s">
        <v>1310</v>
      </c>
      <c r="B110" s="18" t="s">
        <v>679</v>
      </c>
      <c r="C110" s="18"/>
      <c r="D110" s="18"/>
      <c r="E110" s="18" t="s">
        <v>421</v>
      </c>
      <c r="F110" s="18" t="s">
        <v>421</v>
      </c>
      <c r="G110" s="18" t="s">
        <v>2147</v>
      </c>
      <c r="H110" s="18">
        <v>-112.79889</v>
      </c>
      <c r="I110" s="18">
        <v>65.630560000000003</v>
      </c>
      <c r="J110" s="18" t="s">
        <v>2778</v>
      </c>
      <c r="K110" s="18"/>
      <c r="L110" s="18" t="s">
        <v>2570</v>
      </c>
      <c r="M110" s="18" t="s">
        <v>374</v>
      </c>
      <c r="N110" s="18" t="s">
        <v>1115</v>
      </c>
      <c r="O110" s="18" t="s">
        <v>1116</v>
      </c>
      <c r="P110" s="18" t="s">
        <v>375</v>
      </c>
      <c r="Q110" s="18"/>
      <c r="R110" s="18"/>
      <c r="S110" s="18" t="s">
        <v>1551</v>
      </c>
      <c r="T110" s="18" t="s">
        <v>680</v>
      </c>
      <c r="U110" s="18" t="s">
        <v>2926</v>
      </c>
    </row>
    <row r="111" spans="1:21" x14ac:dyDescent="0.35">
      <c r="A111" s="18" t="s">
        <v>1142</v>
      </c>
      <c r="B111" s="18" t="s">
        <v>513</v>
      </c>
      <c r="C111" s="18"/>
      <c r="D111" s="18"/>
      <c r="E111" s="18" t="s">
        <v>512</v>
      </c>
      <c r="F111" s="18" t="s">
        <v>707</v>
      </c>
      <c r="G111" s="18" t="s">
        <v>2928</v>
      </c>
      <c r="H111" s="18">
        <v>-77.066670000000002</v>
      </c>
      <c r="I111" s="18">
        <v>52.233330000000002</v>
      </c>
      <c r="J111" s="18" t="s">
        <v>2598</v>
      </c>
      <c r="K111" s="18"/>
      <c r="L111" s="18" t="s">
        <v>2563</v>
      </c>
      <c r="M111" s="18" t="s">
        <v>374</v>
      </c>
      <c r="N111" s="18" t="s">
        <v>1115</v>
      </c>
      <c r="O111" s="18" t="s">
        <v>1116</v>
      </c>
      <c r="P111" s="18" t="s">
        <v>375</v>
      </c>
      <c r="Q111" s="18"/>
      <c r="R111" s="18"/>
      <c r="S111" s="18" t="s">
        <v>509</v>
      </c>
      <c r="T111" s="18" t="s">
        <v>509</v>
      </c>
      <c r="U111" s="18" t="s">
        <v>2926</v>
      </c>
    </row>
    <row r="112" spans="1:21" x14ac:dyDescent="0.35">
      <c r="A112" s="18" t="s">
        <v>1191</v>
      </c>
      <c r="B112" s="18" t="s">
        <v>403</v>
      </c>
      <c r="C112" s="18"/>
      <c r="D112" s="18"/>
      <c r="E112" s="18" t="s">
        <v>128</v>
      </c>
      <c r="F112" s="18" t="s">
        <v>793</v>
      </c>
      <c r="G112" s="18" t="s">
        <v>2064</v>
      </c>
      <c r="H112" s="18">
        <v>-126.77117</v>
      </c>
      <c r="I112" s="18">
        <v>57.050370000000001</v>
      </c>
      <c r="J112" s="18" t="s">
        <v>2648</v>
      </c>
      <c r="K112" s="18"/>
      <c r="L112" s="18" t="s">
        <v>2599</v>
      </c>
      <c r="M112" s="18" t="s">
        <v>374</v>
      </c>
      <c r="N112" s="18" t="s">
        <v>1115</v>
      </c>
      <c r="O112" s="18" t="s">
        <v>1116</v>
      </c>
      <c r="P112" s="18" t="s">
        <v>375</v>
      </c>
      <c r="Q112" s="18"/>
      <c r="R112" s="18"/>
      <c r="S112" s="18" t="s">
        <v>125</v>
      </c>
      <c r="T112" s="18" t="s">
        <v>130</v>
      </c>
      <c r="U112" s="18" t="s">
        <v>2926</v>
      </c>
    </row>
    <row r="113" spans="1:21" x14ac:dyDescent="0.35">
      <c r="A113" s="18" t="s">
        <v>1394</v>
      </c>
      <c r="B113" s="18" t="s">
        <v>568</v>
      </c>
      <c r="C113" s="18"/>
      <c r="D113" s="18"/>
      <c r="E113" s="18" t="s">
        <v>567</v>
      </c>
      <c r="F113" s="18" t="s">
        <v>906</v>
      </c>
      <c r="G113" s="18" t="s">
        <v>2199</v>
      </c>
      <c r="H113" s="18">
        <v>-93.634699999999995</v>
      </c>
      <c r="I113" s="18">
        <v>49.48357</v>
      </c>
      <c r="J113" s="18" t="s">
        <v>2868</v>
      </c>
      <c r="K113" s="18"/>
      <c r="L113" s="18" t="s">
        <v>2575</v>
      </c>
      <c r="M113" s="18" t="s">
        <v>374</v>
      </c>
      <c r="N113" s="18" t="s">
        <v>1115</v>
      </c>
      <c r="O113" s="18" t="s">
        <v>1116</v>
      </c>
      <c r="P113" s="18" t="s">
        <v>375</v>
      </c>
      <c r="Q113" s="18"/>
      <c r="R113" s="18"/>
      <c r="S113" s="18" t="s">
        <v>557</v>
      </c>
      <c r="T113" s="18" t="s">
        <v>183</v>
      </c>
      <c r="U113" s="18" t="s">
        <v>2926</v>
      </c>
    </row>
    <row r="114" spans="1:21" s="18" customFormat="1" x14ac:dyDescent="0.35">
      <c r="A114" t="s">
        <v>1264</v>
      </c>
      <c r="B114" t="s">
        <v>9</v>
      </c>
      <c r="C114"/>
      <c r="D114"/>
      <c r="E114" t="s">
        <v>8</v>
      </c>
      <c r="F114" t="s">
        <v>8</v>
      </c>
      <c r="G114" t="s">
        <v>1902</v>
      </c>
      <c r="H114">
        <v>-135.48330000000001</v>
      </c>
      <c r="I114">
        <v>63.916699999999999</v>
      </c>
      <c r="J114" t="s">
        <v>2728</v>
      </c>
      <c r="K114" t="s">
        <v>2726</v>
      </c>
      <c r="L114" t="s">
        <v>2623</v>
      </c>
      <c r="M114" t="s">
        <v>10</v>
      </c>
      <c r="N114"/>
      <c r="O114"/>
      <c r="P114" t="s">
        <v>11</v>
      </c>
      <c r="Q114" t="s">
        <v>13</v>
      </c>
      <c r="R114" t="s">
        <v>2727</v>
      </c>
      <c r="S114" t="s">
        <v>1549</v>
      </c>
      <c r="T114" t="s">
        <v>12</v>
      </c>
      <c r="U114" t="s">
        <v>2927</v>
      </c>
    </row>
    <row r="115" spans="1:21" s="18" customFormat="1" x14ac:dyDescent="0.35">
      <c r="A115" t="s">
        <v>1177</v>
      </c>
      <c r="B115" t="s">
        <v>211</v>
      </c>
      <c r="C115" t="s">
        <v>706</v>
      </c>
      <c r="D115" t="s">
        <v>2061</v>
      </c>
      <c r="E115" t="s">
        <v>208</v>
      </c>
      <c r="F115" t="s">
        <v>208</v>
      </c>
      <c r="G115" t="s">
        <v>1756</v>
      </c>
      <c r="H115">
        <v>-105.64700000000001</v>
      </c>
      <c r="I115">
        <v>57.207000000000001</v>
      </c>
      <c r="J115" t="s">
        <v>2635</v>
      </c>
      <c r="K115" t="s">
        <v>2634</v>
      </c>
      <c r="L115" t="s">
        <v>2612</v>
      </c>
      <c r="M115" t="s">
        <v>10</v>
      </c>
      <c r="N115"/>
      <c r="O115"/>
      <c r="P115" t="s">
        <v>11</v>
      </c>
      <c r="Q115" t="s">
        <v>21</v>
      </c>
      <c r="R115" t="s">
        <v>210</v>
      </c>
      <c r="S115" t="s">
        <v>210</v>
      </c>
      <c r="T115" t="s">
        <v>210</v>
      </c>
      <c r="U115" t="s">
        <v>2927</v>
      </c>
    </row>
    <row r="116" spans="1:21" s="18" customFormat="1" x14ac:dyDescent="0.35">
      <c r="A116" t="s">
        <v>1249</v>
      </c>
      <c r="B116" t="s">
        <v>143</v>
      </c>
      <c r="C116"/>
      <c r="D116"/>
      <c r="E116" t="s">
        <v>142</v>
      </c>
      <c r="F116" t="s">
        <v>715</v>
      </c>
      <c r="G116" t="s">
        <v>2104</v>
      </c>
      <c r="H116">
        <v>-81.37</v>
      </c>
      <c r="I116">
        <v>48.689399999999999</v>
      </c>
      <c r="J116" t="s">
        <v>2709</v>
      </c>
      <c r="K116" t="s">
        <v>2610</v>
      </c>
      <c r="L116" t="s">
        <v>2575</v>
      </c>
      <c r="M116" t="s">
        <v>10</v>
      </c>
      <c r="N116"/>
      <c r="O116"/>
      <c r="P116" t="s">
        <v>11</v>
      </c>
      <c r="Q116" t="s">
        <v>13</v>
      </c>
      <c r="R116" t="s">
        <v>2621</v>
      </c>
      <c r="S116" t="s">
        <v>125</v>
      </c>
      <c r="T116" t="s">
        <v>144</v>
      </c>
      <c r="U116" t="s">
        <v>2927</v>
      </c>
    </row>
    <row r="117" spans="1:21" s="18" customFormat="1" x14ac:dyDescent="0.35">
      <c r="A117" t="s">
        <v>1437</v>
      </c>
      <c r="B117" t="s">
        <v>60</v>
      </c>
      <c r="C117"/>
      <c r="D117"/>
      <c r="E117" t="s">
        <v>58</v>
      </c>
      <c r="F117" t="s">
        <v>730</v>
      </c>
      <c r="G117" t="s">
        <v>2220</v>
      </c>
      <c r="H117">
        <v>-77.91</v>
      </c>
      <c r="I117">
        <v>48.12</v>
      </c>
      <c r="J117" t="s">
        <v>2910</v>
      </c>
      <c r="K117" t="s">
        <v>2577</v>
      </c>
      <c r="L117" t="s">
        <v>2563</v>
      </c>
      <c r="M117" t="s">
        <v>10</v>
      </c>
      <c r="N117"/>
      <c r="O117"/>
      <c r="P117" t="s">
        <v>11</v>
      </c>
      <c r="Q117" t="s">
        <v>19</v>
      </c>
      <c r="R117" t="s">
        <v>2566</v>
      </c>
      <c r="S117" t="s">
        <v>16</v>
      </c>
      <c r="T117" t="s">
        <v>16</v>
      </c>
      <c r="U117" t="s">
        <v>2927</v>
      </c>
    </row>
    <row r="118" spans="1:21" s="18" customFormat="1" x14ac:dyDescent="0.35">
      <c r="A118" s="18" t="s">
        <v>1261</v>
      </c>
      <c r="B118" s="18" t="s">
        <v>502</v>
      </c>
      <c r="E118" s="18" t="s">
        <v>501</v>
      </c>
      <c r="F118" s="18" t="s">
        <v>857</v>
      </c>
      <c r="G118" s="18" t="s">
        <v>2113</v>
      </c>
      <c r="H118" s="18">
        <v>-109.19120556</v>
      </c>
      <c r="I118" s="18">
        <v>51.738941390000001</v>
      </c>
      <c r="J118" s="18" t="s">
        <v>2722</v>
      </c>
      <c r="L118" s="18" t="s">
        <v>2612</v>
      </c>
      <c r="M118" s="18" t="s">
        <v>374</v>
      </c>
      <c r="N118" s="18" t="s">
        <v>1115</v>
      </c>
      <c r="O118" s="18" t="s">
        <v>1118</v>
      </c>
      <c r="P118" s="18" t="s">
        <v>375</v>
      </c>
      <c r="S118" s="18" t="s">
        <v>498</v>
      </c>
      <c r="T118" s="18" t="s">
        <v>498</v>
      </c>
      <c r="U118" s="18" t="s">
        <v>2926</v>
      </c>
    </row>
    <row r="119" spans="1:21" x14ac:dyDescent="0.35">
      <c r="A119" t="s">
        <v>1287</v>
      </c>
      <c r="B119" t="s">
        <v>314</v>
      </c>
      <c r="E119" t="s">
        <v>313</v>
      </c>
      <c r="F119" t="s">
        <v>863</v>
      </c>
      <c r="G119" t="s">
        <v>2127</v>
      </c>
      <c r="H119">
        <v>-76.512100000000004</v>
      </c>
      <c r="I119">
        <v>44.261499999999998</v>
      </c>
      <c r="J119" t="s">
        <v>2753</v>
      </c>
      <c r="L119" t="s">
        <v>2575</v>
      </c>
      <c r="M119" t="s">
        <v>10</v>
      </c>
      <c r="P119" t="s">
        <v>233</v>
      </c>
      <c r="U119" t="s">
        <v>2927</v>
      </c>
    </row>
    <row r="120" spans="1:21" x14ac:dyDescent="0.35">
      <c r="A120" t="s">
        <v>1351</v>
      </c>
      <c r="B120" t="s">
        <v>315</v>
      </c>
      <c r="E120" t="s">
        <v>246</v>
      </c>
      <c r="F120" t="s">
        <v>718</v>
      </c>
      <c r="G120" t="s">
        <v>2167</v>
      </c>
      <c r="H120">
        <v>-128.69540000000001</v>
      </c>
      <c r="I120">
        <v>53.997599999999998</v>
      </c>
      <c r="J120" t="s">
        <v>2819</v>
      </c>
      <c r="L120" t="s">
        <v>2599</v>
      </c>
      <c r="M120" t="s">
        <v>10</v>
      </c>
      <c r="P120" t="s">
        <v>233</v>
      </c>
      <c r="Q120" t="s">
        <v>249</v>
      </c>
      <c r="R120" t="s">
        <v>376</v>
      </c>
      <c r="S120" t="s">
        <v>248</v>
      </c>
      <c r="T120" t="s">
        <v>248</v>
      </c>
      <c r="U120" t="s">
        <v>2927</v>
      </c>
    </row>
    <row r="121" spans="1:21" s="18" customFormat="1" x14ac:dyDescent="0.35">
      <c r="A121" s="18" t="s">
        <v>1208</v>
      </c>
      <c r="B121" s="18" t="s">
        <v>444</v>
      </c>
      <c r="E121" s="18" t="s">
        <v>443</v>
      </c>
      <c r="F121" s="18" t="s">
        <v>443</v>
      </c>
      <c r="G121" s="18" t="s">
        <v>2078</v>
      </c>
      <c r="H121" s="18">
        <v>-129.57777999999999</v>
      </c>
      <c r="I121" s="18">
        <v>55.753610000000002</v>
      </c>
      <c r="J121" s="18" t="s">
        <v>2667</v>
      </c>
      <c r="L121" s="18" t="s">
        <v>2599</v>
      </c>
      <c r="M121" s="18" t="s">
        <v>374</v>
      </c>
      <c r="N121" s="18" t="s">
        <v>1115</v>
      </c>
      <c r="O121" s="18" t="s">
        <v>1116</v>
      </c>
      <c r="P121" s="18" t="s">
        <v>375</v>
      </c>
      <c r="S121" s="18" t="s">
        <v>16</v>
      </c>
      <c r="T121" s="18" t="s">
        <v>445</v>
      </c>
      <c r="U121" s="18" t="s">
        <v>2926</v>
      </c>
    </row>
    <row r="122" spans="1:21" x14ac:dyDescent="0.35">
      <c r="A122" s="18" t="s">
        <v>1360</v>
      </c>
      <c r="B122" s="18" t="s">
        <v>456</v>
      </c>
      <c r="C122" s="18"/>
      <c r="D122" s="18"/>
      <c r="E122" s="18" t="s">
        <v>455</v>
      </c>
      <c r="F122" s="18" t="s">
        <v>893</v>
      </c>
      <c r="G122" s="18" t="s">
        <v>2173</v>
      </c>
      <c r="H122" s="18">
        <v>-137.3175</v>
      </c>
      <c r="I122" s="18">
        <v>62.141170000000002</v>
      </c>
      <c r="J122" s="18" t="s">
        <v>2829</v>
      </c>
      <c r="K122" s="18"/>
      <c r="L122" s="18" t="s">
        <v>2623</v>
      </c>
      <c r="M122" s="18" t="s">
        <v>374</v>
      </c>
      <c r="N122" s="18" t="s">
        <v>1115</v>
      </c>
      <c r="O122" s="18" t="s">
        <v>1116</v>
      </c>
      <c r="P122" s="18" t="s">
        <v>375</v>
      </c>
      <c r="Q122" s="18"/>
      <c r="R122" s="18"/>
      <c r="S122" s="18" t="s">
        <v>16</v>
      </c>
      <c r="T122" s="18" t="s">
        <v>457</v>
      </c>
      <c r="U122" s="18" t="s">
        <v>2926</v>
      </c>
    </row>
    <row r="123" spans="1:21" s="18" customFormat="1" x14ac:dyDescent="0.35">
      <c r="A123" s="18" t="s">
        <v>1369</v>
      </c>
      <c r="B123" s="18" t="s">
        <v>438</v>
      </c>
      <c r="E123" s="18" t="s">
        <v>435</v>
      </c>
      <c r="F123" s="18" t="s">
        <v>898</v>
      </c>
      <c r="G123" s="18" t="s">
        <v>2179</v>
      </c>
      <c r="H123" s="18">
        <v>-130.33555999999999</v>
      </c>
      <c r="I123" s="18">
        <v>56.466659999999997</v>
      </c>
      <c r="J123" s="18" t="s">
        <v>2838</v>
      </c>
      <c r="L123" s="18" t="s">
        <v>2599</v>
      </c>
      <c r="M123" s="18" t="s">
        <v>374</v>
      </c>
      <c r="N123" s="18" t="s">
        <v>1115</v>
      </c>
      <c r="O123" s="18" t="s">
        <v>1116</v>
      </c>
      <c r="P123" s="18" t="s">
        <v>375</v>
      </c>
      <c r="S123" s="18" t="s">
        <v>16</v>
      </c>
      <c r="T123" s="18" t="s">
        <v>439</v>
      </c>
      <c r="U123" s="18" t="s">
        <v>2926</v>
      </c>
    </row>
    <row r="124" spans="1:21" x14ac:dyDescent="0.35">
      <c r="A124" s="18" t="s">
        <v>1170</v>
      </c>
      <c r="B124" s="18" t="s">
        <v>690</v>
      </c>
      <c r="C124" s="18"/>
      <c r="D124" s="18"/>
      <c r="E124" s="18" t="s">
        <v>689</v>
      </c>
      <c r="F124" s="18" t="s">
        <v>707</v>
      </c>
      <c r="G124" s="18" t="s">
        <v>2928</v>
      </c>
      <c r="H124" s="18">
        <v>-130.59894</v>
      </c>
      <c r="I124" s="18">
        <v>61.471080000000001</v>
      </c>
      <c r="J124" s="18" t="s">
        <v>2624</v>
      </c>
      <c r="K124" s="18"/>
      <c r="L124" s="18" t="s">
        <v>2623</v>
      </c>
      <c r="M124" s="18" t="s">
        <v>374</v>
      </c>
      <c r="N124" s="18" t="s">
        <v>1115</v>
      </c>
      <c r="O124" s="18" t="s">
        <v>1116</v>
      </c>
      <c r="P124" s="18" t="s">
        <v>375</v>
      </c>
      <c r="Q124" s="18"/>
      <c r="R124" s="18"/>
      <c r="S124" s="18" t="s">
        <v>1551</v>
      </c>
      <c r="T124" s="18" t="s">
        <v>688</v>
      </c>
      <c r="U124" s="18" t="s">
        <v>2926</v>
      </c>
    </row>
    <row r="125" spans="1:21" x14ac:dyDescent="0.35">
      <c r="A125" s="18" t="s">
        <v>1289</v>
      </c>
      <c r="B125" s="18" t="s">
        <v>427</v>
      </c>
      <c r="C125" s="18"/>
      <c r="D125" s="18"/>
      <c r="E125" s="18" t="s">
        <v>426</v>
      </c>
      <c r="F125" s="18" t="s">
        <v>864</v>
      </c>
      <c r="G125" s="18" t="s">
        <v>2129</v>
      </c>
      <c r="H125" s="18">
        <v>-128.38736</v>
      </c>
      <c r="I125" s="18">
        <v>58.209960000000002</v>
      </c>
      <c r="J125" s="18" t="s">
        <v>2755</v>
      </c>
      <c r="K125" s="18"/>
      <c r="L125" s="18" t="s">
        <v>2599</v>
      </c>
      <c r="M125" s="18" t="s">
        <v>374</v>
      </c>
      <c r="N125" s="18" t="s">
        <v>1115</v>
      </c>
      <c r="O125" s="18" t="s">
        <v>1116</v>
      </c>
      <c r="P125" s="18" t="s">
        <v>375</v>
      </c>
      <c r="Q125" s="18"/>
      <c r="R125" s="18"/>
      <c r="S125" s="18" t="s">
        <v>125</v>
      </c>
      <c r="T125" s="18" t="s">
        <v>428</v>
      </c>
      <c r="U125" s="18" t="s">
        <v>2926</v>
      </c>
    </row>
    <row r="126" spans="1:21" x14ac:dyDescent="0.35">
      <c r="A126" s="18" t="s">
        <v>1332</v>
      </c>
      <c r="B126" s="18" t="s">
        <v>405</v>
      </c>
      <c r="C126" s="18"/>
      <c r="D126" s="18"/>
      <c r="E126" s="18" t="s">
        <v>404</v>
      </c>
      <c r="F126" s="18" t="s">
        <v>883</v>
      </c>
      <c r="G126" s="18" t="s">
        <v>2159</v>
      </c>
      <c r="H126" s="18">
        <v>-125.27126800000001</v>
      </c>
      <c r="I126" s="18">
        <v>55.415303000000002</v>
      </c>
      <c r="J126" s="18" t="s">
        <v>2807</v>
      </c>
      <c r="K126" s="18"/>
      <c r="L126" s="18" t="s">
        <v>2599</v>
      </c>
      <c r="M126" s="18" t="s">
        <v>374</v>
      </c>
      <c r="N126" s="18" t="s">
        <v>1115</v>
      </c>
      <c r="O126" s="18" t="s">
        <v>1116</v>
      </c>
      <c r="P126" s="18" t="s">
        <v>375</v>
      </c>
      <c r="Q126" s="18"/>
      <c r="R126" s="18"/>
      <c r="S126" s="18" t="s">
        <v>125</v>
      </c>
      <c r="T126" s="18" t="s">
        <v>130</v>
      </c>
      <c r="U126" s="18" t="s">
        <v>2926</v>
      </c>
    </row>
    <row r="127" spans="1:21" s="18" customFormat="1" x14ac:dyDescent="0.35">
      <c r="A127" s="18" t="s">
        <v>1375</v>
      </c>
      <c r="B127" s="18" t="s">
        <v>646</v>
      </c>
      <c r="E127" s="18" t="s">
        <v>645</v>
      </c>
      <c r="F127" s="18" t="s">
        <v>645</v>
      </c>
      <c r="G127" s="18" t="s">
        <v>2185</v>
      </c>
      <c r="H127" s="18">
        <v>-65.265640000000005</v>
      </c>
      <c r="I127" s="18">
        <v>51.049750000000003</v>
      </c>
      <c r="J127" s="18" t="s">
        <v>2847</v>
      </c>
      <c r="L127" s="18" t="s">
        <v>2563</v>
      </c>
      <c r="M127" s="18" t="s">
        <v>374</v>
      </c>
      <c r="N127" s="18" t="s">
        <v>1115</v>
      </c>
      <c r="O127" s="18" t="s">
        <v>1116</v>
      </c>
      <c r="P127" s="18" t="s">
        <v>375</v>
      </c>
      <c r="S127" s="18" t="s">
        <v>627</v>
      </c>
      <c r="T127" s="18" t="s">
        <v>647</v>
      </c>
      <c r="U127" s="18" t="s">
        <v>2926</v>
      </c>
    </row>
    <row r="128" spans="1:21" x14ac:dyDescent="0.35">
      <c r="A128" s="18" t="s">
        <v>1294</v>
      </c>
      <c r="B128" s="18" t="s">
        <v>472</v>
      </c>
      <c r="C128" s="18"/>
      <c r="D128" s="18"/>
      <c r="E128" s="18" t="s">
        <v>471</v>
      </c>
      <c r="F128" s="18" t="s">
        <v>866</v>
      </c>
      <c r="G128" s="18" t="s">
        <v>2134</v>
      </c>
      <c r="H128" s="18">
        <v>-74.997140000000002</v>
      </c>
      <c r="I128" s="18">
        <v>46.036560000000001</v>
      </c>
      <c r="J128" s="18" t="s">
        <v>2760</v>
      </c>
      <c r="K128" s="18"/>
      <c r="L128" s="18" t="s">
        <v>2563</v>
      </c>
      <c r="M128" s="18" t="s">
        <v>374</v>
      </c>
      <c r="N128" s="18" t="s">
        <v>1115</v>
      </c>
      <c r="O128" s="18" t="s">
        <v>1116</v>
      </c>
      <c r="P128" s="18" t="s">
        <v>375</v>
      </c>
      <c r="Q128" s="18"/>
      <c r="R128" s="18"/>
      <c r="S128" s="18" t="s">
        <v>468</v>
      </c>
      <c r="T128" s="18" t="s">
        <v>468</v>
      </c>
      <c r="U128" s="18" t="s">
        <v>2926</v>
      </c>
    </row>
    <row r="129" spans="1:21" s="18" customFormat="1" x14ac:dyDescent="0.35">
      <c r="A129" t="s">
        <v>1277</v>
      </c>
      <c r="B129" t="s">
        <v>203</v>
      </c>
      <c r="C129"/>
      <c r="D129"/>
      <c r="E129" t="s">
        <v>202</v>
      </c>
      <c r="F129" t="s">
        <v>859</v>
      </c>
      <c r="G129" t="s">
        <v>2119</v>
      </c>
      <c r="H129">
        <v>-89.610500000000002</v>
      </c>
      <c r="I129">
        <v>49.1691</v>
      </c>
      <c r="J129" t="s">
        <v>2745</v>
      </c>
      <c r="K129" t="s">
        <v>2743</v>
      </c>
      <c r="L129" t="s">
        <v>2575</v>
      </c>
      <c r="M129" t="s">
        <v>10</v>
      </c>
      <c r="N129"/>
      <c r="O129"/>
      <c r="P129" t="s">
        <v>11</v>
      </c>
      <c r="Q129" t="s">
        <v>23</v>
      </c>
      <c r="R129" t="s">
        <v>2566</v>
      </c>
      <c r="S129" t="s">
        <v>2744</v>
      </c>
      <c r="T129" t="s">
        <v>204</v>
      </c>
      <c r="U129" t="s">
        <v>2927</v>
      </c>
    </row>
    <row r="130" spans="1:21" s="18" customFormat="1" x14ac:dyDescent="0.35">
      <c r="A130" s="18" t="s">
        <v>1430</v>
      </c>
      <c r="B130" s="18" t="s">
        <v>494</v>
      </c>
      <c r="E130" s="18" t="s">
        <v>493</v>
      </c>
      <c r="F130" s="18" t="s">
        <v>910</v>
      </c>
      <c r="G130" s="18" t="s">
        <v>2213</v>
      </c>
      <c r="H130" s="18">
        <v>-73.956819999999993</v>
      </c>
      <c r="I130" s="18">
        <v>49.845730000000003</v>
      </c>
      <c r="J130" s="18" t="s">
        <v>2902</v>
      </c>
      <c r="L130" s="18" t="s">
        <v>2563</v>
      </c>
      <c r="M130" s="18" t="s">
        <v>374</v>
      </c>
      <c r="N130" s="18" t="s">
        <v>1115</v>
      </c>
      <c r="O130" s="18" t="s">
        <v>1116</v>
      </c>
      <c r="P130" s="18" t="s">
        <v>375</v>
      </c>
      <c r="S130" s="18" t="s">
        <v>340</v>
      </c>
      <c r="T130" s="18" t="s">
        <v>491</v>
      </c>
      <c r="U130" s="18" t="s">
        <v>2926</v>
      </c>
    </row>
    <row r="131" spans="1:21" s="18" customFormat="1" x14ac:dyDescent="0.35">
      <c r="A131" s="18" t="s">
        <v>1302</v>
      </c>
      <c r="B131" s="18" t="s">
        <v>474</v>
      </c>
      <c r="E131" s="18" t="s">
        <v>473</v>
      </c>
      <c r="F131" s="18" t="s">
        <v>871</v>
      </c>
      <c r="G131" s="18" t="s">
        <v>2141</v>
      </c>
      <c r="H131" s="18">
        <v>-69.099999999999994</v>
      </c>
      <c r="I131" s="18">
        <v>51.14</v>
      </c>
      <c r="J131" s="18" t="s">
        <v>2769</v>
      </c>
      <c r="L131" s="18" t="s">
        <v>2563</v>
      </c>
      <c r="M131" s="18" t="s">
        <v>374</v>
      </c>
      <c r="N131" s="18" t="s">
        <v>1115</v>
      </c>
      <c r="O131" s="18" t="s">
        <v>1116</v>
      </c>
      <c r="P131" s="18" t="s">
        <v>375</v>
      </c>
      <c r="S131" s="18" t="s">
        <v>468</v>
      </c>
      <c r="T131" s="18" t="s">
        <v>468</v>
      </c>
      <c r="U131" s="18" t="s">
        <v>2926</v>
      </c>
    </row>
    <row r="132" spans="1:21" x14ac:dyDescent="0.35">
      <c r="A132" s="18" t="s">
        <v>1230</v>
      </c>
      <c r="B132" s="18" t="s">
        <v>480</v>
      </c>
      <c r="C132" s="18"/>
      <c r="D132" s="18"/>
      <c r="E132" s="18" t="s">
        <v>479</v>
      </c>
      <c r="F132" s="18" t="s">
        <v>848</v>
      </c>
      <c r="G132" s="18" t="s">
        <v>2095</v>
      </c>
      <c r="H132" s="18">
        <v>-67.181790000000007</v>
      </c>
      <c r="I132" s="18">
        <v>52.54974</v>
      </c>
      <c r="J132" s="18" t="s">
        <v>2687</v>
      </c>
      <c r="K132" s="18"/>
      <c r="L132" s="18" t="s">
        <v>2563</v>
      </c>
      <c r="M132" s="18" t="s">
        <v>374</v>
      </c>
      <c r="N132" s="18" t="s">
        <v>1115</v>
      </c>
      <c r="O132" s="18" t="s">
        <v>1116</v>
      </c>
      <c r="P132" s="18" t="s">
        <v>375</v>
      </c>
      <c r="Q132" s="18"/>
      <c r="R132" s="18"/>
      <c r="S132" s="18" t="s">
        <v>468</v>
      </c>
      <c r="T132" s="18" t="s">
        <v>468</v>
      </c>
      <c r="U132" s="18" t="s">
        <v>2926</v>
      </c>
    </row>
    <row r="133" spans="1:21" x14ac:dyDescent="0.35">
      <c r="A133" s="18" t="s">
        <v>1306</v>
      </c>
      <c r="B133" s="18" t="s">
        <v>476</v>
      </c>
      <c r="C133" s="18"/>
      <c r="D133" s="18"/>
      <c r="E133" s="18" t="s">
        <v>475</v>
      </c>
      <c r="F133" s="18" t="s">
        <v>874</v>
      </c>
      <c r="G133" s="18" t="s">
        <v>2144</v>
      </c>
      <c r="H133" s="18">
        <v>-67.075969999999998</v>
      </c>
      <c r="I133" s="18">
        <v>52.605110000000003</v>
      </c>
      <c r="J133" s="18" t="s">
        <v>2773</v>
      </c>
      <c r="K133" s="18"/>
      <c r="L133" s="18" t="s">
        <v>2563</v>
      </c>
      <c r="M133" s="18" t="s">
        <v>374</v>
      </c>
      <c r="N133" s="18" t="s">
        <v>1115</v>
      </c>
      <c r="O133" s="18" t="s">
        <v>1116</v>
      </c>
      <c r="P133" s="18" t="s">
        <v>375</v>
      </c>
      <c r="Q133" s="18"/>
      <c r="R133" s="18"/>
      <c r="S133" s="18" t="s">
        <v>468</v>
      </c>
      <c r="T133" s="18" t="s">
        <v>468</v>
      </c>
      <c r="U133" s="18" t="s">
        <v>2926</v>
      </c>
    </row>
    <row r="134" spans="1:21" x14ac:dyDescent="0.35">
      <c r="A134" t="s">
        <v>1353</v>
      </c>
      <c r="B134" t="s">
        <v>170</v>
      </c>
      <c r="C134" t="s">
        <v>2170</v>
      </c>
      <c r="D134" t="s">
        <v>2171</v>
      </c>
      <c r="E134" t="s">
        <v>151</v>
      </c>
      <c r="F134" t="s">
        <v>718</v>
      </c>
      <c r="G134" t="s">
        <v>2167</v>
      </c>
      <c r="H134">
        <v>-63.415999999999997</v>
      </c>
      <c r="I134">
        <v>50.554099999999998</v>
      </c>
      <c r="J134" t="s">
        <v>2825</v>
      </c>
      <c r="K134" t="s">
        <v>2824</v>
      </c>
      <c r="L134" t="s">
        <v>2563</v>
      </c>
      <c r="M134" t="s">
        <v>10</v>
      </c>
      <c r="P134" t="s">
        <v>11</v>
      </c>
      <c r="Q134" t="s">
        <v>34</v>
      </c>
      <c r="R134" t="s">
        <v>1882</v>
      </c>
      <c r="S134" t="s">
        <v>171</v>
      </c>
      <c r="T134" t="s">
        <v>171</v>
      </c>
      <c r="U134" t="s">
        <v>2927</v>
      </c>
    </row>
    <row r="135" spans="1:21" s="18" customFormat="1" x14ac:dyDescent="0.35">
      <c r="A135" t="s">
        <v>1381</v>
      </c>
      <c r="B135" t="s">
        <v>316</v>
      </c>
      <c r="C135"/>
      <c r="D135"/>
      <c r="E135" t="s">
        <v>306</v>
      </c>
      <c r="F135" t="s">
        <v>903</v>
      </c>
      <c r="G135" t="s">
        <v>2190</v>
      </c>
      <c r="H135">
        <v>-80.093699999999998</v>
      </c>
      <c r="I135">
        <v>42.8001</v>
      </c>
      <c r="J135" t="s">
        <v>2857</v>
      </c>
      <c r="K135"/>
      <c r="L135" t="s">
        <v>2575</v>
      </c>
      <c r="M135" t="s">
        <v>10</v>
      </c>
      <c r="N135"/>
      <c r="O135"/>
      <c r="P135" t="s">
        <v>233</v>
      </c>
      <c r="Q135" t="s">
        <v>245</v>
      </c>
      <c r="R135" t="s">
        <v>340</v>
      </c>
      <c r="S135" t="s">
        <v>244</v>
      </c>
      <c r="T135" t="s">
        <v>244</v>
      </c>
      <c r="U135" t="s">
        <v>2927</v>
      </c>
    </row>
    <row r="136" spans="1:21" x14ac:dyDescent="0.35">
      <c r="A136" t="s">
        <v>1269</v>
      </c>
      <c r="B136" t="s">
        <v>89</v>
      </c>
      <c r="C136" t="s">
        <v>1782</v>
      </c>
      <c r="D136" t="s">
        <v>1854</v>
      </c>
      <c r="E136" t="s">
        <v>79</v>
      </c>
      <c r="F136" t="s">
        <v>717</v>
      </c>
      <c r="G136" t="s">
        <v>1853</v>
      </c>
      <c r="H136">
        <v>-100.13333</v>
      </c>
      <c r="I136">
        <v>54.866669999999999</v>
      </c>
      <c r="J136" t="s">
        <v>2734</v>
      </c>
      <c r="K136" t="s">
        <v>1782</v>
      </c>
      <c r="L136" t="s">
        <v>2586</v>
      </c>
      <c r="M136" t="s">
        <v>10</v>
      </c>
      <c r="P136" t="s">
        <v>11</v>
      </c>
      <c r="Q136" t="s">
        <v>44</v>
      </c>
      <c r="R136" t="s">
        <v>2650</v>
      </c>
      <c r="S136" t="s">
        <v>16</v>
      </c>
      <c r="T136" t="s">
        <v>90</v>
      </c>
      <c r="U136" t="s">
        <v>2927</v>
      </c>
    </row>
    <row r="137" spans="1:21" x14ac:dyDescent="0.35">
      <c r="A137" t="s">
        <v>1210</v>
      </c>
      <c r="B137" t="s">
        <v>31</v>
      </c>
      <c r="E137" t="s">
        <v>30</v>
      </c>
      <c r="F137" t="s">
        <v>30</v>
      </c>
      <c r="G137" t="s">
        <v>2080</v>
      </c>
      <c r="H137">
        <v>-77.739624000000006</v>
      </c>
      <c r="I137">
        <v>48.079220999999997</v>
      </c>
      <c r="J137" t="s">
        <v>2669</v>
      </c>
      <c r="K137" t="s">
        <v>2577</v>
      </c>
      <c r="L137" t="s">
        <v>2563</v>
      </c>
      <c r="M137" t="s">
        <v>10</v>
      </c>
      <c r="P137" t="s">
        <v>11</v>
      </c>
      <c r="Q137" t="s">
        <v>13</v>
      </c>
      <c r="R137" t="s">
        <v>2566</v>
      </c>
      <c r="S137" t="s">
        <v>16</v>
      </c>
      <c r="T137" t="s">
        <v>16</v>
      </c>
      <c r="U137" t="s">
        <v>2927</v>
      </c>
    </row>
    <row r="138" spans="1:21" s="18" customFormat="1" x14ac:dyDescent="0.35">
      <c r="A138" t="s">
        <v>1126</v>
      </c>
      <c r="B138" t="s">
        <v>91</v>
      </c>
      <c r="C138"/>
      <c r="D138"/>
      <c r="E138" t="s">
        <v>14</v>
      </c>
      <c r="F138" t="s">
        <v>14</v>
      </c>
      <c r="G138" t="s">
        <v>2034</v>
      </c>
      <c r="H138">
        <v>-78.427999999999997</v>
      </c>
      <c r="I138">
        <v>48.251600000000003</v>
      </c>
      <c r="J138" t="s">
        <v>2580</v>
      </c>
      <c r="K138" t="s">
        <v>2579</v>
      </c>
      <c r="L138" t="s">
        <v>2563</v>
      </c>
      <c r="M138" t="s">
        <v>10</v>
      </c>
      <c r="N138"/>
      <c r="O138"/>
      <c r="P138" t="s">
        <v>11</v>
      </c>
      <c r="Q138" t="s">
        <v>13</v>
      </c>
      <c r="R138" t="s">
        <v>2566</v>
      </c>
      <c r="S138" t="s">
        <v>16</v>
      </c>
      <c r="T138" t="s">
        <v>92</v>
      </c>
      <c r="U138" t="s">
        <v>2927</v>
      </c>
    </row>
    <row r="139" spans="1:21" x14ac:dyDescent="0.35">
      <c r="A139" t="s">
        <v>1347</v>
      </c>
      <c r="B139" t="s">
        <v>317</v>
      </c>
      <c r="C139" t="s">
        <v>2168</v>
      </c>
      <c r="D139" t="s">
        <v>2169</v>
      </c>
      <c r="E139" t="s">
        <v>246</v>
      </c>
      <c r="F139" t="s">
        <v>718</v>
      </c>
      <c r="G139" t="s">
        <v>2167</v>
      </c>
      <c r="H139">
        <v>-71.128699999999995</v>
      </c>
      <c r="I139">
        <v>48.301299999999998</v>
      </c>
      <c r="J139" t="s">
        <v>2820</v>
      </c>
      <c r="L139" t="s">
        <v>2563</v>
      </c>
      <c r="M139" t="s">
        <v>10</v>
      </c>
      <c r="P139" t="s">
        <v>233</v>
      </c>
      <c r="Q139" t="s">
        <v>249</v>
      </c>
      <c r="R139" t="s">
        <v>376</v>
      </c>
      <c r="S139" t="s">
        <v>248</v>
      </c>
      <c r="T139" t="s">
        <v>248</v>
      </c>
      <c r="U139" t="s">
        <v>2927</v>
      </c>
    </row>
    <row r="140" spans="1:21" s="18" customFormat="1" x14ac:dyDescent="0.35">
      <c r="A140" s="18" t="s">
        <v>1292</v>
      </c>
      <c r="B140" s="18" t="s">
        <v>378</v>
      </c>
      <c r="E140" s="18" t="s">
        <v>377</v>
      </c>
      <c r="F140" s="18" t="s">
        <v>377</v>
      </c>
      <c r="G140" s="18" t="s">
        <v>2132</v>
      </c>
      <c r="H140" s="18">
        <v>-73.349997999999999</v>
      </c>
      <c r="I140" s="18">
        <v>45.533332999999999</v>
      </c>
      <c r="J140" s="18" t="s">
        <v>2758</v>
      </c>
      <c r="L140" s="18" t="s">
        <v>2563</v>
      </c>
      <c r="M140" s="18" t="s">
        <v>374</v>
      </c>
      <c r="N140" s="18" t="s">
        <v>1115</v>
      </c>
      <c r="O140" s="18" t="s">
        <v>1117</v>
      </c>
      <c r="P140" s="18" t="s">
        <v>375</v>
      </c>
      <c r="S140" s="18" t="s">
        <v>379</v>
      </c>
      <c r="T140" s="18" t="s">
        <v>379</v>
      </c>
      <c r="U140" s="18" t="s">
        <v>2926</v>
      </c>
    </row>
    <row r="141" spans="1:21" s="18" customFormat="1" x14ac:dyDescent="0.35">
      <c r="A141" s="18" t="s">
        <v>1356</v>
      </c>
      <c r="B141" s="18" t="s">
        <v>495</v>
      </c>
      <c r="C141" s="18" t="s">
        <v>2170</v>
      </c>
      <c r="D141" s="18" t="s">
        <v>2171</v>
      </c>
      <c r="E141" s="18" t="s">
        <v>151</v>
      </c>
      <c r="F141" s="18" t="s">
        <v>718</v>
      </c>
      <c r="G141" s="18" t="s">
        <v>2167</v>
      </c>
      <c r="H141" s="18">
        <v>-73.139626000000007</v>
      </c>
      <c r="I141" s="18">
        <v>46.043726999999997</v>
      </c>
      <c r="J141" s="18" t="s">
        <v>2826</v>
      </c>
      <c r="L141" s="18" t="s">
        <v>2563</v>
      </c>
      <c r="M141" s="18" t="s">
        <v>374</v>
      </c>
      <c r="N141" s="18" t="s">
        <v>1115</v>
      </c>
      <c r="O141" s="18" t="s">
        <v>1117</v>
      </c>
      <c r="P141" s="18" t="s">
        <v>375</v>
      </c>
      <c r="S141" s="18" t="s">
        <v>174</v>
      </c>
      <c r="T141" s="18" t="s">
        <v>174</v>
      </c>
      <c r="U141" s="18" t="s">
        <v>2926</v>
      </c>
    </row>
    <row r="142" spans="1:21" s="18" customFormat="1" x14ac:dyDescent="0.35">
      <c r="A142" t="s">
        <v>1429</v>
      </c>
      <c r="B142" t="s">
        <v>318</v>
      </c>
      <c r="C142"/>
      <c r="D142"/>
      <c r="E142" t="s">
        <v>181</v>
      </c>
      <c r="F142" t="s">
        <v>719</v>
      </c>
      <c r="G142" t="s">
        <v>2209</v>
      </c>
      <c r="H142">
        <v>-53.811791999999997</v>
      </c>
      <c r="I142">
        <v>47.410938000000002</v>
      </c>
      <c r="J142" t="s">
        <v>2900</v>
      </c>
      <c r="K142"/>
      <c r="L142" t="s">
        <v>2625</v>
      </c>
      <c r="M142" t="s">
        <v>10</v>
      </c>
      <c r="N142"/>
      <c r="O142"/>
      <c r="P142" t="s">
        <v>233</v>
      </c>
      <c r="Q142" t="s">
        <v>274</v>
      </c>
      <c r="R142" t="s">
        <v>2621</v>
      </c>
      <c r="S142" t="s">
        <v>557</v>
      </c>
      <c r="T142" t="s">
        <v>183</v>
      </c>
      <c r="U142" t="s">
        <v>2927</v>
      </c>
    </row>
    <row r="143" spans="1:21" s="18" customFormat="1" x14ac:dyDescent="0.35">
      <c r="A143" s="18" t="s">
        <v>1199</v>
      </c>
      <c r="B143" s="18" t="s">
        <v>570</v>
      </c>
      <c r="E143" s="18" t="s">
        <v>569</v>
      </c>
      <c r="F143" s="18" t="s">
        <v>736</v>
      </c>
      <c r="G143" s="18" t="s">
        <v>2037</v>
      </c>
      <c r="H143" s="18">
        <v>-101.03485999999999</v>
      </c>
      <c r="I143" s="18">
        <v>56.852170000000001</v>
      </c>
      <c r="J143" s="18" t="s">
        <v>2657</v>
      </c>
      <c r="L143" s="18" t="s">
        <v>2586</v>
      </c>
      <c r="M143" s="18" t="s">
        <v>374</v>
      </c>
      <c r="N143" s="18" t="s">
        <v>1115</v>
      </c>
      <c r="O143" s="18" t="s">
        <v>1116</v>
      </c>
      <c r="P143" s="18" t="s">
        <v>375</v>
      </c>
      <c r="S143" s="18" t="s">
        <v>557</v>
      </c>
      <c r="T143" s="18" t="s">
        <v>183</v>
      </c>
      <c r="U143" s="18" t="s">
        <v>2926</v>
      </c>
    </row>
    <row r="144" spans="1:21" s="18" customFormat="1" x14ac:dyDescent="0.35">
      <c r="A144" t="s">
        <v>1128</v>
      </c>
      <c r="B144" t="s">
        <v>67</v>
      </c>
      <c r="C144"/>
      <c r="D144"/>
      <c r="E144" t="s">
        <v>14</v>
      </c>
      <c r="F144" t="s">
        <v>14</v>
      </c>
      <c r="G144" t="s">
        <v>2034</v>
      </c>
      <c r="H144">
        <v>-80.071636999999996</v>
      </c>
      <c r="I144">
        <v>48.142527999999999</v>
      </c>
      <c r="J144" t="s">
        <v>2582</v>
      </c>
      <c r="K144" t="s">
        <v>2581</v>
      </c>
      <c r="L144" t="s">
        <v>2575</v>
      </c>
      <c r="M144" t="s">
        <v>10</v>
      </c>
      <c r="N144"/>
      <c r="O144"/>
      <c r="P144" t="s">
        <v>11</v>
      </c>
      <c r="Q144" t="s">
        <v>13</v>
      </c>
      <c r="R144" t="s">
        <v>2566</v>
      </c>
      <c r="S144" t="s">
        <v>16</v>
      </c>
      <c r="T144" t="s">
        <v>64</v>
      </c>
      <c r="U144" t="s">
        <v>2927</v>
      </c>
    </row>
    <row r="145" spans="1:21" s="18" customFormat="1" x14ac:dyDescent="0.35">
      <c r="A145" s="18" t="s">
        <v>1225</v>
      </c>
      <c r="B145" s="18" t="s">
        <v>694</v>
      </c>
      <c r="E145" s="18" t="s">
        <v>654</v>
      </c>
      <c r="F145" s="18" t="s">
        <v>843</v>
      </c>
      <c r="G145" s="18" t="s">
        <v>2091</v>
      </c>
      <c r="H145" s="18">
        <v>-130.15143</v>
      </c>
      <c r="I145" s="18">
        <v>63.16057</v>
      </c>
      <c r="J145" s="18" t="s">
        <v>2682</v>
      </c>
      <c r="L145" s="18" t="s">
        <v>2623</v>
      </c>
      <c r="M145" s="18" t="s">
        <v>374</v>
      </c>
      <c r="N145" s="18" t="s">
        <v>1115</v>
      </c>
      <c r="O145" s="18" t="s">
        <v>1116</v>
      </c>
      <c r="P145" s="18" t="s">
        <v>375</v>
      </c>
      <c r="S145" s="18" t="s">
        <v>1551</v>
      </c>
      <c r="T145" s="18" t="s">
        <v>693</v>
      </c>
      <c r="U145" s="18" t="s">
        <v>2926</v>
      </c>
    </row>
    <row r="146" spans="1:21" s="18" customFormat="1" x14ac:dyDescent="0.35">
      <c r="A146" s="18" t="s">
        <v>1224</v>
      </c>
      <c r="B146" s="18" t="s">
        <v>655</v>
      </c>
      <c r="E146" s="18" t="s">
        <v>654</v>
      </c>
      <c r="F146" s="18" t="s">
        <v>843</v>
      </c>
      <c r="G146" s="18" t="s">
        <v>2091</v>
      </c>
      <c r="H146" s="18">
        <v>-130.1525</v>
      </c>
      <c r="I146" s="18">
        <v>63.282222222199998</v>
      </c>
      <c r="J146" s="18" t="s">
        <v>2683</v>
      </c>
      <c r="L146" s="18" t="s">
        <v>2623</v>
      </c>
      <c r="M146" s="18" t="s">
        <v>374</v>
      </c>
      <c r="N146" s="18" t="s">
        <v>1115</v>
      </c>
      <c r="O146" s="18" t="s">
        <v>1116</v>
      </c>
      <c r="P146" s="18" t="s">
        <v>375</v>
      </c>
      <c r="S146" s="18" t="s">
        <v>653</v>
      </c>
      <c r="T146" s="18" t="s">
        <v>653</v>
      </c>
      <c r="U146" s="18" t="s">
        <v>2926</v>
      </c>
    </row>
    <row r="147" spans="1:21" s="18" customFormat="1" x14ac:dyDescent="0.35">
      <c r="A147" t="s">
        <v>1159</v>
      </c>
      <c r="B147" t="s">
        <v>69</v>
      </c>
      <c r="C147"/>
      <c r="D147"/>
      <c r="E147" t="s">
        <v>68</v>
      </c>
      <c r="F147" t="s">
        <v>784</v>
      </c>
      <c r="G147" t="s">
        <v>2049</v>
      </c>
      <c r="H147">
        <v>-84.457440000000005</v>
      </c>
      <c r="I147">
        <v>48.288690000000003</v>
      </c>
      <c r="J147" t="s">
        <v>2611</v>
      </c>
      <c r="K147" t="s">
        <v>2610</v>
      </c>
      <c r="L147" t="s">
        <v>2575</v>
      </c>
      <c r="M147" t="s">
        <v>10</v>
      </c>
      <c r="N147"/>
      <c r="O147"/>
      <c r="P147" t="s">
        <v>11</v>
      </c>
      <c r="Q147" t="s">
        <v>19</v>
      </c>
      <c r="R147" t="s">
        <v>2566</v>
      </c>
      <c r="S147" t="s">
        <v>16</v>
      </c>
      <c r="T147" t="s">
        <v>64</v>
      </c>
      <c r="U147" t="s">
        <v>2927</v>
      </c>
    </row>
    <row r="148" spans="1:21" s="18" customFormat="1" x14ac:dyDescent="0.35">
      <c r="A148" s="18" t="s">
        <v>1260</v>
      </c>
      <c r="B148" s="18" t="s">
        <v>582</v>
      </c>
      <c r="E148" s="18" t="s">
        <v>581</v>
      </c>
      <c r="F148" s="18" t="s">
        <v>856</v>
      </c>
      <c r="G148" s="18" t="s">
        <v>2112</v>
      </c>
      <c r="H148" s="18">
        <v>-95.609530000000007</v>
      </c>
      <c r="I148" s="18">
        <v>50.629800000000003</v>
      </c>
      <c r="J148" s="18" t="s">
        <v>2721</v>
      </c>
      <c r="L148" s="18" t="s">
        <v>2586</v>
      </c>
      <c r="M148" s="18" t="s">
        <v>374</v>
      </c>
      <c r="N148" s="18" t="s">
        <v>1115</v>
      </c>
      <c r="O148" s="18" t="s">
        <v>1116</v>
      </c>
      <c r="P148" s="18" t="s">
        <v>375</v>
      </c>
      <c r="S148" s="18" t="s">
        <v>557</v>
      </c>
      <c r="T148" s="18" t="s">
        <v>583</v>
      </c>
      <c r="U148" s="18" t="s">
        <v>2926</v>
      </c>
    </row>
    <row r="149" spans="1:21" s="18" customFormat="1" x14ac:dyDescent="0.35">
      <c r="A149" t="s">
        <v>1244</v>
      </c>
      <c r="B149" t="s">
        <v>319</v>
      </c>
      <c r="C149"/>
      <c r="D149"/>
      <c r="E149" t="s">
        <v>281</v>
      </c>
      <c r="F149" t="s">
        <v>714</v>
      </c>
      <c r="G149" t="s">
        <v>2103</v>
      </c>
      <c r="H149">
        <v>-96.893632999999994</v>
      </c>
      <c r="I149">
        <v>50.130273000000003</v>
      </c>
      <c r="J149" t="s">
        <v>2700</v>
      </c>
      <c r="K149"/>
      <c r="L149" t="s">
        <v>2586</v>
      </c>
      <c r="M149" t="s">
        <v>10</v>
      </c>
      <c r="N149"/>
      <c r="O149"/>
      <c r="P149" t="s">
        <v>233</v>
      </c>
      <c r="Q149" t="s">
        <v>255</v>
      </c>
      <c r="R149" t="s">
        <v>340</v>
      </c>
      <c r="S149" t="s">
        <v>244</v>
      </c>
      <c r="T149" t="s">
        <v>244</v>
      </c>
      <c r="U149" t="s">
        <v>2927</v>
      </c>
    </row>
    <row r="150" spans="1:21" x14ac:dyDescent="0.35">
      <c r="A150" s="18" t="s">
        <v>1237</v>
      </c>
      <c r="B150" s="18" t="s">
        <v>29</v>
      </c>
      <c r="C150" s="18"/>
      <c r="D150" s="18"/>
      <c r="E150" s="18" t="s">
        <v>554</v>
      </c>
      <c r="F150" s="18" t="s">
        <v>554</v>
      </c>
      <c r="G150" s="18" t="s">
        <v>2101</v>
      </c>
      <c r="H150" s="18">
        <v>-86.326300000000003</v>
      </c>
      <c r="I150" s="18">
        <v>48.787579999999998</v>
      </c>
      <c r="J150" s="18" t="s">
        <v>2695</v>
      </c>
      <c r="K150" s="18"/>
      <c r="L150" s="18" t="s">
        <v>2575</v>
      </c>
      <c r="M150" s="18" t="s">
        <v>374</v>
      </c>
      <c r="N150" s="18" t="s">
        <v>1115</v>
      </c>
      <c r="O150" s="18" t="s">
        <v>1116</v>
      </c>
      <c r="P150" s="18" t="s">
        <v>375</v>
      </c>
      <c r="Q150" s="18"/>
      <c r="R150" s="18"/>
      <c r="S150" s="18" t="s">
        <v>1773</v>
      </c>
      <c r="T150" s="18" t="s">
        <v>599</v>
      </c>
      <c r="U150" s="18" t="s">
        <v>2926</v>
      </c>
    </row>
    <row r="151" spans="1:21" x14ac:dyDescent="0.35">
      <c r="A151" s="18" t="s">
        <v>1291</v>
      </c>
      <c r="B151" s="18" t="s">
        <v>531</v>
      </c>
      <c r="C151" s="18"/>
      <c r="D151" s="18"/>
      <c r="E151" s="18" t="s">
        <v>530</v>
      </c>
      <c r="F151" s="18" t="s">
        <v>865</v>
      </c>
      <c r="G151" s="18" t="s">
        <v>2131</v>
      </c>
      <c r="H151" s="18">
        <v>-79.341499999999996</v>
      </c>
      <c r="I151" s="18">
        <v>43.833100000000002</v>
      </c>
      <c r="J151" s="18" t="s">
        <v>2757</v>
      </c>
      <c r="K151" s="18"/>
      <c r="L151" s="18" t="s">
        <v>2575</v>
      </c>
      <c r="M151" s="18" t="s">
        <v>374</v>
      </c>
      <c r="N151" s="18" t="s">
        <v>1115</v>
      </c>
      <c r="O151" s="18" t="s">
        <v>1117</v>
      </c>
      <c r="P151" s="18" t="s">
        <v>375</v>
      </c>
      <c r="Q151" s="18"/>
      <c r="R151" s="18"/>
      <c r="S151" s="18" t="s">
        <v>532</v>
      </c>
      <c r="T151" s="18" t="s">
        <v>532</v>
      </c>
      <c r="U151" s="18" t="s">
        <v>2926</v>
      </c>
    </row>
    <row r="152" spans="1:21" s="18" customFormat="1" x14ac:dyDescent="0.35">
      <c r="A152" s="18" t="s">
        <v>1234</v>
      </c>
      <c r="B152" s="18" t="s">
        <v>604</v>
      </c>
      <c r="E152" s="18" t="s">
        <v>603</v>
      </c>
      <c r="F152" s="18" t="s">
        <v>849</v>
      </c>
      <c r="G152" s="18" t="s">
        <v>2098</v>
      </c>
      <c r="H152" s="18">
        <v>-83.414444000000003</v>
      </c>
      <c r="I152" s="18">
        <v>50.314444000000002</v>
      </c>
      <c r="J152" s="18" t="s">
        <v>2692</v>
      </c>
      <c r="L152" s="18" t="s">
        <v>2575</v>
      </c>
      <c r="M152" s="18" t="s">
        <v>374</v>
      </c>
      <c r="N152" s="18" t="s">
        <v>1115</v>
      </c>
      <c r="O152" s="18" t="s">
        <v>1116</v>
      </c>
      <c r="P152" s="18" t="s">
        <v>375</v>
      </c>
      <c r="S152" s="18" t="s">
        <v>2691</v>
      </c>
      <c r="T152" s="18" t="s">
        <v>605</v>
      </c>
      <c r="U152" s="18" t="s">
        <v>2926</v>
      </c>
    </row>
    <row r="153" spans="1:21" x14ac:dyDescent="0.35">
      <c r="A153" t="s">
        <v>1165</v>
      </c>
      <c r="B153" t="s">
        <v>160</v>
      </c>
      <c r="E153" t="s">
        <v>159</v>
      </c>
      <c r="F153" t="s">
        <v>707</v>
      </c>
      <c r="G153" t="s">
        <v>2928</v>
      </c>
      <c r="H153">
        <v>-78.556869000000006</v>
      </c>
      <c r="I153">
        <v>71.340446</v>
      </c>
      <c r="J153" t="s">
        <v>2619</v>
      </c>
      <c r="K153" t="s">
        <v>2618</v>
      </c>
      <c r="L153" t="s">
        <v>2570</v>
      </c>
      <c r="M153" t="s">
        <v>10</v>
      </c>
      <c r="P153" t="s">
        <v>11</v>
      </c>
      <c r="Q153" t="s">
        <v>34</v>
      </c>
      <c r="R153" t="s">
        <v>340</v>
      </c>
      <c r="S153" t="s">
        <v>157</v>
      </c>
      <c r="T153" t="s">
        <v>157</v>
      </c>
      <c r="U153" t="s">
        <v>2927</v>
      </c>
    </row>
    <row r="154" spans="1:21" s="18" customFormat="1" x14ac:dyDescent="0.35">
      <c r="A154" s="18" t="s">
        <v>1334</v>
      </c>
      <c r="B154" s="18" t="s">
        <v>478</v>
      </c>
      <c r="E154" s="18" t="s">
        <v>477</v>
      </c>
      <c r="F154" s="18" t="s">
        <v>885</v>
      </c>
      <c r="G154" s="18" t="s">
        <v>2161</v>
      </c>
      <c r="H154" s="18">
        <v>-73.921199999999999</v>
      </c>
      <c r="I154" s="18">
        <v>46.617280000000001</v>
      </c>
      <c r="J154" s="18" t="s">
        <v>2809</v>
      </c>
      <c r="L154" s="18" t="s">
        <v>2563</v>
      </c>
      <c r="M154" s="18" t="s">
        <v>374</v>
      </c>
      <c r="N154" s="18" t="s">
        <v>1115</v>
      </c>
      <c r="O154" s="18" t="s">
        <v>1116</v>
      </c>
      <c r="P154" s="18" t="s">
        <v>375</v>
      </c>
      <c r="S154" s="18" t="s">
        <v>468</v>
      </c>
      <c r="T154" s="18" t="s">
        <v>468</v>
      </c>
      <c r="U154" s="18" t="s">
        <v>2926</v>
      </c>
    </row>
    <row r="155" spans="1:21" x14ac:dyDescent="0.35">
      <c r="A155" t="s">
        <v>1176</v>
      </c>
      <c r="B155" t="s">
        <v>212</v>
      </c>
      <c r="C155" t="s">
        <v>706</v>
      </c>
      <c r="D155" t="s">
        <v>2061</v>
      </c>
      <c r="E155" t="s">
        <v>208</v>
      </c>
      <c r="F155" t="s">
        <v>208</v>
      </c>
      <c r="G155" t="s">
        <v>1756</v>
      </c>
      <c r="H155">
        <v>-105.053</v>
      </c>
      <c r="I155">
        <v>57.7637</v>
      </c>
      <c r="J155" t="s">
        <v>2637</v>
      </c>
      <c r="K155" t="s">
        <v>2636</v>
      </c>
      <c r="L155" t="s">
        <v>2612</v>
      </c>
      <c r="M155" t="s">
        <v>10</v>
      </c>
      <c r="P155" t="s">
        <v>11</v>
      </c>
      <c r="Q155" t="s">
        <v>44</v>
      </c>
      <c r="R155" t="s">
        <v>210</v>
      </c>
      <c r="S155" t="s">
        <v>210</v>
      </c>
      <c r="T155" t="s">
        <v>210</v>
      </c>
      <c r="U155" t="s">
        <v>2927</v>
      </c>
    </row>
    <row r="156" spans="1:21" x14ac:dyDescent="0.35">
      <c r="A156" t="s">
        <v>1336</v>
      </c>
      <c r="B156" t="s">
        <v>214</v>
      </c>
      <c r="E156" t="s">
        <v>213</v>
      </c>
      <c r="F156" t="s">
        <v>887</v>
      </c>
      <c r="G156" t="s">
        <v>2163</v>
      </c>
      <c r="H156">
        <v>-103.8361</v>
      </c>
      <c r="I156">
        <v>58.347200000000001</v>
      </c>
      <c r="J156" t="s">
        <v>2811</v>
      </c>
      <c r="K156" t="s">
        <v>214</v>
      </c>
      <c r="L156" t="s">
        <v>2612</v>
      </c>
      <c r="M156" t="s">
        <v>10</v>
      </c>
      <c r="P156" t="s">
        <v>11</v>
      </c>
      <c r="Q156" t="s">
        <v>21</v>
      </c>
      <c r="R156" t="s">
        <v>210</v>
      </c>
      <c r="S156" t="s">
        <v>210</v>
      </c>
      <c r="T156" t="s">
        <v>210</v>
      </c>
      <c r="U156" t="s">
        <v>2927</v>
      </c>
    </row>
    <row r="157" spans="1:21" s="18" customFormat="1" x14ac:dyDescent="0.35">
      <c r="A157" t="s">
        <v>1285</v>
      </c>
      <c r="B157" t="s">
        <v>139</v>
      </c>
      <c r="C157"/>
      <c r="D157"/>
      <c r="E157" t="s">
        <v>138</v>
      </c>
      <c r="F157" t="s">
        <v>725</v>
      </c>
      <c r="G157" t="s">
        <v>2124</v>
      </c>
      <c r="H157">
        <v>-81.398939999999996</v>
      </c>
      <c r="I157">
        <v>46.638058999999998</v>
      </c>
      <c r="J157" t="s">
        <v>2751</v>
      </c>
      <c r="K157" t="s">
        <v>140</v>
      </c>
      <c r="L157" t="s">
        <v>2575</v>
      </c>
      <c r="M157" t="s">
        <v>10</v>
      </c>
      <c r="N157"/>
      <c r="O157"/>
      <c r="P157" t="s">
        <v>11</v>
      </c>
      <c r="Q157" t="s">
        <v>44</v>
      </c>
      <c r="R157" t="s">
        <v>2650</v>
      </c>
      <c r="S157" t="s">
        <v>125</v>
      </c>
      <c r="T157" t="s">
        <v>141</v>
      </c>
      <c r="U157" t="s">
        <v>2927</v>
      </c>
    </row>
    <row r="158" spans="1:21" s="18" customFormat="1" x14ac:dyDescent="0.35">
      <c r="A158" s="18" t="s">
        <v>1231</v>
      </c>
      <c r="B158" s="18" t="s">
        <v>425</v>
      </c>
      <c r="E158" s="18" t="s">
        <v>424</v>
      </c>
      <c r="F158" s="18" t="s">
        <v>424</v>
      </c>
      <c r="G158" s="18" t="s">
        <v>2096</v>
      </c>
      <c r="H158" s="18">
        <v>-102.89498</v>
      </c>
      <c r="I158" s="18">
        <v>54.659770000000002</v>
      </c>
      <c r="J158" s="18" t="s">
        <v>2688</v>
      </c>
      <c r="L158" s="18" t="s">
        <v>2612</v>
      </c>
      <c r="M158" s="18" t="s">
        <v>374</v>
      </c>
      <c r="N158" s="18" t="s">
        <v>1115</v>
      </c>
      <c r="O158" s="18" t="s">
        <v>1116</v>
      </c>
      <c r="P158" s="18" t="s">
        <v>375</v>
      </c>
      <c r="S158" s="18" t="s">
        <v>125</v>
      </c>
      <c r="T158" s="18" t="s">
        <v>423</v>
      </c>
      <c r="U158" s="18" t="s">
        <v>2926</v>
      </c>
    </row>
    <row r="159" spans="1:21" x14ac:dyDescent="0.35">
      <c r="A159" t="s">
        <v>1130</v>
      </c>
      <c r="B159" t="s">
        <v>20</v>
      </c>
      <c r="C159" t="s">
        <v>2035</v>
      </c>
      <c r="D159" t="s">
        <v>1753</v>
      </c>
      <c r="E159" t="s">
        <v>14</v>
      </c>
      <c r="F159" t="s">
        <v>14</v>
      </c>
      <c r="G159" t="s">
        <v>2034</v>
      </c>
      <c r="H159">
        <v>-96.071313000000004</v>
      </c>
      <c r="I159">
        <v>65.019995600000001</v>
      </c>
      <c r="J159" t="s">
        <v>2583</v>
      </c>
      <c r="K159" t="s">
        <v>2569</v>
      </c>
      <c r="L159" t="s">
        <v>2570</v>
      </c>
      <c r="M159" t="s">
        <v>10</v>
      </c>
      <c r="P159" t="s">
        <v>11</v>
      </c>
      <c r="Q159" t="s">
        <v>21</v>
      </c>
      <c r="R159" t="s">
        <v>2566</v>
      </c>
      <c r="S159" t="s">
        <v>16</v>
      </c>
      <c r="T159" t="s">
        <v>16</v>
      </c>
      <c r="U159" t="s">
        <v>2927</v>
      </c>
    </row>
    <row r="160" spans="1:21" s="18" customFormat="1" x14ac:dyDescent="0.35">
      <c r="A160" t="s">
        <v>1129</v>
      </c>
      <c r="B160" t="s">
        <v>22</v>
      </c>
      <c r="C160"/>
      <c r="D160"/>
      <c r="E160" t="s">
        <v>14</v>
      </c>
      <c r="F160" t="s">
        <v>14</v>
      </c>
      <c r="G160" t="s">
        <v>2034</v>
      </c>
      <c r="H160">
        <v>-92.220206000000005</v>
      </c>
      <c r="I160">
        <v>63.031528999999999</v>
      </c>
      <c r="J160" t="s">
        <v>2585</v>
      </c>
      <c r="K160" t="s">
        <v>2584</v>
      </c>
      <c r="L160" t="s">
        <v>2570</v>
      </c>
      <c r="M160" t="s">
        <v>10</v>
      </c>
      <c r="N160"/>
      <c r="O160"/>
      <c r="P160" t="s">
        <v>11</v>
      </c>
      <c r="Q160" t="s">
        <v>23</v>
      </c>
      <c r="R160" t="s">
        <v>2566</v>
      </c>
      <c r="S160" t="s">
        <v>16</v>
      </c>
      <c r="T160" t="s">
        <v>16</v>
      </c>
      <c r="U160" t="s">
        <v>2927</v>
      </c>
    </row>
    <row r="161" spans="1:21" s="18" customFormat="1" x14ac:dyDescent="0.35">
      <c r="A161" s="18" t="s">
        <v>1338</v>
      </c>
      <c r="B161" s="18" t="s">
        <v>662</v>
      </c>
      <c r="E161" s="18" t="s">
        <v>661</v>
      </c>
      <c r="F161" s="18" t="s">
        <v>661</v>
      </c>
      <c r="G161" s="18" t="s">
        <v>2165</v>
      </c>
      <c r="H161" s="18">
        <v>-59.984000000000002</v>
      </c>
      <c r="I161" s="18">
        <v>54.584000000000003</v>
      </c>
      <c r="J161" s="18" t="s">
        <v>2813</v>
      </c>
      <c r="L161" s="18" t="s">
        <v>2625</v>
      </c>
      <c r="M161" s="18" t="s">
        <v>374</v>
      </c>
      <c r="N161" s="18" t="s">
        <v>1115</v>
      </c>
      <c r="O161" s="18" t="s">
        <v>1116</v>
      </c>
      <c r="P161" s="18" t="s">
        <v>375</v>
      </c>
      <c r="S161" s="18" t="s">
        <v>210</v>
      </c>
      <c r="T161" s="18" t="s">
        <v>210</v>
      </c>
      <c r="U161" s="18" t="s">
        <v>2926</v>
      </c>
    </row>
    <row r="162" spans="1:21" s="18" customFormat="1" x14ac:dyDescent="0.35">
      <c r="A162" s="18" t="s">
        <v>1229</v>
      </c>
      <c r="B162" s="18" t="s">
        <v>556</v>
      </c>
      <c r="E162" s="18" t="s">
        <v>555</v>
      </c>
      <c r="F162" s="18" t="s">
        <v>847</v>
      </c>
      <c r="G162" s="18" t="s">
        <v>2094</v>
      </c>
      <c r="H162" s="18">
        <v>-99.219120000000004</v>
      </c>
      <c r="I162" s="18">
        <v>54.109200000000001</v>
      </c>
      <c r="J162" s="18" t="s">
        <v>2686</v>
      </c>
      <c r="L162" s="18" t="s">
        <v>2586</v>
      </c>
      <c r="M162" s="18" t="s">
        <v>374</v>
      </c>
      <c r="N162" s="18" t="s">
        <v>1115</v>
      </c>
      <c r="O162" s="18" t="s">
        <v>1116</v>
      </c>
      <c r="P162" s="18" t="s">
        <v>375</v>
      </c>
      <c r="S162" s="18" t="s">
        <v>557</v>
      </c>
      <c r="T162" s="18" t="s">
        <v>557</v>
      </c>
      <c r="U162" s="18" t="s">
        <v>2926</v>
      </c>
    </row>
    <row r="163" spans="1:21" s="18" customFormat="1" x14ac:dyDescent="0.35">
      <c r="A163" t="s">
        <v>1222</v>
      </c>
      <c r="B163" t="s">
        <v>131</v>
      </c>
      <c r="C163"/>
      <c r="D163"/>
      <c r="E163" t="s">
        <v>123</v>
      </c>
      <c r="F163" t="s">
        <v>406</v>
      </c>
      <c r="G163" t="s">
        <v>2089</v>
      </c>
      <c r="H163">
        <v>-56.087000000000003</v>
      </c>
      <c r="I163">
        <v>49.914999999999999</v>
      </c>
      <c r="J163" t="s">
        <v>2679</v>
      </c>
      <c r="K163" t="s">
        <v>2678</v>
      </c>
      <c r="L163" t="s">
        <v>2625</v>
      </c>
      <c r="M163" t="s">
        <v>10</v>
      </c>
      <c r="N163"/>
      <c r="O163"/>
      <c r="P163" t="s">
        <v>11</v>
      </c>
      <c r="Q163" t="s">
        <v>44</v>
      </c>
      <c r="R163" t="s">
        <v>2621</v>
      </c>
      <c r="S163" t="s">
        <v>125</v>
      </c>
      <c r="T163" t="s">
        <v>130</v>
      </c>
      <c r="U163" t="s">
        <v>2927</v>
      </c>
    </row>
    <row r="164" spans="1:21" s="18" customFormat="1" x14ac:dyDescent="0.35">
      <c r="A164" t="s">
        <v>1308</v>
      </c>
      <c r="B164" t="s">
        <v>134</v>
      </c>
      <c r="C164"/>
      <c r="D164"/>
      <c r="E164" t="s">
        <v>133</v>
      </c>
      <c r="F164" t="s">
        <v>133</v>
      </c>
      <c r="G164" t="s">
        <v>2146</v>
      </c>
      <c r="H164">
        <v>-137.23858000000001</v>
      </c>
      <c r="I164">
        <v>62.618875000000003</v>
      </c>
      <c r="J164" t="s">
        <v>2776</v>
      </c>
      <c r="K164" t="s">
        <v>2775</v>
      </c>
      <c r="L164" t="s">
        <v>2623</v>
      </c>
      <c r="M164" t="s">
        <v>10</v>
      </c>
      <c r="N164"/>
      <c r="O164"/>
      <c r="P164" t="s">
        <v>11</v>
      </c>
      <c r="Q164" t="s">
        <v>23</v>
      </c>
      <c r="R164" t="s">
        <v>2621</v>
      </c>
      <c r="S164" t="s">
        <v>125</v>
      </c>
      <c r="T164" t="s">
        <v>130</v>
      </c>
      <c r="U164" t="s">
        <v>2927</v>
      </c>
    </row>
    <row r="165" spans="1:21" x14ac:dyDescent="0.35">
      <c r="A165" t="s">
        <v>1438</v>
      </c>
      <c r="B165" t="s">
        <v>61</v>
      </c>
      <c r="E165" t="s">
        <v>58</v>
      </c>
      <c r="F165" t="s">
        <v>730</v>
      </c>
      <c r="G165" t="s">
        <v>2220</v>
      </c>
      <c r="H165">
        <v>-85.452500000000001</v>
      </c>
      <c r="I165">
        <v>48.110280000000003</v>
      </c>
      <c r="J165" t="s">
        <v>2911</v>
      </c>
      <c r="K165" t="s">
        <v>2908</v>
      </c>
      <c r="L165" t="s">
        <v>2575</v>
      </c>
      <c r="M165" t="s">
        <v>10</v>
      </c>
      <c r="P165" t="s">
        <v>11</v>
      </c>
      <c r="Q165" t="s">
        <v>34</v>
      </c>
      <c r="R165" t="s">
        <v>2566</v>
      </c>
      <c r="S165" t="s">
        <v>16</v>
      </c>
      <c r="T165" t="s">
        <v>16</v>
      </c>
      <c r="U165" t="s">
        <v>2927</v>
      </c>
    </row>
    <row r="166" spans="1:21" x14ac:dyDescent="0.35">
      <c r="A166" s="18" t="s">
        <v>1365</v>
      </c>
      <c r="B166" s="18" t="s">
        <v>515</v>
      </c>
      <c r="C166" s="18"/>
      <c r="D166" s="18"/>
      <c r="E166" s="18" t="s">
        <v>514</v>
      </c>
      <c r="F166" s="18" t="s">
        <v>514</v>
      </c>
      <c r="G166" s="18" t="s">
        <v>2177</v>
      </c>
      <c r="H166" s="18">
        <v>-74.912149999999997</v>
      </c>
      <c r="I166" s="18">
        <v>50.731760000000001</v>
      </c>
      <c r="J166" s="18" t="s">
        <v>2833</v>
      </c>
      <c r="K166" s="18"/>
      <c r="L166" s="18" t="s">
        <v>2563</v>
      </c>
      <c r="M166" s="18" t="s">
        <v>374</v>
      </c>
      <c r="N166" s="18" t="s">
        <v>1115</v>
      </c>
      <c r="O166" s="18" t="s">
        <v>1116</v>
      </c>
      <c r="P166" s="18" t="s">
        <v>375</v>
      </c>
      <c r="Q166" s="18"/>
      <c r="R166" s="18"/>
      <c r="S166" s="18" t="s">
        <v>509</v>
      </c>
      <c r="T166" s="18" t="s">
        <v>509</v>
      </c>
      <c r="U166" s="18" t="s">
        <v>2926</v>
      </c>
    </row>
    <row r="167" spans="1:21" x14ac:dyDescent="0.35">
      <c r="A167" s="18" t="s">
        <v>1435</v>
      </c>
      <c r="B167" s="18" t="s">
        <v>487</v>
      </c>
      <c r="C167" s="18"/>
      <c r="D167" s="18"/>
      <c r="E167" s="18" t="s">
        <v>486</v>
      </c>
      <c r="F167" s="18" t="s">
        <v>912</v>
      </c>
      <c r="G167" s="18" t="s">
        <v>2218</v>
      </c>
      <c r="H167" s="18">
        <v>-74.127578</v>
      </c>
      <c r="I167" s="18">
        <v>49.918163</v>
      </c>
      <c r="J167" s="18" t="s">
        <v>2906</v>
      </c>
      <c r="K167" s="18"/>
      <c r="L167" s="18" t="s">
        <v>2563</v>
      </c>
      <c r="M167" s="18" t="s">
        <v>374</v>
      </c>
      <c r="N167" s="18" t="s">
        <v>1115</v>
      </c>
      <c r="O167" s="18" t="s">
        <v>1116</v>
      </c>
      <c r="P167" s="18" t="s">
        <v>375</v>
      </c>
      <c r="Q167" s="18"/>
      <c r="R167" s="18"/>
      <c r="S167" s="18" t="s">
        <v>340</v>
      </c>
      <c r="T167" s="18" t="s">
        <v>488</v>
      </c>
      <c r="U167" s="18" t="s">
        <v>2926</v>
      </c>
    </row>
    <row r="168" spans="1:21" x14ac:dyDescent="0.35">
      <c r="A168" t="s">
        <v>1152</v>
      </c>
      <c r="B168" t="s">
        <v>158</v>
      </c>
      <c r="C168" t="s">
        <v>2929</v>
      </c>
      <c r="D168" t="s">
        <v>2930</v>
      </c>
      <c r="E168" t="s">
        <v>155</v>
      </c>
      <c r="F168" t="s">
        <v>155</v>
      </c>
      <c r="G168" t="s">
        <v>2048</v>
      </c>
      <c r="H168">
        <v>-67.330057999999994</v>
      </c>
      <c r="I168">
        <v>52.757052999999999</v>
      </c>
      <c r="J168" t="s">
        <v>2605</v>
      </c>
      <c r="K168" t="s">
        <v>2603</v>
      </c>
      <c r="L168" t="s">
        <v>2563</v>
      </c>
      <c r="M168" t="s">
        <v>10</v>
      </c>
      <c r="P168" t="s">
        <v>11</v>
      </c>
      <c r="Q168" t="s">
        <v>19</v>
      </c>
      <c r="R168" t="s">
        <v>340</v>
      </c>
      <c r="S168" t="s">
        <v>157</v>
      </c>
      <c r="T168" t="s">
        <v>157</v>
      </c>
      <c r="U168" t="s">
        <v>2927</v>
      </c>
    </row>
    <row r="169" spans="1:21" s="18" customFormat="1" x14ac:dyDescent="0.35">
      <c r="A169" s="18" t="s">
        <v>1134</v>
      </c>
      <c r="B169" s="18" t="s">
        <v>461</v>
      </c>
      <c r="E169" s="18" t="s">
        <v>14</v>
      </c>
      <c r="F169" s="18" t="s">
        <v>14</v>
      </c>
      <c r="G169" s="18" t="s">
        <v>2034</v>
      </c>
      <c r="H169" s="18">
        <v>-92.914016000000004</v>
      </c>
      <c r="I169" s="18">
        <v>54.446415000000002</v>
      </c>
      <c r="J169" s="18" t="s">
        <v>2587</v>
      </c>
      <c r="L169" s="18" t="s">
        <v>2586</v>
      </c>
      <c r="M169" s="18" t="s">
        <v>374</v>
      </c>
      <c r="N169" s="18" t="s">
        <v>1115</v>
      </c>
      <c r="O169" s="18" t="s">
        <v>1116</v>
      </c>
      <c r="P169" s="18" t="s">
        <v>375</v>
      </c>
      <c r="S169" s="18" t="s">
        <v>16</v>
      </c>
      <c r="T169" s="18" t="s">
        <v>462</v>
      </c>
      <c r="U169" s="18" t="s">
        <v>2926</v>
      </c>
    </row>
    <row r="170" spans="1:21" x14ac:dyDescent="0.35">
      <c r="A170" t="s">
        <v>1379</v>
      </c>
      <c r="B170" t="s">
        <v>55</v>
      </c>
      <c r="E170" t="s">
        <v>54</v>
      </c>
      <c r="F170" t="s">
        <v>54</v>
      </c>
      <c r="G170" t="s">
        <v>2189</v>
      </c>
      <c r="H170">
        <v>-62.942920000000001</v>
      </c>
      <c r="I170">
        <v>44.982430000000001</v>
      </c>
      <c r="J170" t="s">
        <v>2855</v>
      </c>
      <c r="K170" t="s">
        <v>2853</v>
      </c>
      <c r="L170" t="s">
        <v>2854</v>
      </c>
      <c r="M170" t="s">
        <v>10</v>
      </c>
      <c r="P170" t="s">
        <v>11</v>
      </c>
      <c r="Q170" t="s">
        <v>19</v>
      </c>
      <c r="R170" t="s">
        <v>2566</v>
      </c>
      <c r="S170" t="s">
        <v>16</v>
      </c>
      <c r="T170" t="s">
        <v>16</v>
      </c>
      <c r="U170" t="s">
        <v>2927</v>
      </c>
    </row>
    <row r="171" spans="1:21" x14ac:dyDescent="0.35">
      <c r="A171" t="s">
        <v>1190</v>
      </c>
      <c r="B171" t="s">
        <v>129</v>
      </c>
      <c r="E171" t="s">
        <v>128</v>
      </c>
      <c r="F171" t="s">
        <v>793</v>
      </c>
      <c r="G171" t="s">
        <v>2064</v>
      </c>
      <c r="H171">
        <v>-124.03100000000001</v>
      </c>
      <c r="I171">
        <v>55.118000000000002</v>
      </c>
      <c r="J171" t="s">
        <v>2651</v>
      </c>
      <c r="K171" t="s">
        <v>2649</v>
      </c>
      <c r="L171" t="s">
        <v>2599</v>
      </c>
      <c r="M171" t="s">
        <v>10</v>
      </c>
      <c r="P171" t="s">
        <v>11</v>
      </c>
      <c r="Q171" t="s">
        <v>19</v>
      </c>
      <c r="R171" t="s">
        <v>2650</v>
      </c>
      <c r="S171" t="s">
        <v>125</v>
      </c>
      <c r="T171" t="s">
        <v>130</v>
      </c>
      <c r="U171" t="s">
        <v>2927</v>
      </c>
    </row>
    <row r="172" spans="1:21" x14ac:dyDescent="0.35">
      <c r="A172" t="s">
        <v>1278</v>
      </c>
      <c r="B172" t="s">
        <v>83</v>
      </c>
      <c r="E172" t="s">
        <v>82</v>
      </c>
      <c r="F172" t="s">
        <v>82</v>
      </c>
      <c r="G172" t="s">
        <v>2121</v>
      </c>
      <c r="H172">
        <v>-121.633931</v>
      </c>
      <c r="I172">
        <v>52.544958999999999</v>
      </c>
      <c r="J172" t="s">
        <v>2747</v>
      </c>
      <c r="K172" t="s">
        <v>2746</v>
      </c>
      <c r="L172" t="s">
        <v>2599</v>
      </c>
      <c r="M172" t="s">
        <v>10</v>
      </c>
      <c r="P172" t="s">
        <v>11</v>
      </c>
      <c r="Q172" t="s">
        <v>19</v>
      </c>
      <c r="R172" t="s">
        <v>2621</v>
      </c>
      <c r="S172" t="s">
        <v>16</v>
      </c>
      <c r="T172" t="s">
        <v>84</v>
      </c>
      <c r="U172" t="s">
        <v>2927</v>
      </c>
    </row>
    <row r="173" spans="1:21" x14ac:dyDescent="0.35">
      <c r="A173" s="18" t="s">
        <v>1181</v>
      </c>
      <c r="B173" s="18" t="s">
        <v>701</v>
      </c>
      <c r="C173" s="18"/>
      <c r="D173" s="18"/>
      <c r="E173" s="18" t="s">
        <v>700</v>
      </c>
      <c r="F173" s="18" t="s">
        <v>707</v>
      </c>
      <c r="G173" s="18" t="s">
        <v>2928</v>
      </c>
      <c r="H173" s="18">
        <v>-66.431669999999997</v>
      </c>
      <c r="I173" s="18">
        <v>47.525280000000002</v>
      </c>
      <c r="J173" s="18" t="s">
        <v>2641</v>
      </c>
      <c r="K173" s="18"/>
      <c r="L173" s="18" t="s">
        <v>2629</v>
      </c>
      <c r="M173" s="18" t="s">
        <v>374</v>
      </c>
      <c r="N173" s="18" t="s">
        <v>1115</v>
      </c>
      <c r="O173" s="18" t="s">
        <v>1116</v>
      </c>
      <c r="P173" s="18" t="s">
        <v>375</v>
      </c>
      <c r="Q173" s="18"/>
      <c r="R173" s="18"/>
      <c r="S173" s="18" t="s">
        <v>1551</v>
      </c>
      <c r="T173" s="18" t="s">
        <v>699</v>
      </c>
      <c r="U173" s="18" t="s">
        <v>2926</v>
      </c>
    </row>
    <row r="174" spans="1:21" x14ac:dyDescent="0.35">
      <c r="A174" t="s">
        <v>1321</v>
      </c>
      <c r="B174" t="s">
        <v>78</v>
      </c>
      <c r="E174" t="s">
        <v>39</v>
      </c>
      <c r="F174" t="s">
        <v>39</v>
      </c>
      <c r="G174" t="s">
        <v>2151</v>
      </c>
      <c r="H174">
        <v>-90.363600000000005</v>
      </c>
      <c r="I174">
        <v>52.612699999999997</v>
      </c>
      <c r="J174" t="s">
        <v>2794</v>
      </c>
      <c r="K174" t="s">
        <v>2793</v>
      </c>
      <c r="L174" t="s">
        <v>2575</v>
      </c>
      <c r="M174" t="s">
        <v>10</v>
      </c>
      <c r="P174" t="s">
        <v>11</v>
      </c>
      <c r="Q174" t="s">
        <v>13</v>
      </c>
      <c r="R174" t="s">
        <v>2566</v>
      </c>
      <c r="S174" t="s">
        <v>16</v>
      </c>
      <c r="T174" t="s">
        <v>64</v>
      </c>
      <c r="U174" t="s">
        <v>2927</v>
      </c>
    </row>
    <row r="175" spans="1:21" x14ac:dyDescent="0.35">
      <c r="A175" t="s">
        <v>1410</v>
      </c>
      <c r="B175" t="s">
        <v>229</v>
      </c>
      <c r="E175" t="s">
        <v>228</v>
      </c>
      <c r="F175" t="s">
        <v>228</v>
      </c>
      <c r="G175" t="s">
        <v>2203</v>
      </c>
      <c r="H175">
        <v>-125.59</v>
      </c>
      <c r="I175">
        <v>49.57</v>
      </c>
      <c r="J175" t="s">
        <v>2882</v>
      </c>
      <c r="K175" t="s">
        <v>188</v>
      </c>
      <c r="L175" t="s">
        <v>2599</v>
      </c>
      <c r="M175" t="s">
        <v>10</v>
      </c>
      <c r="P175" t="s">
        <v>11</v>
      </c>
      <c r="Q175" t="s">
        <v>44</v>
      </c>
      <c r="R175" t="s">
        <v>2650</v>
      </c>
      <c r="S175" t="s">
        <v>1551</v>
      </c>
      <c r="T175" t="s">
        <v>230</v>
      </c>
      <c r="U175" t="s">
        <v>2927</v>
      </c>
    </row>
    <row r="176" spans="1:21" s="18" customFormat="1" x14ac:dyDescent="0.35">
      <c r="A176" s="18" t="s">
        <v>1174</v>
      </c>
      <c r="B176" s="18" t="s">
        <v>696</v>
      </c>
      <c r="E176" s="18" t="s">
        <v>695</v>
      </c>
      <c r="F176" s="18" t="s">
        <v>707</v>
      </c>
      <c r="G176" s="18" t="s">
        <v>2928</v>
      </c>
      <c r="H176" s="18">
        <v>-66.097710000000006</v>
      </c>
      <c r="I176" s="18">
        <v>47.889389999999999</v>
      </c>
      <c r="J176" s="18" t="s">
        <v>2630</v>
      </c>
      <c r="L176" s="18" t="s">
        <v>2629</v>
      </c>
      <c r="M176" s="18" t="s">
        <v>374</v>
      </c>
      <c r="N176" s="18" t="s">
        <v>1115</v>
      </c>
      <c r="O176" s="18" t="s">
        <v>1116</v>
      </c>
      <c r="P176" s="18" t="s">
        <v>375</v>
      </c>
      <c r="S176" s="18" t="s">
        <v>1551</v>
      </c>
      <c r="T176" s="18" t="s">
        <v>693</v>
      </c>
      <c r="U176" s="18" t="s">
        <v>2926</v>
      </c>
    </row>
    <row r="177" spans="1:21" s="18" customFormat="1" x14ac:dyDescent="0.35">
      <c r="A177" s="18" t="s">
        <v>1164</v>
      </c>
      <c r="B177" s="18" t="s">
        <v>643</v>
      </c>
      <c r="E177" s="18" t="s">
        <v>516</v>
      </c>
      <c r="F177" s="18" t="s">
        <v>741</v>
      </c>
      <c r="G177" s="18" t="s">
        <v>2052</v>
      </c>
      <c r="H177" s="18">
        <v>-112.59972</v>
      </c>
      <c r="I177" s="18">
        <v>62.11806</v>
      </c>
      <c r="J177" s="18" t="s">
        <v>2616</v>
      </c>
      <c r="L177" s="18" t="s">
        <v>2615</v>
      </c>
      <c r="M177" s="18" t="s">
        <v>374</v>
      </c>
      <c r="N177" s="18" t="s">
        <v>1115</v>
      </c>
      <c r="O177" s="18" t="s">
        <v>1116</v>
      </c>
      <c r="P177" s="18" t="s">
        <v>375</v>
      </c>
      <c r="S177" s="18" t="s">
        <v>627</v>
      </c>
      <c r="T177" s="18" t="s">
        <v>644</v>
      </c>
      <c r="U177" s="18" t="s">
        <v>2926</v>
      </c>
    </row>
    <row r="178" spans="1:21" s="18" customFormat="1" x14ac:dyDescent="0.35">
      <c r="A178" s="18" t="s">
        <v>1433</v>
      </c>
      <c r="B178" s="18" t="s">
        <v>631</v>
      </c>
      <c r="E178" s="18" t="s">
        <v>630</v>
      </c>
      <c r="F178" s="18" t="s">
        <v>911</v>
      </c>
      <c r="G178" s="18" t="s">
        <v>2216</v>
      </c>
      <c r="H178" s="18">
        <v>-112.59972</v>
      </c>
      <c r="I178" s="18">
        <v>62.11806</v>
      </c>
      <c r="J178" s="18" t="s">
        <v>2616</v>
      </c>
      <c r="L178" s="18" t="s">
        <v>2615</v>
      </c>
      <c r="M178" s="18" t="s">
        <v>374</v>
      </c>
      <c r="N178" s="18" t="s">
        <v>1115</v>
      </c>
      <c r="O178" s="18" t="s">
        <v>1116</v>
      </c>
      <c r="P178" s="18" t="s">
        <v>375</v>
      </c>
      <c r="S178" s="18" t="s">
        <v>627</v>
      </c>
      <c r="T178" s="18" t="s">
        <v>627</v>
      </c>
      <c r="U178" s="18" t="s">
        <v>2926</v>
      </c>
    </row>
    <row r="179" spans="1:21" s="18" customFormat="1" x14ac:dyDescent="0.35">
      <c r="A179" s="18" t="s">
        <v>1312</v>
      </c>
      <c r="B179" s="18" t="s">
        <v>528</v>
      </c>
      <c r="E179" s="18" t="s">
        <v>520</v>
      </c>
      <c r="F179" s="18" t="s">
        <v>876</v>
      </c>
      <c r="G179" s="18" t="s">
        <v>2148</v>
      </c>
      <c r="H179" s="18">
        <v>-72.433334000000002</v>
      </c>
      <c r="I179" s="18">
        <v>46.333331999999999</v>
      </c>
      <c r="J179" s="18" t="s">
        <v>2672</v>
      </c>
      <c r="L179" s="18" t="s">
        <v>2563</v>
      </c>
      <c r="M179" s="18" t="s">
        <v>374</v>
      </c>
      <c r="N179" s="18" t="s">
        <v>1115</v>
      </c>
      <c r="O179" s="18" t="s">
        <v>1117</v>
      </c>
      <c r="P179" s="18" t="s">
        <v>375</v>
      </c>
      <c r="S179" s="18" t="s">
        <v>529</v>
      </c>
      <c r="T179" s="18" t="s">
        <v>529</v>
      </c>
      <c r="U179" s="18" t="s">
        <v>2926</v>
      </c>
    </row>
    <row r="180" spans="1:21" s="18" customFormat="1" x14ac:dyDescent="0.35">
      <c r="A180" t="s">
        <v>1315</v>
      </c>
      <c r="B180" t="s">
        <v>85</v>
      </c>
      <c r="C180"/>
      <c r="D180"/>
      <c r="E180" t="s">
        <v>75</v>
      </c>
      <c r="F180" t="s">
        <v>755</v>
      </c>
      <c r="G180" t="s">
        <v>2150</v>
      </c>
      <c r="H180">
        <v>-120.514</v>
      </c>
      <c r="I180">
        <v>50.661000000000001</v>
      </c>
      <c r="J180" t="s">
        <v>2782</v>
      </c>
      <c r="K180" t="s">
        <v>2781</v>
      </c>
      <c r="L180" t="s">
        <v>2599</v>
      </c>
      <c r="M180" t="s">
        <v>10</v>
      </c>
      <c r="N180"/>
      <c r="O180"/>
      <c r="P180" t="s">
        <v>11</v>
      </c>
      <c r="Q180" t="s">
        <v>13</v>
      </c>
      <c r="R180" t="s">
        <v>2650</v>
      </c>
      <c r="S180" t="s">
        <v>16</v>
      </c>
      <c r="T180" t="s">
        <v>84</v>
      </c>
      <c r="U180" t="s">
        <v>2927</v>
      </c>
    </row>
    <row r="181" spans="1:21" s="18" customFormat="1" x14ac:dyDescent="0.35">
      <c r="A181" t="s">
        <v>1268</v>
      </c>
      <c r="B181" t="s">
        <v>80</v>
      </c>
      <c r="C181" t="s">
        <v>1782</v>
      </c>
      <c r="D181" t="s">
        <v>1854</v>
      </c>
      <c r="E181" t="s">
        <v>79</v>
      </c>
      <c r="F181" t="s">
        <v>717</v>
      </c>
      <c r="G181" t="s">
        <v>1853</v>
      </c>
      <c r="H181">
        <v>-100.024002</v>
      </c>
      <c r="I181">
        <v>54.886349000000003</v>
      </c>
      <c r="J181" t="s">
        <v>2735</v>
      </c>
      <c r="K181" t="s">
        <v>1782</v>
      </c>
      <c r="L181" t="s">
        <v>2586</v>
      </c>
      <c r="M181" t="s">
        <v>10</v>
      </c>
      <c r="N181"/>
      <c r="O181"/>
      <c r="P181" t="s">
        <v>11</v>
      </c>
      <c r="Q181" t="s">
        <v>21</v>
      </c>
      <c r="R181" t="s">
        <v>2650</v>
      </c>
      <c r="S181" t="s">
        <v>16</v>
      </c>
      <c r="T181" t="s">
        <v>81</v>
      </c>
      <c r="U181" t="s">
        <v>2927</v>
      </c>
    </row>
    <row r="182" spans="1:21" s="18" customFormat="1" x14ac:dyDescent="0.35">
      <c r="A182" t="s">
        <v>1246</v>
      </c>
      <c r="B182" t="s">
        <v>184</v>
      </c>
      <c r="C182" t="s">
        <v>2105</v>
      </c>
      <c r="D182" t="s">
        <v>2106</v>
      </c>
      <c r="E182" t="s">
        <v>142</v>
      </c>
      <c r="F182" t="s">
        <v>715</v>
      </c>
      <c r="G182" t="s">
        <v>2104</v>
      </c>
      <c r="H182">
        <v>-80.796792999999994</v>
      </c>
      <c r="I182">
        <v>46.657981999999997</v>
      </c>
      <c r="J182" t="s">
        <v>2710</v>
      </c>
      <c r="K182" t="s">
        <v>140</v>
      </c>
      <c r="L182" t="s">
        <v>2575</v>
      </c>
      <c r="M182" t="s">
        <v>10</v>
      </c>
      <c r="N182"/>
      <c r="O182"/>
      <c r="P182" t="s">
        <v>11</v>
      </c>
      <c r="Q182" t="s">
        <v>44</v>
      </c>
      <c r="R182" t="s">
        <v>2621</v>
      </c>
      <c r="S182" t="s">
        <v>557</v>
      </c>
      <c r="T182" t="s">
        <v>185</v>
      </c>
      <c r="U182" t="s">
        <v>2927</v>
      </c>
    </row>
    <row r="183" spans="1:21" s="18" customFormat="1" x14ac:dyDescent="0.35">
      <c r="A183" t="s">
        <v>1246</v>
      </c>
      <c r="B183" t="s">
        <v>184</v>
      </c>
      <c r="C183" t="s">
        <v>1771</v>
      </c>
      <c r="D183" t="s">
        <v>2933</v>
      </c>
      <c r="E183" t="s">
        <v>142</v>
      </c>
      <c r="F183" t="s">
        <v>715</v>
      </c>
      <c r="G183" t="s">
        <v>2104</v>
      </c>
      <c r="H183">
        <v>-80.796792999999994</v>
      </c>
      <c r="I183">
        <v>46.657981999999997</v>
      </c>
      <c r="J183" t="s">
        <v>2710</v>
      </c>
      <c r="K183" t="s">
        <v>140</v>
      </c>
      <c r="L183" t="s">
        <v>2575</v>
      </c>
      <c r="M183" t="s">
        <v>10</v>
      </c>
      <c r="N183"/>
      <c r="O183"/>
      <c r="P183" t="s">
        <v>11</v>
      </c>
      <c r="Q183" t="s">
        <v>44</v>
      </c>
      <c r="R183" t="s">
        <v>2621</v>
      </c>
      <c r="S183" t="s">
        <v>557</v>
      </c>
      <c r="T183" t="s">
        <v>185</v>
      </c>
      <c r="U183" t="s">
        <v>2927</v>
      </c>
    </row>
    <row r="184" spans="1:21" s="18" customFormat="1" x14ac:dyDescent="0.35">
      <c r="A184" s="18" t="s">
        <v>1327</v>
      </c>
      <c r="B184" s="18" t="s">
        <v>590</v>
      </c>
      <c r="E184" s="18" t="s">
        <v>589</v>
      </c>
      <c r="F184" s="18" t="s">
        <v>879</v>
      </c>
      <c r="G184" s="18" t="s">
        <v>2154</v>
      </c>
      <c r="H184" s="18">
        <v>-139.53333000000001</v>
      </c>
      <c r="I184" s="18">
        <v>61.466670000000001</v>
      </c>
      <c r="J184" s="18" t="s">
        <v>2802</v>
      </c>
      <c r="L184" s="18" t="s">
        <v>2623</v>
      </c>
      <c r="M184" s="18" t="s">
        <v>374</v>
      </c>
      <c r="N184" s="18" t="s">
        <v>1115</v>
      </c>
      <c r="O184" s="18" t="s">
        <v>1116</v>
      </c>
      <c r="P184" s="18" t="s">
        <v>375</v>
      </c>
      <c r="S184" s="18" t="s">
        <v>557</v>
      </c>
      <c r="T184" s="18" t="s">
        <v>591</v>
      </c>
      <c r="U184" s="18" t="s">
        <v>2926</v>
      </c>
    </row>
    <row r="185" spans="1:21" s="18" customFormat="1" x14ac:dyDescent="0.35">
      <c r="A185" s="18" t="s">
        <v>1233</v>
      </c>
      <c r="B185" s="18" t="s">
        <v>385</v>
      </c>
      <c r="E185" s="18" t="s">
        <v>382</v>
      </c>
      <c r="F185" s="18" t="s">
        <v>382</v>
      </c>
      <c r="G185" s="18" t="s">
        <v>2097</v>
      </c>
      <c r="H185" s="18">
        <v>-116.74583</v>
      </c>
      <c r="I185" s="18">
        <v>63.55</v>
      </c>
      <c r="J185" s="18" t="s">
        <v>2690</v>
      </c>
      <c r="L185" s="18" t="s">
        <v>2615</v>
      </c>
      <c r="M185" s="18" t="s">
        <v>374</v>
      </c>
      <c r="N185" s="18" t="s">
        <v>1115</v>
      </c>
      <c r="O185" s="18" t="s">
        <v>1116</v>
      </c>
      <c r="P185" s="18" t="s">
        <v>375</v>
      </c>
      <c r="S185" s="18" t="s">
        <v>1769</v>
      </c>
      <c r="T185" s="18" t="s">
        <v>384</v>
      </c>
      <c r="U185" s="18" t="s">
        <v>2926</v>
      </c>
    </row>
    <row r="186" spans="1:21" s="18" customFormat="1" x14ac:dyDescent="0.35">
      <c r="A186" t="s">
        <v>1299</v>
      </c>
      <c r="B186" t="s">
        <v>176</v>
      </c>
      <c r="C186"/>
      <c r="D186"/>
      <c r="E186" t="s">
        <v>175</v>
      </c>
      <c r="F186" t="s">
        <v>868</v>
      </c>
      <c r="G186" t="s">
        <v>2138</v>
      </c>
      <c r="H186">
        <v>-71.156929000000005</v>
      </c>
      <c r="I186">
        <v>48.532147999999999</v>
      </c>
      <c r="J186" t="s">
        <v>2766</v>
      </c>
      <c r="K186" t="s">
        <v>2765</v>
      </c>
      <c r="L186" t="s">
        <v>2563</v>
      </c>
      <c r="M186" t="s">
        <v>10</v>
      </c>
      <c r="N186"/>
      <c r="O186"/>
      <c r="P186" t="s">
        <v>11</v>
      </c>
      <c r="Q186" t="s">
        <v>13</v>
      </c>
      <c r="R186" t="s">
        <v>1882</v>
      </c>
      <c r="S186" t="s">
        <v>177</v>
      </c>
      <c r="T186" t="s">
        <v>177</v>
      </c>
      <c r="U186" t="s">
        <v>2927</v>
      </c>
    </row>
    <row r="187" spans="1:21" x14ac:dyDescent="0.35">
      <c r="A187" t="s">
        <v>1298</v>
      </c>
      <c r="B187" t="s">
        <v>326</v>
      </c>
      <c r="E187" t="s">
        <v>325</v>
      </c>
      <c r="F187" t="s">
        <v>325</v>
      </c>
      <c r="G187" t="s">
        <v>2137</v>
      </c>
      <c r="H187">
        <v>-71.158168000000003</v>
      </c>
      <c r="I187">
        <v>48.531737999999997</v>
      </c>
      <c r="J187" t="s">
        <v>2764</v>
      </c>
      <c r="L187" t="s">
        <v>2563</v>
      </c>
      <c r="M187" t="s">
        <v>10</v>
      </c>
      <c r="P187" t="s">
        <v>233</v>
      </c>
      <c r="R187" t="s">
        <v>2463</v>
      </c>
      <c r="S187" t="s">
        <v>327</v>
      </c>
      <c r="T187" t="s">
        <v>327</v>
      </c>
      <c r="U187" t="s">
        <v>2927</v>
      </c>
    </row>
    <row r="188" spans="1:21" s="18" customFormat="1" x14ac:dyDescent="0.35">
      <c r="A188" t="s">
        <v>1366</v>
      </c>
      <c r="B188" t="s">
        <v>173</v>
      </c>
      <c r="C188"/>
      <c r="D188"/>
      <c r="E188" t="s">
        <v>172</v>
      </c>
      <c r="F188" t="s">
        <v>896</v>
      </c>
      <c r="G188" t="s">
        <v>2178</v>
      </c>
      <c r="H188">
        <v>-77.809340000000006</v>
      </c>
      <c r="I188">
        <v>48.411499999999997</v>
      </c>
      <c r="J188" t="s">
        <v>2836</v>
      </c>
      <c r="K188" t="s">
        <v>2835</v>
      </c>
      <c r="L188" t="s">
        <v>2563</v>
      </c>
      <c r="M188" t="s">
        <v>10</v>
      </c>
      <c r="N188"/>
      <c r="O188"/>
      <c r="P188" t="s">
        <v>11</v>
      </c>
      <c r="Q188" t="s">
        <v>17</v>
      </c>
      <c r="R188" t="s">
        <v>1882</v>
      </c>
      <c r="S188" t="s">
        <v>174</v>
      </c>
      <c r="T188" t="s">
        <v>174</v>
      </c>
      <c r="U188" t="s">
        <v>2927</v>
      </c>
    </row>
    <row r="189" spans="1:21" s="18" customFormat="1" x14ac:dyDescent="0.35">
      <c r="A189" s="18" t="s">
        <v>1331</v>
      </c>
      <c r="B189" s="18" t="s">
        <v>393</v>
      </c>
      <c r="E189" s="18" t="s">
        <v>392</v>
      </c>
      <c r="F189" s="18" t="s">
        <v>882</v>
      </c>
      <c r="G189" s="18" t="s">
        <v>2158</v>
      </c>
      <c r="H189" s="18">
        <v>-127.85639</v>
      </c>
      <c r="I189" s="18">
        <v>50.675559999999997</v>
      </c>
      <c r="J189" s="18" t="s">
        <v>2806</v>
      </c>
      <c r="L189" s="18" t="s">
        <v>2599</v>
      </c>
      <c r="M189" s="18" t="s">
        <v>374</v>
      </c>
      <c r="N189" s="18" t="s">
        <v>1115</v>
      </c>
      <c r="O189" s="18" t="s">
        <v>1116</v>
      </c>
      <c r="P189" s="18" t="s">
        <v>375</v>
      </c>
      <c r="S189" s="18" t="s">
        <v>125</v>
      </c>
      <c r="T189" s="18" t="s">
        <v>394</v>
      </c>
      <c r="U189" s="18" t="s">
        <v>2926</v>
      </c>
    </row>
    <row r="190" spans="1:21" x14ac:dyDescent="0.35">
      <c r="A190" t="s">
        <v>1223</v>
      </c>
      <c r="B190" t="s">
        <v>124</v>
      </c>
      <c r="E190" t="s">
        <v>123</v>
      </c>
      <c r="F190" t="s">
        <v>406</v>
      </c>
      <c r="G190" t="s">
        <v>2089</v>
      </c>
      <c r="H190">
        <v>-55.775300000000001</v>
      </c>
      <c r="I190">
        <v>49.844999999999999</v>
      </c>
      <c r="J190" t="s">
        <v>2681</v>
      </c>
      <c r="K190" t="s">
        <v>2680</v>
      </c>
      <c r="L190" t="s">
        <v>2625</v>
      </c>
      <c r="M190" t="s">
        <v>10</v>
      </c>
      <c r="P190" t="s">
        <v>11</v>
      </c>
      <c r="Q190" t="s">
        <v>21</v>
      </c>
      <c r="R190" t="s">
        <v>2621</v>
      </c>
      <c r="S190" t="s">
        <v>125</v>
      </c>
      <c r="T190" t="s">
        <v>125</v>
      </c>
      <c r="U190" t="s">
        <v>2927</v>
      </c>
    </row>
    <row r="191" spans="1:21" x14ac:dyDescent="0.35">
      <c r="A191" t="s">
        <v>1188</v>
      </c>
      <c r="B191" t="s">
        <v>198</v>
      </c>
      <c r="E191" t="s">
        <v>197</v>
      </c>
      <c r="F191" t="s">
        <v>753</v>
      </c>
      <c r="G191" t="s">
        <v>2062</v>
      </c>
      <c r="H191">
        <v>-74.137500000000003</v>
      </c>
      <c r="I191">
        <v>61.420856000000001</v>
      </c>
      <c r="J191" t="s">
        <v>2646</v>
      </c>
      <c r="K191" t="s">
        <v>2645</v>
      </c>
      <c r="L191" t="s">
        <v>2563</v>
      </c>
      <c r="M191" t="s">
        <v>10</v>
      </c>
      <c r="P191" t="s">
        <v>11</v>
      </c>
      <c r="Q191" t="s">
        <v>23</v>
      </c>
      <c r="R191" t="s">
        <v>2621</v>
      </c>
      <c r="S191" t="s">
        <v>557</v>
      </c>
      <c r="T191" t="s">
        <v>199</v>
      </c>
      <c r="U191" t="s">
        <v>2927</v>
      </c>
    </row>
    <row r="192" spans="1:21" x14ac:dyDescent="0.35">
      <c r="A192" s="18" t="s">
        <v>1255</v>
      </c>
      <c r="B192" s="18" t="s">
        <v>574</v>
      </c>
      <c r="C192" s="18"/>
      <c r="D192" s="18"/>
      <c r="E192" s="18" t="s">
        <v>142</v>
      </c>
      <c r="F192" s="18" t="s">
        <v>715</v>
      </c>
      <c r="G192" s="18" t="s">
        <v>2104</v>
      </c>
      <c r="H192" s="18">
        <v>-81.383877999999996</v>
      </c>
      <c r="I192" s="18">
        <v>46.632019</v>
      </c>
      <c r="J192" s="18" t="s">
        <v>2711</v>
      </c>
      <c r="K192" s="18"/>
      <c r="L192" s="18" t="s">
        <v>2575</v>
      </c>
      <c r="M192" s="18" t="s">
        <v>374</v>
      </c>
      <c r="N192" s="18" t="s">
        <v>1115</v>
      </c>
      <c r="O192" s="18" t="s">
        <v>1116</v>
      </c>
      <c r="P192" s="18" t="s">
        <v>375</v>
      </c>
      <c r="Q192" s="18"/>
      <c r="R192" s="18"/>
      <c r="S192" s="18" t="s">
        <v>557</v>
      </c>
      <c r="T192" s="18" t="s">
        <v>575</v>
      </c>
      <c r="U192" s="18" t="s">
        <v>2926</v>
      </c>
    </row>
    <row r="193" spans="1:21" x14ac:dyDescent="0.35">
      <c r="A193" s="18" t="s">
        <v>1290</v>
      </c>
      <c r="B193" s="18" t="s">
        <v>381</v>
      </c>
      <c r="C193" s="18"/>
      <c r="D193" s="18"/>
      <c r="E193" s="18" t="s">
        <v>380</v>
      </c>
      <c r="F193" s="18" t="s">
        <v>380</v>
      </c>
      <c r="G193" s="18" t="s">
        <v>2130</v>
      </c>
      <c r="H193" s="18">
        <v>-76.5</v>
      </c>
      <c r="I193" s="18">
        <v>44.233333999999999</v>
      </c>
      <c r="J193" s="18" t="s">
        <v>2756</v>
      </c>
      <c r="K193" s="18"/>
      <c r="L193" s="18" t="s">
        <v>2575</v>
      </c>
      <c r="M193" s="18" t="s">
        <v>374</v>
      </c>
      <c r="N193" s="18" t="s">
        <v>1115</v>
      </c>
      <c r="O193" s="18" t="s">
        <v>1120</v>
      </c>
      <c r="P193" s="18" t="s">
        <v>375</v>
      </c>
      <c r="Q193" s="18"/>
      <c r="R193" s="18"/>
      <c r="S193" s="18" t="s">
        <v>379</v>
      </c>
      <c r="T193" s="18" t="s">
        <v>379</v>
      </c>
      <c r="U193" s="18" t="s">
        <v>2926</v>
      </c>
    </row>
    <row r="194" spans="1:21" x14ac:dyDescent="0.35">
      <c r="A194" s="18" t="s">
        <v>1387</v>
      </c>
      <c r="B194" s="18" t="s">
        <v>399</v>
      </c>
      <c r="C194" s="18"/>
      <c r="D194" s="18"/>
      <c r="E194" s="18" t="s">
        <v>398</v>
      </c>
      <c r="F194" s="18" t="s">
        <v>904</v>
      </c>
      <c r="G194" s="18" t="s">
        <v>2195</v>
      </c>
      <c r="H194" s="18">
        <v>-127.08333</v>
      </c>
      <c r="I194" s="18">
        <v>53.633330000000001</v>
      </c>
      <c r="J194" s="18" t="s">
        <v>2862</v>
      </c>
      <c r="K194" s="18"/>
      <c r="L194" s="18" t="s">
        <v>2599</v>
      </c>
      <c r="M194" s="18" t="s">
        <v>374</v>
      </c>
      <c r="N194" s="18" t="s">
        <v>1115</v>
      </c>
      <c r="O194" s="18" t="s">
        <v>1116</v>
      </c>
      <c r="P194" s="18" t="s">
        <v>375</v>
      </c>
      <c r="Q194" s="18"/>
      <c r="R194" s="18"/>
      <c r="S194" s="18" t="s">
        <v>125</v>
      </c>
      <c r="T194" s="18" t="s">
        <v>397</v>
      </c>
      <c r="U194" s="18" t="s">
        <v>2926</v>
      </c>
    </row>
    <row r="195" spans="1:21" x14ac:dyDescent="0.35">
      <c r="A195" t="s">
        <v>1362</v>
      </c>
      <c r="B195" t="s">
        <v>329</v>
      </c>
      <c r="E195" t="s">
        <v>328</v>
      </c>
      <c r="F195" t="s">
        <v>328</v>
      </c>
      <c r="G195" t="s">
        <v>1944</v>
      </c>
      <c r="H195">
        <v>-75.699219999999997</v>
      </c>
      <c r="I195">
        <v>45.431331999999998</v>
      </c>
      <c r="J195" t="s">
        <v>2831</v>
      </c>
      <c r="L195" t="s">
        <v>2575</v>
      </c>
      <c r="M195" t="s">
        <v>10</v>
      </c>
      <c r="P195" t="s">
        <v>233</v>
      </c>
      <c r="Q195" t="s">
        <v>274</v>
      </c>
      <c r="R195" t="s">
        <v>2566</v>
      </c>
      <c r="S195" t="s">
        <v>16</v>
      </c>
      <c r="T195" t="s">
        <v>64</v>
      </c>
      <c r="U195" t="s">
        <v>2927</v>
      </c>
    </row>
    <row r="196" spans="1:21" x14ac:dyDescent="0.35">
      <c r="A196" t="s">
        <v>1303</v>
      </c>
      <c r="B196" t="s">
        <v>331</v>
      </c>
      <c r="E196" t="s">
        <v>330</v>
      </c>
      <c r="F196" t="s">
        <v>330</v>
      </c>
      <c r="G196" t="s">
        <v>2142</v>
      </c>
      <c r="H196">
        <v>-75.562391000000005</v>
      </c>
      <c r="I196">
        <v>45.298042000000002</v>
      </c>
      <c r="J196" t="s">
        <v>2770</v>
      </c>
      <c r="L196" t="s">
        <v>2575</v>
      </c>
      <c r="M196" t="s">
        <v>10</v>
      </c>
      <c r="P196" t="s">
        <v>233</v>
      </c>
      <c r="R196" t="s">
        <v>2463</v>
      </c>
      <c r="S196" t="s">
        <v>2659</v>
      </c>
      <c r="T196" t="s">
        <v>332</v>
      </c>
      <c r="U196" t="s">
        <v>2927</v>
      </c>
    </row>
    <row r="197" spans="1:21" x14ac:dyDescent="0.35">
      <c r="A197" s="18" t="s">
        <v>1236</v>
      </c>
      <c r="B197" s="18" t="s">
        <v>526</v>
      </c>
      <c r="C197" s="18"/>
      <c r="D197" s="18"/>
      <c r="E197" s="18" t="s">
        <v>525</v>
      </c>
      <c r="F197" s="18" t="s">
        <v>851</v>
      </c>
      <c r="G197" s="18" t="s">
        <v>2100</v>
      </c>
      <c r="H197" s="18">
        <v>-93.377269999999996</v>
      </c>
      <c r="I197" s="18">
        <v>52.600259999999999</v>
      </c>
      <c r="J197" s="18" t="s">
        <v>2694</v>
      </c>
      <c r="K197" s="18"/>
      <c r="L197" s="18" t="s">
        <v>2575</v>
      </c>
      <c r="M197" s="18" t="s">
        <v>374</v>
      </c>
      <c r="N197" s="18" t="s">
        <v>1115</v>
      </c>
      <c r="O197" s="18" t="s">
        <v>1116</v>
      </c>
      <c r="P197" s="18" t="s">
        <v>375</v>
      </c>
      <c r="Q197" s="18"/>
      <c r="R197" s="18"/>
      <c r="S197" s="18" t="s">
        <v>509</v>
      </c>
      <c r="T197" s="18" t="s">
        <v>527</v>
      </c>
      <c r="U197" s="18" t="s">
        <v>2926</v>
      </c>
    </row>
    <row r="198" spans="1:21" x14ac:dyDescent="0.35">
      <c r="A198" s="18" t="s">
        <v>1228</v>
      </c>
      <c r="B198" s="18" t="s">
        <v>664</v>
      </c>
      <c r="C198" s="18"/>
      <c r="D198" s="18"/>
      <c r="E198" s="18" t="s">
        <v>663</v>
      </c>
      <c r="F198" s="18" t="s">
        <v>846</v>
      </c>
      <c r="G198" s="18" t="s">
        <v>2093</v>
      </c>
      <c r="H198" s="18">
        <v>-109.364</v>
      </c>
      <c r="I198" s="18">
        <v>57.639000000000003</v>
      </c>
      <c r="J198" s="18" t="s">
        <v>2685</v>
      </c>
      <c r="K198" s="18"/>
      <c r="L198" s="18" t="s">
        <v>2612</v>
      </c>
      <c r="M198" s="18" t="s">
        <v>374</v>
      </c>
      <c r="N198" s="18" t="s">
        <v>1115</v>
      </c>
      <c r="O198" s="18" t="s">
        <v>1116</v>
      </c>
      <c r="P198" s="18" t="s">
        <v>375</v>
      </c>
      <c r="Q198" s="18"/>
      <c r="R198" s="18"/>
      <c r="S198" s="18" t="s">
        <v>210</v>
      </c>
      <c r="T198" s="18" t="s">
        <v>210</v>
      </c>
      <c r="U198" s="18" t="s">
        <v>2926</v>
      </c>
    </row>
    <row r="199" spans="1:21" x14ac:dyDescent="0.35">
      <c r="A199" s="18" t="s">
        <v>1337</v>
      </c>
      <c r="B199" s="18" t="s">
        <v>682</v>
      </c>
      <c r="C199" s="18"/>
      <c r="D199" s="18"/>
      <c r="E199" s="18" t="s">
        <v>681</v>
      </c>
      <c r="F199" s="18" t="s">
        <v>888</v>
      </c>
      <c r="G199" s="18" t="s">
        <v>2164</v>
      </c>
      <c r="H199" s="18">
        <v>-114.38652</v>
      </c>
      <c r="I199" s="18">
        <v>60.872160000000001</v>
      </c>
      <c r="J199" s="18" t="s">
        <v>2812</v>
      </c>
      <c r="K199" s="18"/>
      <c r="L199" s="18" t="s">
        <v>2615</v>
      </c>
      <c r="M199" s="18" t="s">
        <v>374</v>
      </c>
      <c r="N199" s="18" t="s">
        <v>1115</v>
      </c>
      <c r="O199" s="18" t="s">
        <v>1116</v>
      </c>
      <c r="P199" s="18" t="s">
        <v>375</v>
      </c>
      <c r="Q199" s="18"/>
      <c r="R199" s="18"/>
      <c r="S199" s="18" t="s">
        <v>1551</v>
      </c>
      <c r="T199" s="18" t="s">
        <v>683</v>
      </c>
      <c r="U199" s="18" t="s">
        <v>2926</v>
      </c>
    </row>
    <row r="200" spans="1:21" x14ac:dyDescent="0.35">
      <c r="A200" t="s">
        <v>1301</v>
      </c>
      <c r="B200" t="s">
        <v>36</v>
      </c>
      <c r="E200" t="s">
        <v>35</v>
      </c>
      <c r="F200" t="s">
        <v>870</v>
      </c>
      <c r="G200" t="s">
        <v>2140</v>
      </c>
      <c r="H200">
        <v>-56.124447000000004</v>
      </c>
      <c r="I200">
        <v>49.961419999999997</v>
      </c>
      <c r="J200" t="s">
        <v>2768</v>
      </c>
      <c r="K200" t="s">
        <v>2678</v>
      </c>
      <c r="L200" t="s">
        <v>2625</v>
      </c>
      <c r="M200" t="s">
        <v>10</v>
      </c>
      <c r="P200" t="s">
        <v>11</v>
      </c>
      <c r="Q200" t="s">
        <v>19</v>
      </c>
      <c r="R200" t="s">
        <v>2566</v>
      </c>
      <c r="S200" t="s">
        <v>16</v>
      </c>
      <c r="T200" t="s">
        <v>16</v>
      </c>
      <c r="U200" t="s">
        <v>2927</v>
      </c>
    </row>
    <row r="201" spans="1:21" s="18" customFormat="1" x14ac:dyDescent="0.35">
      <c r="A201" t="s">
        <v>1318</v>
      </c>
      <c r="B201" t="s">
        <v>45</v>
      </c>
      <c r="C201"/>
      <c r="D201"/>
      <c r="E201" t="s">
        <v>39</v>
      </c>
      <c r="F201" t="s">
        <v>39</v>
      </c>
      <c r="G201" t="s">
        <v>2151</v>
      </c>
      <c r="H201">
        <v>-81.242718999999994</v>
      </c>
      <c r="I201">
        <v>48.463510999999997</v>
      </c>
      <c r="J201" t="s">
        <v>2795</v>
      </c>
      <c r="K201" t="s">
        <v>2610</v>
      </c>
      <c r="L201" t="s">
        <v>2575</v>
      </c>
      <c r="M201" t="s">
        <v>10</v>
      </c>
      <c r="N201"/>
      <c r="O201"/>
      <c r="P201" t="s">
        <v>11</v>
      </c>
      <c r="Q201" t="s">
        <v>21</v>
      </c>
      <c r="R201" t="s">
        <v>2566</v>
      </c>
      <c r="S201" t="s">
        <v>16</v>
      </c>
      <c r="T201" t="s">
        <v>16</v>
      </c>
      <c r="U201" t="s">
        <v>2927</v>
      </c>
    </row>
    <row r="202" spans="1:21" x14ac:dyDescent="0.35">
      <c r="A202" t="s">
        <v>1426</v>
      </c>
      <c r="B202" t="s">
        <v>333</v>
      </c>
      <c r="E202" t="s">
        <v>178</v>
      </c>
      <c r="F202" t="s">
        <v>719</v>
      </c>
      <c r="G202" t="s">
        <v>2209</v>
      </c>
      <c r="H202">
        <v>-79.239999999999995</v>
      </c>
      <c r="I202">
        <v>42.883000000000003</v>
      </c>
      <c r="J202" t="s">
        <v>2895</v>
      </c>
      <c r="L202" t="s">
        <v>2575</v>
      </c>
      <c r="M202" t="s">
        <v>10</v>
      </c>
      <c r="P202" t="s">
        <v>233</v>
      </c>
      <c r="Q202" t="s">
        <v>274</v>
      </c>
      <c r="R202" t="s">
        <v>2621</v>
      </c>
      <c r="S202" t="s">
        <v>2894</v>
      </c>
      <c r="T202" t="s">
        <v>334</v>
      </c>
      <c r="U202" t="s">
        <v>2927</v>
      </c>
    </row>
    <row r="203" spans="1:21" s="18" customFormat="1" x14ac:dyDescent="0.35">
      <c r="A203" t="s">
        <v>1178</v>
      </c>
      <c r="B203" t="s">
        <v>335</v>
      </c>
      <c r="C203"/>
      <c r="D203"/>
      <c r="E203" t="s">
        <v>208</v>
      </c>
      <c r="F203" t="s">
        <v>208</v>
      </c>
      <c r="G203" t="s">
        <v>1756</v>
      </c>
      <c r="H203">
        <v>-78.294300000000007</v>
      </c>
      <c r="I203">
        <v>43.942900000000002</v>
      </c>
      <c r="J203" t="s">
        <v>2639</v>
      </c>
      <c r="K203"/>
      <c r="L203" t="s">
        <v>2575</v>
      </c>
      <c r="M203" t="s">
        <v>10</v>
      </c>
      <c r="N203"/>
      <c r="O203"/>
      <c r="P203" t="s">
        <v>233</v>
      </c>
      <c r="Q203" t="s">
        <v>337</v>
      </c>
      <c r="R203" t="s">
        <v>210</v>
      </c>
      <c r="S203" t="s">
        <v>2638</v>
      </c>
      <c r="T203" t="s">
        <v>336</v>
      </c>
      <c r="U203" t="s">
        <v>2927</v>
      </c>
    </row>
    <row r="204" spans="1:21" s="18" customFormat="1" x14ac:dyDescent="0.35">
      <c r="A204" t="s">
        <v>1157</v>
      </c>
      <c r="B204" t="s">
        <v>339</v>
      </c>
      <c r="C204" t="s">
        <v>2929</v>
      </c>
      <c r="D204" t="s">
        <v>2930</v>
      </c>
      <c r="E204" t="s">
        <v>338</v>
      </c>
      <c r="F204" t="s">
        <v>155</v>
      </c>
      <c r="G204" t="s">
        <v>2048</v>
      </c>
      <c r="H204">
        <v>-66.797531000000006</v>
      </c>
      <c r="I204">
        <v>50.032130000000002</v>
      </c>
      <c r="J204" t="s">
        <v>2608</v>
      </c>
      <c r="K204"/>
      <c r="L204" t="s">
        <v>2563</v>
      </c>
      <c r="M204" t="s">
        <v>10</v>
      </c>
      <c r="N204"/>
      <c r="O204"/>
      <c r="P204" t="s">
        <v>233</v>
      </c>
      <c r="Q204" t="s">
        <v>341</v>
      </c>
      <c r="R204" t="s">
        <v>340</v>
      </c>
      <c r="S204" t="s">
        <v>340</v>
      </c>
      <c r="T204" t="s">
        <v>340</v>
      </c>
      <c r="U204" t="s">
        <v>2927</v>
      </c>
    </row>
    <row r="205" spans="1:21" s="18" customFormat="1" x14ac:dyDescent="0.35">
      <c r="A205" s="18" t="s">
        <v>1333</v>
      </c>
      <c r="B205" s="18" t="s">
        <v>698</v>
      </c>
      <c r="E205" s="18" t="s">
        <v>697</v>
      </c>
      <c r="F205" s="18" t="s">
        <v>884</v>
      </c>
      <c r="G205" s="18" t="s">
        <v>2160</v>
      </c>
      <c r="H205" s="18">
        <v>-124.79938</v>
      </c>
      <c r="I205" s="18">
        <v>61.557130000000001</v>
      </c>
      <c r="J205" s="18" t="s">
        <v>2808</v>
      </c>
      <c r="L205" s="18" t="s">
        <v>2615</v>
      </c>
      <c r="M205" s="18" t="s">
        <v>374</v>
      </c>
      <c r="N205" s="18" t="s">
        <v>1115</v>
      </c>
      <c r="O205" s="18" t="s">
        <v>1116</v>
      </c>
      <c r="P205" s="18" t="s">
        <v>375</v>
      </c>
      <c r="S205" s="18" t="s">
        <v>1551</v>
      </c>
      <c r="T205" s="18" t="s">
        <v>693</v>
      </c>
      <c r="U205" s="18" t="s">
        <v>2926</v>
      </c>
    </row>
    <row r="206" spans="1:21" s="18" customFormat="1" x14ac:dyDescent="0.35">
      <c r="A206" s="18" t="s">
        <v>1160</v>
      </c>
      <c r="B206" s="18" t="s">
        <v>504</v>
      </c>
      <c r="E206" s="18" t="s">
        <v>503</v>
      </c>
      <c r="F206" s="18" t="s">
        <v>707</v>
      </c>
      <c r="G206" s="18" t="s">
        <v>2928</v>
      </c>
      <c r="H206" s="18">
        <v>-103.63518000000001</v>
      </c>
      <c r="I206" s="18">
        <v>49.213630000000002</v>
      </c>
      <c r="J206" s="18" t="s">
        <v>2613</v>
      </c>
      <c r="L206" s="18" t="s">
        <v>2612</v>
      </c>
      <c r="M206" s="18" t="s">
        <v>374</v>
      </c>
      <c r="N206" s="18" t="s">
        <v>1115</v>
      </c>
      <c r="O206" s="18" t="s">
        <v>1118</v>
      </c>
      <c r="P206" s="18" t="s">
        <v>375</v>
      </c>
      <c r="S206" s="18" t="s">
        <v>498</v>
      </c>
      <c r="T206" s="18" t="s">
        <v>498</v>
      </c>
      <c r="U206" s="18" t="s">
        <v>2926</v>
      </c>
    </row>
    <row r="207" spans="1:21" x14ac:dyDescent="0.35">
      <c r="A207" s="18" t="s">
        <v>1265</v>
      </c>
      <c r="B207" s="18" t="s">
        <v>463</v>
      </c>
      <c r="C207" s="18"/>
      <c r="D207" s="18"/>
      <c r="E207" s="18" t="s">
        <v>8</v>
      </c>
      <c r="F207" s="18" t="s">
        <v>8</v>
      </c>
      <c r="G207" s="18" t="s">
        <v>1902</v>
      </c>
      <c r="H207" s="18">
        <v>-134.41278</v>
      </c>
      <c r="I207" s="18">
        <v>64.196669999999997</v>
      </c>
      <c r="J207" s="18" t="s">
        <v>2729</v>
      </c>
      <c r="K207" s="18"/>
      <c r="L207" s="18" t="s">
        <v>2623</v>
      </c>
      <c r="M207" s="18" t="s">
        <v>374</v>
      </c>
      <c r="N207" s="18" t="s">
        <v>1115</v>
      </c>
      <c r="O207" s="18" t="s">
        <v>1116</v>
      </c>
      <c r="P207" s="18" t="s">
        <v>375</v>
      </c>
      <c r="Q207" s="18"/>
      <c r="R207" s="18"/>
      <c r="S207" s="18" t="s">
        <v>16</v>
      </c>
      <c r="T207" s="18" t="s">
        <v>462</v>
      </c>
      <c r="U207" s="18" t="s">
        <v>2926</v>
      </c>
    </row>
    <row r="208" spans="1:21" s="18" customFormat="1" x14ac:dyDescent="0.35">
      <c r="A208" t="s">
        <v>1245</v>
      </c>
      <c r="B208" t="s">
        <v>200</v>
      </c>
      <c r="C208" t="s">
        <v>1771</v>
      </c>
      <c r="D208" t="s">
        <v>2933</v>
      </c>
      <c r="E208" t="s">
        <v>142</v>
      </c>
      <c r="F208" t="s">
        <v>715</v>
      </c>
      <c r="G208" t="s">
        <v>2104</v>
      </c>
      <c r="H208">
        <v>-73.674668999999994</v>
      </c>
      <c r="I208">
        <v>61.687170999999999</v>
      </c>
      <c r="J208" t="s">
        <v>2713</v>
      </c>
      <c r="K208" t="s">
        <v>2712</v>
      </c>
      <c r="L208" t="s">
        <v>2563</v>
      </c>
      <c r="M208" t="s">
        <v>10</v>
      </c>
      <c r="N208"/>
      <c r="O208"/>
      <c r="P208" t="s">
        <v>11</v>
      </c>
      <c r="Q208" t="s">
        <v>13</v>
      </c>
      <c r="R208" t="s">
        <v>2621</v>
      </c>
      <c r="S208" t="s">
        <v>557</v>
      </c>
      <c r="T208" t="s">
        <v>201</v>
      </c>
      <c r="U208" t="s">
        <v>2927</v>
      </c>
    </row>
    <row r="209" spans="1:21" s="18" customFormat="1" x14ac:dyDescent="0.35">
      <c r="A209" s="18" t="s">
        <v>1271</v>
      </c>
      <c r="B209" s="18" t="s">
        <v>411</v>
      </c>
      <c r="E209" s="18" t="s">
        <v>79</v>
      </c>
      <c r="F209" s="18" t="s">
        <v>717</v>
      </c>
      <c r="G209" s="18" t="s">
        <v>1853</v>
      </c>
      <c r="H209" s="18">
        <v>-100.5916</v>
      </c>
      <c r="I209" s="18">
        <v>54.746299999999998</v>
      </c>
      <c r="J209" s="18" t="s">
        <v>2736</v>
      </c>
      <c r="L209" s="18" t="s">
        <v>2586</v>
      </c>
      <c r="M209" s="18" t="s">
        <v>374</v>
      </c>
      <c r="N209" s="18" t="s">
        <v>1115</v>
      </c>
      <c r="O209" s="18" t="s">
        <v>1116</v>
      </c>
      <c r="P209" s="18" t="s">
        <v>375</v>
      </c>
      <c r="S209" s="18" t="s">
        <v>125</v>
      </c>
      <c r="T209" s="18" t="s">
        <v>412</v>
      </c>
      <c r="U209" s="18" t="s">
        <v>2926</v>
      </c>
    </row>
    <row r="210" spans="1:21" s="18" customFormat="1" x14ac:dyDescent="0.35">
      <c r="A210" s="18" t="s">
        <v>1434</v>
      </c>
      <c r="B210" s="18" t="s">
        <v>506</v>
      </c>
      <c r="E210" s="18" t="s">
        <v>505</v>
      </c>
      <c r="F210" s="18" t="s">
        <v>505</v>
      </c>
      <c r="G210" s="18" t="s">
        <v>2217</v>
      </c>
      <c r="H210" s="18">
        <v>-119.30174</v>
      </c>
      <c r="I210" s="18">
        <v>58.506639999999997</v>
      </c>
      <c r="J210" s="18" t="s">
        <v>2905</v>
      </c>
      <c r="L210" s="18" t="s">
        <v>2601</v>
      </c>
      <c r="M210" s="18" t="s">
        <v>374</v>
      </c>
      <c r="N210" s="18" t="s">
        <v>1115</v>
      </c>
      <c r="O210" s="18" t="s">
        <v>1118</v>
      </c>
      <c r="P210" s="18" t="s">
        <v>375</v>
      </c>
      <c r="S210" s="18" t="s">
        <v>498</v>
      </c>
      <c r="T210" s="18" t="s">
        <v>498</v>
      </c>
      <c r="U210" s="18" t="s">
        <v>2926</v>
      </c>
    </row>
    <row r="211" spans="1:21" x14ac:dyDescent="0.35">
      <c r="A211" t="s">
        <v>1314</v>
      </c>
      <c r="B211" t="s">
        <v>76</v>
      </c>
      <c r="E211" t="s">
        <v>75</v>
      </c>
      <c r="F211" t="s">
        <v>755</v>
      </c>
      <c r="G211" t="s">
        <v>2150</v>
      </c>
      <c r="H211">
        <v>-94.012</v>
      </c>
      <c r="I211">
        <v>48.832999999999998</v>
      </c>
      <c r="J211" t="s">
        <v>2784</v>
      </c>
      <c r="K211" t="s">
        <v>2783</v>
      </c>
      <c r="L211" t="s">
        <v>2575</v>
      </c>
      <c r="M211" t="s">
        <v>10</v>
      </c>
      <c r="P211" t="s">
        <v>11</v>
      </c>
      <c r="Q211" t="s">
        <v>23</v>
      </c>
      <c r="R211" t="s">
        <v>2566</v>
      </c>
      <c r="S211" t="s">
        <v>16</v>
      </c>
      <c r="T211" t="s">
        <v>64</v>
      </c>
      <c r="U211" t="s">
        <v>2927</v>
      </c>
    </row>
    <row r="212" spans="1:21" s="18" customFormat="1" x14ac:dyDescent="0.35">
      <c r="A212" s="18" t="s">
        <v>1416</v>
      </c>
      <c r="B212" s="18" t="s">
        <v>635</v>
      </c>
      <c r="E212" s="18" t="s">
        <v>634</v>
      </c>
      <c r="F212" s="18" t="s">
        <v>634</v>
      </c>
      <c r="G212" s="18" t="s">
        <v>2206</v>
      </c>
      <c r="H212" s="18">
        <v>-76.5</v>
      </c>
      <c r="I212" s="18">
        <v>44.233333999999999</v>
      </c>
      <c r="J212" s="18" t="s">
        <v>2756</v>
      </c>
      <c r="L212" s="18" t="s">
        <v>2575</v>
      </c>
      <c r="M212" s="18" t="s">
        <v>374</v>
      </c>
      <c r="N212" s="18" t="s">
        <v>1115</v>
      </c>
      <c r="O212" s="18" t="s">
        <v>1121</v>
      </c>
      <c r="P212" s="18" t="s">
        <v>375</v>
      </c>
      <c r="S212" s="18" t="s">
        <v>627</v>
      </c>
      <c r="T212" s="18" t="s">
        <v>627</v>
      </c>
      <c r="U212" s="18" t="s">
        <v>2926</v>
      </c>
    </row>
    <row r="213" spans="1:21" s="18" customFormat="1" x14ac:dyDescent="0.35">
      <c r="A213" s="18" t="s">
        <v>1364</v>
      </c>
      <c r="B213" s="18" t="s">
        <v>633</v>
      </c>
      <c r="E213" s="18" t="s">
        <v>632</v>
      </c>
      <c r="F213" s="18" t="s">
        <v>632</v>
      </c>
      <c r="G213" s="18" t="s">
        <v>2176</v>
      </c>
      <c r="H213" s="18">
        <v>-106.62737</v>
      </c>
      <c r="I213" s="18">
        <v>52.140032699999999</v>
      </c>
      <c r="J213" s="18" t="s">
        <v>2832</v>
      </c>
      <c r="L213" s="18" t="s">
        <v>2612</v>
      </c>
      <c r="M213" s="18" t="s">
        <v>374</v>
      </c>
      <c r="N213" s="18" t="s">
        <v>1115</v>
      </c>
      <c r="O213" s="18" t="s">
        <v>1117</v>
      </c>
      <c r="P213" s="18" t="s">
        <v>375</v>
      </c>
      <c r="S213" s="18" t="s">
        <v>627</v>
      </c>
      <c r="T213" s="18" t="s">
        <v>627</v>
      </c>
      <c r="U213" s="18" t="s">
        <v>2926</v>
      </c>
    </row>
    <row r="214" spans="1:21" s="18" customFormat="1" x14ac:dyDescent="0.35">
      <c r="A214" s="18" t="s">
        <v>1440</v>
      </c>
      <c r="B214" s="18" t="s">
        <v>540</v>
      </c>
      <c r="E214" s="18" t="s">
        <v>539</v>
      </c>
      <c r="F214" s="18" t="s">
        <v>913</v>
      </c>
      <c r="G214" s="18" t="s">
        <v>2222</v>
      </c>
      <c r="H214" s="18">
        <v>-117.884</v>
      </c>
      <c r="I214" s="18">
        <v>49.082000000000001</v>
      </c>
      <c r="J214" s="18" t="s">
        <v>2912</v>
      </c>
      <c r="L214" s="18" t="s">
        <v>2599</v>
      </c>
      <c r="M214" s="18" t="s">
        <v>374</v>
      </c>
      <c r="N214" s="18" t="s">
        <v>1115</v>
      </c>
      <c r="O214" s="18" t="s">
        <v>1116</v>
      </c>
      <c r="P214" s="18" t="s">
        <v>375</v>
      </c>
      <c r="S214" s="18" t="s">
        <v>536</v>
      </c>
      <c r="T214" s="18" t="s">
        <v>536</v>
      </c>
      <c r="U214" s="18" t="s">
        <v>2926</v>
      </c>
    </row>
    <row r="215" spans="1:21" x14ac:dyDescent="0.35">
      <c r="A215" t="s">
        <v>1322</v>
      </c>
      <c r="B215" t="s">
        <v>86</v>
      </c>
      <c r="E215" t="s">
        <v>39</v>
      </c>
      <c r="F215" t="s">
        <v>39</v>
      </c>
      <c r="G215" t="s">
        <v>2151</v>
      </c>
      <c r="H215">
        <v>-129.78333000000001</v>
      </c>
      <c r="I215">
        <v>57.7</v>
      </c>
      <c r="J215" t="s">
        <v>2797</v>
      </c>
      <c r="K215" t="s">
        <v>2796</v>
      </c>
      <c r="L215" t="s">
        <v>2599</v>
      </c>
      <c r="M215" t="s">
        <v>10</v>
      </c>
      <c r="P215" t="s">
        <v>11</v>
      </c>
      <c r="Q215" t="s">
        <v>19</v>
      </c>
      <c r="R215" t="s">
        <v>2621</v>
      </c>
      <c r="S215" t="s">
        <v>16</v>
      </c>
      <c r="T215" t="s">
        <v>84</v>
      </c>
      <c r="U215" t="s">
        <v>2927</v>
      </c>
    </row>
    <row r="216" spans="1:21" x14ac:dyDescent="0.35">
      <c r="A216" t="s">
        <v>1215</v>
      </c>
      <c r="B216" t="s">
        <v>71</v>
      </c>
      <c r="E216" t="s">
        <v>70</v>
      </c>
      <c r="F216" t="s">
        <v>798</v>
      </c>
      <c r="G216" t="s">
        <v>2085</v>
      </c>
      <c r="H216">
        <v>-93.732922000000002</v>
      </c>
      <c r="I216">
        <v>51.050556999999998</v>
      </c>
      <c r="J216" t="s">
        <v>2674</v>
      </c>
      <c r="K216" t="s">
        <v>2673</v>
      </c>
      <c r="L216" t="s">
        <v>2575</v>
      </c>
      <c r="M216" t="s">
        <v>10</v>
      </c>
      <c r="P216" t="s">
        <v>11</v>
      </c>
      <c r="Q216" t="s">
        <v>13</v>
      </c>
      <c r="R216" t="s">
        <v>2566</v>
      </c>
      <c r="S216" t="s">
        <v>16</v>
      </c>
      <c r="T216" t="s">
        <v>64</v>
      </c>
      <c r="U216" t="s">
        <v>2927</v>
      </c>
    </row>
    <row r="217" spans="1:21" x14ac:dyDescent="0.35">
      <c r="A217" s="18" t="s">
        <v>1239</v>
      </c>
      <c r="B217" s="18" t="s">
        <v>637</v>
      </c>
      <c r="C217" s="18"/>
      <c r="D217" s="18"/>
      <c r="E217" s="18" t="s">
        <v>636</v>
      </c>
      <c r="F217" s="18" t="s">
        <v>853</v>
      </c>
      <c r="G217" s="18" t="s">
        <v>2102</v>
      </c>
      <c r="H217" s="18">
        <v>-73.340812</v>
      </c>
      <c r="I217" s="18">
        <v>45.525976</v>
      </c>
      <c r="J217" s="18" t="s">
        <v>2696</v>
      </c>
      <c r="K217" s="18"/>
      <c r="L217" s="18" t="s">
        <v>2563</v>
      </c>
      <c r="M217" s="18" t="s">
        <v>374</v>
      </c>
      <c r="N217" s="18" t="s">
        <v>1115</v>
      </c>
      <c r="O217" s="18" t="s">
        <v>1118</v>
      </c>
      <c r="P217" s="18" t="s">
        <v>375</v>
      </c>
      <c r="Q217" s="18"/>
      <c r="R217" s="18"/>
      <c r="S217" s="18" t="s">
        <v>627</v>
      </c>
      <c r="T217" s="18" t="s">
        <v>627</v>
      </c>
      <c r="U217" s="18" t="s">
        <v>2926</v>
      </c>
    </row>
    <row r="218" spans="1:21" s="18" customFormat="1" x14ac:dyDescent="0.35">
      <c r="A218" t="s">
        <v>1382</v>
      </c>
      <c r="B218" t="s">
        <v>154</v>
      </c>
      <c r="C218"/>
      <c r="D218"/>
      <c r="E218" t="s">
        <v>153</v>
      </c>
      <c r="F218" t="s">
        <v>153</v>
      </c>
      <c r="G218" t="s">
        <v>2192</v>
      </c>
      <c r="H218">
        <v>-72.190579</v>
      </c>
      <c r="I218">
        <v>52.813912999999999</v>
      </c>
      <c r="J218" t="s">
        <v>2859</v>
      </c>
      <c r="K218" t="s">
        <v>2858</v>
      </c>
      <c r="L218" t="s">
        <v>2563</v>
      </c>
      <c r="M218" t="s">
        <v>10</v>
      </c>
      <c r="N218"/>
      <c r="O218"/>
      <c r="P218" t="s">
        <v>11</v>
      </c>
      <c r="Q218" t="s">
        <v>23</v>
      </c>
      <c r="R218" t="s">
        <v>147</v>
      </c>
      <c r="S218" t="s">
        <v>147</v>
      </c>
      <c r="T218" t="s">
        <v>147</v>
      </c>
      <c r="U218" t="s">
        <v>2927</v>
      </c>
    </row>
    <row r="219" spans="1:21" s="18" customFormat="1" x14ac:dyDescent="0.35">
      <c r="A219" s="18" t="s">
        <v>1361</v>
      </c>
      <c r="B219" s="18" t="s">
        <v>441</v>
      </c>
      <c r="E219" s="18" t="s">
        <v>440</v>
      </c>
      <c r="F219" s="18" t="s">
        <v>894</v>
      </c>
      <c r="G219" s="18" t="s">
        <v>2174</v>
      </c>
      <c r="H219" s="18">
        <v>-118.121</v>
      </c>
      <c r="I219" s="18">
        <v>51.286999999999999</v>
      </c>
      <c r="J219" s="18" t="s">
        <v>2830</v>
      </c>
      <c r="L219" s="18" t="s">
        <v>2599</v>
      </c>
      <c r="M219" s="18" t="s">
        <v>374</v>
      </c>
      <c r="N219" s="18" t="s">
        <v>1115</v>
      </c>
      <c r="O219" s="18" t="s">
        <v>1116</v>
      </c>
      <c r="P219" s="18" t="s">
        <v>375</v>
      </c>
      <c r="S219" s="18" t="s">
        <v>16</v>
      </c>
      <c r="T219" s="18" t="s">
        <v>442</v>
      </c>
      <c r="U219" s="18" t="s">
        <v>2926</v>
      </c>
    </row>
    <row r="220" spans="1:21" s="18" customFormat="1" x14ac:dyDescent="0.35">
      <c r="A220" t="s">
        <v>1355</v>
      </c>
      <c r="B220" t="s">
        <v>345</v>
      </c>
      <c r="C220" t="s">
        <v>2170</v>
      </c>
      <c r="D220" t="s">
        <v>2171</v>
      </c>
      <c r="E220" t="s">
        <v>151</v>
      </c>
      <c r="F220" t="s">
        <v>718</v>
      </c>
      <c r="G220" t="s">
        <v>2167</v>
      </c>
      <c r="H220">
        <v>-73.138424000000001</v>
      </c>
      <c r="I220">
        <v>46.045907</v>
      </c>
      <c r="J220" t="s">
        <v>2827</v>
      </c>
      <c r="K220"/>
      <c r="L220" t="s">
        <v>2563</v>
      </c>
      <c r="M220" t="s">
        <v>10</v>
      </c>
      <c r="N220"/>
      <c r="O220"/>
      <c r="P220" t="s">
        <v>233</v>
      </c>
      <c r="Q220" t="s">
        <v>255</v>
      </c>
      <c r="R220" t="s">
        <v>340</v>
      </c>
      <c r="S220" t="s">
        <v>244</v>
      </c>
      <c r="T220" t="s">
        <v>346</v>
      </c>
      <c r="U220" t="s">
        <v>2927</v>
      </c>
    </row>
    <row r="221" spans="1:21" x14ac:dyDescent="0.35">
      <c r="A221" s="18" t="s">
        <v>1313</v>
      </c>
      <c r="B221" s="18" t="s">
        <v>601</v>
      </c>
      <c r="C221" s="18"/>
      <c r="D221" s="18"/>
      <c r="E221" s="18" t="s">
        <v>600</v>
      </c>
      <c r="F221" s="18" t="s">
        <v>877</v>
      </c>
      <c r="G221" s="18" t="s">
        <v>2149</v>
      </c>
      <c r="H221" s="18">
        <v>-80.276060000000001</v>
      </c>
      <c r="I221" s="18">
        <v>46.705910000000003</v>
      </c>
      <c r="J221" s="18" t="s">
        <v>2780</v>
      </c>
      <c r="K221" s="18"/>
      <c r="L221" s="18" t="s">
        <v>2575</v>
      </c>
      <c r="M221" s="18" t="s">
        <v>374</v>
      </c>
      <c r="N221" s="18" t="s">
        <v>1115</v>
      </c>
      <c r="O221" s="18" t="s">
        <v>1116</v>
      </c>
      <c r="P221" s="18" t="s">
        <v>375</v>
      </c>
      <c r="Q221" s="18"/>
      <c r="R221" s="18"/>
      <c r="S221" s="18" t="s">
        <v>1773</v>
      </c>
      <c r="T221" s="18" t="s">
        <v>602</v>
      </c>
      <c r="U221" s="18" t="s">
        <v>2926</v>
      </c>
    </row>
    <row r="222" spans="1:21" x14ac:dyDescent="0.35">
      <c r="A222" s="18" t="s">
        <v>1326</v>
      </c>
      <c r="B222" s="18" t="s">
        <v>666</v>
      </c>
      <c r="C222" s="18"/>
      <c r="D222" s="18"/>
      <c r="E222" s="18" t="s">
        <v>665</v>
      </c>
      <c r="F222" s="18" t="s">
        <v>878</v>
      </c>
      <c r="G222" s="18" t="s">
        <v>2153</v>
      </c>
      <c r="H222" s="18">
        <v>-108.99250000000001</v>
      </c>
      <c r="I222" s="18">
        <v>57.591439999999999</v>
      </c>
      <c r="J222" s="18" t="s">
        <v>2801</v>
      </c>
      <c r="K222" s="18"/>
      <c r="L222" s="18" t="s">
        <v>2612</v>
      </c>
      <c r="M222" s="18" t="s">
        <v>374</v>
      </c>
      <c r="N222" s="18" t="s">
        <v>1115</v>
      </c>
      <c r="O222" s="18" t="s">
        <v>1116</v>
      </c>
      <c r="P222" s="18" t="s">
        <v>375</v>
      </c>
      <c r="Q222" s="18"/>
      <c r="R222" s="18"/>
      <c r="S222" s="18" t="s">
        <v>210</v>
      </c>
      <c r="T222" s="18" t="s">
        <v>210</v>
      </c>
      <c r="U222" s="18" t="s">
        <v>2926</v>
      </c>
    </row>
    <row r="223" spans="1:21" x14ac:dyDescent="0.35">
      <c r="A223" s="18" t="s">
        <v>1200</v>
      </c>
      <c r="B223" s="18" t="s">
        <v>523</v>
      </c>
      <c r="C223" s="18"/>
      <c r="D223" s="18"/>
      <c r="E223" s="18" t="s">
        <v>522</v>
      </c>
      <c r="F223" s="18" t="s">
        <v>522</v>
      </c>
      <c r="G223" s="18" t="s">
        <v>2073</v>
      </c>
      <c r="H223" s="18">
        <v>-76.171999999999997</v>
      </c>
      <c r="I223" s="18">
        <v>52.022485000000003</v>
      </c>
      <c r="J223" s="18" t="s">
        <v>2658</v>
      </c>
      <c r="K223" s="18"/>
      <c r="L223" s="18" t="s">
        <v>2563</v>
      </c>
      <c r="M223" s="18" t="s">
        <v>374</v>
      </c>
      <c r="N223" s="18" t="s">
        <v>1115</v>
      </c>
      <c r="O223" s="18" t="s">
        <v>1116</v>
      </c>
      <c r="P223" s="18" t="s">
        <v>375</v>
      </c>
      <c r="Q223" s="18"/>
      <c r="R223" s="18"/>
      <c r="S223" s="18" t="s">
        <v>509</v>
      </c>
      <c r="T223" s="18" t="s">
        <v>524</v>
      </c>
      <c r="U223" s="18" t="s">
        <v>2926</v>
      </c>
    </row>
    <row r="224" spans="1:21" x14ac:dyDescent="0.35">
      <c r="A224" t="s">
        <v>1377</v>
      </c>
      <c r="B224" t="s">
        <v>52</v>
      </c>
      <c r="C224" t="s">
        <v>1951</v>
      </c>
      <c r="D224" t="s">
        <v>1950</v>
      </c>
      <c r="E224" t="s">
        <v>51</v>
      </c>
      <c r="F224" t="s">
        <v>902</v>
      </c>
      <c r="G224" t="s">
        <v>2187</v>
      </c>
      <c r="H224">
        <v>-103.414571</v>
      </c>
      <c r="I224">
        <v>55.66778</v>
      </c>
      <c r="J224" t="s">
        <v>2850</v>
      </c>
      <c r="K224" t="s">
        <v>2849</v>
      </c>
      <c r="L224" t="s">
        <v>2612</v>
      </c>
      <c r="M224" t="s">
        <v>10</v>
      </c>
      <c r="P224" t="s">
        <v>11</v>
      </c>
      <c r="Q224" t="s">
        <v>44</v>
      </c>
      <c r="R224" t="s">
        <v>2566</v>
      </c>
      <c r="S224" t="s">
        <v>16</v>
      </c>
      <c r="T224" t="s">
        <v>16</v>
      </c>
      <c r="U224" t="s">
        <v>2927</v>
      </c>
    </row>
    <row r="225" spans="1:21" x14ac:dyDescent="0.35">
      <c r="A225" s="18" t="s">
        <v>1201</v>
      </c>
      <c r="B225" s="18" t="s">
        <v>671</v>
      </c>
      <c r="C225" s="18"/>
      <c r="D225" s="18"/>
      <c r="E225" s="18" t="s">
        <v>670</v>
      </c>
      <c r="F225" s="18" t="s">
        <v>670</v>
      </c>
      <c r="G225" s="18" t="s">
        <v>2074</v>
      </c>
      <c r="H225" s="18">
        <v>-111.90375</v>
      </c>
      <c r="I225" s="18">
        <v>57.687109999999997</v>
      </c>
      <c r="J225" s="18" t="s">
        <v>2660</v>
      </c>
      <c r="K225" s="18"/>
      <c r="L225" s="18" t="s">
        <v>2601</v>
      </c>
      <c r="M225" s="18" t="s">
        <v>374</v>
      </c>
      <c r="N225" s="18" t="s">
        <v>1115</v>
      </c>
      <c r="O225" s="18" t="s">
        <v>1118</v>
      </c>
      <c r="P225" s="18" t="s">
        <v>375</v>
      </c>
      <c r="Q225" s="18"/>
      <c r="R225" s="18"/>
      <c r="S225" s="18" t="s">
        <v>2659</v>
      </c>
      <c r="T225" s="18" t="s">
        <v>672</v>
      </c>
      <c r="U225" s="18" t="s">
        <v>2926</v>
      </c>
    </row>
    <row r="226" spans="1:21" x14ac:dyDescent="0.35">
      <c r="A226" s="18" t="s">
        <v>1357</v>
      </c>
      <c r="B226" s="18" t="s">
        <v>648</v>
      </c>
      <c r="C226" s="18" t="s">
        <v>2170</v>
      </c>
      <c r="D226" s="18" t="s">
        <v>2171</v>
      </c>
      <c r="E226" s="18" t="s">
        <v>151</v>
      </c>
      <c r="F226" s="18" t="s">
        <v>718</v>
      </c>
      <c r="G226" s="18" t="s">
        <v>2167</v>
      </c>
      <c r="H226" s="18">
        <v>-73.139626000000007</v>
      </c>
      <c r="I226" s="18">
        <v>46.043726999999997</v>
      </c>
      <c r="J226" s="18" t="s">
        <v>2826</v>
      </c>
      <c r="K226" s="18"/>
      <c r="L226" s="18" t="s">
        <v>2563</v>
      </c>
      <c r="M226" s="18" t="s">
        <v>374</v>
      </c>
      <c r="N226" s="18" t="s">
        <v>1115</v>
      </c>
      <c r="O226" s="18" t="s">
        <v>1118</v>
      </c>
      <c r="P226" s="18" t="s">
        <v>375</v>
      </c>
      <c r="Q226" s="18"/>
      <c r="R226" s="18"/>
      <c r="S226" s="18" t="s">
        <v>649</v>
      </c>
      <c r="T226" s="18" t="s">
        <v>649</v>
      </c>
      <c r="U226" s="18" t="s">
        <v>2926</v>
      </c>
    </row>
    <row r="227" spans="1:21" s="18" customFormat="1" x14ac:dyDescent="0.35">
      <c r="A227" s="18" t="s">
        <v>1406</v>
      </c>
      <c r="B227" s="18" t="s">
        <v>416</v>
      </c>
      <c r="E227" s="18" t="s">
        <v>101</v>
      </c>
      <c r="F227" s="18" t="s">
        <v>101</v>
      </c>
      <c r="G227" s="18" t="s">
        <v>1850</v>
      </c>
      <c r="H227" s="18">
        <v>-131</v>
      </c>
      <c r="I227" s="18">
        <v>57.366669999999999</v>
      </c>
      <c r="J227" s="18" t="s">
        <v>2879</v>
      </c>
      <c r="L227" s="18" t="s">
        <v>2599</v>
      </c>
      <c r="M227" s="18" t="s">
        <v>374</v>
      </c>
      <c r="N227" s="18" t="s">
        <v>1115</v>
      </c>
      <c r="O227" s="18" t="s">
        <v>1116</v>
      </c>
      <c r="P227" s="18" t="s">
        <v>375</v>
      </c>
      <c r="S227" s="18" t="s">
        <v>125</v>
      </c>
      <c r="T227" s="18" t="s">
        <v>417</v>
      </c>
      <c r="U227" s="18" t="s">
        <v>2926</v>
      </c>
    </row>
    <row r="228" spans="1:21" s="18" customFormat="1" x14ac:dyDescent="0.35">
      <c r="A228" t="s">
        <v>1392</v>
      </c>
      <c r="B228" t="s">
        <v>166</v>
      </c>
      <c r="C228"/>
      <c r="D228"/>
      <c r="E228" t="s">
        <v>165</v>
      </c>
      <c r="F228" t="s">
        <v>761</v>
      </c>
      <c r="G228" t="s">
        <v>2198</v>
      </c>
      <c r="H228">
        <v>-66.912572999999995</v>
      </c>
      <c r="I228">
        <v>52.907128999999998</v>
      </c>
      <c r="J228" t="s">
        <v>2866</v>
      </c>
      <c r="K228" t="s">
        <v>2865</v>
      </c>
      <c r="L228" t="s">
        <v>2625</v>
      </c>
      <c r="M228" t="s">
        <v>10</v>
      </c>
      <c r="N228"/>
      <c r="O228"/>
      <c r="P228" t="s">
        <v>11</v>
      </c>
      <c r="Q228" t="s">
        <v>19</v>
      </c>
      <c r="R228" t="s">
        <v>340</v>
      </c>
      <c r="S228" t="s">
        <v>157</v>
      </c>
      <c r="T228" t="s">
        <v>157</v>
      </c>
      <c r="U228" t="s">
        <v>2927</v>
      </c>
    </row>
    <row r="229" spans="1:21" s="18" customFormat="1" x14ac:dyDescent="0.35">
      <c r="A229" s="18" t="s">
        <v>1393</v>
      </c>
      <c r="B229" s="18" t="s">
        <v>541</v>
      </c>
      <c r="E229" s="18" t="s">
        <v>165</v>
      </c>
      <c r="F229" s="18" t="s">
        <v>761</v>
      </c>
      <c r="G229" s="18" t="s">
        <v>2198</v>
      </c>
      <c r="H229" s="18">
        <v>-66.912220000000005</v>
      </c>
      <c r="I229" s="18">
        <v>52.918059999999997</v>
      </c>
      <c r="J229" s="18" t="s">
        <v>2867</v>
      </c>
      <c r="L229" s="18" t="s">
        <v>2625</v>
      </c>
      <c r="M229" s="18" t="s">
        <v>374</v>
      </c>
      <c r="N229" s="18" t="s">
        <v>1115</v>
      </c>
      <c r="O229" s="18" t="s">
        <v>1118</v>
      </c>
      <c r="P229" s="18" t="s">
        <v>375</v>
      </c>
      <c r="S229" s="18" t="s">
        <v>542</v>
      </c>
      <c r="T229" s="18" t="s">
        <v>542</v>
      </c>
      <c r="U229" s="18" t="s">
        <v>2926</v>
      </c>
    </row>
    <row r="230" spans="1:21" s="18" customFormat="1" x14ac:dyDescent="0.35">
      <c r="A230" t="s">
        <v>1378</v>
      </c>
      <c r="B230" t="s">
        <v>53</v>
      </c>
      <c r="C230" t="s">
        <v>1951</v>
      </c>
      <c r="D230" t="s">
        <v>1950</v>
      </c>
      <c r="E230" t="s">
        <v>51</v>
      </c>
      <c r="F230" t="s">
        <v>902</v>
      </c>
      <c r="G230" t="s">
        <v>2187</v>
      </c>
      <c r="H230">
        <v>-103.622257</v>
      </c>
      <c r="I230">
        <v>55.683771999999998</v>
      </c>
      <c r="J230" t="s">
        <v>2852</v>
      </c>
      <c r="K230" t="s">
        <v>2851</v>
      </c>
      <c r="L230" t="s">
        <v>2612</v>
      </c>
      <c r="M230" t="s">
        <v>10</v>
      </c>
      <c r="N230"/>
      <c r="O230"/>
      <c r="P230" t="s">
        <v>11</v>
      </c>
      <c r="Q230" t="s">
        <v>21</v>
      </c>
      <c r="R230" t="s">
        <v>2566</v>
      </c>
      <c r="S230" t="s">
        <v>16</v>
      </c>
      <c r="T230" t="s">
        <v>16</v>
      </c>
      <c r="U230" t="s">
        <v>2927</v>
      </c>
    </row>
    <row r="231" spans="1:21" x14ac:dyDescent="0.35">
      <c r="A231" t="s">
        <v>1241</v>
      </c>
      <c r="B231" t="s">
        <v>351</v>
      </c>
      <c r="E231" t="s">
        <v>350</v>
      </c>
      <c r="F231" t="s">
        <v>714</v>
      </c>
      <c r="G231" t="s">
        <v>2103</v>
      </c>
      <c r="H231">
        <v>-96.911165999999994</v>
      </c>
      <c r="I231">
        <v>50.133771000000003</v>
      </c>
      <c r="J231" t="s">
        <v>2697</v>
      </c>
      <c r="L231" t="s">
        <v>2586</v>
      </c>
      <c r="M231" t="s">
        <v>10</v>
      </c>
      <c r="P231" t="s">
        <v>233</v>
      </c>
      <c r="U231" t="s">
        <v>2927</v>
      </c>
    </row>
    <row r="232" spans="1:21" x14ac:dyDescent="0.35">
      <c r="A232" s="18" t="s">
        <v>1370</v>
      </c>
      <c r="B232" s="18" t="s">
        <v>685</v>
      </c>
      <c r="C232" s="18"/>
      <c r="D232" s="18"/>
      <c r="E232" s="18" t="s">
        <v>684</v>
      </c>
      <c r="F232" s="18" t="s">
        <v>899</v>
      </c>
      <c r="G232" s="18" t="s">
        <v>2180</v>
      </c>
      <c r="H232" s="18">
        <v>-129.20011</v>
      </c>
      <c r="I232" s="18">
        <v>62.455419999999997</v>
      </c>
      <c r="J232" s="18" t="s">
        <v>2839</v>
      </c>
      <c r="K232" s="18"/>
      <c r="L232" s="18" t="s">
        <v>2623</v>
      </c>
      <c r="M232" s="18" t="s">
        <v>374</v>
      </c>
      <c r="N232" s="18" t="s">
        <v>1115</v>
      </c>
      <c r="O232" s="18" t="s">
        <v>1116</v>
      </c>
      <c r="P232" s="18" t="s">
        <v>375</v>
      </c>
      <c r="Q232" s="18"/>
      <c r="R232" s="18"/>
      <c r="S232" s="18" t="s">
        <v>1551</v>
      </c>
      <c r="T232" s="18" t="s">
        <v>683</v>
      </c>
      <c r="U232" s="18" t="s">
        <v>2926</v>
      </c>
    </row>
    <row r="233" spans="1:21" s="18" customFormat="1" x14ac:dyDescent="0.35">
      <c r="A233" s="18" t="s">
        <v>1163</v>
      </c>
      <c r="B233" s="18" t="s">
        <v>517</v>
      </c>
      <c r="E233" s="18" t="s">
        <v>516</v>
      </c>
      <c r="F233" s="18" t="s">
        <v>741</v>
      </c>
      <c r="G233" s="18" t="s">
        <v>2052</v>
      </c>
      <c r="H233" s="18">
        <v>-94.582579999999993</v>
      </c>
      <c r="I233" s="18">
        <v>50.265999999999998</v>
      </c>
      <c r="J233" s="18" t="s">
        <v>2617</v>
      </c>
      <c r="L233" s="18" t="s">
        <v>2575</v>
      </c>
      <c r="M233" s="18" t="s">
        <v>374</v>
      </c>
      <c r="N233" s="18" t="s">
        <v>1115</v>
      </c>
      <c r="O233" s="18" t="s">
        <v>1116</v>
      </c>
      <c r="P233" s="18" t="s">
        <v>375</v>
      </c>
      <c r="S233" s="18" t="s">
        <v>509</v>
      </c>
      <c r="T233" s="18" t="s">
        <v>509</v>
      </c>
      <c r="U233" s="18" t="s">
        <v>2926</v>
      </c>
    </row>
    <row r="234" spans="1:21" s="18" customFormat="1" x14ac:dyDescent="0.35">
      <c r="A234" s="18" t="s">
        <v>1259</v>
      </c>
      <c r="B234" s="18" t="s">
        <v>519</v>
      </c>
      <c r="E234" s="18" t="s">
        <v>518</v>
      </c>
      <c r="F234" s="18" t="s">
        <v>518</v>
      </c>
      <c r="G234" s="18" t="s">
        <v>2111</v>
      </c>
      <c r="H234" s="18">
        <v>-88.449100000000001</v>
      </c>
      <c r="I234" s="18">
        <v>50.409869999999998</v>
      </c>
      <c r="J234" s="18" t="s">
        <v>2720</v>
      </c>
      <c r="L234" s="18" t="s">
        <v>2575</v>
      </c>
      <c r="M234" s="18" t="s">
        <v>374</v>
      </c>
      <c r="N234" s="18" t="s">
        <v>1115</v>
      </c>
      <c r="O234" s="18" t="s">
        <v>1119</v>
      </c>
      <c r="P234" s="18" t="s">
        <v>375</v>
      </c>
      <c r="S234" s="18" t="s">
        <v>509</v>
      </c>
      <c r="T234" s="18" t="s">
        <v>509</v>
      </c>
      <c r="U234" s="18" t="s">
        <v>2926</v>
      </c>
    </row>
    <row r="235" spans="1:21" s="18" customFormat="1" x14ac:dyDescent="0.35">
      <c r="A235" s="18" t="s">
        <v>1296</v>
      </c>
      <c r="B235" s="18" t="s">
        <v>587</v>
      </c>
      <c r="E235" s="18" t="s">
        <v>571</v>
      </c>
      <c r="F235" s="18" t="s">
        <v>867</v>
      </c>
      <c r="G235" s="18" t="s">
        <v>2135</v>
      </c>
      <c r="H235" s="18">
        <v>-81.859440000000006</v>
      </c>
      <c r="I235" s="18">
        <v>46.33417</v>
      </c>
      <c r="J235" s="18" t="s">
        <v>2762</v>
      </c>
      <c r="L235" s="18" t="s">
        <v>2575</v>
      </c>
      <c r="M235" s="18" t="s">
        <v>374</v>
      </c>
      <c r="N235" s="18" t="s">
        <v>1115</v>
      </c>
      <c r="O235" s="18" t="s">
        <v>1116</v>
      </c>
      <c r="P235" s="18" t="s">
        <v>375</v>
      </c>
      <c r="S235" s="18" t="s">
        <v>557</v>
      </c>
      <c r="T235" s="18" t="s">
        <v>588</v>
      </c>
      <c r="U235" s="18" t="s">
        <v>2926</v>
      </c>
    </row>
    <row r="236" spans="1:21" x14ac:dyDescent="0.35">
      <c r="A236" s="18" t="s">
        <v>1432</v>
      </c>
      <c r="B236" s="18" t="s">
        <v>534</v>
      </c>
      <c r="C236" s="18"/>
      <c r="D236" s="18"/>
      <c r="E236" s="18" t="s">
        <v>533</v>
      </c>
      <c r="F236" s="18" t="s">
        <v>533</v>
      </c>
      <c r="G236" s="18" t="s">
        <v>2215</v>
      </c>
      <c r="H236" s="18">
        <v>-75.476240000000004</v>
      </c>
      <c r="I236" s="18">
        <v>50.622250000000001</v>
      </c>
      <c r="J236" s="18" t="s">
        <v>2904</v>
      </c>
      <c r="K236" s="18"/>
      <c r="L236" s="18" t="s">
        <v>2563</v>
      </c>
      <c r="M236" s="18" t="s">
        <v>374</v>
      </c>
      <c r="N236" s="18" t="s">
        <v>1115</v>
      </c>
      <c r="O236" s="18" t="s">
        <v>1116</v>
      </c>
      <c r="P236" s="18" t="s">
        <v>375</v>
      </c>
      <c r="Q236" s="18"/>
      <c r="R236" s="18"/>
      <c r="S236" s="18" t="s">
        <v>174</v>
      </c>
      <c r="T236" s="18" t="s">
        <v>535</v>
      </c>
      <c r="U236" s="18" t="s">
        <v>2926</v>
      </c>
    </row>
    <row r="237" spans="1:21" s="18" customFormat="1" x14ac:dyDescent="0.35">
      <c r="A237" s="18" t="s">
        <v>1329</v>
      </c>
      <c r="B237" s="18" t="s">
        <v>658</v>
      </c>
      <c r="E237" s="18" t="s">
        <v>657</v>
      </c>
      <c r="F237" s="18" t="s">
        <v>881</v>
      </c>
      <c r="G237" s="18" t="s">
        <v>2156</v>
      </c>
      <c r="H237" s="18">
        <v>-67.045000000000002</v>
      </c>
      <c r="I237" s="18">
        <v>46.365000000000002</v>
      </c>
      <c r="J237" s="18" t="s">
        <v>2804</v>
      </c>
      <c r="L237" s="18" t="s">
        <v>2629</v>
      </c>
      <c r="M237" s="18" t="s">
        <v>374</v>
      </c>
      <c r="N237" s="18" t="s">
        <v>1115</v>
      </c>
      <c r="O237" s="18" t="s">
        <v>1116</v>
      </c>
      <c r="P237" s="18" t="s">
        <v>375</v>
      </c>
      <c r="S237" s="18" t="s">
        <v>653</v>
      </c>
      <c r="T237" s="18" t="s">
        <v>656</v>
      </c>
      <c r="U237" s="18" t="s">
        <v>2926</v>
      </c>
    </row>
    <row r="238" spans="1:21" x14ac:dyDescent="0.35">
      <c r="A238" t="s">
        <v>1122</v>
      </c>
      <c r="B238" t="s">
        <v>63</v>
      </c>
      <c r="E238" t="s">
        <v>62</v>
      </c>
      <c r="F238" t="s">
        <v>774</v>
      </c>
      <c r="G238" t="s">
        <v>2031</v>
      </c>
      <c r="H238">
        <v>-77.974339999999998</v>
      </c>
      <c r="I238">
        <v>49.13259</v>
      </c>
      <c r="J238" t="s">
        <v>2567</v>
      </c>
      <c r="K238" t="s">
        <v>2565</v>
      </c>
      <c r="L238" t="s">
        <v>2563</v>
      </c>
      <c r="M238" t="s">
        <v>10</v>
      </c>
      <c r="P238" t="s">
        <v>11</v>
      </c>
      <c r="Q238" t="s">
        <v>21</v>
      </c>
      <c r="R238" t="s">
        <v>2566</v>
      </c>
      <c r="S238" t="s">
        <v>16</v>
      </c>
      <c r="T238" t="s">
        <v>64</v>
      </c>
      <c r="U238" t="s">
        <v>2927</v>
      </c>
    </row>
    <row r="239" spans="1:21" x14ac:dyDescent="0.35">
      <c r="A239" t="s">
        <v>1389</v>
      </c>
      <c r="B239" t="s">
        <v>355</v>
      </c>
      <c r="E239" t="s">
        <v>354</v>
      </c>
      <c r="F239" t="s">
        <v>354</v>
      </c>
      <c r="G239" t="s">
        <v>2197</v>
      </c>
      <c r="H239">
        <v>-73.124998000000005</v>
      </c>
      <c r="I239">
        <v>46.045864999999999</v>
      </c>
      <c r="J239" t="s">
        <v>2864</v>
      </c>
      <c r="L239" t="s">
        <v>2563</v>
      </c>
      <c r="M239" t="s">
        <v>10</v>
      </c>
      <c r="P239" t="s">
        <v>233</v>
      </c>
      <c r="Q239" t="s">
        <v>255</v>
      </c>
      <c r="R239" t="s">
        <v>340</v>
      </c>
      <c r="S239" t="s">
        <v>244</v>
      </c>
      <c r="T239" t="s">
        <v>244</v>
      </c>
      <c r="U239" t="s">
        <v>2927</v>
      </c>
    </row>
    <row r="240" spans="1:21" x14ac:dyDescent="0.35">
      <c r="A240" t="s">
        <v>1267</v>
      </c>
      <c r="B240" t="s">
        <v>87</v>
      </c>
      <c r="C240" t="s">
        <v>1782</v>
      </c>
      <c r="D240" t="s">
        <v>1854</v>
      </c>
      <c r="E240" t="s">
        <v>79</v>
      </c>
      <c r="F240" t="s">
        <v>717</v>
      </c>
      <c r="G240" t="s">
        <v>1853</v>
      </c>
      <c r="H240">
        <v>-99.945099999999996</v>
      </c>
      <c r="I240">
        <v>54.856920000000002</v>
      </c>
      <c r="J240" t="s">
        <v>2737</v>
      </c>
      <c r="K240" t="s">
        <v>1782</v>
      </c>
      <c r="L240" t="s">
        <v>2586</v>
      </c>
      <c r="M240" t="s">
        <v>10</v>
      </c>
      <c r="P240" t="s">
        <v>11</v>
      </c>
      <c r="Q240" t="s">
        <v>21</v>
      </c>
      <c r="R240" t="s">
        <v>2650</v>
      </c>
      <c r="S240" t="s">
        <v>16</v>
      </c>
      <c r="T240" t="s">
        <v>88</v>
      </c>
      <c r="U240" t="s">
        <v>2927</v>
      </c>
    </row>
    <row r="241" spans="1:21" s="18" customFormat="1" x14ac:dyDescent="0.35">
      <c r="A241" s="18" t="s">
        <v>1409</v>
      </c>
      <c r="B241" s="18" t="s">
        <v>641</v>
      </c>
      <c r="E241" s="18" t="s">
        <v>640</v>
      </c>
      <c r="F241" s="18" t="s">
        <v>907</v>
      </c>
      <c r="G241" s="18" t="s">
        <v>2202</v>
      </c>
      <c r="H241" s="18">
        <v>-64.2</v>
      </c>
      <c r="I241" s="18">
        <v>56.35</v>
      </c>
      <c r="J241" s="18" t="s">
        <v>2881</v>
      </c>
      <c r="L241" s="18" t="s">
        <v>2563</v>
      </c>
      <c r="M241" s="18" t="s">
        <v>374</v>
      </c>
      <c r="N241" s="18" t="s">
        <v>1115</v>
      </c>
      <c r="O241" s="18" t="s">
        <v>1116</v>
      </c>
      <c r="P241" s="18" t="s">
        <v>375</v>
      </c>
      <c r="S241" s="18" t="s">
        <v>627</v>
      </c>
      <c r="T241" s="18" t="s">
        <v>642</v>
      </c>
      <c r="U241" s="18" t="s">
        <v>2926</v>
      </c>
    </row>
    <row r="242" spans="1:21" x14ac:dyDescent="0.35">
      <c r="A242" t="s">
        <v>1248</v>
      </c>
      <c r="B242" t="s">
        <v>188</v>
      </c>
      <c r="C242" t="s">
        <v>2105</v>
      </c>
      <c r="D242" t="s">
        <v>2106</v>
      </c>
      <c r="E242" t="s">
        <v>142</v>
      </c>
      <c r="F242" t="s">
        <v>715</v>
      </c>
      <c r="G242" t="s">
        <v>2104</v>
      </c>
      <c r="H242">
        <v>-81.342699999999994</v>
      </c>
      <c r="I242">
        <v>46.673400000000001</v>
      </c>
      <c r="J242" t="s">
        <v>2714</v>
      </c>
      <c r="K242" t="s">
        <v>140</v>
      </c>
      <c r="L242" t="s">
        <v>2575</v>
      </c>
      <c r="M242" t="s">
        <v>10</v>
      </c>
      <c r="P242" t="s">
        <v>11</v>
      </c>
      <c r="Q242" t="s">
        <v>21</v>
      </c>
      <c r="R242" t="s">
        <v>2621</v>
      </c>
      <c r="S242" t="s">
        <v>557</v>
      </c>
      <c r="T242" t="s">
        <v>189</v>
      </c>
      <c r="U242" t="s">
        <v>2927</v>
      </c>
    </row>
    <row r="243" spans="1:21" s="18" customFormat="1" x14ac:dyDescent="0.35">
      <c r="A243" t="s">
        <v>1248</v>
      </c>
      <c r="B243" t="s">
        <v>188</v>
      </c>
      <c r="C243" t="s">
        <v>1771</v>
      </c>
      <c r="D243" t="s">
        <v>2933</v>
      </c>
      <c r="E243" t="s">
        <v>142</v>
      </c>
      <c r="F243" t="s">
        <v>715</v>
      </c>
      <c r="G243" t="s">
        <v>2104</v>
      </c>
      <c r="H243">
        <v>-81.342699999999994</v>
      </c>
      <c r="I243">
        <v>46.673400000000001</v>
      </c>
      <c r="J243" t="s">
        <v>2714</v>
      </c>
      <c r="K243" t="s">
        <v>140</v>
      </c>
      <c r="L243" t="s">
        <v>2575</v>
      </c>
      <c r="M243" t="s">
        <v>10</v>
      </c>
      <c r="N243"/>
      <c r="O243"/>
      <c r="P243" t="s">
        <v>11</v>
      </c>
      <c r="Q243" t="s">
        <v>21</v>
      </c>
      <c r="R243" t="s">
        <v>2621</v>
      </c>
      <c r="S243" t="s">
        <v>557</v>
      </c>
      <c r="T243" t="s">
        <v>189</v>
      </c>
      <c r="U243" t="s">
        <v>2927</v>
      </c>
    </row>
    <row r="244" spans="1:21" x14ac:dyDescent="0.35">
      <c r="A244" t="s">
        <v>1254</v>
      </c>
      <c r="B244" t="s">
        <v>140</v>
      </c>
      <c r="C244" t="s">
        <v>1771</v>
      </c>
      <c r="D244" t="s">
        <v>2933</v>
      </c>
      <c r="E244" t="s">
        <v>142</v>
      </c>
      <c r="F244" t="s">
        <v>715</v>
      </c>
      <c r="G244" t="s">
        <v>2104</v>
      </c>
      <c r="H244">
        <v>-80.799300000000002</v>
      </c>
      <c r="I244">
        <v>46.576300000000003</v>
      </c>
      <c r="J244" t="s">
        <v>2716</v>
      </c>
      <c r="L244" t="s">
        <v>2575</v>
      </c>
      <c r="M244" t="s">
        <v>10</v>
      </c>
      <c r="P244" t="s">
        <v>233</v>
      </c>
      <c r="Q244" t="s">
        <v>357</v>
      </c>
      <c r="R244" t="s">
        <v>2621</v>
      </c>
      <c r="S244" t="s">
        <v>2715</v>
      </c>
      <c r="T244" t="s">
        <v>356</v>
      </c>
      <c r="U244" t="s">
        <v>2927</v>
      </c>
    </row>
    <row r="245" spans="1:21" s="18" customFormat="1" x14ac:dyDescent="0.35">
      <c r="A245" t="s">
        <v>1372</v>
      </c>
      <c r="B245" t="s">
        <v>50</v>
      </c>
      <c r="C245"/>
      <c r="D245"/>
      <c r="E245" t="s">
        <v>49</v>
      </c>
      <c r="F245" t="s">
        <v>900</v>
      </c>
      <c r="G245" t="s">
        <v>2182</v>
      </c>
      <c r="H245">
        <v>-85.004009999999994</v>
      </c>
      <c r="I245">
        <v>48.804960000000001</v>
      </c>
      <c r="J245" t="s">
        <v>2842</v>
      </c>
      <c r="K245" t="s">
        <v>2841</v>
      </c>
      <c r="L245" t="s">
        <v>2575</v>
      </c>
      <c r="M245" t="s">
        <v>10</v>
      </c>
      <c r="N245"/>
      <c r="O245"/>
      <c r="P245" t="s">
        <v>11</v>
      </c>
      <c r="Q245" t="s">
        <v>13</v>
      </c>
      <c r="R245" t="s">
        <v>2566</v>
      </c>
      <c r="S245" t="s">
        <v>16</v>
      </c>
      <c r="T245" t="s">
        <v>16</v>
      </c>
      <c r="U245" t="s">
        <v>2927</v>
      </c>
    </row>
    <row r="246" spans="1:21" s="18" customFormat="1" x14ac:dyDescent="0.35">
      <c r="A246" s="18" t="s">
        <v>1436</v>
      </c>
      <c r="B246" s="18" t="s">
        <v>675</v>
      </c>
      <c r="E246" s="18" t="s">
        <v>674</v>
      </c>
      <c r="F246" s="18" t="s">
        <v>674</v>
      </c>
      <c r="G246" s="18" t="s">
        <v>2219</v>
      </c>
      <c r="H246" s="18">
        <v>-87.383610000000004</v>
      </c>
      <c r="I246" s="18">
        <v>48.977499999999999</v>
      </c>
      <c r="J246" s="18" t="s">
        <v>2907</v>
      </c>
      <c r="L246" s="18" t="s">
        <v>2575</v>
      </c>
      <c r="M246" s="18" t="s">
        <v>374</v>
      </c>
      <c r="N246" s="18" t="s">
        <v>1115</v>
      </c>
      <c r="O246" s="18" t="s">
        <v>1116</v>
      </c>
      <c r="P246" s="18" t="s">
        <v>375</v>
      </c>
      <c r="S246" s="18" t="s">
        <v>1551</v>
      </c>
      <c r="T246" s="18" t="s">
        <v>673</v>
      </c>
      <c r="U246" s="18" t="s">
        <v>2926</v>
      </c>
    </row>
    <row r="247" spans="1:21" s="18" customFormat="1" x14ac:dyDescent="0.35">
      <c r="A247" s="18" t="s">
        <v>1273</v>
      </c>
      <c r="B247" s="18" t="s">
        <v>465</v>
      </c>
      <c r="E247" s="18" t="s">
        <v>79</v>
      </c>
      <c r="F247" s="18" t="s">
        <v>717</v>
      </c>
      <c r="G247" s="18" t="s">
        <v>1853</v>
      </c>
      <c r="H247" s="18">
        <v>-99.634299999999996</v>
      </c>
      <c r="I247" s="18">
        <v>54.113300000000002</v>
      </c>
      <c r="J247" s="18" t="s">
        <v>2738</v>
      </c>
      <c r="L247" s="18" t="s">
        <v>2586</v>
      </c>
      <c r="M247" s="18" t="s">
        <v>374</v>
      </c>
      <c r="N247" s="18" t="s">
        <v>1115</v>
      </c>
      <c r="O247" s="18" t="s">
        <v>1116</v>
      </c>
      <c r="P247" s="18" t="s">
        <v>375</v>
      </c>
      <c r="S247" s="18" t="s">
        <v>16</v>
      </c>
      <c r="T247" s="18" t="s">
        <v>90</v>
      </c>
      <c r="U247" s="18" t="s">
        <v>2926</v>
      </c>
    </row>
    <row r="248" spans="1:21" s="18" customFormat="1" x14ac:dyDescent="0.35">
      <c r="A248" t="s">
        <v>1373</v>
      </c>
      <c r="B248" t="s">
        <v>120</v>
      </c>
      <c r="C248"/>
      <c r="D248"/>
      <c r="E248" t="s">
        <v>119</v>
      </c>
      <c r="F248" t="s">
        <v>901</v>
      </c>
      <c r="G248" t="s">
        <v>2183</v>
      </c>
      <c r="H248">
        <v>-95.450199999999995</v>
      </c>
      <c r="I248">
        <v>50.429099999999998</v>
      </c>
      <c r="J248" t="s">
        <v>2845</v>
      </c>
      <c r="K248" t="s">
        <v>2843</v>
      </c>
      <c r="L248" t="s">
        <v>2586</v>
      </c>
      <c r="M248" t="s">
        <v>10</v>
      </c>
      <c r="N248"/>
      <c r="O248"/>
      <c r="P248" t="s">
        <v>11</v>
      </c>
      <c r="Q248" t="s">
        <v>122</v>
      </c>
      <c r="R248" t="s">
        <v>2621</v>
      </c>
      <c r="S248" t="s">
        <v>2844</v>
      </c>
      <c r="T248" t="s">
        <v>121</v>
      </c>
      <c r="U248" t="s">
        <v>2927</v>
      </c>
    </row>
    <row r="249" spans="1:21" x14ac:dyDescent="0.35">
      <c r="A249" t="s">
        <v>1371</v>
      </c>
      <c r="B249" t="s">
        <v>359</v>
      </c>
      <c r="E249" t="s">
        <v>358</v>
      </c>
      <c r="F249" t="s">
        <v>764</v>
      </c>
      <c r="G249" t="s">
        <v>2181</v>
      </c>
      <c r="H249">
        <v>-113.19011</v>
      </c>
      <c r="I249">
        <v>53.719929</v>
      </c>
      <c r="J249" t="s">
        <v>2840</v>
      </c>
      <c r="L249" t="s">
        <v>2601</v>
      </c>
      <c r="M249" t="s">
        <v>10</v>
      </c>
      <c r="P249" t="s">
        <v>233</v>
      </c>
      <c r="Q249" t="s">
        <v>274</v>
      </c>
      <c r="R249" t="s">
        <v>2621</v>
      </c>
      <c r="S249" t="s">
        <v>557</v>
      </c>
      <c r="T249" t="s">
        <v>360</v>
      </c>
      <c r="U249" t="s">
        <v>2927</v>
      </c>
    </row>
    <row r="250" spans="1:21" x14ac:dyDescent="0.35">
      <c r="A250" s="18" t="s">
        <v>1182</v>
      </c>
      <c r="B250" s="18" t="s">
        <v>419</v>
      </c>
      <c r="C250" s="18"/>
      <c r="D250" s="18"/>
      <c r="E250" s="18" t="s">
        <v>418</v>
      </c>
      <c r="F250" s="18" t="s">
        <v>707</v>
      </c>
      <c r="G250" s="18" t="s">
        <v>2928</v>
      </c>
      <c r="H250" s="18">
        <v>-90.346940000000004</v>
      </c>
      <c r="I250" s="18">
        <v>51.496670000000002</v>
      </c>
      <c r="J250" s="18" t="s">
        <v>2642</v>
      </c>
      <c r="K250" s="18"/>
      <c r="L250" s="18" t="s">
        <v>2575</v>
      </c>
      <c r="M250" s="18" t="s">
        <v>374</v>
      </c>
      <c r="N250" s="18" t="s">
        <v>1115</v>
      </c>
      <c r="O250" s="18" t="s">
        <v>1116</v>
      </c>
      <c r="P250" s="18" t="s">
        <v>375</v>
      </c>
      <c r="Q250" s="18"/>
      <c r="R250" s="18"/>
      <c r="S250" s="18" t="s">
        <v>125</v>
      </c>
      <c r="T250" s="18" t="s">
        <v>420</v>
      </c>
      <c r="U250" s="18" t="s">
        <v>2926</v>
      </c>
    </row>
    <row r="251" spans="1:21" x14ac:dyDescent="0.35">
      <c r="A251" t="s">
        <v>1425</v>
      </c>
      <c r="B251" t="s">
        <v>179</v>
      </c>
      <c r="E251" t="s">
        <v>178</v>
      </c>
      <c r="F251" t="s">
        <v>719</v>
      </c>
      <c r="G251" t="s">
        <v>2209</v>
      </c>
      <c r="H251">
        <v>-97.844399999999993</v>
      </c>
      <c r="I251">
        <v>55.715200000000003</v>
      </c>
      <c r="J251" t="s">
        <v>2897</v>
      </c>
      <c r="K251" t="s">
        <v>2896</v>
      </c>
      <c r="L251" t="s">
        <v>2586</v>
      </c>
      <c r="M251" t="s">
        <v>10</v>
      </c>
      <c r="P251" t="s">
        <v>11</v>
      </c>
      <c r="Q251" t="s">
        <v>23</v>
      </c>
      <c r="R251" t="s">
        <v>2621</v>
      </c>
      <c r="S251" t="s">
        <v>557</v>
      </c>
      <c r="T251" t="s">
        <v>180</v>
      </c>
      <c r="U251" t="s">
        <v>2927</v>
      </c>
    </row>
    <row r="252" spans="1:21" x14ac:dyDescent="0.35">
      <c r="A252" s="18" t="s">
        <v>1194</v>
      </c>
      <c r="B252" s="18" t="s">
        <v>607</v>
      </c>
      <c r="C252" s="18"/>
      <c r="D252" s="18"/>
      <c r="E252" s="18" t="s">
        <v>606</v>
      </c>
      <c r="F252" s="18" t="s">
        <v>838</v>
      </c>
      <c r="G252" s="18" t="s">
        <v>2071</v>
      </c>
      <c r="H252" s="18">
        <v>-88.930999999999997</v>
      </c>
      <c r="I252" s="18">
        <v>48.79</v>
      </c>
      <c r="J252" s="18" t="s">
        <v>2655</v>
      </c>
      <c r="K252" s="18"/>
      <c r="L252" s="18" t="s">
        <v>2575</v>
      </c>
      <c r="M252" s="18" t="s">
        <v>374</v>
      </c>
      <c r="N252" s="18" t="s">
        <v>1115</v>
      </c>
      <c r="O252" s="18" t="s">
        <v>1116</v>
      </c>
      <c r="P252" s="18" t="s">
        <v>375</v>
      </c>
      <c r="Q252" s="18"/>
      <c r="R252" s="18"/>
      <c r="S252" s="18" t="s">
        <v>1772</v>
      </c>
      <c r="T252" s="18" t="s">
        <v>608</v>
      </c>
      <c r="U252" s="18" t="s">
        <v>2926</v>
      </c>
    </row>
    <row r="253" spans="1:21" x14ac:dyDescent="0.35">
      <c r="A253" t="s">
        <v>1340</v>
      </c>
      <c r="B253" t="s">
        <v>48</v>
      </c>
      <c r="C253" t="s">
        <v>1536</v>
      </c>
      <c r="D253" t="s">
        <v>1755</v>
      </c>
      <c r="E253" t="s">
        <v>46</v>
      </c>
      <c r="F253" t="s">
        <v>756</v>
      </c>
      <c r="G253" t="s">
        <v>2166</v>
      </c>
      <c r="H253">
        <v>-81.549825999999996</v>
      </c>
      <c r="I253">
        <v>48.383274999999998</v>
      </c>
      <c r="J253" t="s">
        <v>2815</v>
      </c>
      <c r="K253" t="s">
        <v>2610</v>
      </c>
      <c r="L253" t="s">
        <v>2575</v>
      </c>
      <c r="M253" t="s">
        <v>10</v>
      </c>
      <c r="P253" t="s">
        <v>11</v>
      </c>
      <c r="Q253" t="s">
        <v>44</v>
      </c>
      <c r="R253" t="s">
        <v>2566</v>
      </c>
      <c r="S253" t="s">
        <v>16</v>
      </c>
      <c r="T253" t="s">
        <v>16</v>
      </c>
      <c r="U253" t="s">
        <v>2927</v>
      </c>
    </row>
    <row r="254" spans="1:21" x14ac:dyDescent="0.35">
      <c r="A254" t="s">
        <v>1424</v>
      </c>
      <c r="B254" t="s">
        <v>186</v>
      </c>
      <c r="C254" t="s">
        <v>2210</v>
      </c>
      <c r="D254" t="s">
        <v>2211</v>
      </c>
      <c r="E254" t="s">
        <v>178</v>
      </c>
      <c r="F254" t="s">
        <v>719</v>
      </c>
      <c r="G254" t="s">
        <v>2209</v>
      </c>
      <c r="H254">
        <v>-81.454839000000007</v>
      </c>
      <c r="I254">
        <v>46.381174000000001</v>
      </c>
      <c r="J254" t="s">
        <v>2899</v>
      </c>
      <c r="K254" t="s">
        <v>2898</v>
      </c>
      <c r="L254" t="s">
        <v>2575</v>
      </c>
      <c r="M254" t="s">
        <v>10</v>
      </c>
      <c r="P254" t="s">
        <v>11</v>
      </c>
      <c r="Q254" t="s">
        <v>44</v>
      </c>
      <c r="R254" t="s">
        <v>2621</v>
      </c>
      <c r="S254" t="s">
        <v>557</v>
      </c>
      <c r="T254" t="s">
        <v>187</v>
      </c>
      <c r="U254" t="s">
        <v>2927</v>
      </c>
    </row>
    <row r="255" spans="1:21" x14ac:dyDescent="0.35">
      <c r="A255" s="18" t="s">
        <v>1274</v>
      </c>
      <c r="B255" s="18" t="s">
        <v>466</v>
      </c>
      <c r="C255" s="18"/>
      <c r="D255" s="18"/>
      <c r="E255" s="18" t="s">
        <v>79</v>
      </c>
      <c r="F255" s="18" t="s">
        <v>717</v>
      </c>
      <c r="G255" s="18" t="s">
        <v>1853</v>
      </c>
      <c r="H255" s="18">
        <v>-99.228399999999993</v>
      </c>
      <c r="I255" s="18">
        <v>53.962299999999999</v>
      </c>
      <c r="J255" s="18" t="s">
        <v>2739</v>
      </c>
      <c r="K255" s="18"/>
      <c r="L255" s="18" t="s">
        <v>2586</v>
      </c>
      <c r="M255" s="18" t="s">
        <v>374</v>
      </c>
      <c r="N255" s="18" t="s">
        <v>1115</v>
      </c>
      <c r="O255" s="18" t="s">
        <v>1116</v>
      </c>
      <c r="P255" s="18" t="s">
        <v>375</v>
      </c>
      <c r="Q255" s="18"/>
      <c r="R255" s="18"/>
      <c r="S255" s="18" t="s">
        <v>16</v>
      </c>
      <c r="T255" s="18" t="s">
        <v>90</v>
      </c>
      <c r="U255" s="18" t="s">
        <v>2926</v>
      </c>
    </row>
    <row r="256" spans="1:21" x14ac:dyDescent="0.35">
      <c r="A256" t="s">
        <v>1405</v>
      </c>
      <c r="B256" t="s">
        <v>361</v>
      </c>
      <c r="E256" t="s">
        <v>101</v>
      </c>
      <c r="F256" t="s">
        <v>101</v>
      </c>
      <c r="G256" t="s">
        <v>1850</v>
      </c>
      <c r="H256">
        <v>-117.7137</v>
      </c>
      <c r="I256">
        <v>49.099899999999998</v>
      </c>
      <c r="J256" t="s">
        <v>2880</v>
      </c>
      <c r="L256" t="s">
        <v>2599</v>
      </c>
      <c r="M256" t="s">
        <v>10</v>
      </c>
      <c r="P256" t="s">
        <v>233</v>
      </c>
      <c r="Q256" t="s">
        <v>292</v>
      </c>
      <c r="R256" t="s">
        <v>2621</v>
      </c>
      <c r="S256" t="s">
        <v>1551</v>
      </c>
      <c r="T256" t="s">
        <v>362</v>
      </c>
      <c r="U256" t="s">
        <v>2927</v>
      </c>
    </row>
    <row r="257" spans="1:21" x14ac:dyDescent="0.35">
      <c r="A257" s="18" t="s">
        <v>1415</v>
      </c>
      <c r="B257" s="18" t="s">
        <v>434</v>
      </c>
      <c r="C257" s="18"/>
      <c r="D257" s="18"/>
      <c r="E257" s="18" t="s">
        <v>433</v>
      </c>
      <c r="F257" s="18" t="s">
        <v>433</v>
      </c>
      <c r="G257" s="18" t="s">
        <v>2205</v>
      </c>
      <c r="H257" s="18">
        <v>-74.459999999999994</v>
      </c>
      <c r="I257" s="18">
        <v>51.01</v>
      </c>
      <c r="J257" s="18" t="s">
        <v>2884</v>
      </c>
      <c r="K257" s="18"/>
      <c r="L257" s="18" t="s">
        <v>2563</v>
      </c>
      <c r="M257" s="18" t="s">
        <v>374</v>
      </c>
      <c r="N257" s="18" t="s">
        <v>1115</v>
      </c>
      <c r="O257" s="18" t="s">
        <v>1116</v>
      </c>
      <c r="P257" s="18" t="s">
        <v>375</v>
      </c>
      <c r="Q257" s="18"/>
      <c r="R257" s="18"/>
      <c r="S257" s="18" t="s">
        <v>16</v>
      </c>
      <c r="T257" s="18" t="s">
        <v>84</v>
      </c>
      <c r="U257" s="18" t="s">
        <v>2926</v>
      </c>
    </row>
    <row r="258" spans="1:21" x14ac:dyDescent="0.35">
      <c r="A258" s="18" t="s">
        <v>1262</v>
      </c>
      <c r="B258" s="18" t="s">
        <v>562</v>
      </c>
      <c r="C258" s="18"/>
      <c r="D258" s="18"/>
      <c r="E258" s="18" t="s">
        <v>561</v>
      </c>
      <c r="F258" s="18" t="s">
        <v>858</v>
      </c>
      <c r="G258" s="18" t="s">
        <v>2114</v>
      </c>
      <c r="H258" s="18">
        <v>-128.86282</v>
      </c>
      <c r="I258" s="18">
        <v>58.478560000000002</v>
      </c>
      <c r="J258" s="18" t="s">
        <v>2723</v>
      </c>
      <c r="K258" s="18"/>
      <c r="L258" s="18" t="s">
        <v>2599</v>
      </c>
      <c r="M258" s="18" t="s">
        <v>374</v>
      </c>
      <c r="N258" s="18" t="s">
        <v>1115</v>
      </c>
      <c r="O258" s="18" t="s">
        <v>1116</v>
      </c>
      <c r="P258" s="18" t="s">
        <v>375</v>
      </c>
      <c r="Q258" s="18"/>
      <c r="R258" s="18"/>
      <c r="S258" s="18" t="s">
        <v>557</v>
      </c>
      <c r="T258" s="18" t="s">
        <v>563</v>
      </c>
      <c r="U258" s="18" t="s">
        <v>2926</v>
      </c>
    </row>
    <row r="259" spans="1:21" x14ac:dyDescent="0.35">
      <c r="A259" s="18" t="s">
        <v>1133</v>
      </c>
      <c r="B259" s="18" t="s">
        <v>432</v>
      </c>
      <c r="C259" s="18"/>
      <c r="D259" s="18"/>
      <c r="E259" s="18" t="s">
        <v>14</v>
      </c>
      <c r="F259" s="18" t="s">
        <v>14</v>
      </c>
      <c r="G259" s="18" t="s">
        <v>2034</v>
      </c>
      <c r="H259" s="18">
        <v>-79.760000000000005</v>
      </c>
      <c r="I259" s="18">
        <v>48.16</v>
      </c>
      <c r="J259" s="18" t="s">
        <v>2588</v>
      </c>
      <c r="K259" s="18"/>
      <c r="L259" s="18" t="s">
        <v>2575</v>
      </c>
      <c r="M259" s="18" t="s">
        <v>374</v>
      </c>
      <c r="N259" s="18" t="s">
        <v>1115</v>
      </c>
      <c r="O259" s="18" t="s">
        <v>1116</v>
      </c>
      <c r="P259" s="18" t="s">
        <v>375</v>
      </c>
      <c r="Q259" s="18"/>
      <c r="R259" s="18"/>
      <c r="S259" s="18" t="s">
        <v>16</v>
      </c>
      <c r="T259" s="18" t="s">
        <v>81</v>
      </c>
      <c r="U259" s="18" t="s">
        <v>2926</v>
      </c>
    </row>
    <row r="260" spans="1:21" x14ac:dyDescent="0.35">
      <c r="A260" t="s">
        <v>1348</v>
      </c>
      <c r="B260" t="s">
        <v>363</v>
      </c>
      <c r="C260" t="s">
        <v>2168</v>
      </c>
      <c r="D260" t="s">
        <v>2169</v>
      </c>
      <c r="E260" t="s">
        <v>246</v>
      </c>
      <c r="F260" t="s">
        <v>718</v>
      </c>
      <c r="G260" t="s">
        <v>2167</v>
      </c>
      <c r="H260">
        <v>-71.157919000000007</v>
      </c>
      <c r="I260">
        <v>48.428476000000003</v>
      </c>
      <c r="J260" t="s">
        <v>2821</v>
      </c>
      <c r="L260" t="s">
        <v>2563</v>
      </c>
      <c r="M260" t="s">
        <v>10</v>
      </c>
      <c r="P260" t="s">
        <v>233</v>
      </c>
      <c r="Q260" t="s">
        <v>274</v>
      </c>
      <c r="R260" t="s">
        <v>376</v>
      </c>
      <c r="S260" t="s">
        <v>364</v>
      </c>
      <c r="T260" t="s">
        <v>364</v>
      </c>
      <c r="U260" t="s">
        <v>2927</v>
      </c>
    </row>
    <row r="261" spans="1:21" s="18" customFormat="1" x14ac:dyDescent="0.35">
      <c r="A261" s="18" t="s">
        <v>1286</v>
      </c>
      <c r="B261" s="18" t="s">
        <v>576</v>
      </c>
      <c r="E261" s="18" t="s">
        <v>138</v>
      </c>
      <c r="F261" s="18" t="s">
        <v>725</v>
      </c>
      <c r="G261" s="18" t="s">
        <v>2124</v>
      </c>
      <c r="H261" s="18">
        <v>-81.383330000000001</v>
      </c>
      <c r="I261" s="18">
        <v>46.416670000000003</v>
      </c>
      <c r="J261" s="18" t="s">
        <v>2752</v>
      </c>
      <c r="L261" s="18" t="s">
        <v>2575</v>
      </c>
      <c r="M261" s="18" t="s">
        <v>374</v>
      </c>
      <c r="N261" s="18" t="s">
        <v>1115</v>
      </c>
      <c r="O261" s="18" t="s">
        <v>1116</v>
      </c>
      <c r="P261" s="18" t="s">
        <v>375</v>
      </c>
      <c r="S261" s="18" t="s">
        <v>557</v>
      </c>
      <c r="T261" s="18" t="s">
        <v>577</v>
      </c>
      <c r="U261" s="18" t="s">
        <v>2926</v>
      </c>
    </row>
    <row r="262" spans="1:21" x14ac:dyDescent="0.35">
      <c r="A262" t="s">
        <v>1428</v>
      </c>
      <c r="B262" t="s">
        <v>182</v>
      </c>
      <c r="E262" t="s">
        <v>181</v>
      </c>
      <c r="F262" t="s">
        <v>719</v>
      </c>
      <c r="G262" t="s">
        <v>2209</v>
      </c>
      <c r="H262">
        <v>-62.090854999999998</v>
      </c>
      <c r="I262">
        <v>56.331659000000002</v>
      </c>
      <c r="J262" t="s">
        <v>2901</v>
      </c>
      <c r="K262" t="s">
        <v>182</v>
      </c>
      <c r="L262" t="s">
        <v>2625</v>
      </c>
      <c r="M262" t="s">
        <v>10</v>
      </c>
      <c r="P262" t="s">
        <v>11</v>
      </c>
      <c r="Q262" t="s">
        <v>23</v>
      </c>
      <c r="R262" t="s">
        <v>2621</v>
      </c>
      <c r="S262" t="s">
        <v>557</v>
      </c>
      <c r="T262" t="s">
        <v>183</v>
      </c>
      <c r="U262" t="s">
        <v>2927</v>
      </c>
    </row>
    <row r="263" spans="1:21" s="18" customFormat="1" x14ac:dyDescent="0.35">
      <c r="A263" s="18" t="s">
        <v>1206</v>
      </c>
      <c r="B263" s="18" t="s">
        <v>668</v>
      </c>
      <c r="E263" s="18" t="s">
        <v>667</v>
      </c>
      <c r="F263" s="18" t="s">
        <v>842</v>
      </c>
      <c r="G263" s="18" t="s">
        <v>2077</v>
      </c>
      <c r="H263" s="18">
        <v>-104.03032</v>
      </c>
      <c r="I263" s="18">
        <v>58.347799999999999</v>
      </c>
      <c r="J263" s="18" t="s">
        <v>2665</v>
      </c>
      <c r="L263" s="18" t="s">
        <v>2612</v>
      </c>
      <c r="M263" s="18" t="s">
        <v>374</v>
      </c>
      <c r="N263" s="18" t="s">
        <v>1115</v>
      </c>
      <c r="O263" s="18" t="s">
        <v>1116</v>
      </c>
      <c r="P263" s="18" t="s">
        <v>375</v>
      </c>
      <c r="S263" s="18" t="s">
        <v>210</v>
      </c>
      <c r="T263" s="18" t="s">
        <v>210</v>
      </c>
      <c r="U263" s="18" t="s">
        <v>2926</v>
      </c>
    </row>
    <row r="264" spans="1:21" s="18" customFormat="1" x14ac:dyDescent="0.35">
      <c r="A264" t="s">
        <v>1418</v>
      </c>
      <c r="B264" t="s">
        <v>368</v>
      </c>
      <c r="C264"/>
      <c r="D264"/>
      <c r="E264" t="s">
        <v>367</v>
      </c>
      <c r="F264" t="s">
        <v>909</v>
      </c>
      <c r="G264" t="s">
        <v>2208</v>
      </c>
      <c r="H264">
        <v>-79.235065000000006</v>
      </c>
      <c r="I264">
        <v>42.998265000000004</v>
      </c>
      <c r="J264" t="s">
        <v>2886</v>
      </c>
      <c r="K264"/>
      <c r="L264" t="s">
        <v>2575</v>
      </c>
      <c r="M264" t="s">
        <v>10</v>
      </c>
      <c r="N264"/>
      <c r="O264"/>
      <c r="P264" t="s">
        <v>233</v>
      </c>
      <c r="Q264" t="s">
        <v>255</v>
      </c>
      <c r="R264" t="s">
        <v>340</v>
      </c>
      <c r="S264" t="s">
        <v>244</v>
      </c>
      <c r="T264" t="s">
        <v>244</v>
      </c>
      <c r="U264" t="s">
        <v>2927</v>
      </c>
    </row>
    <row r="265" spans="1:21" s="18" customFormat="1" x14ac:dyDescent="0.35">
      <c r="A265" t="s">
        <v>1276</v>
      </c>
      <c r="B265" t="s">
        <v>74</v>
      </c>
      <c r="C265"/>
      <c r="D265"/>
      <c r="E265" t="s">
        <v>73</v>
      </c>
      <c r="F265" t="s">
        <v>73</v>
      </c>
      <c r="G265" t="s">
        <v>2118</v>
      </c>
      <c r="H265">
        <v>-78.501999999999995</v>
      </c>
      <c r="I265">
        <v>48.256</v>
      </c>
      <c r="J265" t="s">
        <v>2742</v>
      </c>
      <c r="K265" t="s">
        <v>2741</v>
      </c>
      <c r="L265" t="s">
        <v>2563</v>
      </c>
      <c r="M265" t="s">
        <v>10</v>
      </c>
      <c r="N265"/>
      <c r="O265"/>
      <c r="P265" t="s">
        <v>11</v>
      </c>
      <c r="Q265" t="s">
        <v>13</v>
      </c>
      <c r="R265" t="s">
        <v>2566</v>
      </c>
      <c r="S265" t="s">
        <v>16</v>
      </c>
      <c r="T265" t="s">
        <v>64</v>
      </c>
      <c r="U265" t="s">
        <v>2927</v>
      </c>
    </row>
    <row r="266" spans="1:21" s="18" customFormat="1" x14ac:dyDescent="0.35">
      <c r="A266" s="18" t="s">
        <v>1311</v>
      </c>
      <c r="B266" s="18" t="s">
        <v>521</v>
      </c>
      <c r="E266" s="18" t="s">
        <v>520</v>
      </c>
      <c r="F266" s="18" t="s">
        <v>876</v>
      </c>
      <c r="G266" s="18" t="s">
        <v>2148</v>
      </c>
      <c r="H266" s="18">
        <v>-75.85333</v>
      </c>
      <c r="I266" s="18">
        <v>51.679720000000003</v>
      </c>
      <c r="J266" s="18" t="s">
        <v>2779</v>
      </c>
      <c r="L266" s="18" t="s">
        <v>2563</v>
      </c>
      <c r="M266" s="18" t="s">
        <v>374</v>
      </c>
      <c r="N266" s="18" t="s">
        <v>1115</v>
      </c>
      <c r="O266" s="18" t="s">
        <v>1116</v>
      </c>
      <c r="P266" s="18" t="s">
        <v>375</v>
      </c>
      <c r="S266" s="18" t="s">
        <v>509</v>
      </c>
      <c r="T266" s="18" t="s">
        <v>509</v>
      </c>
      <c r="U266" s="18" t="s">
        <v>2926</v>
      </c>
    </row>
    <row r="267" spans="1:21" s="18" customFormat="1" x14ac:dyDescent="0.35">
      <c r="A267" s="18" t="s">
        <v>1207</v>
      </c>
      <c r="B267" s="18" t="s">
        <v>669</v>
      </c>
      <c r="E267" s="18" t="s">
        <v>667</v>
      </c>
      <c r="F267" s="18" t="s">
        <v>842</v>
      </c>
      <c r="G267" s="18" t="s">
        <v>2077</v>
      </c>
      <c r="H267" s="18">
        <v>-105.38137</v>
      </c>
      <c r="I267" s="18">
        <v>57.508879999999998</v>
      </c>
      <c r="J267" s="18" t="s">
        <v>2666</v>
      </c>
      <c r="L267" s="18" t="s">
        <v>2612</v>
      </c>
      <c r="M267" s="18" t="s">
        <v>374</v>
      </c>
      <c r="N267" s="18" t="s">
        <v>1115</v>
      </c>
      <c r="O267" s="18" t="s">
        <v>1116</v>
      </c>
      <c r="P267" s="18" t="s">
        <v>375</v>
      </c>
      <c r="S267" s="18" t="s">
        <v>210</v>
      </c>
      <c r="T267" s="18" t="s">
        <v>210</v>
      </c>
      <c r="U267" s="18" t="s">
        <v>2926</v>
      </c>
    </row>
    <row r="268" spans="1:21" x14ac:dyDescent="0.35">
      <c r="A268" t="s">
        <v>1240</v>
      </c>
      <c r="B268" t="s">
        <v>370</v>
      </c>
      <c r="E268" t="s">
        <v>350</v>
      </c>
      <c r="F268" t="s">
        <v>714</v>
      </c>
      <c r="G268" t="s">
        <v>2103</v>
      </c>
      <c r="H268">
        <v>-78.910675999999995</v>
      </c>
      <c r="I268">
        <v>43.851906</v>
      </c>
      <c r="J268" t="s">
        <v>2698</v>
      </c>
      <c r="L268" t="s">
        <v>2575</v>
      </c>
      <c r="M268" t="s">
        <v>10</v>
      </c>
      <c r="P268" t="s">
        <v>233</v>
      </c>
      <c r="U268" t="s">
        <v>2927</v>
      </c>
    </row>
    <row r="269" spans="1:21" x14ac:dyDescent="0.35">
      <c r="A269" t="s">
        <v>1242</v>
      </c>
      <c r="B269" t="s">
        <v>371</v>
      </c>
      <c r="E269" t="s">
        <v>281</v>
      </c>
      <c r="F269" t="s">
        <v>714</v>
      </c>
      <c r="G269" t="s">
        <v>2103</v>
      </c>
      <c r="H269">
        <v>-78.91</v>
      </c>
      <c r="I269">
        <v>43.86</v>
      </c>
      <c r="J269" t="s">
        <v>2701</v>
      </c>
      <c r="L269" t="s">
        <v>2575</v>
      </c>
      <c r="M269" t="s">
        <v>10</v>
      </c>
      <c r="P269" t="s">
        <v>233</v>
      </c>
      <c r="Q269" t="s">
        <v>255</v>
      </c>
      <c r="R269" t="s">
        <v>340</v>
      </c>
      <c r="S269" t="s">
        <v>244</v>
      </c>
      <c r="T269" t="s">
        <v>244</v>
      </c>
      <c r="U269" t="s">
        <v>2927</v>
      </c>
    </row>
    <row r="270" spans="1:21" x14ac:dyDescent="0.35">
      <c r="A270" s="18" t="s">
        <v>1205</v>
      </c>
      <c r="B270" s="18" t="s">
        <v>639</v>
      </c>
      <c r="C270" s="18"/>
      <c r="D270" s="18"/>
      <c r="E270" s="18" t="s">
        <v>638</v>
      </c>
      <c r="F270" s="18" t="s">
        <v>841</v>
      </c>
      <c r="G270" s="18" t="s">
        <v>2076</v>
      </c>
      <c r="H270" s="18">
        <v>-122.09912</v>
      </c>
      <c r="I270" s="18">
        <v>54.531410000000001</v>
      </c>
      <c r="J270" s="18" t="s">
        <v>2664</v>
      </c>
      <c r="K270" s="18"/>
      <c r="L270" s="18" t="s">
        <v>2599</v>
      </c>
      <c r="M270" s="18" t="s">
        <v>374</v>
      </c>
      <c r="N270" s="18" t="s">
        <v>1115</v>
      </c>
      <c r="O270" s="18" t="s">
        <v>1116</v>
      </c>
      <c r="P270" s="18" t="s">
        <v>375</v>
      </c>
      <c r="Q270" s="18"/>
      <c r="R270" s="18"/>
      <c r="S270" s="18" t="s">
        <v>627</v>
      </c>
      <c r="T270" s="18" t="s">
        <v>627</v>
      </c>
      <c r="U270" s="18" t="s">
        <v>2926</v>
      </c>
    </row>
    <row r="271" spans="1:21" s="18" customFormat="1" x14ac:dyDescent="0.35">
      <c r="A271" s="18" t="s">
        <v>1275</v>
      </c>
      <c r="B271" s="18" t="s">
        <v>467</v>
      </c>
      <c r="E271" s="18" t="s">
        <v>79</v>
      </c>
      <c r="F271" s="18" t="s">
        <v>717</v>
      </c>
      <c r="G271" s="18" t="s">
        <v>1853</v>
      </c>
      <c r="H271" s="18">
        <v>-100.05248</v>
      </c>
      <c r="I271" s="18">
        <v>55.021360000000001</v>
      </c>
      <c r="J271" s="18" t="s">
        <v>2740</v>
      </c>
      <c r="L271" s="18" t="s">
        <v>2586</v>
      </c>
      <c r="M271" s="18" t="s">
        <v>374</v>
      </c>
      <c r="N271" s="18" t="s">
        <v>1115</v>
      </c>
      <c r="O271" s="18" t="s">
        <v>1116</v>
      </c>
      <c r="P271" s="18" t="s">
        <v>375</v>
      </c>
      <c r="S271" s="18" t="s">
        <v>16</v>
      </c>
      <c r="T271" s="18" t="s">
        <v>90</v>
      </c>
      <c r="U271" s="18" t="s">
        <v>2926</v>
      </c>
    </row>
    <row r="272" spans="1:21" s="18" customFormat="1" x14ac:dyDescent="0.35">
      <c r="A272" s="18" t="s">
        <v>1183</v>
      </c>
      <c r="B272" s="18" t="s">
        <v>550</v>
      </c>
      <c r="E272" s="18" t="s">
        <v>549</v>
      </c>
      <c r="F272" s="18" t="s">
        <v>707</v>
      </c>
      <c r="G272" s="18" t="s">
        <v>2928</v>
      </c>
      <c r="H272" s="18">
        <v>-67.64</v>
      </c>
      <c r="I272" s="18">
        <v>46.18</v>
      </c>
      <c r="J272" s="18" t="s">
        <v>2643</v>
      </c>
      <c r="L272" s="18" t="s">
        <v>2629</v>
      </c>
      <c r="M272" s="18" t="s">
        <v>374</v>
      </c>
      <c r="N272" s="18" t="s">
        <v>1115</v>
      </c>
      <c r="O272" s="18" t="s">
        <v>1116</v>
      </c>
      <c r="P272" s="18" t="s">
        <v>375</v>
      </c>
      <c r="S272" s="18" t="s">
        <v>542</v>
      </c>
      <c r="T272" s="18" t="s">
        <v>548</v>
      </c>
      <c r="U272" s="18" t="s">
        <v>2926</v>
      </c>
    </row>
    <row r="273" spans="1:21" s="18" customFormat="1" x14ac:dyDescent="0.35">
      <c r="A273" s="18" t="s">
        <v>1396</v>
      </c>
      <c r="B273" s="18" t="s">
        <v>407</v>
      </c>
      <c r="E273" s="18" t="s">
        <v>135</v>
      </c>
      <c r="F273" s="18" t="s">
        <v>135</v>
      </c>
      <c r="G273" s="18" t="s">
        <v>2200</v>
      </c>
      <c r="H273" s="18">
        <v>-119.81699999999999</v>
      </c>
      <c r="I273" s="18">
        <v>51.52</v>
      </c>
      <c r="J273" s="18" t="s">
        <v>2872</v>
      </c>
      <c r="L273" s="18" t="s">
        <v>2599</v>
      </c>
      <c r="M273" s="18" t="s">
        <v>374</v>
      </c>
      <c r="N273" s="18" t="s">
        <v>1115</v>
      </c>
      <c r="O273" s="18" t="s">
        <v>1116</v>
      </c>
      <c r="P273" s="18" t="s">
        <v>375</v>
      </c>
      <c r="S273" s="18" t="s">
        <v>125</v>
      </c>
      <c r="T273" s="18" t="s">
        <v>130</v>
      </c>
      <c r="U273" s="18" t="s">
        <v>2926</v>
      </c>
    </row>
    <row r="274" spans="1:21" s="18" customFormat="1" x14ac:dyDescent="0.35">
      <c r="A274" t="s">
        <v>1135</v>
      </c>
      <c r="B274" t="s">
        <v>26</v>
      </c>
      <c r="C274"/>
      <c r="D274"/>
      <c r="E274" t="s">
        <v>24</v>
      </c>
      <c r="F274" t="s">
        <v>736</v>
      </c>
      <c r="G274" t="s">
        <v>2037</v>
      </c>
      <c r="H274">
        <v>-80.674440000000004</v>
      </c>
      <c r="I274">
        <v>47.946669999999997</v>
      </c>
      <c r="J274" t="s">
        <v>2592</v>
      </c>
      <c r="K274" t="s">
        <v>2591</v>
      </c>
      <c r="L274" t="s">
        <v>2575</v>
      </c>
      <c r="M274" t="s">
        <v>10</v>
      </c>
      <c r="N274"/>
      <c r="O274"/>
      <c r="P274" t="s">
        <v>11</v>
      </c>
      <c r="Q274" t="s">
        <v>13</v>
      </c>
      <c r="R274" t="s">
        <v>2566</v>
      </c>
      <c r="S274" t="s">
        <v>16</v>
      </c>
      <c r="T274" t="s">
        <v>16</v>
      </c>
      <c r="U274" t="s">
        <v>2927</v>
      </c>
    </row>
  </sheetData>
  <autoFilter ref="A1:U274" xr:uid="{9B191529-42E2-47C7-8A9A-09F073325AED}">
    <sortState xmlns:xlrd2="http://schemas.microsoft.com/office/spreadsheetml/2017/richdata2" ref="A2:U274">
      <sortCondition ref="B1:B274"/>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B7163-B9B7-4FDC-801D-DDAD21B7BEA6}">
  <sheetPr>
    <tabColor rgb="FFFFC000"/>
  </sheetPr>
  <dimension ref="A1:R271"/>
  <sheetViews>
    <sheetView workbookViewId="0">
      <selection activeCell="E12" sqref="E12"/>
    </sheetView>
  </sheetViews>
  <sheetFormatPr baseColWidth="10" defaultColWidth="8.7265625" defaultRowHeight="14.5" x14ac:dyDescent="0.35"/>
  <cols>
    <col min="1" max="1" width="49.81640625" bestFit="1" customWidth="1"/>
    <col min="2" max="2" width="45.6328125" customWidth="1"/>
    <col min="3" max="3" width="35.81640625" bestFit="1" customWidth="1"/>
    <col min="4" max="4" width="18" customWidth="1"/>
    <col min="5" max="5" width="15.81640625" bestFit="1" customWidth="1"/>
    <col min="6" max="6" width="35.36328125" bestFit="1" customWidth="1"/>
    <col min="7" max="7" width="151.453125" bestFit="1" customWidth="1"/>
    <col min="8" max="8" width="13.36328125" bestFit="1" customWidth="1"/>
    <col min="9" max="9" width="13.54296875" bestFit="1" customWidth="1"/>
    <col min="10" max="10" width="31.453125" bestFit="1" customWidth="1"/>
    <col min="11" max="11" width="19.6328125" bestFit="1" customWidth="1"/>
    <col min="12" max="12" width="50.54296875" bestFit="1" customWidth="1"/>
    <col min="13" max="13" width="87.54296875" customWidth="1"/>
    <col min="14" max="14" width="89.453125" bestFit="1" customWidth="1"/>
    <col min="15" max="15" width="28.453125" bestFit="1" customWidth="1"/>
    <col min="16" max="16" width="39" bestFit="1" customWidth="1"/>
    <col min="17" max="17" width="18.1796875" customWidth="1"/>
    <col min="18" max="18" width="190.81640625" bestFit="1" customWidth="1"/>
  </cols>
  <sheetData>
    <row r="1" spans="1:18" x14ac:dyDescent="0.35">
      <c r="A1" s="32" t="s">
        <v>1672</v>
      </c>
      <c r="B1" s="32" t="s">
        <v>0</v>
      </c>
      <c r="C1" s="32" t="s">
        <v>1674</v>
      </c>
      <c r="D1" s="32" t="s">
        <v>2</v>
      </c>
      <c r="E1" s="1" t="s">
        <v>4</v>
      </c>
      <c r="F1" s="14" t="s">
        <v>6</v>
      </c>
      <c r="G1" s="1" t="s">
        <v>1781</v>
      </c>
      <c r="H1" s="32" t="s">
        <v>3</v>
      </c>
      <c r="I1" s="32" t="s">
        <v>2028</v>
      </c>
      <c r="J1" s="32" t="s">
        <v>2029</v>
      </c>
      <c r="K1" s="32" t="s">
        <v>2030</v>
      </c>
      <c r="L1" s="15" t="s">
        <v>813</v>
      </c>
      <c r="M1" s="16" t="s">
        <v>837</v>
      </c>
      <c r="N1" s="16" t="s">
        <v>814</v>
      </c>
      <c r="O1" s="4" t="s">
        <v>745</v>
      </c>
      <c r="P1" s="4" t="s">
        <v>2286</v>
      </c>
      <c r="Q1" s="4" t="s">
        <v>2456</v>
      </c>
      <c r="R1" s="16" t="s">
        <v>7</v>
      </c>
    </row>
    <row r="2" spans="1:18" s="18" customFormat="1" x14ac:dyDescent="0.35">
      <c r="A2" s="18" t="s">
        <v>717</v>
      </c>
      <c r="B2" s="18" t="s">
        <v>79</v>
      </c>
      <c r="C2" s="18" t="s">
        <v>464</v>
      </c>
      <c r="D2" s="18" t="s">
        <v>1272</v>
      </c>
      <c r="E2" s="18" t="s">
        <v>375</v>
      </c>
      <c r="G2" s="18" t="s">
        <v>90</v>
      </c>
      <c r="H2" s="18" t="s">
        <v>374</v>
      </c>
      <c r="I2" s="18" t="s">
        <v>1853</v>
      </c>
      <c r="L2" s="18" t="s">
        <v>980</v>
      </c>
      <c r="M2" s="18" t="s">
        <v>707</v>
      </c>
      <c r="N2" s="18" t="s">
        <v>983</v>
      </c>
      <c r="O2" s="18" t="s">
        <v>710</v>
      </c>
    </row>
    <row r="3" spans="1:18" x14ac:dyDescent="0.35">
      <c r="A3" s="18" t="s">
        <v>774</v>
      </c>
      <c r="B3" s="18" t="s">
        <v>62</v>
      </c>
      <c r="C3" s="18" t="s">
        <v>702</v>
      </c>
      <c r="D3" s="18" t="s">
        <v>1123</v>
      </c>
      <c r="E3" s="18" t="s">
        <v>375</v>
      </c>
      <c r="F3" s="18"/>
      <c r="G3" s="18" t="s">
        <v>703</v>
      </c>
      <c r="H3" s="18" t="s">
        <v>374</v>
      </c>
      <c r="I3" s="18" t="s">
        <v>2031</v>
      </c>
      <c r="J3" s="18"/>
      <c r="K3" s="18"/>
      <c r="L3" s="18"/>
      <c r="M3" s="18"/>
      <c r="N3" s="18"/>
      <c r="O3" s="18" t="s">
        <v>746</v>
      </c>
      <c r="P3" s="18"/>
      <c r="Q3" s="18"/>
      <c r="R3" s="18"/>
    </row>
    <row r="4" spans="1:18" s="18" customFormat="1" x14ac:dyDescent="0.35">
      <c r="A4" s="18" t="s">
        <v>14</v>
      </c>
      <c r="B4" s="18" t="s">
        <v>14</v>
      </c>
      <c r="C4" s="18" t="s">
        <v>429</v>
      </c>
      <c r="D4" s="18" t="s">
        <v>1132</v>
      </c>
      <c r="E4" s="18" t="s">
        <v>375</v>
      </c>
      <c r="G4" s="18" t="s">
        <v>81</v>
      </c>
      <c r="H4" s="18" t="s">
        <v>374</v>
      </c>
      <c r="I4" s="18" t="s">
        <v>2034</v>
      </c>
      <c r="L4" s="18" t="s">
        <v>768</v>
      </c>
      <c r="M4" s="19" t="s">
        <v>1501</v>
      </c>
      <c r="N4" s="19" t="s">
        <v>1500</v>
      </c>
      <c r="O4" s="18" t="s">
        <v>710</v>
      </c>
    </row>
    <row r="5" spans="1:18" x14ac:dyDescent="0.35">
      <c r="A5" s="18" t="s">
        <v>916</v>
      </c>
      <c r="B5" s="18" t="s">
        <v>691</v>
      </c>
      <c r="C5" s="18" t="s">
        <v>692</v>
      </c>
      <c r="D5" s="18" t="s">
        <v>1449</v>
      </c>
      <c r="E5" s="18" t="s">
        <v>375</v>
      </c>
      <c r="F5" s="18"/>
      <c r="G5" s="18" t="s">
        <v>693</v>
      </c>
      <c r="H5" s="18" t="s">
        <v>374</v>
      </c>
      <c r="I5" s="18" t="s">
        <v>2225</v>
      </c>
      <c r="J5" s="18"/>
      <c r="K5" s="18"/>
      <c r="L5" s="18"/>
      <c r="M5" s="18"/>
      <c r="N5" s="18"/>
      <c r="O5" s="18" t="s">
        <v>746</v>
      </c>
      <c r="P5" s="18"/>
      <c r="Q5" s="18"/>
      <c r="R5" s="18"/>
    </row>
    <row r="6" spans="1:18" x14ac:dyDescent="0.35">
      <c r="A6" s="18" t="s">
        <v>135</v>
      </c>
      <c r="B6" s="18" t="s">
        <v>135</v>
      </c>
      <c r="C6" s="18" t="s">
        <v>595</v>
      </c>
      <c r="D6" s="18" t="s">
        <v>1397</v>
      </c>
      <c r="E6" s="18" t="s">
        <v>375</v>
      </c>
      <c r="F6" s="18"/>
      <c r="G6" s="18" t="s">
        <v>177</v>
      </c>
      <c r="H6" s="18" t="s">
        <v>374</v>
      </c>
      <c r="I6" s="18" t="s">
        <v>2200</v>
      </c>
      <c r="J6" s="18"/>
      <c r="K6" s="18"/>
      <c r="L6" s="18" t="s">
        <v>727</v>
      </c>
      <c r="M6" s="18"/>
      <c r="N6" s="18"/>
      <c r="O6" s="18" t="s">
        <v>746</v>
      </c>
      <c r="P6" s="18"/>
      <c r="Q6" s="18"/>
      <c r="R6" s="18"/>
    </row>
    <row r="7" spans="1:18" x14ac:dyDescent="0.35">
      <c r="A7" t="s">
        <v>779</v>
      </c>
      <c r="B7" t="s">
        <v>242</v>
      </c>
      <c r="C7" t="s">
        <v>243</v>
      </c>
      <c r="D7" t="s">
        <v>1141</v>
      </c>
      <c r="E7" t="s">
        <v>233</v>
      </c>
      <c r="F7" t="s">
        <v>245</v>
      </c>
      <c r="G7" t="s">
        <v>244</v>
      </c>
      <c r="H7" t="s">
        <v>10</v>
      </c>
      <c r="I7" t="s">
        <v>1989</v>
      </c>
      <c r="L7" t="s">
        <v>778</v>
      </c>
      <c r="M7" s="22" t="s">
        <v>2043</v>
      </c>
      <c r="N7" t="s">
        <v>707</v>
      </c>
      <c r="O7" t="s">
        <v>746</v>
      </c>
      <c r="P7" t="s">
        <v>807</v>
      </c>
      <c r="R7" t="s">
        <v>2044</v>
      </c>
    </row>
    <row r="8" spans="1:18" x14ac:dyDescent="0.35">
      <c r="A8" t="s">
        <v>718</v>
      </c>
      <c r="B8" t="s">
        <v>246</v>
      </c>
      <c r="C8" t="s">
        <v>247</v>
      </c>
      <c r="D8" t="s">
        <v>1350</v>
      </c>
      <c r="E8" t="s">
        <v>233</v>
      </c>
      <c r="F8" t="s">
        <v>249</v>
      </c>
      <c r="G8" t="s">
        <v>248</v>
      </c>
      <c r="H8" t="s">
        <v>10</v>
      </c>
      <c r="I8" t="s">
        <v>2167</v>
      </c>
      <c r="J8" t="s">
        <v>2168</v>
      </c>
      <c r="K8" t="s">
        <v>2169</v>
      </c>
      <c r="L8" t="s">
        <v>1055</v>
      </c>
      <c r="M8" t="s">
        <v>1062</v>
      </c>
      <c r="N8" t="s">
        <v>707</v>
      </c>
      <c r="O8" t="s">
        <v>749</v>
      </c>
      <c r="P8" t="s">
        <v>2328</v>
      </c>
      <c r="Q8" t="s">
        <v>2498</v>
      </c>
      <c r="R8" t="s">
        <v>2298</v>
      </c>
    </row>
    <row r="9" spans="1:18" x14ac:dyDescent="0.35">
      <c r="A9" t="s">
        <v>718</v>
      </c>
      <c r="B9" t="s">
        <v>250</v>
      </c>
      <c r="C9" t="s">
        <v>251</v>
      </c>
      <c r="D9" t="s">
        <v>1352</v>
      </c>
      <c r="E9" t="s">
        <v>233</v>
      </c>
      <c r="F9" t="s">
        <v>249</v>
      </c>
      <c r="G9" t="s">
        <v>252</v>
      </c>
      <c r="H9" t="s">
        <v>10</v>
      </c>
      <c r="I9" t="s">
        <v>2167</v>
      </c>
      <c r="J9" t="s">
        <v>2168</v>
      </c>
      <c r="K9" t="s">
        <v>2169</v>
      </c>
      <c r="L9" t="s">
        <v>1058</v>
      </c>
      <c r="M9" t="s">
        <v>1062</v>
      </c>
      <c r="N9" t="s">
        <v>707</v>
      </c>
      <c r="O9" t="s">
        <v>749</v>
      </c>
      <c r="P9" t="s">
        <v>2328</v>
      </c>
      <c r="Q9" t="s">
        <v>2498</v>
      </c>
      <c r="R9" t="s">
        <v>2298</v>
      </c>
    </row>
    <row r="10" spans="1:18" x14ac:dyDescent="0.35">
      <c r="A10" t="s">
        <v>780</v>
      </c>
      <c r="B10" t="s">
        <v>253</v>
      </c>
      <c r="C10" t="s">
        <v>254</v>
      </c>
      <c r="D10" t="s">
        <v>1144</v>
      </c>
      <c r="E10" t="s">
        <v>233</v>
      </c>
      <c r="F10" t="s">
        <v>255</v>
      </c>
      <c r="G10" t="s">
        <v>244</v>
      </c>
      <c r="H10" t="s">
        <v>10</v>
      </c>
      <c r="I10" t="s">
        <v>2045</v>
      </c>
      <c r="L10" s="2" t="s">
        <v>782</v>
      </c>
      <c r="M10" s="2"/>
      <c r="N10" t="s">
        <v>707</v>
      </c>
      <c r="O10" t="s">
        <v>746</v>
      </c>
      <c r="P10" t="s">
        <v>720</v>
      </c>
      <c r="R10" t="s">
        <v>2046</v>
      </c>
    </row>
    <row r="11" spans="1:18" x14ac:dyDescent="0.35">
      <c r="A11" t="s">
        <v>14</v>
      </c>
      <c r="B11" t="s">
        <v>14</v>
      </c>
      <c r="C11" t="s">
        <v>15</v>
      </c>
      <c r="D11" t="s">
        <v>1131</v>
      </c>
      <c r="E11" t="s">
        <v>11</v>
      </c>
      <c r="F11" t="s">
        <v>17</v>
      </c>
      <c r="G11" t="s">
        <v>16</v>
      </c>
      <c r="H11" t="s">
        <v>10</v>
      </c>
      <c r="I11" t="s">
        <v>2034</v>
      </c>
      <c r="J11" t="s">
        <v>2035</v>
      </c>
      <c r="K11" t="s">
        <v>1753</v>
      </c>
      <c r="L11" s="2" t="s">
        <v>768</v>
      </c>
      <c r="M11" s="2" t="s">
        <v>1501</v>
      </c>
      <c r="N11" s="2" t="s">
        <v>1500</v>
      </c>
      <c r="O11" t="s">
        <v>710</v>
      </c>
      <c r="P11" t="s">
        <v>772</v>
      </c>
      <c r="R11" t="s">
        <v>2036</v>
      </c>
    </row>
    <row r="12" spans="1:18" x14ac:dyDescent="0.35">
      <c r="A12" t="s">
        <v>155</v>
      </c>
      <c r="B12" t="s">
        <v>256</v>
      </c>
      <c r="C12" t="s">
        <v>257</v>
      </c>
      <c r="D12" t="s">
        <v>1158</v>
      </c>
      <c r="E12" t="s">
        <v>233</v>
      </c>
      <c r="F12" t="s">
        <v>258</v>
      </c>
      <c r="G12" t="s">
        <v>244</v>
      </c>
      <c r="H12" t="s">
        <v>10</v>
      </c>
      <c r="I12" t="s">
        <v>2048</v>
      </c>
      <c r="L12" t="s">
        <v>769</v>
      </c>
      <c r="N12" t="s">
        <v>707</v>
      </c>
      <c r="O12" t="s">
        <v>747</v>
      </c>
      <c r="P12" t="s">
        <v>2328</v>
      </c>
      <c r="R12" t="s">
        <v>2436</v>
      </c>
    </row>
    <row r="13" spans="1:18" s="18" customFormat="1" x14ac:dyDescent="0.35">
      <c r="A13" t="s">
        <v>718</v>
      </c>
      <c r="B13" t="s">
        <v>246</v>
      </c>
      <c r="C13" t="s">
        <v>259</v>
      </c>
      <c r="D13" t="s">
        <v>1349</v>
      </c>
      <c r="E13" t="s">
        <v>233</v>
      </c>
      <c r="F13" t="s">
        <v>249</v>
      </c>
      <c r="G13" t="s">
        <v>260</v>
      </c>
      <c r="H13" t="s">
        <v>10</v>
      </c>
      <c r="I13" t="s">
        <v>2167</v>
      </c>
      <c r="J13" t="s">
        <v>2168</v>
      </c>
      <c r="K13" t="s">
        <v>2169</v>
      </c>
      <c r="L13" t="s">
        <v>1055</v>
      </c>
      <c r="M13" t="s">
        <v>1062</v>
      </c>
      <c r="N13" t="s">
        <v>707</v>
      </c>
      <c r="O13" t="s">
        <v>749</v>
      </c>
      <c r="P13" t="s">
        <v>2328</v>
      </c>
      <c r="Q13" t="s">
        <v>2498</v>
      </c>
      <c r="R13" t="s">
        <v>2298</v>
      </c>
    </row>
    <row r="14" spans="1:18" s="18" customFormat="1" x14ac:dyDescent="0.35">
      <c r="A14" s="18" t="s">
        <v>897</v>
      </c>
      <c r="B14" s="18" t="s">
        <v>507</v>
      </c>
      <c r="C14" s="18" t="s">
        <v>508</v>
      </c>
      <c r="D14" s="18" t="s">
        <v>1367</v>
      </c>
      <c r="E14" s="18" t="s">
        <v>375</v>
      </c>
      <c r="G14" s="18" t="s">
        <v>509</v>
      </c>
      <c r="H14" s="18" t="s">
        <v>374</v>
      </c>
      <c r="I14" s="18" t="s">
        <v>2178</v>
      </c>
      <c r="O14" s="18" t="s">
        <v>746</v>
      </c>
    </row>
    <row r="15" spans="1:18" x14ac:dyDescent="0.35">
      <c r="A15" s="18"/>
      <c r="B15" s="18" t="s">
        <v>551</v>
      </c>
      <c r="C15" s="18" t="s">
        <v>552</v>
      </c>
      <c r="D15" s="18" t="s">
        <v>1143</v>
      </c>
      <c r="E15" s="18" t="s">
        <v>375</v>
      </c>
      <c r="F15" s="18"/>
      <c r="G15" s="18" t="s">
        <v>553</v>
      </c>
      <c r="H15" s="18" t="s">
        <v>374</v>
      </c>
      <c r="I15" s="18"/>
      <c r="J15" s="18"/>
      <c r="K15" s="18"/>
      <c r="L15" s="18"/>
      <c r="M15" s="18"/>
      <c r="N15" s="18"/>
      <c r="O15" s="18" t="s">
        <v>746</v>
      </c>
      <c r="P15" s="18"/>
      <c r="Q15" s="18"/>
      <c r="R15" s="18"/>
    </row>
    <row r="16" spans="1:18" x14ac:dyDescent="0.35">
      <c r="A16" t="s">
        <v>261</v>
      </c>
      <c r="B16" t="s">
        <v>261</v>
      </c>
      <c r="C16" t="s">
        <v>262</v>
      </c>
      <c r="D16" t="s">
        <v>1137</v>
      </c>
      <c r="E16" t="s">
        <v>233</v>
      </c>
      <c r="F16" t="s">
        <v>249</v>
      </c>
      <c r="G16" t="s">
        <v>248</v>
      </c>
      <c r="H16" t="s">
        <v>10</v>
      </c>
      <c r="I16" t="s">
        <v>1956</v>
      </c>
      <c r="L16" t="s">
        <v>738</v>
      </c>
      <c r="M16" t="s">
        <v>2038</v>
      </c>
      <c r="N16" t="s">
        <v>707</v>
      </c>
      <c r="O16" t="s">
        <v>746</v>
      </c>
      <c r="P16" t="s">
        <v>807</v>
      </c>
      <c r="R16" t="s">
        <v>2039</v>
      </c>
    </row>
    <row r="17" spans="1:18" x14ac:dyDescent="0.35">
      <c r="A17" s="18" t="s">
        <v>496</v>
      </c>
      <c r="B17" s="18" t="s">
        <v>496</v>
      </c>
      <c r="C17" s="18" t="s">
        <v>497</v>
      </c>
      <c r="D17" s="18" t="s">
        <v>1209</v>
      </c>
      <c r="E17" s="18" t="s">
        <v>375</v>
      </c>
      <c r="F17" s="18"/>
      <c r="G17" s="18" t="s">
        <v>498</v>
      </c>
      <c r="H17" s="18" t="s">
        <v>374</v>
      </c>
      <c r="I17" s="18" t="s">
        <v>2079</v>
      </c>
      <c r="J17" s="18"/>
      <c r="K17" s="18"/>
      <c r="L17" s="18"/>
      <c r="M17" s="18"/>
      <c r="N17" s="18"/>
      <c r="O17" s="18" t="s">
        <v>746</v>
      </c>
      <c r="P17" s="18"/>
      <c r="Q17" s="18"/>
      <c r="R17" s="18"/>
    </row>
    <row r="18" spans="1:18" x14ac:dyDescent="0.35">
      <c r="A18" s="18" t="s">
        <v>869</v>
      </c>
      <c r="B18" s="18" t="s">
        <v>546</v>
      </c>
      <c r="C18" s="18" t="s">
        <v>547</v>
      </c>
      <c r="D18" s="18" t="s">
        <v>1300</v>
      </c>
      <c r="E18" s="18" t="s">
        <v>375</v>
      </c>
      <c r="F18" s="18"/>
      <c r="G18" s="18" t="s">
        <v>548</v>
      </c>
      <c r="H18" s="18" t="s">
        <v>374</v>
      </c>
      <c r="I18" s="18" t="s">
        <v>2139</v>
      </c>
      <c r="J18" s="18"/>
      <c r="K18" s="18"/>
      <c r="L18" s="18"/>
      <c r="M18" s="18"/>
      <c r="N18" s="18"/>
      <c r="O18" s="18" t="s">
        <v>746</v>
      </c>
      <c r="P18" s="18"/>
      <c r="Q18" s="18"/>
      <c r="R18" s="18"/>
    </row>
    <row r="19" spans="1:18" s="18" customFormat="1" x14ac:dyDescent="0.35">
      <c r="A19" s="18" t="s">
        <v>386</v>
      </c>
      <c r="B19" s="18" t="s">
        <v>386</v>
      </c>
      <c r="C19" s="18" t="s">
        <v>387</v>
      </c>
      <c r="D19" s="18" t="s">
        <v>1211</v>
      </c>
      <c r="E19" s="18" t="s">
        <v>375</v>
      </c>
      <c r="G19" s="18" t="s">
        <v>388</v>
      </c>
      <c r="H19" s="18" t="s">
        <v>374</v>
      </c>
      <c r="I19" s="18" t="s">
        <v>2082</v>
      </c>
      <c r="O19" s="18" t="s">
        <v>746</v>
      </c>
    </row>
    <row r="20" spans="1:18" x14ac:dyDescent="0.35">
      <c r="A20" t="s">
        <v>720</v>
      </c>
      <c r="B20" t="s">
        <v>263</v>
      </c>
      <c r="C20" t="s">
        <v>264</v>
      </c>
      <c r="D20" t="s">
        <v>1167</v>
      </c>
      <c r="E20" t="s">
        <v>233</v>
      </c>
      <c r="F20" t="s">
        <v>266</v>
      </c>
      <c r="G20" t="s">
        <v>265</v>
      </c>
      <c r="H20" t="s">
        <v>10</v>
      </c>
      <c r="I20" t="s">
        <v>2047</v>
      </c>
      <c r="L20" t="s">
        <v>789</v>
      </c>
      <c r="M20" t="s">
        <v>2056</v>
      </c>
      <c r="N20" t="s">
        <v>707</v>
      </c>
      <c r="O20" t="s">
        <v>746</v>
      </c>
      <c r="P20" t="s">
        <v>720</v>
      </c>
      <c r="R20" t="s">
        <v>2046</v>
      </c>
    </row>
    <row r="21" spans="1:18" x14ac:dyDescent="0.35">
      <c r="A21" t="s">
        <v>720</v>
      </c>
      <c r="B21" t="s">
        <v>205</v>
      </c>
      <c r="C21" t="s">
        <v>206</v>
      </c>
      <c r="D21" t="s">
        <v>1193</v>
      </c>
      <c r="E21" t="s">
        <v>11</v>
      </c>
      <c r="F21" t="s">
        <v>13</v>
      </c>
      <c r="G21" t="s">
        <v>207</v>
      </c>
      <c r="H21" t="s">
        <v>10</v>
      </c>
      <c r="I21" t="s">
        <v>2047</v>
      </c>
      <c r="L21" t="s">
        <v>720</v>
      </c>
      <c r="M21" t="s">
        <v>720</v>
      </c>
      <c r="N21" t="s">
        <v>720</v>
      </c>
      <c r="O21" t="s">
        <v>746</v>
      </c>
      <c r="P21" t="s">
        <v>720</v>
      </c>
      <c r="R21" t="s">
        <v>2070</v>
      </c>
    </row>
    <row r="22" spans="1:18" s="18" customFormat="1" ht="29" x14ac:dyDescent="0.35">
      <c r="A22" t="s">
        <v>740</v>
      </c>
      <c r="B22" t="s">
        <v>267</v>
      </c>
      <c r="C22" t="s">
        <v>268</v>
      </c>
      <c r="D22" t="s">
        <v>1140</v>
      </c>
      <c r="E22" t="s">
        <v>233</v>
      </c>
      <c r="F22" t="s">
        <v>249</v>
      </c>
      <c r="G22" t="s">
        <v>248</v>
      </c>
      <c r="H22" t="s">
        <v>10</v>
      </c>
      <c r="I22" t="s">
        <v>2040</v>
      </c>
      <c r="J22"/>
      <c r="K22"/>
      <c r="L22" t="s">
        <v>738</v>
      </c>
      <c r="M22" s="30" t="s">
        <v>2041</v>
      </c>
      <c r="N22" t="s">
        <v>707</v>
      </c>
      <c r="O22" t="s">
        <v>746</v>
      </c>
      <c r="P22" t="s">
        <v>807</v>
      </c>
      <c r="Q22"/>
      <c r="R22" t="s">
        <v>2042</v>
      </c>
    </row>
    <row r="23" spans="1:18" s="18" customFormat="1" x14ac:dyDescent="0.35">
      <c r="A23" s="18" t="s">
        <v>543</v>
      </c>
      <c r="B23" s="18" t="s">
        <v>543</v>
      </c>
      <c r="C23" s="18" t="s">
        <v>544</v>
      </c>
      <c r="D23" s="18" t="s">
        <v>1214</v>
      </c>
      <c r="E23" s="18" t="s">
        <v>375</v>
      </c>
      <c r="G23" s="18" t="s">
        <v>545</v>
      </c>
      <c r="H23" s="18" t="s">
        <v>374</v>
      </c>
      <c r="I23" s="18" t="s">
        <v>2084</v>
      </c>
      <c r="O23" s="18" t="s">
        <v>746</v>
      </c>
    </row>
    <row r="24" spans="1:18" x14ac:dyDescent="0.35">
      <c r="A24" t="s">
        <v>269</v>
      </c>
      <c r="B24" t="s">
        <v>269</v>
      </c>
      <c r="C24" t="s">
        <v>270</v>
      </c>
      <c r="D24" t="s">
        <v>1221</v>
      </c>
      <c r="E24" t="s">
        <v>233</v>
      </c>
      <c r="F24" t="s">
        <v>249</v>
      </c>
      <c r="G24" t="s">
        <v>271</v>
      </c>
      <c r="H24" t="s">
        <v>10</v>
      </c>
      <c r="I24" t="s">
        <v>2088</v>
      </c>
      <c r="L24" s="3" t="s">
        <v>945</v>
      </c>
      <c r="M24" s="3" t="s">
        <v>944</v>
      </c>
      <c r="N24" t="s">
        <v>707</v>
      </c>
      <c r="O24" t="s">
        <v>746</v>
      </c>
      <c r="P24" t="s">
        <v>720</v>
      </c>
      <c r="R24" t="s">
        <v>2302</v>
      </c>
    </row>
    <row r="25" spans="1:18" x14ac:dyDescent="0.35">
      <c r="A25" t="s">
        <v>756</v>
      </c>
      <c r="B25" t="s">
        <v>46</v>
      </c>
      <c r="C25" t="s">
        <v>47</v>
      </c>
      <c r="D25" t="s">
        <v>1339</v>
      </c>
      <c r="E25" t="s">
        <v>11</v>
      </c>
      <c r="F25" t="s">
        <v>13</v>
      </c>
      <c r="G25" t="s">
        <v>16</v>
      </c>
      <c r="H25" t="s">
        <v>10</v>
      </c>
      <c r="I25" t="s">
        <v>2166</v>
      </c>
      <c r="J25" t="s">
        <v>1536</v>
      </c>
      <c r="K25" t="s">
        <v>1755</v>
      </c>
      <c r="L25" s="2" t="s">
        <v>763</v>
      </c>
      <c r="M25" s="2" t="s">
        <v>1044</v>
      </c>
      <c r="N25" s="2" t="s">
        <v>1043</v>
      </c>
      <c r="O25" t="s">
        <v>710</v>
      </c>
      <c r="P25" t="s">
        <v>772</v>
      </c>
      <c r="R25" t="s">
        <v>2036</v>
      </c>
    </row>
    <row r="26" spans="1:18" x14ac:dyDescent="0.35">
      <c r="A26" s="18" t="s">
        <v>905</v>
      </c>
      <c r="B26" s="18" t="s">
        <v>413</v>
      </c>
      <c r="C26" s="18" t="s">
        <v>414</v>
      </c>
      <c r="D26" s="18" t="s">
        <v>1388</v>
      </c>
      <c r="E26" s="18" t="s">
        <v>375</v>
      </c>
      <c r="F26" s="18"/>
      <c r="G26" s="18" t="s">
        <v>415</v>
      </c>
      <c r="H26" s="18" t="s">
        <v>374</v>
      </c>
      <c r="I26" s="18" t="s">
        <v>2196</v>
      </c>
      <c r="J26" s="18"/>
      <c r="K26" s="18"/>
      <c r="L26" s="18"/>
      <c r="M26" s="18"/>
      <c r="N26" s="18"/>
      <c r="O26" s="18" t="s">
        <v>746</v>
      </c>
      <c r="P26" s="18"/>
      <c r="Q26" s="18"/>
      <c r="R26" s="18"/>
    </row>
    <row r="27" spans="1:18" x14ac:dyDescent="0.35">
      <c r="A27" s="18" t="s">
        <v>469</v>
      </c>
      <c r="B27" s="18" t="s">
        <v>469</v>
      </c>
      <c r="C27" s="18" t="s">
        <v>470</v>
      </c>
      <c r="D27" s="18" t="s">
        <v>1330</v>
      </c>
      <c r="E27" s="18" t="s">
        <v>375</v>
      </c>
      <c r="F27" s="18"/>
      <c r="G27" s="18" t="s">
        <v>468</v>
      </c>
      <c r="H27" s="18" t="s">
        <v>374</v>
      </c>
      <c r="I27" s="18" t="s">
        <v>2157</v>
      </c>
      <c r="J27" s="18"/>
      <c r="K27" s="18"/>
      <c r="L27" s="18"/>
      <c r="M27" s="18"/>
      <c r="N27" s="18"/>
      <c r="O27" s="18" t="s">
        <v>746</v>
      </c>
      <c r="P27" s="18"/>
      <c r="Q27" s="18"/>
      <c r="R27" s="18"/>
    </row>
    <row r="28" spans="1:18" x14ac:dyDescent="0.35">
      <c r="A28" s="18" t="s">
        <v>489</v>
      </c>
      <c r="B28" s="18" t="s">
        <v>489</v>
      </c>
      <c r="C28" s="18" t="s">
        <v>490</v>
      </c>
      <c r="D28" s="18" t="s">
        <v>1383</v>
      </c>
      <c r="E28" s="18" t="s">
        <v>375</v>
      </c>
      <c r="F28" s="18"/>
      <c r="G28" s="18" t="s">
        <v>491</v>
      </c>
      <c r="H28" s="18" t="s">
        <v>374</v>
      </c>
      <c r="I28" s="18" t="s">
        <v>2194</v>
      </c>
      <c r="J28" s="18"/>
      <c r="K28" s="18"/>
      <c r="L28" s="18"/>
      <c r="M28" s="18"/>
      <c r="N28" s="18"/>
      <c r="O28" s="18" t="s">
        <v>746</v>
      </c>
      <c r="P28" s="18"/>
      <c r="Q28" s="18"/>
      <c r="R28" s="18"/>
    </row>
    <row r="29" spans="1:18" x14ac:dyDescent="0.35">
      <c r="A29" s="18" t="s">
        <v>489</v>
      </c>
      <c r="B29" s="18" t="s">
        <v>489</v>
      </c>
      <c r="C29" s="18" t="s">
        <v>492</v>
      </c>
      <c r="D29" s="18" t="s">
        <v>1384</v>
      </c>
      <c r="E29" s="18" t="s">
        <v>375</v>
      </c>
      <c r="F29" s="18"/>
      <c r="G29" s="18" t="s">
        <v>491</v>
      </c>
      <c r="H29" s="18" t="s">
        <v>374</v>
      </c>
      <c r="I29" s="18" t="s">
        <v>2194</v>
      </c>
      <c r="J29" s="18"/>
      <c r="K29" s="18"/>
      <c r="L29" s="18"/>
      <c r="M29" s="18"/>
      <c r="N29" s="18"/>
      <c r="O29" s="18" t="s">
        <v>746</v>
      </c>
      <c r="P29" s="18"/>
      <c r="Q29" s="18"/>
      <c r="R29" s="18"/>
    </row>
    <row r="30" spans="1:18" x14ac:dyDescent="0.35">
      <c r="A30" t="s">
        <v>208</v>
      </c>
      <c r="B30" t="s">
        <v>208</v>
      </c>
      <c r="C30" t="s">
        <v>272</v>
      </c>
      <c r="D30" t="s">
        <v>1179</v>
      </c>
      <c r="E30" t="s">
        <v>233</v>
      </c>
      <c r="F30" t="s">
        <v>274</v>
      </c>
      <c r="G30" t="s">
        <v>273</v>
      </c>
      <c r="H30" t="s">
        <v>10</v>
      </c>
      <c r="I30" t="s">
        <v>1756</v>
      </c>
      <c r="L30" t="s">
        <v>770</v>
      </c>
      <c r="M30" t="s">
        <v>1531</v>
      </c>
      <c r="N30" t="s">
        <v>707</v>
      </c>
      <c r="O30" t="s">
        <v>710</v>
      </c>
      <c r="P30" t="s">
        <v>807</v>
      </c>
      <c r="R30" t="s">
        <v>2060</v>
      </c>
    </row>
    <row r="31" spans="1:18" x14ac:dyDescent="0.35">
      <c r="A31" t="s">
        <v>795</v>
      </c>
      <c r="B31" t="s">
        <v>161</v>
      </c>
      <c r="C31" t="s">
        <v>162</v>
      </c>
      <c r="D31" t="s">
        <v>1192</v>
      </c>
      <c r="E31" t="s">
        <v>11</v>
      </c>
      <c r="F31" t="s">
        <v>34</v>
      </c>
      <c r="G31" t="s">
        <v>157</v>
      </c>
      <c r="H31" t="s">
        <v>10</v>
      </c>
      <c r="I31" t="s">
        <v>2011</v>
      </c>
      <c r="L31" t="s">
        <v>794</v>
      </c>
      <c r="M31" t="s">
        <v>2067</v>
      </c>
      <c r="N31" s="22" t="s">
        <v>2068</v>
      </c>
      <c r="O31" t="s">
        <v>746</v>
      </c>
      <c r="P31" t="s">
        <v>2328</v>
      </c>
      <c r="R31" t="s">
        <v>2069</v>
      </c>
    </row>
    <row r="32" spans="1:18" s="18" customFormat="1" x14ac:dyDescent="0.35">
      <c r="A32" s="18" t="s">
        <v>499</v>
      </c>
      <c r="B32" s="18" t="s">
        <v>499</v>
      </c>
      <c r="C32" s="18" t="s">
        <v>500</v>
      </c>
      <c r="D32" s="18" t="s">
        <v>1293</v>
      </c>
      <c r="E32" s="18" t="s">
        <v>375</v>
      </c>
      <c r="G32" s="18" t="s">
        <v>498</v>
      </c>
      <c r="H32" s="18" t="s">
        <v>374</v>
      </c>
      <c r="I32" s="18" t="s">
        <v>2133</v>
      </c>
      <c r="O32" s="18" t="s">
        <v>746</v>
      </c>
    </row>
    <row r="33" spans="1:18" x14ac:dyDescent="0.35">
      <c r="A33" t="s">
        <v>39</v>
      </c>
      <c r="B33" t="s">
        <v>39</v>
      </c>
      <c r="C33" t="s">
        <v>40</v>
      </c>
      <c r="D33" t="s">
        <v>1320</v>
      </c>
      <c r="E33" t="s">
        <v>11</v>
      </c>
      <c r="F33" t="s">
        <v>17</v>
      </c>
      <c r="G33" t="s">
        <v>16</v>
      </c>
      <c r="H33" t="s">
        <v>10</v>
      </c>
      <c r="I33" t="s">
        <v>2151</v>
      </c>
      <c r="J33" t="s">
        <v>1587</v>
      </c>
      <c r="K33" t="s">
        <v>1754</v>
      </c>
      <c r="L33" t="s">
        <v>1030</v>
      </c>
      <c r="M33" t="s">
        <v>1026</v>
      </c>
      <c r="N33" s="22" t="s">
        <v>1029</v>
      </c>
      <c r="O33" t="s">
        <v>710</v>
      </c>
      <c r="P33" t="s">
        <v>772</v>
      </c>
      <c r="R33" t="s">
        <v>2036</v>
      </c>
    </row>
    <row r="34" spans="1:18" s="18" customFormat="1" x14ac:dyDescent="0.35">
      <c r="A34" t="s">
        <v>785</v>
      </c>
      <c r="B34" t="s">
        <v>275</v>
      </c>
      <c r="C34" t="s">
        <v>276</v>
      </c>
      <c r="D34" t="s">
        <v>1161</v>
      </c>
      <c r="E34" t="s">
        <v>233</v>
      </c>
      <c r="F34" t="s">
        <v>274</v>
      </c>
      <c r="G34" t="s">
        <v>64</v>
      </c>
      <c r="H34" t="s">
        <v>10</v>
      </c>
      <c r="I34" t="s">
        <v>2050</v>
      </c>
      <c r="J34"/>
      <c r="K34"/>
      <c r="L34" t="s">
        <v>786</v>
      </c>
      <c r="M34"/>
      <c r="N34" t="s">
        <v>707</v>
      </c>
      <c r="O34" t="s">
        <v>746</v>
      </c>
      <c r="P34" t="s">
        <v>807</v>
      </c>
      <c r="Q34"/>
      <c r="R34" t="s">
        <v>2051</v>
      </c>
    </row>
    <row r="35" spans="1:18" s="18" customFormat="1" x14ac:dyDescent="0.35">
      <c r="A35" t="s">
        <v>39</v>
      </c>
      <c r="B35" t="s">
        <v>39</v>
      </c>
      <c r="C35" t="s">
        <v>77</v>
      </c>
      <c r="D35" t="s">
        <v>1323</v>
      </c>
      <c r="E35" t="s">
        <v>11</v>
      </c>
      <c r="F35" t="s">
        <v>13</v>
      </c>
      <c r="G35" t="s">
        <v>64</v>
      </c>
      <c r="H35" t="s">
        <v>10</v>
      </c>
      <c r="I35" t="s">
        <v>2151</v>
      </c>
      <c r="J35"/>
      <c r="K35"/>
      <c r="L35" t="s">
        <v>1030</v>
      </c>
      <c r="M35"/>
      <c r="N35" s="22" t="s">
        <v>1035</v>
      </c>
      <c r="O35" t="s">
        <v>710</v>
      </c>
      <c r="P35" t="s">
        <v>772</v>
      </c>
      <c r="Q35"/>
      <c r="R35" t="s">
        <v>2036</v>
      </c>
    </row>
    <row r="36" spans="1:18" x14ac:dyDescent="0.35">
      <c r="A36" s="18"/>
      <c r="B36" s="18" t="s">
        <v>686</v>
      </c>
      <c r="C36" s="18" t="s">
        <v>687</v>
      </c>
      <c r="D36" s="18" t="s">
        <v>1171</v>
      </c>
      <c r="E36" s="18" t="s">
        <v>375</v>
      </c>
      <c r="F36" s="18"/>
      <c r="G36" s="18" t="s">
        <v>688</v>
      </c>
      <c r="H36" s="18" t="s">
        <v>374</v>
      </c>
      <c r="I36" s="18"/>
      <c r="J36" s="18"/>
      <c r="K36" s="18"/>
      <c r="L36" s="18"/>
      <c r="M36" s="18"/>
      <c r="N36" s="18"/>
      <c r="O36" s="18" t="s">
        <v>746</v>
      </c>
      <c r="P36" s="18"/>
      <c r="Q36" s="18"/>
      <c r="R36" s="18"/>
    </row>
    <row r="37" spans="1:18" x14ac:dyDescent="0.35">
      <c r="A37" s="18" t="s">
        <v>886</v>
      </c>
      <c r="B37" s="18" t="s">
        <v>676</v>
      </c>
      <c r="C37" s="18" t="s">
        <v>677</v>
      </c>
      <c r="D37" s="18" t="s">
        <v>1335</v>
      </c>
      <c r="E37" s="18" t="s">
        <v>375</v>
      </c>
      <c r="F37" s="18"/>
      <c r="G37" s="18" t="s">
        <v>678</v>
      </c>
      <c r="H37" s="18" t="s">
        <v>374</v>
      </c>
      <c r="I37" s="18" t="s">
        <v>2162</v>
      </c>
      <c r="J37" s="18"/>
      <c r="K37" s="18"/>
      <c r="L37" s="18"/>
      <c r="M37" s="18"/>
      <c r="N37" s="18"/>
      <c r="O37" s="18" t="s">
        <v>746</v>
      </c>
      <c r="P37" s="18"/>
      <c r="Q37" s="18"/>
      <c r="R37" s="18"/>
    </row>
    <row r="38" spans="1:18" x14ac:dyDescent="0.35">
      <c r="A38" t="s">
        <v>714</v>
      </c>
      <c r="B38" t="s">
        <v>281</v>
      </c>
      <c r="C38" t="s">
        <v>282</v>
      </c>
      <c r="D38" t="s">
        <v>1243</v>
      </c>
      <c r="E38" t="s">
        <v>233</v>
      </c>
      <c r="F38" t="s">
        <v>255</v>
      </c>
      <c r="G38" t="s">
        <v>244</v>
      </c>
      <c r="H38" t="s">
        <v>10</v>
      </c>
      <c r="I38" t="s">
        <v>2103</v>
      </c>
      <c r="L38" t="s">
        <v>951</v>
      </c>
      <c r="M38" t="s">
        <v>707</v>
      </c>
      <c r="N38" t="s">
        <v>707</v>
      </c>
      <c r="O38" t="s">
        <v>746</v>
      </c>
      <c r="P38" t="s">
        <v>807</v>
      </c>
      <c r="R38" t="s">
        <v>2322</v>
      </c>
    </row>
    <row r="39" spans="1:18" s="18" customFormat="1" x14ac:dyDescent="0.35">
      <c r="A39" t="s">
        <v>715</v>
      </c>
      <c r="B39" t="s">
        <v>142</v>
      </c>
      <c r="C39" t="s">
        <v>283</v>
      </c>
      <c r="D39" t="s">
        <v>1252</v>
      </c>
      <c r="E39" t="s">
        <v>233</v>
      </c>
      <c r="F39" t="s">
        <v>274</v>
      </c>
      <c r="G39" t="s">
        <v>284</v>
      </c>
      <c r="H39" t="s">
        <v>10</v>
      </c>
      <c r="I39" t="s">
        <v>2104</v>
      </c>
      <c r="J39"/>
      <c r="K39"/>
      <c r="L39" t="s">
        <v>962</v>
      </c>
      <c r="M39" t="s">
        <v>967</v>
      </c>
      <c r="N39" t="s">
        <v>707</v>
      </c>
      <c r="O39" t="s">
        <v>710</v>
      </c>
      <c r="P39" t="s">
        <v>2419</v>
      </c>
      <c r="Q39" t="s">
        <v>2457</v>
      </c>
      <c r="R39" t="s">
        <v>2471</v>
      </c>
    </row>
    <row r="40" spans="1:18" s="18" customFormat="1" x14ac:dyDescent="0.35">
      <c r="A40" t="s">
        <v>14</v>
      </c>
      <c r="B40" t="s">
        <v>14</v>
      </c>
      <c r="C40" t="s">
        <v>65</v>
      </c>
      <c r="D40" t="s">
        <v>1125</v>
      </c>
      <c r="E40" t="s">
        <v>11</v>
      </c>
      <c r="F40" t="s">
        <v>13</v>
      </c>
      <c r="G40" t="s">
        <v>64</v>
      </c>
      <c r="H40" t="s">
        <v>10</v>
      </c>
      <c r="I40" t="s">
        <v>2034</v>
      </c>
      <c r="J40"/>
      <c r="K40"/>
      <c r="L40" s="2" t="s">
        <v>768</v>
      </c>
      <c r="M40" s="2" t="s">
        <v>1506</v>
      </c>
      <c r="N40" s="2" t="s">
        <v>1507</v>
      </c>
      <c r="O40" t="s">
        <v>710</v>
      </c>
      <c r="P40" t="s">
        <v>772</v>
      </c>
      <c r="Q40"/>
      <c r="R40" t="s">
        <v>2036</v>
      </c>
    </row>
    <row r="41" spans="1:18" x14ac:dyDescent="0.35">
      <c r="A41" s="18" t="s">
        <v>408</v>
      </c>
      <c r="B41" s="18" t="s">
        <v>408</v>
      </c>
      <c r="C41" s="18" t="s">
        <v>409</v>
      </c>
      <c r="D41" s="18" t="s">
        <v>1258</v>
      </c>
      <c r="E41" s="18" t="s">
        <v>375</v>
      </c>
      <c r="F41" s="18"/>
      <c r="G41" s="18" t="s">
        <v>410</v>
      </c>
      <c r="H41" s="18" t="s">
        <v>374</v>
      </c>
      <c r="I41" s="18" t="s">
        <v>2110</v>
      </c>
      <c r="J41" s="18"/>
      <c r="K41" s="18"/>
      <c r="L41" s="18"/>
      <c r="M41" s="18"/>
      <c r="N41" s="18"/>
      <c r="O41" s="18" t="s">
        <v>746</v>
      </c>
      <c r="P41" s="18"/>
      <c r="Q41" s="18"/>
      <c r="R41" s="18"/>
    </row>
    <row r="42" spans="1:18" s="18" customFormat="1" x14ac:dyDescent="0.35">
      <c r="A42" t="s">
        <v>861</v>
      </c>
      <c r="B42" t="s">
        <v>163</v>
      </c>
      <c r="C42" t="s">
        <v>164</v>
      </c>
      <c r="D42" t="s">
        <v>1282</v>
      </c>
      <c r="E42" t="s">
        <v>11</v>
      </c>
      <c r="F42" t="s">
        <v>19</v>
      </c>
      <c r="G42" t="s">
        <v>157</v>
      </c>
      <c r="H42" t="s">
        <v>10</v>
      </c>
      <c r="I42" t="s">
        <v>2123</v>
      </c>
      <c r="J42"/>
      <c r="K42"/>
      <c r="L42" s="22" t="s">
        <v>995</v>
      </c>
      <c r="M42" s="2" t="s">
        <v>1064</v>
      </c>
      <c r="N42" s="22" t="s">
        <v>996</v>
      </c>
      <c r="O42" t="s">
        <v>746</v>
      </c>
      <c r="P42" t="s">
        <v>2328</v>
      </c>
      <c r="Q42"/>
      <c r="R42" t="s">
        <v>2336</v>
      </c>
    </row>
    <row r="43" spans="1:18" x14ac:dyDescent="0.35">
      <c r="A43" t="s">
        <v>8</v>
      </c>
      <c r="B43" t="s">
        <v>8</v>
      </c>
      <c r="C43" t="s">
        <v>72</v>
      </c>
      <c r="D43" t="s">
        <v>1263</v>
      </c>
      <c r="E43" t="s">
        <v>11</v>
      </c>
      <c r="F43" t="s">
        <v>13</v>
      </c>
      <c r="G43" t="s">
        <v>64</v>
      </c>
      <c r="H43" t="s">
        <v>10</v>
      </c>
      <c r="I43" t="s">
        <v>1902</v>
      </c>
      <c r="L43" t="s">
        <v>722</v>
      </c>
      <c r="M43" t="s">
        <v>973</v>
      </c>
      <c r="N43" s="22" t="s">
        <v>975</v>
      </c>
      <c r="O43" t="s">
        <v>710</v>
      </c>
      <c r="R43" t="s">
        <v>2115</v>
      </c>
    </row>
    <row r="44" spans="1:18" x14ac:dyDescent="0.35">
      <c r="A44" s="18" t="s">
        <v>395</v>
      </c>
      <c r="B44" s="18" t="s">
        <v>395</v>
      </c>
      <c r="C44" s="18" t="s">
        <v>396</v>
      </c>
      <c r="D44" s="18" t="s">
        <v>1441</v>
      </c>
      <c r="E44" s="18" t="s">
        <v>375</v>
      </c>
      <c r="F44" s="18"/>
      <c r="G44" s="18" t="s">
        <v>397</v>
      </c>
      <c r="H44" s="18" t="s">
        <v>374</v>
      </c>
      <c r="I44" s="18" t="s">
        <v>2223</v>
      </c>
      <c r="J44" s="18"/>
      <c r="K44" s="18"/>
      <c r="L44" s="18"/>
      <c r="M44" s="18"/>
      <c r="N44" s="18"/>
      <c r="O44" s="18" t="s">
        <v>746</v>
      </c>
      <c r="P44" s="18"/>
      <c r="Q44" s="18"/>
      <c r="R44" s="18"/>
    </row>
    <row r="45" spans="1:18" x14ac:dyDescent="0.35">
      <c r="A45" t="s">
        <v>715</v>
      </c>
      <c r="B45" t="s">
        <v>142</v>
      </c>
      <c r="C45" t="s">
        <v>285</v>
      </c>
      <c r="D45" t="s">
        <v>1250</v>
      </c>
      <c r="E45" t="s">
        <v>233</v>
      </c>
      <c r="F45" t="s">
        <v>274</v>
      </c>
      <c r="G45" t="s">
        <v>286</v>
      </c>
      <c r="H45" t="s">
        <v>10</v>
      </c>
      <c r="I45" t="s">
        <v>2104</v>
      </c>
      <c r="L45" t="s">
        <v>962</v>
      </c>
      <c r="M45" t="s">
        <v>966</v>
      </c>
      <c r="N45" t="s">
        <v>707</v>
      </c>
      <c r="O45" t="s">
        <v>710</v>
      </c>
      <c r="P45" t="s">
        <v>2419</v>
      </c>
      <c r="Q45" t="s">
        <v>2457</v>
      </c>
      <c r="R45" t="s">
        <v>2472</v>
      </c>
    </row>
    <row r="46" spans="1:18" x14ac:dyDescent="0.35">
      <c r="A46" t="s">
        <v>208</v>
      </c>
      <c r="B46" t="s">
        <v>208</v>
      </c>
      <c r="C46" t="s">
        <v>209</v>
      </c>
      <c r="D46" t="s">
        <v>1175</v>
      </c>
      <c r="E46" t="s">
        <v>11</v>
      </c>
      <c r="F46" t="s">
        <v>44</v>
      </c>
      <c r="G46" t="s">
        <v>210</v>
      </c>
      <c r="H46" t="s">
        <v>10</v>
      </c>
      <c r="I46" t="s">
        <v>1756</v>
      </c>
      <c r="L46" t="s">
        <v>770</v>
      </c>
      <c r="M46" t="s">
        <v>1528</v>
      </c>
      <c r="N46" t="s">
        <v>829</v>
      </c>
      <c r="O46" t="s">
        <v>710</v>
      </c>
      <c r="P46" t="s">
        <v>807</v>
      </c>
      <c r="R46" t="s">
        <v>2060</v>
      </c>
    </row>
    <row r="47" spans="1:18" x14ac:dyDescent="0.35">
      <c r="A47" t="s">
        <v>719</v>
      </c>
      <c r="B47" t="s">
        <v>178</v>
      </c>
      <c r="C47" t="s">
        <v>190</v>
      </c>
      <c r="D47" t="s">
        <v>1420</v>
      </c>
      <c r="E47" t="s">
        <v>11</v>
      </c>
      <c r="F47" t="s">
        <v>21</v>
      </c>
      <c r="G47" t="s">
        <v>189</v>
      </c>
      <c r="H47" t="s">
        <v>10</v>
      </c>
      <c r="I47" t="s">
        <v>2209</v>
      </c>
      <c r="J47" t="s">
        <v>2210</v>
      </c>
      <c r="K47" t="s">
        <v>2211</v>
      </c>
      <c r="L47" t="s">
        <v>1472</v>
      </c>
      <c r="M47" t="s">
        <v>1475</v>
      </c>
      <c r="N47" t="s">
        <v>1476</v>
      </c>
      <c r="O47" t="s">
        <v>710</v>
      </c>
      <c r="P47" t="s">
        <v>2328</v>
      </c>
      <c r="R47" t="s">
        <v>2212</v>
      </c>
    </row>
    <row r="48" spans="1:18" s="18" customFormat="1" x14ac:dyDescent="0.35">
      <c r="A48" t="s">
        <v>719</v>
      </c>
      <c r="B48" t="s">
        <v>178</v>
      </c>
      <c r="C48" t="s">
        <v>191</v>
      </c>
      <c r="D48" t="s">
        <v>1423</v>
      </c>
      <c r="E48" t="s">
        <v>11</v>
      </c>
      <c r="F48" t="s">
        <v>44</v>
      </c>
      <c r="G48" t="s">
        <v>189</v>
      </c>
      <c r="H48" t="s">
        <v>10</v>
      </c>
      <c r="I48" t="s">
        <v>2209</v>
      </c>
      <c r="J48" t="s">
        <v>2210</v>
      </c>
      <c r="K48" t="s">
        <v>2211</v>
      </c>
      <c r="L48" t="s">
        <v>1472</v>
      </c>
      <c r="M48" t="s">
        <v>1475</v>
      </c>
      <c r="N48" s="22" t="s">
        <v>1476</v>
      </c>
      <c r="O48" t="s">
        <v>710</v>
      </c>
      <c r="P48" t="s">
        <v>2328</v>
      </c>
      <c r="Q48"/>
      <c r="R48" t="s">
        <v>2212</v>
      </c>
    </row>
    <row r="49" spans="1:18" s="18" customFormat="1" x14ac:dyDescent="0.35">
      <c r="A49" t="s">
        <v>155</v>
      </c>
      <c r="B49" t="s">
        <v>287</v>
      </c>
      <c r="C49" t="s">
        <v>288</v>
      </c>
      <c r="D49" t="s">
        <v>1155</v>
      </c>
      <c r="E49" t="s">
        <v>233</v>
      </c>
      <c r="F49" t="s">
        <v>255</v>
      </c>
      <c r="G49" t="s">
        <v>244</v>
      </c>
      <c r="H49" t="s">
        <v>10</v>
      </c>
      <c r="I49" t="s">
        <v>2048</v>
      </c>
      <c r="J49"/>
      <c r="K49"/>
      <c r="L49" t="s">
        <v>812</v>
      </c>
      <c r="M49"/>
      <c r="N49" t="s">
        <v>707</v>
      </c>
      <c r="O49" t="s">
        <v>747</v>
      </c>
      <c r="P49" t="s">
        <v>2419</v>
      </c>
      <c r="Q49"/>
      <c r="R49" t="s">
        <v>2436</v>
      </c>
    </row>
    <row r="50" spans="1:18" s="18" customFormat="1" x14ac:dyDescent="0.35">
      <c r="A50" t="s">
        <v>155</v>
      </c>
      <c r="B50" t="s">
        <v>287</v>
      </c>
      <c r="C50" t="s">
        <v>289</v>
      </c>
      <c r="D50" t="s">
        <v>1156</v>
      </c>
      <c r="E50" t="s">
        <v>233</v>
      </c>
      <c r="F50" t="s">
        <v>255</v>
      </c>
      <c r="G50" t="s">
        <v>244</v>
      </c>
      <c r="H50" t="s">
        <v>10</v>
      </c>
      <c r="I50" t="s">
        <v>2048</v>
      </c>
      <c r="J50"/>
      <c r="K50"/>
      <c r="L50" t="s">
        <v>812</v>
      </c>
      <c r="M50"/>
      <c r="N50" t="s">
        <v>707</v>
      </c>
      <c r="O50" t="s">
        <v>747</v>
      </c>
      <c r="P50" t="s">
        <v>2419</v>
      </c>
      <c r="Q50"/>
      <c r="R50" t="s">
        <v>2436</v>
      </c>
    </row>
    <row r="51" spans="1:18" s="34" customFormat="1" x14ac:dyDescent="0.35">
      <c r="A51" s="34" t="s">
        <v>719</v>
      </c>
      <c r="B51" s="34" t="s">
        <v>178</v>
      </c>
      <c r="C51" s="34" t="s">
        <v>192</v>
      </c>
      <c r="D51" s="34" t="s">
        <v>1421</v>
      </c>
      <c r="E51" s="34" t="s">
        <v>11</v>
      </c>
      <c r="F51" s="34" t="s">
        <v>44</v>
      </c>
      <c r="G51" s="34" t="s">
        <v>189</v>
      </c>
      <c r="H51" s="34" t="s">
        <v>10</v>
      </c>
      <c r="I51" s="34" t="s">
        <v>2209</v>
      </c>
      <c r="J51" s="34" t="s">
        <v>2210</v>
      </c>
      <c r="K51" s="34" t="s">
        <v>2211</v>
      </c>
      <c r="L51" s="34" t="s">
        <v>1472</v>
      </c>
      <c r="M51" s="34" t="s">
        <v>1475</v>
      </c>
      <c r="N51" s="34" t="s">
        <v>1476</v>
      </c>
      <c r="O51" s="34" t="s">
        <v>710</v>
      </c>
      <c r="P51" s="34" t="s">
        <v>2328</v>
      </c>
      <c r="R51" s="34" t="s">
        <v>2212</v>
      </c>
    </row>
    <row r="52" spans="1:18" s="34" customFormat="1" x14ac:dyDescent="0.35">
      <c r="A52" s="34" t="s">
        <v>719</v>
      </c>
      <c r="B52" s="34" t="s">
        <v>178</v>
      </c>
      <c r="C52" s="34" t="s">
        <v>192</v>
      </c>
      <c r="D52" s="34" t="s">
        <v>1427</v>
      </c>
      <c r="E52" s="34" t="s">
        <v>233</v>
      </c>
      <c r="F52" s="34" t="s">
        <v>44</v>
      </c>
      <c r="G52" s="34" t="s">
        <v>291</v>
      </c>
      <c r="H52" s="34" t="s">
        <v>10</v>
      </c>
      <c r="I52" s="34" t="s">
        <v>2209</v>
      </c>
      <c r="J52" s="34" t="s">
        <v>2210</v>
      </c>
      <c r="K52" s="34" t="s">
        <v>2211</v>
      </c>
      <c r="L52" s="34" t="s">
        <v>1472</v>
      </c>
      <c r="M52" s="34" t="s">
        <v>1475</v>
      </c>
      <c r="N52" s="34" t="s">
        <v>707</v>
      </c>
      <c r="O52" s="34" t="s">
        <v>710</v>
      </c>
      <c r="P52" s="34" t="s">
        <v>2328</v>
      </c>
      <c r="R52" s="34" t="s">
        <v>2212</v>
      </c>
    </row>
    <row r="53" spans="1:18" x14ac:dyDescent="0.35">
      <c r="A53" t="s">
        <v>717</v>
      </c>
      <c r="B53" t="s">
        <v>79</v>
      </c>
      <c r="C53" t="s">
        <v>132</v>
      </c>
      <c r="D53" t="s">
        <v>1270</v>
      </c>
      <c r="E53" t="s">
        <v>11</v>
      </c>
      <c r="F53" t="s">
        <v>21</v>
      </c>
      <c r="G53" t="s">
        <v>130</v>
      </c>
      <c r="H53" t="s">
        <v>10</v>
      </c>
      <c r="I53" t="s">
        <v>1853</v>
      </c>
      <c r="L53" t="s">
        <v>980</v>
      </c>
      <c r="M53" t="s">
        <v>707</v>
      </c>
      <c r="N53" t="s">
        <v>984</v>
      </c>
      <c r="O53" t="s">
        <v>710</v>
      </c>
      <c r="P53" t="s">
        <v>2328</v>
      </c>
      <c r="R53" t="s">
        <v>2117</v>
      </c>
    </row>
    <row r="54" spans="1:18" s="18" customFormat="1" x14ac:dyDescent="0.35">
      <c r="A54" s="18" t="s">
        <v>650</v>
      </c>
      <c r="B54" s="18" t="s">
        <v>650</v>
      </c>
      <c r="C54" s="18" t="s">
        <v>651</v>
      </c>
      <c r="D54" s="18" t="s">
        <v>1279</v>
      </c>
      <c r="E54" s="18" t="s">
        <v>375</v>
      </c>
      <c r="G54" s="18" t="s">
        <v>652</v>
      </c>
      <c r="H54" s="18" t="s">
        <v>374</v>
      </c>
      <c r="I54" s="18" t="s">
        <v>2122</v>
      </c>
      <c r="O54" s="18" t="s">
        <v>746</v>
      </c>
    </row>
    <row r="55" spans="1:18" s="18" customFormat="1" x14ac:dyDescent="0.35">
      <c r="B55" s="18" t="s">
        <v>592</v>
      </c>
      <c r="C55" s="18" t="s">
        <v>593</v>
      </c>
      <c r="D55" s="18" t="s">
        <v>1180</v>
      </c>
      <c r="E55" s="18" t="s">
        <v>375</v>
      </c>
      <c r="G55" s="18" t="s">
        <v>594</v>
      </c>
      <c r="H55" s="18" t="s">
        <v>374</v>
      </c>
      <c r="O55" s="18" t="s">
        <v>746</v>
      </c>
    </row>
    <row r="56" spans="1:18" x14ac:dyDescent="0.35">
      <c r="A56" s="18" t="s">
        <v>867</v>
      </c>
      <c r="B56" s="18" t="s">
        <v>571</v>
      </c>
      <c r="C56" s="18" t="s">
        <v>572</v>
      </c>
      <c r="D56" s="18" t="s">
        <v>1295</v>
      </c>
      <c r="E56" s="18" t="s">
        <v>375</v>
      </c>
      <c r="F56" s="18"/>
      <c r="G56" s="18" t="s">
        <v>573</v>
      </c>
      <c r="H56" s="18" t="s">
        <v>374</v>
      </c>
      <c r="I56" s="18" t="s">
        <v>2135</v>
      </c>
      <c r="J56" s="18"/>
      <c r="K56" s="18"/>
      <c r="L56" s="18"/>
      <c r="M56" s="18"/>
      <c r="N56" s="18"/>
      <c r="O56" s="18" t="s">
        <v>746</v>
      </c>
      <c r="P56" s="18"/>
      <c r="Q56" s="18"/>
      <c r="R56" s="18"/>
    </row>
    <row r="57" spans="1:18" x14ac:dyDescent="0.35">
      <c r="A57" t="s">
        <v>719</v>
      </c>
      <c r="B57" t="s">
        <v>178</v>
      </c>
      <c r="C57" t="s">
        <v>193</v>
      </c>
      <c r="D57" t="s">
        <v>1422</v>
      </c>
      <c r="E57" t="s">
        <v>11</v>
      </c>
      <c r="F57" t="s">
        <v>44</v>
      </c>
      <c r="G57" t="s">
        <v>189</v>
      </c>
      <c r="H57" t="s">
        <v>10</v>
      </c>
      <c r="I57" t="s">
        <v>2209</v>
      </c>
      <c r="J57" t="s">
        <v>2210</v>
      </c>
      <c r="K57" t="s">
        <v>2211</v>
      </c>
      <c r="L57" t="s">
        <v>1472</v>
      </c>
      <c r="M57" t="s">
        <v>1475</v>
      </c>
      <c r="N57" s="22" t="s">
        <v>1476</v>
      </c>
      <c r="O57" t="s">
        <v>710</v>
      </c>
      <c r="P57" t="s">
        <v>2328</v>
      </c>
      <c r="R57" t="s">
        <v>2212</v>
      </c>
    </row>
    <row r="58" spans="1:18" x14ac:dyDescent="0.35">
      <c r="A58" s="18" t="s">
        <v>880</v>
      </c>
      <c r="B58" s="18" t="s">
        <v>596</v>
      </c>
      <c r="C58" s="18" t="s">
        <v>597</v>
      </c>
      <c r="D58" s="18" t="s">
        <v>1328</v>
      </c>
      <c r="E58" s="18" t="s">
        <v>375</v>
      </c>
      <c r="F58" s="18"/>
      <c r="G58" s="18" t="s">
        <v>598</v>
      </c>
      <c r="H58" s="18" t="s">
        <v>374</v>
      </c>
      <c r="I58" s="18" t="s">
        <v>2155</v>
      </c>
      <c r="J58" s="18"/>
      <c r="K58" s="18"/>
      <c r="L58" s="18"/>
      <c r="M58" s="18"/>
      <c r="N58" s="18"/>
      <c r="O58" s="18" t="s">
        <v>746</v>
      </c>
      <c r="P58" s="18"/>
      <c r="Q58" s="18"/>
      <c r="R58" s="18"/>
    </row>
    <row r="59" spans="1:18" s="18" customFormat="1" x14ac:dyDescent="0.35">
      <c r="A59" s="18" t="s">
        <v>850</v>
      </c>
      <c r="B59" s="18" t="s">
        <v>558</v>
      </c>
      <c r="C59" s="18" t="s">
        <v>559</v>
      </c>
      <c r="D59" s="18" t="s">
        <v>1235</v>
      </c>
      <c r="E59" s="18" t="s">
        <v>375</v>
      </c>
      <c r="G59" s="18" t="s">
        <v>560</v>
      </c>
      <c r="H59" s="18" t="s">
        <v>374</v>
      </c>
      <c r="I59" s="18" t="s">
        <v>2099</v>
      </c>
      <c r="O59" s="18" t="s">
        <v>746</v>
      </c>
    </row>
    <row r="60" spans="1:18" s="18" customFormat="1" x14ac:dyDescent="0.35">
      <c r="A60" s="18" t="s">
        <v>845</v>
      </c>
      <c r="B60" s="18" t="s">
        <v>458</v>
      </c>
      <c r="C60" s="18" t="s">
        <v>459</v>
      </c>
      <c r="D60" s="18" t="s">
        <v>1227</v>
      </c>
      <c r="E60" s="18" t="s">
        <v>375</v>
      </c>
      <c r="G60" s="18" t="s">
        <v>460</v>
      </c>
      <c r="H60" s="18" t="s">
        <v>374</v>
      </c>
      <c r="I60" s="18" t="s">
        <v>2092</v>
      </c>
      <c r="O60" s="18" t="s">
        <v>746</v>
      </c>
    </row>
    <row r="61" spans="1:18" s="18" customFormat="1" x14ac:dyDescent="0.35">
      <c r="A61" t="s">
        <v>261</v>
      </c>
      <c r="B61" t="s">
        <v>261</v>
      </c>
      <c r="C61" t="s">
        <v>293</v>
      </c>
      <c r="D61" t="s">
        <v>1138</v>
      </c>
      <c r="E61" t="s">
        <v>233</v>
      </c>
      <c r="F61" t="s">
        <v>249</v>
      </c>
      <c r="G61" t="s">
        <v>252</v>
      </c>
      <c r="H61" t="s">
        <v>10</v>
      </c>
      <c r="I61" t="s">
        <v>1956</v>
      </c>
      <c r="J61"/>
      <c r="K61"/>
      <c r="L61" t="s">
        <v>738</v>
      </c>
      <c r="M61" t="s">
        <v>2038</v>
      </c>
      <c r="N61" t="s">
        <v>707</v>
      </c>
      <c r="O61" t="s">
        <v>746</v>
      </c>
      <c r="P61" t="s">
        <v>807</v>
      </c>
      <c r="Q61"/>
      <c r="R61" t="s">
        <v>2039</v>
      </c>
    </row>
    <row r="62" spans="1:18" s="18" customFormat="1" x14ac:dyDescent="0.35">
      <c r="A62" t="s">
        <v>14</v>
      </c>
      <c r="B62" t="s">
        <v>14</v>
      </c>
      <c r="C62" t="s">
        <v>18</v>
      </c>
      <c r="D62" t="s">
        <v>1127</v>
      </c>
      <c r="E62" t="s">
        <v>11</v>
      </c>
      <c r="F62" t="s">
        <v>19</v>
      </c>
      <c r="G62" t="s">
        <v>16</v>
      </c>
      <c r="H62" t="s">
        <v>10</v>
      </c>
      <c r="I62" t="s">
        <v>2034</v>
      </c>
      <c r="J62"/>
      <c r="K62"/>
      <c r="L62" s="2" t="s">
        <v>768</v>
      </c>
      <c r="M62" s="2" t="s">
        <v>1502</v>
      </c>
      <c r="N62" s="2" t="s">
        <v>1503</v>
      </c>
      <c r="O62" t="s">
        <v>710</v>
      </c>
      <c r="P62" t="s">
        <v>772</v>
      </c>
      <c r="Q62"/>
      <c r="R62" t="s">
        <v>2036</v>
      </c>
    </row>
    <row r="63" spans="1:18" s="18" customFormat="1" x14ac:dyDescent="0.35">
      <c r="A63" t="s">
        <v>718</v>
      </c>
      <c r="B63" t="s">
        <v>151</v>
      </c>
      <c r="C63" t="s">
        <v>152</v>
      </c>
      <c r="D63" t="s">
        <v>1354</v>
      </c>
      <c r="E63" t="s">
        <v>11</v>
      </c>
      <c r="F63" t="s">
        <v>148</v>
      </c>
      <c r="G63" t="s">
        <v>147</v>
      </c>
      <c r="H63" t="s">
        <v>10</v>
      </c>
      <c r="I63" t="s">
        <v>2167</v>
      </c>
      <c r="J63"/>
      <c r="K63"/>
      <c r="L63" t="s">
        <v>1055</v>
      </c>
      <c r="M63" t="s">
        <v>1059</v>
      </c>
      <c r="N63" s="22" t="s">
        <v>1060</v>
      </c>
      <c r="O63" t="s">
        <v>749</v>
      </c>
      <c r="P63" t="s">
        <v>2328</v>
      </c>
      <c r="Q63" t="s">
        <v>2498</v>
      </c>
      <c r="R63" t="s">
        <v>2298</v>
      </c>
    </row>
    <row r="64" spans="1:18" s="18" customFormat="1" x14ac:dyDescent="0.35">
      <c r="A64" s="18" t="s">
        <v>875</v>
      </c>
      <c r="B64" s="18" t="s">
        <v>537</v>
      </c>
      <c r="C64" s="18" t="s">
        <v>538</v>
      </c>
      <c r="D64" s="18" t="s">
        <v>1307</v>
      </c>
      <c r="E64" s="18" t="s">
        <v>375</v>
      </c>
      <c r="G64" s="18" t="s">
        <v>536</v>
      </c>
      <c r="H64" s="18" t="s">
        <v>374</v>
      </c>
      <c r="I64" s="18" t="s">
        <v>2145</v>
      </c>
      <c r="O64" s="18" t="s">
        <v>746</v>
      </c>
    </row>
    <row r="65" spans="1:18" x14ac:dyDescent="0.35">
      <c r="A65" t="s">
        <v>167</v>
      </c>
      <c r="B65" t="s">
        <v>167</v>
      </c>
      <c r="C65" t="s">
        <v>168</v>
      </c>
      <c r="D65" t="s">
        <v>1398</v>
      </c>
      <c r="E65" t="s">
        <v>11</v>
      </c>
      <c r="F65" t="s">
        <v>34</v>
      </c>
      <c r="G65" t="s">
        <v>157</v>
      </c>
      <c r="H65" t="s">
        <v>10</v>
      </c>
      <c r="I65" t="s">
        <v>2201</v>
      </c>
      <c r="L65" t="s">
        <v>1100</v>
      </c>
      <c r="M65" t="s">
        <v>707</v>
      </c>
      <c r="N65" s="22" t="s">
        <v>1101</v>
      </c>
      <c r="O65" t="s">
        <v>748</v>
      </c>
      <c r="P65" t="s">
        <v>720</v>
      </c>
      <c r="R65" t="s">
        <v>2390</v>
      </c>
    </row>
    <row r="66" spans="1:18" s="18" customFormat="1" x14ac:dyDescent="0.35">
      <c r="A66" t="s">
        <v>167</v>
      </c>
      <c r="B66" t="s">
        <v>167</v>
      </c>
      <c r="C66" t="s">
        <v>169</v>
      </c>
      <c r="D66" t="s">
        <v>1399</v>
      </c>
      <c r="E66" t="s">
        <v>11</v>
      </c>
      <c r="F66" t="s">
        <v>34</v>
      </c>
      <c r="G66" t="s">
        <v>157</v>
      </c>
      <c r="H66" t="s">
        <v>10</v>
      </c>
      <c r="I66" t="s">
        <v>2201</v>
      </c>
      <c r="J66"/>
      <c r="K66"/>
      <c r="L66" t="s">
        <v>1100</v>
      </c>
      <c r="M66"/>
      <c r="N66"/>
      <c r="O66" t="s">
        <v>748</v>
      </c>
      <c r="P66" t="s">
        <v>720</v>
      </c>
      <c r="Q66"/>
      <c r="R66" t="s">
        <v>2390</v>
      </c>
    </row>
    <row r="67" spans="1:18" s="18" customFormat="1" x14ac:dyDescent="0.35">
      <c r="A67" s="18" t="s">
        <v>564</v>
      </c>
      <c r="B67" s="18" t="s">
        <v>564</v>
      </c>
      <c r="C67" s="18" t="s">
        <v>565</v>
      </c>
      <c r="D67" s="18" t="s">
        <v>1297</v>
      </c>
      <c r="E67" s="18" t="s">
        <v>375</v>
      </c>
      <c r="G67" s="18" t="s">
        <v>566</v>
      </c>
      <c r="H67" s="18" t="s">
        <v>374</v>
      </c>
      <c r="I67" s="18" t="s">
        <v>2136</v>
      </c>
      <c r="O67" s="18" t="s">
        <v>746</v>
      </c>
    </row>
    <row r="68" spans="1:18" s="18" customFormat="1" x14ac:dyDescent="0.35">
      <c r="A68" t="s">
        <v>56</v>
      </c>
      <c r="B68" t="s">
        <v>56</v>
      </c>
      <c r="C68" t="s">
        <v>57</v>
      </c>
      <c r="D68" t="s">
        <v>1431</v>
      </c>
      <c r="E68" t="s">
        <v>11</v>
      </c>
      <c r="F68" t="s">
        <v>19</v>
      </c>
      <c r="G68" t="s">
        <v>16</v>
      </c>
      <c r="H68" t="s">
        <v>10</v>
      </c>
      <c r="I68" t="s">
        <v>2214</v>
      </c>
      <c r="J68"/>
      <c r="K68"/>
      <c r="L68" s="22" t="s">
        <v>1111</v>
      </c>
      <c r="M68"/>
      <c r="N68" s="22" t="s">
        <v>1112</v>
      </c>
      <c r="O68" t="s">
        <v>746</v>
      </c>
      <c r="P68" t="s">
        <v>720</v>
      </c>
      <c r="Q68"/>
      <c r="R68" t="s">
        <v>2395</v>
      </c>
    </row>
    <row r="69" spans="1:18" s="18" customFormat="1" x14ac:dyDescent="0.35">
      <c r="A69" t="s">
        <v>730</v>
      </c>
      <c r="B69" t="s">
        <v>58</v>
      </c>
      <c r="C69" t="s">
        <v>59</v>
      </c>
      <c r="D69" t="s">
        <v>1439</v>
      </c>
      <c r="E69" t="s">
        <v>11</v>
      </c>
      <c r="F69" t="s">
        <v>13</v>
      </c>
      <c r="G69" t="s">
        <v>16</v>
      </c>
      <c r="H69" t="s">
        <v>10</v>
      </c>
      <c r="I69" t="s">
        <v>2220</v>
      </c>
      <c r="J69"/>
      <c r="K69"/>
      <c r="L69" t="s">
        <v>729</v>
      </c>
      <c r="M69" t="s">
        <v>1487</v>
      </c>
      <c r="N69" s="22" t="s">
        <v>1489</v>
      </c>
      <c r="O69" t="s">
        <v>746</v>
      </c>
      <c r="P69" t="s">
        <v>772</v>
      </c>
      <c r="Q69"/>
      <c r="R69" t="s">
        <v>2221</v>
      </c>
    </row>
    <row r="70" spans="1:18" s="18" customFormat="1" x14ac:dyDescent="0.35">
      <c r="A70" s="18" t="s">
        <v>578</v>
      </c>
      <c r="B70" s="18" t="s">
        <v>578</v>
      </c>
      <c r="C70" s="18" t="s">
        <v>579</v>
      </c>
      <c r="D70" s="18" t="s">
        <v>1447</v>
      </c>
      <c r="E70" s="18" t="s">
        <v>375</v>
      </c>
      <c r="G70" s="18" t="s">
        <v>580</v>
      </c>
      <c r="H70" s="18" t="s">
        <v>374</v>
      </c>
      <c r="I70" s="18" t="s">
        <v>2224</v>
      </c>
      <c r="O70" s="18" t="s">
        <v>746</v>
      </c>
    </row>
    <row r="71" spans="1:18" x14ac:dyDescent="0.35">
      <c r="A71" s="18" t="s">
        <v>452</v>
      </c>
      <c r="B71" s="18" t="s">
        <v>452</v>
      </c>
      <c r="C71" s="18" t="s">
        <v>453</v>
      </c>
      <c r="D71" s="18" t="s">
        <v>1288</v>
      </c>
      <c r="E71" s="18" t="s">
        <v>375</v>
      </c>
      <c r="F71" s="18"/>
      <c r="G71" s="18" t="s">
        <v>454</v>
      </c>
      <c r="H71" s="18" t="s">
        <v>374</v>
      </c>
      <c r="I71" s="18" t="s">
        <v>2128</v>
      </c>
      <c r="J71" s="18"/>
      <c r="K71" s="18"/>
      <c r="L71" s="18"/>
      <c r="M71" s="18"/>
      <c r="N71" s="18"/>
      <c r="O71" s="18" t="s">
        <v>746</v>
      </c>
      <c r="P71" s="18"/>
      <c r="Q71" s="18"/>
      <c r="R71" s="18"/>
    </row>
    <row r="72" spans="1:18" s="18" customFormat="1" ht="29" x14ac:dyDescent="0.35">
      <c r="A72" t="s">
        <v>145</v>
      </c>
      <c r="B72" t="s">
        <v>145</v>
      </c>
      <c r="C72" t="s">
        <v>146</v>
      </c>
      <c r="D72" t="s">
        <v>1172</v>
      </c>
      <c r="E72" t="s">
        <v>11</v>
      </c>
      <c r="F72" t="s">
        <v>148</v>
      </c>
      <c r="G72" t="s">
        <v>147</v>
      </c>
      <c r="H72" t="s">
        <v>10</v>
      </c>
      <c r="I72" t="s">
        <v>2057</v>
      </c>
      <c r="J72"/>
      <c r="K72"/>
      <c r="L72" s="17" t="s">
        <v>1527</v>
      </c>
      <c r="M72" s="17" t="s">
        <v>2058</v>
      </c>
      <c r="N72" s="30" t="s">
        <v>828</v>
      </c>
      <c r="O72" t="s">
        <v>710</v>
      </c>
      <c r="P72" s="17" t="s">
        <v>772</v>
      </c>
      <c r="Q72" s="17"/>
      <c r="R72" t="s">
        <v>2059</v>
      </c>
    </row>
    <row r="73" spans="1:18" x14ac:dyDescent="0.35">
      <c r="A73" s="18" t="s">
        <v>839</v>
      </c>
      <c r="B73" s="18" t="s">
        <v>628</v>
      </c>
      <c r="C73" s="18" t="s">
        <v>629</v>
      </c>
      <c r="D73" s="18" t="s">
        <v>1195</v>
      </c>
      <c r="E73" s="18" t="s">
        <v>375</v>
      </c>
      <c r="F73" s="18"/>
      <c r="G73" s="18" t="s">
        <v>627</v>
      </c>
      <c r="H73" s="18" t="s">
        <v>374</v>
      </c>
      <c r="I73" s="18" t="s">
        <v>2072</v>
      </c>
      <c r="J73" s="18"/>
      <c r="K73" s="18"/>
      <c r="L73" s="18"/>
      <c r="M73" s="18"/>
      <c r="N73" s="18"/>
      <c r="O73" s="18" t="s">
        <v>746</v>
      </c>
      <c r="P73" s="18"/>
      <c r="Q73" s="18"/>
      <c r="R73" s="18"/>
    </row>
    <row r="74" spans="1:18" s="18" customFormat="1" x14ac:dyDescent="0.35">
      <c r="A74" t="s">
        <v>39</v>
      </c>
      <c r="B74" t="s">
        <v>39</v>
      </c>
      <c r="C74" t="s">
        <v>41</v>
      </c>
      <c r="D74" t="s">
        <v>1316</v>
      </c>
      <c r="E74" t="s">
        <v>11</v>
      </c>
      <c r="F74" t="s">
        <v>13</v>
      </c>
      <c r="G74" t="s">
        <v>16</v>
      </c>
      <c r="H74" t="s">
        <v>10</v>
      </c>
      <c r="I74" t="s">
        <v>2151</v>
      </c>
      <c r="J74"/>
      <c r="K74"/>
      <c r="L74" t="s">
        <v>1030</v>
      </c>
      <c r="M74" s="2"/>
      <c r="N74" s="22" t="s">
        <v>1031</v>
      </c>
      <c r="O74" t="s">
        <v>710</v>
      </c>
      <c r="P74" t="s">
        <v>772</v>
      </c>
      <c r="Q74"/>
      <c r="R74" t="s">
        <v>2036</v>
      </c>
    </row>
    <row r="75" spans="1:18" x14ac:dyDescent="0.35">
      <c r="A75" t="s">
        <v>855</v>
      </c>
      <c r="B75" t="s">
        <v>32</v>
      </c>
      <c r="C75" t="s">
        <v>33</v>
      </c>
      <c r="D75" t="s">
        <v>1257</v>
      </c>
      <c r="E75" t="s">
        <v>11</v>
      </c>
      <c r="F75" t="s">
        <v>34</v>
      </c>
      <c r="G75" t="s">
        <v>16</v>
      </c>
      <c r="H75" t="s">
        <v>10</v>
      </c>
      <c r="I75" t="s">
        <v>2109</v>
      </c>
      <c r="L75" t="s">
        <v>955</v>
      </c>
      <c r="M75" t="s">
        <v>956</v>
      </c>
      <c r="N75" t="s">
        <v>957</v>
      </c>
      <c r="O75" t="s">
        <v>746</v>
      </c>
      <c r="P75" t="s">
        <v>772</v>
      </c>
      <c r="R75" t="s">
        <v>2944</v>
      </c>
    </row>
    <row r="76" spans="1:18" x14ac:dyDescent="0.35">
      <c r="A76" t="s">
        <v>797</v>
      </c>
      <c r="B76" t="s">
        <v>294</v>
      </c>
      <c r="C76" t="s">
        <v>295</v>
      </c>
      <c r="D76" t="s">
        <v>1212</v>
      </c>
      <c r="E76" t="s">
        <v>233</v>
      </c>
      <c r="F76" t="s">
        <v>249</v>
      </c>
      <c r="G76" t="s">
        <v>296</v>
      </c>
      <c r="H76" t="s">
        <v>10</v>
      </c>
      <c r="I76" t="s">
        <v>2083</v>
      </c>
      <c r="L76" s="3" t="s">
        <v>937</v>
      </c>
      <c r="M76" s="30" t="s">
        <v>936</v>
      </c>
      <c r="N76" t="s">
        <v>707</v>
      </c>
      <c r="O76" t="s">
        <v>746</v>
      </c>
      <c r="P76" t="s">
        <v>807</v>
      </c>
      <c r="R76" t="s">
        <v>2397</v>
      </c>
    </row>
    <row r="77" spans="1:18" x14ac:dyDescent="0.35">
      <c r="A77" s="18" t="s">
        <v>740</v>
      </c>
      <c r="B77" s="18" t="s">
        <v>372</v>
      </c>
      <c r="C77" s="18" t="s">
        <v>373</v>
      </c>
      <c r="D77" s="18" t="s">
        <v>1139</v>
      </c>
      <c r="E77" s="18" t="s">
        <v>375</v>
      </c>
      <c r="F77" s="18"/>
      <c r="G77" s="18" t="s">
        <v>376</v>
      </c>
      <c r="H77" s="18" t="s">
        <v>374</v>
      </c>
      <c r="I77" s="18" t="s">
        <v>2040</v>
      </c>
      <c r="J77" s="18"/>
      <c r="K77" s="18"/>
      <c r="L77" s="18"/>
      <c r="M77" s="18"/>
      <c r="N77" s="18"/>
      <c r="O77" s="18" t="s">
        <v>746</v>
      </c>
      <c r="P77" s="18"/>
      <c r="Q77" s="18"/>
      <c r="R77" s="18"/>
    </row>
    <row r="78" spans="1:18" x14ac:dyDescent="0.35">
      <c r="A78" s="18" t="s">
        <v>446</v>
      </c>
      <c r="B78" s="18" t="s">
        <v>446</v>
      </c>
      <c r="C78" s="18" t="s">
        <v>447</v>
      </c>
      <c r="D78" s="18" t="s">
        <v>1374</v>
      </c>
      <c r="E78" s="18" t="s">
        <v>375</v>
      </c>
      <c r="F78" s="18"/>
      <c r="G78" s="18" t="s">
        <v>448</v>
      </c>
      <c r="H78" s="18" t="s">
        <v>374</v>
      </c>
      <c r="I78" s="18" t="s">
        <v>2184</v>
      </c>
      <c r="J78" s="18"/>
      <c r="K78" s="18"/>
      <c r="L78" s="18"/>
      <c r="M78" s="18"/>
      <c r="N78" s="18"/>
      <c r="O78" s="18" t="s">
        <v>746</v>
      </c>
      <c r="P78" s="18"/>
      <c r="Q78" s="18"/>
      <c r="R78" s="18"/>
    </row>
    <row r="79" spans="1:18" x14ac:dyDescent="0.35">
      <c r="A79" t="s">
        <v>716</v>
      </c>
      <c r="B79" t="s">
        <v>297</v>
      </c>
      <c r="C79" t="s">
        <v>298</v>
      </c>
      <c r="D79" t="s">
        <v>1216</v>
      </c>
      <c r="E79" t="s">
        <v>233</v>
      </c>
      <c r="F79" t="s">
        <v>255</v>
      </c>
      <c r="G79" t="s">
        <v>244</v>
      </c>
      <c r="H79" t="s">
        <v>10</v>
      </c>
      <c r="I79" t="s">
        <v>2087</v>
      </c>
      <c r="L79" t="s">
        <v>943</v>
      </c>
      <c r="M79" t="s">
        <v>2301</v>
      </c>
      <c r="N79" t="s">
        <v>707</v>
      </c>
      <c r="O79" t="s">
        <v>746</v>
      </c>
      <c r="P79" t="s">
        <v>807</v>
      </c>
      <c r="R79" t="s">
        <v>2318</v>
      </c>
    </row>
    <row r="80" spans="1:18" s="18" customFormat="1" x14ac:dyDescent="0.35">
      <c r="B80" s="18" t="s">
        <v>584</v>
      </c>
      <c r="C80" s="18" t="s">
        <v>585</v>
      </c>
      <c r="D80" s="18" t="s">
        <v>1187</v>
      </c>
      <c r="E80" s="18" t="s">
        <v>375</v>
      </c>
      <c r="G80" s="18" t="s">
        <v>586</v>
      </c>
      <c r="H80" s="18" t="s">
        <v>374</v>
      </c>
      <c r="O80" s="18" t="s">
        <v>746</v>
      </c>
    </row>
    <row r="81" spans="1:18" s="18" customFormat="1" x14ac:dyDescent="0.35">
      <c r="A81" t="s">
        <v>155</v>
      </c>
      <c r="B81" t="s">
        <v>155</v>
      </c>
      <c r="C81" t="s">
        <v>156</v>
      </c>
      <c r="D81" t="s">
        <v>1153</v>
      </c>
      <c r="E81" t="s">
        <v>11</v>
      </c>
      <c r="F81" t="s">
        <v>34</v>
      </c>
      <c r="G81" t="s">
        <v>157</v>
      </c>
      <c r="H81" t="s">
        <v>10</v>
      </c>
      <c r="I81" t="s">
        <v>2048</v>
      </c>
      <c r="J81"/>
      <c r="K81"/>
      <c r="L81" t="s">
        <v>811</v>
      </c>
      <c r="M81" t="s">
        <v>2424</v>
      </c>
      <c r="N81" s="22" t="s">
        <v>816</v>
      </c>
      <c r="O81" t="s">
        <v>747</v>
      </c>
      <c r="P81" t="s">
        <v>2437</v>
      </c>
      <c r="Q81"/>
      <c r="R81" t="s">
        <v>2436</v>
      </c>
    </row>
    <row r="82" spans="1:18" s="18" customFormat="1" x14ac:dyDescent="0.35">
      <c r="A82" s="18" t="s">
        <v>382</v>
      </c>
      <c r="B82" s="18" t="s">
        <v>382</v>
      </c>
      <c r="C82" s="18" t="s">
        <v>383</v>
      </c>
      <c r="D82" s="18" t="s">
        <v>1232</v>
      </c>
      <c r="E82" s="18" t="s">
        <v>375</v>
      </c>
      <c r="G82" s="18" t="s">
        <v>384</v>
      </c>
      <c r="H82" s="18" t="s">
        <v>374</v>
      </c>
      <c r="I82" s="18" t="s">
        <v>2097</v>
      </c>
      <c r="O82" s="18" t="s">
        <v>746</v>
      </c>
    </row>
    <row r="83" spans="1:18" s="18" customFormat="1" x14ac:dyDescent="0.35">
      <c r="A83" t="s">
        <v>872</v>
      </c>
      <c r="B83" t="s">
        <v>37</v>
      </c>
      <c r="C83" t="s">
        <v>38</v>
      </c>
      <c r="D83" t="s">
        <v>1304</v>
      </c>
      <c r="E83" t="s">
        <v>11</v>
      </c>
      <c r="F83" t="s">
        <v>23</v>
      </c>
      <c r="G83" t="s">
        <v>16</v>
      </c>
      <c r="H83" t="s">
        <v>10</v>
      </c>
      <c r="I83" t="s">
        <v>2143</v>
      </c>
      <c r="J83"/>
      <c r="K83"/>
      <c r="L83" t="s">
        <v>1013</v>
      </c>
      <c r="M83" s="22" t="s">
        <v>1014</v>
      </c>
      <c r="N83" s="22" t="s">
        <v>1015</v>
      </c>
      <c r="O83" t="s">
        <v>746</v>
      </c>
      <c r="P83" t="s">
        <v>772</v>
      </c>
      <c r="Q83"/>
      <c r="R83" t="s">
        <v>2356</v>
      </c>
    </row>
    <row r="84" spans="1:18" s="18" customFormat="1" x14ac:dyDescent="0.35">
      <c r="A84" t="s">
        <v>715</v>
      </c>
      <c r="B84" t="s">
        <v>142</v>
      </c>
      <c r="C84" t="s">
        <v>195</v>
      </c>
      <c r="D84" t="s">
        <v>1247</v>
      </c>
      <c r="E84" t="s">
        <v>11</v>
      </c>
      <c r="F84" t="s">
        <v>13</v>
      </c>
      <c r="G84" t="s">
        <v>196</v>
      </c>
      <c r="H84" t="s">
        <v>10</v>
      </c>
      <c r="I84" t="s">
        <v>2104</v>
      </c>
      <c r="J84" t="s">
        <v>2105</v>
      </c>
      <c r="K84" t="s">
        <v>2106</v>
      </c>
      <c r="L84" t="s">
        <v>962</v>
      </c>
      <c r="M84" t="s">
        <v>963</v>
      </c>
      <c r="N84" s="22" t="s">
        <v>964</v>
      </c>
      <c r="O84" t="s">
        <v>710</v>
      </c>
      <c r="P84" t="s">
        <v>2419</v>
      </c>
      <c r="Q84" t="s">
        <v>2457</v>
      </c>
      <c r="R84" t="s">
        <v>2473</v>
      </c>
    </row>
    <row r="85" spans="1:18" s="18" customFormat="1" x14ac:dyDescent="0.35">
      <c r="A85" s="18" t="s">
        <v>908</v>
      </c>
      <c r="B85" s="18" t="s">
        <v>449</v>
      </c>
      <c r="C85" s="18" t="s">
        <v>450</v>
      </c>
      <c r="D85" s="18" t="s">
        <v>1414</v>
      </c>
      <c r="E85" s="18" t="s">
        <v>375</v>
      </c>
      <c r="G85" s="18" t="s">
        <v>451</v>
      </c>
      <c r="H85" s="18" t="s">
        <v>374</v>
      </c>
      <c r="I85" s="18" t="s">
        <v>2204</v>
      </c>
      <c r="O85" s="18" t="s">
        <v>746</v>
      </c>
    </row>
    <row r="86" spans="1:18" s="18" customFormat="1" x14ac:dyDescent="0.35">
      <c r="A86" t="s">
        <v>754</v>
      </c>
      <c r="B86" t="s">
        <v>149</v>
      </c>
      <c r="C86" t="s">
        <v>150</v>
      </c>
      <c r="D86" t="s">
        <v>1204</v>
      </c>
      <c r="E86" t="s">
        <v>11</v>
      </c>
      <c r="F86" t="s">
        <v>98</v>
      </c>
      <c r="G86" t="s">
        <v>147</v>
      </c>
      <c r="H86" t="s">
        <v>10</v>
      </c>
      <c r="I86" t="s">
        <v>2023</v>
      </c>
      <c r="J86"/>
      <c r="K86"/>
      <c r="L86" t="s">
        <v>930</v>
      </c>
      <c r="M86" t="s">
        <v>757</v>
      </c>
      <c r="N86" s="22" t="s">
        <v>929</v>
      </c>
      <c r="O86" t="s">
        <v>710</v>
      </c>
      <c r="P86" t="s">
        <v>807</v>
      </c>
      <c r="Q86"/>
      <c r="R86" t="s">
        <v>2284</v>
      </c>
    </row>
    <row r="87" spans="1:18" s="18" customFormat="1" x14ac:dyDescent="0.35">
      <c r="A87" s="18" t="s">
        <v>39</v>
      </c>
      <c r="B87" s="18" t="s">
        <v>400</v>
      </c>
      <c r="C87" s="18" t="s">
        <v>401</v>
      </c>
      <c r="D87" s="18" t="s">
        <v>1325</v>
      </c>
      <c r="E87" s="18" t="s">
        <v>375</v>
      </c>
      <c r="G87" s="18" t="s">
        <v>130</v>
      </c>
      <c r="H87" s="18" t="s">
        <v>374</v>
      </c>
      <c r="I87" s="18" t="s">
        <v>2151</v>
      </c>
      <c r="L87" s="18" t="s">
        <v>1038</v>
      </c>
      <c r="M87" s="18" t="s">
        <v>1038</v>
      </c>
      <c r="O87" s="18" t="s">
        <v>710</v>
      </c>
    </row>
    <row r="88" spans="1:18" s="34" customFormat="1" x14ac:dyDescent="0.35">
      <c r="A88" s="34" t="s">
        <v>719</v>
      </c>
      <c r="B88" s="34" t="s">
        <v>178</v>
      </c>
      <c r="C88" s="34" t="s">
        <v>194</v>
      </c>
      <c r="D88" s="34" t="s">
        <v>1419</v>
      </c>
      <c r="E88" s="34" t="s">
        <v>11</v>
      </c>
      <c r="F88" s="34" t="s">
        <v>23</v>
      </c>
      <c r="G88" s="34" t="s">
        <v>189</v>
      </c>
      <c r="H88" s="34" t="s">
        <v>10</v>
      </c>
      <c r="I88" s="34" t="s">
        <v>2209</v>
      </c>
      <c r="J88" s="34" t="s">
        <v>2210</v>
      </c>
      <c r="K88" s="34" t="s">
        <v>2211</v>
      </c>
      <c r="L88" s="34" t="s">
        <v>1472</v>
      </c>
      <c r="M88" s="34" t="s">
        <v>1475</v>
      </c>
      <c r="N88" s="34" t="s">
        <v>1476</v>
      </c>
      <c r="O88" s="34" t="s">
        <v>710</v>
      </c>
      <c r="P88" s="34" t="s">
        <v>2328</v>
      </c>
      <c r="R88" s="34" t="s">
        <v>2212</v>
      </c>
    </row>
    <row r="89" spans="1:18" s="18" customFormat="1" x14ac:dyDescent="0.35">
      <c r="A89" t="s">
        <v>715</v>
      </c>
      <c r="B89" t="s">
        <v>142</v>
      </c>
      <c r="C89" t="s">
        <v>301</v>
      </c>
      <c r="D89" t="s">
        <v>1251</v>
      </c>
      <c r="E89" t="s">
        <v>233</v>
      </c>
      <c r="F89" t="s">
        <v>303</v>
      </c>
      <c r="G89" t="s">
        <v>302</v>
      </c>
      <c r="H89" t="s">
        <v>10</v>
      </c>
      <c r="I89" t="s">
        <v>2104</v>
      </c>
      <c r="J89"/>
      <c r="K89"/>
      <c r="L89" t="s">
        <v>962</v>
      </c>
      <c r="M89" s="22" t="s">
        <v>2107</v>
      </c>
      <c r="N89" t="s">
        <v>707</v>
      </c>
      <c r="O89" t="s">
        <v>710</v>
      </c>
      <c r="P89" t="s">
        <v>807</v>
      </c>
      <c r="Q89" t="s">
        <v>2457</v>
      </c>
      <c r="R89" t="s">
        <v>2473</v>
      </c>
    </row>
    <row r="90" spans="1:18" s="18" customFormat="1" x14ac:dyDescent="0.35">
      <c r="A90" s="18" t="s">
        <v>892</v>
      </c>
      <c r="B90" s="18" t="s">
        <v>510</v>
      </c>
      <c r="C90" s="18" t="s">
        <v>511</v>
      </c>
      <c r="D90" s="18" t="s">
        <v>1359</v>
      </c>
      <c r="E90" s="18" t="s">
        <v>375</v>
      </c>
      <c r="G90" s="18" t="s">
        <v>509</v>
      </c>
      <c r="H90" s="18" t="s">
        <v>374</v>
      </c>
      <c r="I90" s="18" t="s">
        <v>2172</v>
      </c>
      <c r="O90" s="18" t="s">
        <v>746</v>
      </c>
    </row>
    <row r="91" spans="1:18" s="18" customFormat="1" x14ac:dyDescent="0.35">
      <c r="A91" t="s">
        <v>135</v>
      </c>
      <c r="B91" t="s">
        <v>135</v>
      </c>
      <c r="C91" t="s">
        <v>136</v>
      </c>
      <c r="D91" t="s">
        <v>1395</v>
      </c>
      <c r="E91" t="s">
        <v>11</v>
      </c>
      <c r="F91" t="s">
        <v>19</v>
      </c>
      <c r="G91" t="s">
        <v>137</v>
      </c>
      <c r="H91" t="s">
        <v>10</v>
      </c>
      <c r="I91" t="s">
        <v>2200</v>
      </c>
      <c r="J91"/>
      <c r="K91"/>
      <c r="L91" s="2" t="s">
        <v>727</v>
      </c>
      <c r="M91" s="22" t="s">
        <v>1461</v>
      </c>
      <c r="N91" s="22" t="s">
        <v>1460</v>
      </c>
      <c r="O91" t="s">
        <v>746</v>
      </c>
      <c r="P91" t="s">
        <v>772</v>
      </c>
      <c r="Q91"/>
      <c r="R91" t="s">
        <v>2221</v>
      </c>
    </row>
    <row r="92" spans="1:18" s="18" customFormat="1" x14ac:dyDescent="0.35">
      <c r="A92" s="18" t="s">
        <v>39</v>
      </c>
      <c r="B92" s="18" t="s">
        <v>39</v>
      </c>
      <c r="C92" s="18" t="s">
        <v>402</v>
      </c>
      <c r="D92" s="18" t="s">
        <v>1324</v>
      </c>
      <c r="E92" s="18" t="s">
        <v>375</v>
      </c>
      <c r="G92" s="18" t="s">
        <v>130</v>
      </c>
      <c r="H92" s="18" t="s">
        <v>374</v>
      </c>
      <c r="I92" s="18" t="s">
        <v>2151</v>
      </c>
      <c r="M92" s="19"/>
      <c r="O92" s="18" t="s">
        <v>710</v>
      </c>
    </row>
    <row r="93" spans="1:18" s="18" customFormat="1" x14ac:dyDescent="0.35">
      <c r="B93" s="18" t="s">
        <v>430</v>
      </c>
      <c r="C93" s="18" t="s">
        <v>431</v>
      </c>
      <c r="D93" s="18" t="s">
        <v>1189</v>
      </c>
      <c r="E93" s="18" t="s">
        <v>375</v>
      </c>
      <c r="G93" s="18" t="s">
        <v>81</v>
      </c>
      <c r="H93" s="18" t="s">
        <v>374</v>
      </c>
      <c r="O93" s="18" t="s">
        <v>746</v>
      </c>
    </row>
    <row r="94" spans="1:18" x14ac:dyDescent="0.35">
      <c r="A94" t="s">
        <v>14</v>
      </c>
      <c r="B94" t="s">
        <v>14</v>
      </c>
      <c r="C94" t="s">
        <v>66</v>
      </c>
      <c r="D94" t="s">
        <v>1124</v>
      </c>
      <c r="E94" t="s">
        <v>11</v>
      </c>
      <c r="F94" t="s">
        <v>13</v>
      </c>
      <c r="G94" t="s">
        <v>64</v>
      </c>
      <c r="H94" t="s">
        <v>10</v>
      </c>
      <c r="I94" t="s">
        <v>2034</v>
      </c>
      <c r="L94" s="2" t="s">
        <v>768</v>
      </c>
      <c r="M94" s="2" t="s">
        <v>1508</v>
      </c>
      <c r="N94" s="2" t="s">
        <v>1509</v>
      </c>
      <c r="O94" t="s">
        <v>710</v>
      </c>
      <c r="P94" t="s">
        <v>772</v>
      </c>
      <c r="R94" t="s">
        <v>2036</v>
      </c>
    </row>
    <row r="95" spans="1:18" x14ac:dyDescent="0.35">
      <c r="A95" t="s">
        <v>718</v>
      </c>
      <c r="B95" t="s">
        <v>246</v>
      </c>
      <c r="C95" t="s">
        <v>304</v>
      </c>
      <c r="D95" t="s">
        <v>1346</v>
      </c>
      <c r="E95" t="s">
        <v>233</v>
      </c>
      <c r="F95" t="s">
        <v>249</v>
      </c>
      <c r="G95" t="s">
        <v>248</v>
      </c>
      <c r="H95" t="s">
        <v>10</v>
      </c>
      <c r="I95" t="s">
        <v>2167</v>
      </c>
      <c r="J95" t="s">
        <v>2168</v>
      </c>
      <c r="K95" t="s">
        <v>2169</v>
      </c>
      <c r="L95" t="s">
        <v>1055</v>
      </c>
      <c r="M95" t="s">
        <v>1062</v>
      </c>
      <c r="N95" t="s">
        <v>707</v>
      </c>
      <c r="O95" t="s">
        <v>749</v>
      </c>
      <c r="P95" t="s">
        <v>2328</v>
      </c>
      <c r="Q95" t="s">
        <v>2498</v>
      </c>
      <c r="R95" t="s">
        <v>2298</v>
      </c>
    </row>
    <row r="96" spans="1:18" x14ac:dyDescent="0.35">
      <c r="A96" s="18" t="s">
        <v>390</v>
      </c>
      <c r="B96" s="18" t="s">
        <v>390</v>
      </c>
      <c r="C96" s="18" t="s">
        <v>391</v>
      </c>
      <c r="D96" s="18" t="s">
        <v>1376</v>
      </c>
      <c r="E96" s="18" t="s">
        <v>375</v>
      </c>
      <c r="F96" s="18"/>
      <c r="G96" s="18" t="s">
        <v>389</v>
      </c>
      <c r="H96" s="18" t="s">
        <v>374</v>
      </c>
      <c r="I96" s="18" t="s">
        <v>2186</v>
      </c>
      <c r="J96" s="18"/>
      <c r="K96" s="18"/>
      <c r="L96" s="18"/>
      <c r="M96" s="18"/>
      <c r="N96" s="18"/>
      <c r="O96" s="18" t="s">
        <v>746</v>
      </c>
      <c r="P96" s="18"/>
      <c r="Q96" s="18"/>
      <c r="R96" s="18"/>
    </row>
    <row r="97" spans="1:18" x14ac:dyDescent="0.35">
      <c r="A97" t="s">
        <v>903</v>
      </c>
      <c r="B97" t="s">
        <v>306</v>
      </c>
      <c r="C97" t="s">
        <v>307</v>
      </c>
      <c r="D97" t="s">
        <v>1380</v>
      </c>
      <c r="E97" t="s">
        <v>233</v>
      </c>
      <c r="F97" t="s">
        <v>245</v>
      </c>
      <c r="G97" t="s">
        <v>244</v>
      </c>
      <c r="H97" t="s">
        <v>10</v>
      </c>
      <c r="I97" t="s">
        <v>2190</v>
      </c>
      <c r="L97" t="s">
        <v>1097</v>
      </c>
      <c r="M97" t="s">
        <v>1098</v>
      </c>
      <c r="N97" t="s">
        <v>707</v>
      </c>
      <c r="O97" t="s">
        <v>746</v>
      </c>
      <c r="P97" t="s">
        <v>720</v>
      </c>
      <c r="R97" t="s">
        <v>2191</v>
      </c>
    </row>
    <row r="98" spans="1:18" x14ac:dyDescent="0.35">
      <c r="A98" t="s">
        <v>27</v>
      </c>
      <c r="B98" t="s">
        <v>27</v>
      </c>
      <c r="C98" t="s">
        <v>28</v>
      </c>
      <c r="D98" t="s">
        <v>1166</v>
      </c>
      <c r="E98" t="s">
        <v>11</v>
      </c>
      <c r="F98" t="s">
        <v>23</v>
      </c>
      <c r="G98" t="s">
        <v>16</v>
      </c>
      <c r="H98" t="s">
        <v>10</v>
      </c>
      <c r="I98" t="s">
        <v>2055</v>
      </c>
      <c r="L98" s="2" t="s">
        <v>751</v>
      </c>
      <c r="M98" t="s">
        <v>1525</v>
      </c>
      <c r="N98" s="22" t="s">
        <v>1524</v>
      </c>
      <c r="O98" t="s">
        <v>710</v>
      </c>
      <c r="P98" t="s">
        <v>772</v>
      </c>
      <c r="R98" t="s">
        <v>2396</v>
      </c>
    </row>
    <row r="99" spans="1:18" x14ac:dyDescent="0.35">
      <c r="A99" s="18" t="s">
        <v>421</v>
      </c>
      <c r="B99" s="18" t="s">
        <v>421</v>
      </c>
      <c r="C99" s="18" t="s">
        <v>422</v>
      </c>
      <c r="D99" s="18" t="s">
        <v>1309</v>
      </c>
      <c r="E99" s="18" t="s">
        <v>375</v>
      </c>
      <c r="F99" s="18"/>
      <c r="G99" s="18" t="s">
        <v>423</v>
      </c>
      <c r="H99" s="18" t="s">
        <v>374</v>
      </c>
      <c r="I99" s="18" t="s">
        <v>2147</v>
      </c>
      <c r="J99" s="18"/>
      <c r="K99" s="18"/>
      <c r="L99" s="18"/>
      <c r="M99" s="18"/>
      <c r="N99" s="18"/>
      <c r="O99" s="18" t="s">
        <v>746</v>
      </c>
      <c r="P99" s="18"/>
      <c r="Q99" s="18"/>
      <c r="R99" s="18"/>
    </row>
    <row r="100" spans="1:18" x14ac:dyDescent="0.35">
      <c r="A100" t="s">
        <v>101</v>
      </c>
      <c r="B100" t="s">
        <v>101</v>
      </c>
      <c r="C100" t="s">
        <v>126</v>
      </c>
      <c r="D100" t="s">
        <v>1400</v>
      </c>
      <c r="E100" t="s">
        <v>11</v>
      </c>
      <c r="F100" t="s">
        <v>34</v>
      </c>
      <c r="G100" t="s">
        <v>127</v>
      </c>
      <c r="H100" t="s">
        <v>10</v>
      </c>
      <c r="I100" t="s">
        <v>1850</v>
      </c>
      <c r="L100" t="s">
        <v>1466</v>
      </c>
      <c r="M100" t="s">
        <v>712</v>
      </c>
      <c r="N100" s="22" t="s">
        <v>1471</v>
      </c>
      <c r="O100" t="s">
        <v>710</v>
      </c>
      <c r="P100" t="s">
        <v>2328</v>
      </c>
      <c r="R100" t="s">
        <v>2500</v>
      </c>
    </row>
    <row r="101" spans="1:18" x14ac:dyDescent="0.35">
      <c r="A101" t="s">
        <v>39</v>
      </c>
      <c r="B101" t="s">
        <v>39</v>
      </c>
      <c r="C101" t="s">
        <v>42</v>
      </c>
      <c r="D101" t="s">
        <v>1319</v>
      </c>
      <c r="E101" t="s">
        <v>11</v>
      </c>
      <c r="F101" t="s">
        <v>13</v>
      </c>
      <c r="G101" t="s">
        <v>16</v>
      </c>
      <c r="H101" t="s">
        <v>10</v>
      </c>
      <c r="I101" t="s">
        <v>2151</v>
      </c>
      <c r="J101" t="s">
        <v>1587</v>
      </c>
      <c r="K101" t="s">
        <v>1754</v>
      </c>
      <c r="L101" t="s">
        <v>1030</v>
      </c>
      <c r="M101" s="2" t="s">
        <v>1026</v>
      </c>
      <c r="N101" s="2" t="s">
        <v>1032</v>
      </c>
      <c r="O101" t="s">
        <v>710</v>
      </c>
      <c r="P101" t="s">
        <v>772</v>
      </c>
      <c r="R101" t="s">
        <v>2036</v>
      </c>
    </row>
    <row r="102" spans="1:18" x14ac:dyDescent="0.35">
      <c r="A102" s="18" t="s">
        <v>840</v>
      </c>
      <c r="B102" s="18" t="s">
        <v>704</v>
      </c>
      <c r="C102" s="18" t="s">
        <v>216</v>
      </c>
      <c r="D102" s="18" t="s">
        <v>1203</v>
      </c>
      <c r="E102" s="18" t="s">
        <v>375</v>
      </c>
      <c r="F102" s="18"/>
      <c r="G102" s="18" t="s">
        <v>705</v>
      </c>
      <c r="H102" s="18" t="s">
        <v>374</v>
      </c>
      <c r="I102" s="18" t="s">
        <v>2075</v>
      </c>
      <c r="J102" s="18"/>
      <c r="K102" s="18"/>
      <c r="L102" s="18"/>
      <c r="M102" s="18"/>
      <c r="N102" s="18"/>
      <c r="O102" s="18" t="s">
        <v>746</v>
      </c>
      <c r="P102" s="18"/>
      <c r="Q102" s="18"/>
      <c r="R102" s="18"/>
    </row>
    <row r="103" spans="1:18" x14ac:dyDescent="0.35">
      <c r="A103" t="s">
        <v>715</v>
      </c>
      <c r="B103" t="s">
        <v>142</v>
      </c>
      <c r="C103" t="s">
        <v>308</v>
      </c>
      <c r="D103" t="s">
        <v>1253</v>
      </c>
      <c r="E103" t="s">
        <v>233</v>
      </c>
      <c r="F103" t="s">
        <v>249</v>
      </c>
      <c r="G103" t="s">
        <v>309</v>
      </c>
      <c r="H103" t="s">
        <v>10</v>
      </c>
      <c r="I103" t="s">
        <v>2104</v>
      </c>
      <c r="L103" t="s">
        <v>962</v>
      </c>
      <c r="M103" s="22" t="s">
        <v>2108</v>
      </c>
      <c r="N103" t="s">
        <v>707</v>
      </c>
      <c r="O103" t="s">
        <v>710</v>
      </c>
      <c r="P103" t="s">
        <v>807</v>
      </c>
      <c r="Q103" t="s">
        <v>2457</v>
      </c>
      <c r="R103" t="s">
        <v>2474</v>
      </c>
    </row>
    <row r="104" spans="1:18" x14ac:dyDescent="0.35">
      <c r="A104" s="18" t="s">
        <v>659</v>
      </c>
      <c r="B104" s="18" t="s">
        <v>659</v>
      </c>
      <c r="C104" s="18" t="s">
        <v>660</v>
      </c>
      <c r="D104" s="18" t="s">
        <v>1417</v>
      </c>
      <c r="E104" s="18" t="s">
        <v>375</v>
      </c>
      <c r="F104" s="18"/>
      <c r="G104" s="18" t="s">
        <v>210</v>
      </c>
      <c r="H104" s="18" t="s">
        <v>374</v>
      </c>
      <c r="I104" s="18" t="s">
        <v>2207</v>
      </c>
      <c r="J104" s="18"/>
      <c r="K104" s="18"/>
      <c r="L104" s="18"/>
      <c r="M104" s="18"/>
      <c r="N104" s="18"/>
      <c r="O104" s="18" t="s">
        <v>746</v>
      </c>
      <c r="P104" s="18"/>
      <c r="Q104" s="18"/>
      <c r="R104" s="18"/>
    </row>
    <row r="105" spans="1:18" x14ac:dyDescent="0.35">
      <c r="A105" t="s">
        <v>39</v>
      </c>
      <c r="B105" t="s">
        <v>39</v>
      </c>
      <c r="C105" t="s">
        <v>43</v>
      </c>
      <c r="D105" t="s">
        <v>1317</v>
      </c>
      <c r="E105" t="s">
        <v>11</v>
      </c>
      <c r="F105" t="s">
        <v>34</v>
      </c>
      <c r="G105" t="s">
        <v>16</v>
      </c>
      <c r="H105" t="s">
        <v>10</v>
      </c>
      <c r="I105" t="s">
        <v>2151</v>
      </c>
      <c r="J105" t="s">
        <v>1587</v>
      </c>
      <c r="K105" t="s">
        <v>1754</v>
      </c>
      <c r="L105" t="s">
        <v>1030</v>
      </c>
      <c r="M105" t="s">
        <v>1026</v>
      </c>
      <c r="N105" s="2" t="s">
        <v>2152</v>
      </c>
      <c r="O105" t="s">
        <v>710</v>
      </c>
      <c r="P105" t="s">
        <v>772</v>
      </c>
      <c r="R105" t="s">
        <v>2036</v>
      </c>
    </row>
    <row r="106" spans="1:18" s="18" customFormat="1" x14ac:dyDescent="0.35">
      <c r="A106" s="18" t="s">
        <v>898</v>
      </c>
      <c r="B106" s="18" t="s">
        <v>435</v>
      </c>
      <c r="C106" s="18" t="s">
        <v>436</v>
      </c>
      <c r="D106" s="18" t="s">
        <v>1368</v>
      </c>
      <c r="E106" s="18" t="s">
        <v>375</v>
      </c>
      <c r="G106" s="18" t="s">
        <v>437</v>
      </c>
      <c r="H106" s="18" t="s">
        <v>374</v>
      </c>
      <c r="I106" s="18" t="s">
        <v>2179</v>
      </c>
      <c r="O106" s="18" t="s">
        <v>746</v>
      </c>
    </row>
    <row r="107" spans="1:18" x14ac:dyDescent="0.35">
      <c r="A107" t="s">
        <v>736</v>
      </c>
      <c r="B107" t="s">
        <v>24</v>
      </c>
      <c r="C107" t="s">
        <v>25</v>
      </c>
      <c r="D107" t="s">
        <v>1136</v>
      </c>
      <c r="E107" t="s">
        <v>11</v>
      </c>
      <c r="F107" t="s">
        <v>13</v>
      </c>
      <c r="G107" t="s">
        <v>16</v>
      </c>
      <c r="H107" t="s">
        <v>10</v>
      </c>
      <c r="I107" t="s">
        <v>2037</v>
      </c>
      <c r="L107" t="s">
        <v>737</v>
      </c>
      <c r="M107" s="2" t="s">
        <v>1518</v>
      </c>
      <c r="N107" s="2" t="s">
        <v>1520</v>
      </c>
      <c r="O107" t="s">
        <v>746</v>
      </c>
      <c r="P107" t="s">
        <v>772</v>
      </c>
      <c r="R107" t="s">
        <v>2036</v>
      </c>
    </row>
    <row r="108" spans="1:18" x14ac:dyDescent="0.35">
      <c r="A108" t="s">
        <v>311</v>
      </c>
      <c r="B108" t="s">
        <v>311</v>
      </c>
      <c r="C108" t="s">
        <v>312</v>
      </c>
      <c r="D108" t="s">
        <v>1266</v>
      </c>
      <c r="E108" t="s">
        <v>233</v>
      </c>
      <c r="F108" t="s">
        <v>255</v>
      </c>
      <c r="G108" t="s">
        <v>244</v>
      </c>
      <c r="H108" t="s">
        <v>10</v>
      </c>
      <c r="I108" t="s">
        <v>2116</v>
      </c>
      <c r="L108" t="s">
        <v>978</v>
      </c>
      <c r="M108" t="s">
        <v>977</v>
      </c>
      <c r="N108" t="s">
        <v>2326</v>
      </c>
      <c r="O108" t="s">
        <v>746</v>
      </c>
      <c r="P108" t="s">
        <v>772</v>
      </c>
      <c r="R108" t="s">
        <v>2327</v>
      </c>
    </row>
    <row r="109" spans="1:18" x14ac:dyDescent="0.35">
      <c r="A109" s="18" t="s">
        <v>421</v>
      </c>
      <c r="B109" s="18" t="s">
        <v>421</v>
      </c>
      <c r="C109" s="18" t="s">
        <v>679</v>
      </c>
      <c r="D109" s="18" t="s">
        <v>1310</v>
      </c>
      <c r="E109" s="18" t="s">
        <v>375</v>
      </c>
      <c r="F109" s="18"/>
      <c r="G109" s="18" t="s">
        <v>680</v>
      </c>
      <c r="H109" s="18" t="s">
        <v>374</v>
      </c>
      <c r="I109" s="18" t="s">
        <v>2147</v>
      </c>
      <c r="J109" s="18"/>
      <c r="K109" s="18"/>
      <c r="L109" s="18"/>
      <c r="M109" s="18"/>
      <c r="N109" s="18"/>
      <c r="O109" s="18" t="s">
        <v>746</v>
      </c>
      <c r="P109" s="18"/>
      <c r="Q109" s="18"/>
      <c r="R109" s="18"/>
    </row>
    <row r="110" spans="1:18" x14ac:dyDescent="0.35">
      <c r="A110" s="18"/>
      <c r="B110" s="18" t="s">
        <v>512</v>
      </c>
      <c r="C110" s="18" t="s">
        <v>513</v>
      </c>
      <c r="D110" s="18" t="s">
        <v>1142</v>
      </c>
      <c r="E110" s="18" t="s">
        <v>375</v>
      </c>
      <c r="F110" s="18"/>
      <c r="G110" s="18" t="s">
        <v>509</v>
      </c>
      <c r="H110" s="18" t="s">
        <v>374</v>
      </c>
      <c r="I110" s="18"/>
      <c r="J110" s="18"/>
      <c r="K110" s="18"/>
      <c r="L110" s="18"/>
      <c r="M110" s="18"/>
      <c r="N110" s="18"/>
      <c r="O110" s="18" t="s">
        <v>746</v>
      </c>
      <c r="P110" s="18"/>
      <c r="Q110" s="18"/>
      <c r="R110" s="18"/>
    </row>
    <row r="111" spans="1:18" s="18" customFormat="1" x14ac:dyDescent="0.35">
      <c r="A111" s="18" t="s">
        <v>793</v>
      </c>
      <c r="B111" s="18" t="s">
        <v>128</v>
      </c>
      <c r="C111" s="18" t="s">
        <v>403</v>
      </c>
      <c r="D111" s="18" t="s">
        <v>1191</v>
      </c>
      <c r="E111" s="18" t="s">
        <v>375</v>
      </c>
      <c r="G111" s="18" t="s">
        <v>130</v>
      </c>
      <c r="H111" s="18" t="s">
        <v>374</v>
      </c>
      <c r="I111" s="18" t="s">
        <v>2064</v>
      </c>
      <c r="L111" s="18" t="s">
        <v>743</v>
      </c>
      <c r="M111" s="20"/>
      <c r="N111" s="20"/>
      <c r="O111" s="18" t="s">
        <v>746</v>
      </c>
    </row>
    <row r="112" spans="1:18" s="18" customFormat="1" x14ac:dyDescent="0.35">
      <c r="A112" s="18" t="s">
        <v>906</v>
      </c>
      <c r="B112" s="18" t="s">
        <v>567</v>
      </c>
      <c r="C112" s="18" t="s">
        <v>568</v>
      </c>
      <c r="D112" s="18" t="s">
        <v>1394</v>
      </c>
      <c r="E112" s="18" t="s">
        <v>375</v>
      </c>
      <c r="G112" s="18" t="s">
        <v>183</v>
      </c>
      <c r="H112" s="18" t="s">
        <v>374</v>
      </c>
      <c r="I112" s="18" t="s">
        <v>2199</v>
      </c>
      <c r="O112" s="18" t="s">
        <v>746</v>
      </c>
    </row>
    <row r="113" spans="1:18" s="18" customFormat="1" x14ac:dyDescent="0.35">
      <c r="A113" t="s">
        <v>8</v>
      </c>
      <c r="B113" t="s">
        <v>8</v>
      </c>
      <c r="C113" t="s">
        <v>9</v>
      </c>
      <c r="D113" t="s">
        <v>1264</v>
      </c>
      <c r="E113" t="s">
        <v>11</v>
      </c>
      <c r="F113" t="s">
        <v>23</v>
      </c>
      <c r="G113" t="s">
        <v>12</v>
      </c>
      <c r="H113" t="s">
        <v>10</v>
      </c>
      <c r="I113" t="s">
        <v>1902</v>
      </c>
      <c r="J113"/>
      <c r="K113"/>
      <c r="L113" s="2" t="s">
        <v>722</v>
      </c>
      <c r="M113" t="s">
        <v>972</v>
      </c>
      <c r="N113" s="22" t="s">
        <v>971</v>
      </c>
      <c r="O113" t="s">
        <v>710</v>
      </c>
      <c r="P113"/>
      <c r="Q113"/>
      <c r="R113" t="s">
        <v>2115</v>
      </c>
    </row>
    <row r="114" spans="1:18" s="18" customFormat="1" x14ac:dyDescent="0.35">
      <c r="A114" t="s">
        <v>208</v>
      </c>
      <c r="B114" t="s">
        <v>208</v>
      </c>
      <c r="C114" t="s">
        <v>211</v>
      </c>
      <c r="D114" t="s">
        <v>1177</v>
      </c>
      <c r="E114" t="s">
        <v>11</v>
      </c>
      <c r="F114" t="s">
        <v>21</v>
      </c>
      <c r="G114" t="s">
        <v>210</v>
      </c>
      <c r="H114" t="s">
        <v>10</v>
      </c>
      <c r="I114" t="s">
        <v>1756</v>
      </c>
      <c r="J114" t="s">
        <v>706</v>
      </c>
      <c r="K114" t="s">
        <v>2061</v>
      </c>
      <c r="L114" s="2" t="s">
        <v>770</v>
      </c>
      <c r="M114" t="s">
        <v>1530</v>
      </c>
      <c r="N114" t="s">
        <v>830</v>
      </c>
      <c r="O114" t="s">
        <v>710</v>
      </c>
      <c r="P114" t="s">
        <v>807</v>
      </c>
      <c r="Q114"/>
      <c r="R114" t="s">
        <v>2060</v>
      </c>
    </row>
    <row r="115" spans="1:18" s="18" customFormat="1" x14ac:dyDescent="0.35">
      <c r="A115" t="s">
        <v>715</v>
      </c>
      <c r="B115" t="s">
        <v>142</v>
      </c>
      <c r="C115" t="s">
        <v>143</v>
      </c>
      <c r="D115" t="s">
        <v>1249</v>
      </c>
      <c r="E115" t="s">
        <v>11</v>
      </c>
      <c r="F115" t="s">
        <v>44</v>
      </c>
      <c r="G115" t="s">
        <v>144</v>
      </c>
      <c r="H115" t="s">
        <v>10</v>
      </c>
      <c r="I115" t="s">
        <v>2104</v>
      </c>
      <c r="J115"/>
      <c r="K115"/>
      <c r="L115" t="s">
        <v>962</v>
      </c>
      <c r="M115" t="s">
        <v>960</v>
      </c>
      <c r="N115" s="22" t="s">
        <v>961</v>
      </c>
      <c r="O115" t="s">
        <v>710</v>
      </c>
      <c r="P115" t="s">
        <v>2328</v>
      </c>
      <c r="Q115" t="s">
        <v>2457</v>
      </c>
      <c r="R115" t="s">
        <v>2475</v>
      </c>
    </row>
    <row r="116" spans="1:18" x14ac:dyDescent="0.35">
      <c r="A116" t="s">
        <v>730</v>
      </c>
      <c r="B116" t="s">
        <v>58</v>
      </c>
      <c r="C116" t="s">
        <v>60</v>
      </c>
      <c r="D116" t="s">
        <v>1437</v>
      </c>
      <c r="E116" t="s">
        <v>11</v>
      </c>
      <c r="F116" t="s">
        <v>19</v>
      </c>
      <c r="G116" t="s">
        <v>16</v>
      </c>
      <c r="H116" t="s">
        <v>10</v>
      </c>
      <c r="I116" t="s">
        <v>2220</v>
      </c>
      <c r="L116" s="2" t="s">
        <v>729</v>
      </c>
      <c r="M116" t="s">
        <v>1488</v>
      </c>
      <c r="N116" s="22" t="s">
        <v>1490</v>
      </c>
      <c r="O116" t="s">
        <v>746</v>
      </c>
      <c r="P116" t="s">
        <v>772</v>
      </c>
      <c r="R116" t="s">
        <v>2221</v>
      </c>
    </row>
    <row r="117" spans="1:18" x14ac:dyDescent="0.35">
      <c r="A117" s="18" t="s">
        <v>857</v>
      </c>
      <c r="B117" s="18" t="s">
        <v>501</v>
      </c>
      <c r="C117" s="18" t="s">
        <v>502</v>
      </c>
      <c r="D117" s="18" t="s">
        <v>1261</v>
      </c>
      <c r="E117" s="18" t="s">
        <v>375</v>
      </c>
      <c r="F117" s="18"/>
      <c r="G117" s="18" t="s">
        <v>498</v>
      </c>
      <c r="H117" s="18" t="s">
        <v>374</v>
      </c>
      <c r="I117" s="18" t="s">
        <v>2113</v>
      </c>
      <c r="J117" s="18"/>
      <c r="K117" s="18"/>
      <c r="L117" s="18"/>
      <c r="M117" s="18"/>
      <c r="N117" s="18"/>
      <c r="O117" s="18" t="s">
        <v>746</v>
      </c>
      <c r="P117" s="18"/>
      <c r="Q117" s="18"/>
      <c r="R117" s="18"/>
    </row>
    <row r="118" spans="1:18" s="18" customFormat="1" x14ac:dyDescent="0.35">
      <c r="A118" t="s">
        <v>863</v>
      </c>
      <c r="B118" t="s">
        <v>313</v>
      </c>
      <c r="C118" t="s">
        <v>314</v>
      </c>
      <c r="D118" t="s">
        <v>1287</v>
      </c>
      <c r="E118" t="s">
        <v>233</v>
      </c>
      <c r="F118" t="s">
        <v>1002</v>
      </c>
      <c r="G118" t="s">
        <v>707</v>
      </c>
      <c r="H118" t="s">
        <v>10</v>
      </c>
      <c r="I118" t="s">
        <v>2127</v>
      </c>
      <c r="J118"/>
      <c r="K118"/>
      <c r="L118" t="s">
        <v>1001</v>
      </c>
      <c r="M118" t="s">
        <v>707</v>
      </c>
      <c r="N118" t="s">
        <v>707</v>
      </c>
      <c r="O118" t="s">
        <v>746</v>
      </c>
      <c r="P118"/>
      <c r="Q118"/>
      <c r="R118" t="s">
        <v>2046</v>
      </c>
    </row>
    <row r="119" spans="1:18" x14ac:dyDescent="0.35">
      <c r="A119" t="s">
        <v>718</v>
      </c>
      <c r="B119" t="s">
        <v>246</v>
      </c>
      <c r="C119" t="s">
        <v>315</v>
      </c>
      <c r="D119" t="s">
        <v>1351</v>
      </c>
      <c r="E119" t="s">
        <v>233</v>
      </c>
      <c r="F119" t="s">
        <v>249</v>
      </c>
      <c r="G119" t="s">
        <v>248</v>
      </c>
      <c r="H119" t="s">
        <v>10</v>
      </c>
      <c r="I119" t="s">
        <v>2167</v>
      </c>
      <c r="L119" t="s">
        <v>1055</v>
      </c>
      <c r="M119" t="s">
        <v>1063</v>
      </c>
      <c r="N119" t="s">
        <v>707</v>
      </c>
      <c r="O119" t="s">
        <v>749</v>
      </c>
      <c r="P119" t="s">
        <v>2328</v>
      </c>
      <c r="Q119" t="s">
        <v>2498</v>
      </c>
      <c r="R119" t="s">
        <v>2298</v>
      </c>
    </row>
    <row r="120" spans="1:18" s="18" customFormat="1" x14ac:dyDescent="0.35">
      <c r="A120" s="18" t="s">
        <v>443</v>
      </c>
      <c r="B120" s="18" t="s">
        <v>443</v>
      </c>
      <c r="C120" s="18" t="s">
        <v>444</v>
      </c>
      <c r="D120" s="18" t="s">
        <v>1208</v>
      </c>
      <c r="E120" s="18" t="s">
        <v>375</v>
      </c>
      <c r="G120" s="18" t="s">
        <v>445</v>
      </c>
      <c r="H120" s="18" t="s">
        <v>374</v>
      </c>
      <c r="I120" s="18" t="s">
        <v>2078</v>
      </c>
      <c r="O120" s="18" t="s">
        <v>746</v>
      </c>
    </row>
    <row r="121" spans="1:18" x14ac:dyDescent="0.35">
      <c r="A121" s="18" t="s">
        <v>893</v>
      </c>
      <c r="B121" s="18" t="s">
        <v>455</v>
      </c>
      <c r="C121" s="18" t="s">
        <v>456</v>
      </c>
      <c r="D121" s="18" t="s">
        <v>1360</v>
      </c>
      <c r="E121" s="18" t="s">
        <v>375</v>
      </c>
      <c r="F121" s="18"/>
      <c r="G121" s="18" t="s">
        <v>457</v>
      </c>
      <c r="H121" s="18" t="s">
        <v>374</v>
      </c>
      <c r="I121" s="18" t="s">
        <v>2173</v>
      </c>
      <c r="J121" s="18"/>
      <c r="K121" s="18"/>
      <c r="L121" s="18"/>
      <c r="M121" s="18"/>
      <c r="N121" s="18"/>
      <c r="O121" s="18" t="s">
        <v>746</v>
      </c>
      <c r="P121" s="18"/>
      <c r="Q121" s="18"/>
      <c r="R121" s="18"/>
    </row>
    <row r="122" spans="1:18" x14ac:dyDescent="0.35">
      <c r="A122" s="18" t="s">
        <v>898</v>
      </c>
      <c r="B122" s="18" t="s">
        <v>435</v>
      </c>
      <c r="C122" s="18" t="s">
        <v>438</v>
      </c>
      <c r="D122" s="18" t="s">
        <v>1369</v>
      </c>
      <c r="E122" s="18" t="s">
        <v>375</v>
      </c>
      <c r="F122" s="18"/>
      <c r="G122" s="18" t="s">
        <v>439</v>
      </c>
      <c r="H122" s="18" t="s">
        <v>374</v>
      </c>
      <c r="I122" s="18" t="s">
        <v>2179</v>
      </c>
      <c r="J122" s="18"/>
      <c r="K122" s="18"/>
      <c r="L122" s="18"/>
      <c r="M122" s="18"/>
      <c r="N122" s="18"/>
      <c r="O122" s="18" t="s">
        <v>746</v>
      </c>
      <c r="P122" s="18"/>
      <c r="Q122" s="18"/>
      <c r="R122" s="18"/>
    </row>
    <row r="123" spans="1:18" x14ac:dyDescent="0.35">
      <c r="A123" s="18"/>
      <c r="B123" s="18" t="s">
        <v>689</v>
      </c>
      <c r="C123" s="18" t="s">
        <v>690</v>
      </c>
      <c r="D123" s="18" t="s">
        <v>1170</v>
      </c>
      <c r="E123" s="18" t="s">
        <v>375</v>
      </c>
      <c r="F123" s="18"/>
      <c r="G123" s="18" t="s">
        <v>688</v>
      </c>
      <c r="H123" s="18" t="s">
        <v>374</v>
      </c>
      <c r="I123" s="18"/>
      <c r="J123" s="18"/>
      <c r="K123" s="18"/>
      <c r="L123" s="18"/>
      <c r="M123" s="18"/>
      <c r="N123" s="18"/>
      <c r="O123" s="18" t="s">
        <v>746</v>
      </c>
      <c r="P123" s="18"/>
      <c r="Q123" s="18"/>
      <c r="R123" s="18"/>
    </row>
    <row r="124" spans="1:18" s="18" customFormat="1" x14ac:dyDescent="0.35">
      <c r="A124" s="18" t="s">
        <v>864</v>
      </c>
      <c r="B124" s="18" t="s">
        <v>426</v>
      </c>
      <c r="C124" s="18" t="s">
        <v>427</v>
      </c>
      <c r="D124" s="18" t="s">
        <v>1289</v>
      </c>
      <c r="E124" s="18" t="s">
        <v>375</v>
      </c>
      <c r="G124" s="18" t="s">
        <v>428</v>
      </c>
      <c r="H124" s="18" t="s">
        <v>374</v>
      </c>
      <c r="I124" s="18" t="s">
        <v>2129</v>
      </c>
      <c r="O124" s="18" t="s">
        <v>746</v>
      </c>
    </row>
    <row r="125" spans="1:18" x14ac:dyDescent="0.35">
      <c r="A125" s="18" t="s">
        <v>883</v>
      </c>
      <c r="B125" s="18" t="s">
        <v>404</v>
      </c>
      <c r="C125" s="18" t="s">
        <v>405</v>
      </c>
      <c r="D125" s="18" t="s">
        <v>1332</v>
      </c>
      <c r="E125" s="18" t="s">
        <v>375</v>
      </c>
      <c r="F125" s="18"/>
      <c r="G125" s="18" t="s">
        <v>130</v>
      </c>
      <c r="H125" s="18" t="s">
        <v>374</v>
      </c>
      <c r="I125" s="18" t="s">
        <v>2159</v>
      </c>
      <c r="J125" s="18"/>
      <c r="K125" s="18"/>
      <c r="L125" s="18"/>
      <c r="M125" s="18"/>
      <c r="N125" s="18"/>
      <c r="O125" s="18" t="s">
        <v>746</v>
      </c>
      <c r="P125" s="18"/>
      <c r="Q125" s="18"/>
      <c r="R125" s="18"/>
    </row>
    <row r="126" spans="1:18" s="18" customFormat="1" x14ac:dyDescent="0.35">
      <c r="A126" s="18" t="s">
        <v>645</v>
      </c>
      <c r="B126" s="18" t="s">
        <v>645</v>
      </c>
      <c r="C126" s="18" t="s">
        <v>646</v>
      </c>
      <c r="D126" s="18" t="s">
        <v>1375</v>
      </c>
      <c r="E126" s="18" t="s">
        <v>375</v>
      </c>
      <c r="G126" s="18" t="s">
        <v>647</v>
      </c>
      <c r="H126" s="18" t="s">
        <v>374</v>
      </c>
      <c r="I126" s="18" t="s">
        <v>2185</v>
      </c>
      <c r="O126" s="18" t="s">
        <v>746</v>
      </c>
    </row>
    <row r="127" spans="1:18" s="18" customFormat="1" x14ac:dyDescent="0.35">
      <c r="A127" s="18" t="s">
        <v>866</v>
      </c>
      <c r="B127" s="18" t="s">
        <v>471</v>
      </c>
      <c r="C127" s="18" t="s">
        <v>472</v>
      </c>
      <c r="D127" s="18" t="s">
        <v>1294</v>
      </c>
      <c r="E127" s="18" t="s">
        <v>375</v>
      </c>
      <c r="G127" s="18" t="s">
        <v>468</v>
      </c>
      <c r="H127" s="18" t="s">
        <v>374</v>
      </c>
      <c r="I127" s="18" t="s">
        <v>2134</v>
      </c>
      <c r="O127" s="18" t="s">
        <v>746</v>
      </c>
    </row>
    <row r="128" spans="1:18" s="18" customFormat="1" x14ac:dyDescent="0.35">
      <c r="A128" t="s">
        <v>859</v>
      </c>
      <c r="B128" t="s">
        <v>202</v>
      </c>
      <c r="C128" t="s">
        <v>203</v>
      </c>
      <c r="D128" t="s">
        <v>1277</v>
      </c>
      <c r="E128" t="s">
        <v>11</v>
      </c>
      <c r="F128" t="s">
        <v>23</v>
      </c>
      <c r="G128" t="s">
        <v>204</v>
      </c>
      <c r="H128" t="s">
        <v>10</v>
      </c>
      <c r="I128" t="s">
        <v>2119</v>
      </c>
      <c r="J128"/>
      <c r="K128"/>
      <c r="L128" t="s">
        <v>987</v>
      </c>
      <c r="M128" t="s">
        <v>988</v>
      </c>
      <c r="N128" t="s">
        <v>989</v>
      </c>
      <c r="O128" t="s">
        <v>746</v>
      </c>
      <c r="P128"/>
      <c r="Q128"/>
      <c r="R128" t="s">
        <v>2120</v>
      </c>
    </row>
    <row r="129" spans="1:18" x14ac:dyDescent="0.35">
      <c r="A129" s="18" t="s">
        <v>910</v>
      </c>
      <c r="B129" s="18" t="s">
        <v>493</v>
      </c>
      <c r="C129" s="18" t="s">
        <v>494</v>
      </c>
      <c r="D129" s="18" t="s">
        <v>1430</v>
      </c>
      <c r="E129" s="18" t="s">
        <v>375</v>
      </c>
      <c r="F129" s="18"/>
      <c r="G129" s="18" t="s">
        <v>491</v>
      </c>
      <c r="H129" s="18" t="s">
        <v>374</v>
      </c>
      <c r="I129" s="18" t="s">
        <v>2213</v>
      </c>
      <c r="J129" s="18"/>
      <c r="K129" s="18"/>
      <c r="L129" s="18"/>
      <c r="M129" s="18"/>
      <c r="N129" s="18"/>
      <c r="O129" s="18" t="s">
        <v>746</v>
      </c>
      <c r="P129" s="18"/>
      <c r="Q129" s="18"/>
      <c r="R129" s="18"/>
    </row>
    <row r="130" spans="1:18" x14ac:dyDescent="0.35">
      <c r="A130" s="18" t="s">
        <v>871</v>
      </c>
      <c r="B130" s="18" t="s">
        <v>473</v>
      </c>
      <c r="C130" s="18" t="s">
        <v>474</v>
      </c>
      <c r="D130" s="18" t="s">
        <v>1302</v>
      </c>
      <c r="E130" s="18" t="s">
        <v>375</v>
      </c>
      <c r="F130" s="18"/>
      <c r="G130" s="18" t="s">
        <v>468</v>
      </c>
      <c r="H130" s="18" t="s">
        <v>374</v>
      </c>
      <c r="I130" s="18" t="s">
        <v>2141</v>
      </c>
      <c r="J130" s="18"/>
      <c r="K130" s="18"/>
      <c r="L130" s="18"/>
      <c r="M130" s="18"/>
      <c r="N130" s="18"/>
      <c r="O130" s="18" t="s">
        <v>746</v>
      </c>
      <c r="P130" s="18"/>
      <c r="Q130" s="18"/>
      <c r="R130" s="18"/>
    </row>
    <row r="131" spans="1:18" x14ac:dyDescent="0.35">
      <c r="A131" s="18" t="s">
        <v>848</v>
      </c>
      <c r="B131" s="18" t="s">
        <v>479</v>
      </c>
      <c r="C131" s="18" t="s">
        <v>480</v>
      </c>
      <c r="D131" s="18" t="s">
        <v>1230</v>
      </c>
      <c r="E131" s="18" t="s">
        <v>375</v>
      </c>
      <c r="F131" s="18"/>
      <c r="G131" s="18" t="s">
        <v>468</v>
      </c>
      <c r="H131" s="18" t="s">
        <v>374</v>
      </c>
      <c r="I131" s="18" t="s">
        <v>2095</v>
      </c>
      <c r="J131" s="18"/>
      <c r="K131" s="18"/>
      <c r="L131" s="18"/>
      <c r="M131" s="18"/>
      <c r="N131" s="18"/>
      <c r="O131" s="18" t="s">
        <v>746</v>
      </c>
      <c r="P131" s="18"/>
      <c r="Q131" s="18"/>
      <c r="R131" s="18"/>
    </row>
    <row r="132" spans="1:18" s="18" customFormat="1" x14ac:dyDescent="0.35">
      <c r="A132" s="18" t="s">
        <v>874</v>
      </c>
      <c r="B132" s="18" t="s">
        <v>475</v>
      </c>
      <c r="C132" s="18" t="s">
        <v>476</v>
      </c>
      <c r="D132" s="18" t="s">
        <v>1306</v>
      </c>
      <c r="E132" s="18" t="s">
        <v>375</v>
      </c>
      <c r="G132" s="18" t="s">
        <v>468</v>
      </c>
      <c r="H132" s="18" t="s">
        <v>374</v>
      </c>
      <c r="I132" s="18" t="s">
        <v>2144</v>
      </c>
      <c r="O132" s="18" t="s">
        <v>746</v>
      </c>
    </row>
    <row r="133" spans="1:18" x14ac:dyDescent="0.35">
      <c r="A133" t="s">
        <v>718</v>
      </c>
      <c r="B133" t="s">
        <v>151</v>
      </c>
      <c r="C133" t="s">
        <v>170</v>
      </c>
      <c r="D133" t="s">
        <v>1353</v>
      </c>
      <c r="E133" t="s">
        <v>11</v>
      </c>
      <c r="F133" t="s">
        <v>34</v>
      </c>
      <c r="G133" t="s">
        <v>171</v>
      </c>
      <c r="H133" t="s">
        <v>10</v>
      </c>
      <c r="I133" t="s">
        <v>2167</v>
      </c>
      <c r="J133" t="s">
        <v>2170</v>
      </c>
      <c r="K133" t="s">
        <v>2171</v>
      </c>
      <c r="L133" t="s">
        <v>1055</v>
      </c>
      <c r="M133" t="s">
        <v>1065</v>
      </c>
      <c r="N133" s="22" t="s">
        <v>1067</v>
      </c>
      <c r="O133" t="s">
        <v>749</v>
      </c>
      <c r="P133" t="s">
        <v>2328</v>
      </c>
      <c r="Q133" t="s">
        <v>2498</v>
      </c>
      <c r="R133" t="s">
        <v>2298</v>
      </c>
    </row>
    <row r="134" spans="1:18" x14ac:dyDescent="0.35">
      <c r="A134" t="s">
        <v>903</v>
      </c>
      <c r="B134" t="s">
        <v>306</v>
      </c>
      <c r="C134" t="s">
        <v>316</v>
      </c>
      <c r="D134" t="s">
        <v>1381</v>
      </c>
      <c r="E134" t="s">
        <v>233</v>
      </c>
      <c r="F134" t="s">
        <v>245</v>
      </c>
      <c r="G134" t="s">
        <v>244</v>
      </c>
      <c r="H134" t="s">
        <v>10</v>
      </c>
      <c r="I134" t="s">
        <v>2190</v>
      </c>
      <c r="L134" t="s">
        <v>1097</v>
      </c>
      <c r="M134" t="s">
        <v>1098</v>
      </c>
      <c r="N134" t="s">
        <v>707</v>
      </c>
      <c r="O134" t="s">
        <v>746</v>
      </c>
      <c r="P134" t="s">
        <v>720</v>
      </c>
      <c r="R134" t="s">
        <v>2191</v>
      </c>
    </row>
    <row r="135" spans="1:18" s="18" customFormat="1" x14ac:dyDescent="0.35">
      <c r="A135" t="s">
        <v>717</v>
      </c>
      <c r="B135" t="s">
        <v>79</v>
      </c>
      <c r="C135" t="s">
        <v>89</v>
      </c>
      <c r="D135" t="s">
        <v>1269</v>
      </c>
      <c r="E135" t="s">
        <v>11</v>
      </c>
      <c r="F135" t="s">
        <v>21</v>
      </c>
      <c r="G135" t="s">
        <v>90</v>
      </c>
      <c r="H135" t="s">
        <v>10</v>
      </c>
      <c r="I135" t="s">
        <v>1853</v>
      </c>
      <c r="J135" t="s">
        <v>1782</v>
      </c>
      <c r="K135" t="s">
        <v>1854</v>
      </c>
      <c r="L135" t="s">
        <v>980</v>
      </c>
      <c r="M135" t="s">
        <v>707</v>
      </c>
      <c r="N135" s="22" t="s">
        <v>983</v>
      </c>
      <c r="O135" t="s">
        <v>710</v>
      </c>
      <c r="P135" t="s">
        <v>2328</v>
      </c>
      <c r="Q135"/>
      <c r="R135" t="s">
        <v>2117</v>
      </c>
    </row>
    <row r="136" spans="1:18" x14ac:dyDescent="0.35">
      <c r="A136" t="s">
        <v>30</v>
      </c>
      <c r="B136" t="s">
        <v>30</v>
      </c>
      <c r="C136" t="s">
        <v>31</v>
      </c>
      <c r="D136" t="s">
        <v>1210</v>
      </c>
      <c r="E136" t="s">
        <v>11</v>
      </c>
      <c r="F136" t="s">
        <v>13</v>
      </c>
      <c r="G136" t="s">
        <v>16</v>
      </c>
      <c r="H136" t="s">
        <v>10</v>
      </c>
      <c r="I136" t="s">
        <v>2080</v>
      </c>
      <c r="L136" t="s">
        <v>758</v>
      </c>
      <c r="M136" t="s">
        <v>934</v>
      </c>
      <c r="N136" s="22" t="s">
        <v>933</v>
      </c>
      <c r="O136" t="s">
        <v>710</v>
      </c>
      <c r="P136" t="s">
        <v>772</v>
      </c>
      <c r="R136" t="s">
        <v>2081</v>
      </c>
    </row>
    <row r="137" spans="1:18" s="18" customFormat="1" x14ac:dyDescent="0.35">
      <c r="A137" t="s">
        <v>14</v>
      </c>
      <c r="B137" t="s">
        <v>14</v>
      </c>
      <c r="C137" t="s">
        <v>91</v>
      </c>
      <c r="D137" t="s">
        <v>1126</v>
      </c>
      <c r="E137" t="s">
        <v>11</v>
      </c>
      <c r="F137" t="s">
        <v>23</v>
      </c>
      <c r="G137" t="s">
        <v>92</v>
      </c>
      <c r="H137" t="s">
        <v>10</v>
      </c>
      <c r="I137" t="s">
        <v>2034</v>
      </c>
      <c r="J137"/>
      <c r="K137"/>
      <c r="L137" s="2" t="s">
        <v>768</v>
      </c>
      <c r="M137" s="2" t="s">
        <v>1512</v>
      </c>
      <c r="N137" s="2" t="s">
        <v>1513</v>
      </c>
      <c r="O137" t="s">
        <v>710</v>
      </c>
      <c r="P137" t="s">
        <v>772</v>
      </c>
      <c r="Q137"/>
      <c r="R137" t="s">
        <v>2036</v>
      </c>
    </row>
    <row r="138" spans="1:18" s="18" customFormat="1" x14ac:dyDescent="0.35">
      <c r="A138" t="s">
        <v>718</v>
      </c>
      <c r="B138" t="s">
        <v>246</v>
      </c>
      <c r="C138" t="s">
        <v>317</v>
      </c>
      <c r="D138" t="s">
        <v>1347</v>
      </c>
      <c r="E138" t="s">
        <v>233</v>
      </c>
      <c r="F138" t="s">
        <v>249</v>
      </c>
      <c r="G138" t="s">
        <v>248</v>
      </c>
      <c r="H138" t="s">
        <v>10</v>
      </c>
      <c r="I138" t="s">
        <v>2167</v>
      </c>
      <c r="J138" t="s">
        <v>2168</v>
      </c>
      <c r="K138" t="s">
        <v>2169</v>
      </c>
      <c r="L138" t="s">
        <v>1055</v>
      </c>
      <c r="M138" t="s">
        <v>1062</v>
      </c>
      <c r="N138" t="s">
        <v>707</v>
      </c>
      <c r="O138" t="s">
        <v>749</v>
      </c>
      <c r="P138" t="s">
        <v>2328</v>
      </c>
      <c r="Q138" t="s">
        <v>2498</v>
      </c>
      <c r="R138" t="s">
        <v>2298</v>
      </c>
    </row>
    <row r="139" spans="1:18" s="18" customFormat="1" x14ac:dyDescent="0.35">
      <c r="A139" s="18" t="s">
        <v>377</v>
      </c>
      <c r="B139" s="18" t="s">
        <v>377</v>
      </c>
      <c r="C139" s="18" t="s">
        <v>378</v>
      </c>
      <c r="D139" s="18" t="s">
        <v>1292</v>
      </c>
      <c r="E139" s="18" t="s">
        <v>375</v>
      </c>
      <c r="G139" s="18" t="s">
        <v>379</v>
      </c>
      <c r="H139" s="18" t="s">
        <v>374</v>
      </c>
      <c r="I139" s="18" t="s">
        <v>2132</v>
      </c>
      <c r="O139" s="18" t="s">
        <v>746</v>
      </c>
    </row>
    <row r="140" spans="1:18" s="18" customFormat="1" x14ac:dyDescent="0.35">
      <c r="A140" s="18" t="s">
        <v>718</v>
      </c>
      <c r="B140" s="18" t="s">
        <v>151</v>
      </c>
      <c r="C140" s="18" t="s">
        <v>495</v>
      </c>
      <c r="D140" s="18" t="s">
        <v>1356</v>
      </c>
      <c r="E140" s="18" t="s">
        <v>375</v>
      </c>
      <c r="G140" s="18" t="s">
        <v>174</v>
      </c>
      <c r="H140" s="18" t="s">
        <v>374</v>
      </c>
      <c r="I140" s="18" t="s">
        <v>2167</v>
      </c>
      <c r="J140" s="18" t="s">
        <v>2170</v>
      </c>
      <c r="K140" s="18" t="s">
        <v>2171</v>
      </c>
      <c r="L140" s="18" t="s">
        <v>1055</v>
      </c>
      <c r="M140" s="18" t="s">
        <v>1065</v>
      </c>
      <c r="N140" s="18" t="s">
        <v>707</v>
      </c>
      <c r="O140" s="18" t="s">
        <v>749</v>
      </c>
    </row>
    <row r="141" spans="1:18" s="18" customFormat="1" x14ac:dyDescent="0.35">
      <c r="A141" t="s">
        <v>719</v>
      </c>
      <c r="B141" t="s">
        <v>181</v>
      </c>
      <c r="C141" t="s">
        <v>318</v>
      </c>
      <c r="D141" t="s">
        <v>1429</v>
      </c>
      <c r="E141" t="s">
        <v>233</v>
      </c>
      <c r="F141" t="s">
        <v>23</v>
      </c>
      <c r="G141" t="s">
        <v>183</v>
      </c>
      <c r="H141" t="s">
        <v>10</v>
      </c>
      <c r="I141" t="s">
        <v>2209</v>
      </c>
      <c r="J141"/>
      <c r="K141"/>
      <c r="L141" t="s">
        <v>1472</v>
      </c>
      <c r="M141" t="s">
        <v>1481</v>
      </c>
      <c r="N141" t="s">
        <v>707</v>
      </c>
      <c r="O141" t="s">
        <v>710</v>
      </c>
      <c r="P141" t="s">
        <v>2328</v>
      </c>
      <c r="Q141"/>
      <c r="R141" t="s">
        <v>2212</v>
      </c>
    </row>
    <row r="142" spans="1:18" s="18" customFormat="1" x14ac:dyDescent="0.35">
      <c r="A142" s="18" t="s">
        <v>736</v>
      </c>
      <c r="B142" s="18" t="s">
        <v>569</v>
      </c>
      <c r="C142" s="18" t="s">
        <v>570</v>
      </c>
      <c r="D142" s="18" t="s">
        <v>1199</v>
      </c>
      <c r="E142" s="18" t="s">
        <v>375</v>
      </c>
      <c r="G142" s="18" t="s">
        <v>183</v>
      </c>
      <c r="H142" s="18" t="s">
        <v>374</v>
      </c>
      <c r="I142" s="18" t="s">
        <v>2037</v>
      </c>
      <c r="L142" s="18" t="s">
        <v>1523</v>
      </c>
      <c r="M142" s="19" t="s">
        <v>1522</v>
      </c>
      <c r="N142" s="18" t="s">
        <v>1611</v>
      </c>
      <c r="O142" s="18" t="s">
        <v>746</v>
      </c>
    </row>
    <row r="143" spans="1:18" s="18" customFormat="1" x14ac:dyDescent="0.35">
      <c r="A143" t="s">
        <v>14</v>
      </c>
      <c r="B143" t="s">
        <v>14</v>
      </c>
      <c r="C143" t="s">
        <v>67</v>
      </c>
      <c r="D143" t="s">
        <v>1128</v>
      </c>
      <c r="E143" t="s">
        <v>11</v>
      </c>
      <c r="F143" t="s">
        <v>21</v>
      </c>
      <c r="G143" t="s">
        <v>64</v>
      </c>
      <c r="H143" t="s">
        <v>10</v>
      </c>
      <c r="I143" t="s">
        <v>2034</v>
      </c>
      <c r="J143"/>
      <c r="K143"/>
      <c r="L143" s="2" t="s">
        <v>768</v>
      </c>
      <c r="M143" s="2" t="s">
        <v>1510</v>
      </c>
      <c r="N143" s="2" t="s">
        <v>1511</v>
      </c>
      <c r="O143" t="s">
        <v>710</v>
      </c>
      <c r="P143" t="s">
        <v>772</v>
      </c>
      <c r="Q143"/>
      <c r="R143" t="s">
        <v>2036</v>
      </c>
    </row>
    <row r="144" spans="1:18" s="18" customFormat="1" x14ac:dyDescent="0.35">
      <c r="A144" s="18" t="s">
        <v>843</v>
      </c>
      <c r="B144" s="18" t="s">
        <v>654</v>
      </c>
      <c r="C144" s="18" t="s">
        <v>694</v>
      </c>
      <c r="D144" s="18" t="s">
        <v>1225</v>
      </c>
      <c r="E144" s="18" t="s">
        <v>375</v>
      </c>
      <c r="G144" s="18" t="s">
        <v>693</v>
      </c>
      <c r="H144" s="18" t="s">
        <v>374</v>
      </c>
      <c r="I144" s="18" t="s">
        <v>2091</v>
      </c>
      <c r="O144" s="18" t="s">
        <v>746</v>
      </c>
    </row>
    <row r="145" spans="1:18" s="18" customFormat="1" x14ac:dyDescent="0.35">
      <c r="A145" s="18" t="s">
        <v>843</v>
      </c>
      <c r="B145" s="18" t="s">
        <v>654</v>
      </c>
      <c r="C145" s="18" t="s">
        <v>655</v>
      </c>
      <c r="D145" s="18" t="s">
        <v>1224</v>
      </c>
      <c r="E145" s="18" t="s">
        <v>375</v>
      </c>
      <c r="G145" s="18" t="s">
        <v>653</v>
      </c>
      <c r="H145" s="18" t="s">
        <v>374</v>
      </c>
      <c r="I145" s="18" t="s">
        <v>2091</v>
      </c>
      <c r="O145" s="18" t="s">
        <v>746</v>
      </c>
    </row>
    <row r="146" spans="1:18" x14ac:dyDescent="0.35">
      <c r="A146" t="s">
        <v>784</v>
      </c>
      <c r="B146" t="s">
        <v>68</v>
      </c>
      <c r="C146" t="s">
        <v>69</v>
      </c>
      <c r="D146" t="s">
        <v>1159</v>
      </c>
      <c r="E146" t="s">
        <v>11</v>
      </c>
      <c r="F146" t="s">
        <v>19</v>
      </c>
      <c r="G146" t="s">
        <v>64</v>
      </c>
      <c r="H146" t="s">
        <v>10</v>
      </c>
      <c r="I146" t="s">
        <v>2049</v>
      </c>
      <c r="L146" t="s">
        <v>788</v>
      </c>
      <c r="N146" s="2" t="s">
        <v>819</v>
      </c>
      <c r="O146" t="s">
        <v>746</v>
      </c>
      <c r="P146" t="s">
        <v>772</v>
      </c>
      <c r="R146" t="s">
        <v>2951</v>
      </c>
    </row>
    <row r="147" spans="1:18" x14ac:dyDescent="0.35">
      <c r="A147" s="18" t="s">
        <v>856</v>
      </c>
      <c r="B147" s="18" t="s">
        <v>581</v>
      </c>
      <c r="C147" s="18" t="s">
        <v>582</v>
      </c>
      <c r="D147" s="18" t="s">
        <v>1260</v>
      </c>
      <c r="E147" s="18" t="s">
        <v>375</v>
      </c>
      <c r="F147" s="18"/>
      <c r="G147" s="18" t="s">
        <v>583</v>
      </c>
      <c r="H147" s="18" t="s">
        <v>374</v>
      </c>
      <c r="I147" s="18" t="s">
        <v>2112</v>
      </c>
      <c r="J147" s="18"/>
      <c r="K147" s="18"/>
      <c r="L147" s="18"/>
      <c r="M147" s="18"/>
      <c r="N147" s="18"/>
      <c r="O147" s="18" t="s">
        <v>746</v>
      </c>
      <c r="P147" s="18"/>
      <c r="Q147" s="18"/>
      <c r="R147" s="18"/>
    </row>
    <row r="148" spans="1:18" x14ac:dyDescent="0.35">
      <c r="A148" t="s">
        <v>714</v>
      </c>
      <c r="B148" t="s">
        <v>281</v>
      </c>
      <c r="C148" t="s">
        <v>319</v>
      </c>
      <c r="D148" t="s">
        <v>1244</v>
      </c>
      <c r="E148" t="s">
        <v>233</v>
      </c>
      <c r="F148" t="s">
        <v>255</v>
      </c>
      <c r="G148" t="s">
        <v>244</v>
      </c>
      <c r="H148" t="s">
        <v>10</v>
      </c>
      <c r="I148" t="s">
        <v>2103</v>
      </c>
      <c r="L148" t="s">
        <v>951</v>
      </c>
      <c r="M148" t="s">
        <v>707</v>
      </c>
      <c r="N148" t="s">
        <v>707</v>
      </c>
      <c r="O148" t="s">
        <v>746</v>
      </c>
      <c r="P148" t="s">
        <v>807</v>
      </c>
      <c r="R148" t="s">
        <v>2322</v>
      </c>
    </row>
    <row r="149" spans="1:18" s="18" customFormat="1" x14ac:dyDescent="0.35">
      <c r="A149" s="18" t="s">
        <v>554</v>
      </c>
      <c r="B149" s="18" t="s">
        <v>554</v>
      </c>
      <c r="C149" s="18" t="s">
        <v>29</v>
      </c>
      <c r="D149" s="18" t="s">
        <v>1237</v>
      </c>
      <c r="E149" s="18" t="s">
        <v>375</v>
      </c>
      <c r="G149" s="18" t="s">
        <v>599</v>
      </c>
      <c r="H149" s="18" t="s">
        <v>374</v>
      </c>
      <c r="I149" s="18" t="s">
        <v>2101</v>
      </c>
      <c r="O149" s="18" t="s">
        <v>746</v>
      </c>
    </row>
    <row r="150" spans="1:18" x14ac:dyDescent="0.35">
      <c r="A150" s="18" t="s">
        <v>865</v>
      </c>
      <c r="B150" s="18" t="s">
        <v>530</v>
      </c>
      <c r="C150" s="18" t="s">
        <v>531</v>
      </c>
      <c r="D150" s="18" t="s">
        <v>1291</v>
      </c>
      <c r="E150" s="18" t="s">
        <v>375</v>
      </c>
      <c r="F150" s="18"/>
      <c r="G150" s="18" t="s">
        <v>532</v>
      </c>
      <c r="H150" s="18" t="s">
        <v>374</v>
      </c>
      <c r="I150" s="18" t="s">
        <v>2131</v>
      </c>
      <c r="J150" s="18"/>
      <c r="K150" s="18"/>
      <c r="L150" s="18"/>
      <c r="M150" s="18"/>
      <c r="N150" s="18"/>
      <c r="O150" s="18" t="s">
        <v>746</v>
      </c>
      <c r="P150" s="18"/>
      <c r="Q150" s="18"/>
      <c r="R150" s="18"/>
    </row>
    <row r="151" spans="1:18" s="18" customFormat="1" x14ac:dyDescent="0.35">
      <c r="A151" s="18" t="s">
        <v>849</v>
      </c>
      <c r="B151" s="18" t="s">
        <v>603</v>
      </c>
      <c r="C151" s="18" t="s">
        <v>604</v>
      </c>
      <c r="D151" s="18" t="s">
        <v>1234</v>
      </c>
      <c r="E151" s="18" t="s">
        <v>375</v>
      </c>
      <c r="G151" s="18" t="s">
        <v>605</v>
      </c>
      <c r="H151" s="18" t="s">
        <v>374</v>
      </c>
      <c r="I151" s="18" t="s">
        <v>2098</v>
      </c>
      <c r="O151" s="18" t="s">
        <v>746</v>
      </c>
    </row>
    <row r="152" spans="1:18" x14ac:dyDescent="0.35">
      <c r="A152" t="s">
        <v>159</v>
      </c>
      <c r="B152" t="s">
        <v>159</v>
      </c>
      <c r="C152" t="s">
        <v>160</v>
      </c>
      <c r="D152" t="s">
        <v>1165</v>
      </c>
      <c r="E152" t="s">
        <v>11</v>
      </c>
      <c r="F152" t="s">
        <v>34</v>
      </c>
      <c r="G152" t="s">
        <v>157</v>
      </c>
      <c r="H152" t="s">
        <v>10</v>
      </c>
      <c r="I152" t="s">
        <v>2053</v>
      </c>
      <c r="L152" s="3" t="s">
        <v>1526</v>
      </c>
      <c r="M152" s="3" t="s">
        <v>821</v>
      </c>
      <c r="N152" s="30" t="s">
        <v>823</v>
      </c>
      <c r="O152" t="s">
        <v>746</v>
      </c>
      <c r="P152" t="s">
        <v>772</v>
      </c>
      <c r="R152" t="s">
        <v>2054</v>
      </c>
    </row>
    <row r="153" spans="1:18" x14ac:dyDescent="0.35">
      <c r="A153" s="18" t="s">
        <v>885</v>
      </c>
      <c r="B153" s="18" t="s">
        <v>477</v>
      </c>
      <c r="C153" s="18" t="s">
        <v>478</v>
      </c>
      <c r="D153" s="18" t="s">
        <v>1334</v>
      </c>
      <c r="E153" s="18" t="s">
        <v>375</v>
      </c>
      <c r="F153" s="18"/>
      <c r="G153" s="18" t="s">
        <v>468</v>
      </c>
      <c r="H153" s="18" t="s">
        <v>374</v>
      </c>
      <c r="I153" s="18" t="s">
        <v>2161</v>
      </c>
      <c r="J153" s="18"/>
      <c r="K153" s="18"/>
      <c r="L153" s="18"/>
      <c r="M153" s="18"/>
      <c r="N153" s="18"/>
      <c r="O153" s="18" t="s">
        <v>746</v>
      </c>
      <c r="P153" s="18"/>
      <c r="Q153" s="18"/>
      <c r="R153" s="18"/>
    </row>
    <row r="154" spans="1:18" s="18" customFormat="1" x14ac:dyDescent="0.35">
      <c r="A154" t="s">
        <v>208</v>
      </c>
      <c r="B154" t="s">
        <v>208</v>
      </c>
      <c r="C154" t="s">
        <v>212</v>
      </c>
      <c r="D154" t="s">
        <v>1176</v>
      </c>
      <c r="E154" t="s">
        <v>11</v>
      </c>
      <c r="F154" t="s">
        <v>44</v>
      </c>
      <c r="G154" t="s">
        <v>210</v>
      </c>
      <c r="H154" t="s">
        <v>10</v>
      </c>
      <c r="I154" t="s">
        <v>1756</v>
      </c>
      <c r="J154" t="s">
        <v>706</v>
      </c>
      <c r="K154" t="s">
        <v>2061</v>
      </c>
      <c r="L154" t="s">
        <v>770</v>
      </c>
      <c r="M154" t="s">
        <v>1530</v>
      </c>
      <c r="N154" t="s">
        <v>830</v>
      </c>
      <c r="O154" t="s">
        <v>710</v>
      </c>
      <c r="P154" t="s">
        <v>807</v>
      </c>
      <c r="Q154"/>
      <c r="R154" t="s">
        <v>2060</v>
      </c>
    </row>
    <row r="155" spans="1:18" s="18" customFormat="1" ht="29" x14ac:dyDescent="0.35">
      <c r="A155" t="s">
        <v>887</v>
      </c>
      <c r="B155" t="s">
        <v>213</v>
      </c>
      <c r="C155" t="s">
        <v>214</v>
      </c>
      <c r="D155" t="s">
        <v>1336</v>
      </c>
      <c r="E155" t="s">
        <v>11</v>
      </c>
      <c r="F155" t="s">
        <v>21</v>
      </c>
      <c r="G155" t="s">
        <v>210</v>
      </c>
      <c r="H155" t="s">
        <v>10</v>
      </c>
      <c r="I155" t="s">
        <v>2163</v>
      </c>
      <c r="J155"/>
      <c r="K155"/>
      <c r="L155" t="s">
        <v>1040</v>
      </c>
      <c r="M155" s="30" t="s">
        <v>2359</v>
      </c>
      <c r="N155" s="22" t="s">
        <v>1042</v>
      </c>
      <c r="O155" t="s">
        <v>746</v>
      </c>
      <c r="P155" t="s">
        <v>772</v>
      </c>
      <c r="Q155"/>
      <c r="R155" t="s">
        <v>2361</v>
      </c>
    </row>
    <row r="156" spans="1:18" x14ac:dyDescent="0.35">
      <c r="A156" t="s">
        <v>725</v>
      </c>
      <c r="B156" t="s">
        <v>138</v>
      </c>
      <c r="C156" t="s">
        <v>139</v>
      </c>
      <c r="D156" t="s">
        <v>1285</v>
      </c>
      <c r="E156" t="s">
        <v>11</v>
      </c>
      <c r="F156" t="s">
        <v>44</v>
      </c>
      <c r="G156" t="s">
        <v>141</v>
      </c>
      <c r="H156" t="s">
        <v>10</v>
      </c>
      <c r="I156" t="s">
        <v>2124</v>
      </c>
      <c r="L156" s="2" t="s">
        <v>724</v>
      </c>
      <c r="M156" t="s">
        <v>2125</v>
      </c>
      <c r="N156" s="22" t="s">
        <v>1000</v>
      </c>
      <c r="O156" t="s">
        <v>746</v>
      </c>
      <c r="R156" t="s">
        <v>2126</v>
      </c>
    </row>
    <row r="157" spans="1:18" s="18" customFormat="1" x14ac:dyDescent="0.35">
      <c r="A157" s="18" t="s">
        <v>424</v>
      </c>
      <c r="B157" s="18" t="s">
        <v>424</v>
      </c>
      <c r="C157" s="18" t="s">
        <v>425</v>
      </c>
      <c r="D157" s="18" t="s">
        <v>1231</v>
      </c>
      <c r="E157" s="18" t="s">
        <v>375</v>
      </c>
      <c r="G157" s="18" t="s">
        <v>423</v>
      </c>
      <c r="H157" s="18" t="s">
        <v>374</v>
      </c>
      <c r="I157" s="18" t="s">
        <v>2096</v>
      </c>
      <c r="O157" s="18" t="s">
        <v>746</v>
      </c>
    </row>
    <row r="158" spans="1:18" s="18" customFormat="1" x14ac:dyDescent="0.35">
      <c r="A158" t="s">
        <v>14</v>
      </c>
      <c r="B158" t="s">
        <v>14</v>
      </c>
      <c r="C158" t="s">
        <v>20</v>
      </c>
      <c r="D158" t="s">
        <v>1130</v>
      </c>
      <c r="E158" t="s">
        <v>11</v>
      </c>
      <c r="F158" t="s">
        <v>19</v>
      </c>
      <c r="G158" t="s">
        <v>16</v>
      </c>
      <c r="H158" t="s">
        <v>10</v>
      </c>
      <c r="I158" t="s">
        <v>2034</v>
      </c>
      <c r="J158" t="s">
        <v>2035</v>
      </c>
      <c r="K158" t="s">
        <v>1753</v>
      </c>
      <c r="L158" s="2" t="s">
        <v>768</v>
      </c>
      <c r="M158" s="2" t="s">
        <v>1501</v>
      </c>
      <c r="N158" s="2" t="s">
        <v>1500</v>
      </c>
      <c r="O158" t="s">
        <v>710</v>
      </c>
      <c r="P158" t="s">
        <v>772</v>
      </c>
      <c r="Q158"/>
      <c r="R158" t="s">
        <v>2036</v>
      </c>
    </row>
    <row r="159" spans="1:18" s="18" customFormat="1" x14ac:dyDescent="0.35">
      <c r="A159" t="s">
        <v>14</v>
      </c>
      <c r="B159" t="s">
        <v>14</v>
      </c>
      <c r="C159" t="s">
        <v>22</v>
      </c>
      <c r="D159" t="s">
        <v>1129</v>
      </c>
      <c r="E159" t="s">
        <v>11</v>
      </c>
      <c r="F159" t="s">
        <v>13</v>
      </c>
      <c r="G159" t="s">
        <v>16</v>
      </c>
      <c r="H159" t="s">
        <v>10</v>
      </c>
      <c r="I159" t="s">
        <v>2034</v>
      </c>
      <c r="J159"/>
      <c r="K159"/>
      <c r="L159" s="2" t="s">
        <v>768</v>
      </c>
      <c r="M159" s="2" t="s">
        <v>1505</v>
      </c>
      <c r="N159" s="2" t="s">
        <v>1504</v>
      </c>
      <c r="O159" t="s">
        <v>710</v>
      </c>
      <c r="P159" t="s">
        <v>772</v>
      </c>
      <c r="Q159"/>
      <c r="R159" t="s">
        <v>2036</v>
      </c>
    </row>
    <row r="160" spans="1:18" s="18" customFormat="1" x14ac:dyDescent="0.35">
      <c r="A160" s="18" t="s">
        <v>661</v>
      </c>
      <c r="B160" s="18" t="s">
        <v>661</v>
      </c>
      <c r="C160" s="18" t="s">
        <v>662</v>
      </c>
      <c r="D160" s="18" t="s">
        <v>1338</v>
      </c>
      <c r="E160" s="18" t="s">
        <v>375</v>
      </c>
      <c r="G160" s="18" t="s">
        <v>210</v>
      </c>
      <c r="H160" s="18" t="s">
        <v>374</v>
      </c>
      <c r="I160" s="18" t="s">
        <v>2165</v>
      </c>
      <c r="O160" s="18" t="s">
        <v>746</v>
      </c>
    </row>
    <row r="161" spans="1:18" s="18" customFormat="1" x14ac:dyDescent="0.35">
      <c r="A161" s="18" t="s">
        <v>847</v>
      </c>
      <c r="B161" s="18" t="s">
        <v>555</v>
      </c>
      <c r="C161" s="18" t="s">
        <v>556</v>
      </c>
      <c r="D161" s="18" t="s">
        <v>1229</v>
      </c>
      <c r="E161" s="18" t="s">
        <v>375</v>
      </c>
      <c r="G161" s="18" t="s">
        <v>557</v>
      </c>
      <c r="H161" s="18" t="s">
        <v>374</v>
      </c>
      <c r="I161" s="18" t="s">
        <v>2094</v>
      </c>
      <c r="O161" s="18" t="s">
        <v>746</v>
      </c>
    </row>
    <row r="162" spans="1:18" x14ac:dyDescent="0.35">
      <c r="A162" t="s">
        <v>406</v>
      </c>
      <c r="B162" t="s">
        <v>123</v>
      </c>
      <c r="C162" t="s">
        <v>131</v>
      </c>
      <c r="D162" t="s">
        <v>1222</v>
      </c>
      <c r="E162" t="s">
        <v>11</v>
      </c>
      <c r="F162" t="s">
        <v>21</v>
      </c>
      <c r="G162" t="s">
        <v>130</v>
      </c>
      <c r="H162" t="s">
        <v>10</v>
      </c>
      <c r="I162" t="s">
        <v>2089</v>
      </c>
      <c r="L162" s="22" t="s">
        <v>947</v>
      </c>
      <c r="M162" s="22" t="s">
        <v>948</v>
      </c>
      <c r="N162" s="22" t="s">
        <v>950</v>
      </c>
      <c r="O162" t="s">
        <v>746</v>
      </c>
      <c r="P162" t="s">
        <v>772</v>
      </c>
      <c r="R162" t="s">
        <v>2947</v>
      </c>
    </row>
    <row r="163" spans="1:18" x14ac:dyDescent="0.35">
      <c r="A163" t="s">
        <v>133</v>
      </c>
      <c r="B163" t="s">
        <v>133</v>
      </c>
      <c r="C163" t="s">
        <v>134</v>
      </c>
      <c r="D163" t="s">
        <v>1308</v>
      </c>
      <c r="E163" t="s">
        <v>11</v>
      </c>
      <c r="F163" t="s">
        <v>23</v>
      </c>
      <c r="G163" t="s">
        <v>130</v>
      </c>
      <c r="H163" t="s">
        <v>10</v>
      </c>
      <c r="I163" t="s">
        <v>2146</v>
      </c>
      <c r="L163" t="s">
        <v>1019</v>
      </c>
      <c r="N163" s="22" t="s">
        <v>1020</v>
      </c>
      <c r="O163" t="s">
        <v>746</v>
      </c>
      <c r="P163" t="s">
        <v>720</v>
      </c>
      <c r="R163" t="s">
        <v>2357</v>
      </c>
    </row>
    <row r="164" spans="1:18" x14ac:dyDescent="0.35">
      <c r="A164" t="s">
        <v>730</v>
      </c>
      <c r="B164" t="s">
        <v>58</v>
      </c>
      <c r="C164" t="s">
        <v>61</v>
      </c>
      <c r="D164" t="s">
        <v>1438</v>
      </c>
      <c r="E164" t="s">
        <v>11</v>
      </c>
      <c r="F164" t="s">
        <v>34</v>
      </c>
      <c r="G164" t="s">
        <v>16</v>
      </c>
      <c r="H164" t="s">
        <v>10</v>
      </c>
      <c r="I164" t="s">
        <v>2220</v>
      </c>
      <c r="L164" t="s">
        <v>729</v>
      </c>
      <c r="M164" t="s">
        <v>720</v>
      </c>
      <c r="N164" s="22" t="s">
        <v>1486</v>
      </c>
      <c r="O164" t="s">
        <v>746</v>
      </c>
      <c r="P164" t="s">
        <v>772</v>
      </c>
      <c r="R164" t="s">
        <v>2221</v>
      </c>
    </row>
    <row r="165" spans="1:18" x14ac:dyDescent="0.35">
      <c r="A165" s="18" t="s">
        <v>514</v>
      </c>
      <c r="B165" s="18" t="s">
        <v>514</v>
      </c>
      <c r="C165" s="18" t="s">
        <v>515</v>
      </c>
      <c r="D165" s="18" t="s">
        <v>1365</v>
      </c>
      <c r="E165" s="18" t="s">
        <v>375</v>
      </c>
      <c r="F165" s="18"/>
      <c r="G165" s="18" t="s">
        <v>509</v>
      </c>
      <c r="H165" s="18" t="s">
        <v>374</v>
      </c>
      <c r="I165" s="18" t="s">
        <v>2177</v>
      </c>
      <c r="J165" s="18"/>
      <c r="K165" s="18"/>
      <c r="L165" s="18"/>
      <c r="M165" s="18"/>
      <c r="N165" s="18"/>
      <c r="O165" s="18" t="s">
        <v>746</v>
      </c>
      <c r="P165" s="18"/>
      <c r="Q165" s="18"/>
      <c r="R165" s="18"/>
    </row>
    <row r="166" spans="1:18" s="18" customFormat="1" x14ac:dyDescent="0.35">
      <c r="A166" s="18" t="s">
        <v>912</v>
      </c>
      <c r="B166" s="18" t="s">
        <v>486</v>
      </c>
      <c r="C166" s="18" t="s">
        <v>487</v>
      </c>
      <c r="D166" s="18" t="s">
        <v>1435</v>
      </c>
      <c r="E166" s="18" t="s">
        <v>375</v>
      </c>
      <c r="G166" s="18" t="s">
        <v>488</v>
      </c>
      <c r="H166" s="18" t="s">
        <v>374</v>
      </c>
      <c r="I166" s="18" t="s">
        <v>2218</v>
      </c>
      <c r="O166" s="18" t="s">
        <v>746</v>
      </c>
    </row>
    <row r="167" spans="1:18" x14ac:dyDescent="0.35">
      <c r="A167" t="s">
        <v>155</v>
      </c>
      <c r="B167" t="s">
        <v>155</v>
      </c>
      <c r="C167" t="s">
        <v>158</v>
      </c>
      <c r="D167" t="s">
        <v>1152</v>
      </c>
      <c r="E167" t="s">
        <v>11</v>
      </c>
      <c r="F167" t="s">
        <v>19</v>
      </c>
      <c r="G167" t="s">
        <v>157</v>
      </c>
      <c r="H167" t="s">
        <v>10</v>
      </c>
      <c r="I167" t="s">
        <v>2048</v>
      </c>
      <c r="L167" t="s">
        <v>811</v>
      </c>
      <c r="M167" t="s">
        <v>2424</v>
      </c>
      <c r="N167" s="2" t="s">
        <v>815</v>
      </c>
      <c r="O167" t="s">
        <v>747</v>
      </c>
      <c r="P167" t="s">
        <v>2437</v>
      </c>
      <c r="R167" t="s">
        <v>2436</v>
      </c>
    </row>
    <row r="168" spans="1:18" x14ac:dyDescent="0.35">
      <c r="A168" s="18" t="s">
        <v>14</v>
      </c>
      <c r="B168" s="18" t="s">
        <v>14</v>
      </c>
      <c r="C168" s="18" t="s">
        <v>461</v>
      </c>
      <c r="D168" s="18" t="s">
        <v>1134</v>
      </c>
      <c r="E168" s="18" t="s">
        <v>375</v>
      </c>
      <c r="F168" s="18"/>
      <c r="G168" s="18" t="s">
        <v>462</v>
      </c>
      <c r="H168" s="18" t="s">
        <v>374</v>
      </c>
      <c r="I168" s="18" t="s">
        <v>2034</v>
      </c>
      <c r="J168" s="18"/>
      <c r="K168" s="18"/>
      <c r="L168" s="18" t="s">
        <v>768</v>
      </c>
      <c r="M168" s="18" t="s">
        <v>1512</v>
      </c>
      <c r="N168" s="18" t="s">
        <v>1516</v>
      </c>
      <c r="O168" s="18" t="s">
        <v>710</v>
      </c>
      <c r="P168" s="18"/>
      <c r="Q168" s="18"/>
      <c r="R168" s="18"/>
    </row>
    <row r="169" spans="1:18" x14ac:dyDescent="0.35">
      <c r="A169" t="s">
        <v>54</v>
      </c>
      <c r="B169" t="s">
        <v>54</v>
      </c>
      <c r="C169" t="s">
        <v>55</v>
      </c>
      <c r="D169" t="s">
        <v>1379</v>
      </c>
      <c r="E169" t="s">
        <v>11</v>
      </c>
      <c r="F169" t="s">
        <v>19</v>
      </c>
      <c r="G169" t="s">
        <v>16</v>
      </c>
      <c r="H169" t="s">
        <v>10</v>
      </c>
      <c r="I169" t="s">
        <v>2189</v>
      </c>
      <c r="L169" t="s">
        <v>1093</v>
      </c>
      <c r="M169" s="22" t="s">
        <v>1096</v>
      </c>
      <c r="N169" s="22" t="s">
        <v>1095</v>
      </c>
      <c r="O169" t="s">
        <v>746</v>
      </c>
      <c r="P169" t="s">
        <v>772</v>
      </c>
      <c r="R169" t="s">
        <v>2950</v>
      </c>
    </row>
    <row r="170" spans="1:18" x14ac:dyDescent="0.35">
      <c r="A170" t="s">
        <v>793</v>
      </c>
      <c r="B170" t="s">
        <v>128</v>
      </c>
      <c r="C170" t="s">
        <v>129</v>
      </c>
      <c r="D170" t="s">
        <v>1190</v>
      </c>
      <c r="E170" t="s">
        <v>11</v>
      </c>
      <c r="F170" t="s">
        <v>19</v>
      </c>
      <c r="G170" t="s">
        <v>130</v>
      </c>
      <c r="H170" t="s">
        <v>10</v>
      </c>
      <c r="I170" t="s">
        <v>2064</v>
      </c>
      <c r="L170" s="3" t="s">
        <v>743</v>
      </c>
      <c r="M170" t="s">
        <v>744</v>
      </c>
      <c r="N170" s="22" t="s">
        <v>2065</v>
      </c>
      <c r="O170" t="s">
        <v>746</v>
      </c>
      <c r="P170" t="s">
        <v>772</v>
      </c>
      <c r="R170" t="s">
        <v>2066</v>
      </c>
    </row>
    <row r="171" spans="1:18" x14ac:dyDescent="0.35">
      <c r="A171" t="s">
        <v>82</v>
      </c>
      <c r="B171" t="s">
        <v>82</v>
      </c>
      <c r="C171" t="s">
        <v>83</v>
      </c>
      <c r="D171" t="s">
        <v>1278</v>
      </c>
      <c r="E171" t="s">
        <v>11</v>
      </c>
      <c r="F171" t="s">
        <v>19</v>
      </c>
      <c r="G171" t="s">
        <v>84</v>
      </c>
      <c r="H171" t="s">
        <v>10</v>
      </c>
      <c r="I171" t="s">
        <v>2121</v>
      </c>
      <c r="L171" t="s">
        <v>990</v>
      </c>
      <c r="M171" t="s">
        <v>991</v>
      </c>
      <c r="N171" t="s">
        <v>992</v>
      </c>
      <c r="O171" t="s">
        <v>746</v>
      </c>
      <c r="P171" t="s">
        <v>720</v>
      </c>
      <c r="R171" t="s">
        <v>2948</v>
      </c>
    </row>
    <row r="172" spans="1:18" x14ac:dyDescent="0.35">
      <c r="A172" s="18"/>
      <c r="B172" s="18" t="s">
        <v>700</v>
      </c>
      <c r="C172" s="18" t="s">
        <v>701</v>
      </c>
      <c r="D172" s="18" t="s">
        <v>1181</v>
      </c>
      <c r="E172" s="18" t="s">
        <v>375</v>
      </c>
      <c r="F172" s="18"/>
      <c r="G172" s="18" t="s">
        <v>699</v>
      </c>
      <c r="H172" s="18" t="s">
        <v>374</v>
      </c>
      <c r="I172" s="18"/>
      <c r="J172" s="18"/>
      <c r="K172" s="18"/>
      <c r="L172" s="18"/>
      <c r="M172" s="18"/>
      <c r="N172" s="18"/>
      <c r="O172" s="18" t="s">
        <v>746</v>
      </c>
      <c r="P172" s="18"/>
      <c r="Q172" s="18"/>
      <c r="R172" s="18"/>
    </row>
    <row r="173" spans="1:18" s="18" customFormat="1" x14ac:dyDescent="0.35">
      <c r="A173" t="s">
        <v>39</v>
      </c>
      <c r="B173" t="s">
        <v>39</v>
      </c>
      <c r="C173" t="s">
        <v>78</v>
      </c>
      <c r="D173" t="s">
        <v>1321</v>
      </c>
      <c r="E173" t="s">
        <v>11</v>
      </c>
      <c r="F173" t="s">
        <v>21</v>
      </c>
      <c r="G173" t="s">
        <v>64</v>
      </c>
      <c r="H173" t="s">
        <v>10</v>
      </c>
      <c r="I173" t="s">
        <v>2151</v>
      </c>
      <c r="J173"/>
      <c r="K173"/>
      <c r="L173" t="s">
        <v>720</v>
      </c>
      <c r="M173" t="s">
        <v>720</v>
      </c>
      <c r="N173" s="22" t="s">
        <v>1036</v>
      </c>
      <c r="O173" t="s">
        <v>710</v>
      </c>
      <c r="P173" t="s">
        <v>772</v>
      </c>
      <c r="Q173"/>
      <c r="R173" t="s">
        <v>2036</v>
      </c>
    </row>
    <row r="174" spans="1:18" s="18" customFormat="1" x14ac:dyDescent="0.35">
      <c r="A174" t="s">
        <v>228</v>
      </c>
      <c r="B174" t="s">
        <v>228</v>
      </c>
      <c r="C174" t="s">
        <v>229</v>
      </c>
      <c r="D174" t="s">
        <v>1410</v>
      </c>
      <c r="E174" t="s">
        <v>11</v>
      </c>
      <c r="F174" t="s">
        <v>44</v>
      </c>
      <c r="G174" t="s">
        <v>230</v>
      </c>
      <c r="H174" t="s">
        <v>10</v>
      </c>
      <c r="I174" t="s">
        <v>2203</v>
      </c>
      <c r="J174"/>
      <c r="K174"/>
      <c r="L174" t="s">
        <v>1106</v>
      </c>
      <c r="M174"/>
      <c r="N174" s="22" t="s">
        <v>1107</v>
      </c>
      <c r="O174" t="s">
        <v>746</v>
      </c>
      <c r="P174" t="s">
        <v>720</v>
      </c>
      <c r="Q174"/>
      <c r="R174" t="s">
        <v>2393</v>
      </c>
    </row>
    <row r="175" spans="1:18" s="18" customFormat="1" x14ac:dyDescent="0.35">
      <c r="B175" s="18" t="s">
        <v>695</v>
      </c>
      <c r="C175" s="18" t="s">
        <v>696</v>
      </c>
      <c r="D175" s="18" t="s">
        <v>1174</v>
      </c>
      <c r="E175" s="18" t="s">
        <v>375</v>
      </c>
      <c r="G175" s="18" t="s">
        <v>693</v>
      </c>
      <c r="H175" s="18" t="s">
        <v>374</v>
      </c>
      <c r="O175" s="18" t="s">
        <v>746</v>
      </c>
    </row>
    <row r="176" spans="1:18" s="18" customFormat="1" x14ac:dyDescent="0.35">
      <c r="A176" s="18" t="s">
        <v>741</v>
      </c>
      <c r="B176" s="18" t="s">
        <v>516</v>
      </c>
      <c r="C176" s="18" t="s">
        <v>643</v>
      </c>
      <c r="D176" s="18" t="s">
        <v>1164</v>
      </c>
      <c r="E176" s="18" t="s">
        <v>375</v>
      </c>
      <c r="G176" s="18" t="s">
        <v>644</v>
      </c>
      <c r="H176" s="18" t="s">
        <v>374</v>
      </c>
      <c r="I176" s="18" t="s">
        <v>2052</v>
      </c>
      <c r="L176" s="18" t="s">
        <v>742</v>
      </c>
      <c r="O176" s="18" t="s">
        <v>746</v>
      </c>
    </row>
    <row r="177" spans="1:18" s="18" customFormat="1" x14ac:dyDescent="0.35">
      <c r="A177" s="18" t="s">
        <v>911</v>
      </c>
      <c r="B177" s="18" t="s">
        <v>630</v>
      </c>
      <c r="C177" s="18" t="s">
        <v>631</v>
      </c>
      <c r="D177" s="18" t="s">
        <v>1433</v>
      </c>
      <c r="E177" s="18" t="s">
        <v>375</v>
      </c>
      <c r="G177" s="18" t="s">
        <v>627</v>
      </c>
      <c r="H177" s="18" t="s">
        <v>374</v>
      </c>
      <c r="I177" s="18" t="s">
        <v>2216</v>
      </c>
      <c r="O177" s="18" t="s">
        <v>746</v>
      </c>
    </row>
    <row r="178" spans="1:18" s="18" customFormat="1" x14ac:dyDescent="0.35">
      <c r="A178" s="18" t="s">
        <v>876</v>
      </c>
      <c r="B178" s="18" t="s">
        <v>520</v>
      </c>
      <c r="C178" s="18" t="s">
        <v>528</v>
      </c>
      <c r="D178" s="18" t="s">
        <v>1312</v>
      </c>
      <c r="E178" s="18" t="s">
        <v>375</v>
      </c>
      <c r="G178" s="18" t="s">
        <v>529</v>
      </c>
      <c r="H178" s="18" t="s">
        <v>374</v>
      </c>
      <c r="I178" s="18" t="s">
        <v>2148</v>
      </c>
      <c r="O178" s="18" t="s">
        <v>746</v>
      </c>
    </row>
    <row r="179" spans="1:18" s="18" customFormat="1" x14ac:dyDescent="0.35">
      <c r="A179" t="s">
        <v>755</v>
      </c>
      <c r="B179" t="s">
        <v>75</v>
      </c>
      <c r="C179" t="s">
        <v>85</v>
      </c>
      <c r="D179" t="s">
        <v>1315</v>
      </c>
      <c r="E179" t="s">
        <v>11</v>
      </c>
      <c r="F179" t="s">
        <v>23</v>
      </c>
      <c r="G179" t="s">
        <v>84</v>
      </c>
      <c r="H179" t="s">
        <v>10</v>
      </c>
      <c r="I179" t="s">
        <v>2150</v>
      </c>
      <c r="J179"/>
      <c r="K179"/>
      <c r="L179" s="2" t="s">
        <v>762</v>
      </c>
      <c r="M179" t="s">
        <v>1022</v>
      </c>
      <c r="N179" t="s">
        <v>1024</v>
      </c>
      <c r="O179" t="s">
        <v>710</v>
      </c>
      <c r="P179" t="s">
        <v>772</v>
      </c>
      <c r="Q179"/>
      <c r="R179" t="s">
        <v>2036</v>
      </c>
    </row>
    <row r="180" spans="1:18" s="18" customFormat="1" x14ac:dyDescent="0.35">
      <c r="A180" t="s">
        <v>717</v>
      </c>
      <c r="B180" t="s">
        <v>79</v>
      </c>
      <c r="C180" t="s">
        <v>80</v>
      </c>
      <c r="D180" t="s">
        <v>1268</v>
      </c>
      <c r="E180" t="s">
        <v>11</v>
      </c>
      <c r="F180" t="s">
        <v>19</v>
      </c>
      <c r="G180" t="s">
        <v>81</v>
      </c>
      <c r="H180" t="s">
        <v>10</v>
      </c>
      <c r="I180" t="s">
        <v>1853</v>
      </c>
      <c r="J180" t="s">
        <v>1782</v>
      </c>
      <c r="K180" t="s">
        <v>1854</v>
      </c>
      <c r="L180" s="2" t="s">
        <v>980</v>
      </c>
      <c r="M180" t="s">
        <v>707</v>
      </c>
      <c r="N180" t="s">
        <v>983</v>
      </c>
      <c r="O180" t="s">
        <v>710</v>
      </c>
      <c r="P180" t="s">
        <v>2328</v>
      </c>
      <c r="Q180"/>
      <c r="R180" t="s">
        <v>2117</v>
      </c>
    </row>
    <row r="181" spans="1:18" s="18" customFormat="1" x14ac:dyDescent="0.35">
      <c r="A181" t="s">
        <v>715</v>
      </c>
      <c r="B181" t="s">
        <v>142</v>
      </c>
      <c r="C181" t="s">
        <v>184</v>
      </c>
      <c r="D181" t="s">
        <v>1246</v>
      </c>
      <c r="E181" t="s">
        <v>11</v>
      </c>
      <c r="F181" t="s">
        <v>13</v>
      </c>
      <c r="G181" t="s">
        <v>185</v>
      </c>
      <c r="H181" t="s">
        <v>10</v>
      </c>
      <c r="I181" t="s">
        <v>2104</v>
      </c>
      <c r="J181" t="s">
        <v>2105</v>
      </c>
      <c r="K181" t="s">
        <v>2106</v>
      </c>
      <c r="L181" t="s">
        <v>962</v>
      </c>
      <c r="M181" t="s">
        <v>963</v>
      </c>
      <c r="N181" t="s">
        <v>964</v>
      </c>
      <c r="O181" t="s">
        <v>710</v>
      </c>
      <c r="P181" t="s">
        <v>2419</v>
      </c>
      <c r="Q181" t="s">
        <v>2457</v>
      </c>
      <c r="R181" t="s">
        <v>2287</v>
      </c>
    </row>
    <row r="182" spans="1:18" s="18" customFormat="1" x14ac:dyDescent="0.35">
      <c r="A182" s="18" t="s">
        <v>879</v>
      </c>
      <c r="B182" s="18" t="s">
        <v>589</v>
      </c>
      <c r="C182" s="18" t="s">
        <v>590</v>
      </c>
      <c r="D182" s="18" t="s">
        <v>1327</v>
      </c>
      <c r="E182" s="18" t="s">
        <v>375</v>
      </c>
      <c r="G182" s="18" t="s">
        <v>591</v>
      </c>
      <c r="H182" s="18" t="s">
        <v>374</v>
      </c>
      <c r="I182" s="18" t="s">
        <v>2154</v>
      </c>
      <c r="O182" s="18" t="s">
        <v>746</v>
      </c>
    </row>
    <row r="183" spans="1:18" s="18" customFormat="1" x14ac:dyDescent="0.35">
      <c r="A183" s="18" t="s">
        <v>382</v>
      </c>
      <c r="B183" s="18" t="s">
        <v>382</v>
      </c>
      <c r="C183" s="18" t="s">
        <v>385</v>
      </c>
      <c r="D183" s="18" t="s">
        <v>1233</v>
      </c>
      <c r="E183" s="18" t="s">
        <v>375</v>
      </c>
      <c r="G183" s="18" t="s">
        <v>384</v>
      </c>
      <c r="H183" s="18" t="s">
        <v>374</v>
      </c>
      <c r="I183" s="18" t="s">
        <v>2097</v>
      </c>
      <c r="O183" s="18" t="s">
        <v>746</v>
      </c>
    </row>
    <row r="184" spans="1:18" x14ac:dyDescent="0.35">
      <c r="A184" t="s">
        <v>868</v>
      </c>
      <c r="B184" t="s">
        <v>175</v>
      </c>
      <c r="C184" t="s">
        <v>176</v>
      </c>
      <c r="D184" t="s">
        <v>1299</v>
      </c>
      <c r="E184" t="s">
        <v>11</v>
      </c>
      <c r="F184" t="s">
        <v>13</v>
      </c>
      <c r="G184" t="s">
        <v>177</v>
      </c>
      <c r="H184" t="s">
        <v>10</v>
      </c>
      <c r="I184" t="s">
        <v>2138</v>
      </c>
      <c r="L184" t="s">
        <v>1003</v>
      </c>
      <c r="M184" t="s">
        <v>1005</v>
      </c>
      <c r="N184" s="22" t="s">
        <v>1006</v>
      </c>
      <c r="O184" t="s">
        <v>746</v>
      </c>
      <c r="P184" t="s">
        <v>807</v>
      </c>
      <c r="R184" t="s">
        <v>2349</v>
      </c>
    </row>
    <row r="185" spans="1:18" s="18" customFormat="1" x14ac:dyDescent="0.35">
      <c r="A185" t="s">
        <v>325</v>
      </c>
      <c r="B185" t="s">
        <v>325</v>
      </c>
      <c r="C185" t="s">
        <v>326</v>
      </c>
      <c r="D185" t="s">
        <v>1298</v>
      </c>
      <c r="E185" t="s">
        <v>233</v>
      </c>
      <c r="F185" t="s">
        <v>2554</v>
      </c>
      <c r="G185" t="s">
        <v>327</v>
      </c>
      <c r="H185" t="s">
        <v>10</v>
      </c>
      <c r="I185" t="s">
        <v>2137</v>
      </c>
      <c r="J185"/>
      <c r="K185"/>
      <c r="L185" t="s">
        <v>1003</v>
      </c>
      <c r="M185" s="22" t="s">
        <v>1005</v>
      </c>
      <c r="N185" s="22" t="s">
        <v>1006</v>
      </c>
      <c r="O185" t="s">
        <v>746</v>
      </c>
      <c r="P185" t="s">
        <v>807</v>
      </c>
      <c r="Q185"/>
      <c r="R185" t="s">
        <v>2349</v>
      </c>
    </row>
    <row r="186" spans="1:18" s="18" customFormat="1" x14ac:dyDescent="0.35">
      <c r="A186" t="s">
        <v>896</v>
      </c>
      <c r="B186" t="s">
        <v>172</v>
      </c>
      <c r="C186" t="s">
        <v>173</v>
      </c>
      <c r="D186" t="s">
        <v>1366</v>
      </c>
      <c r="E186" t="s">
        <v>11</v>
      </c>
      <c r="F186" t="s">
        <v>17</v>
      </c>
      <c r="G186" t="s">
        <v>174</v>
      </c>
      <c r="H186" t="s">
        <v>10</v>
      </c>
      <c r="I186" t="s">
        <v>2178</v>
      </c>
      <c r="J186"/>
      <c r="K186"/>
      <c r="L186" s="22" t="s">
        <v>1078</v>
      </c>
      <c r="M186" s="22" t="s">
        <v>2364</v>
      </c>
      <c r="N186" s="22" t="s">
        <v>1080</v>
      </c>
      <c r="O186" t="s">
        <v>746</v>
      </c>
      <c r="P186" t="s">
        <v>772</v>
      </c>
      <c r="Q186"/>
      <c r="R186" t="s">
        <v>2363</v>
      </c>
    </row>
    <row r="187" spans="1:18" x14ac:dyDescent="0.35">
      <c r="A187" s="18" t="s">
        <v>882</v>
      </c>
      <c r="B187" s="18" t="s">
        <v>392</v>
      </c>
      <c r="C187" s="18" t="s">
        <v>393</v>
      </c>
      <c r="D187" s="18" t="s">
        <v>1331</v>
      </c>
      <c r="E187" s="18" t="s">
        <v>375</v>
      </c>
      <c r="F187" s="18"/>
      <c r="G187" s="18" t="s">
        <v>394</v>
      </c>
      <c r="H187" s="18" t="s">
        <v>374</v>
      </c>
      <c r="I187" s="18" t="s">
        <v>2158</v>
      </c>
      <c r="J187" s="18"/>
      <c r="K187" s="18"/>
      <c r="L187" s="18"/>
      <c r="M187" s="18"/>
      <c r="N187" s="18"/>
      <c r="O187" s="18" t="s">
        <v>746</v>
      </c>
      <c r="P187" s="18"/>
      <c r="Q187" s="18"/>
      <c r="R187" s="18"/>
    </row>
    <row r="188" spans="1:18" x14ac:dyDescent="0.35">
      <c r="A188" t="s">
        <v>406</v>
      </c>
      <c r="B188" t="s">
        <v>123</v>
      </c>
      <c r="C188" t="s">
        <v>124</v>
      </c>
      <c r="D188" t="s">
        <v>1223</v>
      </c>
      <c r="E188" t="s">
        <v>11</v>
      </c>
      <c r="F188" t="s">
        <v>44</v>
      </c>
      <c r="G188" t="s">
        <v>125</v>
      </c>
      <c r="H188" t="s">
        <v>10</v>
      </c>
      <c r="I188" t="s">
        <v>2089</v>
      </c>
      <c r="L188" s="22" t="s">
        <v>947</v>
      </c>
      <c r="M188" s="22" t="s">
        <v>949</v>
      </c>
      <c r="O188" t="s">
        <v>746</v>
      </c>
      <c r="P188" t="s">
        <v>772</v>
      </c>
      <c r="R188" t="s">
        <v>2090</v>
      </c>
    </row>
    <row r="189" spans="1:18" x14ac:dyDescent="0.35">
      <c r="A189" t="s">
        <v>753</v>
      </c>
      <c r="B189" t="s">
        <v>197</v>
      </c>
      <c r="C189" t="s">
        <v>198</v>
      </c>
      <c r="D189" t="s">
        <v>1188</v>
      </c>
      <c r="E189" t="s">
        <v>11</v>
      </c>
      <c r="F189" t="s">
        <v>23</v>
      </c>
      <c r="G189" t="s">
        <v>199</v>
      </c>
      <c r="H189" t="s">
        <v>10</v>
      </c>
      <c r="I189" t="s">
        <v>2062</v>
      </c>
      <c r="L189" s="2" t="s">
        <v>752</v>
      </c>
      <c r="M189" t="s">
        <v>707</v>
      </c>
      <c r="N189" s="22" t="s">
        <v>835</v>
      </c>
      <c r="O189" t="s">
        <v>748</v>
      </c>
      <c r="P189" t="s">
        <v>772</v>
      </c>
      <c r="R189" t="s">
        <v>2063</v>
      </c>
    </row>
    <row r="190" spans="1:18" x14ac:dyDescent="0.35">
      <c r="A190" s="18" t="s">
        <v>715</v>
      </c>
      <c r="B190" s="18" t="s">
        <v>142</v>
      </c>
      <c r="C190" s="18" t="s">
        <v>574</v>
      </c>
      <c r="D190" s="18" t="s">
        <v>1255</v>
      </c>
      <c r="E190" s="18" t="s">
        <v>375</v>
      </c>
      <c r="F190" s="18"/>
      <c r="G190" s="18" t="s">
        <v>575</v>
      </c>
      <c r="H190" s="18" t="s">
        <v>374</v>
      </c>
      <c r="I190" s="18" t="s">
        <v>2104</v>
      </c>
      <c r="J190" s="18"/>
      <c r="K190" s="18"/>
      <c r="L190" s="18"/>
      <c r="M190" s="18"/>
      <c r="N190" s="18" t="s">
        <v>707</v>
      </c>
      <c r="O190" s="18" t="s">
        <v>710</v>
      </c>
      <c r="P190" s="18"/>
      <c r="Q190" s="18"/>
      <c r="R190" s="18"/>
    </row>
    <row r="191" spans="1:18" x14ac:dyDescent="0.35">
      <c r="A191" s="18" t="s">
        <v>380</v>
      </c>
      <c r="B191" s="18" t="s">
        <v>380</v>
      </c>
      <c r="C191" s="18" t="s">
        <v>381</v>
      </c>
      <c r="D191" s="18" t="s">
        <v>1290</v>
      </c>
      <c r="E191" s="18" t="s">
        <v>375</v>
      </c>
      <c r="F191" s="18"/>
      <c r="G191" s="18" t="s">
        <v>379</v>
      </c>
      <c r="H191" s="18" t="s">
        <v>374</v>
      </c>
      <c r="I191" s="18" t="s">
        <v>2130</v>
      </c>
      <c r="J191" s="18"/>
      <c r="K191" s="18"/>
      <c r="L191" s="18"/>
      <c r="M191" s="18"/>
      <c r="N191" s="18"/>
      <c r="O191" s="18" t="s">
        <v>746</v>
      </c>
      <c r="P191" s="18"/>
      <c r="Q191" s="18"/>
      <c r="R191" s="18"/>
    </row>
    <row r="192" spans="1:18" x14ac:dyDescent="0.35">
      <c r="A192" s="18" t="s">
        <v>904</v>
      </c>
      <c r="B192" s="18" t="s">
        <v>398</v>
      </c>
      <c r="C192" s="18" t="s">
        <v>399</v>
      </c>
      <c r="D192" s="18" t="s">
        <v>1387</v>
      </c>
      <c r="E192" s="18" t="s">
        <v>375</v>
      </c>
      <c r="F192" s="18"/>
      <c r="G192" s="18" t="s">
        <v>397</v>
      </c>
      <c r="H192" s="18" t="s">
        <v>374</v>
      </c>
      <c r="I192" s="18" t="s">
        <v>2195</v>
      </c>
      <c r="J192" s="18"/>
      <c r="K192" s="18"/>
      <c r="L192" s="18"/>
      <c r="M192" s="18"/>
      <c r="N192" s="18"/>
      <c r="O192" s="18" t="s">
        <v>746</v>
      </c>
      <c r="P192" s="18"/>
      <c r="Q192" s="18"/>
      <c r="R192" s="18"/>
    </row>
    <row r="193" spans="1:18" x14ac:dyDescent="0.35">
      <c r="A193" t="s">
        <v>328</v>
      </c>
      <c r="B193" t="s">
        <v>328</v>
      </c>
      <c r="C193" t="s">
        <v>329</v>
      </c>
      <c r="D193" t="s">
        <v>1362</v>
      </c>
      <c r="E193" t="s">
        <v>233</v>
      </c>
      <c r="F193" t="s">
        <v>274</v>
      </c>
      <c r="G193" t="s">
        <v>64</v>
      </c>
      <c r="H193" t="s">
        <v>10</v>
      </c>
      <c r="I193" t="s">
        <v>1944</v>
      </c>
      <c r="L193" t="s">
        <v>1075</v>
      </c>
      <c r="M193" t="s">
        <v>1076</v>
      </c>
      <c r="N193" t="s">
        <v>707</v>
      </c>
      <c r="O193" t="s">
        <v>746</v>
      </c>
      <c r="P193" t="s">
        <v>807</v>
      </c>
      <c r="R193" t="s">
        <v>2175</v>
      </c>
    </row>
    <row r="194" spans="1:18" x14ac:dyDescent="0.35">
      <c r="A194" t="s">
        <v>330</v>
      </c>
      <c r="B194" t="s">
        <v>330</v>
      </c>
      <c r="C194" t="s">
        <v>331</v>
      </c>
      <c r="D194" t="s">
        <v>1303</v>
      </c>
      <c r="E194" t="s">
        <v>233</v>
      </c>
      <c r="F194" t="s">
        <v>274</v>
      </c>
      <c r="G194" t="s">
        <v>332</v>
      </c>
      <c r="H194" t="s">
        <v>10</v>
      </c>
      <c r="I194" t="s">
        <v>2142</v>
      </c>
      <c r="L194" t="s">
        <v>2352</v>
      </c>
      <c r="M194" t="s">
        <v>707</v>
      </c>
      <c r="N194" t="s">
        <v>707</v>
      </c>
      <c r="O194" t="s">
        <v>746</v>
      </c>
      <c r="P194" t="s">
        <v>720</v>
      </c>
      <c r="R194" t="s">
        <v>2046</v>
      </c>
    </row>
    <row r="195" spans="1:18" x14ac:dyDescent="0.35">
      <c r="A195" s="18" t="s">
        <v>851</v>
      </c>
      <c r="B195" s="18" t="s">
        <v>525</v>
      </c>
      <c r="C195" s="18" t="s">
        <v>526</v>
      </c>
      <c r="D195" s="18" t="s">
        <v>1236</v>
      </c>
      <c r="E195" s="18" t="s">
        <v>375</v>
      </c>
      <c r="F195" s="18"/>
      <c r="G195" s="18" t="s">
        <v>527</v>
      </c>
      <c r="H195" s="18" t="s">
        <v>374</v>
      </c>
      <c r="I195" s="18" t="s">
        <v>2100</v>
      </c>
      <c r="J195" s="18"/>
      <c r="K195" s="18"/>
      <c r="L195" s="18"/>
      <c r="M195" s="18"/>
      <c r="N195" s="18"/>
      <c r="O195" s="18" t="s">
        <v>746</v>
      </c>
      <c r="P195" s="18"/>
      <c r="Q195" s="18"/>
      <c r="R195" s="18"/>
    </row>
    <row r="196" spans="1:18" x14ac:dyDescent="0.35">
      <c r="A196" s="18" t="s">
        <v>846</v>
      </c>
      <c r="B196" s="18" t="s">
        <v>663</v>
      </c>
      <c r="C196" s="18" t="s">
        <v>664</v>
      </c>
      <c r="D196" s="18" t="s">
        <v>1228</v>
      </c>
      <c r="E196" s="18" t="s">
        <v>375</v>
      </c>
      <c r="F196" s="18"/>
      <c r="G196" s="18" t="s">
        <v>210</v>
      </c>
      <c r="H196" s="18" t="s">
        <v>374</v>
      </c>
      <c r="I196" s="18" t="s">
        <v>2093</v>
      </c>
      <c r="J196" s="18"/>
      <c r="K196" s="18"/>
      <c r="L196" s="18"/>
      <c r="M196" s="18"/>
      <c r="N196" s="18"/>
      <c r="O196" s="18" t="s">
        <v>746</v>
      </c>
      <c r="P196" s="18"/>
      <c r="Q196" s="18"/>
      <c r="R196" s="18"/>
    </row>
    <row r="197" spans="1:18" x14ac:dyDescent="0.35">
      <c r="A197" s="18" t="s">
        <v>888</v>
      </c>
      <c r="B197" s="18" t="s">
        <v>681</v>
      </c>
      <c r="C197" s="18" t="s">
        <v>682</v>
      </c>
      <c r="D197" s="18" t="s">
        <v>1337</v>
      </c>
      <c r="E197" s="18" t="s">
        <v>375</v>
      </c>
      <c r="F197" s="18"/>
      <c r="G197" s="18" t="s">
        <v>683</v>
      </c>
      <c r="H197" s="18" t="s">
        <v>374</v>
      </c>
      <c r="I197" s="18" t="s">
        <v>2164</v>
      </c>
      <c r="J197" s="18"/>
      <c r="K197" s="18"/>
      <c r="L197" s="18"/>
      <c r="M197" s="18"/>
      <c r="N197" s="18"/>
      <c r="O197" s="18" t="s">
        <v>746</v>
      </c>
      <c r="P197" s="18"/>
      <c r="Q197" s="18"/>
      <c r="R197" s="18"/>
    </row>
    <row r="198" spans="1:18" s="18" customFormat="1" x14ac:dyDescent="0.35">
      <c r="A198" t="s">
        <v>870</v>
      </c>
      <c r="B198" t="s">
        <v>35</v>
      </c>
      <c r="C198" t="s">
        <v>36</v>
      </c>
      <c r="D198" t="s">
        <v>1301</v>
      </c>
      <c r="E198" t="s">
        <v>11</v>
      </c>
      <c r="F198" t="s">
        <v>19</v>
      </c>
      <c r="G198" t="s">
        <v>16</v>
      </c>
      <c r="H198" t="s">
        <v>10</v>
      </c>
      <c r="I198" t="s">
        <v>2140</v>
      </c>
      <c r="J198"/>
      <c r="K198"/>
      <c r="L198" t="s">
        <v>1007</v>
      </c>
      <c r="M198" s="22" t="s">
        <v>1008</v>
      </c>
      <c r="N198" s="22" t="s">
        <v>1009</v>
      </c>
      <c r="O198" t="s">
        <v>746</v>
      </c>
      <c r="P198" t="s">
        <v>720</v>
      </c>
      <c r="Q198"/>
      <c r="R198" t="s">
        <v>2350</v>
      </c>
    </row>
    <row r="199" spans="1:18" x14ac:dyDescent="0.35">
      <c r="A199" t="s">
        <v>39</v>
      </c>
      <c r="B199" t="s">
        <v>39</v>
      </c>
      <c r="C199" t="s">
        <v>45</v>
      </c>
      <c r="D199" t="s">
        <v>1318</v>
      </c>
      <c r="E199" t="s">
        <v>11</v>
      </c>
      <c r="F199" t="s">
        <v>44</v>
      </c>
      <c r="G199" t="s">
        <v>16</v>
      </c>
      <c r="H199" t="s">
        <v>10</v>
      </c>
      <c r="I199" t="s">
        <v>2151</v>
      </c>
      <c r="L199" t="s">
        <v>1030</v>
      </c>
      <c r="M199" t="s">
        <v>1026</v>
      </c>
      <c r="N199" s="22" t="s">
        <v>1034</v>
      </c>
      <c r="O199" t="s">
        <v>710</v>
      </c>
      <c r="P199" t="s">
        <v>772</v>
      </c>
      <c r="R199" t="s">
        <v>2036</v>
      </c>
    </row>
    <row r="200" spans="1:18" s="18" customFormat="1" x14ac:dyDescent="0.35">
      <c r="A200" t="s">
        <v>719</v>
      </c>
      <c r="B200" t="s">
        <v>178</v>
      </c>
      <c r="C200" t="s">
        <v>333</v>
      </c>
      <c r="D200" t="s">
        <v>1426</v>
      </c>
      <c r="E200" t="s">
        <v>233</v>
      </c>
      <c r="F200" t="s">
        <v>44</v>
      </c>
      <c r="G200" t="s">
        <v>334</v>
      </c>
      <c r="H200" t="s">
        <v>10</v>
      </c>
      <c r="I200" t="s">
        <v>2209</v>
      </c>
      <c r="J200"/>
      <c r="K200"/>
      <c r="L200" t="s">
        <v>1472</v>
      </c>
      <c r="M200" t="s">
        <v>1474</v>
      </c>
      <c r="N200" t="s">
        <v>707</v>
      </c>
      <c r="O200" t="s">
        <v>710</v>
      </c>
      <c r="P200" t="s">
        <v>2328</v>
      </c>
      <c r="Q200"/>
      <c r="R200" t="s">
        <v>2212</v>
      </c>
    </row>
    <row r="201" spans="1:18" s="18" customFormat="1" x14ac:dyDescent="0.35">
      <c r="A201" t="s">
        <v>208</v>
      </c>
      <c r="B201" t="s">
        <v>208</v>
      </c>
      <c r="C201" t="s">
        <v>335</v>
      </c>
      <c r="D201" t="s">
        <v>1178</v>
      </c>
      <c r="E201" t="s">
        <v>233</v>
      </c>
      <c r="F201" t="s">
        <v>337</v>
      </c>
      <c r="G201" t="s">
        <v>336</v>
      </c>
      <c r="H201" t="s">
        <v>10</v>
      </c>
      <c r="I201" t="s">
        <v>1756</v>
      </c>
      <c r="J201"/>
      <c r="K201"/>
      <c r="L201" t="s">
        <v>770</v>
      </c>
      <c r="M201" t="s">
        <v>1532</v>
      </c>
      <c r="N201" t="s">
        <v>707</v>
      </c>
      <c r="O201" t="s">
        <v>710</v>
      </c>
      <c r="P201" t="s">
        <v>807</v>
      </c>
      <c r="Q201"/>
      <c r="R201" t="s">
        <v>2060</v>
      </c>
    </row>
    <row r="202" spans="1:18" s="18" customFormat="1" x14ac:dyDescent="0.35">
      <c r="A202" t="s">
        <v>155</v>
      </c>
      <c r="B202" t="s">
        <v>338</v>
      </c>
      <c r="C202" t="s">
        <v>339</v>
      </c>
      <c r="D202" t="s">
        <v>1157</v>
      </c>
      <c r="E202" t="s">
        <v>233</v>
      </c>
      <c r="F202" t="s">
        <v>341</v>
      </c>
      <c r="G202" t="s">
        <v>340</v>
      </c>
      <c r="H202" t="s">
        <v>10</v>
      </c>
      <c r="I202" t="s">
        <v>2048</v>
      </c>
      <c r="J202"/>
      <c r="K202"/>
      <c r="L202" t="s">
        <v>769</v>
      </c>
      <c r="M202" t="s">
        <v>2424</v>
      </c>
      <c r="N202" t="s">
        <v>707</v>
      </c>
      <c r="O202" t="s">
        <v>747</v>
      </c>
      <c r="P202" t="s">
        <v>2437</v>
      </c>
      <c r="Q202"/>
      <c r="R202" t="s">
        <v>2436</v>
      </c>
    </row>
    <row r="203" spans="1:18" s="18" customFormat="1" x14ac:dyDescent="0.35">
      <c r="A203" s="18" t="s">
        <v>884</v>
      </c>
      <c r="B203" s="18" t="s">
        <v>697</v>
      </c>
      <c r="C203" s="18" t="s">
        <v>698</v>
      </c>
      <c r="D203" s="18" t="s">
        <v>1333</v>
      </c>
      <c r="E203" s="18" t="s">
        <v>375</v>
      </c>
      <c r="G203" s="18" t="s">
        <v>693</v>
      </c>
      <c r="H203" s="18" t="s">
        <v>374</v>
      </c>
      <c r="I203" s="18" t="s">
        <v>2160</v>
      </c>
      <c r="O203" s="18" t="s">
        <v>746</v>
      </c>
    </row>
    <row r="204" spans="1:18" x14ac:dyDescent="0.35">
      <c r="A204" s="18"/>
      <c r="B204" s="18" t="s">
        <v>503</v>
      </c>
      <c r="C204" s="18" t="s">
        <v>504</v>
      </c>
      <c r="D204" s="18" t="s">
        <v>1160</v>
      </c>
      <c r="E204" s="18" t="s">
        <v>375</v>
      </c>
      <c r="F204" s="18"/>
      <c r="G204" s="18" t="s">
        <v>498</v>
      </c>
      <c r="H204" s="18" t="s">
        <v>374</v>
      </c>
      <c r="I204" s="18"/>
      <c r="J204" s="18"/>
      <c r="K204" s="18"/>
      <c r="L204" s="18"/>
      <c r="M204" s="18"/>
      <c r="N204" s="18"/>
      <c r="O204" s="18" t="s">
        <v>746</v>
      </c>
      <c r="P204" s="18"/>
      <c r="Q204" s="18"/>
      <c r="R204" s="18"/>
    </row>
    <row r="205" spans="1:18" s="18" customFormat="1" x14ac:dyDescent="0.35">
      <c r="A205" s="18" t="s">
        <v>8</v>
      </c>
      <c r="B205" s="18" t="s">
        <v>8</v>
      </c>
      <c r="C205" s="18" t="s">
        <v>463</v>
      </c>
      <c r="D205" s="18" t="s">
        <v>1265</v>
      </c>
      <c r="E205" s="18" t="s">
        <v>375</v>
      </c>
      <c r="G205" s="18" t="s">
        <v>462</v>
      </c>
      <c r="H205" s="18" t="s">
        <v>374</v>
      </c>
      <c r="I205" s="18" t="s">
        <v>1902</v>
      </c>
      <c r="L205" s="18" t="s">
        <v>722</v>
      </c>
      <c r="M205" s="18" t="s">
        <v>974</v>
      </c>
      <c r="N205" s="18" t="s">
        <v>976</v>
      </c>
      <c r="O205" s="18" t="s">
        <v>710</v>
      </c>
    </row>
    <row r="206" spans="1:18" s="18" customFormat="1" x14ac:dyDescent="0.35">
      <c r="A206" t="s">
        <v>715</v>
      </c>
      <c r="B206" t="s">
        <v>142</v>
      </c>
      <c r="C206" t="s">
        <v>200</v>
      </c>
      <c r="D206" t="s">
        <v>1245</v>
      </c>
      <c r="E206" t="s">
        <v>11</v>
      </c>
      <c r="F206" t="s">
        <v>21</v>
      </c>
      <c r="G206" t="s">
        <v>201</v>
      </c>
      <c r="H206" t="s">
        <v>10</v>
      </c>
      <c r="I206" t="s">
        <v>2104</v>
      </c>
      <c r="J206"/>
      <c r="K206"/>
      <c r="L206" t="s">
        <v>962</v>
      </c>
      <c r="M206" t="s">
        <v>968</v>
      </c>
      <c r="N206" s="22" t="s">
        <v>969</v>
      </c>
      <c r="O206" t="s">
        <v>710</v>
      </c>
      <c r="P206" t="s">
        <v>2419</v>
      </c>
      <c r="Q206" t="s">
        <v>2457</v>
      </c>
      <c r="R206" t="s">
        <v>2287</v>
      </c>
    </row>
    <row r="207" spans="1:18" s="18" customFormat="1" x14ac:dyDescent="0.35">
      <c r="A207" s="18" t="s">
        <v>717</v>
      </c>
      <c r="B207" s="18" t="s">
        <v>79</v>
      </c>
      <c r="C207" s="18" t="s">
        <v>411</v>
      </c>
      <c r="D207" s="18" t="s">
        <v>1271</v>
      </c>
      <c r="E207" s="18" t="s">
        <v>375</v>
      </c>
      <c r="G207" s="18" t="s">
        <v>412</v>
      </c>
      <c r="H207" s="18" t="s">
        <v>374</v>
      </c>
      <c r="I207" s="18" t="s">
        <v>1853</v>
      </c>
      <c r="L207" s="18" t="s">
        <v>980</v>
      </c>
      <c r="M207" s="18" t="s">
        <v>707</v>
      </c>
      <c r="O207" s="18" t="s">
        <v>710</v>
      </c>
    </row>
    <row r="208" spans="1:18" x14ac:dyDescent="0.35">
      <c r="A208" s="18" t="s">
        <v>505</v>
      </c>
      <c r="B208" s="18" t="s">
        <v>505</v>
      </c>
      <c r="C208" s="18" t="s">
        <v>506</v>
      </c>
      <c r="D208" s="18" t="s">
        <v>1434</v>
      </c>
      <c r="E208" s="18" t="s">
        <v>375</v>
      </c>
      <c r="F208" s="18"/>
      <c r="G208" s="18" t="s">
        <v>498</v>
      </c>
      <c r="H208" s="18" t="s">
        <v>374</v>
      </c>
      <c r="I208" s="18" t="s">
        <v>2217</v>
      </c>
      <c r="J208" s="18"/>
      <c r="K208" s="18"/>
      <c r="L208" s="18"/>
      <c r="M208" s="18"/>
      <c r="N208" s="18"/>
      <c r="O208" s="18" t="s">
        <v>746</v>
      </c>
      <c r="P208" s="18"/>
      <c r="Q208" s="18"/>
      <c r="R208" s="18"/>
    </row>
    <row r="209" spans="1:18" s="18" customFormat="1" x14ac:dyDescent="0.35">
      <c r="A209" t="s">
        <v>755</v>
      </c>
      <c r="B209" t="s">
        <v>75</v>
      </c>
      <c r="C209" t="s">
        <v>76</v>
      </c>
      <c r="D209" t="s">
        <v>1314</v>
      </c>
      <c r="E209" t="s">
        <v>11</v>
      </c>
      <c r="F209" t="s">
        <v>13</v>
      </c>
      <c r="G209" t="s">
        <v>64</v>
      </c>
      <c r="H209" t="s">
        <v>10</v>
      </c>
      <c r="I209" t="s">
        <v>2150</v>
      </c>
      <c r="J209"/>
      <c r="K209"/>
      <c r="L209" t="s">
        <v>762</v>
      </c>
      <c r="M209" t="s">
        <v>1021</v>
      </c>
      <c r="N209" t="s">
        <v>1023</v>
      </c>
      <c r="O209" t="s">
        <v>710</v>
      </c>
      <c r="P209" t="s">
        <v>772</v>
      </c>
      <c r="Q209"/>
      <c r="R209" t="s">
        <v>2036</v>
      </c>
    </row>
    <row r="210" spans="1:18" s="18" customFormat="1" x14ac:dyDescent="0.35">
      <c r="A210" s="18" t="s">
        <v>634</v>
      </c>
      <c r="B210" s="18" t="s">
        <v>634</v>
      </c>
      <c r="C210" s="18" t="s">
        <v>635</v>
      </c>
      <c r="D210" s="18" t="s">
        <v>1416</v>
      </c>
      <c r="E210" s="18" t="s">
        <v>375</v>
      </c>
      <c r="G210" s="18" t="s">
        <v>627</v>
      </c>
      <c r="H210" s="18" t="s">
        <v>374</v>
      </c>
      <c r="I210" s="18" t="s">
        <v>2206</v>
      </c>
      <c r="O210" s="18" t="s">
        <v>746</v>
      </c>
    </row>
    <row r="211" spans="1:18" s="18" customFormat="1" x14ac:dyDescent="0.35">
      <c r="A211" s="18" t="s">
        <v>632</v>
      </c>
      <c r="B211" s="18" t="s">
        <v>632</v>
      </c>
      <c r="C211" s="18" t="s">
        <v>633</v>
      </c>
      <c r="D211" s="18" t="s">
        <v>1364</v>
      </c>
      <c r="E211" s="18" t="s">
        <v>375</v>
      </c>
      <c r="G211" s="18" t="s">
        <v>627</v>
      </c>
      <c r="H211" s="18" t="s">
        <v>374</v>
      </c>
      <c r="I211" s="18" t="s">
        <v>2176</v>
      </c>
      <c r="O211" s="18" t="s">
        <v>746</v>
      </c>
    </row>
    <row r="212" spans="1:18" x14ac:dyDescent="0.35">
      <c r="A212" s="18" t="s">
        <v>913</v>
      </c>
      <c r="B212" s="18" t="s">
        <v>539</v>
      </c>
      <c r="C212" s="18" t="s">
        <v>540</v>
      </c>
      <c r="D212" s="18" t="s">
        <v>1440</v>
      </c>
      <c r="E212" s="18" t="s">
        <v>375</v>
      </c>
      <c r="F212" s="18"/>
      <c r="G212" s="18" t="s">
        <v>536</v>
      </c>
      <c r="H212" s="18" t="s">
        <v>374</v>
      </c>
      <c r="I212" s="18" t="s">
        <v>2222</v>
      </c>
      <c r="J212" s="18"/>
      <c r="K212" s="18"/>
      <c r="L212" s="18"/>
      <c r="M212" s="18"/>
      <c r="N212" s="18"/>
      <c r="O212" s="18" t="s">
        <v>746</v>
      </c>
      <c r="P212" s="18"/>
      <c r="Q212" s="18"/>
      <c r="R212" s="18"/>
    </row>
    <row r="213" spans="1:18" x14ac:dyDescent="0.35">
      <c r="A213" t="s">
        <v>39</v>
      </c>
      <c r="B213" t="s">
        <v>39</v>
      </c>
      <c r="C213" t="s">
        <v>86</v>
      </c>
      <c r="D213" t="s">
        <v>1322</v>
      </c>
      <c r="E213" t="s">
        <v>11</v>
      </c>
      <c r="F213" t="s">
        <v>19</v>
      </c>
      <c r="G213" t="s">
        <v>84</v>
      </c>
      <c r="H213" t="s">
        <v>10</v>
      </c>
      <c r="I213" t="s">
        <v>2151</v>
      </c>
      <c r="L213" t="s">
        <v>1030</v>
      </c>
      <c r="M213" t="s">
        <v>1027</v>
      </c>
      <c r="N213" s="22" t="s">
        <v>1037</v>
      </c>
      <c r="O213" t="s">
        <v>710</v>
      </c>
      <c r="P213" t="s">
        <v>772</v>
      </c>
      <c r="R213" t="s">
        <v>2036</v>
      </c>
    </row>
    <row r="214" spans="1:18" x14ac:dyDescent="0.35">
      <c r="A214" t="s">
        <v>798</v>
      </c>
      <c r="B214" t="s">
        <v>70</v>
      </c>
      <c r="C214" t="s">
        <v>71</v>
      </c>
      <c r="D214" t="s">
        <v>1215</v>
      </c>
      <c r="E214" t="s">
        <v>11</v>
      </c>
      <c r="F214" t="s">
        <v>13</v>
      </c>
      <c r="G214" t="s">
        <v>64</v>
      </c>
      <c r="H214" t="s">
        <v>10</v>
      </c>
      <c r="I214" t="s">
        <v>2085</v>
      </c>
      <c r="L214" t="s">
        <v>800</v>
      </c>
      <c r="M214" t="s">
        <v>940</v>
      </c>
      <c r="N214" s="22" t="s">
        <v>941</v>
      </c>
      <c r="O214" t="s">
        <v>746</v>
      </c>
      <c r="R214" t="s">
        <v>2086</v>
      </c>
    </row>
    <row r="215" spans="1:18" s="18" customFormat="1" x14ac:dyDescent="0.35">
      <c r="A215" s="18" t="s">
        <v>853</v>
      </c>
      <c r="B215" s="18" t="s">
        <v>636</v>
      </c>
      <c r="C215" s="18" t="s">
        <v>637</v>
      </c>
      <c r="D215" s="18" t="s">
        <v>1239</v>
      </c>
      <c r="E215" s="18" t="s">
        <v>375</v>
      </c>
      <c r="G215" s="18" t="s">
        <v>627</v>
      </c>
      <c r="H215" s="18" t="s">
        <v>374</v>
      </c>
      <c r="I215" s="18" t="s">
        <v>2102</v>
      </c>
      <c r="O215" s="18" t="s">
        <v>746</v>
      </c>
    </row>
    <row r="216" spans="1:18" s="18" customFormat="1" ht="29" x14ac:dyDescent="0.35">
      <c r="A216" t="s">
        <v>153</v>
      </c>
      <c r="B216" t="s">
        <v>153</v>
      </c>
      <c r="C216" t="s">
        <v>154</v>
      </c>
      <c r="D216" t="s">
        <v>1382</v>
      </c>
      <c r="E216" t="s">
        <v>11</v>
      </c>
      <c r="F216" t="s">
        <v>23</v>
      </c>
      <c r="G216" t="s">
        <v>147</v>
      </c>
      <c r="H216" t="s">
        <v>10</v>
      </c>
      <c r="I216" t="s">
        <v>2192</v>
      </c>
      <c r="J216"/>
      <c r="K216"/>
      <c r="L216" s="3" t="s">
        <v>1452</v>
      </c>
      <c r="M216" s="30" t="s">
        <v>1451</v>
      </c>
      <c r="N216" s="30" t="s">
        <v>1450</v>
      </c>
      <c r="O216" t="s">
        <v>748</v>
      </c>
      <c r="P216" t="s">
        <v>720</v>
      </c>
      <c r="Q216"/>
      <c r="R216" t="s">
        <v>2193</v>
      </c>
    </row>
    <row r="217" spans="1:18" s="18" customFormat="1" x14ac:dyDescent="0.35">
      <c r="A217" s="18" t="s">
        <v>894</v>
      </c>
      <c r="B217" s="18" t="s">
        <v>440</v>
      </c>
      <c r="C217" s="18" t="s">
        <v>441</v>
      </c>
      <c r="D217" s="18" t="s">
        <v>1361</v>
      </c>
      <c r="E217" s="18" t="s">
        <v>375</v>
      </c>
      <c r="G217" s="18" t="s">
        <v>442</v>
      </c>
      <c r="H217" s="18" t="s">
        <v>374</v>
      </c>
      <c r="I217" s="18" t="s">
        <v>2174</v>
      </c>
      <c r="O217" s="18" t="s">
        <v>746</v>
      </c>
    </row>
    <row r="218" spans="1:18" x14ac:dyDescent="0.35">
      <c r="A218" t="s">
        <v>718</v>
      </c>
      <c r="B218" t="s">
        <v>151</v>
      </c>
      <c r="C218" t="s">
        <v>345</v>
      </c>
      <c r="D218" t="s">
        <v>1355</v>
      </c>
      <c r="E218" t="s">
        <v>233</v>
      </c>
      <c r="F218" t="s">
        <v>255</v>
      </c>
      <c r="G218" t="s">
        <v>346</v>
      </c>
      <c r="H218" t="s">
        <v>10</v>
      </c>
      <c r="I218" t="s">
        <v>2167</v>
      </c>
      <c r="J218" t="s">
        <v>2170</v>
      </c>
      <c r="K218" t="s">
        <v>2171</v>
      </c>
      <c r="L218" t="s">
        <v>1055</v>
      </c>
      <c r="M218" t="s">
        <v>1065</v>
      </c>
      <c r="O218" t="s">
        <v>749</v>
      </c>
      <c r="P218" t="s">
        <v>2328</v>
      </c>
      <c r="Q218" t="s">
        <v>2498</v>
      </c>
      <c r="R218" t="s">
        <v>2298</v>
      </c>
    </row>
    <row r="219" spans="1:18" x14ac:dyDescent="0.35">
      <c r="A219" s="18" t="s">
        <v>877</v>
      </c>
      <c r="B219" s="18" t="s">
        <v>600</v>
      </c>
      <c r="C219" s="18" t="s">
        <v>601</v>
      </c>
      <c r="D219" s="18" t="s">
        <v>1313</v>
      </c>
      <c r="E219" s="18" t="s">
        <v>375</v>
      </c>
      <c r="F219" s="18"/>
      <c r="G219" s="18" t="s">
        <v>602</v>
      </c>
      <c r="H219" s="18" t="s">
        <v>374</v>
      </c>
      <c r="I219" s="18" t="s">
        <v>2149</v>
      </c>
      <c r="J219" s="18"/>
      <c r="K219" s="18"/>
      <c r="L219" s="18"/>
      <c r="M219" s="18"/>
      <c r="N219" s="18"/>
      <c r="O219" s="18" t="s">
        <v>746</v>
      </c>
      <c r="P219" s="18"/>
      <c r="Q219" s="18"/>
      <c r="R219" s="18"/>
    </row>
    <row r="220" spans="1:18" x14ac:dyDescent="0.35">
      <c r="A220" s="18" t="s">
        <v>878</v>
      </c>
      <c r="B220" s="18" t="s">
        <v>665</v>
      </c>
      <c r="C220" s="18" t="s">
        <v>666</v>
      </c>
      <c r="D220" s="18" t="s">
        <v>1326</v>
      </c>
      <c r="E220" s="18" t="s">
        <v>375</v>
      </c>
      <c r="F220" s="18"/>
      <c r="G220" s="18" t="s">
        <v>210</v>
      </c>
      <c r="H220" s="18" t="s">
        <v>374</v>
      </c>
      <c r="I220" s="18" t="s">
        <v>2153</v>
      </c>
      <c r="J220" s="18"/>
      <c r="K220" s="18"/>
      <c r="L220" s="18"/>
      <c r="M220" s="18"/>
      <c r="N220" s="18"/>
      <c r="O220" s="18" t="s">
        <v>746</v>
      </c>
      <c r="P220" s="18"/>
      <c r="Q220" s="18"/>
      <c r="R220" s="18"/>
    </row>
    <row r="221" spans="1:18" x14ac:dyDescent="0.35">
      <c r="A221" s="18" t="s">
        <v>522</v>
      </c>
      <c r="B221" s="18" t="s">
        <v>522</v>
      </c>
      <c r="C221" s="18" t="s">
        <v>523</v>
      </c>
      <c r="D221" s="18" t="s">
        <v>1200</v>
      </c>
      <c r="E221" s="18" t="s">
        <v>375</v>
      </c>
      <c r="F221" s="18"/>
      <c r="G221" s="18" t="s">
        <v>524</v>
      </c>
      <c r="H221" s="18" t="s">
        <v>374</v>
      </c>
      <c r="I221" s="18" t="s">
        <v>2073</v>
      </c>
      <c r="J221" s="18"/>
      <c r="K221" s="18"/>
      <c r="L221" s="18"/>
      <c r="M221" s="18"/>
      <c r="N221" s="18"/>
      <c r="O221" s="18" t="s">
        <v>746</v>
      </c>
      <c r="P221" s="18"/>
      <c r="Q221" s="18"/>
      <c r="R221" s="18"/>
    </row>
    <row r="222" spans="1:18" x14ac:dyDescent="0.35">
      <c r="A222" t="s">
        <v>902</v>
      </c>
      <c r="B222" t="s">
        <v>51</v>
      </c>
      <c r="C222" t="s">
        <v>52</v>
      </c>
      <c r="D222" t="s">
        <v>1377</v>
      </c>
      <c r="E222" t="s">
        <v>11</v>
      </c>
      <c r="F222" t="s">
        <v>44</v>
      </c>
      <c r="G222" t="s">
        <v>16</v>
      </c>
      <c r="H222" t="s">
        <v>10</v>
      </c>
      <c r="I222" t="s">
        <v>2187</v>
      </c>
      <c r="J222" t="s">
        <v>1951</v>
      </c>
      <c r="K222" t="s">
        <v>1950</v>
      </c>
      <c r="L222" t="s">
        <v>1089</v>
      </c>
      <c r="M222" t="s">
        <v>1090</v>
      </c>
      <c r="N222" s="22" t="s">
        <v>1092</v>
      </c>
      <c r="O222" t="s">
        <v>746</v>
      </c>
      <c r="P222" t="s">
        <v>772</v>
      </c>
      <c r="R222" t="s">
        <v>2188</v>
      </c>
    </row>
    <row r="223" spans="1:18" x14ac:dyDescent="0.35">
      <c r="A223" s="18" t="s">
        <v>670</v>
      </c>
      <c r="B223" s="18" t="s">
        <v>670</v>
      </c>
      <c r="C223" s="18" t="s">
        <v>671</v>
      </c>
      <c r="D223" s="18" t="s">
        <v>1201</v>
      </c>
      <c r="E223" s="18" t="s">
        <v>375</v>
      </c>
      <c r="F223" s="18"/>
      <c r="G223" s="18" t="s">
        <v>672</v>
      </c>
      <c r="H223" s="18" t="s">
        <v>374</v>
      </c>
      <c r="I223" s="18" t="s">
        <v>2074</v>
      </c>
      <c r="J223" s="18"/>
      <c r="K223" s="18"/>
      <c r="L223" s="18"/>
      <c r="M223" s="18"/>
      <c r="N223" s="18"/>
      <c r="O223" s="18" t="s">
        <v>746</v>
      </c>
      <c r="P223" s="18"/>
      <c r="Q223" s="18"/>
      <c r="R223" s="18"/>
    </row>
    <row r="224" spans="1:18" s="18" customFormat="1" x14ac:dyDescent="0.35">
      <c r="A224" s="18" t="s">
        <v>718</v>
      </c>
      <c r="B224" s="18" t="s">
        <v>151</v>
      </c>
      <c r="C224" s="18" t="s">
        <v>648</v>
      </c>
      <c r="D224" s="18" t="s">
        <v>1357</v>
      </c>
      <c r="E224" s="18" t="s">
        <v>375</v>
      </c>
      <c r="G224" s="18" t="s">
        <v>649</v>
      </c>
      <c r="H224" s="18" t="s">
        <v>374</v>
      </c>
      <c r="I224" s="18" t="s">
        <v>2167</v>
      </c>
      <c r="J224" s="18" t="s">
        <v>2170</v>
      </c>
      <c r="K224" s="18" t="s">
        <v>2171</v>
      </c>
      <c r="L224" s="18" t="s">
        <v>1055</v>
      </c>
      <c r="M224" s="18" t="s">
        <v>1065</v>
      </c>
      <c r="O224" s="18" t="s">
        <v>749</v>
      </c>
    </row>
    <row r="225" spans="1:18" s="18" customFormat="1" x14ac:dyDescent="0.35">
      <c r="A225" s="18" t="s">
        <v>101</v>
      </c>
      <c r="B225" s="18" t="s">
        <v>101</v>
      </c>
      <c r="C225" s="18" t="s">
        <v>416</v>
      </c>
      <c r="D225" s="18" t="s">
        <v>1406</v>
      </c>
      <c r="E225" s="18" t="s">
        <v>375</v>
      </c>
      <c r="G225" s="18" t="s">
        <v>417</v>
      </c>
      <c r="H225" s="18" t="s">
        <v>374</v>
      </c>
      <c r="I225" s="18" t="s">
        <v>1850</v>
      </c>
      <c r="M225" s="19" t="s">
        <v>711</v>
      </c>
      <c r="N225" s="18" t="s">
        <v>707</v>
      </c>
      <c r="O225" s="18" t="s">
        <v>710</v>
      </c>
    </row>
    <row r="226" spans="1:18" s="18" customFormat="1" x14ac:dyDescent="0.35">
      <c r="A226" t="s">
        <v>761</v>
      </c>
      <c r="B226" t="s">
        <v>165</v>
      </c>
      <c r="C226" t="s">
        <v>166</v>
      </c>
      <c r="D226" t="s">
        <v>1392</v>
      </c>
      <c r="E226" t="s">
        <v>11</v>
      </c>
      <c r="F226" t="s">
        <v>19</v>
      </c>
      <c r="G226" t="s">
        <v>157</v>
      </c>
      <c r="H226" t="s">
        <v>10</v>
      </c>
      <c r="I226" t="s">
        <v>2198</v>
      </c>
      <c r="J226"/>
      <c r="K226"/>
      <c r="L226" s="22" t="s">
        <v>767</v>
      </c>
      <c r="M226" s="22" t="s">
        <v>2380</v>
      </c>
      <c r="N226" s="22" t="s">
        <v>1459</v>
      </c>
      <c r="O226" t="s">
        <v>710</v>
      </c>
      <c r="P226" t="s">
        <v>772</v>
      </c>
      <c r="Q226"/>
      <c r="R226" t="s">
        <v>2385</v>
      </c>
    </row>
    <row r="227" spans="1:18" s="18" customFormat="1" x14ac:dyDescent="0.35">
      <c r="A227" s="18" t="s">
        <v>761</v>
      </c>
      <c r="B227" s="18" t="s">
        <v>165</v>
      </c>
      <c r="C227" s="18" t="s">
        <v>541</v>
      </c>
      <c r="D227" s="18" t="s">
        <v>1393</v>
      </c>
      <c r="E227" s="18" t="s">
        <v>375</v>
      </c>
      <c r="G227" s="18" t="s">
        <v>542</v>
      </c>
      <c r="H227" s="18" t="s">
        <v>374</v>
      </c>
      <c r="I227" s="18" t="s">
        <v>2198</v>
      </c>
      <c r="L227" s="18" t="s">
        <v>767</v>
      </c>
      <c r="O227" s="18" t="s">
        <v>710</v>
      </c>
    </row>
    <row r="228" spans="1:18" x14ac:dyDescent="0.35">
      <c r="A228" t="s">
        <v>902</v>
      </c>
      <c r="B228" t="s">
        <v>51</v>
      </c>
      <c r="C228" t="s">
        <v>53</v>
      </c>
      <c r="D228" t="s">
        <v>1378</v>
      </c>
      <c r="E228" t="s">
        <v>11</v>
      </c>
      <c r="F228" t="s">
        <v>21</v>
      </c>
      <c r="G228" t="s">
        <v>16</v>
      </c>
      <c r="H228" t="s">
        <v>10</v>
      </c>
      <c r="I228" t="s">
        <v>2187</v>
      </c>
      <c r="J228" t="s">
        <v>1951</v>
      </c>
      <c r="K228" t="s">
        <v>1950</v>
      </c>
      <c r="L228" t="s">
        <v>1089</v>
      </c>
      <c r="M228" t="s">
        <v>1090</v>
      </c>
      <c r="N228" s="22" t="s">
        <v>1092</v>
      </c>
      <c r="O228" t="s">
        <v>746</v>
      </c>
      <c r="P228" t="s">
        <v>772</v>
      </c>
      <c r="R228" t="s">
        <v>2188</v>
      </c>
    </row>
    <row r="229" spans="1:18" x14ac:dyDescent="0.35">
      <c r="A229" t="s">
        <v>714</v>
      </c>
      <c r="B229" t="s">
        <v>350</v>
      </c>
      <c r="C229" t="s">
        <v>351</v>
      </c>
      <c r="D229" t="s">
        <v>1241</v>
      </c>
      <c r="E229" t="s">
        <v>233</v>
      </c>
      <c r="F229" t="s">
        <v>2554</v>
      </c>
      <c r="G229" t="s">
        <v>1544</v>
      </c>
      <c r="H229" t="s">
        <v>10</v>
      </c>
      <c r="I229" t="s">
        <v>2103</v>
      </c>
      <c r="L229" t="s">
        <v>951</v>
      </c>
      <c r="M229" t="s">
        <v>707</v>
      </c>
      <c r="N229" t="s">
        <v>707</v>
      </c>
      <c r="O229" t="s">
        <v>746</v>
      </c>
      <c r="P229" t="s">
        <v>807</v>
      </c>
      <c r="R229" t="s">
        <v>2322</v>
      </c>
    </row>
    <row r="230" spans="1:18" s="18" customFormat="1" x14ac:dyDescent="0.35">
      <c r="A230" s="18" t="s">
        <v>899</v>
      </c>
      <c r="B230" s="18" t="s">
        <v>684</v>
      </c>
      <c r="C230" s="18" t="s">
        <v>685</v>
      </c>
      <c r="D230" s="18" t="s">
        <v>1370</v>
      </c>
      <c r="E230" s="18" t="s">
        <v>375</v>
      </c>
      <c r="G230" s="18" t="s">
        <v>683</v>
      </c>
      <c r="H230" s="18" t="s">
        <v>374</v>
      </c>
      <c r="I230" s="18" t="s">
        <v>2180</v>
      </c>
      <c r="O230" s="18" t="s">
        <v>746</v>
      </c>
    </row>
    <row r="231" spans="1:18" s="18" customFormat="1" x14ac:dyDescent="0.35">
      <c r="A231" s="18" t="s">
        <v>741</v>
      </c>
      <c r="B231" s="18" t="s">
        <v>516</v>
      </c>
      <c r="C231" s="18" t="s">
        <v>517</v>
      </c>
      <c r="D231" s="18" t="s">
        <v>1163</v>
      </c>
      <c r="E231" s="18" t="s">
        <v>375</v>
      </c>
      <c r="G231" s="18" t="s">
        <v>509</v>
      </c>
      <c r="H231" s="18" t="s">
        <v>374</v>
      </c>
      <c r="I231" s="18" t="s">
        <v>2052</v>
      </c>
      <c r="L231" s="18" t="s">
        <v>742</v>
      </c>
      <c r="O231" s="18" t="s">
        <v>746</v>
      </c>
    </row>
    <row r="232" spans="1:18" s="18" customFormat="1" x14ac:dyDescent="0.35">
      <c r="A232" s="18" t="s">
        <v>518</v>
      </c>
      <c r="B232" s="18" t="s">
        <v>518</v>
      </c>
      <c r="C232" s="18" t="s">
        <v>519</v>
      </c>
      <c r="D232" s="18" t="s">
        <v>1259</v>
      </c>
      <c r="E232" s="18" t="s">
        <v>375</v>
      </c>
      <c r="G232" s="18" t="s">
        <v>509</v>
      </c>
      <c r="H232" s="18" t="s">
        <v>374</v>
      </c>
      <c r="I232" s="18" t="s">
        <v>2111</v>
      </c>
      <c r="O232" s="18" t="s">
        <v>746</v>
      </c>
    </row>
    <row r="233" spans="1:18" x14ac:dyDescent="0.35">
      <c r="A233" s="18" t="s">
        <v>867</v>
      </c>
      <c r="B233" s="18" t="s">
        <v>571</v>
      </c>
      <c r="C233" s="18" t="s">
        <v>587</v>
      </c>
      <c r="D233" s="18" t="s">
        <v>1296</v>
      </c>
      <c r="E233" s="18" t="s">
        <v>375</v>
      </c>
      <c r="F233" s="18"/>
      <c r="G233" s="18" t="s">
        <v>588</v>
      </c>
      <c r="H233" s="18" t="s">
        <v>374</v>
      </c>
      <c r="I233" s="18" t="s">
        <v>2135</v>
      </c>
      <c r="J233" s="18"/>
      <c r="K233" s="18"/>
      <c r="L233" s="18"/>
      <c r="M233" s="18"/>
      <c r="N233" s="18"/>
      <c r="O233" s="18" t="s">
        <v>746</v>
      </c>
      <c r="P233" s="18"/>
      <c r="Q233" s="18"/>
      <c r="R233" s="18"/>
    </row>
    <row r="234" spans="1:18" s="18" customFormat="1" x14ac:dyDescent="0.35">
      <c r="A234" s="18" t="s">
        <v>533</v>
      </c>
      <c r="B234" s="18" t="s">
        <v>533</v>
      </c>
      <c r="C234" s="18" t="s">
        <v>534</v>
      </c>
      <c r="D234" s="18" t="s">
        <v>1432</v>
      </c>
      <c r="E234" s="18" t="s">
        <v>375</v>
      </c>
      <c r="G234" s="18" t="s">
        <v>535</v>
      </c>
      <c r="H234" s="18" t="s">
        <v>374</v>
      </c>
      <c r="I234" s="18" t="s">
        <v>2215</v>
      </c>
      <c r="O234" s="18" t="s">
        <v>746</v>
      </c>
    </row>
    <row r="235" spans="1:18" x14ac:dyDescent="0.35">
      <c r="A235" s="18" t="s">
        <v>881</v>
      </c>
      <c r="B235" s="18" t="s">
        <v>657</v>
      </c>
      <c r="C235" s="18" t="s">
        <v>658</v>
      </c>
      <c r="D235" s="18" t="s">
        <v>1329</v>
      </c>
      <c r="E235" s="18" t="s">
        <v>375</v>
      </c>
      <c r="F235" s="18"/>
      <c r="G235" s="18" t="s">
        <v>656</v>
      </c>
      <c r="H235" s="18" t="s">
        <v>374</v>
      </c>
      <c r="I235" s="18" t="s">
        <v>2156</v>
      </c>
      <c r="J235" s="18"/>
      <c r="K235" s="18"/>
      <c r="L235" s="18"/>
      <c r="M235" s="18"/>
      <c r="N235" s="18"/>
      <c r="O235" s="18" t="s">
        <v>746</v>
      </c>
      <c r="P235" s="18"/>
      <c r="Q235" s="18"/>
      <c r="R235" s="18"/>
    </row>
    <row r="236" spans="1:18" x14ac:dyDescent="0.35">
      <c r="A236" t="s">
        <v>774</v>
      </c>
      <c r="B236" t="s">
        <v>62</v>
      </c>
      <c r="C236" t="s">
        <v>63</v>
      </c>
      <c r="D236" t="s">
        <v>1122</v>
      </c>
      <c r="E236" t="s">
        <v>11</v>
      </c>
      <c r="F236" t="s">
        <v>21</v>
      </c>
      <c r="G236" t="s">
        <v>64</v>
      </c>
      <c r="H236" t="s">
        <v>10</v>
      </c>
      <c r="I236" t="s">
        <v>2031</v>
      </c>
      <c r="L236" s="22" t="s">
        <v>775</v>
      </c>
      <c r="M236" s="22" t="s">
        <v>2032</v>
      </c>
      <c r="N236" s="22" t="s">
        <v>2033</v>
      </c>
      <c r="O236" t="s">
        <v>746</v>
      </c>
      <c r="P236" t="s">
        <v>720</v>
      </c>
      <c r="R236" t="s">
        <v>2946</v>
      </c>
    </row>
    <row r="237" spans="1:18" x14ac:dyDescent="0.35">
      <c r="A237" t="s">
        <v>354</v>
      </c>
      <c r="B237" t="s">
        <v>354</v>
      </c>
      <c r="C237" t="s">
        <v>355</v>
      </c>
      <c r="D237" t="s">
        <v>1389</v>
      </c>
      <c r="E237" t="s">
        <v>233</v>
      </c>
      <c r="F237" t="s">
        <v>255</v>
      </c>
      <c r="G237" t="s">
        <v>244</v>
      </c>
      <c r="H237" t="s">
        <v>10</v>
      </c>
      <c r="I237" t="s">
        <v>2197</v>
      </c>
      <c r="L237" t="s">
        <v>1104</v>
      </c>
      <c r="M237" t="s">
        <v>1103</v>
      </c>
      <c r="N237" t="s">
        <v>707</v>
      </c>
      <c r="O237" t="s">
        <v>746</v>
      </c>
      <c r="P237" t="s">
        <v>807</v>
      </c>
      <c r="R237" t="s">
        <v>2378</v>
      </c>
    </row>
    <row r="238" spans="1:18" s="18" customFormat="1" x14ac:dyDescent="0.35">
      <c r="A238" t="s">
        <v>717</v>
      </c>
      <c r="B238" t="s">
        <v>79</v>
      </c>
      <c r="C238" t="s">
        <v>87</v>
      </c>
      <c r="D238" t="s">
        <v>1267</v>
      </c>
      <c r="E238" t="s">
        <v>11</v>
      </c>
      <c r="F238" t="s">
        <v>44</v>
      </c>
      <c r="G238" t="s">
        <v>88</v>
      </c>
      <c r="H238" t="s">
        <v>10</v>
      </c>
      <c r="I238" t="s">
        <v>1853</v>
      </c>
      <c r="J238" t="s">
        <v>1782</v>
      </c>
      <c r="K238" t="s">
        <v>1854</v>
      </c>
      <c r="L238" t="s">
        <v>980</v>
      </c>
      <c r="M238" t="s">
        <v>707</v>
      </c>
      <c r="N238" t="s">
        <v>983</v>
      </c>
      <c r="O238" t="s">
        <v>710</v>
      </c>
      <c r="P238" t="s">
        <v>2328</v>
      </c>
      <c r="Q238"/>
      <c r="R238" t="s">
        <v>2117</v>
      </c>
    </row>
    <row r="239" spans="1:18" x14ac:dyDescent="0.35">
      <c r="A239" s="18" t="s">
        <v>907</v>
      </c>
      <c r="B239" s="18" t="s">
        <v>640</v>
      </c>
      <c r="C239" s="18" t="s">
        <v>641</v>
      </c>
      <c r="D239" s="18" t="s">
        <v>1409</v>
      </c>
      <c r="E239" s="18" t="s">
        <v>375</v>
      </c>
      <c r="F239" s="18"/>
      <c r="G239" s="18" t="s">
        <v>642</v>
      </c>
      <c r="H239" s="18" t="s">
        <v>374</v>
      </c>
      <c r="I239" s="18" t="s">
        <v>2202</v>
      </c>
      <c r="J239" s="18"/>
      <c r="K239" s="18"/>
      <c r="L239" s="18"/>
      <c r="M239" s="18"/>
      <c r="N239" s="18"/>
      <c r="O239" s="18" t="s">
        <v>746</v>
      </c>
      <c r="P239" s="18"/>
      <c r="Q239" s="18"/>
      <c r="R239" s="18"/>
    </row>
    <row r="240" spans="1:18" s="18" customFormat="1" x14ac:dyDescent="0.35">
      <c r="A240" t="s">
        <v>715</v>
      </c>
      <c r="B240" t="s">
        <v>142</v>
      </c>
      <c r="C240" t="s">
        <v>188</v>
      </c>
      <c r="D240" t="s">
        <v>1248</v>
      </c>
      <c r="E240" t="s">
        <v>11</v>
      </c>
      <c r="F240" t="s">
        <v>44</v>
      </c>
      <c r="G240" t="s">
        <v>189</v>
      </c>
      <c r="H240" t="s">
        <v>10</v>
      </c>
      <c r="I240" t="s">
        <v>2104</v>
      </c>
      <c r="J240" t="s">
        <v>2105</v>
      </c>
      <c r="K240" t="s">
        <v>2106</v>
      </c>
      <c r="L240" t="s">
        <v>962</v>
      </c>
      <c r="M240" t="s">
        <v>963</v>
      </c>
      <c r="N240" t="s">
        <v>964</v>
      </c>
      <c r="O240" t="s">
        <v>710</v>
      </c>
      <c r="P240" t="s">
        <v>2419</v>
      </c>
      <c r="Q240" t="s">
        <v>2457</v>
      </c>
      <c r="R240" t="s">
        <v>2287</v>
      </c>
    </row>
    <row r="241" spans="1:18" x14ac:dyDescent="0.35">
      <c r="A241" t="s">
        <v>715</v>
      </c>
      <c r="B241" t="s">
        <v>142</v>
      </c>
      <c r="C241" t="s">
        <v>140</v>
      </c>
      <c r="D241" t="s">
        <v>1254</v>
      </c>
      <c r="E241" t="s">
        <v>233</v>
      </c>
      <c r="F241" t="s">
        <v>357</v>
      </c>
      <c r="G241" t="s">
        <v>356</v>
      </c>
      <c r="H241" t="s">
        <v>10</v>
      </c>
      <c r="I241" t="s">
        <v>2104</v>
      </c>
      <c r="L241" t="s">
        <v>962</v>
      </c>
      <c r="M241" t="s">
        <v>963</v>
      </c>
      <c r="N241" s="22" t="s">
        <v>964</v>
      </c>
      <c r="O241" t="s">
        <v>710</v>
      </c>
      <c r="P241" t="s">
        <v>2419</v>
      </c>
      <c r="Q241" t="s">
        <v>2457</v>
      </c>
      <c r="R241" t="s">
        <v>2287</v>
      </c>
    </row>
    <row r="242" spans="1:18" s="18" customFormat="1" x14ac:dyDescent="0.35">
      <c r="A242" t="s">
        <v>900</v>
      </c>
      <c r="B242" t="s">
        <v>49</v>
      </c>
      <c r="C242" t="s">
        <v>50</v>
      </c>
      <c r="D242" t="s">
        <v>1372</v>
      </c>
      <c r="E242" t="s">
        <v>11</v>
      </c>
      <c r="F242" t="s">
        <v>13</v>
      </c>
      <c r="G242" t="s">
        <v>16</v>
      </c>
      <c r="H242" t="s">
        <v>10</v>
      </c>
      <c r="I242" t="s">
        <v>2182</v>
      </c>
      <c r="J242"/>
      <c r="K242"/>
      <c r="L242" t="s">
        <v>1084</v>
      </c>
      <c r="M242" t="s">
        <v>1086</v>
      </c>
      <c r="N242" s="22" t="s">
        <v>1083</v>
      </c>
      <c r="O242" t="s">
        <v>746</v>
      </c>
      <c r="P242" t="s">
        <v>772</v>
      </c>
      <c r="Q242"/>
      <c r="R242" t="s">
        <v>2949</v>
      </c>
    </row>
    <row r="243" spans="1:18" s="18" customFormat="1" x14ac:dyDescent="0.35">
      <c r="A243" s="18" t="s">
        <v>674</v>
      </c>
      <c r="B243" s="18" t="s">
        <v>674</v>
      </c>
      <c r="C243" s="18" t="s">
        <v>675</v>
      </c>
      <c r="D243" s="18" t="s">
        <v>1436</v>
      </c>
      <c r="E243" s="18" t="s">
        <v>375</v>
      </c>
      <c r="G243" s="18" t="s">
        <v>673</v>
      </c>
      <c r="H243" s="18" t="s">
        <v>374</v>
      </c>
      <c r="I243" s="18" t="s">
        <v>2219</v>
      </c>
      <c r="O243" s="18" t="s">
        <v>746</v>
      </c>
    </row>
    <row r="244" spans="1:18" s="18" customFormat="1" x14ac:dyDescent="0.35">
      <c r="A244" s="18" t="s">
        <v>717</v>
      </c>
      <c r="B244" s="18" t="s">
        <v>79</v>
      </c>
      <c r="C244" s="18" t="s">
        <v>465</v>
      </c>
      <c r="D244" s="18" t="s">
        <v>1273</v>
      </c>
      <c r="E244" s="18" t="s">
        <v>375</v>
      </c>
      <c r="G244" s="18" t="s">
        <v>90</v>
      </c>
      <c r="H244" s="18" t="s">
        <v>374</v>
      </c>
      <c r="I244" s="18" t="s">
        <v>1853</v>
      </c>
      <c r="L244" s="18" t="s">
        <v>980</v>
      </c>
      <c r="M244" s="18" t="s">
        <v>707</v>
      </c>
      <c r="O244" s="18" t="s">
        <v>710</v>
      </c>
    </row>
    <row r="245" spans="1:18" s="18" customFormat="1" x14ac:dyDescent="0.35">
      <c r="A245" t="s">
        <v>901</v>
      </c>
      <c r="B245" t="s">
        <v>119</v>
      </c>
      <c r="C245" t="s">
        <v>120</v>
      </c>
      <c r="D245" t="s">
        <v>1373</v>
      </c>
      <c r="E245" t="s">
        <v>11</v>
      </c>
      <c r="F245" t="s">
        <v>122</v>
      </c>
      <c r="G245" t="s">
        <v>121</v>
      </c>
      <c r="H245" t="s">
        <v>10</v>
      </c>
      <c r="I245" t="s">
        <v>2183</v>
      </c>
      <c r="J245"/>
      <c r="K245"/>
      <c r="L245" t="s">
        <v>1087</v>
      </c>
      <c r="M245" s="22" t="s">
        <v>1087</v>
      </c>
      <c r="N245" s="22" t="s">
        <v>1088</v>
      </c>
      <c r="O245" t="s">
        <v>746</v>
      </c>
      <c r="P245" t="s">
        <v>807</v>
      </c>
      <c r="Q245"/>
      <c r="R245" t="s">
        <v>2376</v>
      </c>
    </row>
    <row r="246" spans="1:18" x14ac:dyDescent="0.35">
      <c r="A246" t="s">
        <v>764</v>
      </c>
      <c r="B246" t="s">
        <v>358</v>
      </c>
      <c r="C246" t="s">
        <v>359</v>
      </c>
      <c r="D246" t="s">
        <v>1371</v>
      </c>
      <c r="E246" t="s">
        <v>233</v>
      </c>
      <c r="F246" t="s">
        <v>274</v>
      </c>
      <c r="G246" t="s">
        <v>360</v>
      </c>
      <c r="H246" t="s">
        <v>10</v>
      </c>
      <c r="I246" t="s">
        <v>2181</v>
      </c>
      <c r="L246" s="3" t="s">
        <v>1082</v>
      </c>
      <c r="M246" s="30" t="s">
        <v>2366</v>
      </c>
      <c r="N246" t="s">
        <v>707</v>
      </c>
      <c r="O246" t="s">
        <v>710</v>
      </c>
      <c r="P246" t="s">
        <v>2328</v>
      </c>
      <c r="R246" t="s">
        <v>2373</v>
      </c>
    </row>
    <row r="247" spans="1:18" x14ac:dyDescent="0.35">
      <c r="A247" s="18"/>
      <c r="B247" s="18" t="s">
        <v>418</v>
      </c>
      <c r="C247" s="18" t="s">
        <v>419</v>
      </c>
      <c r="D247" s="18" t="s">
        <v>1182</v>
      </c>
      <c r="E247" s="18" t="s">
        <v>375</v>
      </c>
      <c r="F247" s="18"/>
      <c r="G247" s="18" t="s">
        <v>420</v>
      </c>
      <c r="H247" s="18" t="s">
        <v>374</v>
      </c>
      <c r="I247" s="18"/>
      <c r="J247" s="18"/>
      <c r="K247" s="18"/>
      <c r="L247" s="18"/>
      <c r="M247" s="18"/>
      <c r="N247" s="18"/>
      <c r="O247" s="18" t="s">
        <v>746</v>
      </c>
      <c r="P247" s="18"/>
      <c r="Q247" s="18"/>
      <c r="R247" s="18"/>
    </row>
    <row r="248" spans="1:18" x14ac:dyDescent="0.35">
      <c r="A248" t="s">
        <v>719</v>
      </c>
      <c r="B248" t="s">
        <v>178</v>
      </c>
      <c r="C248" t="s">
        <v>179</v>
      </c>
      <c r="D248" t="s">
        <v>1425</v>
      </c>
      <c r="E248" t="s">
        <v>11</v>
      </c>
      <c r="F248" t="s">
        <v>292</v>
      </c>
      <c r="G248" t="s">
        <v>180</v>
      </c>
      <c r="H248" t="s">
        <v>10</v>
      </c>
      <c r="I248" t="s">
        <v>2209</v>
      </c>
      <c r="L248" t="s">
        <v>1472</v>
      </c>
      <c r="M248" t="s">
        <v>1478</v>
      </c>
      <c r="N248" s="22" t="s">
        <v>1477</v>
      </c>
      <c r="O248" t="s">
        <v>710</v>
      </c>
      <c r="P248" t="s">
        <v>2328</v>
      </c>
      <c r="R248" t="s">
        <v>2212</v>
      </c>
    </row>
    <row r="249" spans="1:18" x14ac:dyDescent="0.35">
      <c r="A249" s="18" t="s">
        <v>838</v>
      </c>
      <c r="B249" s="18" t="s">
        <v>606</v>
      </c>
      <c r="C249" s="18" t="s">
        <v>607</v>
      </c>
      <c r="D249" s="18" t="s">
        <v>1194</v>
      </c>
      <c r="E249" s="18" t="s">
        <v>375</v>
      </c>
      <c r="F249" s="18"/>
      <c r="G249" s="18" t="s">
        <v>608</v>
      </c>
      <c r="H249" s="18" t="s">
        <v>374</v>
      </c>
      <c r="I249" s="18" t="s">
        <v>2071</v>
      </c>
      <c r="J249" s="18"/>
      <c r="K249" s="18"/>
      <c r="L249" s="18"/>
      <c r="M249" s="18"/>
      <c r="N249" s="18"/>
      <c r="O249" s="18" t="s">
        <v>746</v>
      </c>
      <c r="P249" s="18"/>
      <c r="Q249" s="18"/>
      <c r="R249" s="18"/>
    </row>
    <row r="250" spans="1:18" x14ac:dyDescent="0.35">
      <c r="A250" t="s">
        <v>756</v>
      </c>
      <c r="B250" t="s">
        <v>46</v>
      </c>
      <c r="C250" t="s">
        <v>48</v>
      </c>
      <c r="D250" t="s">
        <v>1340</v>
      </c>
      <c r="E250" t="s">
        <v>11</v>
      </c>
      <c r="F250" t="s">
        <v>44</v>
      </c>
      <c r="G250" t="s">
        <v>16</v>
      </c>
      <c r="H250" t="s">
        <v>10</v>
      </c>
      <c r="I250" t="s">
        <v>2166</v>
      </c>
      <c r="J250" t="s">
        <v>1536</v>
      </c>
      <c r="K250" t="s">
        <v>1755</v>
      </c>
      <c r="L250" t="s">
        <v>763</v>
      </c>
      <c r="M250" s="2" t="s">
        <v>1044</v>
      </c>
      <c r="N250" s="2" t="s">
        <v>1046</v>
      </c>
      <c r="O250" t="s">
        <v>710</v>
      </c>
      <c r="P250" t="s">
        <v>772</v>
      </c>
      <c r="R250" t="s">
        <v>2036</v>
      </c>
    </row>
    <row r="251" spans="1:18" s="34" customFormat="1" x14ac:dyDescent="0.35">
      <c r="A251" s="34" t="s">
        <v>719</v>
      </c>
      <c r="B251" s="34" t="s">
        <v>178</v>
      </c>
      <c r="C251" s="34" t="s">
        <v>186</v>
      </c>
      <c r="D251" s="34" t="s">
        <v>1424</v>
      </c>
      <c r="E251" s="34" t="s">
        <v>11</v>
      </c>
      <c r="F251" s="34" t="s">
        <v>274</v>
      </c>
      <c r="G251" s="34" t="s">
        <v>187</v>
      </c>
      <c r="H251" s="34" t="s">
        <v>10</v>
      </c>
      <c r="I251" s="34" t="s">
        <v>2209</v>
      </c>
      <c r="J251" s="34" t="s">
        <v>2210</v>
      </c>
      <c r="K251" s="34" t="s">
        <v>2211</v>
      </c>
      <c r="L251" s="34" t="s">
        <v>1472</v>
      </c>
      <c r="N251" s="35" t="s">
        <v>1479</v>
      </c>
      <c r="O251" s="34" t="s">
        <v>710</v>
      </c>
      <c r="P251" s="34" t="s">
        <v>2328</v>
      </c>
      <c r="R251" s="34" t="s">
        <v>2212</v>
      </c>
    </row>
    <row r="252" spans="1:18" x14ac:dyDescent="0.35">
      <c r="A252" s="18" t="s">
        <v>717</v>
      </c>
      <c r="B252" s="18" t="s">
        <v>79</v>
      </c>
      <c r="C252" s="18" t="s">
        <v>466</v>
      </c>
      <c r="D252" s="18" t="s">
        <v>1274</v>
      </c>
      <c r="E252" s="18" t="s">
        <v>375</v>
      </c>
      <c r="F252" s="18"/>
      <c r="G252" s="18" t="s">
        <v>90</v>
      </c>
      <c r="H252" s="18" t="s">
        <v>374</v>
      </c>
      <c r="I252" s="18" t="s">
        <v>1853</v>
      </c>
      <c r="J252" s="18"/>
      <c r="K252" s="18"/>
      <c r="L252" s="18" t="s">
        <v>980</v>
      </c>
      <c r="M252" s="18" t="s">
        <v>707</v>
      </c>
      <c r="N252" s="18"/>
      <c r="O252" s="18" t="s">
        <v>710</v>
      </c>
      <c r="P252" s="18"/>
      <c r="Q252" s="18"/>
      <c r="R252" s="18"/>
    </row>
    <row r="253" spans="1:18" x14ac:dyDescent="0.35">
      <c r="A253" t="s">
        <v>101</v>
      </c>
      <c r="B253" t="s">
        <v>101</v>
      </c>
      <c r="C253" t="s">
        <v>361</v>
      </c>
      <c r="D253" t="s">
        <v>1405</v>
      </c>
      <c r="E253" t="s">
        <v>233</v>
      </c>
      <c r="F253" t="s">
        <v>292</v>
      </c>
      <c r="G253" t="s">
        <v>362</v>
      </c>
      <c r="H253" t="s">
        <v>10</v>
      </c>
      <c r="I253" t="s">
        <v>1850</v>
      </c>
      <c r="L253" t="s">
        <v>1466</v>
      </c>
      <c r="O253" t="s">
        <v>710</v>
      </c>
      <c r="P253" t="s">
        <v>2328</v>
      </c>
      <c r="R253" t="s">
        <v>2500</v>
      </c>
    </row>
    <row r="254" spans="1:18" x14ac:dyDescent="0.35">
      <c r="A254" s="18" t="s">
        <v>433</v>
      </c>
      <c r="B254" s="18" t="s">
        <v>433</v>
      </c>
      <c r="C254" s="18" t="s">
        <v>434</v>
      </c>
      <c r="D254" s="18" t="s">
        <v>1415</v>
      </c>
      <c r="E254" s="18" t="s">
        <v>375</v>
      </c>
      <c r="F254" s="18"/>
      <c r="G254" s="18" t="s">
        <v>84</v>
      </c>
      <c r="H254" s="18" t="s">
        <v>374</v>
      </c>
      <c r="I254" s="18" t="s">
        <v>2205</v>
      </c>
      <c r="J254" s="18"/>
      <c r="K254" s="18"/>
      <c r="L254" s="18"/>
      <c r="M254" s="18"/>
      <c r="N254" s="18"/>
      <c r="O254" s="18" t="s">
        <v>746</v>
      </c>
      <c r="P254" s="18"/>
      <c r="Q254" s="18"/>
      <c r="R254" s="18"/>
    </row>
    <row r="255" spans="1:18" x14ac:dyDescent="0.35">
      <c r="A255" s="18" t="s">
        <v>858</v>
      </c>
      <c r="B255" s="18" t="s">
        <v>561</v>
      </c>
      <c r="C255" s="18" t="s">
        <v>562</v>
      </c>
      <c r="D255" s="18" t="s">
        <v>1262</v>
      </c>
      <c r="E255" s="18" t="s">
        <v>375</v>
      </c>
      <c r="F255" s="18"/>
      <c r="G255" s="18" t="s">
        <v>563</v>
      </c>
      <c r="H255" s="18" t="s">
        <v>374</v>
      </c>
      <c r="I255" s="18" t="s">
        <v>2114</v>
      </c>
      <c r="J255" s="18"/>
      <c r="K255" s="18"/>
      <c r="L255" s="18"/>
      <c r="M255" s="18"/>
      <c r="N255" s="18"/>
      <c r="O255" s="18" t="s">
        <v>746</v>
      </c>
      <c r="P255" s="18"/>
      <c r="Q255" s="18"/>
      <c r="R255" s="18"/>
    </row>
    <row r="256" spans="1:18" x14ac:dyDescent="0.35">
      <c r="A256" s="18" t="s">
        <v>14</v>
      </c>
      <c r="B256" s="18" t="s">
        <v>14</v>
      </c>
      <c r="C256" s="18" t="s">
        <v>432</v>
      </c>
      <c r="D256" s="18" t="s">
        <v>1133</v>
      </c>
      <c r="E256" s="18" t="s">
        <v>375</v>
      </c>
      <c r="F256" s="18"/>
      <c r="G256" s="18" t="s">
        <v>81</v>
      </c>
      <c r="H256" s="18" t="s">
        <v>374</v>
      </c>
      <c r="I256" s="18" t="s">
        <v>2034</v>
      </c>
      <c r="J256" s="18"/>
      <c r="K256" s="18"/>
      <c r="L256" s="18" t="s">
        <v>768</v>
      </c>
      <c r="M256" s="18" t="s">
        <v>1512</v>
      </c>
      <c r="N256" s="18"/>
      <c r="O256" s="18" t="s">
        <v>710</v>
      </c>
      <c r="P256" s="18"/>
      <c r="Q256" s="18"/>
      <c r="R256" s="18"/>
    </row>
    <row r="257" spans="1:18" x14ac:dyDescent="0.35">
      <c r="A257" t="s">
        <v>718</v>
      </c>
      <c r="B257" t="s">
        <v>246</v>
      </c>
      <c r="C257" t="s">
        <v>363</v>
      </c>
      <c r="D257" t="s">
        <v>1348</v>
      </c>
      <c r="E257" t="s">
        <v>233</v>
      </c>
      <c r="F257" t="s">
        <v>274</v>
      </c>
      <c r="G257" t="s">
        <v>364</v>
      </c>
      <c r="H257" t="s">
        <v>10</v>
      </c>
      <c r="I257" t="s">
        <v>2167</v>
      </c>
      <c r="J257" t="s">
        <v>2168</v>
      </c>
      <c r="K257" t="s">
        <v>2169</v>
      </c>
      <c r="L257" t="s">
        <v>1055</v>
      </c>
      <c r="M257" t="s">
        <v>1062</v>
      </c>
      <c r="N257" t="s">
        <v>707</v>
      </c>
      <c r="O257" t="s">
        <v>749</v>
      </c>
      <c r="P257" t="s">
        <v>2328</v>
      </c>
      <c r="Q257" t="s">
        <v>2498</v>
      </c>
      <c r="R257" t="s">
        <v>2298</v>
      </c>
    </row>
    <row r="258" spans="1:18" s="18" customFormat="1" x14ac:dyDescent="0.35">
      <c r="A258" s="18" t="s">
        <v>725</v>
      </c>
      <c r="B258" s="18" t="s">
        <v>138</v>
      </c>
      <c r="C258" s="18" t="s">
        <v>576</v>
      </c>
      <c r="D258" s="18" t="s">
        <v>1286</v>
      </c>
      <c r="E258" s="18" t="s">
        <v>375</v>
      </c>
      <c r="G258" s="18" t="s">
        <v>577</v>
      </c>
      <c r="H258" s="18" t="s">
        <v>374</v>
      </c>
      <c r="I258" s="18" t="s">
        <v>2124</v>
      </c>
      <c r="L258" s="18" t="s">
        <v>724</v>
      </c>
      <c r="O258" s="18" t="s">
        <v>746</v>
      </c>
    </row>
    <row r="259" spans="1:18" x14ac:dyDescent="0.35">
      <c r="A259" t="s">
        <v>719</v>
      </c>
      <c r="B259" t="s">
        <v>181</v>
      </c>
      <c r="C259" t="s">
        <v>182</v>
      </c>
      <c r="D259" t="s">
        <v>1428</v>
      </c>
      <c r="E259" t="s">
        <v>11</v>
      </c>
      <c r="F259" t="s">
        <v>274</v>
      </c>
      <c r="G259" t="s">
        <v>183</v>
      </c>
      <c r="H259" t="s">
        <v>10</v>
      </c>
      <c r="I259" t="s">
        <v>2209</v>
      </c>
      <c r="L259" t="s">
        <v>1472</v>
      </c>
      <c r="M259" t="s">
        <v>1482</v>
      </c>
      <c r="N259" s="22" t="s">
        <v>1483</v>
      </c>
      <c r="O259" t="s">
        <v>710</v>
      </c>
      <c r="P259" t="s">
        <v>2328</v>
      </c>
      <c r="R259" t="s">
        <v>2212</v>
      </c>
    </row>
    <row r="260" spans="1:18" s="18" customFormat="1" x14ac:dyDescent="0.35">
      <c r="A260" s="18" t="s">
        <v>842</v>
      </c>
      <c r="B260" s="18" t="s">
        <v>667</v>
      </c>
      <c r="C260" s="18" t="s">
        <v>668</v>
      </c>
      <c r="D260" s="18" t="s">
        <v>1206</v>
      </c>
      <c r="E260" s="18" t="s">
        <v>375</v>
      </c>
      <c r="G260" s="18" t="s">
        <v>210</v>
      </c>
      <c r="H260" s="18" t="s">
        <v>374</v>
      </c>
      <c r="I260" s="18" t="s">
        <v>2077</v>
      </c>
      <c r="O260" s="18" t="s">
        <v>746</v>
      </c>
    </row>
    <row r="261" spans="1:18" s="18" customFormat="1" x14ac:dyDescent="0.35">
      <c r="A261" t="s">
        <v>909</v>
      </c>
      <c r="B261" t="s">
        <v>367</v>
      </c>
      <c r="C261" t="s">
        <v>368</v>
      </c>
      <c r="D261" t="s">
        <v>1418</v>
      </c>
      <c r="E261" t="s">
        <v>233</v>
      </c>
      <c r="F261" t="s">
        <v>255</v>
      </c>
      <c r="G261" t="s">
        <v>244</v>
      </c>
      <c r="H261" t="s">
        <v>10</v>
      </c>
      <c r="I261" t="s">
        <v>2208</v>
      </c>
      <c r="J261"/>
      <c r="K261"/>
      <c r="L261" t="s">
        <v>1110</v>
      </c>
      <c r="M261" t="s">
        <v>2394</v>
      </c>
      <c r="N261" t="s">
        <v>707</v>
      </c>
      <c r="O261" t="s">
        <v>746</v>
      </c>
      <c r="P261" t="s">
        <v>720</v>
      </c>
      <c r="Q261"/>
      <c r="R261" t="s">
        <v>2046</v>
      </c>
    </row>
    <row r="262" spans="1:18" s="18" customFormat="1" x14ac:dyDescent="0.35">
      <c r="A262" t="s">
        <v>73</v>
      </c>
      <c r="B262" t="s">
        <v>73</v>
      </c>
      <c r="C262" t="s">
        <v>74</v>
      </c>
      <c r="D262" t="s">
        <v>1276</v>
      </c>
      <c r="E262" t="s">
        <v>11</v>
      </c>
      <c r="F262" t="s">
        <v>13</v>
      </c>
      <c r="G262" t="s">
        <v>64</v>
      </c>
      <c r="H262" t="s">
        <v>10</v>
      </c>
      <c r="I262" t="s">
        <v>2118</v>
      </c>
      <c r="J262"/>
      <c r="K262"/>
      <c r="L262" s="2" t="s">
        <v>759</v>
      </c>
      <c r="M262" s="22" t="s">
        <v>985</v>
      </c>
      <c r="N262" s="22" t="s">
        <v>986</v>
      </c>
      <c r="O262" t="s">
        <v>710</v>
      </c>
      <c r="P262" t="s">
        <v>772</v>
      </c>
      <c r="Q262"/>
      <c r="R262" t="s">
        <v>2081</v>
      </c>
    </row>
    <row r="263" spans="1:18" s="18" customFormat="1" x14ac:dyDescent="0.35">
      <c r="A263" s="18" t="s">
        <v>876</v>
      </c>
      <c r="B263" s="18" t="s">
        <v>520</v>
      </c>
      <c r="C263" s="18" t="s">
        <v>521</v>
      </c>
      <c r="D263" s="18" t="s">
        <v>1311</v>
      </c>
      <c r="E263" s="18" t="s">
        <v>375</v>
      </c>
      <c r="G263" s="18" t="s">
        <v>509</v>
      </c>
      <c r="H263" s="18" t="s">
        <v>374</v>
      </c>
      <c r="I263" s="18" t="s">
        <v>2148</v>
      </c>
      <c r="O263" s="18" t="s">
        <v>746</v>
      </c>
    </row>
    <row r="264" spans="1:18" s="18" customFormat="1" x14ac:dyDescent="0.35">
      <c r="A264" s="18" t="s">
        <v>842</v>
      </c>
      <c r="B264" s="18" t="s">
        <v>667</v>
      </c>
      <c r="C264" s="18" t="s">
        <v>669</v>
      </c>
      <c r="D264" s="18" t="s">
        <v>1207</v>
      </c>
      <c r="E264" s="18" t="s">
        <v>375</v>
      </c>
      <c r="G264" s="18" t="s">
        <v>210</v>
      </c>
      <c r="H264" s="18" t="s">
        <v>374</v>
      </c>
      <c r="I264" s="18" t="s">
        <v>2077</v>
      </c>
      <c r="O264" s="18" t="s">
        <v>746</v>
      </c>
    </row>
    <row r="265" spans="1:18" x14ac:dyDescent="0.35">
      <c r="A265" t="s">
        <v>714</v>
      </c>
      <c r="B265" t="s">
        <v>350</v>
      </c>
      <c r="C265" t="s">
        <v>370</v>
      </c>
      <c r="D265" t="s">
        <v>1240</v>
      </c>
      <c r="E265" t="s">
        <v>233</v>
      </c>
      <c r="F265" t="s">
        <v>2554</v>
      </c>
      <c r="G265" t="s">
        <v>1544</v>
      </c>
      <c r="H265" t="s">
        <v>10</v>
      </c>
      <c r="I265" t="s">
        <v>2103</v>
      </c>
      <c r="L265" t="s">
        <v>951</v>
      </c>
      <c r="M265" t="s">
        <v>2323</v>
      </c>
      <c r="N265" t="s">
        <v>707</v>
      </c>
      <c r="O265" t="s">
        <v>746</v>
      </c>
      <c r="P265" t="s">
        <v>807</v>
      </c>
      <c r="R265" t="s">
        <v>2324</v>
      </c>
    </row>
    <row r="266" spans="1:18" x14ac:dyDescent="0.35">
      <c r="A266" t="s">
        <v>714</v>
      </c>
      <c r="B266" t="s">
        <v>281</v>
      </c>
      <c r="C266" t="s">
        <v>371</v>
      </c>
      <c r="D266" t="s">
        <v>1242</v>
      </c>
      <c r="E266" t="s">
        <v>233</v>
      </c>
      <c r="F266" t="s">
        <v>255</v>
      </c>
      <c r="G266" t="s">
        <v>244</v>
      </c>
      <c r="H266" t="s">
        <v>10</v>
      </c>
      <c r="I266" t="s">
        <v>2103</v>
      </c>
      <c r="L266" t="s">
        <v>951</v>
      </c>
      <c r="M266" t="s">
        <v>2319</v>
      </c>
      <c r="N266" t="s">
        <v>2319</v>
      </c>
      <c r="O266" t="s">
        <v>746</v>
      </c>
      <c r="P266" t="s">
        <v>807</v>
      </c>
      <c r="R266" t="s">
        <v>2321</v>
      </c>
    </row>
    <row r="267" spans="1:18" x14ac:dyDescent="0.35">
      <c r="A267" s="18" t="s">
        <v>841</v>
      </c>
      <c r="B267" s="18" t="s">
        <v>638</v>
      </c>
      <c r="C267" s="18" t="s">
        <v>639</v>
      </c>
      <c r="D267" s="18" t="s">
        <v>1205</v>
      </c>
      <c r="E267" s="18" t="s">
        <v>375</v>
      </c>
      <c r="F267" s="18"/>
      <c r="G267" s="18" t="s">
        <v>627</v>
      </c>
      <c r="H267" s="18" t="s">
        <v>374</v>
      </c>
      <c r="I267" s="18" t="s">
        <v>2076</v>
      </c>
      <c r="J267" s="18"/>
      <c r="K267" s="18"/>
      <c r="L267" s="18"/>
      <c r="M267" s="18"/>
      <c r="N267" s="18"/>
      <c r="O267" s="18" t="s">
        <v>746</v>
      </c>
      <c r="P267" s="18"/>
      <c r="Q267" s="18"/>
      <c r="R267" s="18"/>
    </row>
    <row r="268" spans="1:18" s="18" customFormat="1" x14ac:dyDescent="0.35">
      <c r="A268" s="18" t="s">
        <v>717</v>
      </c>
      <c r="B268" s="18" t="s">
        <v>79</v>
      </c>
      <c r="C268" s="18" t="s">
        <v>467</v>
      </c>
      <c r="D268" s="18" t="s">
        <v>1275</v>
      </c>
      <c r="E268" s="18" t="s">
        <v>375</v>
      </c>
      <c r="G268" s="18" t="s">
        <v>90</v>
      </c>
      <c r="H268" s="18" t="s">
        <v>374</v>
      </c>
      <c r="I268" s="18" t="s">
        <v>1853</v>
      </c>
      <c r="L268" s="18" t="s">
        <v>980</v>
      </c>
      <c r="M268" s="18" t="s">
        <v>707</v>
      </c>
      <c r="O268" s="18" t="s">
        <v>710</v>
      </c>
    </row>
    <row r="269" spans="1:18" s="18" customFormat="1" x14ac:dyDescent="0.35">
      <c r="B269" s="18" t="s">
        <v>549</v>
      </c>
      <c r="C269" s="18" t="s">
        <v>550</v>
      </c>
      <c r="D269" s="18" t="s">
        <v>1183</v>
      </c>
      <c r="E269" s="18" t="s">
        <v>375</v>
      </c>
      <c r="G269" s="18" t="s">
        <v>548</v>
      </c>
      <c r="H269" s="18" t="s">
        <v>374</v>
      </c>
      <c r="O269" s="18" t="s">
        <v>746</v>
      </c>
    </row>
    <row r="270" spans="1:18" s="18" customFormat="1" x14ac:dyDescent="0.35">
      <c r="A270" s="18" t="s">
        <v>135</v>
      </c>
      <c r="B270" s="18" t="s">
        <v>135</v>
      </c>
      <c r="C270" s="18" t="s">
        <v>407</v>
      </c>
      <c r="D270" s="18" t="s">
        <v>1396</v>
      </c>
      <c r="E270" s="18" t="s">
        <v>375</v>
      </c>
      <c r="G270" s="18" t="s">
        <v>130</v>
      </c>
      <c r="H270" s="18" t="s">
        <v>374</v>
      </c>
      <c r="I270" s="18" t="s">
        <v>2200</v>
      </c>
      <c r="L270" s="18" t="s">
        <v>727</v>
      </c>
      <c r="M270" s="18" t="s">
        <v>1463</v>
      </c>
      <c r="N270" s="18" t="s">
        <v>1465</v>
      </c>
      <c r="O270" s="18" t="s">
        <v>746</v>
      </c>
    </row>
    <row r="271" spans="1:18" s="18" customFormat="1" x14ac:dyDescent="0.35">
      <c r="A271" t="s">
        <v>736</v>
      </c>
      <c r="B271" t="s">
        <v>24</v>
      </c>
      <c r="C271" t="s">
        <v>26</v>
      </c>
      <c r="D271" t="s">
        <v>1135</v>
      </c>
      <c r="E271" t="s">
        <v>11</v>
      </c>
      <c r="F271" t="s">
        <v>13</v>
      </c>
      <c r="G271" t="s">
        <v>16</v>
      </c>
      <c r="H271" t="s">
        <v>10</v>
      </c>
      <c r="I271" t="s">
        <v>2037</v>
      </c>
      <c r="J271"/>
      <c r="K271"/>
      <c r="L271" s="2" t="s">
        <v>737</v>
      </c>
      <c r="M271" s="2" t="s">
        <v>1519</v>
      </c>
      <c r="N271" s="2" t="s">
        <v>1521</v>
      </c>
      <c r="O271" t="s">
        <v>746</v>
      </c>
      <c r="P271" t="s">
        <v>772</v>
      </c>
      <c r="Q271"/>
      <c r="R271" t="s">
        <v>2036</v>
      </c>
    </row>
  </sheetData>
  <autoFilter ref="A1:R271" xr:uid="{40AB7163-B9B7-4FDC-801D-DDAD21B7BEA6}">
    <sortState xmlns:xlrd2="http://schemas.microsoft.com/office/spreadsheetml/2017/richdata2" ref="A2:R271">
      <sortCondition ref="C1:C271"/>
    </sortState>
  </autoFilter>
  <hyperlinks>
    <hyperlink ref="L271" r:id="rId1" xr:uid="{A340C98B-0C52-452F-A2AB-F9AA79AC9A3C}"/>
    <hyperlink ref="L10" r:id="rId2" xr:uid="{022B0E13-F3A2-4236-8FD8-0A5350A6C4D8}"/>
    <hyperlink ref="L170" r:id="rId3" xr:uid="{91F444C2-B195-456B-B143-01856A041427}"/>
    <hyperlink ref="L76" r:id="rId4" xr:uid="{ED698CFD-4E2C-4649-87B6-413213C25372}"/>
    <hyperlink ref="L24" r:id="rId5" xr:uid="{39D96C77-139C-4ECB-BC3A-2B810B1EA39B}"/>
    <hyperlink ref="M24" r:id="rId6" xr:uid="{6F768875-1709-4485-971B-5EC77F255D90}"/>
    <hyperlink ref="L113" r:id="rId7" xr:uid="{1A5D41BD-B299-45A0-998C-AC63E21C7EA3}"/>
    <hyperlink ref="L180" r:id="rId8" xr:uid="{A4A2A46B-2544-4684-A5EA-5DC22E2C248E}"/>
    <hyperlink ref="L262" r:id="rId9" xr:uid="{3CFBE87F-ECC6-466D-ADAA-C63B0E833492}"/>
    <hyperlink ref="L156" r:id="rId10" xr:uid="{912FAEEE-985D-4988-BCA6-F89CDFAA0FBC}"/>
    <hyperlink ref="L179" r:id="rId11" xr:uid="{CDFA4A56-3DDC-43B3-B983-9C8D93BF1CFA}"/>
    <hyperlink ref="L25" r:id="rId12" xr:uid="{3DC38577-844F-4836-A26E-1C7D2FC772D7}"/>
    <hyperlink ref="M42" r:id="rId13" xr:uid="{540FE319-0B24-49C1-8147-359DCD93AFBB}"/>
    <hyperlink ref="L246" r:id="rId14" xr:uid="{0491ABCA-74D1-4544-844B-6F265B08C595}"/>
    <hyperlink ref="L216" r:id="rId15" xr:uid="{3B90D433-7FF3-4F49-8186-E35A3C9984F0}"/>
    <hyperlink ref="L91" r:id="rId16" xr:uid="{15457A1E-EDAB-4AF5-B414-50465EECCDFA}"/>
    <hyperlink ref="L116" r:id="rId17" xr:uid="{C3636A32-4F0F-45E7-9A1F-7550E28F85EA}"/>
    <hyperlink ref="L11" r:id="rId18" xr:uid="{E4D591DB-FAC0-4A0C-918A-A94A9ECC3B83}"/>
    <hyperlink ref="L98" r:id="rId19" xr:uid="{947CAF22-F67E-43C3-85F7-895EBB63332C}"/>
    <hyperlink ref="M152" r:id="rId20" xr:uid="{768B6C3F-9145-437A-BA00-D6FFD1DDBD17}"/>
    <hyperlink ref="L114" r:id="rId21" xr:uid="{66C5CC4E-C849-4A1A-9FF6-A778FD838D70}"/>
    <hyperlink ref="L189" r:id="rId22" xr:uid="{82928FF1-A2DB-4219-88D3-5BE63EECD0BE}"/>
    <hyperlink ref="M4" r:id="rId23" xr:uid="{2BD57DEF-BA10-491A-8568-58588D8EBDA4}"/>
    <hyperlink ref="L5:L11" r:id="rId24" display="https://agnicoeagle.com/Home/default.aspx" xr:uid="{1484F003-0941-42B3-A345-CFEEC39B429A}"/>
    <hyperlink ref="N4" r:id="rId25" xr:uid="{BB52E42A-0834-472C-A5D7-9F042E3920F4}"/>
    <hyperlink ref="M101" r:id="rId26" xr:uid="{5FDD01D4-911A-489E-8B20-BB5F85CBF4DE}"/>
    <hyperlink ref="N107" r:id="rId27" xr:uid="{830B8D56-C12E-44FC-92EC-CCD3ECBD74DE}"/>
    <hyperlink ref="N271" r:id="rId28" xr:uid="{D0C4ECBD-61B5-4FDF-A6FE-BA448298CED7}"/>
    <hyperlink ref="M142" r:id="rId29" xr:uid="{378978D5-6320-461A-A362-3297E522FBC6}"/>
    <hyperlink ref="M107" r:id="rId30" xr:uid="{2F3D38C9-B4B1-405B-8A8F-4F6833AD230B}"/>
    <hyperlink ref="M271" r:id="rId31" xr:uid="{9AC6F6FA-F25F-40BF-B113-47A9B7A9FD26}"/>
    <hyperlink ref="M25" r:id="rId32" xr:uid="{5147C790-2B90-486A-B7FB-A2B65DD418F1}"/>
    <hyperlink ref="M250" r:id="rId33" xr:uid="{9240FAE9-7911-4632-A5D4-B81E0D47E173}"/>
    <hyperlink ref="N25" r:id="rId34" xr:uid="{135A95A7-957D-4827-8718-B88514F3D7F6}"/>
    <hyperlink ref="N250" r:id="rId35" xr:uid="{0E948B5E-D0F0-41E0-A2DD-010204D2D0A5}"/>
    <hyperlink ref="M225" r:id="rId36" xr:uid="{39827A49-DEBA-4AEF-8D13-5A76A223A9F0}"/>
    <hyperlink ref="N158" r:id="rId37" xr:uid="{58E35610-C8F9-4D29-BC93-0401B3EF84E6}"/>
    <hyperlink ref="N137" r:id="rId38" xr:uid="{2071A592-0CAC-42FC-B3FA-0BD2D54C6114}"/>
    <hyperlink ref="N94" r:id="rId39" xr:uid="{DA0DF6AD-98E7-4B0E-AE6E-ED73143150B6}"/>
    <hyperlink ref="N159" r:id="rId40" xr:uid="{5E68EA79-6A8C-4594-9218-C4965B4FA4D9}"/>
    <hyperlink ref="N11" r:id="rId41" xr:uid="{9105458B-3906-4EB2-A31C-056F7EC28CC2}"/>
    <hyperlink ref="N62" r:id="rId42" xr:uid="{F0542B9C-48BC-4C76-B53E-011A106DFF7D}"/>
    <hyperlink ref="N40" r:id="rId43" xr:uid="{2BC79D5D-11D7-4724-A1B9-5DAD4D982137}"/>
    <hyperlink ref="N143" r:id="rId44" xr:uid="{574F688B-B958-4726-AE5C-94CC831E9075}"/>
    <hyperlink ref="M62" r:id="rId45" xr:uid="{72847205-AFEE-41B2-B7C7-7238EDC337BB}"/>
    <hyperlink ref="M158" r:id="rId46" xr:uid="{2197ABEB-AF71-4C57-9726-FB9A3047834A}"/>
    <hyperlink ref="M137" r:id="rId47" xr:uid="{B2964E2D-76B3-4E00-8FAA-F294B526CC1D}"/>
    <hyperlink ref="M143" r:id="rId48" xr:uid="{5CA35E30-2C9D-4DE2-97DE-59BAB7CB5363}"/>
    <hyperlink ref="M159" r:id="rId49" xr:uid="{F179F5FA-C7E9-4242-BE16-7A4E5812A7E6}"/>
    <hyperlink ref="M40" r:id="rId50" xr:uid="{214EB16A-2F3A-4670-85E5-2BC74544B854}"/>
    <hyperlink ref="M11" r:id="rId51" xr:uid="{E6834FA4-5D32-41C9-B722-3428F53E0F46}"/>
    <hyperlink ref="M94" r:id="rId52" xr:uid="{C3EC9F0C-A06F-47A4-9F21-51513CC1E287}"/>
    <hyperlink ref="M22" r:id="rId53" display="https://www.riotinto.com/en/operations/canada/saguenay" xr:uid="{D27F8271-2BB5-4603-9C85-1E9C4663E614}"/>
    <hyperlink ref="N167" r:id="rId54" xr:uid="{3C9C0BFF-8CFF-4F3D-B347-10DA61E597F4}"/>
    <hyperlink ref="N156" r:id="rId55" xr:uid="{B0BC8CAF-74AE-43EA-98C8-9A8AE1A909FC}"/>
    <hyperlink ref="M198" r:id="rId56" xr:uid="{7DC220AE-034E-4AAB-9B20-B0A125B5A016}"/>
    <hyperlink ref="N84" r:id="rId57" xr:uid="{7F4E5C08-47A9-4DB9-8B1B-8F0373B998CF}"/>
    <hyperlink ref="L236" r:id="rId58" xr:uid="{8FFAB369-C6A6-4961-A250-9B7BE6B8048E}"/>
    <hyperlink ref="N146" r:id="rId59" xr:uid="{98DE3933-5CC6-4DCD-9926-B87F4868BB6A}"/>
    <hyperlink ref="L162" r:id="rId60" xr:uid="{5780104B-B7B2-4A66-8FE9-C8B0CD7546AD}"/>
    <hyperlink ref="L188" r:id="rId61" xr:uid="{D306E428-4186-410C-9A41-42AB76B6B6A1}"/>
    <hyperlink ref="M162" r:id="rId62" xr:uid="{8253A564-77D8-4D51-B965-A55365280858}"/>
    <hyperlink ref="M188" r:id="rId63" xr:uid="{4EB03FCA-307A-462A-A651-F35FD3F46D93}"/>
    <hyperlink ref="N162" r:id="rId64" xr:uid="{A0D39A5A-1984-4D0F-8813-5018707BA47B}"/>
    <hyperlink ref="N262" r:id="rId65" xr:uid="{482C2646-13D2-4AFB-9A9B-FAB2CA061B93}"/>
    <hyperlink ref="M262" r:id="rId66" xr:uid="{7D973DA8-39A4-4CB5-9560-1578803E6C93}"/>
    <hyperlink ref="N213" r:id="rId67" xr:uid="{12076C72-EEDF-4097-AFCE-561013FF44CC}"/>
    <hyperlink ref="M216" r:id="rId68" xr:uid="{DF5E11EA-0B8A-4757-BC85-8B8F849E0E98}"/>
    <hyperlink ref="M7" r:id="rId69" location="cite_note-autoref_12-21" xr:uid="{EF886A9C-584C-4621-9D79-836660C84C44}"/>
    <hyperlink ref="N189" r:id="rId70" xr:uid="{453166F8-CF14-4A0F-8C85-27A190AD9AF3}"/>
    <hyperlink ref="N42" r:id="rId71" xr:uid="{2CB6D790-1492-464D-9050-4EF89DF5E1DE}"/>
    <hyperlink ref="L42" r:id="rId72" xr:uid="{4BC3FDF5-9093-4305-9AD2-07F028367B12}"/>
    <hyperlink ref="M185" r:id="rId73" xr:uid="{3E501DEB-F629-4900-9038-C1658DD1C456}"/>
    <hyperlink ref="N185" r:id="rId74" xr:uid="{A0DB1BA9-5D50-4900-9CA9-B96DDEEC69F6}"/>
    <hyperlink ref="N198" r:id="rId75" xr:uid="{2DE09CE9-2832-4683-8663-4251DC960B2F}"/>
    <hyperlink ref="M83" r:id="rId76" xr:uid="{1E42C5F9-187F-4CFA-8D40-6F3EB44C0019}"/>
    <hyperlink ref="N83" r:id="rId77" xr:uid="{7C4F44C0-A17E-45EA-84A1-0590BC772039}"/>
    <hyperlink ref="N163" r:id="rId78" xr:uid="{89859D23-3D5A-4AD6-A318-F7068E30CF82}"/>
    <hyperlink ref="M155" r:id="rId79" display="https://www.orano.group/canada/en/our-uranium-expertise/mining-and-milling" xr:uid="{2E684BE2-0EC8-4C53-98DF-70FB16769CFC}"/>
    <hyperlink ref="N155" r:id="rId80" xr:uid="{6D2425E1-BCE7-4C3B-B0F5-007689ECE3C5}"/>
    <hyperlink ref="L186" r:id="rId81" xr:uid="{7B08D5C6-0242-494A-8C4B-CB4DDC54B90D}"/>
    <hyperlink ref="M186" r:id="rId82" xr:uid="{DD175947-AF70-4837-9814-73F30C96A2C6}"/>
    <hyperlink ref="M246" r:id="rId83" xr:uid="{4271AFA7-8D6A-4B2E-8ED3-8F1679B228E4}"/>
    <hyperlink ref="M245" r:id="rId84" xr:uid="{7DD3AD56-FAA3-4BF9-BD16-2DFD95CB9C95}"/>
    <hyperlink ref="N226" r:id="rId85" xr:uid="{19685D93-9DD5-46A2-B25F-642FB938223B}"/>
    <hyperlink ref="L226" r:id="rId86" xr:uid="{4DF9A02C-26AB-47E9-8FFD-EA68A7A97875}"/>
    <hyperlink ref="M226" r:id="rId87" xr:uid="{AF177EC9-E188-4EA6-A798-B8976A3AA843}"/>
    <hyperlink ref="N91" r:id="rId88" display="https://miningdataonline.com/property/1663/Yellowhead-Project.aspx" xr:uid="{546E8605-23A1-4411-856C-157ACF361F98}"/>
    <hyperlink ref="M91" r:id="rId89" display="https://www.tasekomines.com/properties/yellowhead-project/" xr:uid="{490C112C-83C0-468B-972F-A90D38644836}"/>
    <hyperlink ref="N65" r:id="rId90" xr:uid="{97175AAF-8E00-4C85-A1A1-6D78ED6107E6}"/>
    <hyperlink ref="L68" r:id="rId91" xr:uid="{7219E808-EE71-4B90-8C46-6C58FD217D40}"/>
    <hyperlink ref="M76" r:id="rId92" xr:uid="{ADE4D528-7A7C-49F1-8314-62317844B5EB}"/>
    <hyperlink ref="N81" r:id="rId93" xr:uid="{8A2DF42F-BF03-4199-9C76-7DDF2125264D}"/>
    <hyperlink ref="M103" r:id="rId94" xr:uid="{7925235F-D467-4AB9-9616-A05D1FBEF201}"/>
    <hyperlink ref="M89" r:id="rId95" xr:uid="{3719BD0A-9CA7-4AD3-AABE-2E29C43270D4}"/>
    <hyperlink ref="N57" r:id="rId96" xr:uid="{37491F65-C264-4C08-8FBF-006655F1D7C5}"/>
    <hyperlink ref="N31" r:id="rId97" xr:uid="{9AAB40A2-214A-44D7-8528-076D175F554A}"/>
    <hyperlink ref="N152" r:id="rId98" xr:uid="{1C687D8C-F303-40FF-95C7-9DB264AD8948}"/>
    <hyperlink ref="N35" r:id="rId99" xr:uid="{29E50A97-49DC-4EF9-BB31-A40BF5CE4024}"/>
    <hyperlink ref="N113" r:id="rId100" xr:uid="{6CEDA1FD-2B4D-45B9-8D3B-DF3B8FC11868}"/>
    <hyperlink ref="N115" r:id="rId101" xr:uid="{31D4B58C-F469-4F15-9EAC-9443A3CBB018}"/>
    <hyperlink ref="N135" r:id="rId102" xr:uid="{325EFE45-F02E-42E5-B45F-09F83DBBE712}"/>
    <hyperlink ref="N206" r:id="rId103" xr:uid="{6D9407C2-9A82-4BBE-A277-0250FD7A4A2A}"/>
    <hyperlink ref="N241" r:id="rId104" xr:uid="{957CDAE9-69C0-4CE7-8EE2-30D55BF0321B}"/>
    <hyperlink ref="N259" r:id="rId105" xr:uid="{547E6C36-5E55-470B-9795-817256F0B631}"/>
    <hyperlink ref="N48" r:id="rId106" xr:uid="{801A952F-C720-4D27-9B40-E070E82ABC1E}"/>
    <hyperlink ref="N100" r:id="rId107" xr:uid="{52017330-A1F8-47E3-BA21-6F379450EE07}"/>
    <hyperlink ref="N170" r:id="rId108" xr:uid="{F580FD6A-D6FC-4423-8F36-4DFB582992FC}"/>
    <hyperlink ref="N236" r:id="rId109" xr:uid="{9AFCF8FF-0A8F-40D4-8387-B66EC2BD52D0}"/>
    <hyperlink ref="N98" r:id="rId110" xr:uid="{DD74B58C-0559-401F-8ADF-E2976B9A8A46}"/>
    <hyperlink ref="N72" r:id="rId111" xr:uid="{A897E254-407B-4586-A8E5-3254F6784151}"/>
    <hyperlink ref="N86" r:id="rId112" xr:uid="{C7050D13-F5F7-4EC3-BFD2-19B3A3F5006C}"/>
    <hyperlink ref="N136" r:id="rId113" xr:uid="{F2C74938-2562-4F77-8ADA-D3062D8252CA}"/>
    <hyperlink ref="N214" r:id="rId114" xr:uid="{0EB22B9B-85A8-4411-A9D0-9D8478E7B47C}"/>
    <hyperlink ref="N43" r:id="rId115" xr:uid="{8976660D-EE1A-47BC-BC2A-D0AD50A5FE84}"/>
    <hyperlink ref="N184" r:id="rId116" xr:uid="{562B2607-5A74-49E5-B5B1-1B83EB30DF78}"/>
    <hyperlink ref="N101" r:id="rId117" xr:uid="{E880B9D8-228C-4561-B481-02E89932D8BF}"/>
    <hyperlink ref="N105" r:id="rId118" xr:uid="{E778C10D-EE61-4C52-B180-D4B839B9D989}"/>
    <hyperlink ref="N173" r:id="rId119" xr:uid="{35EC3BF7-764D-4942-9793-A7F6AF8696DC}"/>
    <hyperlink ref="N199" r:id="rId120" xr:uid="{92532C52-6ED6-4151-87E1-E800AD4FA3BF}"/>
    <hyperlink ref="N33" r:id="rId121" xr:uid="{2222808B-1E29-4C15-AC34-A8F38C33B263}"/>
    <hyperlink ref="N63" r:id="rId122" xr:uid="{BB4D35A0-B936-43F0-85D7-87AEA6653310}"/>
    <hyperlink ref="N133" r:id="rId123" xr:uid="{0E981D8C-5B82-41AB-B149-F6524094F4DC}"/>
    <hyperlink ref="N186" r:id="rId124" xr:uid="{2C7F7BA7-5DDD-43F1-A86B-99890B307535}"/>
    <hyperlink ref="N242" r:id="rId125" xr:uid="{45F87E03-D1DF-4C80-8EBB-9975C25C6D9A}"/>
    <hyperlink ref="N245" r:id="rId126" xr:uid="{86583BDC-394B-4C51-A21E-E967746BD3A2}"/>
    <hyperlink ref="N222" r:id="rId127" xr:uid="{BBD07BBD-33D7-4004-A7F4-4A9093283763}"/>
    <hyperlink ref="N169" r:id="rId128" xr:uid="{8BAF2D0C-8F05-417C-9B3C-1FB1B0C86314}"/>
    <hyperlink ref="N228" r:id="rId129" xr:uid="{B6A4FB78-2C98-43F6-BC12-75D173A3FA3D}"/>
    <hyperlink ref="N216" r:id="rId130" xr:uid="{B158650F-BC1F-4C67-87F2-2DC1CEB6021F}"/>
    <hyperlink ref="N174" r:id="rId131" xr:uid="{B183ED9E-F1F6-47C8-9C9C-9DE41A2760D6}"/>
    <hyperlink ref="N248" r:id="rId132" xr:uid="{C50B93C5-CFD4-461D-BB41-44B4B01E5C94}"/>
    <hyperlink ref="N251" r:id="rId133" xr:uid="{7F8F909A-2299-4D74-AF71-669B444B34BA}"/>
    <hyperlink ref="N68" r:id="rId134" xr:uid="{4CE4F427-DEF8-48E3-AE50-73006FA9C46C}"/>
    <hyperlink ref="N69" r:id="rId135" xr:uid="{185F42EF-5239-4405-B69D-208BBEDBE3BB}"/>
    <hyperlink ref="N116" r:id="rId136" xr:uid="{2FD3C8C1-F39F-4D25-BB72-978DC6FCC99A}"/>
    <hyperlink ref="N164" r:id="rId137" xr:uid="{657C61DA-BF2D-4CA1-BF36-A9259D85F8AA}"/>
    <hyperlink ref="M236" r:id="rId138" xr:uid="{182D29E9-AD00-4A1D-B6B1-765451A6E5A6}"/>
    <hyperlink ref="M169" r:id="rId139" xr:uid="{079D1AEC-3A20-4298-AB40-60EA085C52BA}"/>
    <hyperlink ref="N74" r:id="rId140" xr:uid="{AB17CD1F-D4B7-4331-AFFD-847741696006}"/>
  </hyperlinks>
  <pageMargins left="0.7" right="0.7" top="0.75" bottom="0.75" header="0.3" footer="0.3"/>
  <pageSetup orientation="portrait" r:id="rId14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D282F-07FD-45CA-8F4C-BA15C5A5D841}">
  <dimension ref="A1:Q85"/>
  <sheetViews>
    <sheetView workbookViewId="0">
      <pane xSplit="3" topLeftCell="D1" activePane="topRight" state="frozen"/>
      <selection pane="topRight" activeCell="E79" sqref="E79"/>
    </sheetView>
  </sheetViews>
  <sheetFormatPr baseColWidth="10" defaultColWidth="8.7265625" defaultRowHeight="14.5" x14ac:dyDescent="0.35"/>
  <cols>
    <col min="1" max="1" width="13.81640625" bestFit="1" customWidth="1"/>
    <col min="2" max="2" width="30.08984375" bestFit="1" customWidth="1"/>
    <col min="3" max="3" width="19.54296875" customWidth="1"/>
    <col min="4" max="4" width="17.6328125" customWidth="1"/>
    <col min="5" max="5" width="17.453125" bestFit="1" customWidth="1"/>
    <col min="6" max="6" width="22.36328125" bestFit="1" customWidth="1"/>
    <col min="7" max="7" width="31.453125" bestFit="1" customWidth="1"/>
    <col min="8" max="8" width="33.54296875" style="17" customWidth="1"/>
    <col min="9" max="9" width="37.6328125" customWidth="1"/>
    <col min="10" max="10" width="39.1796875" bestFit="1" customWidth="1"/>
    <col min="11" max="13" width="39.1796875" customWidth="1"/>
    <col min="14" max="14" width="70" customWidth="1"/>
    <col min="15" max="15" width="16.1796875" bestFit="1" customWidth="1"/>
    <col min="16" max="16" width="115.90625" bestFit="1" customWidth="1"/>
    <col min="17" max="17" width="89.453125" bestFit="1" customWidth="1"/>
  </cols>
  <sheetData>
    <row r="1" spans="1:17" x14ac:dyDescent="0.35">
      <c r="A1" s="6" t="s">
        <v>3111</v>
      </c>
      <c r="B1" s="7" t="s">
        <v>0</v>
      </c>
      <c r="C1" s="6" t="s">
        <v>1653</v>
      </c>
      <c r="D1" s="6" t="s">
        <v>2</v>
      </c>
      <c r="E1" s="6" t="s">
        <v>2030</v>
      </c>
      <c r="F1" s="6" t="s">
        <v>4</v>
      </c>
      <c r="G1" s="6" t="s">
        <v>3169</v>
      </c>
      <c r="H1" s="40" t="s">
        <v>3035</v>
      </c>
      <c r="I1" s="8" t="s">
        <v>3168</v>
      </c>
      <c r="J1" s="6" t="s">
        <v>1781</v>
      </c>
      <c r="K1" s="6" t="s">
        <v>3113</v>
      </c>
      <c r="L1" s="6" t="s">
        <v>3114</v>
      </c>
      <c r="M1" s="6" t="s">
        <v>3115</v>
      </c>
      <c r="N1" s="8" t="s">
        <v>3034</v>
      </c>
      <c r="O1" s="8" t="s">
        <v>3105</v>
      </c>
      <c r="P1" s="8" t="s">
        <v>2501</v>
      </c>
      <c r="Q1" s="6" t="s">
        <v>1543</v>
      </c>
    </row>
    <row r="2" spans="1:17" ht="29" x14ac:dyDescent="0.35">
      <c r="A2" t="s">
        <v>710</v>
      </c>
      <c r="B2" t="s">
        <v>756</v>
      </c>
      <c r="C2" t="s">
        <v>47</v>
      </c>
      <c r="D2" t="s">
        <v>1339</v>
      </c>
      <c r="E2" t="s">
        <v>1755</v>
      </c>
      <c r="F2" t="s">
        <v>11</v>
      </c>
      <c r="G2" t="s">
        <v>13</v>
      </c>
      <c r="H2" s="17" t="s">
        <v>2537</v>
      </c>
      <c r="I2" t="s">
        <v>3160</v>
      </c>
      <c r="J2" t="s">
        <v>16</v>
      </c>
      <c r="N2" s="17" t="s">
        <v>2542</v>
      </c>
      <c r="O2" t="s">
        <v>3106</v>
      </c>
      <c r="Q2" t="s">
        <v>1042</v>
      </c>
    </row>
    <row r="3" spans="1:17" x14ac:dyDescent="0.35">
      <c r="B3" t="s">
        <v>795</v>
      </c>
      <c r="C3" t="s">
        <v>162</v>
      </c>
      <c r="D3" t="s">
        <v>1192</v>
      </c>
      <c r="F3" t="s">
        <v>11</v>
      </c>
      <c r="G3" t="s">
        <v>34</v>
      </c>
      <c r="H3" s="17" t="s">
        <v>2506</v>
      </c>
      <c r="I3" t="s">
        <v>3157</v>
      </c>
      <c r="J3" t="s">
        <v>157</v>
      </c>
      <c r="N3" s="17" t="s">
        <v>2507</v>
      </c>
      <c r="O3" t="s">
        <v>3107</v>
      </c>
      <c r="Q3" t="s">
        <v>2065</v>
      </c>
    </row>
    <row r="4" spans="1:17" ht="29" x14ac:dyDescent="0.35">
      <c r="B4" t="s">
        <v>39</v>
      </c>
      <c r="C4" t="s">
        <v>40</v>
      </c>
      <c r="D4" t="s">
        <v>1320</v>
      </c>
      <c r="E4" t="s">
        <v>1754</v>
      </c>
      <c r="F4" t="s">
        <v>11</v>
      </c>
      <c r="G4" t="s">
        <v>17</v>
      </c>
      <c r="H4" s="17" t="s">
        <v>2533</v>
      </c>
      <c r="I4" t="s">
        <v>3164</v>
      </c>
      <c r="J4" t="s">
        <v>16</v>
      </c>
      <c r="N4" s="17" t="s">
        <v>2534</v>
      </c>
      <c r="O4" t="s">
        <v>3106</v>
      </c>
      <c r="Q4" t="s">
        <v>1035</v>
      </c>
    </row>
    <row r="5" spans="1:17" ht="43.5" x14ac:dyDescent="0.35">
      <c r="B5" t="s">
        <v>39</v>
      </c>
      <c r="C5" t="s">
        <v>77</v>
      </c>
      <c r="D5" t="s">
        <v>1323</v>
      </c>
      <c r="F5" t="s">
        <v>11</v>
      </c>
      <c r="G5" t="s">
        <v>13</v>
      </c>
      <c r="H5" s="17" t="s">
        <v>3138</v>
      </c>
      <c r="I5" t="s">
        <v>3160</v>
      </c>
      <c r="J5" t="s">
        <v>64</v>
      </c>
      <c r="N5" s="17" t="s">
        <v>2508</v>
      </c>
      <c r="O5" t="s">
        <v>3108</v>
      </c>
      <c r="Q5" t="s">
        <v>1035</v>
      </c>
    </row>
    <row r="6" spans="1:17" ht="58" x14ac:dyDescent="0.35">
      <c r="A6" t="s">
        <v>710</v>
      </c>
      <c r="B6" t="s">
        <v>14</v>
      </c>
      <c r="C6" t="s">
        <v>65</v>
      </c>
      <c r="D6" t="s">
        <v>1125</v>
      </c>
      <c r="F6" t="s">
        <v>11</v>
      </c>
      <c r="G6" t="s">
        <v>13</v>
      </c>
      <c r="H6" s="17" t="s">
        <v>1668</v>
      </c>
      <c r="I6" t="s">
        <v>3157</v>
      </c>
      <c r="J6" t="s">
        <v>64</v>
      </c>
      <c r="K6" t="s">
        <v>3036</v>
      </c>
      <c r="L6" t="s">
        <v>3037</v>
      </c>
      <c r="M6" t="s">
        <v>3038</v>
      </c>
      <c r="N6" t="s">
        <v>1667</v>
      </c>
      <c r="O6" t="s">
        <v>3106</v>
      </c>
      <c r="Q6" t="s">
        <v>1507</v>
      </c>
    </row>
    <row r="7" spans="1:17" x14ac:dyDescent="0.35">
      <c r="B7" t="s">
        <v>163</v>
      </c>
      <c r="C7" t="s">
        <v>164</v>
      </c>
      <c r="D7" t="s">
        <v>1282</v>
      </c>
      <c r="F7" t="s">
        <v>11</v>
      </c>
      <c r="G7" t="s">
        <v>19</v>
      </c>
      <c r="H7" s="17" t="s">
        <v>2506</v>
      </c>
      <c r="I7" t="s">
        <v>3157</v>
      </c>
      <c r="J7" t="s">
        <v>157</v>
      </c>
      <c r="N7" s="17" t="s">
        <v>2507</v>
      </c>
      <c r="O7" t="s">
        <v>3107</v>
      </c>
      <c r="Q7" t="s">
        <v>992</v>
      </c>
    </row>
    <row r="8" spans="1:17" ht="43.5" x14ac:dyDescent="0.35">
      <c r="A8" t="s">
        <v>710</v>
      </c>
      <c r="B8" t="s">
        <v>8</v>
      </c>
      <c r="C8" t="s">
        <v>72</v>
      </c>
      <c r="D8" t="s">
        <v>1263</v>
      </c>
      <c r="F8" t="s">
        <v>11</v>
      </c>
      <c r="G8" t="s">
        <v>13</v>
      </c>
      <c r="H8" s="17" t="s">
        <v>3131</v>
      </c>
      <c r="I8" t="s">
        <v>3158</v>
      </c>
      <c r="J8" t="s">
        <v>64</v>
      </c>
      <c r="N8" s="17" t="s">
        <v>2526</v>
      </c>
      <c r="O8" t="s">
        <v>3106</v>
      </c>
      <c r="Q8" t="s">
        <v>971</v>
      </c>
    </row>
    <row r="9" spans="1:17" x14ac:dyDescent="0.35">
      <c r="B9" t="s">
        <v>208</v>
      </c>
      <c r="C9" t="s">
        <v>209</v>
      </c>
      <c r="D9" t="s">
        <v>1175</v>
      </c>
      <c r="F9" t="s">
        <v>11</v>
      </c>
      <c r="G9" t="s">
        <v>44</v>
      </c>
      <c r="H9" s="17" t="s">
        <v>1655</v>
      </c>
      <c r="J9" t="s">
        <v>210</v>
      </c>
      <c r="N9" s="11" t="s">
        <v>1654</v>
      </c>
      <c r="Q9" t="s">
        <v>828</v>
      </c>
    </row>
    <row r="10" spans="1:17" ht="72.5" x14ac:dyDescent="0.35">
      <c r="B10" t="s">
        <v>719</v>
      </c>
      <c r="C10" t="s">
        <v>190</v>
      </c>
      <c r="D10" t="s">
        <v>1420</v>
      </c>
      <c r="E10" t="s">
        <v>2211</v>
      </c>
      <c r="G10" t="s">
        <v>21</v>
      </c>
      <c r="H10" s="17" t="s">
        <v>3150</v>
      </c>
      <c r="I10" t="s">
        <v>3159</v>
      </c>
      <c r="J10" t="s">
        <v>189</v>
      </c>
      <c r="N10" s="17" t="s">
        <v>3117</v>
      </c>
      <c r="O10" t="s">
        <v>3106</v>
      </c>
      <c r="Q10" t="s">
        <v>1477</v>
      </c>
    </row>
    <row r="11" spans="1:17" ht="72.5" x14ac:dyDescent="0.35">
      <c r="B11" t="s">
        <v>719</v>
      </c>
      <c r="C11" t="s">
        <v>191</v>
      </c>
      <c r="D11" t="s">
        <v>1423</v>
      </c>
      <c r="E11" t="s">
        <v>2211</v>
      </c>
      <c r="F11" t="s">
        <v>11</v>
      </c>
      <c r="G11" t="s">
        <v>44</v>
      </c>
      <c r="H11" s="17" t="s">
        <v>3150</v>
      </c>
      <c r="I11" t="s">
        <v>3159</v>
      </c>
      <c r="J11" t="s">
        <v>189</v>
      </c>
      <c r="K11" t="s">
        <v>2514</v>
      </c>
      <c r="L11" t="s">
        <v>3039</v>
      </c>
      <c r="M11" t="s">
        <v>3040</v>
      </c>
      <c r="N11" s="17" t="s">
        <v>2515</v>
      </c>
      <c r="O11" t="s">
        <v>3106</v>
      </c>
      <c r="Q11" t="s">
        <v>1476</v>
      </c>
    </row>
    <row r="12" spans="1:17" ht="72.5" x14ac:dyDescent="0.35">
      <c r="B12" t="s">
        <v>719</v>
      </c>
      <c r="C12" t="s">
        <v>192</v>
      </c>
      <c r="D12" t="s">
        <v>1421</v>
      </c>
      <c r="E12" t="s">
        <v>2211</v>
      </c>
      <c r="F12" t="s">
        <v>11</v>
      </c>
      <c r="G12" t="s">
        <v>44</v>
      </c>
      <c r="H12" s="17" t="s">
        <v>3150</v>
      </c>
      <c r="I12" t="s">
        <v>3159</v>
      </c>
      <c r="J12" t="s">
        <v>189</v>
      </c>
      <c r="K12" t="s">
        <v>2514</v>
      </c>
      <c r="L12" t="s">
        <v>3039</v>
      </c>
      <c r="M12" t="s">
        <v>3040</v>
      </c>
      <c r="N12" s="17" t="s">
        <v>3117</v>
      </c>
      <c r="O12" t="s">
        <v>3106</v>
      </c>
      <c r="Q12" t="s">
        <v>1476</v>
      </c>
    </row>
    <row r="13" spans="1:17" ht="43.5" x14ac:dyDescent="0.35">
      <c r="A13" t="s">
        <v>710</v>
      </c>
      <c r="B13" t="s">
        <v>717</v>
      </c>
      <c r="C13" t="s">
        <v>132</v>
      </c>
      <c r="D13" t="s">
        <v>1270</v>
      </c>
      <c r="F13" t="s">
        <v>11</v>
      </c>
      <c r="G13" t="s">
        <v>21</v>
      </c>
      <c r="H13" s="17" t="s">
        <v>1802</v>
      </c>
      <c r="J13" t="s">
        <v>130</v>
      </c>
      <c r="N13" t="s">
        <v>1801</v>
      </c>
      <c r="O13" t="s">
        <v>3106</v>
      </c>
      <c r="Q13" t="s">
        <v>975</v>
      </c>
    </row>
    <row r="14" spans="1:17" ht="72.5" x14ac:dyDescent="0.35">
      <c r="B14" t="s">
        <v>719</v>
      </c>
      <c r="C14" t="s">
        <v>193</v>
      </c>
      <c r="D14" t="s">
        <v>1422</v>
      </c>
      <c r="E14" t="s">
        <v>2211</v>
      </c>
      <c r="F14" t="s">
        <v>11</v>
      </c>
      <c r="G14" t="s">
        <v>44</v>
      </c>
      <c r="H14" s="17" t="s">
        <v>3150</v>
      </c>
      <c r="I14" t="s">
        <v>3159</v>
      </c>
      <c r="J14" t="s">
        <v>189</v>
      </c>
      <c r="K14" t="s">
        <v>2514</v>
      </c>
      <c r="L14" t="s">
        <v>3039</v>
      </c>
      <c r="M14" t="s">
        <v>3040</v>
      </c>
      <c r="N14" s="17" t="s">
        <v>3117</v>
      </c>
      <c r="O14" t="s">
        <v>3106</v>
      </c>
      <c r="Q14" t="s">
        <v>1476</v>
      </c>
    </row>
    <row r="15" spans="1:17" ht="29" x14ac:dyDescent="0.35">
      <c r="A15" t="s">
        <v>710</v>
      </c>
      <c r="B15" t="s">
        <v>14</v>
      </c>
      <c r="C15" t="s">
        <v>18</v>
      </c>
      <c r="D15" t="s">
        <v>1127</v>
      </c>
      <c r="F15" t="s">
        <v>11</v>
      </c>
      <c r="G15" t="s">
        <v>19</v>
      </c>
      <c r="H15" s="17" t="s">
        <v>1663</v>
      </c>
      <c r="I15" t="s">
        <v>3157</v>
      </c>
      <c r="J15" t="s">
        <v>16</v>
      </c>
      <c r="K15" t="s">
        <v>3036</v>
      </c>
      <c r="L15" t="s">
        <v>3037</v>
      </c>
      <c r="M15" t="s">
        <v>3038</v>
      </c>
      <c r="N15" t="s">
        <v>1662</v>
      </c>
      <c r="O15" t="s">
        <v>3106</v>
      </c>
      <c r="Q15" t="s">
        <v>1503</v>
      </c>
    </row>
    <row r="16" spans="1:17" x14ac:dyDescent="0.35">
      <c r="B16" t="s">
        <v>718</v>
      </c>
      <c r="C16" t="s">
        <v>152</v>
      </c>
      <c r="D16" t="s">
        <v>1354</v>
      </c>
      <c r="F16" t="s">
        <v>11</v>
      </c>
      <c r="G16" t="s">
        <v>148</v>
      </c>
      <c r="H16" s="17" t="s">
        <v>3144</v>
      </c>
      <c r="I16" t="s">
        <v>3164</v>
      </c>
      <c r="J16" t="s">
        <v>147</v>
      </c>
      <c r="N16" s="17" t="s">
        <v>2522</v>
      </c>
      <c r="Q16" t="s">
        <v>1067</v>
      </c>
    </row>
    <row r="17" spans="1:17" x14ac:dyDescent="0.35">
      <c r="B17" t="s">
        <v>167</v>
      </c>
      <c r="C17" t="s">
        <v>168</v>
      </c>
      <c r="D17" t="s">
        <v>1398</v>
      </c>
      <c r="E17" t="s">
        <v>2958</v>
      </c>
      <c r="F17" t="s">
        <v>11</v>
      </c>
      <c r="G17" t="s">
        <v>34</v>
      </c>
      <c r="H17" s="17" t="s">
        <v>2506</v>
      </c>
      <c r="I17" t="s">
        <v>3157</v>
      </c>
      <c r="J17" t="s">
        <v>157</v>
      </c>
      <c r="N17" s="17" t="s">
        <v>2547</v>
      </c>
      <c r="O17" t="s">
        <v>3107</v>
      </c>
      <c r="Q17" t="s">
        <v>1460</v>
      </c>
    </row>
    <row r="18" spans="1:17" x14ac:dyDescent="0.35">
      <c r="B18" t="s">
        <v>167</v>
      </c>
      <c r="C18" t="s">
        <v>169</v>
      </c>
      <c r="D18" t="s">
        <v>1399</v>
      </c>
      <c r="E18" t="s">
        <v>2958</v>
      </c>
      <c r="F18" t="s">
        <v>11</v>
      </c>
      <c r="G18" t="s">
        <v>34</v>
      </c>
      <c r="H18" s="17" t="s">
        <v>2506</v>
      </c>
      <c r="I18" t="s">
        <v>3157</v>
      </c>
      <c r="J18" t="s">
        <v>157</v>
      </c>
      <c r="N18" s="17" t="s">
        <v>2547</v>
      </c>
      <c r="O18" t="s">
        <v>3107</v>
      </c>
      <c r="Q18" t="s">
        <v>1101</v>
      </c>
    </row>
    <row r="19" spans="1:17" ht="29" x14ac:dyDescent="0.35">
      <c r="B19" t="s">
        <v>56</v>
      </c>
      <c r="C19" t="s">
        <v>57</v>
      </c>
      <c r="D19" t="s">
        <v>1431</v>
      </c>
      <c r="F19" t="s">
        <v>11</v>
      </c>
      <c r="G19" t="s">
        <v>19</v>
      </c>
      <c r="H19" s="17" t="s">
        <v>2506</v>
      </c>
      <c r="I19" t="s">
        <v>3157</v>
      </c>
      <c r="J19" t="s">
        <v>16</v>
      </c>
      <c r="N19" s="17" t="s">
        <v>2550</v>
      </c>
      <c r="O19" t="s">
        <v>3106</v>
      </c>
      <c r="Q19" t="s">
        <v>1112</v>
      </c>
    </row>
    <row r="20" spans="1:17" ht="29" x14ac:dyDescent="0.35">
      <c r="B20" t="s">
        <v>730</v>
      </c>
      <c r="C20" t="s">
        <v>59</v>
      </c>
      <c r="D20" t="s">
        <v>1439</v>
      </c>
      <c r="F20" t="s">
        <v>11</v>
      </c>
      <c r="G20" t="s">
        <v>13</v>
      </c>
      <c r="H20" s="17" t="s">
        <v>3154</v>
      </c>
      <c r="I20" t="s">
        <v>3160</v>
      </c>
      <c r="J20" t="s">
        <v>16</v>
      </c>
      <c r="N20" s="17" t="s">
        <v>2551</v>
      </c>
      <c r="O20" t="s">
        <v>3106</v>
      </c>
      <c r="Q20" t="s">
        <v>1486</v>
      </c>
    </row>
    <row r="21" spans="1:17" ht="29" x14ac:dyDescent="0.35">
      <c r="B21" t="s">
        <v>145</v>
      </c>
      <c r="C21" t="s">
        <v>146</v>
      </c>
      <c r="D21" t="s">
        <v>1172</v>
      </c>
      <c r="F21" t="s">
        <v>11</v>
      </c>
      <c r="G21" t="s">
        <v>148</v>
      </c>
      <c r="H21" s="17" t="s">
        <v>3125</v>
      </c>
      <c r="I21" t="s">
        <v>3161</v>
      </c>
      <c r="J21" t="s">
        <v>147</v>
      </c>
      <c r="N21" s="17" t="s">
        <v>2522</v>
      </c>
      <c r="Q21" t="s">
        <v>1524</v>
      </c>
    </row>
    <row r="22" spans="1:17" ht="29" x14ac:dyDescent="0.35">
      <c r="B22" t="s">
        <v>39</v>
      </c>
      <c r="C22" t="s">
        <v>41</v>
      </c>
      <c r="D22" t="s">
        <v>1316</v>
      </c>
      <c r="F22" t="s">
        <v>11</v>
      </c>
      <c r="G22" t="s">
        <v>13</v>
      </c>
      <c r="H22" s="17" t="s">
        <v>3139</v>
      </c>
      <c r="I22" t="s">
        <v>3160</v>
      </c>
      <c r="J22" t="s">
        <v>16</v>
      </c>
      <c r="N22" s="17" t="s">
        <v>2535</v>
      </c>
      <c r="P22" t="s">
        <v>1804</v>
      </c>
      <c r="Q22" t="s">
        <v>1036</v>
      </c>
    </row>
    <row r="23" spans="1:17" ht="29" x14ac:dyDescent="0.35">
      <c r="B23" t="s">
        <v>855</v>
      </c>
      <c r="C23" t="s">
        <v>33</v>
      </c>
      <c r="D23" t="s">
        <v>1257</v>
      </c>
      <c r="F23" t="s">
        <v>11</v>
      </c>
      <c r="G23" t="s">
        <v>13</v>
      </c>
      <c r="H23" s="17" t="s">
        <v>2506</v>
      </c>
      <c r="I23" t="s">
        <v>3157</v>
      </c>
      <c r="J23" t="s">
        <v>64</v>
      </c>
      <c r="N23" s="17" t="s">
        <v>3112</v>
      </c>
      <c r="Q23" t="s">
        <v>957</v>
      </c>
    </row>
    <row r="24" spans="1:17" x14ac:dyDescent="0.35">
      <c r="B24" t="s">
        <v>155</v>
      </c>
      <c r="C24" t="s">
        <v>156</v>
      </c>
      <c r="D24" t="s">
        <v>1153</v>
      </c>
      <c r="E24" t="s">
        <v>2930</v>
      </c>
      <c r="F24" t="s">
        <v>11</v>
      </c>
      <c r="G24" t="s">
        <v>34</v>
      </c>
      <c r="H24" s="17" t="s">
        <v>2506</v>
      </c>
      <c r="I24" t="s">
        <v>3157</v>
      </c>
      <c r="J24" t="s">
        <v>157</v>
      </c>
      <c r="N24" s="17" t="s">
        <v>2507</v>
      </c>
      <c r="O24" t="s">
        <v>3107</v>
      </c>
      <c r="Q24" t="s">
        <v>816</v>
      </c>
    </row>
    <row r="25" spans="1:17" ht="72.5" x14ac:dyDescent="0.35">
      <c r="A25" t="s">
        <v>710</v>
      </c>
      <c r="B25" t="s">
        <v>872</v>
      </c>
      <c r="C25" t="s">
        <v>38</v>
      </c>
      <c r="D25" t="s">
        <v>1304</v>
      </c>
      <c r="F25" t="s">
        <v>11</v>
      </c>
      <c r="G25" t="s">
        <v>23</v>
      </c>
      <c r="H25" s="17" t="s">
        <v>3136</v>
      </c>
      <c r="I25" t="s">
        <v>3160</v>
      </c>
      <c r="J25" t="s">
        <v>16</v>
      </c>
      <c r="N25" s="17" t="s">
        <v>2531</v>
      </c>
      <c r="O25" t="s">
        <v>3108</v>
      </c>
      <c r="Q25" t="s">
        <v>1009</v>
      </c>
    </row>
    <row r="26" spans="1:17" ht="43.5" x14ac:dyDescent="0.35">
      <c r="B26" t="s">
        <v>142</v>
      </c>
      <c r="C26" t="s">
        <v>195</v>
      </c>
      <c r="D26" t="s">
        <v>1247</v>
      </c>
      <c r="E26" t="s">
        <v>2933</v>
      </c>
      <c r="F26" t="s">
        <v>11</v>
      </c>
      <c r="G26" t="s">
        <v>44</v>
      </c>
      <c r="H26" s="17" t="s">
        <v>3129</v>
      </c>
      <c r="I26" t="s">
        <v>3159</v>
      </c>
      <c r="J26" t="s">
        <v>196</v>
      </c>
      <c r="K26" t="s">
        <v>2514</v>
      </c>
      <c r="L26" t="s">
        <v>3039</v>
      </c>
      <c r="M26" t="s">
        <v>3040</v>
      </c>
      <c r="N26" s="17" t="s">
        <v>3118</v>
      </c>
      <c r="O26" t="s">
        <v>3106</v>
      </c>
      <c r="Q26" t="s">
        <v>964</v>
      </c>
    </row>
    <row r="27" spans="1:17" x14ac:dyDescent="0.35">
      <c r="A27" t="s">
        <v>710</v>
      </c>
      <c r="B27" t="s">
        <v>754</v>
      </c>
      <c r="C27" t="s">
        <v>150</v>
      </c>
      <c r="D27" t="s">
        <v>1204</v>
      </c>
      <c r="F27" t="s">
        <v>11</v>
      </c>
      <c r="G27" t="s">
        <v>98</v>
      </c>
      <c r="H27" s="17" t="s">
        <v>2506</v>
      </c>
      <c r="I27" t="s">
        <v>3157</v>
      </c>
      <c r="J27" t="s">
        <v>147</v>
      </c>
      <c r="N27" s="17" t="s">
        <v>2522</v>
      </c>
      <c r="Q27" t="s">
        <v>2068</v>
      </c>
    </row>
    <row r="28" spans="1:17" ht="72.5" x14ac:dyDescent="0.35">
      <c r="B28" t="s">
        <v>719</v>
      </c>
      <c r="C28" t="s">
        <v>194</v>
      </c>
      <c r="D28" t="s">
        <v>1419</v>
      </c>
      <c r="E28" t="s">
        <v>2211</v>
      </c>
      <c r="F28" t="s">
        <v>11</v>
      </c>
      <c r="G28" t="s">
        <v>44</v>
      </c>
      <c r="H28" s="17" t="s">
        <v>3150</v>
      </c>
      <c r="I28" t="s">
        <v>3159</v>
      </c>
      <c r="J28" t="s">
        <v>189</v>
      </c>
      <c r="K28" t="s">
        <v>2514</v>
      </c>
      <c r="L28" t="s">
        <v>3039</v>
      </c>
      <c r="M28" t="s">
        <v>3040</v>
      </c>
      <c r="N28" s="17" t="s">
        <v>3117</v>
      </c>
      <c r="O28" t="s">
        <v>3106</v>
      </c>
      <c r="Q28" t="s">
        <v>1476</v>
      </c>
    </row>
    <row r="29" spans="1:17" x14ac:dyDescent="0.35">
      <c r="B29" t="s">
        <v>135</v>
      </c>
      <c r="C29" t="s">
        <v>136</v>
      </c>
      <c r="D29" t="s">
        <v>1395</v>
      </c>
      <c r="F29" t="s">
        <v>11</v>
      </c>
      <c r="G29" t="s">
        <v>19</v>
      </c>
      <c r="H29" s="17" t="s">
        <v>2506</v>
      </c>
      <c r="I29" t="s">
        <v>3157</v>
      </c>
      <c r="J29" t="s">
        <v>137</v>
      </c>
      <c r="N29" s="17" t="s">
        <v>2517</v>
      </c>
      <c r="O29" t="s">
        <v>3106</v>
      </c>
      <c r="P29" t="s">
        <v>720</v>
      </c>
      <c r="Q29" t="s">
        <v>1459</v>
      </c>
    </row>
    <row r="30" spans="1:17" ht="43.5" x14ac:dyDescent="0.35">
      <c r="B30" t="s">
        <v>14</v>
      </c>
      <c r="C30" t="s">
        <v>66</v>
      </c>
      <c r="D30" t="s">
        <v>1124</v>
      </c>
      <c r="F30" t="s">
        <v>11</v>
      </c>
      <c r="G30" t="s">
        <v>13</v>
      </c>
      <c r="H30" s="17" t="s">
        <v>3120</v>
      </c>
      <c r="I30" t="s">
        <v>3158</v>
      </c>
      <c r="J30" t="s">
        <v>64</v>
      </c>
      <c r="N30" s="17" t="s">
        <v>2503</v>
      </c>
      <c r="O30" t="s">
        <v>3106</v>
      </c>
      <c r="Q30" t="s">
        <v>1509</v>
      </c>
    </row>
    <row r="31" spans="1:17" ht="29" x14ac:dyDescent="0.35">
      <c r="A31" t="s">
        <v>710</v>
      </c>
      <c r="B31" t="s">
        <v>27</v>
      </c>
      <c r="C31" t="s">
        <v>28</v>
      </c>
      <c r="D31" t="s">
        <v>1166</v>
      </c>
      <c r="F31" t="s">
        <v>11</v>
      </c>
      <c r="G31" t="s">
        <v>23</v>
      </c>
      <c r="H31" s="17" t="s">
        <v>3124</v>
      </c>
      <c r="I31" t="s">
        <v>3160</v>
      </c>
      <c r="J31" t="s">
        <v>16</v>
      </c>
      <c r="K31" t="s">
        <v>3036</v>
      </c>
      <c r="L31" t="s">
        <v>3037</v>
      </c>
      <c r="M31" t="s">
        <v>3038</v>
      </c>
      <c r="N31" s="17" t="s">
        <v>2521</v>
      </c>
      <c r="O31" t="s">
        <v>3106</v>
      </c>
      <c r="Q31" t="s">
        <v>823</v>
      </c>
    </row>
    <row r="32" spans="1:17" ht="43.5" x14ac:dyDescent="0.35">
      <c r="B32" t="s">
        <v>101</v>
      </c>
      <c r="C32" t="s">
        <v>126</v>
      </c>
      <c r="D32" t="s">
        <v>1400</v>
      </c>
      <c r="F32" t="s">
        <v>11</v>
      </c>
      <c r="G32" t="s">
        <v>34</v>
      </c>
      <c r="H32" s="17" t="s">
        <v>2506</v>
      </c>
      <c r="I32" t="s">
        <v>3157</v>
      </c>
      <c r="J32" t="s">
        <v>127</v>
      </c>
      <c r="N32" s="17" t="s">
        <v>2516</v>
      </c>
      <c r="O32" t="s">
        <v>3106</v>
      </c>
      <c r="P32" t="s">
        <v>1669</v>
      </c>
      <c r="Q32" t="s">
        <v>1471</v>
      </c>
    </row>
    <row r="33" spans="1:17" ht="29" x14ac:dyDescent="0.35">
      <c r="B33" t="s">
        <v>39</v>
      </c>
      <c r="C33" t="s">
        <v>42</v>
      </c>
      <c r="D33" t="s">
        <v>1319</v>
      </c>
      <c r="E33" t="s">
        <v>1754</v>
      </c>
      <c r="F33" t="s">
        <v>11</v>
      </c>
      <c r="G33" t="s">
        <v>13</v>
      </c>
      <c r="H33" s="17" t="s">
        <v>2506</v>
      </c>
      <c r="I33" t="s">
        <v>3157</v>
      </c>
      <c r="J33" t="s">
        <v>16</v>
      </c>
      <c r="N33" s="17" t="s">
        <v>2536</v>
      </c>
      <c r="O33" t="s">
        <v>3106</v>
      </c>
      <c r="Q33" t="s">
        <v>1032</v>
      </c>
    </row>
    <row r="34" spans="1:17" ht="29" x14ac:dyDescent="0.35">
      <c r="B34" t="s">
        <v>39</v>
      </c>
      <c r="C34" t="s">
        <v>43</v>
      </c>
      <c r="D34" t="s">
        <v>1317</v>
      </c>
      <c r="E34" t="s">
        <v>1754</v>
      </c>
      <c r="F34" t="s">
        <v>11</v>
      </c>
      <c r="G34" t="s">
        <v>34</v>
      </c>
      <c r="H34" s="17" t="s">
        <v>3140</v>
      </c>
      <c r="I34" t="s">
        <v>3165</v>
      </c>
      <c r="J34" t="s">
        <v>16</v>
      </c>
      <c r="N34" s="17" t="s">
        <v>2518</v>
      </c>
      <c r="O34" t="s">
        <v>3106</v>
      </c>
      <c r="Q34" t="s">
        <v>2152</v>
      </c>
    </row>
    <row r="35" spans="1:17" ht="29" x14ac:dyDescent="0.35">
      <c r="B35" t="s">
        <v>736</v>
      </c>
      <c r="C35" t="s">
        <v>25</v>
      </c>
      <c r="D35" t="s">
        <v>1136</v>
      </c>
      <c r="F35" t="s">
        <v>11</v>
      </c>
      <c r="G35" t="s">
        <v>13</v>
      </c>
      <c r="H35" s="17" t="s">
        <v>3122</v>
      </c>
      <c r="I35" t="s">
        <v>3160</v>
      </c>
      <c r="J35" t="s">
        <v>16</v>
      </c>
      <c r="N35" t="s">
        <v>2518</v>
      </c>
      <c r="O35" t="s">
        <v>3106</v>
      </c>
      <c r="Q35" t="s">
        <v>1520</v>
      </c>
    </row>
    <row r="36" spans="1:17" ht="29" x14ac:dyDescent="0.35">
      <c r="A36" t="s">
        <v>710</v>
      </c>
      <c r="B36" t="s">
        <v>8</v>
      </c>
      <c r="C36" t="s">
        <v>9</v>
      </c>
      <c r="D36" t="s">
        <v>1264</v>
      </c>
      <c r="F36" t="s">
        <v>11</v>
      </c>
      <c r="G36" t="s">
        <v>23</v>
      </c>
      <c r="H36" s="17" t="s">
        <v>2509</v>
      </c>
      <c r="I36" t="s">
        <v>3162</v>
      </c>
      <c r="J36" t="s">
        <v>12</v>
      </c>
      <c r="K36" t="s">
        <v>3044</v>
      </c>
      <c r="L36" t="s">
        <v>3033</v>
      </c>
      <c r="M36" t="s">
        <v>3045</v>
      </c>
      <c r="N36" s="17" t="s">
        <v>2510</v>
      </c>
      <c r="O36" t="s">
        <v>3106</v>
      </c>
      <c r="Q36" t="s">
        <v>957</v>
      </c>
    </row>
    <row r="37" spans="1:17" x14ac:dyDescent="0.35">
      <c r="B37" t="s">
        <v>208</v>
      </c>
      <c r="C37" t="s">
        <v>706</v>
      </c>
      <c r="E37" t="s">
        <v>2061</v>
      </c>
      <c r="F37" t="s">
        <v>11</v>
      </c>
      <c r="G37" t="s">
        <v>13</v>
      </c>
      <c r="H37" s="17" t="s">
        <v>1657</v>
      </c>
      <c r="J37" t="s">
        <v>210</v>
      </c>
      <c r="N37" s="11" t="s">
        <v>1654</v>
      </c>
      <c r="Q37" t="s">
        <v>829</v>
      </c>
    </row>
    <row r="38" spans="1:17" x14ac:dyDescent="0.35">
      <c r="B38" t="s">
        <v>142</v>
      </c>
      <c r="C38" t="s">
        <v>143</v>
      </c>
      <c r="D38" t="s">
        <v>1249</v>
      </c>
      <c r="F38" t="s">
        <v>11</v>
      </c>
      <c r="G38" t="s">
        <v>44</v>
      </c>
      <c r="H38" s="17" t="s">
        <v>2511</v>
      </c>
      <c r="I38" t="s">
        <v>3160</v>
      </c>
      <c r="J38" t="s">
        <v>144</v>
      </c>
      <c r="K38" t="s">
        <v>3041</v>
      </c>
      <c r="L38" t="s">
        <v>3042</v>
      </c>
      <c r="M38" t="s">
        <v>3046</v>
      </c>
      <c r="N38" s="17" t="s">
        <v>2512</v>
      </c>
      <c r="O38" t="s">
        <v>3106</v>
      </c>
      <c r="Q38" t="s">
        <v>950</v>
      </c>
    </row>
    <row r="39" spans="1:17" ht="43.5" x14ac:dyDescent="0.35">
      <c r="B39" t="s">
        <v>730</v>
      </c>
      <c r="C39" t="s">
        <v>60</v>
      </c>
      <c r="D39" t="s">
        <v>1437</v>
      </c>
      <c r="F39" t="s">
        <v>11</v>
      </c>
      <c r="G39" t="s">
        <v>19</v>
      </c>
      <c r="H39" s="17" t="s">
        <v>3155</v>
      </c>
      <c r="I39" t="s">
        <v>3160</v>
      </c>
      <c r="J39" t="s">
        <v>16</v>
      </c>
      <c r="N39" s="17" t="s">
        <v>2552</v>
      </c>
      <c r="O39" t="s">
        <v>3106</v>
      </c>
      <c r="Q39" t="s">
        <v>1112</v>
      </c>
    </row>
    <row r="40" spans="1:17" ht="43.5" x14ac:dyDescent="0.35">
      <c r="B40" t="s">
        <v>859</v>
      </c>
      <c r="C40" t="s">
        <v>203</v>
      </c>
      <c r="D40" t="s">
        <v>1277</v>
      </c>
      <c r="F40" t="s">
        <v>11</v>
      </c>
      <c r="G40" t="s">
        <v>23</v>
      </c>
      <c r="H40" s="17" t="s">
        <v>3134</v>
      </c>
      <c r="I40" t="s">
        <v>3158</v>
      </c>
      <c r="J40" t="s">
        <v>204</v>
      </c>
      <c r="N40" s="17" t="s">
        <v>2544</v>
      </c>
      <c r="O40" t="s">
        <v>3106</v>
      </c>
      <c r="Q40" t="s">
        <v>986</v>
      </c>
    </row>
    <row r="41" spans="1:17" ht="29" x14ac:dyDescent="0.35">
      <c r="B41" t="s">
        <v>718</v>
      </c>
      <c r="C41" t="s">
        <v>170</v>
      </c>
      <c r="D41" t="s">
        <v>1353</v>
      </c>
      <c r="E41" t="s">
        <v>2171</v>
      </c>
      <c r="F41" t="s">
        <v>11</v>
      </c>
      <c r="G41" t="s">
        <v>34</v>
      </c>
      <c r="H41" s="17" t="s">
        <v>2506</v>
      </c>
      <c r="I41" t="s">
        <v>3157</v>
      </c>
      <c r="J41" t="s">
        <v>171</v>
      </c>
      <c r="N41" s="17" t="s">
        <v>2544</v>
      </c>
      <c r="P41" s="11" t="s">
        <v>1658</v>
      </c>
      <c r="Q41" t="s">
        <v>1046</v>
      </c>
    </row>
    <row r="42" spans="1:17" ht="43.5" x14ac:dyDescent="0.35">
      <c r="B42" t="s">
        <v>30</v>
      </c>
      <c r="C42" t="s">
        <v>31</v>
      </c>
      <c r="D42" t="s">
        <v>1210</v>
      </c>
      <c r="F42" t="s">
        <v>11</v>
      </c>
      <c r="G42" t="s">
        <v>13</v>
      </c>
      <c r="H42" s="17" t="s">
        <v>3126</v>
      </c>
      <c r="I42" t="s">
        <v>3160</v>
      </c>
      <c r="J42" t="s">
        <v>16</v>
      </c>
      <c r="N42" s="17" t="s">
        <v>2524</v>
      </c>
      <c r="O42" t="s">
        <v>3106</v>
      </c>
      <c r="Q42" t="s">
        <v>929</v>
      </c>
    </row>
    <row r="43" spans="1:17" ht="58" x14ac:dyDescent="0.35">
      <c r="A43" t="s">
        <v>710</v>
      </c>
      <c r="B43" t="s">
        <v>14</v>
      </c>
      <c r="C43" t="s">
        <v>91</v>
      </c>
      <c r="D43" t="s">
        <v>1126</v>
      </c>
      <c r="F43" t="s">
        <v>11</v>
      </c>
      <c r="G43" t="s">
        <v>23</v>
      </c>
      <c r="H43" s="17" t="s">
        <v>1671</v>
      </c>
      <c r="J43" t="s">
        <v>92</v>
      </c>
      <c r="N43" t="s">
        <v>1670</v>
      </c>
      <c r="Q43" t="s">
        <v>1513</v>
      </c>
    </row>
    <row r="44" spans="1:17" ht="43.5" x14ac:dyDescent="0.35">
      <c r="A44" t="s">
        <v>710</v>
      </c>
      <c r="B44" t="s">
        <v>14</v>
      </c>
      <c r="C44" t="s">
        <v>67</v>
      </c>
      <c r="D44" t="s">
        <v>1128</v>
      </c>
      <c r="F44" t="s">
        <v>11</v>
      </c>
      <c r="G44" t="s">
        <v>21</v>
      </c>
      <c r="H44" s="17" t="s">
        <v>3121</v>
      </c>
      <c r="I44" t="s">
        <v>3159</v>
      </c>
      <c r="J44" t="s">
        <v>64</v>
      </c>
      <c r="N44" s="17" t="s">
        <v>2502</v>
      </c>
      <c r="O44" t="s">
        <v>3106</v>
      </c>
      <c r="Q44" t="s">
        <v>3195</v>
      </c>
    </row>
    <row r="45" spans="1:17" ht="43.5" x14ac:dyDescent="0.35">
      <c r="B45" t="s">
        <v>784</v>
      </c>
      <c r="C45" t="s">
        <v>69</v>
      </c>
      <c r="D45" t="s">
        <v>1159</v>
      </c>
      <c r="F45" t="s">
        <v>11</v>
      </c>
      <c r="G45" t="s">
        <v>19</v>
      </c>
      <c r="H45" s="17" t="s">
        <v>2506</v>
      </c>
      <c r="I45" t="s">
        <v>3157</v>
      </c>
      <c r="J45" t="s">
        <v>64</v>
      </c>
      <c r="N45" s="17" t="s">
        <v>2520</v>
      </c>
      <c r="O45" t="s">
        <v>3106</v>
      </c>
      <c r="Q45" t="s">
        <v>819</v>
      </c>
    </row>
    <row r="46" spans="1:17" x14ac:dyDescent="0.35">
      <c r="B46" t="s">
        <v>159</v>
      </c>
      <c r="C46" t="s">
        <v>160</v>
      </c>
      <c r="D46" t="s">
        <v>1165</v>
      </c>
      <c r="F46" t="s">
        <v>11</v>
      </c>
      <c r="G46" t="s">
        <v>34</v>
      </c>
      <c r="H46" s="17" t="s">
        <v>2506</v>
      </c>
      <c r="I46" t="s">
        <v>3157</v>
      </c>
      <c r="J46" t="s">
        <v>157</v>
      </c>
      <c r="N46" s="17" t="s">
        <v>2507</v>
      </c>
      <c r="O46" t="s">
        <v>3107</v>
      </c>
      <c r="Q46" t="s">
        <v>819</v>
      </c>
    </row>
    <row r="47" spans="1:17" ht="29" x14ac:dyDescent="0.35">
      <c r="B47" t="s">
        <v>887</v>
      </c>
      <c r="C47" t="s">
        <v>214</v>
      </c>
      <c r="D47" t="s">
        <v>1336</v>
      </c>
      <c r="F47" t="s">
        <v>11</v>
      </c>
      <c r="G47" t="s">
        <v>21</v>
      </c>
      <c r="H47" s="17" t="s">
        <v>2540</v>
      </c>
      <c r="J47" t="s">
        <v>210</v>
      </c>
      <c r="N47" s="17" t="s">
        <v>2541</v>
      </c>
      <c r="O47" t="s">
        <v>3106</v>
      </c>
      <c r="Q47" t="s">
        <v>2152</v>
      </c>
    </row>
    <row r="48" spans="1:17" ht="43.5" x14ac:dyDescent="0.35">
      <c r="A48" t="s">
        <v>710</v>
      </c>
      <c r="B48" t="s">
        <v>725</v>
      </c>
      <c r="C48" t="s">
        <v>139</v>
      </c>
      <c r="D48" t="s">
        <v>1285</v>
      </c>
      <c r="F48" t="s">
        <v>11</v>
      </c>
      <c r="G48" t="s">
        <v>44</v>
      </c>
      <c r="H48" s="17" t="s">
        <v>3135</v>
      </c>
      <c r="J48" t="s">
        <v>141</v>
      </c>
      <c r="K48" t="s">
        <v>2514</v>
      </c>
      <c r="L48" t="s">
        <v>3039</v>
      </c>
      <c r="M48" t="s">
        <v>3040</v>
      </c>
      <c r="N48" s="17" t="s">
        <v>2528</v>
      </c>
      <c r="O48" t="s">
        <v>3106</v>
      </c>
      <c r="Q48" t="s">
        <v>996</v>
      </c>
    </row>
    <row r="49" spans="1:17" ht="29" x14ac:dyDescent="0.35">
      <c r="B49" t="s">
        <v>14</v>
      </c>
      <c r="C49" t="s">
        <v>2035</v>
      </c>
      <c r="E49" t="s">
        <v>1753</v>
      </c>
      <c r="F49" t="s">
        <v>11</v>
      </c>
      <c r="G49" t="s">
        <v>19</v>
      </c>
      <c r="H49" s="17" t="s">
        <v>1660</v>
      </c>
      <c r="J49" t="s">
        <v>16</v>
      </c>
      <c r="K49" t="s">
        <v>3036</v>
      </c>
      <c r="L49" t="s">
        <v>3037</v>
      </c>
      <c r="M49" t="s">
        <v>3038</v>
      </c>
      <c r="N49" t="s">
        <v>1659</v>
      </c>
      <c r="O49" t="s">
        <v>3106</v>
      </c>
      <c r="Q49" t="s">
        <v>1500</v>
      </c>
    </row>
    <row r="50" spans="1:17" ht="58" x14ac:dyDescent="0.35">
      <c r="A50" t="s">
        <v>710</v>
      </c>
      <c r="B50" t="s">
        <v>14</v>
      </c>
      <c r="C50" t="s">
        <v>22</v>
      </c>
      <c r="D50" t="s">
        <v>1129</v>
      </c>
      <c r="F50" t="s">
        <v>11</v>
      </c>
      <c r="G50" t="s">
        <v>13</v>
      </c>
      <c r="H50" s="17" t="s">
        <v>1666</v>
      </c>
      <c r="J50" t="s">
        <v>16</v>
      </c>
      <c r="N50" t="s">
        <v>1665</v>
      </c>
      <c r="Q50" t="s">
        <v>1504</v>
      </c>
    </row>
    <row r="51" spans="1:17" ht="29" x14ac:dyDescent="0.35">
      <c r="B51" t="s">
        <v>406</v>
      </c>
      <c r="C51" t="s">
        <v>131</v>
      </c>
      <c r="D51" t="s">
        <v>1222</v>
      </c>
      <c r="F51" t="s">
        <v>11</v>
      </c>
      <c r="G51" t="s">
        <v>21</v>
      </c>
      <c r="H51" s="17" t="s">
        <v>3128</v>
      </c>
      <c r="I51" t="s">
        <v>3159</v>
      </c>
      <c r="J51" t="s">
        <v>130</v>
      </c>
      <c r="N51" s="17" t="s">
        <v>2512</v>
      </c>
      <c r="O51" t="s">
        <v>3106</v>
      </c>
      <c r="Q51" t="s">
        <v>941</v>
      </c>
    </row>
    <row r="52" spans="1:17" x14ac:dyDescent="0.35">
      <c r="B52" t="s">
        <v>133</v>
      </c>
      <c r="C52" t="s">
        <v>134</v>
      </c>
      <c r="D52" t="s">
        <v>1308</v>
      </c>
      <c r="F52" t="s">
        <v>11</v>
      </c>
      <c r="G52" t="s">
        <v>23</v>
      </c>
      <c r="H52" s="17" t="s">
        <v>2532</v>
      </c>
      <c r="J52" t="s">
        <v>130</v>
      </c>
      <c r="N52" t="s">
        <v>2517</v>
      </c>
      <c r="O52" t="s">
        <v>3106</v>
      </c>
      <c r="Q52" t="s">
        <v>1015</v>
      </c>
    </row>
    <row r="53" spans="1:17" ht="29" x14ac:dyDescent="0.35">
      <c r="B53" t="s">
        <v>730</v>
      </c>
      <c r="C53" t="s">
        <v>61</v>
      </c>
      <c r="D53" t="s">
        <v>1438</v>
      </c>
      <c r="F53" t="s">
        <v>11</v>
      </c>
      <c r="G53" t="s">
        <v>34</v>
      </c>
      <c r="H53" s="17" t="s">
        <v>2506</v>
      </c>
      <c r="I53" t="s">
        <v>3157</v>
      </c>
      <c r="J53" t="s">
        <v>16</v>
      </c>
      <c r="N53" s="17" t="s">
        <v>2534</v>
      </c>
      <c r="O53" t="s">
        <v>3106</v>
      </c>
      <c r="Q53" t="s">
        <v>1490</v>
      </c>
    </row>
    <row r="54" spans="1:17" x14ac:dyDescent="0.35">
      <c r="B54" t="s">
        <v>155</v>
      </c>
      <c r="C54" t="s">
        <v>158</v>
      </c>
      <c r="D54" t="s">
        <v>1152</v>
      </c>
      <c r="E54" t="s">
        <v>2930</v>
      </c>
      <c r="F54" t="s">
        <v>11</v>
      </c>
      <c r="G54" t="s">
        <v>19</v>
      </c>
      <c r="H54" s="17" t="s">
        <v>2506</v>
      </c>
      <c r="I54" t="s">
        <v>3157</v>
      </c>
      <c r="J54" t="s">
        <v>157</v>
      </c>
      <c r="N54" s="17" t="s">
        <v>2507</v>
      </c>
      <c r="O54" t="s">
        <v>3107</v>
      </c>
      <c r="Q54" t="s">
        <v>815</v>
      </c>
    </row>
    <row r="55" spans="1:17" ht="29" x14ac:dyDescent="0.35">
      <c r="A55" t="s">
        <v>710</v>
      </c>
      <c r="B55" t="s">
        <v>54</v>
      </c>
      <c r="C55" t="s">
        <v>55</v>
      </c>
      <c r="D55" t="s">
        <v>1379</v>
      </c>
      <c r="F55" t="s">
        <v>11</v>
      </c>
      <c r="G55" t="s">
        <v>19</v>
      </c>
      <c r="H55" s="17" t="s">
        <v>2506</v>
      </c>
      <c r="I55" t="s">
        <v>3157</v>
      </c>
      <c r="J55" t="s">
        <v>16</v>
      </c>
      <c r="N55" s="17" t="s">
        <v>2534</v>
      </c>
      <c r="O55" t="s">
        <v>3106</v>
      </c>
      <c r="P55" s="11" t="s">
        <v>1656</v>
      </c>
      <c r="Q55" t="s">
        <v>3196</v>
      </c>
    </row>
    <row r="56" spans="1:17" ht="43.5" x14ac:dyDescent="0.35">
      <c r="B56" t="s">
        <v>793</v>
      </c>
      <c r="C56" t="s">
        <v>129</v>
      </c>
      <c r="D56" t="s">
        <v>1190</v>
      </c>
      <c r="F56" t="s">
        <v>11</v>
      </c>
      <c r="G56" t="s">
        <v>19</v>
      </c>
      <c r="H56" s="17" t="s">
        <v>2506</v>
      </c>
      <c r="I56" t="s">
        <v>3157</v>
      </c>
      <c r="J56" t="s">
        <v>130</v>
      </c>
      <c r="N56" s="17" t="s">
        <v>2516</v>
      </c>
      <c r="O56" t="s">
        <v>3106</v>
      </c>
      <c r="Q56" t="s">
        <v>835</v>
      </c>
    </row>
    <row r="57" spans="1:17" ht="29" x14ac:dyDescent="0.35">
      <c r="A57" t="s">
        <v>710</v>
      </c>
      <c r="B57" t="s">
        <v>82</v>
      </c>
      <c r="C57" t="s">
        <v>83</v>
      </c>
      <c r="D57" t="s">
        <v>1278</v>
      </c>
      <c r="F57" t="s">
        <v>11</v>
      </c>
      <c r="G57" t="s">
        <v>19</v>
      </c>
      <c r="H57" s="17" t="s">
        <v>2506</v>
      </c>
      <c r="I57" t="s">
        <v>3157</v>
      </c>
      <c r="J57" t="s">
        <v>84</v>
      </c>
      <c r="N57" s="17" t="s">
        <v>3116</v>
      </c>
      <c r="O57" t="s">
        <v>3106</v>
      </c>
      <c r="P57" t="s">
        <v>1664</v>
      </c>
      <c r="Q57" t="s">
        <v>989</v>
      </c>
    </row>
    <row r="58" spans="1:17" ht="43.5" x14ac:dyDescent="0.35">
      <c r="B58" t="s">
        <v>39</v>
      </c>
      <c r="C58" t="s">
        <v>78</v>
      </c>
      <c r="D58" t="s">
        <v>1321</v>
      </c>
      <c r="F58" t="s">
        <v>11</v>
      </c>
      <c r="G58" t="s">
        <v>21</v>
      </c>
      <c r="H58" s="17" t="s">
        <v>3141</v>
      </c>
      <c r="I58" t="s">
        <v>3160</v>
      </c>
      <c r="J58" t="s">
        <v>64</v>
      </c>
      <c r="K58" t="s">
        <v>3036</v>
      </c>
      <c r="L58" t="s">
        <v>3037</v>
      </c>
      <c r="M58" t="s">
        <v>3038</v>
      </c>
      <c r="N58" s="17" t="s">
        <v>2538</v>
      </c>
      <c r="O58" t="s">
        <v>3106</v>
      </c>
      <c r="Q58" t="s">
        <v>1037</v>
      </c>
    </row>
    <row r="59" spans="1:17" ht="29" x14ac:dyDescent="0.35">
      <c r="B59" t="s">
        <v>228</v>
      </c>
      <c r="C59" t="s">
        <v>229</v>
      </c>
      <c r="D59" t="s">
        <v>1410</v>
      </c>
      <c r="F59" t="s">
        <v>11</v>
      </c>
      <c r="G59" t="s">
        <v>44</v>
      </c>
      <c r="H59" s="17" t="s">
        <v>3149</v>
      </c>
      <c r="I59" t="s">
        <v>3159</v>
      </c>
      <c r="J59" t="s">
        <v>230</v>
      </c>
      <c r="N59" s="17" t="s">
        <v>2512</v>
      </c>
      <c r="O59" t="s">
        <v>3106</v>
      </c>
      <c r="P59" s="8"/>
      <c r="Q59" t="s">
        <v>1107</v>
      </c>
    </row>
    <row r="60" spans="1:17" x14ac:dyDescent="0.35">
      <c r="A60" t="s">
        <v>710</v>
      </c>
      <c r="B60" t="s">
        <v>755</v>
      </c>
      <c r="C60" t="s">
        <v>85</v>
      </c>
      <c r="D60" t="s">
        <v>1315</v>
      </c>
      <c r="F60" t="s">
        <v>11</v>
      </c>
      <c r="G60" t="s">
        <v>23</v>
      </c>
      <c r="H60" s="17" t="s">
        <v>1692</v>
      </c>
      <c r="I60" t="s">
        <v>3163</v>
      </c>
      <c r="J60" t="s">
        <v>84</v>
      </c>
      <c r="N60" t="s">
        <v>1693</v>
      </c>
      <c r="O60" t="s">
        <v>3106</v>
      </c>
      <c r="Q60" t="s">
        <v>1020</v>
      </c>
    </row>
    <row r="61" spans="1:17" ht="29" x14ac:dyDescent="0.35">
      <c r="B61" t="s">
        <v>175</v>
      </c>
      <c r="C61" t="s">
        <v>176</v>
      </c>
      <c r="D61" t="s">
        <v>1299</v>
      </c>
      <c r="F61" t="s">
        <v>11</v>
      </c>
      <c r="G61" t="s">
        <v>13</v>
      </c>
      <c r="H61" s="17" t="s">
        <v>2529</v>
      </c>
      <c r="J61" t="s">
        <v>177</v>
      </c>
      <c r="N61" s="17" t="s">
        <v>2530</v>
      </c>
      <c r="Q61" t="s">
        <v>1000</v>
      </c>
    </row>
    <row r="62" spans="1:17" x14ac:dyDescent="0.35">
      <c r="B62" t="s">
        <v>896</v>
      </c>
      <c r="C62" t="s">
        <v>173</v>
      </c>
      <c r="D62" t="s">
        <v>1366</v>
      </c>
      <c r="F62" t="s">
        <v>11</v>
      </c>
      <c r="G62" t="s">
        <v>17</v>
      </c>
      <c r="H62" s="17" t="s">
        <v>2506</v>
      </c>
      <c r="I62" t="s">
        <v>3157</v>
      </c>
      <c r="J62" t="s">
        <v>174</v>
      </c>
      <c r="N62" s="17" t="s">
        <v>2545</v>
      </c>
      <c r="O62" t="s">
        <v>3107</v>
      </c>
      <c r="Q62" t="s">
        <v>1080</v>
      </c>
    </row>
    <row r="63" spans="1:17" ht="29" x14ac:dyDescent="0.35">
      <c r="B63" t="s">
        <v>753</v>
      </c>
      <c r="C63" t="s">
        <v>198</v>
      </c>
      <c r="D63" t="s">
        <v>1188</v>
      </c>
      <c r="F63" t="s">
        <v>11</v>
      </c>
      <c r="G63" t="s">
        <v>23</v>
      </c>
      <c r="H63" s="17" t="s">
        <v>3120</v>
      </c>
      <c r="I63" t="s">
        <v>3158</v>
      </c>
      <c r="J63" t="s">
        <v>199</v>
      </c>
      <c r="N63" s="17" t="s">
        <v>2514</v>
      </c>
      <c r="Q63" t="s">
        <v>835</v>
      </c>
    </row>
    <row r="64" spans="1:17" ht="29" x14ac:dyDescent="0.35">
      <c r="B64" t="s">
        <v>35</v>
      </c>
      <c r="C64" t="s">
        <v>36</v>
      </c>
      <c r="D64" t="s">
        <v>1301</v>
      </c>
      <c r="F64" t="s">
        <v>11</v>
      </c>
      <c r="G64" t="s">
        <v>19</v>
      </c>
      <c r="H64" s="17" t="s">
        <v>2506</v>
      </c>
      <c r="I64" t="s">
        <v>3157</v>
      </c>
      <c r="J64" t="s">
        <v>16</v>
      </c>
      <c r="N64" s="17" t="s">
        <v>2524</v>
      </c>
      <c r="O64" t="s">
        <v>3106</v>
      </c>
      <c r="Q64" t="s">
        <v>1006</v>
      </c>
    </row>
    <row r="65" spans="1:17" ht="43.5" x14ac:dyDescent="0.35">
      <c r="B65" t="s">
        <v>39</v>
      </c>
      <c r="C65" t="s">
        <v>45</v>
      </c>
      <c r="D65" t="s">
        <v>1318</v>
      </c>
      <c r="F65" t="s">
        <v>11</v>
      </c>
      <c r="G65" t="s">
        <v>44</v>
      </c>
      <c r="H65" s="17" t="s">
        <v>3142</v>
      </c>
      <c r="I65" t="s">
        <v>3166</v>
      </c>
      <c r="J65" t="s">
        <v>16</v>
      </c>
      <c r="K65" t="s">
        <v>3044</v>
      </c>
      <c r="L65" t="s">
        <v>3033</v>
      </c>
      <c r="M65" t="s">
        <v>3045</v>
      </c>
      <c r="N65" s="17" t="s">
        <v>2539</v>
      </c>
      <c r="O65" t="s">
        <v>3106</v>
      </c>
      <c r="Q65" t="s">
        <v>1023</v>
      </c>
    </row>
    <row r="66" spans="1:17" ht="29" x14ac:dyDescent="0.35">
      <c r="B66" t="s">
        <v>142</v>
      </c>
      <c r="C66" t="s">
        <v>200</v>
      </c>
      <c r="D66" t="s">
        <v>1245</v>
      </c>
      <c r="F66" t="s">
        <v>11</v>
      </c>
      <c r="G66" t="s">
        <v>21</v>
      </c>
      <c r="H66" s="17" t="s">
        <v>3130</v>
      </c>
      <c r="I66" t="s">
        <v>3159</v>
      </c>
      <c r="J66" t="s">
        <v>201</v>
      </c>
      <c r="K66" t="s">
        <v>2514</v>
      </c>
      <c r="L66" t="s">
        <v>3047</v>
      </c>
      <c r="M66" t="s">
        <v>3048</v>
      </c>
      <c r="N66" s="17" t="s">
        <v>2513</v>
      </c>
      <c r="O66" t="s">
        <v>3106</v>
      </c>
      <c r="Q66" t="s">
        <v>964</v>
      </c>
    </row>
    <row r="67" spans="1:17" ht="43.5" x14ac:dyDescent="0.35">
      <c r="A67" t="s">
        <v>710</v>
      </c>
      <c r="B67" t="s">
        <v>755</v>
      </c>
      <c r="C67" t="s">
        <v>76</v>
      </c>
      <c r="D67" t="s">
        <v>1314</v>
      </c>
      <c r="F67" t="s">
        <v>11</v>
      </c>
      <c r="G67" t="s">
        <v>13</v>
      </c>
      <c r="H67" s="17" t="s">
        <v>3137</v>
      </c>
      <c r="I67" t="s">
        <v>3158</v>
      </c>
      <c r="J67" t="s">
        <v>64</v>
      </c>
      <c r="N67" t="s">
        <v>1694</v>
      </c>
      <c r="O67" t="s">
        <v>3106</v>
      </c>
      <c r="Q67" t="s">
        <v>1024</v>
      </c>
    </row>
    <row r="68" spans="1:17" x14ac:dyDescent="0.35">
      <c r="B68" t="s">
        <v>39</v>
      </c>
      <c r="C68" t="s">
        <v>86</v>
      </c>
      <c r="D68" t="s">
        <v>1322</v>
      </c>
      <c r="F68" t="s">
        <v>11</v>
      </c>
      <c r="G68" t="s">
        <v>19</v>
      </c>
      <c r="H68" s="17" t="s">
        <v>2506</v>
      </c>
      <c r="I68" t="s">
        <v>3157</v>
      </c>
      <c r="J68" t="s">
        <v>84</v>
      </c>
      <c r="N68" s="17" t="s">
        <v>2517</v>
      </c>
      <c r="O68" t="s">
        <v>3106</v>
      </c>
      <c r="P68" t="s">
        <v>1661</v>
      </c>
      <c r="Q68" t="s">
        <v>1037</v>
      </c>
    </row>
    <row r="69" spans="1:17" ht="43.5" x14ac:dyDescent="0.35">
      <c r="B69" t="s">
        <v>798</v>
      </c>
      <c r="C69" t="s">
        <v>71</v>
      </c>
      <c r="D69" t="s">
        <v>1215</v>
      </c>
      <c r="F69" t="s">
        <v>11</v>
      </c>
      <c r="G69" t="s">
        <v>13</v>
      </c>
      <c r="H69" s="17" t="s">
        <v>3127</v>
      </c>
      <c r="I69" t="s">
        <v>3160</v>
      </c>
      <c r="J69" t="s">
        <v>64</v>
      </c>
      <c r="N69" s="17" t="s">
        <v>2525</v>
      </c>
      <c r="O69" t="s">
        <v>3106</v>
      </c>
      <c r="Q69" t="s">
        <v>933</v>
      </c>
    </row>
    <row r="70" spans="1:17" ht="29" x14ac:dyDescent="0.35">
      <c r="B70" t="s">
        <v>153</v>
      </c>
      <c r="C70" t="s">
        <v>154</v>
      </c>
      <c r="D70" t="s">
        <v>1382</v>
      </c>
      <c r="F70" t="s">
        <v>11</v>
      </c>
      <c r="G70" t="s">
        <v>23</v>
      </c>
      <c r="H70" s="17" t="s">
        <v>3148</v>
      </c>
      <c r="I70" t="s">
        <v>3157</v>
      </c>
      <c r="J70" t="s">
        <v>147</v>
      </c>
      <c r="N70" s="17" t="s">
        <v>2522</v>
      </c>
      <c r="Q70" t="s">
        <v>1095</v>
      </c>
    </row>
    <row r="71" spans="1:17" x14ac:dyDescent="0.35">
      <c r="B71" t="s">
        <v>165</v>
      </c>
      <c r="C71" t="s">
        <v>166</v>
      </c>
      <c r="D71" t="s">
        <v>1392</v>
      </c>
      <c r="F71" t="s">
        <v>11</v>
      </c>
      <c r="G71" t="s">
        <v>19</v>
      </c>
      <c r="H71" s="17" t="s">
        <v>2506</v>
      </c>
      <c r="I71" t="s">
        <v>3157</v>
      </c>
      <c r="J71" t="s">
        <v>157</v>
      </c>
      <c r="N71" s="17" t="s">
        <v>2507</v>
      </c>
      <c r="O71" t="s">
        <v>3107</v>
      </c>
      <c r="Q71" t="s">
        <v>1450</v>
      </c>
    </row>
    <row r="72" spans="1:17" ht="29" x14ac:dyDescent="0.35">
      <c r="B72" t="s">
        <v>902</v>
      </c>
      <c r="C72" t="s">
        <v>1951</v>
      </c>
      <c r="E72" t="s">
        <v>1950</v>
      </c>
      <c r="F72" t="s">
        <v>11</v>
      </c>
      <c r="G72" t="s">
        <v>21</v>
      </c>
      <c r="H72" s="17" t="s">
        <v>3147</v>
      </c>
      <c r="I72" t="s">
        <v>3160</v>
      </c>
      <c r="J72" t="s">
        <v>16</v>
      </c>
      <c r="N72" s="17" t="s">
        <v>2534</v>
      </c>
      <c r="O72" t="s">
        <v>3106</v>
      </c>
      <c r="Q72" t="s">
        <v>1088</v>
      </c>
    </row>
    <row r="73" spans="1:17" ht="29" x14ac:dyDescent="0.35">
      <c r="B73" t="s">
        <v>774</v>
      </c>
      <c r="C73" t="s">
        <v>63</v>
      </c>
      <c r="D73" t="s">
        <v>1122</v>
      </c>
      <c r="F73" t="s">
        <v>11</v>
      </c>
      <c r="G73" t="s">
        <v>21</v>
      </c>
      <c r="H73" s="17" t="s">
        <v>3119</v>
      </c>
      <c r="I73" t="s">
        <v>3156</v>
      </c>
      <c r="J73" t="s">
        <v>64</v>
      </c>
      <c r="N73" s="33" t="s">
        <v>2512</v>
      </c>
      <c r="O73" t="s">
        <v>3106</v>
      </c>
      <c r="Q73" t="s">
        <v>2033</v>
      </c>
    </row>
    <row r="74" spans="1:17" ht="115.25" customHeight="1" x14ac:dyDescent="0.35">
      <c r="A74" t="s">
        <v>710</v>
      </c>
      <c r="B74" t="s">
        <v>717</v>
      </c>
      <c r="C74" t="s">
        <v>1782</v>
      </c>
      <c r="E74" t="s">
        <v>1854</v>
      </c>
      <c r="F74" t="s">
        <v>11</v>
      </c>
      <c r="G74" t="s">
        <v>23</v>
      </c>
      <c r="H74" s="17" t="s">
        <v>3132</v>
      </c>
      <c r="J74" t="s">
        <v>90</v>
      </c>
      <c r="N74" t="s">
        <v>1800</v>
      </c>
      <c r="O74" t="s">
        <v>3106</v>
      </c>
      <c r="Q74" t="s">
        <v>984</v>
      </c>
    </row>
    <row r="75" spans="1:17" ht="43.5" x14ac:dyDescent="0.35">
      <c r="B75" t="s">
        <v>142</v>
      </c>
      <c r="C75" t="s">
        <v>188</v>
      </c>
      <c r="D75" t="s">
        <v>1248</v>
      </c>
      <c r="E75" t="s">
        <v>2933</v>
      </c>
      <c r="F75" t="s">
        <v>11</v>
      </c>
      <c r="G75" t="s">
        <v>21</v>
      </c>
      <c r="H75" s="17" t="s">
        <v>3129</v>
      </c>
      <c r="I75" t="s">
        <v>3159</v>
      </c>
      <c r="J75" t="s">
        <v>189</v>
      </c>
      <c r="K75" t="s">
        <v>3044</v>
      </c>
      <c r="L75" t="s">
        <v>3049</v>
      </c>
      <c r="M75" t="s">
        <v>3050</v>
      </c>
      <c r="N75" s="17" t="s">
        <v>3118</v>
      </c>
      <c r="O75" t="s">
        <v>3108</v>
      </c>
      <c r="Q75" t="s">
        <v>964</v>
      </c>
    </row>
    <row r="76" spans="1:17" ht="72.5" x14ac:dyDescent="0.35">
      <c r="B76" t="s">
        <v>719</v>
      </c>
      <c r="C76" t="s">
        <v>2210</v>
      </c>
      <c r="E76" t="s">
        <v>2211</v>
      </c>
      <c r="F76" t="s">
        <v>11</v>
      </c>
      <c r="G76" t="s">
        <v>23</v>
      </c>
      <c r="H76" s="17" t="s">
        <v>3150</v>
      </c>
      <c r="I76" t="s">
        <v>3159</v>
      </c>
      <c r="J76" t="s">
        <v>189</v>
      </c>
      <c r="K76" t="s">
        <v>2514</v>
      </c>
      <c r="L76" t="s">
        <v>3039</v>
      </c>
      <c r="M76" t="s">
        <v>3040</v>
      </c>
      <c r="N76" s="17" t="s">
        <v>2515</v>
      </c>
      <c r="O76" t="s">
        <v>3106</v>
      </c>
      <c r="Q76" t="s">
        <v>1476</v>
      </c>
    </row>
    <row r="77" spans="1:17" ht="115.25" customHeight="1" x14ac:dyDescent="0.35">
      <c r="B77" t="s">
        <v>900</v>
      </c>
      <c r="C77" t="s">
        <v>50</v>
      </c>
      <c r="D77" t="s">
        <v>1372</v>
      </c>
      <c r="F77" t="s">
        <v>11</v>
      </c>
      <c r="G77" t="s">
        <v>13</v>
      </c>
      <c r="H77" s="17" t="s">
        <v>3145</v>
      </c>
      <c r="I77" t="s">
        <v>3160</v>
      </c>
      <c r="J77" t="s">
        <v>16</v>
      </c>
      <c r="N77" s="17" t="s">
        <v>2546</v>
      </c>
      <c r="O77" s="17" t="s">
        <v>3106</v>
      </c>
      <c r="Q77" t="s">
        <v>1080</v>
      </c>
    </row>
    <row r="78" spans="1:17" ht="43.25" customHeight="1" x14ac:dyDescent="0.35">
      <c r="B78" t="s">
        <v>901</v>
      </c>
      <c r="C78" t="s">
        <v>120</v>
      </c>
      <c r="D78" t="s">
        <v>1373</v>
      </c>
      <c r="F78" t="s">
        <v>11</v>
      </c>
      <c r="G78" t="s">
        <v>122</v>
      </c>
      <c r="H78" s="17" t="s">
        <v>3146</v>
      </c>
      <c r="I78" t="s">
        <v>3167</v>
      </c>
      <c r="J78" t="s">
        <v>121</v>
      </c>
      <c r="N78" s="17" t="s">
        <v>2545</v>
      </c>
      <c r="O78" t="s">
        <v>3107</v>
      </c>
      <c r="Q78" t="s">
        <v>1083</v>
      </c>
    </row>
    <row r="79" spans="1:17" ht="57.65" customHeight="1" x14ac:dyDescent="0.35">
      <c r="B79" t="s">
        <v>719</v>
      </c>
      <c r="C79" t="s">
        <v>179</v>
      </c>
      <c r="D79" t="s">
        <v>1425</v>
      </c>
      <c r="F79" t="s">
        <v>11</v>
      </c>
      <c r="G79" t="s">
        <v>292</v>
      </c>
      <c r="H79" s="17" t="s">
        <v>3151</v>
      </c>
      <c r="I79" t="s">
        <v>3159</v>
      </c>
      <c r="J79" t="s">
        <v>180</v>
      </c>
      <c r="K79" t="s">
        <v>2514</v>
      </c>
      <c r="L79" t="s">
        <v>3047</v>
      </c>
      <c r="M79" t="s">
        <v>3048</v>
      </c>
      <c r="N79" s="17" t="s">
        <v>2548</v>
      </c>
      <c r="O79" t="s">
        <v>3106</v>
      </c>
      <c r="Q79" t="s">
        <v>1483</v>
      </c>
    </row>
    <row r="80" spans="1:17" ht="43.5" x14ac:dyDescent="0.35">
      <c r="A80" t="s">
        <v>710</v>
      </c>
      <c r="B80" t="s">
        <v>756</v>
      </c>
      <c r="C80" t="s">
        <v>48</v>
      </c>
      <c r="D80" t="s">
        <v>1340</v>
      </c>
      <c r="E80" t="s">
        <v>1755</v>
      </c>
      <c r="F80" t="s">
        <v>11</v>
      </c>
      <c r="G80" t="s">
        <v>44</v>
      </c>
      <c r="H80" s="17" t="s">
        <v>3143</v>
      </c>
      <c r="I80" t="s">
        <v>3160</v>
      </c>
      <c r="J80" t="s">
        <v>16</v>
      </c>
      <c r="K80" t="s">
        <v>3036</v>
      </c>
      <c r="L80" t="s">
        <v>3037</v>
      </c>
      <c r="M80" t="s">
        <v>3038</v>
      </c>
      <c r="N80" s="17" t="s">
        <v>2543</v>
      </c>
      <c r="O80" t="s">
        <v>3106</v>
      </c>
      <c r="Q80" t="s">
        <v>1043</v>
      </c>
    </row>
    <row r="81" spans="1:17" ht="43.5" x14ac:dyDescent="0.35">
      <c r="B81" t="s">
        <v>719</v>
      </c>
      <c r="C81" t="s">
        <v>186</v>
      </c>
      <c r="D81" t="s">
        <v>1424</v>
      </c>
      <c r="E81" t="s">
        <v>2211</v>
      </c>
      <c r="F81" t="s">
        <v>11</v>
      </c>
      <c r="G81" t="s">
        <v>274</v>
      </c>
      <c r="H81" s="17" t="s">
        <v>3152</v>
      </c>
      <c r="I81" t="s">
        <v>3159</v>
      </c>
      <c r="J81" t="s">
        <v>187</v>
      </c>
      <c r="K81" t="s">
        <v>2514</v>
      </c>
      <c r="L81" t="s">
        <v>3039</v>
      </c>
      <c r="M81" t="s">
        <v>3040</v>
      </c>
      <c r="N81" s="17" t="s">
        <v>2514</v>
      </c>
      <c r="O81" t="s">
        <v>3106</v>
      </c>
      <c r="P81" t="s">
        <v>1803</v>
      </c>
      <c r="Q81" t="s">
        <v>1479</v>
      </c>
    </row>
    <row r="82" spans="1:17" x14ac:dyDescent="0.35">
      <c r="B82" t="s">
        <v>719</v>
      </c>
      <c r="C82" t="s">
        <v>182</v>
      </c>
      <c r="D82" t="s">
        <v>1428</v>
      </c>
      <c r="F82" t="s">
        <v>11</v>
      </c>
      <c r="G82" t="s">
        <v>274</v>
      </c>
      <c r="H82" s="17" t="s">
        <v>3153</v>
      </c>
      <c r="I82" t="s">
        <v>3162</v>
      </c>
      <c r="J82" t="s">
        <v>183</v>
      </c>
      <c r="K82" t="s">
        <v>2514</v>
      </c>
      <c r="L82" t="s">
        <v>3051</v>
      </c>
      <c r="M82" t="s">
        <v>3052</v>
      </c>
      <c r="N82" s="17" t="s">
        <v>2514</v>
      </c>
      <c r="O82" t="s">
        <v>3106</v>
      </c>
      <c r="Q82" t="s">
        <v>1107</v>
      </c>
    </row>
    <row r="83" spans="1:17" ht="58" x14ac:dyDescent="0.35">
      <c r="A83" t="s">
        <v>710</v>
      </c>
      <c r="B83" t="s">
        <v>73</v>
      </c>
      <c r="C83" t="s">
        <v>74</v>
      </c>
      <c r="D83" t="s">
        <v>1276</v>
      </c>
      <c r="F83" t="s">
        <v>11</v>
      </c>
      <c r="G83" t="s">
        <v>13</v>
      </c>
      <c r="H83" s="17" t="s">
        <v>3133</v>
      </c>
      <c r="I83" t="s">
        <v>3158</v>
      </c>
      <c r="J83" t="s">
        <v>64</v>
      </c>
      <c r="K83" t="s">
        <v>3041</v>
      </c>
      <c r="L83" t="s">
        <v>3042</v>
      </c>
      <c r="M83" t="s">
        <v>3043</v>
      </c>
      <c r="N83" s="17" t="s">
        <v>2527</v>
      </c>
      <c r="O83" t="s">
        <v>3106</v>
      </c>
      <c r="Q83" t="s">
        <v>986</v>
      </c>
    </row>
    <row r="84" spans="1:17" ht="29" x14ac:dyDescent="0.35">
      <c r="B84" t="s">
        <v>736</v>
      </c>
      <c r="C84" t="s">
        <v>26</v>
      </c>
      <c r="D84" t="s">
        <v>1135</v>
      </c>
      <c r="F84" t="s">
        <v>11</v>
      </c>
      <c r="G84" t="s">
        <v>13</v>
      </c>
      <c r="H84" s="17" t="s">
        <v>3123</v>
      </c>
      <c r="I84" t="s">
        <v>3160</v>
      </c>
      <c r="J84" t="s">
        <v>16</v>
      </c>
      <c r="N84" s="17" t="s">
        <v>2519</v>
      </c>
      <c r="O84" s="17"/>
      <c r="Q84" t="s">
        <v>1521</v>
      </c>
    </row>
    <row r="85" spans="1:17" x14ac:dyDescent="0.35">
      <c r="Q85" t="s">
        <v>1489</v>
      </c>
    </row>
  </sheetData>
  <autoFilter ref="A1:Q85" xr:uid="{981D282F-07FD-45CA-8F4C-BA15C5A5D841}">
    <sortState xmlns:xlrd2="http://schemas.microsoft.com/office/spreadsheetml/2017/richdata2" ref="A2:Q85">
      <sortCondition ref="C1:C85"/>
    </sortState>
  </autoFilter>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C49F6-0B9C-4617-A21C-6A093F3467BC}">
  <sheetPr filterMode="1"/>
  <dimension ref="A1:T214"/>
  <sheetViews>
    <sheetView tabSelected="1" topLeftCell="K1" zoomScaleNormal="100" workbookViewId="0">
      <selection activeCell="M35" sqref="M35"/>
    </sheetView>
  </sheetViews>
  <sheetFormatPr baseColWidth="10" defaultColWidth="8.7265625" defaultRowHeight="14.5" x14ac:dyDescent="0.35"/>
  <cols>
    <col min="1" max="1" width="6.90625" bestFit="1" customWidth="1"/>
    <col min="2" max="2" width="12.54296875" bestFit="1" customWidth="1"/>
    <col min="3" max="3" width="12.08984375" bestFit="1" customWidth="1"/>
    <col min="4" max="4" width="58.90625" bestFit="1" customWidth="1"/>
    <col min="5" max="5" width="37.08984375" bestFit="1" customWidth="1"/>
    <col min="6" max="6" width="18" bestFit="1" customWidth="1"/>
    <col min="7" max="7" width="17.453125" bestFit="1" customWidth="1"/>
    <col min="8" max="8" width="13.6328125" bestFit="1" customWidth="1"/>
    <col min="9" max="9" width="22.36328125" bestFit="1" customWidth="1"/>
    <col min="10" max="10" width="35.36328125" bestFit="1" customWidth="1"/>
    <col min="11" max="11" width="86.6328125" bestFit="1" customWidth="1"/>
    <col min="12" max="12" width="18.1796875" bestFit="1" customWidth="1"/>
    <col min="13" max="13" width="47.90625" bestFit="1" customWidth="1"/>
    <col min="14" max="14" width="44.81640625" bestFit="1" customWidth="1"/>
    <col min="15" max="15" width="16.36328125" bestFit="1" customWidth="1"/>
    <col min="16" max="16" width="16.36328125" customWidth="1"/>
    <col min="17" max="17" width="9.453125" bestFit="1" customWidth="1"/>
    <col min="18" max="18" width="13.54296875" style="31" bestFit="1" customWidth="1"/>
    <col min="19" max="19" width="255.6328125" bestFit="1" customWidth="1"/>
    <col min="20" max="20" width="151.90625" bestFit="1" customWidth="1"/>
  </cols>
  <sheetData>
    <row r="1" spans="1:20" x14ac:dyDescent="0.35">
      <c r="A1" s="6" t="s">
        <v>1538</v>
      </c>
      <c r="B1" s="6" t="s">
        <v>1539</v>
      </c>
      <c r="C1" s="6" t="s">
        <v>2922</v>
      </c>
      <c r="D1" s="7" t="s">
        <v>0</v>
      </c>
      <c r="E1" s="6" t="s">
        <v>1653</v>
      </c>
      <c r="F1" s="6" t="s">
        <v>2</v>
      </c>
      <c r="G1" s="6" t="s">
        <v>2030</v>
      </c>
      <c r="H1" s="6" t="s">
        <v>2028</v>
      </c>
      <c r="I1" s="6" t="s">
        <v>4</v>
      </c>
      <c r="J1" s="6" t="s">
        <v>6</v>
      </c>
      <c r="K1" s="6" t="s">
        <v>1781</v>
      </c>
      <c r="L1" s="6" t="s">
        <v>1540</v>
      </c>
      <c r="M1" s="6" t="s">
        <v>2504</v>
      </c>
      <c r="N1" s="6" t="s">
        <v>1541</v>
      </c>
      <c r="O1" s="6" t="s">
        <v>2916</v>
      </c>
      <c r="P1" s="6" t="s">
        <v>3029</v>
      </c>
      <c r="Q1" s="6" t="s">
        <v>1542</v>
      </c>
      <c r="R1" s="41" t="s">
        <v>2505</v>
      </c>
      <c r="S1" s="6" t="s">
        <v>7</v>
      </c>
      <c r="T1" s="6" t="s">
        <v>1543</v>
      </c>
    </row>
    <row r="2" spans="1:20" hidden="1" x14ac:dyDescent="0.35">
      <c r="A2">
        <v>2023</v>
      </c>
      <c r="B2" t="s">
        <v>772</v>
      </c>
      <c r="C2" t="s">
        <v>2923</v>
      </c>
      <c r="D2" t="s">
        <v>718</v>
      </c>
      <c r="E2" t="s">
        <v>247</v>
      </c>
      <c r="F2" t="s">
        <v>1350</v>
      </c>
      <c r="G2" t="s">
        <v>2169</v>
      </c>
      <c r="H2" t="s">
        <v>2167</v>
      </c>
      <c r="I2" t="s">
        <v>233</v>
      </c>
      <c r="J2" t="s">
        <v>249</v>
      </c>
      <c r="K2" t="s">
        <v>248</v>
      </c>
      <c r="L2" t="s">
        <v>376</v>
      </c>
      <c r="M2" t="s">
        <v>3017</v>
      </c>
      <c r="N2" t="s">
        <v>2295</v>
      </c>
      <c r="O2" t="s">
        <v>2917</v>
      </c>
      <c r="P2" t="s">
        <v>3030</v>
      </c>
      <c r="Q2" t="s">
        <v>1546</v>
      </c>
      <c r="R2" s="31">
        <v>473000</v>
      </c>
      <c r="T2" s="2" t="s">
        <v>2934</v>
      </c>
    </row>
    <row r="3" spans="1:20" hidden="1" x14ac:dyDescent="0.35">
      <c r="A3">
        <v>2023</v>
      </c>
      <c r="B3" t="s">
        <v>772</v>
      </c>
      <c r="C3" t="s">
        <v>2923</v>
      </c>
      <c r="D3" t="s">
        <v>718</v>
      </c>
      <c r="E3" t="s">
        <v>247</v>
      </c>
      <c r="F3" t="s">
        <v>1350</v>
      </c>
      <c r="G3" t="s">
        <v>2169</v>
      </c>
      <c r="H3" t="s">
        <v>2167</v>
      </c>
      <c r="I3" t="s">
        <v>233</v>
      </c>
      <c r="J3" t="s">
        <v>249</v>
      </c>
      <c r="K3" t="s">
        <v>248</v>
      </c>
      <c r="L3" t="s">
        <v>376</v>
      </c>
      <c r="M3" t="s">
        <v>3017</v>
      </c>
      <c r="N3" t="s">
        <v>2295</v>
      </c>
      <c r="O3" t="s">
        <v>2918</v>
      </c>
      <c r="P3" t="s">
        <v>3030</v>
      </c>
      <c r="Q3" t="s">
        <v>1566</v>
      </c>
      <c r="R3" s="31">
        <v>484</v>
      </c>
      <c r="T3" t="s">
        <v>2290</v>
      </c>
    </row>
    <row r="4" spans="1:20" hidden="1" x14ac:dyDescent="0.35">
      <c r="A4">
        <v>2023</v>
      </c>
      <c r="B4" t="s">
        <v>772</v>
      </c>
      <c r="C4" t="s">
        <v>2923</v>
      </c>
      <c r="D4" t="s">
        <v>718</v>
      </c>
      <c r="E4" t="s">
        <v>251</v>
      </c>
      <c r="F4" t="s">
        <v>1352</v>
      </c>
      <c r="G4" t="s">
        <v>2169</v>
      </c>
      <c r="H4" t="s">
        <v>2167</v>
      </c>
      <c r="I4" t="s">
        <v>233</v>
      </c>
      <c r="J4" t="s">
        <v>249</v>
      </c>
      <c r="K4" t="s">
        <v>252</v>
      </c>
      <c r="L4" t="s">
        <v>376</v>
      </c>
      <c r="M4" t="s">
        <v>3017</v>
      </c>
      <c r="N4" t="s">
        <v>2295</v>
      </c>
      <c r="O4" t="s">
        <v>2917</v>
      </c>
      <c r="P4" t="s">
        <v>3030</v>
      </c>
      <c r="Q4" t="s">
        <v>1546</v>
      </c>
      <c r="R4" s="31">
        <v>620000</v>
      </c>
      <c r="T4" s="2" t="s">
        <v>2934</v>
      </c>
    </row>
    <row r="5" spans="1:20" hidden="1" x14ac:dyDescent="0.35">
      <c r="A5">
        <v>2023</v>
      </c>
      <c r="B5" t="s">
        <v>772</v>
      </c>
      <c r="C5" t="s">
        <v>2923</v>
      </c>
      <c r="D5" t="s">
        <v>718</v>
      </c>
      <c r="E5" t="s">
        <v>251</v>
      </c>
      <c r="F5" t="s">
        <v>1352</v>
      </c>
      <c r="G5" t="s">
        <v>2169</v>
      </c>
      <c r="H5" t="s">
        <v>2167</v>
      </c>
      <c r="I5" t="s">
        <v>233</v>
      </c>
      <c r="J5" t="s">
        <v>249</v>
      </c>
      <c r="K5" t="s">
        <v>252</v>
      </c>
      <c r="L5" t="s">
        <v>376</v>
      </c>
      <c r="M5" t="s">
        <v>3017</v>
      </c>
      <c r="N5" t="s">
        <v>2295</v>
      </c>
      <c r="O5" t="s">
        <v>2918</v>
      </c>
      <c r="P5" t="s">
        <v>3030</v>
      </c>
      <c r="Q5" t="s">
        <v>1566</v>
      </c>
      <c r="R5" s="31">
        <v>634</v>
      </c>
      <c r="T5" t="s">
        <v>2290</v>
      </c>
    </row>
    <row r="6" spans="1:20" hidden="1" x14ac:dyDescent="0.35">
      <c r="A6">
        <v>2024</v>
      </c>
      <c r="B6" t="s">
        <v>772</v>
      </c>
      <c r="C6" t="s">
        <v>2923</v>
      </c>
      <c r="D6" t="s">
        <v>155</v>
      </c>
      <c r="E6" t="s">
        <v>257</v>
      </c>
      <c r="F6" t="s">
        <v>1158</v>
      </c>
      <c r="H6" t="s">
        <v>2048</v>
      </c>
      <c r="I6" t="s">
        <v>233</v>
      </c>
      <c r="J6" t="s">
        <v>258</v>
      </c>
      <c r="K6" t="s">
        <v>244</v>
      </c>
      <c r="L6" t="s">
        <v>244</v>
      </c>
      <c r="M6" t="s">
        <v>3018</v>
      </c>
      <c r="N6" t="s">
        <v>2417</v>
      </c>
      <c r="O6" t="s">
        <v>2918</v>
      </c>
      <c r="P6" t="s">
        <v>3030</v>
      </c>
      <c r="Q6" t="s">
        <v>1641</v>
      </c>
      <c r="R6" s="31">
        <v>3.1</v>
      </c>
      <c r="S6" t="s">
        <v>2421</v>
      </c>
      <c r="T6" t="s">
        <v>2418</v>
      </c>
    </row>
    <row r="7" spans="1:20" hidden="1" x14ac:dyDescent="0.35">
      <c r="A7">
        <v>2023</v>
      </c>
      <c r="B7" t="s">
        <v>772</v>
      </c>
      <c r="C7" t="s">
        <v>2923</v>
      </c>
      <c r="D7" t="s">
        <v>718</v>
      </c>
      <c r="E7" t="s">
        <v>259</v>
      </c>
      <c r="F7" t="s">
        <v>1349</v>
      </c>
      <c r="G7" t="s">
        <v>2169</v>
      </c>
      <c r="H7" t="s">
        <v>2167</v>
      </c>
      <c r="I7" t="s">
        <v>233</v>
      </c>
      <c r="J7" t="s">
        <v>249</v>
      </c>
      <c r="K7" t="s">
        <v>260</v>
      </c>
      <c r="L7" t="s">
        <v>376</v>
      </c>
      <c r="M7" t="s">
        <v>3017</v>
      </c>
      <c r="N7" t="s">
        <v>2295</v>
      </c>
      <c r="O7" t="s">
        <v>2917</v>
      </c>
      <c r="P7" t="s">
        <v>3030</v>
      </c>
      <c r="Q7" t="s">
        <v>1546</v>
      </c>
      <c r="R7" s="31">
        <v>234000</v>
      </c>
      <c r="T7" t="s">
        <v>2290</v>
      </c>
    </row>
    <row r="8" spans="1:20" hidden="1" x14ac:dyDescent="0.35">
      <c r="A8">
        <v>2023</v>
      </c>
      <c r="B8" t="s">
        <v>772</v>
      </c>
      <c r="C8" t="s">
        <v>2923</v>
      </c>
      <c r="D8" t="s">
        <v>718</v>
      </c>
      <c r="E8" t="s">
        <v>259</v>
      </c>
      <c r="F8" t="s">
        <v>1349</v>
      </c>
      <c r="G8" t="s">
        <v>2169</v>
      </c>
      <c r="H8" t="s">
        <v>2167</v>
      </c>
      <c r="I8" t="s">
        <v>233</v>
      </c>
      <c r="J8" t="s">
        <v>249</v>
      </c>
      <c r="K8" t="s">
        <v>260</v>
      </c>
      <c r="L8" t="s">
        <v>376</v>
      </c>
      <c r="M8" t="s">
        <v>3017</v>
      </c>
      <c r="N8" t="s">
        <v>2295</v>
      </c>
      <c r="O8" t="s">
        <v>2918</v>
      </c>
      <c r="P8" t="s">
        <v>3030</v>
      </c>
      <c r="Q8" t="s">
        <v>1566</v>
      </c>
      <c r="R8" s="31">
        <v>172.03945200000001</v>
      </c>
      <c r="T8" t="s">
        <v>2290</v>
      </c>
    </row>
    <row r="9" spans="1:20" hidden="1" x14ac:dyDescent="0.35">
      <c r="A9">
        <v>2023</v>
      </c>
      <c r="B9" t="s">
        <v>772</v>
      </c>
      <c r="C9" t="s">
        <v>2923</v>
      </c>
      <c r="D9" t="s">
        <v>261</v>
      </c>
      <c r="E9" t="s">
        <v>262</v>
      </c>
      <c r="F9" t="s">
        <v>1137</v>
      </c>
      <c r="H9" t="s">
        <v>1956</v>
      </c>
      <c r="I9" t="s">
        <v>233</v>
      </c>
      <c r="J9" t="s">
        <v>249</v>
      </c>
      <c r="K9" t="s">
        <v>376</v>
      </c>
      <c r="L9" t="s">
        <v>376</v>
      </c>
      <c r="M9" t="s">
        <v>3017</v>
      </c>
      <c r="N9" t="s">
        <v>2917</v>
      </c>
      <c r="O9" t="s">
        <v>2917</v>
      </c>
      <c r="P9" t="s">
        <v>3030</v>
      </c>
      <c r="Q9" t="s">
        <v>1546</v>
      </c>
      <c r="R9" s="31">
        <v>312000</v>
      </c>
      <c r="T9" s="2" t="s">
        <v>2934</v>
      </c>
    </row>
    <row r="10" spans="1:20" hidden="1" x14ac:dyDescent="0.35">
      <c r="A10">
        <v>2023</v>
      </c>
      <c r="B10" t="s">
        <v>772</v>
      </c>
      <c r="C10" t="s">
        <v>2923</v>
      </c>
      <c r="D10" t="s">
        <v>267</v>
      </c>
      <c r="E10" t="s">
        <v>268</v>
      </c>
      <c r="F10" t="s">
        <v>1140</v>
      </c>
      <c r="H10" t="s">
        <v>2040</v>
      </c>
      <c r="I10" t="s">
        <v>233</v>
      </c>
      <c r="J10" t="s">
        <v>249</v>
      </c>
      <c r="K10" t="s">
        <v>376</v>
      </c>
      <c r="L10" t="s">
        <v>376</v>
      </c>
      <c r="M10" t="s">
        <v>3017</v>
      </c>
      <c r="N10" t="s">
        <v>2917</v>
      </c>
      <c r="O10" t="s">
        <v>2917</v>
      </c>
      <c r="P10" t="s">
        <v>3030</v>
      </c>
      <c r="Q10" t="s">
        <v>1546</v>
      </c>
      <c r="R10" s="31">
        <v>462000</v>
      </c>
      <c r="T10" s="2" t="s">
        <v>2934</v>
      </c>
    </row>
    <row r="11" spans="1:20" x14ac:dyDescent="0.35">
      <c r="A11">
        <v>2022</v>
      </c>
      <c r="B11" t="s">
        <v>772</v>
      </c>
      <c r="C11" t="s">
        <v>2923</v>
      </c>
      <c r="D11" t="s">
        <v>795</v>
      </c>
      <c r="E11" t="s">
        <v>162</v>
      </c>
      <c r="F11" t="s">
        <v>1192</v>
      </c>
      <c r="H11" t="s">
        <v>2011</v>
      </c>
      <c r="I11" t="s">
        <v>11</v>
      </c>
      <c r="J11" t="s">
        <v>34</v>
      </c>
      <c r="K11" t="s">
        <v>157</v>
      </c>
      <c r="L11" t="s">
        <v>157</v>
      </c>
      <c r="M11" t="s">
        <v>3016</v>
      </c>
      <c r="N11" t="s">
        <v>1552</v>
      </c>
      <c r="O11" t="s">
        <v>2918</v>
      </c>
      <c r="P11" t="s">
        <v>3030</v>
      </c>
      <c r="Q11" t="s">
        <v>2362</v>
      </c>
      <c r="R11" s="31">
        <f>7.9*1000000</f>
        <v>7900000</v>
      </c>
      <c r="S11" t="s">
        <v>3187</v>
      </c>
      <c r="T11" t="s">
        <v>2499</v>
      </c>
    </row>
    <row r="12" spans="1:20" hidden="1" x14ac:dyDescent="0.35">
      <c r="A12">
        <v>2022</v>
      </c>
      <c r="B12" t="s">
        <v>772</v>
      </c>
      <c r="C12" t="s">
        <v>2923</v>
      </c>
      <c r="D12" t="s">
        <v>795</v>
      </c>
      <c r="E12" t="s">
        <v>162</v>
      </c>
      <c r="F12" t="s">
        <v>1192</v>
      </c>
      <c r="H12" t="s">
        <v>2011</v>
      </c>
      <c r="I12" t="s">
        <v>11</v>
      </c>
      <c r="J12" t="s">
        <v>34</v>
      </c>
      <c r="K12" t="s">
        <v>157</v>
      </c>
      <c r="L12" t="s">
        <v>157</v>
      </c>
      <c r="M12" t="s">
        <v>3014</v>
      </c>
      <c r="N12" t="s">
        <v>1594</v>
      </c>
      <c r="O12" t="s">
        <v>2918</v>
      </c>
      <c r="P12" t="s">
        <v>3030</v>
      </c>
      <c r="Q12" t="s">
        <v>2362</v>
      </c>
      <c r="R12" s="31">
        <f>22.3*1000000</f>
        <v>22300000</v>
      </c>
      <c r="S12" t="s">
        <v>3187</v>
      </c>
      <c r="T12" t="s">
        <v>2499</v>
      </c>
    </row>
    <row r="13" spans="1:20" hidden="1" x14ac:dyDescent="0.35">
      <c r="A13">
        <v>2022</v>
      </c>
      <c r="B13" t="s">
        <v>772</v>
      </c>
      <c r="C13" t="s">
        <v>2923</v>
      </c>
      <c r="D13" t="s">
        <v>795</v>
      </c>
      <c r="E13" t="s">
        <v>162</v>
      </c>
      <c r="F13" t="s">
        <v>1192</v>
      </c>
      <c r="H13" t="s">
        <v>2011</v>
      </c>
      <c r="I13" t="s">
        <v>11</v>
      </c>
      <c r="J13" t="s">
        <v>34</v>
      </c>
      <c r="K13" t="s">
        <v>157</v>
      </c>
      <c r="L13" t="s">
        <v>157</v>
      </c>
      <c r="M13" t="s">
        <v>3015</v>
      </c>
      <c r="N13" t="s">
        <v>1545</v>
      </c>
      <c r="O13" t="s">
        <v>2918</v>
      </c>
      <c r="P13" t="s">
        <v>3030</v>
      </c>
      <c r="Q13" t="s">
        <v>2362</v>
      </c>
      <c r="R13" s="31">
        <f>21*1000000</f>
        <v>21000000</v>
      </c>
      <c r="S13" t="s">
        <v>3187</v>
      </c>
      <c r="T13" t="s">
        <v>2499</v>
      </c>
    </row>
    <row r="14" spans="1:20" hidden="1" x14ac:dyDescent="0.35">
      <c r="A14">
        <v>2023</v>
      </c>
      <c r="B14" t="s">
        <v>772</v>
      </c>
      <c r="C14" t="s">
        <v>2923</v>
      </c>
      <c r="D14" t="s">
        <v>39</v>
      </c>
      <c r="E14" t="s">
        <v>77</v>
      </c>
      <c r="F14" t="s">
        <v>1323</v>
      </c>
      <c r="H14" t="s">
        <v>2151</v>
      </c>
      <c r="I14" t="s">
        <v>11</v>
      </c>
      <c r="J14" t="s">
        <v>13</v>
      </c>
      <c r="K14" t="s">
        <v>64</v>
      </c>
      <c r="L14" t="s">
        <v>1776</v>
      </c>
      <c r="M14" t="s">
        <v>3014</v>
      </c>
      <c r="N14" t="s">
        <v>1594</v>
      </c>
      <c r="O14" t="s">
        <v>2918</v>
      </c>
      <c r="P14" t="s">
        <v>3030</v>
      </c>
      <c r="Q14" t="s">
        <v>1566</v>
      </c>
      <c r="R14" s="31">
        <v>167</v>
      </c>
      <c r="T14" t="s">
        <v>1593</v>
      </c>
    </row>
    <row r="15" spans="1:20" hidden="1" x14ac:dyDescent="0.35">
      <c r="A15">
        <v>2023</v>
      </c>
      <c r="B15" t="s">
        <v>772</v>
      </c>
      <c r="C15" t="s">
        <v>2923</v>
      </c>
      <c r="D15" t="s">
        <v>39</v>
      </c>
      <c r="E15" t="s">
        <v>77</v>
      </c>
      <c r="F15" t="s">
        <v>1323</v>
      </c>
      <c r="H15" t="s">
        <v>2151</v>
      </c>
      <c r="I15" t="s">
        <v>11</v>
      </c>
      <c r="J15" t="s">
        <v>13</v>
      </c>
      <c r="K15" t="s">
        <v>64</v>
      </c>
      <c r="L15" t="s">
        <v>1776</v>
      </c>
      <c r="M15" t="s">
        <v>3015</v>
      </c>
      <c r="N15" t="s">
        <v>1545</v>
      </c>
      <c r="O15" t="s">
        <v>2918</v>
      </c>
      <c r="P15" t="s">
        <v>3030</v>
      </c>
      <c r="Q15" t="s">
        <v>1566</v>
      </c>
      <c r="R15" s="31">
        <v>166</v>
      </c>
      <c r="T15" t="s">
        <v>1593</v>
      </c>
    </row>
    <row r="16" spans="1:20" x14ac:dyDescent="0.35">
      <c r="A16">
        <v>2023</v>
      </c>
      <c r="B16" t="s">
        <v>772</v>
      </c>
      <c r="C16" t="s">
        <v>2923</v>
      </c>
      <c r="D16" t="s">
        <v>39</v>
      </c>
      <c r="E16" t="s">
        <v>77</v>
      </c>
      <c r="F16" t="s">
        <v>1323</v>
      </c>
      <c r="H16" t="s">
        <v>2151</v>
      </c>
      <c r="I16" t="s">
        <v>11</v>
      </c>
      <c r="J16" t="s">
        <v>13</v>
      </c>
      <c r="K16" t="s">
        <v>64</v>
      </c>
      <c r="L16" t="s">
        <v>16</v>
      </c>
      <c r="M16" t="s">
        <v>3016</v>
      </c>
      <c r="N16" t="s">
        <v>3228</v>
      </c>
      <c r="O16" t="s">
        <v>2918</v>
      </c>
      <c r="P16" t="s">
        <v>3030</v>
      </c>
      <c r="Q16" t="s">
        <v>1550</v>
      </c>
      <c r="R16" s="31">
        <v>29</v>
      </c>
      <c r="T16" t="s">
        <v>1593</v>
      </c>
    </row>
    <row r="17" spans="1:20" hidden="1" x14ac:dyDescent="0.35">
      <c r="A17">
        <v>2023</v>
      </c>
      <c r="B17" t="s">
        <v>1537</v>
      </c>
      <c r="C17" t="s">
        <v>2923</v>
      </c>
      <c r="D17" t="s">
        <v>715</v>
      </c>
      <c r="E17" t="s">
        <v>283</v>
      </c>
      <c r="F17" t="s">
        <v>1252</v>
      </c>
      <c r="H17" t="s">
        <v>2104</v>
      </c>
      <c r="I17" t="s">
        <v>274</v>
      </c>
      <c r="J17" t="s">
        <v>720</v>
      </c>
      <c r="K17" t="s">
        <v>284</v>
      </c>
      <c r="L17" t="s">
        <v>1615</v>
      </c>
      <c r="M17" t="s">
        <v>3018</v>
      </c>
      <c r="N17" t="s">
        <v>2368</v>
      </c>
      <c r="O17" t="s">
        <v>2918</v>
      </c>
      <c r="P17" t="s">
        <v>3030</v>
      </c>
      <c r="Q17" t="s">
        <v>1566</v>
      </c>
      <c r="R17" s="31">
        <v>244.6</v>
      </c>
      <c r="T17" t="s">
        <v>2455</v>
      </c>
    </row>
    <row r="18" spans="1:20" hidden="1" x14ac:dyDescent="0.35">
      <c r="A18">
        <v>2023</v>
      </c>
      <c r="B18" t="s">
        <v>1537</v>
      </c>
      <c r="C18" t="s">
        <v>2923</v>
      </c>
      <c r="D18" t="s">
        <v>715</v>
      </c>
      <c r="E18" t="s">
        <v>283</v>
      </c>
      <c r="F18" t="s">
        <v>1252</v>
      </c>
      <c r="H18" t="s">
        <v>2104</v>
      </c>
      <c r="I18" t="s">
        <v>274</v>
      </c>
      <c r="J18" t="s">
        <v>720</v>
      </c>
      <c r="K18" t="s">
        <v>284</v>
      </c>
      <c r="L18" t="s">
        <v>1551</v>
      </c>
      <c r="M18" t="s">
        <v>3018</v>
      </c>
      <c r="N18" t="s">
        <v>2368</v>
      </c>
      <c r="O18" t="s">
        <v>2918</v>
      </c>
      <c r="P18" t="s">
        <v>3030</v>
      </c>
      <c r="Q18" t="s">
        <v>1566</v>
      </c>
      <c r="R18" s="31">
        <v>752.6</v>
      </c>
      <c r="T18" t="s">
        <v>2455</v>
      </c>
    </row>
    <row r="19" spans="1:20" hidden="1" x14ac:dyDescent="0.35">
      <c r="A19">
        <v>2023</v>
      </c>
      <c r="B19" t="s">
        <v>772</v>
      </c>
      <c r="C19" t="s">
        <v>2923</v>
      </c>
      <c r="D19" t="s">
        <v>14</v>
      </c>
      <c r="E19" t="s">
        <v>65</v>
      </c>
      <c r="F19" t="s">
        <v>1125</v>
      </c>
      <c r="H19" t="s">
        <v>2034</v>
      </c>
      <c r="I19" t="s">
        <v>11</v>
      </c>
      <c r="J19" t="s">
        <v>13</v>
      </c>
      <c r="K19" t="s">
        <v>64</v>
      </c>
      <c r="L19" t="s">
        <v>1776</v>
      </c>
      <c r="M19" t="s">
        <v>3015</v>
      </c>
      <c r="N19" t="s">
        <v>1545</v>
      </c>
      <c r="O19" t="s">
        <v>2918</v>
      </c>
      <c r="P19" t="s">
        <v>3030</v>
      </c>
      <c r="Q19" t="s">
        <v>1546</v>
      </c>
      <c r="R19" s="31">
        <v>19594928</v>
      </c>
      <c r="T19" t="s">
        <v>1547</v>
      </c>
    </row>
    <row r="20" spans="1:20" x14ac:dyDescent="0.35">
      <c r="A20">
        <v>2023</v>
      </c>
      <c r="B20" t="s">
        <v>772</v>
      </c>
      <c r="C20" t="s">
        <v>2923</v>
      </c>
      <c r="D20" t="s">
        <v>14</v>
      </c>
      <c r="E20" t="s">
        <v>65</v>
      </c>
      <c r="F20" t="s">
        <v>1125</v>
      </c>
      <c r="H20" t="s">
        <v>2034</v>
      </c>
      <c r="I20" t="s">
        <v>11</v>
      </c>
      <c r="J20" t="s">
        <v>13</v>
      </c>
      <c r="K20" t="s">
        <v>64</v>
      </c>
      <c r="L20" t="s">
        <v>16</v>
      </c>
      <c r="M20" t="s">
        <v>3016</v>
      </c>
      <c r="N20" t="s">
        <v>3228</v>
      </c>
      <c r="O20" t="s">
        <v>2918</v>
      </c>
      <c r="P20" t="s">
        <v>3030</v>
      </c>
      <c r="Q20" t="s">
        <v>1548</v>
      </c>
      <c r="R20" s="31">
        <v>684640</v>
      </c>
      <c r="S20" s="21" t="s">
        <v>2940</v>
      </c>
      <c r="T20" t="s">
        <v>1547</v>
      </c>
    </row>
    <row r="21" spans="1:20" x14ac:dyDescent="0.35">
      <c r="A21">
        <v>2023</v>
      </c>
      <c r="B21" t="s">
        <v>772</v>
      </c>
      <c r="C21" t="s">
        <v>2923</v>
      </c>
      <c r="D21" t="s">
        <v>14</v>
      </c>
      <c r="E21" t="s">
        <v>65</v>
      </c>
      <c r="F21" t="s">
        <v>1125</v>
      </c>
      <c r="H21" t="s">
        <v>2034</v>
      </c>
      <c r="I21" t="s">
        <v>11</v>
      </c>
      <c r="J21" t="s">
        <v>13</v>
      </c>
      <c r="K21" t="s">
        <v>64</v>
      </c>
      <c r="L21" t="s">
        <v>1549</v>
      </c>
      <c r="M21" t="s">
        <v>3016</v>
      </c>
      <c r="N21" t="s">
        <v>3228</v>
      </c>
      <c r="O21" t="s">
        <v>2918</v>
      </c>
      <c r="P21" t="s">
        <v>3030</v>
      </c>
      <c r="Q21" t="s">
        <v>1550</v>
      </c>
      <c r="R21" s="31">
        <v>310</v>
      </c>
      <c r="S21" s="21" t="s">
        <v>2940</v>
      </c>
      <c r="T21" t="s">
        <v>1547</v>
      </c>
    </row>
    <row r="22" spans="1:20" x14ac:dyDescent="0.35">
      <c r="A22">
        <v>2023</v>
      </c>
      <c r="B22" t="s">
        <v>772</v>
      </c>
      <c r="C22" t="s">
        <v>2923</v>
      </c>
      <c r="D22" t="s">
        <v>2296</v>
      </c>
      <c r="E22" t="s">
        <v>164</v>
      </c>
      <c r="F22" t="s">
        <v>1282</v>
      </c>
      <c r="H22" t="s">
        <v>2123</v>
      </c>
      <c r="I22" t="s">
        <v>11</v>
      </c>
      <c r="J22" t="s">
        <v>19</v>
      </c>
      <c r="K22" t="s">
        <v>157</v>
      </c>
      <c r="L22" t="s">
        <v>157</v>
      </c>
      <c r="M22" t="s">
        <v>3016</v>
      </c>
      <c r="N22" t="s">
        <v>2917</v>
      </c>
      <c r="O22" t="s">
        <v>2917</v>
      </c>
      <c r="P22" t="s">
        <v>3030</v>
      </c>
      <c r="Q22" t="s">
        <v>1566</v>
      </c>
      <c r="R22" s="31">
        <v>23000</v>
      </c>
      <c r="T22" t="s">
        <v>3184</v>
      </c>
    </row>
    <row r="23" spans="1:20" hidden="1" x14ac:dyDescent="0.35">
      <c r="A23">
        <v>2023</v>
      </c>
      <c r="B23" t="s">
        <v>772</v>
      </c>
      <c r="C23" t="s">
        <v>2923</v>
      </c>
      <c r="D23" t="s">
        <v>2296</v>
      </c>
      <c r="E23" t="s">
        <v>164</v>
      </c>
      <c r="F23" t="s">
        <v>1282</v>
      </c>
      <c r="H23" t="s">
        <v>2123</v>
      </c>
      <c r="I23" t="s">
        <v>11</v>
      </c>
      <c r="J23" t="s">
        <v>19</v>
      </c>
      <c r="K23" t="s">
        <v>157</v>
      </c>
      <c r="L23" t="s">
        <v>157</v>
      </c>
      <c r="M23" t="s">
        <v>3014</v>
      </c>
      <c r="N23" t="s">
        <v>1594</v>
      </c>
      <c r="O23" t="s">
        <v>2918</v>
      </c>
      <c r="P23" t="s">
        <v>3030</v>
      </c>
      <c r="Q23" t="s">
        <v>1566</v>
      </c>
      <c r="R23" s="31">
        <f>16478</f>
        <v>16478</v>
      </c>
      <c r="S23" t="s">
        <v>2936</v>
      </c>
      <c r="T23" t="s">
        <v>2290</v>
      </c>
    </row>
    <row r="24" spans="1:20" x14ac:dyDescent="0.35">
      <c r="A24">
        <v>2023</v>
      </c>
      <c r="B24" t="s">
        <v>772</v>
      </c>
      <c r="C24" t="s">
        <v>2923</v>
      </c>
      <c r="D24" t="s">
        <v>8</v>
      </c>
      <c r="E24" t="s">
        <v>72</v>
      </c>
      <c r="F24" t="s">
        <v>1263</v>
      </c>
      <c r="H24" t="s">
        <v>1902</v>
      </c>
      <c r="I24" t="s">
        <v>11</v>
      </c>
      <c r="J24" t="s">
        <v>21</v>
      </c>
      <c r="K24" t="s">
        <v>130</v>
      </c>
      <c r="L24" t="s">
        <v>16</v>
      </c>
      <c r="M24" t="s">
        <v>3016</v>
      </c>
      <c r="N24" t="s">
        <v>3228</v>
      </c>
      <c r="O24" t="s">
        <v>2918</v>
      </c>
      <c r="P24" t="s">
        <v>3030</v>
      </c>
      <c r="Q24" t="s">
        <v>1550</v>
      </c>
      <c r="R24" s="31">
        <v>86.6</v>
      </c>
      <c r="T24" s="2" t="s">
        <v>973</v>
      </c>
    </row>
    <row r="25" spans="1:20" x14ac:dyDescent="0.35">
      <c r="A25">
        <v>2023</v>
      </c>
      <c r="B25" t="s">
        <v>772</v>
      </c>
      <c r="C25" t="s">
        <v>2923</v>
      </c>
      <c r="D25" t="s">
        <v>8</v>
      </c>
      <c r="E25" t="s">
        <v>72</v>
      </c>
      <c r="F25" t="s">
        <v>1263</v>
      </c>
      <c r="H25" t="s">
        <v>1902</v>
      </c>
      <c r="I25" t="s">
        <v>11</v>
      </c>
      <c r="J25" t="s">
        <v>21</v>
      </c>
      <c r="K25" t="s">
        <v>130</v>
      </c>
      <c r="L25" t="s">
        <v>1549</v>
      </c>
      <c r="M25" t="s">
        <v>3016</v>
      </c>
      <c r="N25" t="s">
        <v>3228</v>
      </c>
      <c r="O25" t="s">
        <v>2918</v>
      </c>
      <c r="P25" t="s">
        <v>3030</v>
      </c>
      <c r="Q25" t="s">
        <v>1550</v>
      </c>
      <c r="R25" s="31">
        <v>24.2</v>
      </c>
      <c r="T25" t="s">
        <v>973</v>
      </c>
    </row>
    <row r="26" spans="1:20" hidden="1" x14ac:dyDescent="0.35">
      <c r="A26">
        <v>2023</v>
      </c>
      <c r="B26" t="s">
        <v>772</v>
      </c>
      <c r="C26" t="s">
        <v>2923</v>
      </c>
      <c r="D26" t="s">
        <v>8</v>
      </c>
      <c r="E26" t="s">
        <v>72</v>
      </c>
      <c r="F26" t="s">
        <v>1263</v>
      </c>
      <c r="H26" t="s">
        <v>1902</v>
      </c>
      <c r="I26" t="s">
        <v>11</v>
      </c>
      <c r="J26" t="s">
        <v>21</v>
      </c>
      <c r="K26" t="s">
        <v>130</v>
      </c>
      <c r="L26" t="s">
        <v>1776</v>
      </c>
      <c r="M26" t="s">
        <v>3015</v>
      </c>
      <c r="N26" t="s">
        <v>3180</v>
      </c>
      <c r="O26" t="s">
        <v>2918</v>
      </c>
      <c r="P26" t="s">
        <v>3030</v>
      </c>
      <c r="Q26" t="s">
        <v>1546</v>
      </c>
      <c r="R26" s="31">
        <f>3730*365</f>
        <v>1361450</v>
      </c>
      <c r="S26" t="s">
        <v>3183</v>
      </c>
      <c r="T26" t="s">
        <v>3182</v>
      </c>
    </row>
    <row r="27" spans="1:20" x14ac:dyDescent="0.35">
      <c r="A27">
        <v>2023</v>
      </c>
      <c r="B27" t="s">
        <v>772</v>
      </c>
      <c r="C27" t="s">
        <v>2923</v>
      </c>
      <c r="D27" t="s">
        <v>208</v>
      </c>
      <c r="E27" t="s">
        <v>209</v>
      </c>
      <c r="F27" t="s">
        <v>1175</v>
      </c>
      <c r="H27" t="s">
        <v>1756</v>
      </c>
      <c r="I27" t="s">
        <v>11</v>
      </c>
      <c r="J27" t="s">
        <v>44</v>
      </c>
      <c r="K27" t="s">
        <v>210</v>
      </c>
      <c r="L27" t="s">
        <v>210</v>
      </c>
      <c r="M27" t="s">
        <v>3016</v>
      </c>
      <c r="N27" t="s">
        <v>1778</v>
      </c>
      <c r="O27" t="s">
        <v>2918</v>
      </c>
      <c r="P27" t="s">
        <v>3030</v>
      </c>
      <c r="Q27" t="s">
        <v>1713</v>
      </c>
      <c r="R27" s="31">
        <v>15.1</v>
      </c>
      <c r="S27" t="s">
        <v>3210</v>
      </c>
      <c r="T27" t="s">
        <v>1880</v>
      </c>
    </row>
    <row r="28" spans="1:20" hidden="1" x14ac:dyDescent="0.35">
      <c r="A28">
        <v>2023</v>
      </c>
      <c r="B28" t="s">
        <v>772</v>
      </c>
      <c r="C28" t="s">
        <v>2923</v>
      </c>
      <c r="D28" t="s">
        <v>208</v>
      </c>
      <c r="E28" t="s">
        <v>209</v>
      </c>
      <c r="F28" t="s">
        <v>1175</v>
      </c>
      <c r="H28" t="s">
        <v>1756</v>
      </c>
      <c r="I28" t="s">
        <v>11</v>
      </c>
      <c r="J28" t="s">
        <v>44</v>
      </c>
      <c r="K28" t="s">
        <v>210</v>
      </c>
      <c r="L28" t="s">
        <v>210</v>
      </c>
      <c r="M28" t="s">
        <v>3015</v>
      </c>
      <c r="N28" t="s">
        <v>1545</v>
      </c>
      <c r="O28" t="s">
        <v>2918</v>
      </c>
      <c r="P28" t="s">
        <v>3197</v>
      </c>
      <c r="Q28" t="s">
        <v>1713</v>
      </c>
      <c r="R28" s="31">
        <f>15.1/(0.1587*0.987)</f>
        <v>96.401294969448458</v>
      </c>
      <c r="S28" t="s">
        <v>3217</v>
      </c>
      <c r="T28" t="s">
        <v>1528</v>
      </c>
    </row>
    <row r="29" spans="1:20" hidden="1" x14ac:dyDescent="0.35">
      <c r="A29">
        <v>2024</v>
      </c>
      <c r="B29" t="s">
        <v>1537</v>
      </c>
      <c r="C29" t="s">
        <v>2923</v>
      </c>
      <c r="D29" t="s">
        <v>155</v>
      </c>
      <c r="E29" t="s">
        <v>2420</v>
      </c>
      <c r="G29" t="s">
        <v>2931</v>
      </c>
      <c r="H29" t="s">
        <v>2048</v>
      </c>
      <c r="I29" t="s">
        <v>233</v>
      </c>
      <c r="J29" t="s">
        <v>255</v>
      </c>
      <c r="K29" t="s">
        <v>244</v>
      </c>
      <c r="L29" t="s">
        <v>244</v>
      </c>
      <c r="M29" t="s">
        <v>3018</v>
      </c>
      <c r="N29" t="s">
        <v>2423</v>
      </c>
      <c r="O29" t="s">
        <v>2918</v>
      </c>
      <c r="P29" t="s">
        <v>3030</v>
      </c>
      <c r="Q29" t="s">
        <v>1641</v>
      </c>
      <c r="R29" s="31">
        <v>1.9</v>
      </c>
      <c r="S29" t="s">
        <v>2422</v>
      </c>
      <c r="T29" t="s">
        <v>2418</v>
      </c>
    </row>
    <row r="30" spans="1:20" x14ac:dyDescent="0.35">
      <c r="A30">
        <v>2023</v>
      </c>
      <c r="B30" t="s">
        <v>772</v>
      </c>
      <c r="C30" t="s">
        <v>2923</v>
      </c>
      <c r="D30" t="s">
        <v>717</v>
      </c>
      <c r="E30" t="s">
        <v>132</v>
      </c>
      <c r="F30" t="s">
        <v>1270</v>
      </c>
      <c r="H30" t="s">
        <v>1853</v>
      </c>
      <c r="I30" t="s">
        <v>11</v>
      </c>
      <c r="J30" t="s">
        <v>21</v>
      </c>
      <c r="K30" t="s">
        <v>130</v>
      </c>
      <c r="L30" t="s">
        <v>125</v>
      </c>
      <c r="M30" t="s">
        <v>3016</v>
      </c>
      <c r="N30" t="s">
        <v>1552</v>
      </c>
      <c r="O30" t="s">
        <v>2918</v>
      </c>
      <c r="P30" t="s">
        <v>3030</v>
      </c>
      <c r="Q30" t="s">
        <v>1546</v>
      </c>
      <c r="R30" s="31">
        <v>82685</v>
      </c>
      <c r="S30" s="17" t="s">
        <v>3002</v>
      </c>
      <c r="T30" t="s">
        <v>1777</v>
      </c>
    </row>
    <row r="31" spans="1:20" x14ac:dyDescent="0.35">
      <c r="A31">
        <v>2023</v>
      </c>
      <c r="B31" t="s">
        <v>772</v>
      </c>
      <c r="C31" t="s">
        <v>2923</v>
      </c>
      <c r="D31" t="s">
        <v>717</v>
      </c>
      <c r="E31" t="s">
        <v>132</v>
      </c>
      <c r="F31" t="s">
        <v>1270</v>
      </c>
      <c r="H31" t="s">
        <v>1853</v>
      </c>
      <c r="I31" t="s">
        <v>11</v>
      </c>
      <c r="J31" t="s">
        <v>21</v>
      </c>
      <c r="K31" t="s">
        <v>130</v>
      </c>
      <c r="L31" t="s">
        <v>125</v>
      </c>
      <c r="M31" t="s">
        <v>3016</v>
      </c>
      <c r="N31" t="s">
        <v>1778</v>
      </c>
      <c r="O31" t="s">
        <v>2918</v>
      </c>
      <c r="P31" t="s">
        <v>3030</v>
      </c>
      <c r="Q31" t="s">
        <v>1546</v>
      </c>
      <c r="R31" s="31">
        <v>19050</v>
      </c>
      <c r="S31" s="17" t="s">
        <v>3002</v>
      </c>
      <c r="T31" t="s">
        <v>1777</v>
      </c>
    </row>
    <row r="32" spans="1:20" x14ac:dyDescent="0.35">
      <c r="A32">
        <v>2023</v>
      </c>
      <c r="B32" t="s">
        <v>772</v>
      </c>
      <c r="C32" t="s">
        <v>2923</v>
      </c>
      <c r="D32" t="s">
        <v>717</v>
      </c>
      <c r="E32" t="s">
        <v>132</v>
      </c>
      <c r="F32" t="s">
        <v>1270</v>
      </c>
      <c r="H32" t="s">
        <v>1853</v>
      </c>
      <c r="I32" t="s">
        <v>11</v>
      </c>
      <c r="J32" t="s">
        <v>21</v>
      </c>
      <c r="K32" t="s">
        <v>130</v>
      </c>
      <c r="L32" t="s">
        <v>16</v>
      </c>
      <c r="M32" t="s">
        <v>3016</v>
      </c>
      <c r="N32" t="s">
        <v>3228</v>
      </c>
      <c r="O32" t="s">
        <v>2918</v>
      </c>
      <c r="P32" t="s">
        <v>3030</v>
      </c>
      <c r="Q32" t="s">
        <v>1548</v>
      </c>
      <c r="R32" s="31">
        <v>8848</v>
      </c>
      <c r="S32" s="17" t="s">
        <v>3002</v>
      </c>
      <c r="T32" t="s">
        <v>1777</v>
      </c>
    </row>
    <row r="33" spans="1:20" hidden="1" x14ac:dyDescent="0.35">
      <c r="A33">
        <v>2023</v>
      </c>
      <c r="B33" t="s">
        <v>772</v>
      </c>
      <c r="C33" t="s">
        <v>2923</v>
      </c>
      <c r="D33" t="s">
        <v>717</v>
      </c>
      <c r="E33" t="s">
        <v>132</v>
      </c>
      <c r="F33" t="s">
        <v>1270</v>
      </c>
      <c r="H33" t="s">
        <v>1853</v>
      </c>
      <c r="I33" t="s">
        <v>11</v>
      </c>
      <c r="J33" t="s">
        <v>21</v>
      </c>
      <c r="K33" t="s">
        <v>130</v>
      </c>
      <c r="L33" t="s">
        <v>1776</v>
      </c>
      <c r="M33" t="s">
        <v>3015</v>
      </c>
      <c r="N33" t="s">
        <v>1734</v>
      </c>
      <c r="O33" t="s">
        <v>2918</v>
      </c>
      <c r="P33" t="s">
        <v>3030</v>
      </c>
      <c r="Q33" t="s">
        <v>1546</v>
      </c>
      <c r="R33" s="31">
        <v>6862152</v>
      </c>
      <c r="S33" s="17" t="s">
        <v>3002</v>
      </c>
      <c r="T33" t="s">
        <v>1777</v>
      </c>
    </row>
    <row r="34" spans="1:20" hidden="1" x14ac:dyDescent="0.35">
      <c r="A34">
        <v>2023</v>
      </c>
      <c r="B34" t="s">
        <v>772</v>
      </c>
      <c r="C34" t="s">
        <v>2923</v>
      </c>
      <c r="D34" t="s">
        <v>717</v>
      </c>
      <c r="E34" t="s">
        <v>132</v>
      </c>
      <c r="F34" t="s">
        <v>1270</v>
      </c>
      <c r="H34" t="s">
        <v>1853</v>
      </c>
      <c r="I34" t="s">
        <v>11</v>
      </c>
      <c r="J34" t="s">
        <v>21</v>
      </c>
      <c r="K34" t="s">
        <v>130</v>
      </c>
      <c r="L34" t="s">
        <v>1776</v>
      </c>
      <c r="M34" t="s">
        <v>3014</v>
      </c>
      <c r="N34" t="s">
        <v>1594</v>
      </c>
      <c r="O34" t="s">
        <v>2918</v>
      </c>
      <c r="P34" t="s">
        <v>3030</v>
      </c>
      <c r="Q34" t="s">
        <v>1546</v>
      </c>
      <c r="R34" s="31">
        <v>6975389</v>
      </c>
      <c r="S34" s="17" t="s">
        <v>3002</v>
      </c>
      <c r="T34" t="s">
        <v>1777</v>
      </c>
    </row>
    <row r="35" spans="1:20" x14ac:dyDescent="0.35">
      <c r="A35">
        <v>2023</v>
      </c>
      <c r="B35" t="s">
        <v>772</v>
      </c>
      <c r="C35" t="s">
        <v>2923</v>
      </c>
      <c r="D35" t="s">
        <v>717</v>
      </c>
      <c r="E35" t="s">
        <v>132</v>
      </c>
      <c r="F35" t="s">
        <v>1270</v>
      </c>
      <c r="H35" t="s">
        <v>1853</v>
      </c>
      <c r="I35" t="s">
        <v>11</v>
      </c>
      <c r="J35" t="s">
        <v>21</v>
      </c>
      <c r="K35" t="s">
        <v>130</v>
      </c>
      <c r="L35" t="s">
        <v>1549</v>
      </c>
      <c r="M35" t="s">
        <v>3016</v>
      </c>
      <c r="N35" t="s">
        <v>3228</v>
      </c>
      <c r="O35" t="s">
        <v>2918</v>
      </c>
      <c r="P35" t="s">
        <v>3030</v>
      </c>
      <c r="Q35" t="s">
        <v>1548</v>
      </c>
      <c r="R35" s="31">
        <v>218282</v>
      </c>
      <c r="S35" s="17" t="s">
        <v>3002</v>
      </c>
      <c r="T35" t="s">
        <v>1777</v>
      </c>
    </row>
    <row r="36" spans="1:20" hidden="1" x14ac:dyDescent="0.35">
      <c r="A36">
        <v>2023</v>
      </c>
      <c r="B36" t="s">
        <v>772</v>
      </c>
      <c r="C36" t="s">
        <v>2923</v>
      </c>
      <c r="D36" t="s">
        <v>261</v>
      </c>
      <c r="E36" t="s">
        <v>293</v>
      </c>
      <c r="F36" t="s">
        <v>1138</v>
      </c>
      <c r="H36" t="s">
        <v>1956</v>
      </c>
      <c r="I36" t="s">
        <v>233</v>
      </c>
      <c r="J36" t="s">
        <v>249</v>
      </c>
      <c r="K36" t="s">
        <v>376</v>
      </c>
      <c r="L36" t="s">
        <v>376</v>
      </c>
      <c r="M36" t="s">
        <v>3017</v>
      </c>
      <c r="N36" t="s">
        <v>2917</v>
      </c>
      <c r="O36" t="s">
        <v>2917</v>
      </c>
      <c r="P36" t="s">
        <v>3030</v>
      </c>
      <c r="Q36" t="s">
        <v>1546</v>
      </c>
      <c r="R36" s="31">
        <v>287000</v>
      </c>
      <c r="T36" s="2" t="s">
        <v>2934</v>
      </c>
    </row>
    <row r="37" spans="1:20" hidden="1" x14ac:dyDescent="0.35">
      <c r="A37">
        <v>2023</v>
      </c>
      <c r="B37" t="s">
        <v>772</v>
      </c>
      <c r="C37" t="s">
        <v>2923</v>
      </c>
      <c r="D37" t="s">
        <v>14</v>
      </c>
      <c r="E37" t="s">
        <v>18</v>
      </c>
      <c r="F37" t="s">
        <v>1127</v>
      </c>
      <c r="H37" t="s">
        <v>2034</v>
      </c>
      <c r="I37" t="s">
        <v>11</v>
      </c>
      <c r="J37" t="s">
        <v>19</v>
      </c>
      <c r="K37" t="s">
        <v>16</v>
      </c>
      <c r="L37" t="s">
        <v>16</v>
      </c>
      <c r="M37" t="s">
        <v>3015</v>
      </c>
      <c r="N37" t="s">
        <v>1545</v>
      </c>
      <c r="O37" t="s">
        <v>2918</v>
      </c>
      <c r="P37" t="s">
        <v>3030</v>
      </c>
      <c r="Q37" t="s">
        <v>1546</v>
      </c>
      <c r="R37" s="31">
        <v>25434853.502416398</v>
      </c>
      <c r="T37" t="s">
        <v>1547</v>
      </c>
    </row>
    <row r="38" spans="1:20" x14ac:dyDescent="0.35">
      <c r="A38">
        <v>2023</v>
      </c>
      <c r="B38" t="s">
        <v>772</v>
      </c>
      <c r="C38" t="s">
        <v>2923</v>
      </c>
      <c r="D38" t="s">
        <v>14</v>
      </c>
      <c r="E38" t="s">
        <v>18</v>
      </c>
      <c r="F38" t="s">
        <v>1127</v>
      </c>
      <c r="H38" t="s">
        <v>2034</v>
      </c>
      <c r="I38" t="s">
        <v>11</v>
      </c>
      <c r="J38" t="s">
        <v>19</v>
      </c>
      <c r="K38" t="s">
        <v>16</v>
      </c>
      <c r="L38" t="s">
        <v>16</v>
      </c>
      <c r="M38" t="s">
        <v>3016</v>
      </c>
      <c r="N38" t="s">
        <v>3228</v>
      </c>
      <c r="O38" t="s">
        <v>2918</v>
      </c>
      <c r="P38" t="s">
        <v>3030</v>
      </c>
      <c r="Q38" t="s">
        <v>1548</v>
      </c>
      <c r="R38" s="31">
        <v>677446</v>
      </c>
      <c r="T38" t="s">
        <v>1547</v>
      </c>
    </row>
    <row r="39" spans="1:20" x14ac:dyDescent="0.35">
      <c r="A39">
        <v>2023</v>
      </c>
      <c r="B39" t="s">
        <v>772</v>
      </c>
      <c r="C39" t="s">
        <v>2923</v>
      </c>
      <c r="D39" t="s">
        <v>14</v>
      </c>
      <c r="E39" t="s">
        <v>18</v>
      </c>
      <c r="F39" t="s">
        <v>1127</v>
      </c>
      <c r="H39" t="s">
        <v>2034</v>
      </c>
      <c r="I39" t="s">
        <v>11</v>
      </c>
      <c r="J39" t="s">
        <v>19</v>
      </c>
      <c r="K39" t="s">
        <v>16</v>
      </c>
      <c r="L39" t="s">
        <v>1549</v>
      </c>
      <c r="M39" t="s">
        <v>3016</v>
      </c>
      <c r="N39" t="s">
        <v>3228</v>
      </c>
      <c r="O39" t="s">
        <v>2918</v>
      </c>
      <c r="P39" t="s">
        <v>3030</v>
      </c>
      <c r="Q39" t="s">
        <v>1550</v>
      </c>
      <c r="R39" s="31">
        <v>79</v>
      </c>
      <c r="T39" t="s">
        <v>1547</v>
      </c>
    </row>
    <row r="40" spans="1:20" x14ac:dyDescent="0.35">
      <c r="A40">
        <v>2023</v>
      </c>
      <c r="B40" t="s">
        <v>772</v>
      </c>
      <c r="C40" t="s">
        <v>2923</v>
      </c>
      <c r="D40" t="s">
        <v>718</v>
      </c>
      <c r="E40" t="s">
        <v>152</v>
      </c>
      <c r="F40" t="s">
        <v>1354</v>
      </c>
      <c r="H40" t="s">
        <v>2167</v>
      </c>
      <c r="I40" t="s">
        <v>11</v>
      </c>
      <c r="J40" t="s">
        <v>148</v>
      </c>
      <c r="K40" t="s">
        <v>147</v>
      </c>
      <c r="L40" t="s">
        <v>147</v>
      </c>
      <c r="M40" t="s">
        <v>3016</v>
      </c>
      <c r="N40" t="s">
        <v>2300</v>
      </c>
      <c r="O40" t="s">
        <v>2918</v>
      </c>
      <c r="P40" t="s">
        <v>3030</v>
      </c>
      <c r="Q40" t="s">
        <v>2027</v>
      </c>
      <c r="R40" s="31">
        <v>3339.7620299999999</v>
      </c>
      <c r="T40" t="s">
        <v>2299</v>
      </c>
    </row>
    <row r="41" spans="1:20" hidden="1" x14ac:dyDescent="0.35">
      <c r="A41">
        <v>2023</v>
      </c>
      <c r="B41" t="s">
        <v>772</v>
      </c>
      <c r="C41" t="s">
        <v>2923</v>
      </c>
      <c r="D41" t="s">
        <v>718</v>
      </c>
      <c r="E41" t="s">
        <v>152</v>
      </c>
      <c r="F41" t="s">
        <v>1354</v>
      </c>
      <c r="H41" t="s">
        <v>2167</v>
      </c>
      <c r="I41" t="s">
        <v>11</v>
      </c>
      <c r="J41" t="s">
        <v>148</v>
      </c>
      <c r="K41" t="s">
        <v>147</v>
      </c>
      <c r="L41" t="s">
        <v>147</v>
      </c>
      <c r="M41" t="s">
        <v>3015</v>
      </c>
      <c r="N41" t="s">
        <v>1545</v>
      </c>
      <c r="O41" t="s">
        <v>2918</v>
      </c>
      <c r="P41" t="s">
        <v>3030</v>
      </c>
      <c r="Q41" t="s">
        <v>2027</v>
      </c>
      <c r="R41" s="31">
        <v>1687.71</v>
      </c>
      <c r="T41" t="s">
        <v>2299</v>
      </c>
    </row>
    <row r="42" spans="1:20" hidden="1" x14ac:dyDescent="0.35">
      <c r="A42">
        <v>2023</v>
      </c>
      <c r="B42" t="s">
        <v>1537</v>
      </c>
      <c r="C42" t="s">
        <v>2923</v>
      </c>
      <c r="D42" t="s">
        <v>167</v>
      </c>
      <c r="E42" t="s">
        <v>2938</v>
      </c>
      <c r="G42" t="s">
        <v>2958</v>
      </c>
      <c r="H42" t="s">
        <v>2201</v>
      </c>
      <c r="I42" t="s">
        <v>11</v>
      </c>
      <c r="J42" t="s">
        <v>34</v>
      </c>
      <c r="K42" t="s">
        <v>157</v>
      </c>
      <c r="L42" t="s">
        <v>157</v>
      </c>
      <c r="M42" t="s">
        <v>3014</v>
      </c>
      <c r="N42" t="s">
        <v>1594</v>
      </c>
      <c r="O42" t="s">
        <v>2917</v>
      </c>
      <c r="P42" t="s">
        <v>3030</v>
      </c>
      <c r="Q42" t="s">
        <v>1641</v>
      </c>
      <c r="R42" s="31">
        <v>4.2</v>
      </c>
      <c r="T42" s="22" t="s">
        <v>2939</v>
      </c>
    </row>
    <row r="43" spans="1:20" x14ac:dyDescent="0.35">
      <c r="A43">
        <v>2023</v>
      </c>
      <c r="B43" t="s">
        <v>772</v>
      </c>
      <c r="C43" t="s">
        <v>2923</v>
      </c>
      <c r="D43" t="s">
        <v>730</v>
      </c>
      <c r="E43" t="s">
        <v>59</v>
      </c>
      <c r="F43" t="s">
        <v>1439</v>
      </c>
      <c r="H43" t="s">
        <v>2220</v>
      </c>
      <c r="I43" t="s">
        <v>11</v>
      </c>
      <c r="J43" t="s">
        <v>13</v>
      </c>
      <c r="K43" t="s">
        <v>16</v>
      </c>
      <c r="L43" t="s">
        <v>16</v>
      </c>
      <c r="M43" t="s">
        <v>3016</v>
      </c>
      <c r="N43" t="s">
        <v>3228</v>
      </c>
      <c r="O43" t="s">
        <v>2918</v>
      </c>
      <c r="P43" t="s">
        <v>3030</v>
      </c>
      <c r="Q43" t="s">
        <v>1736</v>
      </c>
      <c r="R43" s="31">
        <v>87467</v>
      </c>
      <c r="S43" s="42" t="s">
        <v>3175</v>
      </c>
      <c r="T43" t="s">
        <v>1733</v>
      </c>
    </row>
    <row r="44" spans="1:20" hidden="1" x14ac:dyDescent="0.35">
      <c r="A44">
        <v>2023</v>
      </c>
      <c r="B44" t="s">
        <v>772</v>
      </c>
      <c r="C44" t="s">
        <v>2923</v>
      </c>
      <c r="D44" t="s">
        <v>730</v>
      </c>
      <c r="E44" t="s">
        <v>59</v>
      </c>
      <c r="F44" t="s">
        <v>1439</v>
      </c>
      <c r="H44" t="s">
        <v>2220</v>
      </c>
      <c r="I44" t="s">
        <v>11</v>
      </c>
      <c r="J44" t="s">
        <v>13</v>
      </c>
      <c r="K44" t="s">
        <v>16</v>
      </c>
      <c r="L44" t="s">
        <v>16</v>
      </c>
      <c r="M44" t="s">
        <v>3015</v>
      </c>
      <c r="N44" t="s">
        <v>1734</v>
      </c>
      <c r="O44" t="s">
        <v>2918</v>
      </c>
      <c r="P44" t="s">
        <v>3030</v>
      </c>
      <c r="Q44" t="s">
        <v>1546</v>
      </c>
      <c r="R44" s="31">
        <v>222627</v>
      </c>
      <c r="T44" t="s">
        <v>1733</v>
      </c>
    </row>
    <row r="45" spans="1:20" x14ac:dyDescent="0.35">
      <c r="A45">
        <v>2023</v>
      </c>
      <c r="B45" t="s">
        <v>772</v>
      </c>
      <c r="C45" t="s">
        <v>2923</v>
      </c>
      <c r="D45" t="s">
        <v>145</v>
      </c>
      <c r="E45" t="s">
        <v>146</v>
      </c>
      <c r="F45" t="s">
        <v>1172</v>
      </c>
      <c r="H45" t="s">
        <v>2057</v>
      </c>
      <c r="I45" t="s">
        <v>11</v>
      </c>
      <c r="J45" t="s">
        <v>148</v>
      </c>
      <c r="K45" t="s">
        <v>147</v>
      </c>
      <c r="L45" t="s">
        <v>147</v>
      </c>
      <c r="M45" t="s">
        <v>3016</v>
      </c>
      <c r="N45" t="s">
        <v>1806</v>
      </c>
      <c r="O45" t="s">
        <v>2918</v>
      </c>
      <c r="P45" t="s">
        <v>3030</v>
      </c>
      <c r="Q45" t="s">
        <v>1809</v>
      </c>
      <c r="R45" s="31">
        <v>5.0999999999999996</v>
      </c>
      <c r="T45" t="s">
        <v>1813</v>
      </c>
    </row>
    <row r="46" spans="1:20" hidden="1" x14ac:dyDescent="0.35">
      <c r="A46">
        <v>2023</v>
      </c>
      <c r="B46" t="s">
        <v>772</v>
      </c>
      <c r="C46" t="s">
        <v>2923</v>
      </c>
      <c r="D46" t="s">
        <v>145</v>
      </c>
      <c r="E46" t="s">
        <v>146</v>
      </c>
      <c r="F46" t="s">
        <v>1172</v>
      </c>
      <c r="H46" t="s">
        <v>2057</v>
      </c>
      <c r="I46" t="s">
        <v>11</v>
      </c>
      <c r="J46" t="s">
        <v>148</v>
      </c>
      <c r="K46" t="s">
        <v>147</v>
      </c>
      <c r="L46" t="s">
        <v>147</v>
      </c>
      <c r="M46" t="s">
        <v>3015</v>
      </c>
      <c r="N46" t="s">
        <v>1545</v>
      </c>
      <c r="O46" t="s">
        <v>2918</v>
      </c>
      <c r="P46" t="s">
        <v>3030</v>
      </c>
      <c r="Q46" t="s">
        <v>1808</v>
      </c>
      <c r="R46" s="31">
        <v>4.2</v>
      </c>
      <c r="T46" t="s">
        <v>1812</v>
      </c>
    </row>
    <row r="47" spans="1:20" hidden="1" x14ac:dyDescent="0.35">
      <c r="A47">
        <v>2023</v>
      </c>
      <c r="B47" t="s">
        <v>772</v>
      </c>
      <c r="C47" t="s">
        <v>2923</v>
      </c>
      <c r="D47" t="s">
        <v>145</v>
      </c>
      <c r="E47" t="s">
        <v>146</v>
      </c>
      <c r="F47" t="s">
        <v>1172</v>
      </c>
      <c r="H47" t="s">
        <v>2057</v>
      </c>
      <c r="I47" t="s">
        <v>11</v>
      </c>
      <c r="J47" t="s">
        <v>148</v>
      </c>
      <c r="K47" t="s">
        <v>147</v>
      </c>
      <c r="L47" t="s">
        <v>147</v>
      </c>
      <c r="M47" t="s">
        <v>3014</v>
      </c>
      <c r="N47" t="s">
        <v>1594</v>
      </c>
      <c r="O47" t="s">
        <v>2918</v>
      </c>
      <c r="P47" t="s">
        <v>3030</v>
      </c>
      <c r="Q47" t="s">
        <v>1807</v>
      </c>
      <c r="R47" s="31">
        <v>4.5999999999999996</v>
      </c>
      <c r="T47" t="s">
        <v>1811</v>
      </c>
    </row>
    <row r="48" spans="1:20" x14ac:dyDescent="0.35">
      <c r="A48">
        <v>2023</v>
      </c>
      <c r="B48" t="s">
        <v>772</v>
      </c>
      <c r="C48" t="s">
        <v>2923</v>
      </c>
      <c r="D48" t="s">
        <v>39</v>
      </c>
      <c r="E48" t="s">
        <v>41</v>
      </c>
      <c r="F48" t="s">
        <v>1316</v>
      </c>
      <c r="H48" t="s">
        <v>2151</v>
      </c>
      <c r="I48" t="s">
        <v>11</v>
      </c>
      <c r="J48" t="s">
        <v>13</v>
      </c>
      <c r="K48" t="s">
        <v>16</v>
      </c>
      <c r="L48" t="s">
        <v>16</v>
      </c>
      <c r="M48" t="s">
        <v>3016</v>
      </c>
      <c r="N48" t="s">
        <v>3228</v>
      </c>
      <c r="O48" t="s">
        <v>2918</v>
      </c>
      <c r="P48" t="s">
        <v>3030</v>
      </c>
      <c r="Q48" t="s">
        <v>1550</v>
      </c>
      <c r="R48" s="31">
        <v>232</v>
      </c>
      <c r="T48" t="s">
        <v>1593</v>
      </c>
    </row>
    <row r="49" spans="1:20" hidden="1" x14ac:dyDescent="0.35">
      <c r="A49">
        <v>2023</v>
      </c>
      <c r="B49" t="s">
        <v>772</v>
      </c>
      <c r="C49" t="s">
        <v>2923</v>
      </c>
      <c r="D49" t="s">
        <v>39</v>
      </c>
      <c r="E49" t="s">
        <v>41</v>
      </c>
      <c r="F49" t="s">
        <v>1316</v>
      </c>
      <c r="H49" t="s">
        <v>2151</v>
      </c>
      <c r="I49" t="s">
        <v>11</v>
      </c>
      <c r="J49" t="s">
        <v>13</v>
      </c>
      <c r="K49" t="s">
        <v>16</v>
      </c>
      <c r="L49" t="s">
        <v>16</v>
      </c>
      <c r="M49" t="s">
        <v>3014</v>
      </c>
      <c r="N49" t="s">
        <v>1594</v>
      </c>
      <c r="O49" t="s">
        <v>2918</v>
      </c>
      <c r="P49" t="s">
        <v>3030</v>
      </c>
      <c r="Q49" t="s">
        <v>1566</v>
      </c>
      <c r="R49" s="31">
        <v>1656</v>
      </c>
      <c r="T49" t="s">
        <v>1593</v>
      </c>
    </row>
    <row r="50" spans="1:20" hidden="1" x14ac:dyDescent="0.35">
      <c r="A50">
        <v>2023</v>
      </c>
      <c r="B50" t="s">
        <v>772</v>
      </c>
      <c r="C50" t="s">
        <v>2923</v>
      </c>
      <c r="D50" t="s">
        <v>39</v>
      </c>
      <c r="E50" t="s">
        <v>41</v>
      </c>
      <c r="F50" t="s">
        <v>1316</v>
      </c>
      <c r="H50" t="s">
        <v>2151</v>
      </c>
      <c r="I50" t="s">
        <v>11</v>
      </c>
      <c r="J50" t="s">
        <v>13</v>
      </c>
      <c r="K50" t="s">
        <v>16</v>
      </c>
      <c r="L50" t="s">
        <v>16</v>
      </c>
      <c r="M50" t="s">
        <v>3015</v>
      </c>
      <c r="N50" t="s">
        <v>1545</v>
      </c>
      <c r="O50" t="s">
        <v>2918</v>
      </c>
      <c r="P50" t="s">
        <v>3030</v>
      </c>
      <c r="Q50" t="s">
        <v>1566</v>
      </c>
      <c r="R50" s="31">
        <v>1661</v>
      </c>
      <c r="T50" t="s">
        <v>1593</v>
      </c>
    </row>
    <row r="51" spans="1:20" hidden="1" x14ac:dyDescent="0.35">
      <c r="A51">
        <v>2024</v>
      </c>
      <c r="B51" t="s">
        <v>772</v>
      </c>
      <c r="C51" t="s">
        <v>2923</v>
      </c>
      <c r="D51" t="s">
        <v>855</v>
      </c>
      <c r="E51" t="s">
        <v>33</v>
      </c>
      <c r="F51" t="s">
        <v>1257</v>
      </c>
      <c r="H51" t="s">
        <v>2109</v>
      </c>
      <c r="I51" t="s">
        <v>11</v>
      </c>
      <c r="J51" t="s">
        <v>13</v>
      </c>
      <c r="K51" t="s">
        <v>64</v>
      </c>
      <c r="L51" t="s">
        <v>16</v>
      </c>
      <c r="M51" t="s">
        <v>3014</v>
      </c>
      <c r="N51" t="s">
        <v>1594</v>
      </c>
      <c r="O51" t="s">
        <v>2918</v>
      </c>
      <c r="P51" t="s">
        <v>3030</v>
      </c>
      <c r="Q51" t="s">
        <v>1546</v>
      </c>
      <c r="R51" s="31">
        <v>34017</v>
      </c>
      <c r="T51" t="s">
        <v>2943</v>
      </c>
    </row>
    <row r="52" spans="1:20" hidden="1" x14ac:dyDescent="0.35">
      <c r="A52">
        <v>2024</v>
      </c>
      <c r="B52" t="s">
        <v>772</v>
      </c>
      <c r="C52" t="s">
        <v>2923</v>
      </c>
      <c r="D52" t="s">
        <v>855</v>
      </c>
      <c r="E52" t="s">
        <v>33</v>
      </c>
      <c r="F52" t="s">
        <v>1257</v>
      </c>
      <c r="H52" t="s">
        <v>2109</v>
      </c>
      <c r="I52" t="s">
        <v>11</v>
      </c>
      <c r="J52" t="s">
        <v>13</v>
      </c>
      <c r="K52" t="s">
        <v>64</v>
      </c>
      <c r="L52" t="s">
        <v>16</v>
      </c>
      <c r="M52" t="s">
        <v>3015</v>
      </c>
      <c r="N52" t="s">
        <v>2942</v>
      </c>
      <c r="O52" t="s">
        <v>2918</v>
      </c>
      <c r="P52" t="s">
        <v>3030</v>
      </c>
      <c r="Q52" t="s">
        <v>1546</v>
      </c>
      <c r="R52" s="31">
        <v>33245</v>
      </c>
      <c r="T52" t="s">
        <v>2943</v>
      </c>
    </row>
    <row r="53" spans="1:20" x14ac:dyDescent="0.35">
      <c r="A53">
        <v>2024</v>
      </c>
      <c r="B53" t="s">
        <v>772</v>
      </c>
      <c r="C53" t="s">
        <v>2923</v>
      </c>
      <c r="D53" t="s">
        <v>855</v>
      </c>
      <c r="E53" t="s">
        <v>33</v>
      </c>
      <c r="F53" t="s">
        <v>1257</v>
      </c>
      <c r="H53" t="s">
        <v>2109</v>
      </c>
      <c r="I53" t="s">
        <v>11</v>
      </c>
      <c r="J53" t="s">
        <v>13</v>
      </c>
      <c r="K53" t="s">
        <v>64</v>
      </c>
      <c r="L53" t="s">
        <v>16</v>
      </c>
      <c r="M53" t="s">
        <v>3016</v>
      </c>
      <c r="N53" t="s">
        <v>3228</v>
      </c>
      <c r="O53" t="s">
        <v>2918</v>
      </c>
      <c r="P53" t="s">
        <v>3030</v>
      </c>
      <c r="Q53" t="s">
        <v>1548</v>
      </c>
      <c r="R53" s="31">
        <v>3916</v>
      </c>
      <c r="S53" s="42" t="s">
        <v>3028</v>
      </c>
      <c r="T53" s="2" t="s">
        <v>2943</v>
      </c>
    </row>
    <row r="54" spans="1:20" hidden="1" x14ac:dyDescent="0.35">
      <c r="A54">
        <v>2021</v>
      </c>
      <c r="B54" t="s">
        <v>772</v>
      </c>
      <c r="C54" t="s">
        <v>2923</v>
      </c>
      <c r="D54" t="s">
        <v>716</v>
      </c>
      <c r="E54" t="s">
        <v>298</v>
      </c>
      <c r="F54" t="s">
        <v>1216</v>
      </c>
      <c r="H54" t="s">
        <v>2087</v>
      </c>
      <c r="I54" t="s">
        <v>233</v>
      </c>
      <c r="J54" t="s">
        <v>255</v>
      </c>
      <c r="K54" t="s">
        <v>244</v>
      </c>
      <c r="L54" t="s">
        <v>244</v>
      </c>
      <c r="M54" t="s">
        <v>3017</v>
      </c>
      <c r="N54" t="s">
        <v>2304</v>
      </c>
      <c r="O54" t="s">
        <v>2918</v>
      </c>
      <c r="P54" t="s">
        <v>3030</v>
      </c>
      <c r="Q54" t="s">
        <v>1566</v>
      </c>
      <c r="R54" s="31">
        <v>828</v>
      </c>
      <c r="T54" t="s">
        <v>2301</v>
      </c>
    </row>
    <row r="55" spans="1:20" hidden="1" x14ac:dyDescent="0.35">
      <c r="A55">
        <v>2021</v>
      </c>
      <c r="B55" t="s">
        <v>772</v>
      </c>
      <c r="C55" t="s">
        <v>2923</v>
      </c>
      <c r="D55" t="s">
        <v>716</v>
      </c>
      <c r="E55" t="s">
        <v>298</v>
      </c>
      <c r="F55" t="s">
        <v>1216</v>
      </c>
      <c r="H55" t="s">
        <v>2087</v>
      </c>
      <c r="I55" t="s">
        <v>233</v>
      </c>
      <c r="J55" t="s">
        <v>255</v>
      </c>
      <c r="K55" t="s">
        <v>244</v>
      </c>
      <c r="L55" t="s">
        <v>244</v>
      </c>
      <c r="M55" t="s">
        <v>3017</v>
      </c>
      <c r="N55" t="s">
        <v>2305</v>
      </c>
      <c r="O55" t="s">
        <v>2917</v>
      </c>
      <c r="P55" t="s">
        <v>3030</v>
      </c>
      <c r="Q55" t="s">
        <v>1876</v>
      </c>
      <c r="R55" s="31">
        <v>1200</v>
      </c>
      <c r="T55" t="s">
        <v>2301</v>
      </c>
    </row>
    <row r="56" spans="1:20" hidden="1" x14ac:dyDescent="0.35">
      <c r="A56">
        <v>2023</v>
      </c>
      <c r="B56" t="s">
        <v>772</v>
      </c>
      <c r="C56" t="s">
        <v>2923</v>
      </c>
      <c r="D56" t="s">
        <v>155</v>
      </c>
      <c r="E56" t="s">
        <v>156</v>
      </c>
      <c r="F56" t="s">
        <v>1153</v>
      </c>
      <c r="G56" t="s">
        <v>2930</v>
      </c>
      <c r="H56" t="s">
        <v>2048</v>
      </c>
      <c r="I56" t="s">
        <v>11</v>
      </c>
      <c r="J56" t="s">
        <v>34</v>
      </c>
      <c r="K56" t="s">
        <v>157</v>
      </c>
      <c r="L56" t="s">
        <v>157</v>
      </c>
      <c r="M56" t="s">
        <v>3014</v>
      </c>
      <c r="N56" t="s">
        <v>1594</v>
      </c>
      <c r="O56" t="s">
        <v>2918</v>
      </c>
      <c r="P56" t="s">
        <v>3030</v>
      </c>
      <c r="Q56" t="s">
        <v>1566</v>
      </c>
      <c r="R56" s="31">
        <v>5901</v>
      </c>
      <c r="S56" t="s">
        <v>2920</v>
      </c>
      <c r="T56" t="s">
        <v>3185</v>
      </c>
    </row>
    <row r="57" spans="1:20" hidden="1" x14ac:dyDescent="0.35">
      <c r="A57">
        <v>2023</v>
      </c>
      <c r="B57" t="s">
        <v>772</v>
      </c>
      <c r="C57" t="s">
        <v>2923</v>
      </c>
      <c r="D57" t="s">
        <v>872</v>
      </c>
      <c r="E57" t="s">
        <v>38</v>
      </c>
      <c r="F57" t="s">
        <v>1304</v>
      </c>
      <c r="H57" t="s">
        <v>2143</v>
      </c>
      <c r="I57" t="s">
        <v>11</v>
      </c>
      <c r="J57" t="s">
        <v>23</v>
      </c>
      <c r="K57" t="s">
        <v>16</v>
      </c>
      <c r="L57" t="s">
        <v>16</v>
      </c>
      <c r="M57" t="s">
        <v>3014</v>
      </c>
      <c r="N57" t="s">
        <v>1594</v>
      </c>
      <c r="O57" t="s">
        <v>2918</v>
      </c>
      <c r="P57" t="s">
        <v>3030</v>
      </c>
      <c r="Q57" t="s">
        <v>1546</v>
      </c>
      <c r="R57" s="31">
        <v>96</v>
      </c>
      <c r="T57" t="s">
        <v>2355</v>
      </c>
    </row>
    <row r="58" spans="1:20" hidden="1" x14ac:dyDescent="0.35">
      <c r="A58">
        <v>2023</v>
      </c>
      <c r="B58" t="s">
        <v>772</v>
      </c>
      <c r="C58" t="s">
        <v>2923</v>
      </c>
      <c r="D58" t="s">
        <v>872</v>
      </c>
      <c r="E58" t="s">
        <v>38</v>
      </c>
      <c r="F58" t="s">
        <v>1304</v>
      </c>
      <c r="H58" t="s">
        <v>2143</v>
      </c>
      <c r="I58" t="s">
        <v>11</v>
      </c>
      <c r="J58" t="s">
        <v>23</v>
      </c>
      <c r="K58" t="s">
        <v>16</v>
      </c>
      <c r="L58" t="s">
        <v>16</v>
      </c>
      <c r="M58" t="s">
        <v>3015</v>
      </c>
      <c r="N58" t="s">
        <v>1545</v>
      </c>
      <c r="O58" t="s">
        <v>2918</v>
      </c>
      <c r="P58" t="s">
        <v>3030</v>
      </c>
      <c r="Q58" t="s">
        <v>1546</v>
      </c>
      <c r="R58" s="31">
        <v>120</v>
      </c>
      <c r="T58" t="s">
        <v>2355</v>
      </c>
    </row>
    <row r="59" spans="1:20" x14ac:dyDescent="0.35">
      <c r="A59">
        <v>2023</v>
      </c>
      <c r="B59" t="s">
        <v>772</v>
      </c>
      <c r="C59" t="s">
        <v>2923</v>
      </c>
      <c r="D59" t="s">
        <v>872</v>
      </c>
      <c r="E59" t="s">
        <v>38</v>
      </c>
      <c r="F59" t="s">
        <v>1304</v>
      </c>
      <c r="H59" t="s">
        <v>2143</v>
      </c>
      <c r="I59" t="s">
        <v>11</v>
      </c>
      <c r="J59" t="s">
        <v>23</v>
      </c>
      <c r="K59" t="s">
        <v>16</v>
      </c>
      <c r="L59" t="s">
        <v>2354</v>
      </c>
      <c r="M59" t="s">
        <v>3016</v>
      </c>
      <c r="N59" t="s">
        <v>3228</v>
      </c>
      <c r="O59" t="s">
        <v>2918</v>
      </c>
      <c r="P59" t="s">
        <v>3030</v>
      </c>
      <c r="Q59" t="s">
        <v>1548</v>
      </c>
      <c r="R59" s="31">
        <v>10.199999999999999</v>
      </c>
      <c r="T59" t="s">
        <v>2355</v>
      </c>
    </row>
    <row r="60" spans="1:20" x14ac:dyDescent="0.35">
      <c r="A60">
        <v>2023</v>
      </c>
      <c r="B60" t="s">
        <v>772</v>
      </c>
      <c r="C60" t="s">
        <v>2923</v>
      </c>
      <c r="D60" t="s">
        <v>872</v>
      </c>
      <c r="E60" t="s">
        <v>38</v>
      </c>
      <c r="F60" t="s">
        <v>1304</v>
      </c>
      <c r="H60" t="s">
        <v>2143</v>
      </c>
      <c r="I60" t="s">
        <v>11</v>
      </c>
      <c r="J60" t="s">
        <v>23</v>
      </c>
      <c r="K60" t="s">
        <v>16</v>
      </c>
      <c r="L60" t="s">
        <v>16</v>
      </c>
      <c r="M60" t="s">
        <v>3016</v>
      </c>
      <c r="N60" t="s">
        <v>3228</v>
      </c>
      <c r="O60" t="s">
        <v>2918</v>
      </c>
      <c r="P60" t="s">
        <v>3030</v>
      </c>
      <c r="Q60" t="s">
        <v>1548</v>
      </c>
      <c r="R60" s="31">
        <v>10.199999999999999</v>
      </c>
      <c r="T60" t="s">
        <v>2355</v>
      </c>
    </row>
    <row r="61" spans="1:20" x14ac:dyDescent="0.35">
      <c r="A61">
        <v>2023</v>
      </c>
      <c r="B61" t="s">
        <v>772</v>
      </c>
      <c r="C61" t="s">
        <v>2923</v>
      </c>
      <c r="D61" t="s">
        <v>872</v>
      </c>
      <c r="E61" t="s">
        <v>38</v>
      </c>
      <c r="F61" t="s">
        <v>1304</v>
      </c>
      <c r="H61" t="s">
        <v>2143</v>
      </c>
      <c r="I61" t="s">
        <v>11</v>
      </c>
      <c r="J61" t="s">
        <v>23</v>
      </c>
      <c r="K61" t="s">
        <v>16</v>
      </c>
      <c r="L61" t="s">
        <v>1549</v>
      </c>
      <c r="M61" t="s">
        <v>3016</v>
      </c>
      <c r="N61" t="s">
        <v>3228</v>
      </c>
      <c r="O61" t="s">
        <v>2918</v>
      </c>
      <c r="P61" t="s">
        <v>3030</v>
      </c>
      <c r="Q61" t="s">
        <v>1548</v>
      </c>
      <c r="R61" s="31">
        <v>1.4</v>
      </c>
      <c r="T61" t="s">
        <v>2355</v>
      </c>
    </row>
    <row r="62" spans="1:20" hidden="1" x14ac:dyDescent="0.35">
      <c r="A62">
        <v>2024</v>
      </c>
      <c r="B62" t="s">
        <v>772</v>
      </c>
      <c r="C62" t="s">
        <v>2923</v>
      </c>
      <c r="D62" t="s">
        <v>715</v>
      </c>
      <c r="E62" t="s">
        <v>195</v>
      </c>
      <c r="F62" t="s">
        <v>1247</v>
      </c>
      <c r="G62" t="s">
        <v>2933</v>
      </c>
      <c r="H62" t="s">
        <v>2104</v>
      </c>
      <c r="I62" t="s">
        <v>11</v>
      </c>
      <c r="J62" t="s">
        <v>44</v>
      </c>
      <c r="K62" t="s">
        <v>196</v>
      </c>
      <c r="L62" t="s">
        <v>1776</v>
      </c>
      <c r="M62" t="s">
        <v>3014</v>
      </c>
      <c r="N62" t="s">
        <v>1594</v>
      </c>
      <c r="O62" t="s">
        <v>2918</v>
      </c>
      <c r="P62" t="s">
        <v>3030</v>
      </c>
      <c r="Q62" t="s">
        <v>1546</v>
      </c>
      <c r="R62" s="31">
        <v>553033</v>
      </c>
      <c r="T62" t="s">
        <v>3206</v>
      </c>
    </row>
    <row r="63" spans="1:20" hidden="1" x14ac:dyDescent="0.35">
      <c r="A63">
        <v>2023</v>
      </c>
      <c r="B63" t="s">
        <v>772</v>
      </c>
      <c r="C63" t="s">
        <v>2923</v>
      </c>
      <c r="D63" t="s">
        <v>135</v>
      </c>
      <c r="E63" t="s">
        <v>136</v>
      </c>
      <c r="F63" t="s">
        <v>1395</v>
      </c>
      <c r="H63" t="s">
        <v>2200</v>
      </c>
      <c r="I63" t="s">
        <v>11</v>
      </c>
      <c r="J63" t="s">
        <v>19</v>
      </c>
      <c r="K63" t="s">
        <v>137</v>
      </c>
      <c r="L63" t="s">
        <v>1776</v>
      </c>
      <c r="M63" t="s">
        <v>3014</v>
      </c>
      <c r="N63" t="s">
        <v>1594</v>
      </c>
      <c r="O63" t="s">
        <v>2918</v>
      </c>
      <c r="P63" t="s">
        <v>3030</v>
      </c>
      <c r="Q63" t="s">
        <v>1641</v>
      </c>
      <c r="R63" s="31">
        <v>88.1</v>
      </c>
      <c r="T63" t="s">
        <v>3023</v>
      </c>
    </row>
    <row r="64" spans="1:20" hidden="1" x14ac:dyDescent="0.35">
      <c r="A64">
        <v>2023</v>
      </c>
      <c r="B64" t="s">
        <v>772</v>
      </c>
      <c r="C64" t="s">
        <v>2923</v>
      </c>
      <c r="D64" t="s">
        <v>135</v>
      </c>
      <c r="E64" t="s">
        <v>136</v>
      </c>
      <c r="F64" t="s">
        <v>1395</v>
      </c>
      <c r="H64" t="s">
        <v>2200</v>
      </c>
      <c r="I64" t="s">
        <v>11</v>
      </c>
      <c r="J64" t="s">
        <v>19</v>
      </c>
      <c r="K64" t="s">
        <v>137</v>
      </c>
      <c r="L64" t="s">
        <v>1776</v>
      </c>
      <c r="M64" t="s">
        <v>3015</v>
      </c>
      <c r="N64" t="s">
        <v>1734</v>
      </c>
      <c r="O64" t="s">
        <v>2918</v>
      </c>
      <c r="P64" t="s">
        <v>3030</v>
      </c>
      <c r="Q64" t="s">
        <v>1641</v>
      </c>
      <c r="R64" s="31">
        <v>30</v>
      </c>
      <c r="T64" t="s">
        <v>3023</v>
      </c>
    </row>
    <row r="65" spans="1:20" x14ac:dyDescent="0.35">
      <c r="A65">
        <v>2023</v>
      </c>
      <c r="B65" t="s">
        <v>772</v>
      </c>
      <c r="C65" t="s">
        <v>2923</v>
      </c>
      <c r="D65" t="s">
        <v>135</v>
      </c>
      <c r="E65" t="s">
        <v>136</v>
      </c>
      <c r="F65" t="s">
        <v>1395</v>
      </c>
      <c r="H65" t="s">
        <v>2200</v>
      </c>
      <c r="I65" t="s">
        <v>11</v>
      </c>
      <c r="J65" t="s">
        <v>19</v>
      </c>
      <c r="K65" t="s">
        <v>137</v>
      </c>
      <c r="L65" t="s">
        <v>125</v>
      </c>
      <c r="M65" t="s">
        <v>3016</v>
      </c>
      <c r="N65" t="s">
        <v>1778</v>
      </c>
      <c r="O65" t="s">
        <v>2918</v>
      </c>
      <c r="P65" t="s">
        <v>3030</v>
      </c>
      <c r="Q65" t="s">
        <v>1713</v>
      </c>
      <c r="R65" s="31">
        <v>122.6</v>
      </c>
      <c r="S65" t="s">
        <v>3025</v>
      </c>
      <c r="T65" s="2" t="s">
        <v>3023</v>
      </c>
    </row>
    <row r="66" spans="1:20" x14ac:dyDescent="0.35">
      <c r="A66">
        <v>2023</v>
      </c>
      <c r="B66" t="s">
        <v>772</v>
      </c>
      <c r="C66" t="s">
        <v>2923</v>
      </c>
      <c r="D66" t="s">
        <v>135</v>
      </c>
      <c r="E66" t="s">
        <v>136</v>
      </c>
      <c r="F66" t="s">
        <v>1395</v>
      </c>
      <c r="H66" t="s">
        <v>2200</v>
      </c>
      <c r="I66" t="s">
        <v>11</v>
      </c>
      <c r="J66" t="s">
        <v>19</v>
      </c>
      <c r="K66" t="s">
        <v>137</v>
      </c>
      <c r="L66" t="s">
        <v>1874</v>
      </c>
      <c r="M66" t="s">
        <v>3016</v>
      </c>
      <c r="N66" t="s">
        <v>1778</v>
      </c>
      <c r="O66" t="s">
        <v>2918</v>
      </c>
      <c r="P66" t="s">
        <v>3030</v>
      </c>
      <c r="Q66" t="s">
        <v>1884</v>
      </c>
      <c r="R66" s="31">
        <v>1202</v>
      </c>
      <c r="S66" t="s">
        <v>3026</v>
      </c>
      <c r="T66" t="s">
        <v>3023</v>
      </c>
    </row>
    <row r="67" spans="1:20" hidden="1" x14ac:dyDescent="0.35">
      <c r="A67">
        <v>2023</v>
      </c>
      <c r="B67" t="s">
        <v>772</v>
      </c>
      <c r="C67" t="s">
        <v>2923</v>
      </c>
      <c r="D67" t="s">
        <v>14</v>
      </c>
      <c r="E67" t="s">
        <v>66</v>
      </c>
      <c r="F67" t="s">
        <v>1124</v>
      </c>
      <c r="H67" t="s">
        <v>2034</v>
      </c>
      <c r="I67" t="s">
        <v>11</v>
      </c>
      <c r="J67" t="s">
        <v>13</v>
      </c>
      <c r="K67" t="s">
        <v>64</v>
      </c>
      <c r="L67" t="s">
        <v>1776</v>
      </c>
      <c r="M67" t="s">
        <v>3015</v>
      </c>
      <c r="N67" t="s">
        <v>1545</v>
      </c>
      <c r="O67" t="s">
        <v>2918</v>
      </c>
      <c r="P67" t="s">
        <v>3030</v>
      </c>
      <c r="Q67" t="s">
        <v>1546</v>
      </c>
      <c r="R67" s="31">
        <v>2886927.3287239997</v>
      </c>
      <c r="T67" t="s">
        <v>1547</v>
      </c>
    </row>
    <row r="68" spans="1:20" x14ac:dyDescent="0.35">
      <c r="A68">
        <v>2023</v>
      </c>
      <c r="B68" t="s">
        <v>772</v>
      </c>
      <c r="C68" t="s">
        <v>2923</v>
      </c>
      <c r="D68" t="s">
        <v>14</v>
      </c>
      <c r="E68" t="s">
        <v>66</v>
      </c>
      <c r="F68" t="s">
        <v>1124</v>
      </c>
      <c r="H68" t="s">
        <v>2034</v>
      </c>
      <c r="I68" t="s">
        <v>11</v>
      </c>
      <c r="J68" t="s">
        <v>13</v>
      </c>
      <c r="K68" t="s">
        <v>64</v>
      </c>
      <c r="L68" t="s">
        <v>16</v>
      </c>
      <c r="M68" t="s">
        <v>3016</v>
      </c>
      <c r="N68" t="s">
        <v>3228</v>
      </c>
      <c r="O68" t="s">
        <v>2918</v>
      </c>
      <c r="P68" t="s">
        <v>3030</v>
      </c>
      <c r="Q68" t="s">
        <v>1548</v>
      </c>
      <c r="R68" s="31">
        <v>140982.56710499999</v>
      </c>
      <c r="T68" t="s">
        <v>1547</v>
      </c>
    </row>
    <row r="69" spans="1:20" x14ac:dyDescent="0.35">
      <c r="A69">
        <v>2023</v>
      </c>
      <c r="B69" t="s">
        <v>772</v>
      </c>
      <c r="C69" t="s">
        <v>2923</v>
      </c>
      <c r="D69" t="s">
        <v>14</v>
      </c>
      <c r="E69" t="s">
        <v>66</v>
      </c>
      <c r="F69" t="s">
        <v>1124</v>
      </c>
      <c r="H69" t="s">
        <v>2034</v>
      </c>
      <c r="I69" t="s">
        <v>11</v>
      </c>
      <c r="J69" t="s">
        <v>13</v>
      </c>
      <c r="K69" t="s">
        <v>64</v>
      </c>
      <c r="L69" t="s">
        <v>1549</v>
      </c>
      <c r="M69" t="s">
        <v>3016</v>
      </c>
      <c r="N69" t="s">
        <v>3228</v>
      </c>
      <c r="O69" t="s">
        <v>2918</v>
      </c>
      <c r="P69" t="s">
        <v>3030</v>
      </c>
      <c r="Q69" t="s">
        <v>1550</v>
      </c>
      <c r="R69" s="31">
        <v>2</v>
      </c>
      <c r="T69" t="s">
        <v>1547</v>
      </c>
    </row>
    <row r="70" spans="1:20" x14ac:dyDescent="0.35">
      <c r="A70">
        <v>2023</v>
      </c>
      <c r="B70" t="s">
        <v>772</v>
      </c>
      <c r="C70" t="s">
        <v>2923</v>
      </c>
      <c r="D70" t="s">
        <v>14</v>
      </c>
      <c r="E70" t="s">
        <v>66</v>
      </c>
      <c r="F70" t="s">
        <v>1124</v>
      </c>
      <c r="H70" t="s">
        <v>2034</v>
      </c>
      <c r="I70" t="s">
        <v>11</v>
      </c>
      <c r="J70" t="s">
        <v>13</v>
      </c>
      <c r="K70" t="s">
        <v>64</v>
      </c>
      <c r="L70" t="s">
        <v>1551</v>
      </c>
      <c r="M70" t="s">
        <v>3016</v>
      </c>
      <c r="N70" t="s">
        <v>1778</v>
      </c>
      <c r="O70" t="s">
        <v>2918</v>
      </c>
      <c r="P70" t="s">
        <v>3030</v>
      </c>
      <c r="Q70" t="s">
        <v>1546</v>
      </c>
      <c r="R70" s="31">
        <v>39.036757999999999</v>
      </c>
      <c r="T70" t="s">
        <v>1547</v>
      </c>
    </row>
    <row r="71" spans="1:20" hidden="1" x14ac:dyDescent="0.35">
      <c r="A71">
        <v>2023</v>
      </c>
      <c r="B71" t="s">
        <v>772</v>
      </c>
      <c r="C71" t="s">
        <v>2923</v>
      </c>
      <c r="D71" t="s">
        <v>718</v>
      </c>
      <c r="E71" t="s">
        <v>304</v>
      </c>
      <c r="F71" t="s">
        <v>1346</v>
      </c>
      <c r="G71" t="s">
        <v>2169</v>
      </c>
      <c r="H71" t="s">
        <v>2167</v>
      </c>
      <c r="I71" t="s">
        <v>233</v>
      </c>
      <c r="J71" t="s">
        <v>249</v>
      </c>
      <c r="K71" t="s">
        <v>248</v>
      </c>
      <c r="L71" t="s">
        <v>376</v>
      </c>
      <c r="M71" t="s">
        <v>3017</v>
      </c>
      <c r="N71" t="s">
        <v>2295</v>
      </c>
      <c r="O71" t="s">
        <v>2917</v>
      </c>
      <c r="P71" t="s">
        <v>3030</v>
      </c>
      <c r="Q71" t="s">
        <v>1546</v>
      </c>
      <c r="R71" s="31">
        <v>233000</v>
      </c>
      <c r="T71" s="2" t="s">
        <v>2934</v>
      </c>
    </row>
    <row r="72" spans="1:20" hidden="1" x14ac:dyDescent="0.35">
      <c r="A72">
        <v>2023</v>
      </c>
      <c r="B72" t="s">
        <v>772</v>
      </c>
      <c r="C72" t="s">
        <v>2923</v>
      </c>
      <c r="D72" t="s">
        <v>718</v>
      </c>
      <c r="E72" t="s">
        <v>304</v>
      </c>
      <c r="F72" t="s">
        <v>1346</v>
      </c>
      <c r="G72" t="s">
        <v>2169</v>
      </c>
      <c r="H72" t="s">
        <v>2167</v>
      </c>
      <c r="I72" t="s">
        <v>233</v>
      </c>
      <c r="J72" t="s">
        <v>249</v>
      </c>
      <c r="K72" t="s">
        <v>248</v>
      </c>
      <c r="L72" t="s">
        <v>376</v>
      </c>
      <c r="M72" t="s">
        <v>3017</v>
      </c>
      <c r="N72" t="s">
        <v>2295</v>
      </c>
      <c r="O72" t="s">
        <v>2918</v>
      </c>
      <c r="P72" t="s">
        <v>3030</v>
      </c>
      <c r="Q72" t="s">
        <v>1566</v>
      </c>
      <c r="R72" s="31">
        <v>229</v>
      </c>
      <c r="T72" t="s">
        <v>2290</v>
      </c>
    </row>
    <row r="73" spans="1:20" hidden="1" x14ac:dyDescent="0.35">
      <c r="A73">
        <v>2023</v>
      </c>
      <c r="B73" t="s">
        <v>772</v>
      </c>
      <c r="C73" t="s">
        <v>2923</v>
      </c>
      <c r="D73" t="s">
        <v>27</v>
      </c>
      <c r="E73" t="s">
        <v>28</v>
      </c>
      <c r="F73" t="s">
        <v>1166</v>
      </c>
      <c r="H73" t="s">
        <v>2055</v>
      </c>
      <c r="I73" t="s">
        <v>11</v>
      </c>
      <c r="J73" t="s">
        <v>23</v>
      </c>
      <c r="K73" t="s">
        <v>16</v>
      </c>
      <c r="L73" t="s">
        <v>16</v>
      </c>
      <c r="M73" t="s">
        <v>3015</v>
      </c>
      <c r="N73" t="s">
        <v>1545</v>
      </c>
      <c r="O73" t="s">
        <v>2918</v>
      </c>
      <c r="P73" t="s">
        <v>3030</v>
      </c>
      <c r="Q73" t="s">
        <v>1546</v>
      </c>
      <c r="R73" s="31">
        <v>1266009</v>
      </c>
      <c r="S73" t="s">
        <v>2919</v>
      </c>
      <c r="T73" t="s">
        <v>1831</v>
      </c>
    </row>
    <row r="74" spans="1:20" x14ac:dyDescent="0.35">
      <c r="A74">
        <v>2023</v>
      </c>
      <c r="B74" t="s">
        <v>772</v>
      </c>
      <c r="C74" t="s">
        <v>2923</v>
      </c>
      <c r="D74" t="s">
        <v>27</v>
      </c>
      <c r="E74" t="s">
        <v>28</v>
      </c>
      <c r="F74" t="s">
        <v>1166</v>
      </c>
      <c r="H74" t="s">
        <v>2055</v>
      </c>
      <c r="I74" t="s">
        <v>11</v>
      </c>
      <c r="J74" t="s">
        <v>23</v>
      </c>
      <c r="K74" t="s">
        <v>16</v>
      </c>
      <c r="L74" t="s">
        <v>16</v>
      </c>
      <c r="M74" t="s">
        <v>3016</v>
      </c>
      <c r="N74" t="s">
        <v>3228</v>
      </c>
      <c r="O74" t="s">
        <v>2918</v>
      </c>
      <c r="P74" t="s">
        <v>3030</v>
      </c>
      <c r="Q74" t="s">
        <v>1548</v>
      </c>
      <c r="R74" s="31">
        <v>141045</v>
      </c>
      <c r="T74" t="s">
        <v>1831</v>
      </c>
    </row>
    <row r="75" spans="1:20" x14ac:dyDescent="0.35">
      <c r="A75">
        <v>2024</v>
      </c>
      <c r="B75" t="s">
        <v>772</v>
      </c>
      <c r="C75" t="s">
        <v>2923</v>
      </c>
      <c r="D75" t="s">
        <v>101</v>
      </c>
      <c r="E75" t="s">
        <v>126</v>
      </c>
      <c r="F75" t="s">
        <v>1400</v>
      </c>
      <c r="H75" t="s">
        <v>1850</v>
      </c>
      <c r="I75" t="s">
        <v>11</v>
      </c>
      <c r="J75" t="s">
        <v>34</v>
      </c>
      <c r="K75" t="s">
        <v>127</v>
      </c>
      <c r="L75" t="s">
        <v>125</v>
      </c>
      <c r="M75" t="s">
        <v>3016</v>
      </c>
      <c r="N75" t="s">
        <v>1778</v>
      </c>
      <c r="O75" t="s">
        <v>2918</v>
      </c>
      <c r="P75" t="s">
        <v>3030</v>
      </c>
      <c r="Q75" t="s">
        <v>1566</v>
      </c>
      <c r="R75" s="31">
        <v>102.4</v>
      </c>
      <c r="T75" t="s">
        <v>1873</v>
      </c>
    </row>
    <row r="76" spans="1:20" x14ac:dyDescent="0.35">
      <c r="A76">
        <v>2024</v>
      </c>
      <c r="B76" t="s">
        <v>772</v>
      </c>
      <c r="C76" t="s">
        <v>2923</v>
      </c>
      <c r="D76" t="s">
        <v>101</v>
      </c>
      <c r="E76" t="s">
        <v>126</v>
      </c>
      <c r="F76" t="s">
        <v>1400</v>
      </c>
      <c r="H76" t="s">
        <v>1850</v>
      </c>
      <c r="I76" t="s">
        <v>11</v>
      </c>
      <c r="J76" t="s">
        <v>34</v>
      </c>
      <c r="K76" t="s">
        <v>127</v>
      </c>
      <c r="L76" t="s">
        <v>1874</v>
      </c>
      <c r="M76" t="s">
        <v>3016</v>
      </c>
      <c r="N76" t="s">
        <v>1778</v>
      </c>
      <c r="O76" t="s">
        <v>2918</v>
      </c>
      <c r="P76" t="s">
        <v>3030</v>
      </c>
      <c r="Q76" t="s">
        <v>1566</v>
      </c>
      <c r="R76" s="31">
        <v>0.9</v>
      </c>
      <c r="T76" t="s">
        <v>1873</v>
      </c>
    </row>
    <row r="77" spans="1:20" hidden="1" x14ac:dyDescent="0.35">
      <c r="A77">
        <v>2024</v>
      </c>
      <c r="B77" t="s">
        <v>772</v>
      </c>
      <c r="C77" t="s">
        <v>2923</v>
      </c>
      <c r="D77" t="s">
        <v>101</v>
      </c>
      <c r="E77" t="s">
        <v>126</v>
      </c>
      <c r="F77" t="s">
        <v>1400</v>
      </c>
      <c r="H77" t="s">
        <v>1850</v>
      </c>
      <c r="I77" t="s">
        <v>11</v>
      </c>
      <c r="J77" t="s">
        <v>34</v>
      </c>
      <c r="K77" t="s">
        <v>127</v>
      </c>
      <c r="L77" t="s">
        <v>1776</v>
      </c>
      <c r="M77" t="s">
        <v>3015</v>
      </c>
      <c r="N77" t="s">
        <v>1545</v>
      </c>
      <c r="O77" t="s">
        <v>2918</v>
      </c>
      <c r="P77" t="s">
        <v>3197</v>
      </c>
      <c r="Q77" t="s">
        <v>1566</v>
      </c>
      <c r="R77" s="31">
        <f>R75/(0.005/0.85)</f>
        <v>17408</v>
      </c>
      <c r="S77" t="s">
        <v>3223</v>
      </c>
      <c r="T77" t="s">
        <v>3224</v>
      </c>
    </row>
    <row r="78" spans="1:20" x14ac:dyDescent="0.35">
      <c r="A78">
        <v>2023</v>
      </c>
      <c r="B78" t="s">
        <v>772</v>
      </c>
      <c r="C78" t="s">
        <v>2923</v>
      </c>
      <c r="D78" t="s">
        <v>736</v>
      </c>
      <c r="E78" t="s">
        <v>25</v>
      </c>
      <c r="F78" t="s">
        <v>1136</v>
      </c>
      <c r="H78" t="s">
        <v>2037</v>
      </c>
      <c r="I78" t="s">
        <v>11</v>
      </c>
      <c r="J78" t="s">
        <v>13</v>
      </c>
      <c r="K78" t="s">
        <v>16</v>
      </c>
      <c r="L78" t="s">
        <v>16</v>
      </c>
      <c r="M78" t="s">
        <v>3016</v>
      </c>
      <c r="N78" t="s">
        <v>3228</v>
      </c>
      <c r="O78" t="s">
        <v>2918</v>
      </c>
      <c r="P78" t="s">
        <v>3030</v>
      </c>
      <c r="Q78" t="s">
        <v>1548</v>
      </c>
      <c r="R78" s="31">
        <v>131400</v>
      </c>
      <c r="T78" t="s">
        <v>1601</v>
      </c>
    </row>
    <row r="79" spans="1:20" hidden="1" x14ac:dyDescent="0.35">
      <c r="A79">
        <v>2023</v>
      </c>
      <c r="B79" t="s">
        <v>772</v>
      </c>
      <c r="C79" t="s">
        <v>2923</v>
      </c>
      <c r="D79" t="s">
        <v>736</v>
      </c>
      <c r="E79" t="s">
        <v>25</v>
      </c>
      <c r="F79" t="s">
        <v>1136</v>
      </c>
      <c r="H79" t="s">
        <v>2037</v>
      </c>
      <c r="I79" t="s">
        <v>11</v>
      </c>
      <c r="J79" t="s">
        <v>13</v>
      </c>
      <c r="K79" t="s">
        <v>16</v>
      </c>
      <c r="L79" t="s">
        <v>16</v>
      </c>
      <c r="M79" t="s">
        <v>3014</v>
      </c>
      <c r="N79" t="s">
        <v>1594</v>
      </c>
      <c r="O79" t="s">
        <v>2918</v>
      </c>
      <c r="P79" t="s">
        <v>3030</v>
      </c>
      <c r="Q79" t="s">
        <v>1546</v>
      </c>
      <c r="R79" s="31">
        <v>437541</v>
      </c>
      <c r="T79" t="s">
        <v>1601</v>
      </c>
    </row>
    <row r="80" spans="1:20" hidden="1" x14ac:dyDescent="0.35">
      <c r="A80">
        <v>2023</v>
      </c>
      <c r="B80" t="s">
        <v>772</v>
      </c>
      <c r="C80" t="s">
        <v>2923</v>
      </c>
      <c r="D80" t="s">
        <v>736</v>
      </c>
      <c r="E80" t="s">
        <v>25</v>
      </c>
      <c r="F80" t="s">
        <v>1136</v>
      </c>
      <c r="H80" t="s">
        <v>2037</v>
      </c>
      <c r="I80" t="s">
        <v>11</v>
      </c>
      <c r="J80" t="s">
        <v>13</v>
      </c>
      <c r="K80" t="s">
        <v>16</v>
      </c>
      <c r="L80" t="s">
        <v>16</v>
      </c>
      <c r="M80" t="s">
        <v>3015</v>
      </c>
      <c r="N80" t="s">
        <v>1545</v>
      </c>
      <c r="O80" t="s">
        <v>2918</v>
      </c>
      <c r="P80" t="s">
        <v>3030</v>
      </c>
      <c r="Q80" t="s">
        <v>1546</v>
      </c>
      <c r="R80" s="31">
        <v>439008</v>
      </c>
      <c r="T80" t="s">
        <v>1601</v>
      </c>
    </row>
    <row r="81" spans="1:20" hidden="1" x14ac:dyDescent="0.35">
      <c r="A81">
        <v>2023</v>
      </c>
      <c r="B81" t="s">
        <v>772</v>
      </c>
      <c r="C81" t="s">
        <v>2923</v>
      </c>
      <c r="D81" t="s">
        <v>311</v>
      </c>
      <c r="E81" t="s">
        <v>312</v>
      </c>
      <c r="F81" t="s">
        <v>1266</v>
      </c>
      <c r="H81" t="s">
        <v>2116</v>
      </c>
      <c r="I81" t="s">
        <v>233</v>
      </c>
      <c r="J81" t="s">
        <v>255</v>
      </c>
      <c r="K81" t="s">
        <v>244</v>
      </c>
      <c r="L81" t="s">
        <v>244</v>
      </c>
      <c r="M81" t="s">
        <v>3017</v>
      </c>
      <c r="N81" t="s">
        <v>2305</v>
      </c>
      <c r="O81" t="s">
        <v>2917</v>
      </c>
      <c r="P81" t="s">
        <v>3030</v>
      </c>
      <c r="Q81" t="s">
        <v>1876</v>
      </c>
      <c r="R81" s="31">
        <v>650</v>
      </c>
      <c r="T81" t="s">
        <v>2326</v>
      </c>
    </row>
    <row r="82" spans="1:20" x14ac:dyDescent="0.35">
      <c r="A82">
        <v>2023</v>
      </c>
      <c r="B82" t="s">
        <v>772</v>
      </c>
      <c r="C82" t="s">
        <v>2923</v>
      </c>
      <c r="D82" t="s">
        <v>8</v>
      </c>
      <c r="E82" t="s">
        <v>9</v>
      </c>
      <c r="F82" t="s">
        <v>1264</v>
      </c>
      <c r="H82" t="s">
        <v>1902</v>
      </c>
      <c r="I82" t="s">
        <v>11</v>
      </c>
      <c r="J82" t="s">
        <v>23</v>
      </c>
      <c r="K82" t="s">
        <v>12</v>
      </c>
      <c r="L82" t="s">
        <v>1615</v>
      </c>
      <c r="M82" t="s">
        <v>3016</v>
      </c>
      <c r="N82" t="s">
        <v>1778</v>
      </c>
      <c r="O82" t="s">
        <v>2918</v>
      </c>
      <c r="P82" t="s">
        <v>3030</v>
      </c>
      <c r="Q82" t="s">
        <v>1546</v>
      </c>
      <c r="R82" s="31">
        <v>1225</v>
      </c>
      <c r="S82" t="s">
        <v>2935</v>
      </c>
      <c r="T82" t="s">
        <v>972</v>
      </c>
    </row>
    <row r="83" spans="1:20" x14ac:dyDescent="0.35">
      <c r="A83">
        <v>2023</v>
      </c>
      <c r="B83" t="s">
        <v>772</v>
      </c>
      <c r="C83" t="s">
        <v>2923</v>
      </c>
      <c r="D83" t="s">
        <v>8</v>
      </c>
      <c r="E83" t="s">
        <v>9</v>
      </c>
      <c r="F83" t="s">
        <v>1264</v>
      </c>
      <c r="H83" t="s">
        <v>1902</v>
      </c>
      <c r="I83" t="s">
        <v>11</v>
      </c>
      <c r="J83" t="s">
        <v>23</v>
      </c>
      <c r="K83" t="s">
        <v>12</v>
      </c>
      <c r="L83" t="s">
        <v>1549</v>
      </c>
      <c r="M83" t="s">
        <v>3016</v>
      </c>
      <c r="N83" t="s">
        <v>3228</v>
      </c>
      <c r="O83" t="s">
        <v>2918</v>
      </c>
      <c r="P83" t="s">
        <v>3030</v>
      </c>
      <c r="Q83" t="s">
        <v>1548</v>
      </c>
      <c r="R83" s="31">
        <v>1502577</v>
      </c>
      <c r="S83" t="s">
        <v>2935</v>
      </c>
      <c r="T83" s="2" t="s">
        <v>972</v>
      </c>
    </row>
    <row r="84" spans="1:20" x14ac:dyDescent="0.35">
      <c r="A84">
        <v>2023</v>
      </c>
      <c r="B84" t="s">
        <v>772</v>
      </c>
      <c r="C84" t="s">
        <v>2923</v>
      </c>
      <c r="D84" t="s">
        <v>8</v>
      </c>
      <c r="E84" t="s">
        <v>9</v>
      </c>
      <c r="F84" t="s">
        <v>1264</v>
      </c>
      <c r="H84" t="s">
        <v>1902</v>
      </c>
      <c r="I84" t="s">
        <v>11</v>
      </c>
      <c r="J84" t="s">
        <v>23</v>
      </c>
      <c r="K84" t="s">
        <v>12</v>
      </c>
      <c r="L84" t="s">
        <v>1551</v>
      </c>
      <c r="M84" t="s">
        <v>3016</v>
      </c>
      <c r="N84" t="s">
        <v>1778</v>
      </c>
      <c r="O84" t="s">
        <v>2918</v>
      </c>
      <c r="P84" t="s">
        <v>3030</v>
      </c>
      <c r="Q84" t="s">
        <v>1546</v>
      </c>
      <c r="R84" s="31">
        <v>1339</v>
      </c>
      <c r="S84" t="s">
        <v>2935</v>
      </c>
      <c r="T84" t="s">
        <v>972</v>
      </c>
    </row>
    <row r="85" spans="1:20" hidden="1" x14ac:dyDescent="0.35">
      <c r="A85">
        <v>2024</v>
      </c>
      <c r="B85" t="s">
        <v>772</v>
      </c>
      <c r="C85" t="s">
        <v>2923</v>
      </c>
      <c r="D85" t="s">
        <v>8</v>
      </c>
      <c r="E85" t="s">
        <v>9</v>
      </c>
      <c r="F85" t="s">
        <v>1264</v>
      </c>
      <c r="H85" t="s">
        <v>1902</v>
      </c>
      <c r="I85" t="s">
        <v>11</v>
      </c>
      <c r="J85" t="s">
        <v>23</v>
      </c>
      <c r="K85" t="s">
        <v>12</v>
      </c>
      <c r="L85" t="s">
        <v>1776</v>
      </c>
      <c r="M85" t="s">
        <v>3015</v>
      </c>
      <c r="N85" t="s">
        <v>3180</v>
      </c>
      <c r="O85" t="s">
        <v>2918</v>
      </c>
      <c r="P85" t="s">
        <v>3030</v>
      </c>
      <c r="Q85" t="s">
        <v>1546</v>
      </c>
      <c r="R85" s="31">
        <v>127307</v>
      </c>
      <c r="T85" t="s">
        <v>3181</v>
      </c>
    </row>
    <row r="86" spans="1:20" x14ac:dyDescent="0.35">
      <c r="A86">
        <v>2023</v>
      </c>
      <c r="B86" t="s">
        <v>1537</v>
      </c>
      <c r="C86" t="s">
        <v>2923</v>
      </c>
      <c r="D86" t="s">
        <v>208</v>
      </c>
      <c r="E86" t="s">
        <v>706</v>
      </c>
      <c r="G86" t="s">
        <v>2061</v>
      </c>
      <c r="H86" t="s">
        <v>1756</v>
      </c>
      <c r="I86" t="s">
        <v>11</v>
      </c>
      <c r="J86" t="s">
        <v>21</v>
      </c>
      <c r="K86" t="s">
        <v>210</v>
      </c>
      <c r="L86" t="s">
        <v>210</v>
      </c>
      <c r="M86" t="s">
        <v>3016</v>
      </c>
      <c r="N86" t="s">
        <v>1778</v>
      </c>
      <c r="O86" t="s">
        <v>2918</v>
      </c>
      <c r="P86" t="s">
        <v>3030</v>
      </c>
      <c r="Q86" t="s">
        <v>1713</v>
      </c>
      <c r="R86" s="31">
        <v>13.5</v>
      </c>
      <c r="S86" t="s">
        <v>3210</v>
      </c>
      <c r="T86" t="s">
        <v>1880</v>
      </c>
    </row>
    <row r="87" spans="1:20" hidden="1" x14ac:dyDescent="0.35">
      <c r="A87">
        <v>2023</v>
      </c>
      <c r="B87" t="s">
        <v>1537</v>
      </c>
      <c r="C87" t="s">
        <v>2923</v>
      </c>
      <c r="D87" t="s">
        <v>208</v>
      </c>
      <c r="E87" t="s">
        <v>706</v>
      </c>
      <c r="G87" t="s">
        <v>2061</v>
      </c>
      <c r="H87" t="s">
        <v>1756</v>
      </c>
      <c r="I87" t="s">
        <v>11</v>
      </c>
      <c r="J87" t="s">
        <v>21</v>
      </c>
      <c r="K87" t="s">
        <v>210</v>
      </c>
      <c r="L87" t="s">
        <v>210</v>
      </c>
      <c r="M87" t="s">
        <v>3015</v>
      </c>
      <c r="N87" t="s">
        <v>1545</v>
      </c>
      <c r="O87" t="s">
        <v>2918</v>
      </c>
      <c r="P87" t="s">
        <v>3197</v>
      </c>
      <c r="Q87" t="s">
        <v>1713</v>
      </c>
      <c r="R87" s="31">
        <f>13.5/(0.0655*0.95)</f>
        <v>216.95460024106066</v>
      </c>
      <c r="S87" t="s">
        <v>3218</v>
      </c>
      <c r="T87" t="s">
        <v>1530</v>
      </c>
    </row>
    <row r="88" spans="1:20" x14ac:dyDescent="0.35">
      <c r="A88">
        <v>2023</v>
      </c>
      <c r="B88" t="s">
        <v>772</v>
      </c>
      <c r="C88" t="s">
        <v>2923</v>
      </c>
      <c r="D88" t="s">
        <v>715</v>
      </c>
      <c r="E88" t="s">
        <v>143</v>
      </c>
      <c r="F88" t="s">
        <v>1249</v>
      </c>
      <c r="H88" t="s">
        <v>2104</v>
      </c>
      <c r="I88" t="s">
        <v>11</v>
      </c>
      <c r="J88" t="s">
        <v>44</v>
      </c>
      <c r="K88" t="s">
        <v>144</v>
      </c>
      <c r="L88" t="s">
        <v>1551</v>
      </c>
      <c r="M88" t="s">
        <v>3016</v>
      </c>
      <c r="N88" t="s">
        <v>1778</v>
      </c>
      <c r="O88" t="s">
        <v>2918</v>
      </c>
      <c r="P88" t="s">
        <v>3030</v>
      </c>
      <c r="Q88" t="s">
        <v>1566</v>
      </c>
      <c r="R88" s="31">
        <v>38.6</v>
      </c>
      <c r="T88" t="s">
        <v>1774</v>
      </c>
    </row>
    <row r="89" spans="1:20" x14ac:dyDescent="0.35">
      <c r="A89">
        <v>2023</v>
      </c>
      <c r="B89" t="s">
        <v>772</v>
      </c>
      <c r="C89" t="s">
        <v>2923</v>
      </c>
      <c r="D89" t="s">
        <v>715</v>
      </c>
      <c r="E89" t="s">
        <v>143</v>
      </c>
      <c r="F89" t="s">
        <v>1249</v>
      </c>
      <c r="H89" t="s">
        <v>2104</v>
      </c>
      <c r="I89" t="s">
        <v>11</v>
      </c>
      <c r="J89" t="s">
        <v>44</v>
      </c>
      <c r="K89" t="s">
        <v>144</v>
      </c>
      <c r="L89" t="s">
        <v>125</v>
      </c>
      <c r="M89" t="s">
        <v>3016</v>
      </c>
      <c r="N89" t="s">
        <v>1778</v>
      </c>
      <c r="O89" t="s">
        <v>2918</v>
      </c>
      <c r="P89" t="s">
        <v>3030</v>
      </c>
      <c r="Q89" t="s">
        <v>1566</v>
      </c>
      <c r="R89" s="31">
        <v>22.6</v>
      </c>
      <c r="T89" t="s">
        <v>1774</v>
      </c>
    </row>
    <row r="90" spans="1:20" x14ac:dyDescent="0.35">
      <c r="A90">
        <v>2023</v>
      </c>
      <c r="B90" t="s">
        <v>772</v>
      </c>
      <c r="C90" t="s">
        <v>2923</v>
      </c>
      <c r="D90" t="s">
        <v>715</v>
      </c>
      <c r="E90" t="s">
        <v>143</v>
      </c>
      <c r="F90" t="s">
        <v>1249</v>
      </c>
      <c r="H90" t="s">
        <v>2104</v>
      </c>
      <c r="I90" t="s">
        <v>11</v>
      </c>
      <c r="J90" t="s">
        <v>44</v>
      </c>
      <c r="K90" t="s">
        <v>144</v>
      </c>
      <c r="L90" t="s">
        <v>1549</v>
      </c>
      <c r="M90" t="s">
        <v>3016</v>
      </c>
      <c r="N90" t="s">
        <v>3228</v>
      </c>
      <c r="O90" t="s">
        <v>2918</v>
      </c>
      <c r="P90" t="s">
        <v>3030</v>
      </c>
      <c r="Q90" t="s">
        <v>1550</v>
      </c>
      <c r="R90" s="31">
        <v>1378</v>
      </c>
      <c r="T90" t="s">
        <v>1774</v>
      </c>
    </row>
    <row r="91" spans="1:20" hidden="1" x14ac:dyDescent="0.35">
      <c r="A91">
        <v>2023</v>
      </c>
      <c r="B91" t="s">
        <v>772</v>
      </c>
      <c r="C91" t="s">
        <v>2923</v>
      </c>
      <c r="D91" t="s">
        <v>715</v>
      </c>
      <c r="E91" t="s">
        <v>143</v>
      </c>
      <c r="F91" t="s">
        <v>1249</v>
      </c>
      <c r="H91" t="s">
        <v>2104</v>
      </c>
      <c r="I91" t="s">
        <v>11</v>
      </c>
      <c r="J91" t="s">
        <v>44</v>
      </c>
      <c r="K91" t="s">
        <v>144</v>
      </c>
      <c r="L91" t="s">
        <v>1776</v>
      </c>
      <c r="M91" t="s">
        <v>3015</v>
      </c>
      <c r="N91" t="s">
        <v>1545</v>
      </c>
      <c r="O91" t="s">
        <v>2918</v>
      </c>
      <c r="P91" t="s">
        <v>3197</v>
      </c>
      <c r="Q91" t="s">
        <v>1566</v>
      </c>
      <c r="R91" s="31">
        <f>22.6/(0.0141*0.85)</f>
        <v>1885.6904463913227</v>
      </c>
      <c r="S91" t="s">
        <v>3219</v>
      </c>
    </row>
    <row r="92" spans="1:20" x14ac:dyDescent="0.35">
      <c r="A92">
        <v>2023</v>
      </c>
      <c r="B92" t="s">
        <v>772</v>
      </c>
      <c r="C92" t="s">
        <v>2923</v>
      </c>
      <c r="D92" t="s">
        <v>730</v>
      </c>
      <c r="E92" t="s">
        <v>60</v>
      </c>
      <c r="F92" t="s">
        <v>1437</v>
      </c>
      <c r="H92" t="s">
        <v>2220</v>
      </c>
      <c r="I92" t="s">
        <v>11</v>
      </c>
      <c r="J92" t="s">
        <v>19</v>
      </c>
      <c r="K92" t="s">
        <v>16</v>
      </c>
      <c r="L92" t="s">
        <v>16</v>
      </c>
      <c r="M92" t="s">
        <v>3016</v>
      </c>
      <c r="N92" t="s">
        <v>3228</v>
      </c>
      <c r="O92" t="s">
        <v>2918</v>
      </c>
      <c r="P92" t="s">
        <v>3030</v>
      </c>
      <c r="Q92" t="s">
        <v>1736</v>
      </c>
      <c r="R92" s="31">
        <v>35537</v>
      </c>
      <c r="S92" s="42" t="s">
        <v>3175</v>
      </c>
      <c r="T92" t="s">
        <v>1733</v>
      </c>
    </row>
    <row r="93" spans="1:20" hidden="1" x14ac:dyDescent="0.35">
      <c r="A93">
        <v>2023</v>
      </c>
      <c r="B93" t="s">
        <v>772</v>
      </c>
      <c r="C93" t="s">
        <v>2923</v>
      </c>
      <c r="D93" t="s">
        <v>730</v>
      </c>
      <c r="E93" t="s">
        <v>60</v>
      </c>
      <c r="F93" t="s">
        <v>1437</v>
      </c>
      <c r="H93" t="s">
        <v>2220</v>
      </c>
      <c r="I93" t="s">
        <v>11</v>
      </c>
      <c r="J93" t="s">
        <v>19</v>
      </c>
      <c r="K93" t="s">
        <v>16</v>
      </c>
      <c r="L93" t="s">
        <v>16</v>
      </c>
      <c r="M93" t="s">
        <v>3015</v>
      </c>
      <c r="N93" t="s">
        <v>1734</v>
      </c>
      <c r="O93" t="s">
        <v>2918</v>
      </c>
      <c r="P93" t="s">
        <v>3030</v>
      </c>
      <c r="Q93" t="s">
        <v>1546</v>
      </c>
      <c r="R93" s="31">
        <v>191148</v>
      </c>
      <c r="T93" t="s">
        <v>1733</v>
      </c>
    </row>
    <row r="94" spans="1:20" hidden="1" x14ac:dyDescent="0.35">
      <c r="A94">
        <v>2023</v>
      </c>
      <c r="B94" t="s">
        <v>772</v>
      </c>
      <c r="C94" t="s">
        <v>2923</v>
      </c>
      <c r="D94" t="s">
        <v>718</v>
      </c>
      <c r="E94" t="s">
        <v>315</v>
      </c>
      <c r="F94" t="s">
        <v>1351</v>
      </c>
      <c r="H94" t="s">
        <v>2167</v>
      </c>
      <c r="I94" t="s">
        <v>233</v>
      </c>
      <c r="J94" t="s">
        <v>249</v>
      </c>
      <c r="K94" t="s">
        <v>248</v>
      </c>
      <c r="L94" t="s">
        <v>376</v>
      </c>
      <c r="M94" t="s">
        <v>3017</v>
      </c>
      <c r="N94" t="s">
        <v>2295</v>
      </c>
      <c r="O94" t="s">
        <v>2917</v>
      </c>
      <c r="P94" t="s">
        <v>3030</v>
      </c>
      <c r="Q94" t="s">
        <v>1546</v>
      </c>
      <c r="R94" s="31">
        <v>432000</v>
      </c>
      <c r="T94" s="2" t="s">
        <v>2934</v>
      </c>
    </row>
    <row r="95" spans="1:20" hidden="1" x14ac:dyDescent="0.35">
      <c r="A95">
        <v>2023</v>
      </c>
      <c r="B95" t="s">
        <v>772</v>
      </c>
      <c r="C95" t="s">
        <v>2923</v>
      </c>
      <c r="D95" t="s">
        <v>718</v>
      </c>
      <c r="E95" t="s">
        <v>315</v>
      </c>
      <c r="F95" t="s">
        <v>1351</v>
      </c>
      <c r="H95" t="s">
        <v>2167</v>
      </c>
      <c r="I95" t="s">
        <v>233</v>
      </c>
      <c r="J95" t="s">
        <v>249</v>
      </c>
      <c r="K95" t="s">
        <v>248</v>
      </c>
      <c r="L95" t="s">
        <v>376</v>
      </c>
      <c r="M95" t="s">
        <v>3017</v>
      </c>
      <c r="N95" t="s">
        <v>2295</v>
      </c>
      <c r="O95" t="s">
        <v>2918</v>
      </c>
      <c r="P95" t="s">
        <v>3030</v>
      </c>
      <c r="Q95" t="s">
        <v>1566</v>
      </c>
      <c r="R95" s="31">
        <v>377.27207800000002</v>
      </c>
      <c r="T95" t="s">
        <v>2290</v>
      </c>
    </row>
    <row r="96" spans="1:20" hidden="1" x14ac:dyDescent="0.35">
      <c r="A96">
        <v>2023</v>
      </c>
      <c r="B96" t="s">
        <v>772</v>
      </c>
      <c r="C96" t="s">
        <v>2923</v>
      </c>
      <c r="D96" t="s">
        <v>859</v>
      </c>
      <c r="E96" t="s">
        <v>203</v>
      </c>
      <c r="F96" t="s">
        <v>1277</v>
      </c>
      <c r="H96" t="s">
        <v>2119</v>
      </c>
      <c r="I96" t="s">
        <v>11</v>
      </c>
      <c r="J96" t="s">
        <v>23</v>
      </c>
      <c r="K96" t="s">
        <v>204</v>
      </c>
      <c r="L96" t="s">
        <v>1776</v>
      </c>
      <c r="M96" t="s">
        <v>3015</v>
      </c>
      <c r="N96" t="s">
        <v>1734</v>
      </c>
      <c r="O96" t="s">
        <v>2918</v>
      </c>
      <c r="P96" t="s">
        <v>3030</v>
      </c>
      <c r="Q96" t="s">
        <v>1566</v>
      </c>
      <c r="R96" s="31">
        <v>10248</v>
      </c>
      <c r="T96" t="s">
        <v>1939</v>
      </c>
    </row>
    <row r="97" spans="1:20" x14ac:dyDescent="0.35">
      <c r="A97">
        <v>2023</v>
      </c>
      <c r="B97" t="s">
        <v>772</v>
      </c>
      <c r="C97" t="s">
        <v>2923</v>
      </c>
      <c r="D97" t="s">
        <v>859</v>
      </c>
      <c r="E97" t="s">
        <v>203</v>
      </c>
      <c r="F97" t="s">
        <v>1277</v>
      </c>
      <c r="H97" t="s">
        <v>2119</v>
      </c>
      <c r="I97" t="s">
        <v>11</v>
      </c>
      <c r="J97" t="s">
        <v>23</v>
      </c>
      <c r="K97" t="s">
        <v>204</v>
      </c>
      <c r="L97" t="s">
        <v>2999</v>
      </c>
      <c r="M97" t="s">
        <v>3016</v>
      </c>
      <c r="N97" t="s">
        <v>3228</v>
      </c>
      <c r="O97" t="s">
        <v>2918</v>
      </c>
      <c r="P97" t="s">
        <v>3030</v>
      </c>
      <c r="Q97" t="s">
        <v>1550</v>
      </c>
      <c r="R97" s="31">
        <v>1232</v>
      </c>
      <c r="T97" t="s">
        <v>1939</v>
      </c>
    </row>
    <row r="98" spans="1:20" hidden="1" x14ac:dyDescent="0.35">
      <c r="A98">
        <v>2023</v>
      </c>
      <c r="B98" t="s">
        <v>772</v>
      </c>
      <c r="C98" t="s">
        <v>2923</v>
      </c>
      <c r="D98" t="s">
        <v>717</v>
      </c>
      <c r="E98" t="s">
        <v>89</v>
      </c>
      <c r="F98" t="s">
        <v>1269</v>
      </c>
      <c r="G98" t="s">
        <v>1854</v>
      </c>
      <c r="H98" t="s">
        <v>1853</v>
      </c>
      <c r="I98" t="s">
        <v>11</v>
      </c>
      <c r="J98" t="s">
        <v>21</v>
      </c>
      <c r="K98" t="s">
        <v>90</v>
      </c>
      <c r="L98" t="s">
        <v>1776</v>
      </c>
      <c r="M98" t="s">
        <v>3014</v>
      </c>
      <c r="N98" t="s">
        <v>1594</v>
      </c>
      <c r="O98" t="s">
        <v>2918</v>
      </c>
      <c r="P98" t="s">
        <v>3030</v>
      </c>
      <c r="Q98" t="s">
        <v>1546</v>
      </c>
      <c r="R98" s="31">
        <v>1526729</v>
      </c>
      <c r="T98" t="s">
        <v>1777</v>
      </c>
    </row>
    <row r="99" spans="1:20" x14ac:dyDescent="0.35">
      <c r="A99">
        <v>2023</v>
      </c>
      <c r="B99" t="s">
        <v>772</v>
      </c>
      <c r="C99" t="s">
        <v>2923</v>
      </c>
      <c r="D99" t="s">
        <v>30</v>
      </c>
      <c r="E99" t="s">
        <v>31</v>
      </c>
      <c r="F99" t="s">
        <v>1210</v>
      </c>
      <c r="H99" t="s">
        <v>2080</v>
      </c>
      <c r="I99" t="s">
        <v>11</v>
      </c>
      <c r="J99" t="s">
        <v>13</v>
      </c>
      <c r="K99" t="s">
        <v>16</v>
      </c>
      <c r="L99" t="s">
        <v>16</v>
      </c>
      <c r="M99" t="s">
        <v>3016</v>
      </c>
      <c r="N99" t="s">
        <v>3228</v>
      </c>
      <c r="O99" t="s">
        <v>2918</v>
      </c>
      <c r="P99" t="s">
        <v>3030</v>
      </c>
      <c r="Q99" t="s">
        <v>1548</v>
      </c>
      <c r="R99" s="31">
        <v>177069</v>
      </c>
      <c r="T99" t="s">
        <v>1885</v>
      </c>
    </row>
    <row r="100" spans="1:20" hidden="1" x14ac:dyDescent="0.35">
      <c r="A100">
        <v>2023</v>
      </c>
      <c r="B100" t="s">
        <v>772</v>
      </c>
      <c r="C100" t="s">
        <v>2923</v>
      </c>
      <c r="D100" t="s">
        <v>30</v>
      </c>
      <c r="E100" t="s">
        <v>31</v>
      </c>
      <c r="F100" t="s">
        <v>1210</v>
      </c>
      <c r="H100" t="s">
        <v>2080</v>
      </c>
      <c r="I100" t="s">
        <v>11</v>
      </c>
      <c r="J100" t="s">
        <v>13</v>
      </c>
      <c r="K100" t="s">
        <v>16</v>
      </c>
      <c r="L100" t="s">
        <v>16</v>
      </c>
      <c r="M100" t="s">
        <v>3015</v>
      </c>
      <c r="N100" t="s">
        <v>1734</v>
      </c>
      <c r="O100" t="s">
        <v>2918</v>
      </c>
      <c r="P100" t="s">
        <v>3030</v>
      </c>
      <c r="Q100" t="s">
        <v>1546</v>
      </c>
      <c r="R100" s="31">
        <v>838419</v>
      </c>
      <c r="T100" t="s">
        <v>1885</v>
      </c>
    </row>
    <row r="101" spans="1:20" x14ac:dyDescent="0.35">
      <c r="A101">
        <v>2023</v>
      </c>
      <c r="B101" t="s">
        <v>772</v>
      </c>
      <c r="C101" t="s">
        <v>2923</v>
      </c>
      <c r="D101" t="s">
        <v>14</v>
      </c>
      <c r="E101" t="s">
        <v>91</v>
      </c>
      <c r="F101" t="s">
        <v>1126</v>
      </c>
      <c r="H101" t="s">
        <v>2034</v>
      </c>
      <c r="I101" t="s">
        <v>11</v>
      </c>
      <c r="J101" t="s">
        <v>23</v>
      </c>
      <c r="K101" t="s">
        <v>92</v>
      </c>
      <c r="L101" t="s">
        <v>125</v>
      </c>
      <c r="M101" t="s">
        <v>3016</v>
      </c>
      <c r="N101" t="s">
        <v>1778</v>
      </c>
      <c r="O101" t="s">
        <v>2918</v>
      </c>
      <c r="P101" t="s">
        <v>3030</v>
      </c>
      <c r="Q101" t="s">
        <v>1546</v>
      </c>
      <c r="R101" s="31">
        <v>7702.4385169999996</v>
      </c>
      <c r="S101" t="s">
        <v>3225</v>
      </c>
      <c r="T101" t="s">
        <v>1547</v>
      </c>
    </row>
    <row r="102" spans="1:20" x14ac:dyDescent="0.35">
      <c r="A102">
        <v>2023</v>
      </c>
      <c r="B102" t="s">
        <v>772</v>
      </c>
      <c r="C102" t="s">
        <v>2923</v>
      </c>
      <c r="D102" t="s">
        <v>14</v>
      </c>
      <c r="E102" t="s">
        <v>91</v>
      </c>
      <c r="F102" t="s">
        <v>1126</v>
      </c>
      <c r="H102" t="s">
        <v>2034</v>
      </c>
      <c r="I102" t="s">
        <v>11</v>
      </c>
      <c r="J102" t="s">
        <v>23</v>
      </c>
      <c r="K102" t="s">
        <v>92</v>
      </c>
      <c r="L102" t="s">
        <v>16</v>
      </c>
      <c r="M102" t="s">
        <v>3016</v>
      </c>
      <c r="N102" t="s">
        <v>3228</v>
      </c>
      <c r="O102" t="s">
        <v>2918</v>
      </c>
      <c r="P102" t="s">
        <v>3030</v>
      </c>
      <c r="Q102" t="s">
        <v>1548</v>
      </c>
      <c r="R102" s="31">
        <v>306648.48645800003</v>
      </c>
      <c r="T102" t="s">
        <v>1547</v>
      </c>
    </row>
    <row r="103" spans="1:20" hidden="1" x14ac:dyDescent="0.35">
      <c r="A103">
        <v>2023</v>
      </c>
      <c r="B103" t="s">
        <v>772</v>
      </c>
      <c r="C103" t="s">
        <v>2923</v>
      </c>
      <c r="D103" t="s">
        <v>14</v>
      </c>
      <c r="E103" t="s">
        <v>91</v>
      </c>
      <c r="F103" t="s">
        <v>1126</v>
      </c>
      <c r="H103" t="s">
        <v>2034</v>
      </c>
      <c r="I103" t="s">
        <v>11</v>
      </c>
      <c r="J103" t="s">
        <v>23</v>
      </c>
      <c r="K103" t="s">
        <v>92</v>
      </c>
      <c r="L103" t="s">
        <v>1776</v>
      </c>
      <c r="M103" t="s">
        <v>3015</v>
      </c>
      <c r="N103" t="s">
        <v>1545</v>
      </c>
      <c r="O103" t="s">
        <v>2918</v>
      </c>
      <c r="P103" t="s">
        <v>3030</v>
      </c>
      <c r="Q103" t="s">
        <v>1546</v>
      </c>
      <c r="R103" s="31">
        <v>2658395.96049</v>
      </c>
      <c r="T103" t="s">
        <v>1547</v>
      </c>
    </row>
    <row r="104" spans="1:20" x14ac:dyDescent="0.35">
      <c r="A104">
        <v>2023</v>
      </c>
      <c r="B104" t="s">
        <v>772</v>
      </c>
      <c r="C104" t="s">
        <v>2923</v>
      </c>
      <c r="D104" t="s">
        <v>14</v>
      </c>
      <c r="E104" t="s">
        <v>91</v>
      </c>
      <c r="F104" t="s">
        <v>1126</v>
      </c>
      <c r="H104" t="s">
        <v>2034</v>
      </c>
      <c r="I104" t="s">
        <v>11</v>
      </c>
      <c r="J104" t="s">
        <v>23</v>
      </c>
      <c r="K104" t="s">
        <v>92</v>
      </c>
      <c r="L104" t="s">
        <v>1549</v>
      </c>
      <c r="M104" t="s">
        <v>3016</v>
      </c>
      <c r="N104" t="s">
        <v>3228</v>
      </c>
      <c r="O104" t="s">
        <v>2918</v>
      </c>
      <c r="P104" t="s">
        <v>3030</v>
      </c>
      <c r="Q104" t="s">
        <v>1550</v>
      </c>
      <c r="R104" s="31">
        <v>588</v>
      </c>
      <c r="T104" t="s">
        <v>1547</v>
      </c>
    </row>
    <row r="105" spans="1:20" x14ac:dyDescent="0.35">
      <c r="A105">
        <v>2023</v>
      </c>
      <c r="B105" t="s">
        <v>772</v>
      </c>
      <c r="C105" t="s">
        <v>2923</v>
      </c>
      <c r="D105" t="s">
        <v>14</v>
      </c>
      <c r="E105" t="s">
        <v>91</v>
      </c>
      <c r="F105" t="s">
        <v>1126</v>
      </c>
      <c r="H105" t="s">
        <v>2034</v>
      </c>
      <c r="I105" t="s">
        <v>11</v>
      </c>
      <c r="J105" t="s">
        <v>23</v>
      </c>
      <c r="K105" t="s">
        <v>92</v>
      </c>
      <c r="L105" t="s">
        <v>1551</v>
      </c>
      <c r="M105" t="s">
        <v>3016</v>
      </c>
      <c r="N105" t="s">
        <v>1778</v>
      </c>
      <c r="O105" t="s">
        <v>2918</v>
      </c>
      <c r="P105" t="s">
        <v>3030</v>
      </c>
      <c r="Q105" t="s">
        <v>1546</v>
      </c>
      <c r="R105" s="31">
        <v>2577.9603749999997</v>
      </c>
      <c r="T105" t="s">
        <v>1547</v>
      </c>
    </row>
    <row r="106" spans="1:20" hidden="1" x14ac:dyDescent="0.35">
      <c r="A106">
        <v>2023</v>
      </c>
      <c r="B106" t="s">
        <v>772</v>
      </c>
      <c r="C106" t="s">
        <v>2923</v>
      </c>
      <c r="D106" t="s">
        <v>718</v>
      </c>
      <c r="E106" t="s">
        <v>317</v>
      </c>
      <c r="F106" t="s">
        <v>1347</v>
      </c>
      <c r="G106" t="s">
        <v>2169</v>
      </c>
      <c r="H106" t="s">
        <v>2167</v>
      </c>
      <c r="I106" t="s">
        <v>233</v>
      </c>
      <c r="J106" t="s">
        <v>249</v>
      </c>
      <c r="K106" t="s">
        <v>248</v>
      </c>
      <c r="L106" t="s">
        <v>376</v>
      </c>
      <c r="M106" t="s">
        <v>3017</v>
      </c>
      <c r="N106" t="s">
        <v>2295</v>
      </c>
      <c r="O106" t="s">
        <v>2917</v>
      </c>
      <c r="P106" t="s">
        <v>3030</v>
      </c>
      <c r="Q106" t="s">
        <v>1546</v>
      </c>
      <c r="R106" s="31">
        <v>257000</v>
      </c>
      <c r="T106" s="2" t="s">
        <v>2934</v>
      </c>
    </row>
    <row r="107" spans="1:20" hidden="1" x14ac:dyDescent="0.35">
      <c r="A107">
        <v>2023</v>
      </c>
      <c r="B107" t="s">
        <v>772</v>
      </c>
      <c r="C107" t="s">
        <v>2923</v>
      </c>
      <c r="D107" t="s">
        <v>718</v>
      </c>
      <c r="E107" t="s">
        <v>317</v>
      </c>
      <c r="F107" t="s">
        <v>1347</v>
      </c>
      <c r="G107" t="s">
        <v>2169</v>
      </c>
      <c r="H107" t="s">
        <v>2167</v>
      </c>
      <c r="I107" t="s">
        <v>233</v>
      </c>
      <c r="J107" t="s">
        <v>249</v>
      </c>
      <c r="K107" t="s">
        <v>248</v>
      </c>
      <c r="L107" t="s">
        <v>376</v>
      </c>
      <c r="M107" t="s">
        <v>3017</v>
      </c>
      <c r="N107" t="s">
        <v>2295</v>
      </c>
      <c r="O107" t="s">
        <v>2918</v>
      </c>
      <c r="P107" t="s">
        <v>3030</v>
      </c>
      <c r="Q107" t="s">
        <v>1566</v>
      </c>
      <c r="R107" s="31">
        <v>243.851812</v>
      </c>
      <c r="T107" t="s">
        <v>2290</v>
      </c>
    </row>
    <row r="108" spans="1:20" hidden="1" x14ac:dyDescent="0.35">
      <c r="A108">
        <v>2023</v>
      </c>
      <c r="B108" t="s">
        <v>772</v>
      </c>
      <c r="C108" t="s">
        <v>2923</v>
      </c>
      <c r="D108" t="s">
        <v>14</v>
      </c>
      <c r="E108" t="s">
        <v>67</v>
      </c>
      <c r="F108" t="s">
        <v>1128</v>
      </c>
      <c r="H108" t="s">
        <v>2034</v>
      </c>
      <c r="I108" t="s">
        <v>11</v>
      </c>
      <c r="J108" t="s">
        <v>21</v>
      </c>
      <c r="K108" t="s">
        <v>64</v>
      </c>
      <c r="L108" t="s">
        <v>1776</v>
      </c>
      <c r="M108" t="s">
        <v>3015</v>
      </c>
      <c r="N108" t="s">
        <v>1545</v>
      </c>
      <c r="O108" t="s">
        <v>2918</v>
      </c>
      <c r="P108" t="s">
        <v>3030</v>
      </c>
      <c r="Q108" t="s">
        <v>1546</v>
      </c>
      <c r="R108" s="31">
        <v>441588</v>
      </c>
      <c r="T108" t="s">
        <v>1547</v>
      </c>
    </row>
    <row r="109" spans="1:20" x14ac:dyDescent="0.35">
      <c r="A109">
        <v>2023</v>
      </c>
      <c r="B109" t="s">
        <v>772</v>
      </c>
      <c r="C109" t="s">
        <v>2923</v>
      </c>
      <c r="D109" t="s">
        <v>14</v>
      </c>
      <c r="E109" t="s">
        <v>67</v>
      </c>
      <c r="F109" t="s">
        <v>1128</v>
      </c>
      <c r="H109" t="s">
        <v>2034</v>
      </c>
      <c r="I109" t="s">
        <v>11</v>
      </c>
      <c r="J109" t="s">
        <v>21</v>
      </c>
      <c r="K109" t="s">
        <v>64</v>
      </c>
      <c r="L109" t="s">
        <v>16</v>
      </c>
      <c r="M109" t="s">
        <v>3016</v>
      </c>
      <c r="N109" t="s">
        <v>3228</v>
      </c>
      <c r="O109" t="s">
        <v>2918</v>
      </c>
      <c r="P109" t="s">
        <v>3030</v>
      </c>
      <c r="Q109" t="s">
        <v>1548</v>
      </c>
      <c r="R109" s="31">
        <v>228535</v>
      </c>
      <c r="T109" t="s">
        <v>1547</v>
      </c>
    </row>
    <row r="110" spans="1:20" x14ac:dyDescent="0.35">
      <c r="A110">
        <v>2024</v>
      </c>
      <c r="B110" t="s">
        <v>772</v>
      </c>
      <c r="C110" t="s">
        <v>2923</v>
      </c>
      <c r="D110" t="s">
        <v>784</v>
      </c>
      <c r="E110" t="s">
        <v>69</v>
      </c>
      <c r="F110" t="s">
        <v>1159</v>
      </c>
      <c r="H110" t="s">
        <v>2049</v>
      </c>
      <c r="I110" t="s">
        <v>11</v>
      </c>
      <c r="J110" t="s">
        <v>19</v>
      </c>
      <c r="K110" t="s">
        <v>64</v>
      </c>
      <c r="L110" t="s">
        <v>16</v>
      </c>
      <c r="M110" t="s">
        <v>3016</v>
      </c>
      <c r="N110" t="s">
        <v>3228</v>
      </c>
      <c r="O110" t="s">
        <v>2918</v>
      </c>
      <c r="P110" t="s">
        <v>3030</v>
      </c>
      <c r="Q110" t="s">
        <v>1548</v>
      </c>
      <c r="R110" s="31">
        <v>33000</v>
      </c>
      <c r="S110" t="s">
        <v>2952</v>
      </c>
      <c r="T110" t="s">
        <v>1601</v>
      </c>
    </row>
    <row r="111" spans="1:20" hidden="1" x14ac:dyDescent="0.35">
      <c r="A111">
        <v>2024</v>
      </c>
      <c r="B111" t="s">
        <v>772</v>
      </c>
      <c r="C111" t="s">
        <v>2923</v>
      </c>
      <c r="D111" t="s">
        <v>784</v>
      </c>
      <c r="E111" t="s">
        <v>69</v>
      </c>
      <c r="F111" t="s">
        <v>1159</v>
      </c>
      <c r="H111" t="s">
        <v>2049</v>
      </c>
      <c r="I111" t="s">
        <v>11</v>
      </c>
      <c r="J111" t="s">
        <v>19</v>
      </c>
      <c r="K111" t="s">
        <v>64</v>
      </c>
      <c r="L111" t="s">
        <v>16</v>
      </c>
      <c r="M111" t="s">
        <v>3014</v>
      </c>
      <c r="N111" t="s">
        <v>1594</v>
      </c>
      <c r="O111" t="s">
        <v>2918</v>
      </c>
      <c r="P111" t="s">
        <v>3030</v>
      </c>
      <c r="Q111" t="s">
        <v>1546</v>
      </c>
      <c r="R111" s="31">
        <v>1838496</v>
      </c>
      <c r="S111" t="s">
        <v>2952</v>
      </c>
      <c r="T111" t="s">
        <v>1601</v>
      </c>
    </row>
    <row r="112" spans="1:20" hidden="1" x14ac:dyDescent="0.35">
      <c r="A112">
        <v>2024</v>
      </c>
      <c r="B112" t="s">
        <v>772</v>
      </c>
      <c r="C112" t="s">
        <v>2923</v>
      </c>
      <c r="D112" t="s">
        <v>784</v>
      </c>
      <c r="E112" t="s">
        <v>69</v>
      </c>
      <c r="F112" t="s">
        <v>1159</v>
      </c>
      <c r="H112" t="s">
        <v>2049</v>
      </c>
      <c r="I112" t="s">
        <v>11</v>
      </c>
      <c r="J112" t="s">
        <v>19</v>
      </c>
      <c r="K112" t="s">
        <v>64</v>
      </c>
      <c r="L112" t="s">
        <v>16</v>
      </c>
      <c r="M112" t="s">
        <v>3015</v>
      </c>
      <c r="N112" t="s">
        <v>1545</v>
      </c>
      <c r="O112" t="s">
        <v>2918</v>
      </c>
      <c r="P112" t="s">
        <v>3030</v>
      </c>
      <c r="Q112" t="s">
        <v>1546</v>
      </c>
      <c r="R112" s="31">
        <v>1165551</v>
      </c>
      <c r="S112" t="s">
        <v>2952</v>
      </c>
      <c r="T112" t="s">
        <v>1601</v>
      </c>
    </row>
    <row r="113" spans="1:20" hidden="1" x14ac:dyDescent="0.35">
      <c r="A113">
        <v>2023</v>
      </c>
      <c r="B113" t="s">
        <v>772</v>
      </c>
      <c r="C113" t="s">
        <v>2923</v>
      </c>
      <c r="D113" t="s">
        <v>159</v>
      </c>
      <c r="E113" t="s">
        <v>160</v>
      </c>
      <c r="F113" t="s">
        <v>1165</v>
      </c>
      <c r="H113" t="s">
        <v>2053</v>
      </c>
      <c r="I113" t="s">
        <v>11</v>
      </c>
      <c r="J113" t="s">
        <v>34</v>
      </c>
      <c r="K113" t="s">
        <v>157</v>
      </c>
      <c r="L113" t="s">
        <v>157</v>
      </c>
      <c r="M113" t="s">
        <v>3015</v>
      </c>
      <c r="N113" t="s">
        <v>1545</v>
      </c>
      <c r="O113" t="s">
        <v>2918</v>
      </c>
      <c r="P113" t="s">
        <v>3030</v>
      </c>
      <c r="Q113" t="s">
        <v>1566</v>
      </c>
      <c r="R113" s="31">
        <v>5600</v>
      </c>
      <c r="S113" t="s">
        <v>3211</v>
      </c>
      <c r="T113" s="22" t="s">
        <v>3186</v>
      </c>
    </row>
    <row r="114" spans="1:20" x14ac:dyDescent="0.35">
      <c r="A114">
        <v>2022</v>
      </c>
      <c r="B114" t="s">
        <v>772</v>
      </c>
      <c r="C114" t="s">
        <v>2923</v>
      </c>
      <c r="D114" t="s">
        <v>887</v>
      </c>
      <c r="E114" t="s">
        <v>214</v>
      </c>
      <c r="F114" t="s">
        <v>1336</v>
      </c>
      <c r="H114" t="s">
        <v>2163</v>
      </c>
      <c r="I114" t="s">
        <v>11</v>
      </c>
      <c r="J114" t="s">
        <v>21</v>
      </c>
      <c r="K114" t="s">
        <v>210</v>
      </c>
      <c r="L114" t="s">
        <v>210</v>
      </c>
      <c r="M114" t="s">
        <v>3016</v>
      </c>
      <c r="N114" t="s">
        <v>1778</v>
      </c>
      <c r="O114" t="s">
        <v>2918</v>
      </c>
      <c r="P114" t="s">
        <v>3030</v>
      </c>
      <c r="Q114" t="s">
        <v>1713</v>
      </c>
      <c r="R114" s="31">
        <v>18</v>
      </c>
      <c r="S114" t="s">
        <v>3220</v>
      </c>
      <c r="T114" s="22" t="s">
        <v>1039</v>
      </c>
    </row>
    <row r="115" spans="1:20" x14ac:dyDescent="0.35">
      <c r="A115">
        <v>2022</v>
      </c>
      <c r="B115" t="s">
        <v>772</v>
      </c>
      <c r="C115" t="s">
        <v>2923</v>
      </c>
      <c r="D115" t="s">
        <v>887</v>
      </c>
      <c r="E115" t="s">
        <v>214</v>
      </c>
      <c r="F115" t="s">
        <v>1336</v>
      </c>
      <c r="H115" t="s">
        <v>2163</v>
      </c>
      <c r="I115" t="s">
        <v>11</v>
      </c>
      <c r="J115" t="s">
        <v>21</v>
      </c>
      <c r="K115" t="s">
        <v>210</v>
      </c>
      <c r="L115" t="s">
        <v>210</v>
      </c>
      <c r="M115" t="s">
        <v>3016</v>
      </c>
      <c r="N115" t="s">
        <v>1778</v>
      </c>
      <c r="O115" t="s">
        <v>2917</v>
      </c>
      <c r="P115" t="s">
        <v>3030</v>
      </c>
      <c r="Q115" t="s">
        <v>1713</v>
      </c>
      <c r="R115" s="31">
        <v>24</v>
      </c>
      <c r="S115" t="s">
        <v>3220</v>
      </c>
      <c r="T115" t="s">
        <v>1039</v>
      </c>
    </row>
    <row r="116" spans="1:20" hidden="1" x14ac:dyDescent="0.35">
      <c r="A116">
        <v>2023</v>
      </c>
      <c r="B116" t="s">
        <v>772</v>
      </c>
      <c r="C116" t="s">
        <v>2923</v>
      </c>
      <c r="D116" t="s">
        <v>138</v>
      </c>
      <c r="E116" t="s">
        <v>139</v>
      </c>
      <c r="F116" t="s">
        <v>1285</v>
      </c>
      <c r="H116" t="s">
        <v>2124</v>
      </c>
      <c r="I116" t="s">
        <v>11</v>
      </c>
      <c r="J116" t="s">
        <v>44</v>
      </c>
      <c r="K116" t="s">
        <v>141</v>
      </c>
      <c r="L116" t="s">
        <v>1776</v>
      </c>
      <c r="M116" t="s">
        <v>3014</v>
      </c>
      <c r="N116" t="s">
        <v>1594</v>
      </c>
      <c r="O116" t="s">
        <v>2918</v>
      </c>
      <c r="P116" t="s">
        <v>3030</v>
      </c>
      <c r="Q116" t="s">
        <v>1546</v>
      </c>
      <c r="R116" s="31">
        <v>317660</v>
      </c>
      <c r="S116" t="s">
        <v>3032</v>
      </c>
      <c r="T116" t="s">
        <v>2125</v>
      </c>
    </row>
    <row r="117" spans="1:20" hidden="1" x14ac:dyDescent="0.35">
      <c r="A117">
        <v>2023</v>
      </c>
      <c r="B117" t="s">
        <v>1537</v>
      </c>
      <c r="C117" t="s">
        <v>2923</v>
      </c>
      <c r="D117" t="s">
        <v>14</v>
      </c>
      <c r="E117" t="s">
        <v>2035</v>
      </c>
      <c r="G117" t="s">
        <v>1753</v>
      </c>
      <c r="H117" t="s">
        <v>2034</v>
      </c>
      <c r="I117" t="s">
        <v>11</v>
      </c>
      <c r="J117" t="s">
        <v>23</v>
      </c>
      <c r="K117" t="s">
        <v>16</v>
      </c>
      <c r="L117" t="s">
        <v>16</v>
      </c>
      <c r="M117" t="s">
        <v>3015</v>
      </c>
      <c r="N117" t="s">
        <v>1545</v>
      </c>
      <c r="O117" t="s">
        <v>2918</v>
      </c>
      <c r="P117" t="s">
        <v>3030</v>
      </c>
      <c r="Q117" t="s">
        <v>1546</v>
      </c>
      <c r="R117" s="31">
        <v>3842649.0057279998</v>
      </c>
      <c r="T117" t="s">
        <v>1547</v>
      </c>
    </row>
    <row r="118" spans="1:20" x14ac:dyDescent="0.35">
      <c r="A118">
        <v>2023</v>
      </c>
      <c r="B118" t="s">
        <v>1537</v>
      </c>
      <c r="C118" t="s">
        <v>2923</v>
      </c>
      <c r="D118" t="s">
        <v>14</v>
      </c>
      <c r="E118" t="s">
        <v>2035</v>
      </c>
      <c r="G118" t="s">
        <v>1753</v>
      </c>
      <c r="H118" t="s">
        <v>2034</v>
      </c>
      <c r="I118" t="s">
        <v>11</v>
      </c>
      <c r="J118" t="s">
        <v>23</v>
      </c>
      <c r="K118" t="s">
        <v>16</v>
      </c>
      <c r="L118" t="s">
        <v>16</v>
      </c>
      <c r="M118" t="s">
        <v>3016</v>
      </c>
      <c r="N118" t="s">
        <v>3228</v>
      </c>
      <c r="O118" t="s">
        <v>2918</v>
      </c>
      <c r="P118" t="s">
        <v>3030</v>
      </c>
      <c r="Q118" t="s">
        <v>1548</v>
      </c>
      <c r="R118" s="31">
        <v>431665.62702100008</v>
      </c>
      <c r="T118" t="s">
        <v>1547</v>
      </c>
    </row>
    <row r="119" spans="1:20" x14ac:dyDescent="0.35">
      <c r="A119">
        <v>2023</v>
      </c>
      <c r="B119" t="s">
        <v>1537</v>
      </c>
      <c r="C119" t="s">
        <v>2923</v>
      </c>
      <c r="D119" t="s">
        <v>14</v>
      </c>
      <c r="E119" t="s">
        <v>2035</v>
      </c>
      <c r="G119" t="s">
        <v>1753</v>
      </c>
      <c r="H119" t="s">
        <v>2034</v>
      </c>
      <c r="I119" t="s">
        <v>11</v>
      </c>
      <c r="J119" t="s">
        <v>23</v>
      </c>
      <c r="K119" t="s">
        <v>16</v>
      </c>
      <c r="L119" t="s">
        <v>1549</v>
      </c>
      <c r="M119" t="s">
        <v>3016</v>
      </c>
      <c r="N119" t="s">
        <v>3228</v>
      </c>
      <c r="O119" t="s">
        <v>2918</v>
      </c>
      <c r="P119" t="s">
        <v>3030</v>
      </c>
      <c r="Q119" t="s">
        <v>1550</v>
      </c>
      <c r="R119" s="31">
        <v>125</v>
      </c>
      <c r="T119" t="s">
        <v>1547</v>
      </c>
    </row>
    <row r="120" spans="1:20" hidden="1" x14ac:dyDescent="0.35">
      <c r="A120">
        <v>2023</v>
      </c>
      <c r="B120" t="s">
        <v>772</v>
      </c>
      <c r="C120" t="s">
        <v>2923</v>
      </c>
      <c r="D120" t="s">
        <v>14</v>
      </c>
      <c r="E120" t="s">
        <v>22</v>
      </c>
      <c r="F120" t="s">
        <v>1129</v>
      </c>
      <c r="H120" t="s">
        <v>2034</v>
      </c>
      <c r="I120" t="s">
        <v>11</v>
      </c>
      <c r="J120" t="s">
        <v>13</v>
      </c>
      <c r="K120" t="s">
        <v>16</v>
      </c>
      <c r="L120" t="s">
        <v>16</v>
      </c>
      <c r="M120" t="s">
        <v>3015</v>
      </c>
      <c r="N120" t="s">
        <v>1545</v>
      </c>
      <c r="O120" t="s">
        <v>2918</v>
      </c>
      <c r="P120" t="s">
        <v>3030</v>
      </c>
      <c r="Q120" t="s">
        <v>1546</v>
      </c>
      <c r="R120" s="31">
        <v>1918143</v>
      </c>
      <c r="T120" t="s">
        <v>1547</v>
      </c>
    </row>
    <row r="121" spans="1:20" x14ac:dyDescent="0.35">
      <c r="A121">
        <v>2023</v>
      </c>
      <c r="B121" t="s">
        <v>772</v>
      </c>
      <c r="C121" t="s">
        <v>2923</v>
      </c>
      <c r="D121" t="s">
        <v>14</v>
      </c>
      <c r="E121" t="s">
        <v>22</v>
      </c>
      <c r="F121" t="s">
        <v>1129</v>
      </c>
      <c r="H121" t="s">
        <v>2034</v>
      </c>
      <c r="I121" t="s">
        <v>11</v>
      </c>
      <c r="J121" t="s">
        <v>13</v>
      </c>
      <c r="K121" t="s">
        <v>16</v>
      </c>
      <c r="L121" t="s">
        <v>16</v>
      </c>
      <c r="M121" t="s">
        <v>3016</v>
      </c>
      <c r="N121" t="s">
        <v>3228</v>
      </c>
      <c r="O121" t="s">
        <v>2918</v>
      </c>
      <c r="P121" t="s">
        <v>3030</v>
      </c>
      <c r="Q121" t="s">
        <v>1548</v>
      </c>
      <c r="R121" s="31">
        <v>364141</v>
      </c>
      <c r="T121" t="s">
        <v>1547</v>
      </c>
    </row>
    <row r="122" spans="1:20" x14ac:dyDescent="0.35">
      <c r="A122">
        <v>2023</v>
      </c>
      <c r="B122" t="s">
        <v>772</v>
      </c>
      <c r="C122" t="s">
        <v>2923</v>
      </c>
      <c r="D122" t="s">
        <v>14</v>
      </c>
      <c r="E122" t="s">
        <v>22</v>
      </c>
      <c r="F122" t="s">
        <v>1129</v>
      </c>
      <c r="H122" t="s">
        <v>2034</v>
      </c>
      <c r="I122" t="s">
        <v>11</v>
      </c>
      <c r="J122" t="s">
        <v>13</v>
      </c>
      <c r="K122" t="s">
        <v>16</v>
      </c>
      <c r="L122" t="s">
        <v>1549</v>
      </c>
      <c r="M122" t="s">
        <v>3016</v>
      </c>
      <c r="N122" t="s">
        <v>3228</v>
      </c>
      <c r="O122" t="s">
        <v>2918</v>
      </c>
      <c r="P122" t="s">
        <v>3030</v>
      </c>
      <c r="Q122" t="s">
        <v>1550</v>
      </c>
      <c r="R122" s="31">
        <v>27</v>
      </c>
      <c r="T122" t="s">
        <v>1547</v>
      </c>
    </row>
    <row r="123" spans="1:20" hidden="1" x14ac:dyDescent="0.35">
      <c r="A123">
        <v>2023</v>
      </c>
      <c r="B123" t="s">
        <v>772</v>
      </c>
      <c r="C123" t="s">
        <v>2923</v>
      </c>
      <c r="D123" t="s">
        <v>155</v>
      </c>
      <c r="E123" t="s">
        <v>158</v>
      </c>
      <c r="F123" t="s">
        <v>1152</v>
      </c>
      <c r="G123" t="s">
        <v>2930</v>
      </c>
      <c r="H123" t="s">
        <v>2048</v>
      </c>
      <c r="I123" t="s">
        <v>11</v>
      </c>
      <c r="J123" t="s">
        <v>19</v>
      </c>
      <c r="K123" t="s">
        <v>157</v>
      </c>
      <c r="L123" t="s">
        <v>157</v>
      </c>
      <c r="M123" t="s">
        <v>3014</v>
      </c>
      <c r="N123" t="s">
        <v>1594</v>
      </c>
      <c r="O123" t="s">
        <v>2918</v>
      </c>
      <c r="P123" t="s">
        <v>3030</v>
      </c>
      <c r="Q123" t="s">
        <v>1566</v>
      </c>
      <c r="R123" s="31">
        <v>16499</v>
      </c>
      <c r="T123" s="22" t="s">
        <v>3212</v>
      </c>
    </row>
    <row r="124" spans="1:20" x14ac:dyDescent="0.35">
      <c r="A124">
        <v>2023</v>
      </c>
      <c r="B124" t="s">
        <v>772</v>
      </c>
      <c r="C124" t="s">
        <v>2923</v>
      </c>
      <c r="D124" t="s">
        <v>793</v>
      </c>
      <c r="E124" t="s">
        <v>129</v>
      </c>
      <c r="F124" t="s">
        <v>1190</v>
      </c>
      <c r="H124" t="s">
        <v>2064</v>
      </c>
      <c r="I124" t="s">
        <v>11</v>
      </c>
      <c r="J124" t="s">
        <v>19</v>
      </c>
      <c r="K124" t="s">
        <v>130</v>
      </c>
      <c r="L124" t="s">
        <v>1552</v>
      </c>
      <c r="M124" t="s">
        <v>3016</v>
      </c>
      <c r="N124" t="s">
        <v>1552</v>
      </c>
      <c r="O124" t="s">
        <v>2918</v>
      </c>
      <c r="P124" t="s">
        <v>3030</v>
      </c>
      <c r="Q124" t="s">
        <v>1883</v>
      </c>
      <c r="R124" s="31">
        <v>142285</v>
      </c>
      <c r="S124" t="s">
        <v>3000</v>
      </c>
      <c r="T124" t="s">
        <v>1885</v>
      </c>
    </row>
    <row r="125" spans="1:20" x14ac:dyDescent="0.35">
      <c r="A125">
        <v>2023</v>
      </c>
      <c r="B125" t="s">
        <v>772</v>
      </c>
      <c r="C125" t="s">
        <v>2923</v>
      </c>
      <c r="D125" t="s">
        <v>793</v>
      </c>
      <c r="E125" t="s">
        <v>129</v>
      </c>
      <c r="F125" t="s">
        <v>1190</v>
      </c>
      <c r="H125" t="s">
        <v>2064</v>
      </c>
      <c r="I125" t="s">
        <v>11</v>
      </c>
      <c r="J125" t="s">
        <v>19</v>
      </c>
      <c r="K125" t="s">
        <v>130</v>
      </c>
      <c r="L125" t="s">
        <v>125</v>
      </c>
      <c r="M125" t="s">
        <v>3016</v>
      </c>
      <c r="N125" t="s">
        <v>1778</v>
      </c>
      <c r="O125" t="s">
        <v>2918</v>
      </c>
      <c r="P125" t="s">
        <v>3030</v>
      </c>
      <c r="Q125" t="s">
        <v>1884</v>
      </c>
      <c r="R125" s="31">
        <v>61862</v>
      </c>
      <c r="T125" t="s">
        <v>1885</v>
      </c>
    </row>
    <row r="126" spans="1:20" x14ac:dyDescent="0.35">
      <c r="A126">
        <v>2023</v>
      </c>
      <c r="B126" t="s">
        <v>772</v>
      </c>
      <c r="C126" t="s">
        <v>2923</v>
      </c>
      <c r="D126" t="s">
        <v>793</v>
      </c>
      <c r="E126" t="s">
        <v>129</v>
      </c>
      <c r="F126" t="s">
        <v>1190</v>
      </c>
      <c r="H126" t="s">
        <v>2064</v>
      </c>
      <c r="I126" t="s">
        <v>11</v>
      </c>
      <c r="J126" t="s">
        <v>19</v>
      </c>
      <c r="K126" t="s">
        <v>130</v>
      </c>
      <c r="L126" t="s">
        <v>16</v>
      </c>
      <c r="M126" t="s">
        <v>3016</v>
      </c>
      <c r="N126" t="s">
        <v>3228</v>
      </c>
      <c r="O126" t="s">
        <v>2918</v>
      </c>
      <c r="P126" t="s">
        <v>3030</v>
      </c>
      <c r="Q126" t="s">
        <v>1548</v>
      </c>
      <c r="R126" s="31">
        <v>154391</v>
      </c>
      <c r="T126" t="s">
        <v>1885</v>
      </c>
    </row>
    <row r="127" spans="1:20" hidden="1" x14ac:dyDescent="0.35">
      <c r="A127">
        <v>2023</v>
      </c>
      <c r="B127" t="s">
        <v>772</v>
      </c>
      <c r="C127" t="s">
        <v>2923</v>
      </c>
      <c r="D127" t="s">
        <v>793</v>
      </c>
      <c r="E127" t="s">
        <v>129</v>
      </c>
      <c r="F127" t="s">
        <v>1190</v>
      </c>
      <c r="H127" t="s">
        <v>2064</v>
      </c>
      <c r="I127" t="s">
        <v>11</v>
      </c>
      <c r="J127" t="s">
        <v>19</v>
      </c>
      <c r="K127" t="s">
        <v>130</v>
      </c>
      <c r="L127" t="s">
        <v>1776</v>
      </c>
      <c r="M127" t="s">
        <v>3014</v>
      </c>
      <c r="N127" t="s">
        <v>1594</v>
      </c>
      <c r="O127" t="s">
        <v>2918</v>
      </c>
      <c r="P127" t="s">
        <v>3030</v>
      </c>
      <c r="Q127" t="s">
        <v>1566</v>
      </c>
      <c r="R127" s="31">
        <v>21278</v>
      </c>
      <c r="T127" t="s">
        <v>1885</v>
      </c>
    </row>
    <row r="128" spans="1:20" hidden="1" x14ac:dyDescent="0.35">
      <c r="A128">
        <v>2023</v>
      </c>
      <c r="B128" t="s">
        <v>772</v>
      </c>
      <c r="C128" t="s">
        <v>2923</v>
      </c>
      <c r="D128" t="s">
        <v>793</v>
      </c>
      <c r="E128" t="s">
        <v>129</v>
      </c>
      <c r="F128" t="s">
        <v>1190</v>
      </c>
      <c r="H128" t="s">
        <v>2064</v>
      </c>
      <c r="I128" t="s">
        <v>11</v>
      </c>
      <c r="J128" t="s">
        <v>19</v>
      </c>
      <c r="K128" t="s">
        <v>130</v>
      </c>
      <c r="L128" t="s">
        <v>1776</v>
      </c>
      <c r="M128" t="s">
        <v>3015</v>
      </c>
      <c r="N128" t="s">
        <v>1545</v>
      </c>
      <c r="O128" t="s">
        <v>2918</v>
      </c>
      <c r="P128" t="s">
        <v>3030</v>
      </c>
      <c r="Q128" t="s">
        <v>1566</v>
      </c>
      <c r="R128" s="31">
        <v>21680</v>
      </c>
      <c r="T128" t="s">
        <v>1885</v>
      </c>
    </row>
    <row r="129" spans="1:20" x14ac:dyDescent="0.35">
      <c r="A129">
        <v>2023</v>
      </c>
      <c r="B129" t="s">
        <v>772</v>
      </c>
      <c r="C129" t="s">
        <v>2923</v>
      </c>
      <c r="D129" t="s">
        <v>82</v>
      </c>
      <c r="E129" t="s">
        <v>83</v>
      </c>
      <c r="F129" t="s">
        <v>1278</v>
      </c>
      <c r="H129" t="s">
        <v>2121</v>
      </c>
      <c r="I129" t="s">
        <v>11</v>
      </c>
      <c r="J129" t="s">
        <v>19</v>
      </c>
      <c r="K129" t="s">
        <v>84</v>
      </c>
      <c r="L129" t="s">
        <v>125</v>
      </c>
      <c r="M129" t="s">
        <v>3016</v>
      </c>
      <c r="N129" t="s">
        <v>1552</v>
      </c>
      <c r="O129" t="s">
        <v>2918</v>
      </c>
      <c r="P129" t="s">
        <v>3030</v>
      </c>
      <c r="Q129" t="s">
        <v>1884</v>
      </c>
      <c r="R129" s="31">
        <v>30145</v>
      </c>
      <c r="S129" t="s">
        <v>3001</v>
      </c>
      <c r="T129" t="s">
        <v>1941</v>
      </c>
    </row>
    <row r="130" spans="1:20" x14ac:dyDescent="0.35">
      <c r="A130">
        <v>2023</v>
      </c>
      <c r="B130" t="s">
        <v>772</v>
      </c>
      <c r="C130" t="s">
        <v>2923</v>
      </c>
      <c r="D130" t="s">
        <v>82</v>
      </c>
      <c r="E130" t="s">
        <v>83</v>
      </c>
      <c r="F130" t="s">
        <v>1278</v>
      </c>
      <c r="H130" t="s">
        <v>2121</v>
      </c>
      <c r="I130" t="s">
        <v>11</v>
      </c>
      <c r="J130" t="s">
        <v>19</v>
      </c>
      <c r="K130" t="s">
        <v>84</v>
      </c>
      <c r="L130" t="s">
        <v>16</v>
      </c>
      <c r="M130" t="s">
        <v>3016</v>
      </c>
      <c r="N130" t="s">
        <v>3228</v>
      </c>
      <c r="O130" t="s">
        <v>2918</v>
      </c>
      <c r="P130" t="s">
        <v>3030</v>
      </c>
      <c r="Q130" t="s">
        <v>1548</v>
      </c>
      <c r="R130" s="31">
        <v>41834</v>
      </c>
      <c r="T130" t="s">
        <v>1941</v>
      </c>
    </row>
    <row r="131" spans="1:20" hidden="1" x14ac:dyDescent="0.35">
      <c r="A131">
        <v>2023</v>
      </c>
      <c r="B131" t="s">
        <v>772</v>
      </c>
      <c r="C131" t="s">
        <v>2923</v>
      </c>
      <c r="D131" t="s">
        <v>82</v>
      </c>
      <c r="E131" t="s">
        <v>83</v>
      </c>
      <c r="F131" t="s">
        <v>1278</v>
      </c>
      <c r="H131" t="s">
        <v>2121</v>
      </c>
      <c r="I131" t="s">
        <v>11</v>
      </c>
      <c r="J131" t="s">
        <v>19</v>
      </c>
      <c r="K131" t="s">
        <v>84</v>
      </c>
      <c r="L131" t="s">
        <v>1776</v>
      </c>
      <c r="M131" t="s">
        <v>3015</v>
      </c>
      <c r="N131" t="s">
        <v>1734</v>
      </c>
      <c r="O131" t="s">
        <v>2918</v>
      </c>
      <c r="P131" t="s">
        <v>3030</v>
      </c>
      <c r="Q131" t="s">
        <v>1546</v>
      </c>
      <c r="R131" s="31">
        <v>5948239</v>
      </c>
      <c r="T131" t="s">
        <v>1941</v>
      </c>
    </row>
    <row r="132" spans="1:20" hidden="1" x14ac:dyDescent="0.35">
      <c r="A132">
        <v>2023</v>
      </c>
      <c r="B132" t="s">
        <v>772</v>
      </c>
      <c r="C132" t="s">
        <v>2923</v>
      </c>
      <c r="D132" t="s">
        <v>39</v>
      </c>
      <c r="E132" t="s">
        <v>78</v>
      </c>
      <c r="F132" t="s">
        <v>1322</v>
      </c>
      <c r="H132" t="s">
        <v>2151</v>
      </c>
      <c r="I132" t="s">
        <v>11</v>
      </c>
      <c r="J132" t="s">
        <v>21</v>
      </c>
      <c r="K132" t="s">
        <v>64</v>
      </c>
      <c r="L132" t="s">
        <v>1776</v>
      </c>
      <c r="M132" t="s">
        <v>3014</v>
      </c>
      <c r="N132" t="s">
        <v>1594</v>
      </c>
      <c r="O132" t="s">
        <v>2918</v>
      </c>
      <c r="P132" t="s">
        <v>3030</v>
      </c>
      <c r="Q132" t="s">
        <v>1566</v>
      </c>
      <c r="R132" s="31">
        <v>1027</v>
      </c>
      <c r="T132" t="s">
        <v>1593</v>
      </c>
    </row>
    <row r="133" spans="1:20" hidden="1" x14ac:dyDescent="0.35">
      <c r="A133">
        <v>2023</v>
      </c>
      <c r="B133" t="s">
        <v>772</v>
      </c>
      <c r="C133" t="s">
        <v>2923</v>
      </c>
      <c r="D133" t="s">
        <v>39</v>
      </c>
      <c r="E133" t="s">
        <v>78</v>
      </c>
      <c r="F133" t="s">
        <v>1321</v>
      </c>
      <c r="H133" t="s">
        <v>2151</v>
      </c>
      <c r="I133" t="s">
        <v>11</v>
      </c>
      <c r="J133" t="s">
        <v>21</v>
      </c>
      <c r="K133" t="s">
        <v>64</v>
      </c>
      <c r="L133" t="s">
        <v>1776</v>
      </c>
      <c r="M133" t="s">
        <v>3015</v>
      </c>
      <c r="N133" t="s">
        <v>1545</v>
      </c>
      <c r="O133" t="s">
        <v>2918</v>
      </c>
      <c r="P133" t="s">
        <v>3030</v>
      </c>
      <c r="Q133" t="s">
        <v>1566</v>
      </c>
      <c r="R133" s="31">
        <v>1028</v>
      </c>
      <c r="T133" t="s">
        <v>1593</v>
      </c>
    </row>
    <row r="134" spans="1:20" x14ac:dyDescent="0.35">
      <c r="A134">
        <v>2023</v>
      </c>
      <c r="B134" t="s">
        <v>772</v>
      </c>
      <c r="C134" t="s">
        <v>2923</v>
      </c>
      <c r="D134" t="s">
        <v>39</v>
      </c>
      <c r="E134" t="s">
        <v>78</v>
      </c>
      <c r="F134" t="s">
        <v>1321</v>
      </c>
      <c r="H134" t="s">
        <v>2151</v>
      </c>
      <c r="I134" t="s">
        <v>11</v>
      </c>
      <c r="J134" t="s">
        <v>21</v>
      </c>
      <c r="K134" t="s">
        <v>64</v>
      </c>
      <c r="L134" t="s">
        <v>16</v>
      </c>
      <c r="M134" t="s">
        <v>3016</v>
      </c>
      <c r="N134" t="s">
        <v>3228</v>
      </c>
      <c r="O134" t="s">
        <v>2918</v>
      </c>
      <c r="P134" t="s">
        <v>3030</v>
      </c>
      <c r="Q134" t="s">
        <v>1550</v>
      </c>
      <c r="R134" s="31">
        <v>180</v>
      </c>
      <c r="T134" t="s">
        <v>1593</v>
      </c>
    </row>
    <row r="135" spans="1:20" x14ac:dyDescent="0.35">
      <c r="A135">
        <v>2023</v>
      </c>
      <c r="B135" t="s">
        <v>772</v>
      </c>
      <c r="C135" t="s">
        <v>2923</v>
      </c>
      <c r="D135" t="s">
        <v>755</v>
      </c>
      <c r="E135" t="s">
        <v>85</v>
      </c>
      <c r="F135" t="s">
        <v>1315</v>
      </c>
      <c r="H135" t="s">
        <v>2150</v>
      </c>
      <c r="I135" t="s">
        <v>11</v>
      </c>
      <c r="J135" t="s">
        <v>23</v>
      </c>
      <c r="K135" t="s">
        <v>84</v>
      </c>
      <c r="L135" t="s">
        <v>125</v>
      </c>
      <c r="M135" t="s">
        <v>3016</v>
      </c>
      <c r="N135" t="s">
        <v>1552</v>
      </c>
      <c r="O135" t="s">
        <v>2918</v>
      </c>
      <c r="P135" t="s">
        <v>3030</v>
      </c>
      <c r="Q135" t="s">
        <v>1713</v>
      </c>
      <c r="R135" s="31">
        <v>47.4</v>
      </c>
      <c r="S135" t="s">
        <v>3001</v>
      </c>
      <c r="T135" t="s">
        <v>1714</v>
      </c>
    </row>
    <row r="136" spans="1:20" x14ac:dyDescent="0.35">
      <c r="A136">
        <v>2023</v>
      </c>
      <c r="B136" t="s">
        <v>772</v>
      </c>
      <c r="C136" t="s">
        <v>2923</v>
      </c>
      <c r="D136" t="s">
        <v>755</v>
      </c>
      <c r="E136" t="s">
        <v>85</v>
      </c>
      <c r="F136" t="s">
        <v>1315</v>
      </c>
      <c r="H136" t="s">
        <v>2150</v>
      </c>
      <c r="I136" t="s">
        <v>11</v>
      </c>
      <c r="J136" t="s">
        <v>23</v>
      </c>
      <c r="K136" t="s">
        <v>84</v>
      </c>
      <c r="L136" t="s">
        <v>16</v>
      </c>
      <c r="M136" t="s">
        <v>3016</v>
      </c>
      <c r="N136" t="s">
        <v>3228</v>
      </c>
      <c r="O136" t="s">
        <v>2918</v>
      </c>
      <c r="P136" t="s">
        <v>3030</v>
      </c>
      <c r="Q136" t="s">
        <v>1548</v>
      </c>
      <c r="R136" s="31">
        <v>67433</v>
      </c>
      <c r="T136" t="s">
        <v>1714</v>
      </c>
    </row>
    <row r="137" spans="1:20" hidden="1" x14ac:dyDescent="0.35">
      <c r="A137">
        <v>2023</v>
      </c>
      <c r="B137" t="s">
        <v>772</v>
      </c>
      <c r="C137" t="s">
        <v>2923</v>
      </c>
      <c r="D137" t="s">
        <v>755</v>
      </c>
      <c r="E137" t="s">
        <v>85</v>
      </c>
      <c r="F137" t="s">
        <v>1315</v>
      </c>
      <c r="H137" t="s">
        <v>2150</v>
      </c>
      <c r="I137" t="s">
        <v>11</v>
      </c>
      <c r="J137" t="s">
        <v>23</v>
      </c>
      <c r="K137" t="s">
        <v>84</v>
      </c>
      <c r="L137" t="s">
        <v>1776</v>
      </c>
      <c r="M137" t="s">
        <v>3014</v>
      </c>
      <c r="N137" t="s">
        <v>1594</v>
      </c>
      <c r="O137" t="s">
        <v>2918</v>
      </c>
      <c r="P137" t="s">
        <v>3030</v>
      </c>
      <c r="Q137" t="s">
        <v>1566</v>
      </c>
      <c r="R137" s="31">
        <v>2993</v>
      </c>
      <c r="T137" t="s">
        <v>1714</v>
      </c>
    </row>
    <row r="138" spans="1:20" hidden="1" x14ac:dyDescent="0.35">
      <c r="A138">
        <v>2023</v>
      </c>
      <c r="B138" t="s">
        <v>772</v>
      </c>
      <c r="C138" t="s">
        <v>2923</v>
      </c>
      <c r="D138" t="s">
        <v>755</v>
      </c>
      <c r="E138" t="s">
        <v>85</v>
      </c>
      <c r="F138" t="s">
        <v>1315</v>
      </c>
      <c r="H138" t="s">
        <v>2150</v>
      </c>
      <c r="I138" t="s">
        <v>11</v>
      </c>
      <c r="J138" t="s">
        <v>23</v>
      </c>
      <c r="K138" t="s">
        <v>84</v>
      </c>
      <c r="L138" t="s">
        <v>1776</v>
      </c>
      <c r="M138" t="s">
        <v>3015</v>
      </c>
      <c r="N138" t="s">
        <v>1545</v>
      </c>
      <c r="O138" t="s">
        <v>2918</v>
      </c>
      <c r="P138" t="s">
        <v>3030</v>
      </c>
      <c r="Q138" t="s">
        <v>1566</v>
      </c>
      <c r="R138" s="31">
        <v>3065</v>
      </c>
      <c r="T138" t="s">
        <v>1714</v>
      </c>
    </row>
    <row r="139" spans="1:20" x14ac:dyDescent="0.35">
      <c r="A139">
        <v>2023</v>
      </c>
      <c r="B139" t="s">
        <v>772</v>
      </c>
      <c r="C139" t="s">
        <v>2923</v>
      </c>
      <c r="D139" t="s">
        <v>717</v>
      </c>
      <c r="E139" t="s">
        <v>80</v>
      </c>
      <c r="F139" t="s">
        <v>1268</v>
      </c>
      <c r="G139" t="s">
        <v>1854</v>
      </c>
      <c r="H139" t="s">
        <v>1853</v>
      </c>
      <c r="I139" t="s">
        <v>11</v>
      </c>
      <c r="J139" t="s">
        <v>19</v>
      </c>
      <c r="K139" t="s">
        <v>81</v>
      </c>
      <c r="L139" t="s">
        <v>125</v>
      </c>
      <c r="M139" t="s">
        <v>3016</v>
      </c>
      <c r="N139" t="s">
        <v>1552</v>
      </c>
      <c r="O139" t="s">
        <v>2918</v>
      </c>
      <c r="P139" t="s">
        <v>3030</v>
      </c>
      <c r="Q139" t="s">
        <v>1546</v>
      </c>
      <c r="R139" s="31">
        <v>37176</v>
      </c>
      <c r="T139" t="s">
        <v>1777</v>
      </c>
    </row>
    <row r="140" spans="1:20" x14ac:dyDescent="0.35">
      <c r="A140">
        <v>2023</v>
      </c>
      <c r="B140" t="s">
        <v>772</v>
      </c>
      <c r="C140" t="s">
        <v>2923</v>
      </c>
      <c r="D140" t="s">
        <v>717</v>
      </c>
      <c r="E140" t="s">
        <v>80</v>
      </c>
      <c r="F140" t="s">
        <v>1268</v>
      </c>
      <c r="G140" t="s">
        <v>1854</v>
      </c>
      <c r="H140" t="s">
        <v>1853</v>
      </c>
      <c r="I140" t="s">
        <v>11</v>
      </c>
      <c r="J140" t="s">
        <v>19</v>
      </c>
      <c r="K140" t="s">
        <v>81</v>
      </c>
      <c r="L140" t="s">
        <v>125</v>
      </c>
      <c r="M140" t="s">
        <v>3016</v>
      </c>
      <c r="N140" t="s">
        <v>1778</v>
      </c>
      <c r="O140" t="s">
        <v>2918</v>
      </c>
      <c r="P140" t="s">
        <v>3030</v>
      </c>
      <c r="Q140" t="s">
        <v>1546</v>
      </c>
      <c r="R140" s="31">
        <v>5739</v>
      </c>
      <c r="T140" t="s">
        <v>1777</v>
      </c>
    </row>
    <row r="141" spans="1:20" x14ac:dyDescent="0.35">
      <c r="A141">
        <v>2023</v>
      </c>
      <c r="B141" t="s">
        <v>772</v>
      </c>
      <c r="C141" t="s">
        <v>2923</v>
      </c>
      <c r="D141" t="s">
        <v>717</v>
      </c>
      <c r="E141" t="s">
        <v>80</v>
      </c>
      <c r="F141" t="s">
        <v>1268</v>
      </c>
      <c r="G141" t="s">
        <v>1854</v>
      </c>
      <c r="H141" t="s">
        <v>1853</v>
      </c>
      <c r="I141" t="s">
        <v>11</v>
      </c>
      <c r="J141" t="s">
        <v>19</v>
      </c>
      <c r="K141" t="s">
        <v>81</v>
      </c>
      <c r="L141" t="s">
        <v>16</v>
      </c>
      <c r="M141" t="s">
        <v>3016</v>
      </c>
      <c r="N141" t="s">
        <v>3228</v>
      </c>
      <c r="O141" t="s">
        <v>2918</v>
      </c>
      <c r="P141" t="s">
        <v>3030</v>
      </c>
      <c r="Q141" t="s">
        <v>1548</v>
      </c>
      <c r="R141" s="31">
        <v>77798</v>
      </c>
      <c r="T141" t="s">
        <v>1777</v>
      </c>
    </row>
    <row r="142" spans="1:20" hidden="1" x14ac:dyDescent="0.35">
      <c r="A142">
        <v>2023</v>
      </c>
      <c r="B142" t="s">
        <v>772</v>
      </c>
      <c r="C142" t="s">
        <v>2923</v>
      </c>
      <c r="D142" t="s">
        <v>717</v>
      </c>
      <c r="E142" t="s">
        <v>80</v>
      </c>
      <c r="F142" t="s">
        <v>1268</v>
      </c>
      <c r="G142" t="s">
        <v>1854</v>
      </c>
      <c r="H142" t="s">
        <v>1853</v>
      </c>
      <c r="I142" t="s">
        <v>11</v>
      </c>
      <c r="J142" t="s">
        <v>19</v>
      </c>
      <c r="K142" t="s">
        <v>81</v>
      </c>
      <c r="L142" t="s">
        <v>1776</v>
      </c>
      <c r="M142" t="s">
        <v>3015</v>
      </c>
      <c r="N142" t="s">
        <v>1734</v>
      </c>
      <c r="O142" t="s">
        <v>2918</v>
      </c>
      <c r="P142" t="s">
        <v>3030</v>
      </c>
      <c r="Q142" t="s">
        <v>1546</v>
      </c>
      <c r="R142" s="31">
        <v>596912</v>
      </c>
      <c r="T142" t="s">
        <v>1777</v>
      </c>
    </row>
    <row r="143" spans="1:20" x14ac:dyDescent="0.35">
      <c r="A143">
        <v>2023</v>
      </c>
      <c r="B143" t="s">
        <v>772</v>
      </c>
      <c r="C143" t="s">
        <v>2923</v>
      </c>
      <c r="D143" t="s">
        <v>717</v>
      </c>
      <c r="E143" t="s">
        <v>80</v>
      </c>
      <c r="F143" t="s">
        <v>1268</v>
      </c>
      <c r="G143" t="s">
        <v>1854</v>
      </c>
      <c r="H143" t="s">
        <v>1853</v>
      </c>
      <c r="I143" t="s">
        <v>11</v>
      </c>
      <c r="J143" t="s">
        <v>19</v>
      </c>
      <c r="K143" t="s">
        <v>81</v>
      </c>
      <c r="L143" t="s">
        <v>1549</v>
      </c>
      <c r="M143" t="s">
        <v>3016</v>
      </c>
      <c r="N143" t="s">
        <v>3228</v>
      </c>
      <c r="O143" t="s">
        <v>2918</v>
      </c>
      <c r="P143" t="s">
        <v>3030</v>
      </c>
      <c r="Q143" t="s">
        <v>1548</v>
      </c>
      <c r="R143" s="31">
        <v>292694</v>
      </c>
      <c r="T143" t="s">
        <v>1777</v>
      </c>
    </row>
    <row r="144" spans="1:20" hidden="1" x14ac:dyDescent="0.35">
      <c r="A144">
        <v>2024</v>
      </c>
      <c r="B144" t="s">
        <v>772</v>
      </c>
      <c r="C144" t="s">
        <v>2923</v>
      </c>
      <c r="D144" t="s">
        <v>715</v>
      </c>
      <c r="E144" t="s">
        <v>184</v>
      </c>
      <c r="F144" t="s">
        <v>1246</v>
      </c>
      <c r="G144" t="s">
        <v>2933</v>
      </c>
      <c r="H144" t="s">
        <v>2104</v>
      </c>
      <c r="I144" t="s">
        <v>11</v>
      </c>
      <c r="J144" t="s">
        <v>44</v>
      </c>
      <c r="K144" t="s">
        <v>185</v>
      </c>
      <c r="L144" t="s">
        <v>1776</v>
      </c>
      <c r="M144" t="s">
        <v>3014</v>
      </c>
      <c r="N144" t="s">
        <v>1594</v>
      </c>
      <c r="O144" t="s">
        <v>2918</v>
      </c>
      <c r="P144" t="s">
        <v>3030</v>
      </c>
      <c r="Q144" t="s">
        <v>1546</v>
      </c>
      <c r="R144" s="31">
        <v>320160</v>
      </c>
      <c r="T144" t="s">
        <v>3206</v>
      </c>
    </row>
    <row r="145" spans="1:20" hidden="1" x14ac:dyDescent="0.35">
      <c r="A145">
        <v>2023</v>
      </c>
      <c r="B145" t="s">
        <v>772</v>
      </c>
      <c r="C145" t="s">
        <v>2923</v>
      </c>
      <c r="D145" t="s">
        <v>175</v>
      </c>
      <c r="E145" t="s">
        <v>176</v>
      </c>
      <c r="F145" t="s">
        <v>1299</v>
      </c>
      <c r="H145" t="s">
        <v>2138</v>
      </c>
      <c r="I145" t="s">
        <v>11</v>
      </c>
      <c r="J145" t="s">
        <v>13</v>
      </c>
      <c r="K145" t="s">
        <v>177</v>
      </c>
      <c r="L145" t="s">
        <v>177</v>
      </c>
      <c r="M145" t="s">
        <v>3014</v>
      </c>
      <c r="N145" t="s">
        <v>1594</v>
      </c>
      <c r="O145" t="s">
        <v>2918</v>
      </c>
      <c r="P145" t="s">
        <v>3030</v>
      </c>
      <c r="Q145" t="s">
        <v>1641</v>
      </c>
      <c r="R145" s="31">
        <v>2.2000000000000002</v>
      </c>
      <c r="S145" t="s">
        <v>3214</v>
      </c>
      <c r="T145" t="s">
        <v>3213</v>
      </c>
    </row>
    <row r="146" spans="1:20" hidden="1" x14ac:dyDescent="0.35">
      <c r="A146">
        <v>2023</v>
      </c>
      <c r="B146" t="s">
        <v>772</v>
      </c>
      <c r="C146" t="s">
        <v>2923</v>
      </c>
      <c r="D146" t="s">
        <v>175</v>
      </c>
      <c r="E146" t="s">
        <v>326</v>
      </c>
      <c r="F146" t="s">
        <v>1298</v>
      </c>
      <c r="H146" t="s">
        <v>2137</v>
      </c>
      <c r="I146" t="s">
        <v>233</v>
      </c>
      <c r="K146" t="s">
        <v>2463</v>
      </c>
      <c r="L146" t="s">
        <v>327</v>
      </c>
      <c r="M146" t="s">
        <v>3017</v>
      </c>
      <c r="N146" t="s">
        <v>3017</v>
      </c>
      <c r="O146" t="s">
        <v>2918</v>
      </c>
      <c r="P146" t="s">
        <v>3030</v>
      </c>
      <c r="Q146" t="s">
        <v>1546</v>
      </c>
      <c r="R146" s="31">
        <v>11700</v>
      </c>
      <c r="T146" t="s">
        <v>1911</v>
      </c>
    </row>
    <row r="147" spans="1:20" hidden="1" x14ac:dyDescent="0.35">
      <c r="A147">
        <v>2023</v>
      </c>
      <c r="B147" t="s">
        <v>772</v>
      </c>
      <c r="C147" t="s">
        <v>2923</v>
      </c>
      <c r="D147" t="s">
        <v>896</v>
      </c>
      <c r="E147" t="s">
        <v>173</v>
      </c>
      <c r="F147" t="s">
        <v>1366</v>
      </c>
      <c r="H147" t="s">
        <v>2178</v>
      </c>
      <c r="I147" t="s">
        <v>11</v>
      </c>
      <c r="J147" t="s">
        <v>17</v>
      </c>
      <c r="K147" t="s">
        <v>174</v>
      </c>
      <c r="L147" t="s">
        <v>174</v>
      </c>
      <c r="M147" t="s">
        <v>3014</v>
      </c>
      <c r="N147" t="s">
        <v>1594</v>
      </c>
      <c r="O147" t="s">
        <v>2918</v>
      </c>
      <c r="P147" t="s">
        <v>3030</v>
      </c>
      <c r="Q147" t="s">
        <v>2362</v>
      </c>
      <c r="R147" s="31">
        <v>407034</v>
      </c>
      <c r="T147" t="s">
        <v>1880</v>
      </c>
    </row>
    <row r="148" spans="1:20" x14ac:dyDescent="0.35">
      <c r="A148">
        <v>2023</v>
      </c>
      <c r="B148" t="s">
        <v>772</v>
      </c>
      <c r="C148" t="s">
        <v>2923</v>
      </c>
      <c r="D148" t="s">
        <v>896</v>
      </c>
      <c r="E148" t="s">
        <v>173</v>
      </c>
      <c r="F148" t="s">
        <v>1366</v>
      </c>
      <c r="H148" t="s">
        <v>2178</v>
      </c>
      <c r="I148" t="s">
        <v>11</v>
      </c>
      <c r="J148" t="s">
        <v>17</v>
      </c>
      <c r="K148" t="s">
        <v>174</v>
      </c>
      <c r="L148" t="s">
        <v>174</v>
      </c>
      <c r="M148" t="s">
        <v>3016</v>
      </c>
      <c r="N148" t="s">
        <v>1552</v>
      </c>
      <c r="O148" t="s">
        <v>2918</v>
      </c>
      <c r="P148" t="s">
        <v>3030</v>
      </c>
      <c r="Q148" t="s">
        <v>1883</v>
      </c>
      <c r="R148" s="31">
        <v>33120</v>
      </c>
      <c r="T148" t="s">
        <v>1880</v>
      </c>
    </row>
    <row r="149" spans="1:20" x14ac:dyDescent="0.35">
      <c r="A149">
        <v>2023</v>
      </c>
      <c r="B149" t="s">
        <v>772</v>
      </c>
      <c r="C149" t="s">
        <v>2923</v>
      </c>
      <c r="D149" t="s">
        <v>197</v>
      </c>
      <c r="E149" t="s">
        <v>198</v>
      </c>
      <c r="F149" t="s">
        <v>1188</v>
      </c>
      <c r="H149" t="s">
        <v>2062</v>
      </c>
      <c r="I149" t="s">
        <v>11</v>
      </c>
      <c r="J149" t="s">
        <v>23</v>
      </c>
      <c r="K149" t="s">
        <v>199</v>
      </c>
      <c r="L149" t="s">
        <v>557</v>
      </c>
      <c r="M149" t="s">
        <v>3016</v>
      </c>
      <c r="N149" t="s">
        <v>1778</v>
      </c>
      <c r="O149" t="s">
        <v>2918</v>
      </c>
      <c r="P149" t="s">
        <v>3030</v>
      </c>
      <c r="Q149" t="s">
        <v>1566</v>
      </c>
      <c r="R149" s="31">
        <v>9.2200000000000006</v>
      </c>
      <c r="T149" s="2" t="s">
        <v>2008</v>
      </c>
    </row>
    <row r="150" spans="1:20" hidden="1" x14ac:dyDescent="0.35">
      <c r="A150">
        <v>2023</v>
      </c>
      <c r="B150" t="s">
        <v>772</v>
      </c>
      <c r="C150" t="s">
        <v>2923</v>
      </c>
      <c r="D150" t="s">
        <v>197</v>
      </c>
      <c r="E150" t="s">
        <v>198</v>
      </c>
      <c r="F150" t="s">
        <v>1188</v>
      </c>
      <c r="H150" t="s">
        <v>2062</v>
      </c>
      <c r="I150" t="s">
        <v>11</v>
      </c>
      <c r="J150" t="s">
        <v>23</v>
      </c>
      <c r="K150" t="s">
        <v>199</v>
      </c>
      <c r="L150" t="s">
        <v>557</v>
      </c>
      <c r="M150" t="s">
        <v>3015</v>
      </c>
      <c r="N150" t="s">
        <v>1545</v>
      </c>
      <c r="O150" t="s">
        <v>2918</v>
      </c>
      <c r="P150" t="s">
        <v>3030</v>
      </c>
      <c r="Q150" t="s">
        <v>1566</v>
      </c>
      <c r="R150" s="31">
        <f>9.2/(0.01*0.85)</f>
        <v>1082.3529411764705</v>
      </c>
      <c r="S150" t="s">
        <v>3221</v>
      </c>
      <c r="T150" s="2" t="s">
        <v>2008</v>
      </c>
    </row>
    <row r="151" spans="1:20" x14ac:dyDescent="0.35">
      <c r="A151">
        <v>2023</v>
      </c>
      <c r="B151" t="s">
        <v>1537</v>
      </c>
      <c r="C151" t="s">
        <v>2923</v>
      </c>
      <c r="D151" t="s">
        <v>39</v>
      </c>
      <c r="E151" t="s">
        <v>1587</v>
      </c>
      <c r="G151" t="s">
        <v>1754</v>
      </c>
      <c r="H151" t="s">
        <v>2151</v>
      </c>
      <c r="I151" t="s">
        <v>11</v>
      </c>
      <c r="J151" t="s">
        <v>720</v>
      </c>
      <c r="K151" t="s">
        <v>16</v>
      </c>
      <c r="L151" t="s">
        <v>16</v>
      </c>
      <c r="M151" t="s">
        <v>3016</v>
      </c>
      <c r="N151" t="s">
        <v>3228</v>
      </c>
      <c r="O151" t="s">
        <v>2918</v>
      </c>
      <c r="P151" t="s">
        <v>3030</v>
      </c>
      <c r="Q151" t="s">
        <v>1550</v>
      </c>
      <c r="R151" s="31">
        <v>260</v>
      </c>
      <c r="T151" t="s">
        <v>1593</v>
      </c>
    </row>
    <row r="152" spans="1:20" hidden="1" x14ac:dyDescent="0.35">
      <c r="A152">
        <v>2023</v>
      </c>
      <c r="B152" t="s">
        <v>1537</v>
      </c>
      <c r="C152" t="s">
        <v>2923</v>
      </c>
      <c r="D152" t="s">
        <v>39</v>
      </c>
      <c r="E152" t="s">
        <v>1587</v>
      </c>
      <c r="G152" t="s">
        <v>1754</v>
      </c>
      <c r="H152" t="s">
        <v>2151</v>
      </c>
      <c r="I152" t="s">
        <v>11</v>
      </c>
      <c r="J152" t="s">
        <v>720</v>
      </c>
      <c r="K152" t="s">
        <v>16</v>
      </c>
      <c r="L152" t="s">
        <v>16</v>
      </c>
      <c r="M152" t="s">
        <v>3015</v>
      </c>
      <c r="N152" t="s">
        <v>1545</v>
      </c>
      <c r="O152" t="s">
        <v>2918</v>
      </c>
      <c r="P152" t="s">
        <v>3030</v>
      </c>
      <c r="Q152" t="s">
        <v>1566</v>
      </c>
      <c r="R152" s="31">
        <v>2911</v>
      </c>
      <c r="T152" t="s">
        <v>1593</v>
      </c>
    </row>
    <row r="153" spans="1:20" hidden="1" x14ac:dyDescent="0.35">
      <c r="A153">
        <v>2023</v>
      </c>
      <c r="B153" t="s">
        <v>1537</v>
      </c>
      <c r="C153" t="s">
        <v>2923</v>
      </c>
      <c r="D153" t="s">
        <v>39</v>
      </c>
      <c r="E153" t="s">
        <v>1587</v>
      </c>
      <c r="G153" t="s">
        <v>1754</v>
      </c>
      <c r="H153" t="s">
        <v>2151</v>
      </c>
      <c r="I153" t="s">
        <v>11</v>
      </c>
      <c r="J153" t="s">
        <v>720</v>
      </c>
      <c r="K153" t="s">
        <v>16</v>
      </c>
      <c r="L153" t="s">
        <v>16</v>
      </c>
      <c r="M153" t="s">
        <v>3014</v>
      </c>
      <c r="N153" t="s">
        <v>1594</v>
      </c>
      <c r="O153" t="s">
        <v>2918</v>
      </c>
      <c r="P153" t="s">
        <v>3030</v>
      </c>
      <c r="Q153" t="s">
        <v>1566</v>
      </c>
      <c r="R153" s="31">
        <f>6972+859</f>
        <v>7831</v>
      </c>
      <c r="S153" t="s">
        <v>3021</v>
      </c>
      <c r="T153" t="s">
        <v>1593</v>
      </c>
    </row>
    <row r="154" spans="1:20" x14ac:dyDescent="0.35">
      <c r="A154">
        <v>2022</v>
      </c>
      <c r="B154" t="s">
        <v>772</v>
      </c>
      <c r="C154" t="s">
        <v>2923</v>
      </c>
      <c r="D154" t="s">
        <v>715</v>
      </c>
      <c r="E154" t="s">
        <v>200</v>
      </c>
      <c r="F154" t="s">
        <v>1245</v>
      </c>
      <c r="H154" t="s">
        <v>2104</v>
      </c>
      <c r="I154" t="s">
        <v>11</v>
      </c>
      <c r="J154" t="s">
        <v>13</v>
      </c>
      <c r="K154" t="s">
        <v>201</v>
      </c>
      <c r="L154" t="s">
        <v>557</v>
      </c>
      <c r="M154" t="s">
        <v>3016</v>
      </c>
      <c r="N154" t="s">
        <v>1778</v>
      </c>
      <c r="O154" t="s">
        <v>2918</v>
      </c>
      <c r="P154" t="s">
        <v>3030</v>
      </c>
      <c r="Q154" t="s">
        <v>1546</v>
      </c>
      <c r="R154" s="31">
        <v>24232</v>
      </c>
      <c r="S154" t="s">
        <v>3208</v>
      </c>
      <c r="T154" t="s">
        <v>3209</v>
      </c>
    </row>
    <row r="155" spans="1:20" x14ac:dyDescent="0.35">
      <c r="A155">
        <v>2022</v>
      </c>
      <c r="B155" t="s">
        <v>772</v>
      </c>
      <c r="C155" t="s">
        <v>2923</v>
      </c>
      <c r="D155" t="s">
        <v>715</v>
      </c>
      <c r="E155" t="s">
        <v>200</v>
      </c>
      <c r="F155" t="s">
        <v>1245</v>
      </c>
      <c r="H155" t="s">
        <v>2104</v>
      </c>
      <c r="I155" t="s">
        <v>11</v>
      </c>
      <c r="J155" t="s">
        <v>13</v>
      </c>
      <c r="K155" t="s">
        <v>201</v>
      </c>
      <c r="L155" t="s">
        <v>125</v>
      </c>
      <c r="M155" t="s">
        <v>3016</v>
      </c>
      <c r="N155" t="s">
        <v>1778</v>
      </c>
      <c r="O155" t="s">
        <v>2918</v>
      </c>
      <c r="P155" t="s">
        <v>3030</v>
      </c>
      <c r="Q155" t="s">
        <v>1546</v>
      </c>
      <c r="R155" s="31">
        <v>5488</v>
      </c>
      <c r="S155" t="s">
        <v>3208</v>
      </c>
      <c r="T155" t="s">
        <v>3209</v>
      </c>
    </row>
    <row r="156" spans="1:20" x14ac:dyDescent="0.35">
      <c r="A156">
        <v>2022</v>
      </c>
      <c r="B156" t="s">
        <v>772</v>
      </c>
      <c r="C156" t="s">
        <v>2923</v>
      </c>
      <c r="D156" t="s">
        <v>715</v>
      </c>
      <c r="E156" t="s">
        <v>200</v>
      </c>
      <c r="F156" t="s">
        <v>1245</v>
      </c>
      <c r="H156" t="s">
        <v>2104</v>
      </c>
      <c r="I156" t="s">
        <v>11</v>
      </c>
      <c r="J156" t="s">
        <v>13</v>
      </c>
      <c r="K156" t="s">
        <v>201</v>
      </c>
      <c r="L156" t="s">
        <v>1769</v>
      </c>
      <c r="M156" t="s">
        <v>3016</v>
      </c>
      <c r="N156" t="s">
        <v>1778</v>
      </c>
      <c r="O156" t="s">
        <v>2918</v>
      </c>
      <c r="P156" t="s">
        <v>3030</v>
      </c>
      <c r="Q156" t="s">
        <v>1546</v>
      </c>
      <c r="R156" s="31">
        <v>498</v>
      </c>
      <c r="S156" t="s">
        <v>3208</v>
      </c>
      <c r="T156" t="s">
        <v>3209</v>
      </c>
    </row>
    <row r="157" spans="1:20" hidden="1" x14ac:dyDescent="0.35">
      <c r="A157">
        <v>2022</v>
      </c>
      <c r="B157" t="s">
        <v>772</v>
      </c>
      <c r="C157" t="s">
        <v>2923</v>
      </c>
      <c r="D157" t="s">
        <v>715</v>
      </c>
      <c r="E157" t="s">
        <v>200</v>
      </c>
      <c r="F157" t="s">
        <v>1245</v>
      </c>
      <c r="H157" t="s">
        <v>2104</v>
      </c>
      <c r="I157" t="s">
        <v>11</v>
      </c>
      <c r="J157" t="s">
        <v>13</v>
      </c>
      <c r="K157" t="s">
        <v>201</v>
      </c>
      <c r="L157" t="s">
        <v>1776</v>
      </c>
      <c r="M157" t="s">
        <v>3015</v>
      </c>
      <c r="N157" t="s">
        <v>1545</v>
      </c>
      <c r="O157" t="s">
        <v>2918</v>
      </c>
      <c r="P157" t="s">
        <v>3030</v>
      </c>
      <c r="Q157" t="s">
        <v>1641</v>
      </c>
      <c r="R157" s="31">
        <v>1.5</v>
      </c>
      <c r="T157" t="s">
        <v>3209</v>
      </c>
    </row>
    <row r="158" spans="1:20" hidden="1" x14ac:dyDescent="0.35">
      <c r="A158">
        <v>2023</v>
      </c>
      <c r="B158" t="s">
        <v>772</v>
      </c>
      <c r="C158" t="s">
        <v>2923</v>
      </c>
      <c r="D158" t="s">
        <v>755</v>
      </c>
      <c r="E158" t="s">
        <v>76</v>
      </c>
      <c r="F158" t="s">
        <v>1314</v>
      </c>
      <c r="H158" t="s">
        <v>2150</v>
      </c>
      <c r="I158" t="s">
        <v>11</v>
      </c>
      <c r="J158" t="s">
        <v>13</v>
      </c>
      <c r="K158" t="s">
        <v>64</v>
      </c>
      <c r="L158" t="s">
        <v>1776</v>
      </c>
      <c r="M158" t="s">
        <v>3014</v>
      </c>
      <c r="N158" t="s">
        <v>1594</v>
      </c>
      <c r="O158" t="s">
        <v>2918</v>
      </c>
      <c r="P158" t="s">
        <v>3030</v>
      </c>
      <c r="Q158" t="s">
        <v>1566</v>
      </c>
      <c r="R158" s="31">
        <v>12412</v>
      </c>
      <c r="T158" t="s">
        <v>1714</v>
      </c>
    </row>
    <row r="159" spans="1:20" hidden="1" x14ac:dyDescent="0.35">
      <c r="A159">
        <v>2023</v>
      </c>
      <c r="B159" t="s">
        <v>772</v>
      </c>
      <c r="C159" t="s">
        <v>2923</v>
      </c>
      <c r="D159" t="s">
        <v>755</v>
      </c>
      <c r="E159" t="s">
        <v>76</v>
      </c>
      <c r="F159" t="s">
        <v>1314</v>
      </c>
      <c r="H159" t="s">
        <v>2150</v>
      </c>
      <c r="I159" t="s">
        <v>11</v>
      </c>
      <c r="J159" t="s">
        <v>13</v>
      </c>
      <c r="K159" t="s">
        <v>64</v>
      </c>
      <c r="L159" t="s">
        <v>1776</v>
      </c>
      <c r="M159" t="s">
        <v>3015</v>
      </c>
      <c r="N159" t="s">
        <v>1545</v>
      </c>
      <c r="O159" t="s">
        <v>2918</v>
      </c>
      <c r="P159" t="s">
        <v>3030</v>
      </c>
      <c r="Q159" t="s">
        <v>1566</v>
      </c>
      <c r="R159" s="31">
        <v>8764</v>
      </c>
      <c r="T159" t="s">
        <v>1714</v>
      </c>
    </row>
    <row r="160" spans="1:20" x14ac:dyDescent="0.35">
      <c r="A160">
        <v>2023</v>
      </c>
      <c r="B160" t="s">
        <v>772</v>
      </c>
      <c r="C160" t="s">
        <v>2923</v>
      </c>
      <c r="D160" t="s">
        <v>755</v>
      </c>
      <c r="E160" t="s">
        <v>76</v>
      </c>
      <c r="F160" t="s">
        <v>1314</v>
      </c>
      <c r="H160" t="s">
        <v>2150</v>
      </c>
      <c r="I160" t="s">
        <v>11</v>
      </c>
      <c r="J160" t="s">
        <v>13</v>
      </c>
      <c r="K160" t="s">
        <v>64</v>
      </c>
      <c r="L160" t="s">
        <v>16</v>
      </c>
      <c r="M160" t="s">
        <v>3016</v>
      </c>
      <c r="N160" t="s">
        <v>3228</v>
      </c>
      <c r="O160" t="s">
        <v>2918</v>
      </c>
      <c r="P160" t="s">
        <v>3030</v>
      </c>
      <c r="Q160" t="s">
        <v>1548</v>
      </c>
      <c r="R160" s="31">
        <v>253745</v>
      </c>
      <c r="T160" t="s">
        <v>1714</v>
      </c>
    </row>
    <row r="161" spans="1:20" x14ac:dyDescent="0.35">
      <c r="A161">
        <v>2023</v>
      </c>
      <c r="B161" t="s">
        <v>772</v>
      </c>
      <c r="C161" t="s">
        <v>2923</v>
      </c>
      <c r="D161" t="s">
        <v>39</v>
      </c>
      <c r="E161" t="s">
        <v>86</v>
      </c>
      <c r="F161" t="s">
        <v>1322</v>
      </c>
      <c r="H161" t="s">
        <v>2151</v>
      </c>
      <c r="I161" t="s">
        <v>11</v>
      </c>
      <c r="J161" t="s">
        <v>19</v>
      </c>
      <c r="K161" t="s">
        <v>84</v>
      </c>
      <c r="L161" t="s">
        <v>125</v>
      </c>
      <c r="M161" t="s">
        <v>3016</v>
      </c>
      <c r="N161" t="s">
        <v>1552</v>
      </c>
      <c r="O161" t="s">
        <v>2918</v>
      </c>
      <c r="P161" t="s">
        <v>3030</v>
      </c>
      <c r="Q161" t="s">
        <v>1713</v>
      </c>
      <c r="R161" s="31">
        <v>8</v>
      </c>
      <c r="S161" t="s">
        <v>3001</v>
      </c>
      <c r="T161" t="s">
        <v>1598</v>
      </c>
    </row>
    <row r="162" spans="1:20" x14ac:dyDescent="0.35">
      <c r="A162">
        <v>2023</v>
      </c>
      <c r="B162" t="s">
        <v>772</v>
      </c>
      <c r="C162" t="s">
        <v>2923</v>
      </c>
      <c r="D162" t="s">
        <v>39</v>
      </c>
      <c r="E162" t="s">
        <v>86</v>
      </c>
      <c r="F162" t="s">
        <v>1322</v>
      </c>
      <c r="H162" t="s">
        <v>2151</v>
      </c>
      <c r="I162" t="s">
        <v>11</v>
      </c>
      <c r="J162" t="s">
        <v>19</v>
      </c>
      <c r="K162" t="s">
        <v>84</v>
      </c>
      <c r="L162" t="s">
        <v>16</v>
      </c>
      <c r="M162" t="s">
        <v>3016</v>
      </c>
      <c r="N162" t="s">
        <v>3228</v>
      </c>
      <c r="O162" t="s">
        <v>2918</v>
      </c>
      <c r="P162" t="s">
        <v>3030</v>
      </c>
      <c r="Q162" t="s">
        <v>1550</v>
      </c>
      <c r="R162" s="31">
        <v>5</v>
      </c>
      <c r="T162" t="s">
        <v>1593</v>
      </c>
    </row>
    <row r="163" spans="1:20" hidden="1" x14ac:dyDescent="0.35">
      <c r="A163">
        <v>2023</v>
      </c>
      <c r="B163" t="s">
        <v>772</v>
      </c>
      <c r="C163" t="s">
        <v>2923</v>
      </c>
      <c r="D163" t="s">
        <v>39</v>
      </c>
      <c r="E163" t="s">
        <v>86</v>
      </c>
      <c r="F163" t="s">
        <v>1322</v>
      </c>
      <c r="H163" t="s">
        <v>2151</v>
      </c>
      <c r="I163" t="s">
        <v>11</v>
      </c>
      <c r="J163" t="s">
        <v>19</v>
      </c>
      <c r="K163" t="s">
        <v>84</v>
      </c>
      <c r="L163" t="s">
        <v>1776</v>
      </c>
      <c r="M163" t="s">
        <v>3015</v>
      </c>
      <c r="N163" t="s">
        <v>1545</v>
      </c>
      <c r="O163" t="s">
        <v>2918</v>
      </c>
      <c r="P163" t="s">
        <v>3030</v>
      </c>
      <c r="Q163" t="s">
        <v>1566</v>
      </c>
      <c r="R163" s="31">
        <v>1139</v>
      </c>
      <c r="T163" t="s">
        <v>1593</v>
      </c>
    </row>
    <row r="164" spans="1:20" hidden="1" x14ac:dyDescent="0.35">
      <c r="A164">
        <v>2023</v>
      </c>
      <c r="B164" t="s">
        <v>772</v>
      </c>
      <c r="C164" t="s">
        <v>2923</v>
      </c>
      <c r="D164" t="s">
        <v>39</v>
      </c>
      <c r="E164" t="s">
        <v>86</v>
      </c>
      <c r="F164" t="s">
        <v>1322</v>
      </c>
      <c r="H164" t="s">
        <v>2151</v>
      </c>
      <c r="I164" t="s">
        <v>11</v>
      </c>
      <c r="J164" t="s">
        <v>19</v>
      </c>
      <c r="K164" t="s">
        <v>84</v>
      </c>
      <c r="L164" t="s">
        <v>1776</v>
      </c>
      <c r="M164" t="s">
        <v>3014</v>
      </c>
      <c r="N164" t="s">
        <v>1594</v>
      </c>
      <c r="O164" t="s">
        <v>2918</v>
      </c>
      <c r="P164" t="s">
        <v>3030</v>
      </c>
      <c r="Q164" t="s">
        <v>1566</v>
      </c>
      <c r="R164" s="31">
        <v>3769</v>
      </c>
      <c r="S164" t="s">
        <v>3022</v>
      </c>
      <c r="T164" t="s">
        <v>1593</v>
      </c>
    </row>
    <row r="165" spans="1:20" hidden="1" x14ac:dyDescent="0.35">
      <c r="A165">
        <v>2024</v>
      </c>
      <c r="B165" t="s">
        <v>772</v>
      </c>
      <c r="C165" t="s">
        <v>2923</v>
      </c>
      <c r="D165" t="s">
        <v>798</v>
      </c>
      <c r="E165" t="s">
        <v>71</v>
      </c>
      <c r="F165" t="s">
        <v>1215</v>
      </c>
      <c r="H165" t="s">
        <v>2085</v>
      </c>
      <c r="I165" t="s">
        <v>11</v>
      </c>
      <c r="J165" t="s">
        <v>13</v>
      </c>
      <c r="K165" t="s">
        <v>64</v>
      </c>
      <c r="L165" t="s">
        <v>1776</v>
      </c>
      <c r="M165" t="s">
        <v>3014</v>
      </c>
      <c r="N165" t="s">
        <v>1821</v>
      </c>
      <c r="O165" t="s">
        <v>2918</v>
      </c>
      <c r="P165" t="s">
        <v>3030</v>
      </c>
      <c r="Q165" t="s">
        <v>1546</v>
      </c>
      <c r="R165" s="31">
        <v>1855271</v>
      </c>
      <c r="T165" t="s">
        <v>1829</v>
      </c>
    </row>
    <row r="166" spans="1:20" hidden="1" x14ac:dyDescent="0.35">
      <c r="A166">
        <v>2024</v>
      </c>
      <c r="B166" t="s">
        <v>772</v>
      </c>
      <c r="C166" t="s">
        <v>2923</v>
      </c>
      <c r="D166" t="s">
        <v>798</v>
      </c>
      <c r="E166" t="s">
        <v>71</v>
      </c>
      <c r="F166" t="s">
        <v>1215</v>
      </c>
      <c r="H166" t="s">
        <v>2085</v>
      </c>
      <c r="I166" t="s">
        <v>11</v>
      </c>
      <c r="J166" t="s">
        <v>13</v>
      </c>
      <c r="K166" t="s">
        <v>64</v>
      </c>
      <c r="L166" t="s">
        <v>1776</v>
      </c>
      <c r="M166" t="s">
        <v>3014</v>
      </c>
      <c r="N166" t="s">
        <v>1594</v>
      </c>
      <c r="O166" t="s">
        <v>2918</v>
      </c>
      <c r="P166" t="s">
        <v>3030</v>
      </c>
      <c r="Q166" t="s">
        <v>1546</v>
      </c>
      <c r="R166" s="31">
        <v>862000</v>
      </c>
      <c r="T166" t="s">
        <v>1829</v>
      </c>
    </row>
    <row r="167" spans="1:20" hidden="1" x14ac:dyDescent="0.35">
      <c r="A167">
        <v>2024</v>
      </c>
      <c r="B167" t="s">
        <v>772</v>
      </c>
      <c r="C167" t="s">
        <v>2923</v>
      </c>
      <c r="D167" t="s">
        <v>798</v>
      </c>
      <c r="E167" t="s">
        <v>71</v>
      </c>
      <c r="F167" t="s">
        <v>1215</v>
      </c>
      <c r="H167" t="s">
        <v>2085</v>
      </c>
      <c r="I167" t="s">
        <v>11</v>
      </c>
      <c r="J167" t="s">
        <v>13</v>
      </c>
      <c r="K167" t="s">
        <v>64</v>
      </c>
      <c r="L167" t="s">
        <v>1776</v>
      </c>
      <c r="M167" t="s">
        <v>3015</v>
      </c>
      <c r="N167" t="s">
        <v>1545</v>
      </c>
      <c r="O167" t="s">
        <v>2918</v>
      </c>
      <c r="P167" t="s">
        <v>3030</v>
      </c>
      <c r="Q167" t="s">
        <v>1546</v>
      </c>
      <c r="R167" s="31">
        <v>841000</v>
      </c>
      <c r="T167" t="s">
        <v>1829</v>
      </c>
    </row>
    <row r="168" spans="1:20" x14ac:dyDescent="0.35">
      <c r="A168">
        <v>2024</v>
      </c>
      <c r="B168" t="s">
        <v>772</v>
      </c>
      <c r="C168" t="s">
        <v>2923</v>
      </c>
      <c r="D168" t="s">
        <v>798</v>
      </c>
      <c r="E168" t="s">
        <v>71</v>
      </c>
      <c r="F168" t="s">
        <v>1215</v>
      </c>
      <c r="H168" t="s">
        <v>2085</v>
      </c>
      <c r="I168" t="s">
        <v>11</v>
      </c>
      <c r="J168" t="s">
        <v>13</v>
      </c>
      <c r="K168" t="s">
        <v>64</v>
      </c>
      <c r="L168" t="s">
        <v>16</v>
      </c>
      <c r="M168" t="s">
        <v>3016</v>
      </c>
      <c r="N168" t="s">
        <v>3228</v>
      </c>
      <c r="O168" t="s">
        <v>2918</v>
      </c>
      <c r="P168" t="s">
        <v>3030</v>
      </c>
      <c r="Q168" t="s">
        <v>1548</v>
      </c>
      <c r="R168" s="31">
        <v>112700</v>
      </c>
      <c r="T168" t="s">
        <v>1829</v>
      </c>
    </row>
    <row r="169" spans="1:20" hidden="1" x14ac:dyDescent="0.35">
      <c r="A169">
        <v>2023</v>
      </c>
      <c r="B169" t="s">
        <v>772</v>
      </c>
      <c r="C169" t="s">
        <v>2923</v>
      </c>
      <c r="D169" t="s">
        <v>718</v>
      </c>
      <c r="E169" t="s">
        <v>345</v>
      </c>
      <c r="F169" t="s">
        <v>1355</v>
      </c>
      <c r="G169" t="s">
        <v>2171</v>
      </c>
      <c r="H169" t="s">
        <v>2167</v>
      </c>
      <c r="I169" t="s">
        <v>233</v>
      </c>
      <c r="J169" t="s">
        <v>255</v>
      </c>
      <c r="K169" t="s">
        <v>346</v>
      </c>
      <c r="L169" t="s">
        <v>2297</v>
      </c>
      <c r="M169" t="s">
        <v>3018</v>
      </c>
      <c r="N169" t="s">
        <v>3027</v>
      </c>
      <c r="O169" t="s">
        <v>2918</v>
      </c>
      <c r="P169" t="s">
        <v>3030</v>
      </c>
      <c r="Q169" t="s">
        <v>1566</v>
      </c>
      <c r="R169" s="31">
        <v>1111</v>
      </c>
      <c r="S169" t="s">
        <v>2953</v>
      </c>
      <c r="T169" t="s">
        <v>2290</v>
      </c>
    </row>
    <row r="170" spans="1:20" x14ac:dyDescent="0.35">
      <c r="A170">
        <v>2023</v>
      </c>
      <c r="B170" t="s">
        <v>772</v>
      </c>
      <c r="C170" t="s">
        <v>2923</v>
      </c>
      <c r="D170" t="s">
        <v>165</v>
      </c>
      <c r="E170" t="s">
        <v>166</v>
      </c>
      <c r="F170" t="s">
        <v>1392</v>
      </c>
      <c r="H170" t="s">
        <v>2198</v>
      </c>
      <c r="I170" t="s">
        <v>11</v>
      </c>
      <c r="J170" t="s">
        <v>19</v>
      </c>
      <c r="K170" t="s">
        <v>157</v>
      </c>
      <c r="L170" t="s">
        <v>157</v>
      </c>
      <c r="M170" t="s">
        <v>3016</v>
      </c>
      <c r="N170" t="s">
        <v>2917</v>
      </c>
      <c r="O170" t="s">
        <v>2917</v>
      </c>
      <c r="P170" t="s">
        <v>3030</v>
      </c>
      <c r="Q170" t="s">
        <v>1566</v>
      </c>
      <c r="R170" s="31">
        <v>6000</v>
      </c>
      <c r="S170" t="s">
        <v>2937</v>
      </c>
      <c r="T170" t="s">
        <v>2380</v>
      </c>
    </row>
    <row r="171" spans="1:20" hidden="1" x14ac:dyDescent="0.35">
      <c r="A171">
        <v>2023</v>
      </c>
      <c r="B171" t="s">
        <v>772</v>
      </c>
      <c r="C171" t="s">
        <v>2923</v>
      </c>
      <c r="D171" t="s">
        <v>165</v>
      </c>
      <c r="E171" t="s">
        <v>166</v>
      </c>
      <c r="F171" t="s">
        <v>1392</v>
      </c>
      <c r="H171" t="s">
        <v>2198</v>
      </c>
      <c r="I171" t="s">
        <v>11</v>
      </c>
      <c r="J171" t="s">
        <v>19</v>
      </c>
      <c r="K171" t="s">
        <v>157</v>
      </c>
      <c r="L171" t="s">
        <v>157</v>
      </c>
      <c r="M171" t="s">
        <v>3014</v>
      </c>
      <c r="N171" t="s">
        <v>1594</v>
      </c>
      <c r="O171" t="s">
        <v>2918</v>
      </c>
      <c r="P171" t="s">
        <v>3030</v>
      </c>
      <c r="Q171" t="s">
        <v>1566</v>
      </c>
      <c r="R171" s="31">
        <v>3560</v>
      </c>
      <c r="T171" t="s">
        <v>2380</v>
      </c>
    </row>
    <row r="172" spans="1:20" hidden="1" x14ac:dyDescent="0.35">
      <c r="A172">
        <v>2023</v>
      </c>
      <c r="B172" t="s">
        <v>1537</v>
      </c>
      <c r="C172" t="s">
        <v>2923</v>
      </c>
      <c r="D172" t="s">
        <v>902</v>
      </c>
      <c r="E172" t="s">
        <v>1951</v>
      </c>
      <c r="G172" t="s">
        <v>1950</v>
      </c>
      <c r="H172" t="s">
        <v>2187</v>
      </c>
      <c r="I172" t="s">
        <v>11</v>
      </c>
      <c r="J172" t="s">
        <v>44</v>
      </c>
      <c r="K172" t="s">
        <v>16</v>
      </c>
      <c r="L172" t="s">
        <v>16</v>
      </c>
      <c r="M172" t="s">
        <v>3015</v>
      </c>
      <c r="N172" t="s">
        <v>1734</v>
      </c>
      <c r="O172" t="s">
        <v>2918</v>
      </c>
      <c r="P172" t="s">
        <v>3030</v>
      </c>
      <c r="Q172" t="s">
        <v>1566</v>
      </c>
      <c r="R172" s="31">
        <v>122</v>
      </c>
      <c r="T172" t="s">
        <v>1939</v>
      </c>
    </row>
    <row r="173" spans="1:20" hidden="1" x14ac:dyDescent="0.35">
      <c r="A173">
        <v>2023</v>
      </c>
      <c r="B173" t="s">
        <v>1537</v>
      </c>
      <c r="C173" t="s">
        <v>2923</v>
      </c>
      <c r="D173" t="s">
        <v>902</v>
      </c>
      <c r="E173" t="s">
        <v>1951</v>
      </c>
      <c r="G173" t="s">
        <v>1950</v>
      </c>
      <c r="H173" t="s">
        <v>2187</v>
      </c>
      <c r="I173" t="s">
        <v>11</v>
      </c>
      <c r="J173" t="s">
        <v>44</v>
      </c>
      <c r="K173" t="s">
        <v>16</v>
      </c>
      <c r="L173" t="s">
        <v>16</v>
      </c>
      <c r="M173" t="s">
        <v>3014</v>
      </c>
      <c r="N173" t="s">
        <v>1594</v>
      </c>
      <c r="O173" t="s">
        <v>2918</v>
      </c>
      <c r="P173" t="s">
        <v>3030</v>
      </c>
      <c r="Q173" t="s">
        <v>1566</v>
      </c>
      <c r="R173" s="31">
        <v>117</v>
      </c>
      <c r="T173" t="s">
        <v>1939</v>
      </c>
    </row>
    <row r="174" spans="1:20" x14ac:dyDescent="0.35">
      <c r="A174">
        <v>2023</v>
      </c>
      <c r="B174" t="s">
        <v>1537</v>
      </c>
      <c r="C174" t="s">
        <v>2923</v>
      </c>
      <c r="D174" t="s">
        <v>902</v>
      </c>
      <c r="E174" t="s">
        <v>1951</v>
      </c>
      <c r="G174" t="s">
        <v>1950</v>
      </c>
      <c r="H174" t="s">
        <v>2187</v>
      </c>
      <c r="I174" t="s">
        <v>11</v>
      </c>
      <c r="J174" t="s">
        <v>44</v>
      </c>
      <c r="K174" t="s">
        <v>16</v>
      </c>
      <c r="L174" t="s">
        <v>16</v>
      </c>
      <c r="M174" t="s">
        <v>3016</v>
      </c>
      <c r="N174" t="s">
        <v>3228</v>
      </c>
      <c r="O174" t="s">
        <v>2918</v>
      </c>
      <c r="P174" t="s">
        <v>3030</v>
      </c>
      <c r="Q174" t="s">
        <v>1548</v>
      </c>
      <c r="R174" s="31">
        <v>38757</v>
      </c>
      <c r="T174" t="s">
        <v>1939</v>
      </c>
    </row>
    <row r="175" spans="1:20" x14ac:dyDescent="0.35">
      <c r="A175">
        <v>2023</v>
      </c>
      <c r="B175" t="s">
        <v>772</v>
      </c>
      <c r="C175" t="s">
        <v>2923</v>
      </c>
      <c r="D175" t="s">
        <v>717</v>
      </c>
      <c r="E175" t="s">
        <v>1782</v>
      </c>
      <c r="G175" t="s">
        <v>1854</v>
      </c>
      <c r="H175" t="s">
        <v>1853</v>
      </c>
      <c r="I175" t="s">
        <v>11</v>
      </c>
      <c r="J175" t="s">
        <v>44</v>
      </c>
      <c r="K175" t="s">
        <v>88</v>
      </c>
      <c r="L175" t="s">
        <v>125</v>
      </c>
      <c r="M175" t="s">
        <v>3016</v>
      </c>
      <c r="N175" t="s">
        <v>3020</v>
      </c>
      <c r="O175" t="s">
        <v>2918</v>
      </c>
      <c r="P175" t="s">
        <v>3030</v>
      </c>
      <c r="Q175" t="s">
        <v>1546</v>
      </c>
      <c r="R175" s="31">
        <v>12154</v>
      </c>
      <c r="T175" t="s">
        <v>1777</v>
      </c>
    </row>
    <row r="176" spans="1:20" x14ac:dyDescent="0.35">
      <c r="A176">
        <v>2023</v>
      </c>
      <c r="B176" t="s">
        <v>772</v>
      </c>
      <c r="C176" t="s">
        <v>2923</v>
      </c>
      <c r="D176" t="s">
        <v>717</v>
      </c>
      <c r="E176" t="s">
        <v>1782</v>
      </c>
      <c r="G176" t="s">
        <v>1854</v>
      </c>
      <c r="H176" t="s">
        <v>1853</v>
      </c>
      <c r="I176" t="s">
        <v>11</v>
      </c>
      <c r="J176" t="s">
        <v>44</v>
      </c>
      <c r="K176" t="s">
        <v>88</v>
      </c>
      <c r="L176" t="s">
        <v>16</v>
      </c>
      <c r="M176" t="s">
        <v>3016</v>
      </c>
      <c r="N176" t="s">
        <v>3020</v>
      </c>
      <c r="O176" t="s">
        <v>2918</v>
      </c>
      <c r="P176" t="s">
        <v>3030</v>
      </c>
      <c r="Q176" t="s">
        <v>1548</v>
      </c>
      <c r="R176" s="31">
        <v>187363</v>
      </c>
      <c r="T176" t="s">
        <v>1777</v>
      </c>
    </row>
    <row r="177" spans="1:20" x14ac:dyDescent="0.35">
      <c r="A177">
        <v>2023</v>
      </c>
      <c r="B177" t="s">
        <v>772</v>
      </c>
      <c r="C177" t="s">
        <v>2923</v>
      </c>
      <c r="D177" t="s">
        <v>717</v>
      </c>
      <c r="E177" t="s">
        <v>1782</v>
      </c>
      <c r="G177" t="s">
        <v>1854</v>
      </c>
      <c r="H177" t="s">
        <v>1853</v>
      </c>
      <c r="I177" t="s">
        <v>11</v>
      </c>
      <c r="J177" t="s">
        <v>44</v>
      </c>
      <c r="K177" t="s">
        <v>88</v>
      </c>
      <c r="L177" t="s">
        <v>1549</v>
      </c>
      <c r="M177" t="s">
        <v>3016</v>
      </c>
      <c r="N177" t="s">
        <v>3020</v>
      </c>
      <c r="O177" t="s">
        <v>2918</v>
      </c>
      <c r="P177" t="s">
        <v>3030</v>
      </c>
      <c r="Q177" t="s">
        <v>1548</v>
      </c>
      <c r="R177" s="31">
        <v>851723</v>
      </c>
      <c r="T177" t="s">
        <v>1777</v>
      </c>
    </row>
    <row r="178" spans="1:20" x14ac:dyDescent="0.35">
      <c r="A178">
        <v>2023</v>
      </c>
      <c r="B178" t="s">
        <v>772</v>
      </c>
      <c r="C178" t="s">
        <v>2923</v>
      </c>
      <c r="D178" t="s">
        <v>717</v>
      </c>
      <c r="E178" t="s">
        <v>1782</v>
      </c>
      <c r="G178" t="s">
        <v>1854</v>
      </c>
      <c r="H178" t="s">
        <v>1853</v>
      </c>
      <c r="I178" t="s">
        <v>11</v>
      </c>
      <c r="J178" t="s">
        <v>44</v>
      </c>
      <c r="K178" t="s">
        <v>88</v>
      </c>
      <c r="L178" t="s">
        <v>1551</v>
      </c>
      <c r="M178" t="s">
        <v>3016</v>
      </c>
      <c r="N178" t="s">
        <v>3020</v>
      </c>
      <c r="O178" t="s">
        <v>2918</v>
      </c>
      <c r="P178" t="s">
        <v>3030</v>
      </c>
      <c r="Q178" t="s">
        <v>1546</v>
      </c>
      <c r="R178" s="31">
        <v>34642</v>
      </c>
      <c r="T178" t="s">
        <v>1777</v>
      </c>
    </row>
    <row r="179" spans="1:20" hidden="1" x14ac:dyDescent="0.35">
      <c r="A179">
        <v>2023</v>
      </c>
      <c r="B179" t="s">
        <v>772</v>
      </c>
      <c r="C179" t="s">
        <v>2923</v>
      </c>
      <c r="D179" t="s">
        <v>717</v>
      </c>
      <c r="E179" t="s">
        <v>87</v>
      </c>
      <c r="F179" t="s">
        <v>1267</v>
      </c>
      <c r="G179" t="s">
        <v>1854</v>
      </c>
      <c r="H179" t="s">
        <v>1853</v>
      </c>
      <c r="I179" t="s">
        <v>11</v>
      </c>
      <c r="J179" t="s">
        <v>44</v>
      </c>
      <c r="K179" t="s">
        <v>88</v>
      </c>
      <c r="L179" t="s">
        <v>1776</v>
      </c>
      <c r="M179" t="s">
        <v>3015</v>
      </c>
      <c r="N179" t="s">
        <v>1734</v>
      </c>
      <c r="O179" t="s">
        <v>2918</v>
      </c>
      <c r="P179" t="s">
        <v>3030</v>
      </c>
      <c r="Q179" t="s">
        <v>1546</v>
      </c>
      <c r="R179" s="31">
        <v>965567</v>
      </c>
      <c r="T179" t="s">
        <v>1777</v>
      </c>
    </row>
    <row r="180" spans="1:20" x14ac:dyDescent="0.35">
      <c r="A180">
        <v>2023</v>
      </c>
      <c r="B180" t="s">
        <v>772</v>
      </c>
      <c r="C180" t="s">
        <v>2923</v>
      </c>
      <c r="D180" t="s">
        <v>717</v>
      </c>
      <c r="E180" t="s">
        <v>87</v>
      </c>
      <c r="F180" t="s">
        <v>1267</v>
      </c>
      <c r="G180" t="s">
        <v>1854</v>
      </c>
      <c r="H180" t="s">
        <v>1853</v>
      </c>
      <c r="I180" t="s">
        <v>11</v>
      </c>
      <c r="J180" t="s">
        <v>44</v>
      </c>
      <c r="K180" t="s">
        <v>88</v>
      </c>
      <c r="L180" t="s">
        <v>125</v>
      </c>
      <c r="M180" t="s">
        <v>3016</v>
      </c>
      <c r="N180" t="s">
        <v>1552</v>
      </c>
      <c r="O180" t="s">
        <v>2918</v>
      </c>
      <c r="P180" t="s">
        <v>3030</v>
      </c>
      <c r="Q180" t="s">
        <v>1546</v>
      </c>
      <c r="R180" s="31">
        <v>31900</v>
      </c>
      <c r="T180" t="s">
        <v>1777</v>
      </c>
    </row>
    <row r="181" spans="1:20" x14ac:dyDescent="0.35">
      <c r="A181">
        <v>2023</v>
      </c>
      <c r="B181" t="s">
        <v>772</v>
      </c>
      <c r="C181" t="s">
        <v>2923</v>
      </c>
      <c r="D181" t="s">
        <v>717</v>
      </c>
      <c r="E181" t="s">
        <v>87</v>
      </c>
      <c r="F181" t="s">
        <v>1267</v>
      </c>
      <c r="G181" t="s">
        <v>1854</v>
      </c>
      <c r="H181" t="s">
        <v>1853</v>
      </c>
      <c r="I181" t="s">
        <v>11</v>
      </c>
      <c r="J181" t="s">
        <v>44</v>
      </c>
      <c r="K181" t="s">
        <v>88</v>
      </c>
      <c r="L181" t="s">
        <v>125</v>
      </c>
      <c r="M181" t="s">
        <v>3016</v>
      </c>
      <c r="N181" t="s">
        <v>1778</v>
      </c>
      <c r="O181" t="s">
        <v>2918</v>
      </c>
      <c r="P181" t="s">
        <v>3030</v>
      </c>
      <c r="Q181" t="s">
        <v>1546</v>
      </c>
      <c r="R181" s="31">
        <v>6415</v>
      </c>
      <c r="T181" t="s">
        <v>1777</v>
      </c>
    </row>
    <row r="182" spans="1:20" x14ac:dyDescent="0.35">
      <c r="A182">
        <v>2023</v>
      </c>
      <c r="B182" t="s">
        <v>772</v>
      </c>
      <c r="C182" t="s">
        <v>2923</v>
      </c>
      <c r="D182" t="s">
        <v>717</v>
      </c>
      <c r="E182" t="s">
        <v>87</v>
      </c>
      <c r="F182" t="s">
        <v>1267</v>
      </c>
      <c r="G182" t="s">
        <v>1854</v>
      </c>
      <c r="H182" t="s">
        <v>1853</v>
      </c>
      <c r="I182" t="s">
        <v>11</v>
      </c>
      <c r="J182" t="s">
        <v>44</v>
      </c>
      <c r="K182" t="s">
        <v>88</v>
      </c>
      <c r="L182" t="s">
        <v>16</v>
      </c>
      <c r="M182" t="s">
        <v>3016</v>
      </c>
      <c r="N182" t="s">
        <v>3228</v>
      </c>
      <c r="O182" t="s">
        <v>2918</v>
      </c>
      <c r="P182" t="s">
        <v>3030</v>
      </c>
      <c r="Q182" t="s">
        <v>1548</v>
      </c>
      <c r="R182" s="31">
        <v>69326</v>
      </c>
      <c r="T182" t="s">
        <v>1777</v>
      </c>
    </row>
    <row r="183" spans="1:20" x14ac:dyDescent="0.35">
      <c r="A183">
        <v>2023</v>
      </c>
      <c r="B183" t="s">
        <v>772</v>
      </c>
      <c r="C183" t="s">
        <v>2923</v>
      </c>
      <c r="D183" t="s">
        <v>717</v>
      </c>
      <c r="E183" t="s">
        <v>87</v>
      </c>
      <c r="F183" t="s">
        <v>1267</v>
      </c>
      <c r="G183" t="s">
        <v>1854</v>
      </c>
      <c r="H183" t="s">
        <v>1853</v>
      </c>
      <c r="I183" t="s">
        <v>11</v>
      </c>
      <c r="J183" t="s">
        <v>44</v>
      </c>
      <c r="K183" t="s">
        <v>88</v>
      </c>
      <c r="L183" t="s">
        <v>1549</v>
      </c>
      <c r="M183" t="s">
        <v>3016</v>
      </c>
      <c r="N183" t="s">
        <v>3228</v>
      </c>
      <c r="O183" t="s">
        <v>2918</v>
      </c>
      <c r="P183" t="s">
        <v>3030</v>
      </c>
      <c r="Q183" t="s">
        <v>1548</v>
      </c>
      <c r="R183" s="31">
        <v>461399</v>
      </c>
      <c r="T183" t="s">
        <v>1777</v>
      </c>
    </row>
    <row r="184" spans="1:20" x14ac:dyDescent="0.35">
      <c r="A184">
        <v>2023</v>
      </c>
      <c r="B184" t="s">
        <v>772</v>
      </c>
      <c r="C184" t="s">
        <v>2923</v>
      </c>
      <c r="D184" t="s">
        <v>717</v>
      </c>
      <c r="E184" t="s">
        <v>87</v>
      </c>
      <c r="F184" t="s">
        <v>1267</v>
      </c>
      <c r="G184" t="s">
        <v>1854</v>
      </c>
      <c r="H184" t="s">
        <v>1853</v>
      </c>
      <c r="I184" t="s">
        <v>11</v>
      </c>
      <c r="J184" t="s">
        <v>44</v>
      </c>
      <c r="K184" t="s">
        <v>88</v>
      </c>
      <c r="L184" t="s">
        <v>1551</v>
      </c>
      <c r="M184" t="s">
        <v>3016</v>
      </c>
      <c r="N184" t="s">
        <v>1552</v>
      </c>
      <c r="O184" t="s">
        <v>2918</v>
      </c>
      <c r="P184" t="s">
        <v>3030</v>
      </c>
      <c r="Q184" t="s">
        <v>1546</v>
      </c>
      <c r="R184" s="31">
        <v>66824</v>
      </c>
      <c r="T184" t="s">
        <v>1777</v>
      </c>
    </row>
    <row r="185" spans="1:20" x14ac:dyDescent="0.35">
      <c r="A185">
        <v>2023</v>
      </c>
      <c r="B185" t="s">
        <v>772</v>
      </c>
      <c r="C185" t="s">
        <v>2923</v>
      </c>
      <c r="D185" t="s">
        <v>717</v>
      </c>
      <c r="E185" t="s">
        <v>87</v>
      </c>
      <c r="F185" t="s">
        <v>1267</v>
      </c>
      <c r="G185" t="s">
        <v>1854</v>
      </c>
      <c r="H185" t="s">
        <v>1853</v>
      </c>
      <c r="I185" t="s">
        <v>11</v>
      </c>
      <c r="J185" t="s">
        <v>44</v>
      </c>
      <c r="K185" t="s">
        <v>88</v>
      </c>
      <c r="L185" t="s">
        <v>1551</v>
      </c>
      <c r="M185" t="s">
        <v>3016</v>
      </c>
      <c r="N185" t="s">
        <v>1778</v>
      </c>
      <c r="O185" t="s">
        <v>2918</v>
      </c>
      <c r="P185" t="s">
        <v>3030</v>
      </c>
      <c r="Q185" t="s">
        <v>1546</v>
      </c>
      <c r="R185" s="31">
        <v>34642</v>
      </c>
      <c r="T185" t="s">
        <v>1777</v>
      </c>
    </row>
    <row r="186" spans="1:20" x14ac:dyDescent="0.35">
      <c r="A186">
        <v>2024</v>
      </c>
      <c r="B186" t="s">
        <v>772</v>
      </c>
      <c r="C186" t="s">
        <v>2923</v>
      </c>
      <c r="D186" t="s">
        <v>715</v>
      </c>
      <c r="E186" t="s">
        <v>188</v>
      </c>
      <c r="F186" t="s">
        <v>1248</v>
      </c>
      <c r="G186" t="s">
        <v>2933</v>
      </c>
      <c r="H186" t="s">
        <v>2104</v>
      </c>
      <c r="I186" t="s">
        <v>11</v>
      </c>
      <c r="J186" t="s">
        <v>21</v>
      </c>
      <c r="K186" t="s">
        <v>189</v>
      </c>
      <c r="L186" t="s">
        <v>125</v>
      </c>
      <c r="M186" t="s">
        <v>3016</v>
      </c>
      <c r="N186" t="s">
        <v>1778</v>
      </c>
      <c r="O186" t="s">
        <v>2918</v>
      </c>
      <c r="P186" t="s">
        <v>3030</v>
      </c>
      <c r="Q186" t="s">
        <v>1546</v>
      </c>
      <c r="R186" s="31">
        <v>7154</v>
      </c>
      <c r="T186" t="s">
        <v>3206</v>
      </c>
    </row>
    <row r="187" spans="1:20" hidden="1" x14ac:dyDescent="0.35">
      <c r="A187">
        <v>2024</v>
      </c>
      <c r="B187" t="s">
        <v>772</v>
      </c>
      <c r="C187" t="s">
        <v>2923</v>
      </c>
      <c r="D187" t="s">
        <v>715</v>
      </c>
      <c r="E187" t="s">
        <v>188</v>
      </c>
      <c r="F187" t="s">
        <v>1248</v>
      </c>
      <c r="G187" t="s">
        <v>2933</v>
      </c>
      <c r="H187" t="s">
        <v>2104</v>
      </c>
      <c r="I187" t="s">
        <v>11</v>
      </c>
      <c r="J187" t="s">
        <v>21</v>
      </c>
      <c r="K187" t="s">
        <v>356</v>
      </c>
      <c r="L187" t="s">
        <v>1776</v>
      </c>
      <c r="M187" t="s">
        <v>3015</v>
      </c>
      <c r="O187" t="s">
        <v>2918</v>
      </c>
      <c r="P187" t="s">
        <v>3030</v>
      </c>
      <c r="Q187" t="s">
        <v>1546</v>
      </c>
      <c r="R187" s="31">
        <v>1025997</v>
      </c>
      <c r="T187" t="s">
        <v>3206</v>
      </c>
    </row>
    <row r="188" spans="1:20" x14ac:dyDescent="0.35">
      <c r="A188">
        <v>2024</v>
      </c>
      <c r="B188" t="s">
        <v>772</v>
      </c>
      <c r="C188" t="s">
        <v>2923</v>
      </c>
      <c r="D188" t="s">
        <v>715</v>
      </c>
      <c r="E188" t="s">
        <v>188</v>
      </c>
      <c r="F188" t="s">
        <v>1248</v>
      </c>
      <c r="G188" t="s">
        <v>2933</v>
      </c>
      <c r="H188" t="s">
        <v>2104</v>
      </c>
      <c r="I188" t="s">
        <v>11</v>
      </c>
      <c r="J188" t="s">
        <v>21</v>
      </c>
      <c r="K188" t="s">
        <v>356</v>
      </c>
      <c r="L188" t="s">
        <v>557</v>
      </c>
      <c r="M188" t="s">
        <v>3016</v>
      </c>
      <c r="N188" t="s">
        <v>1778</v>
      </c>
      <c r="O188" t="s">
        <v>2918</v>
      </c>
      <c r="P188" t="s">
        <v>3030</v>
      </c>
      <c r="Q188" t="s">
        <v>1546</v>
      </c>
      <c r="R188" s="31">
        <v>7530</v>
      </c>
      <c r="S188" t="s">
        <v>3207</v>
      </c>
      <c r="T188" t="s">
        <v>3206</v>
      </c>
    </row>
    <row r="189" spans="1:20" hidden="1" x14ac:dyDescent="0.35">
      <c r="A189">
        <v>2024</v>
      </c>
      <c r="B189" t="s">
        <v>772</v>
      </c>
      <c r="C189" t="s">
        <v>2923</v>
      </c>
      <c r="D189" t="s">
        <v>715</v>
      </c>
      <c r="E189" t="s">
        <v>140</v>
      </c>
      <c r="F189" t="s">
        <v>1254</v>
      </c>
      <c r="G189" t="s">
        <v>2933</v>
      </c>
      <c r="H189" t="s">
        <v>2104</v>
      </c>
      <c r="I189" t="s">
        <v>233</v>
      </c>
      <c r="J189" t="s">
        <v>357</v>
      </c>
      <c r="K189" t="s">
        <v>356</v>
      </c>
      <c r="L189" t="s">
        <v>557</v>
      </c>
      <c r="M189" t="s">
        <v>3017</v>
      </c>
      <c r="N189" t="s">
        <v>3205</v>
      </c>
      <c r="O189" t="s">
        <v>2918</v>
      </c>
      <c r="P189" t="s">
        <v>3030</v>
      </c>
      <c r="Q189" t="s">
        <v>1546</v>
      </c>
      <c r="R189" s="31">
        <v>62251</v>
      </c>
      <c r="T189" t="s">
        <v>3206</v>
      </c>
    </row>
    <row r="190" spans="1:20" hidden="1" x14ac:dyDescent="0.35">
      <c r="A190">
        <v>2024</v>
      </c>
      <c r="B190" t="s">
        <v>772</v>
      </c>
      <c r="C190" t="s">
        <v>2923</v>
      </c>
      <c r="D190" t="s">
        <v>715</v>
      </c>
      <c r="E190" t="s">
        <v>140</v>
      </c>
      <c r="F190" t="s">
        <v>1254</v>
      </c>
      <c r="G190" t="s">
        <v>2933</v>
      </c>
      <c r="H190" t="s">
        <v>2104</v>
      </c>
      <c r="I190" t="s">
        <v>233</v>
      </c>
      <c r="J190" t="s">
        <v>357</v>
      </c>
      <c r="K190" t="s">
        <v>356</v>
      </c>
      <c r="L190" t="s">
        <v>125</v>
      </c>
      <c r="M190" t="s">
        <v>3017</v>
      </c>
      <c r="N190" t="s">
        <v>3205</v>
      </c>
      <c r="O190" t="s">
        <v>2918</v>
      </c>
      <c r="P190" t="s">
        <v>3030</v>
      </c>
      <c r="Q190" t="s">
        <v>1546</v>
      </c>
      <c r="R190" s="31">
        <v>13720</v>
      </c>
      <c r="T190" t="s">
        <v>3206</v>
      </c>
    </row>
    <row r="191" spans="1:20" hidden="1" x14ac:dyDescent="0.35">
      <c r="A191">
        <v>2023</v>
      </c>
      <c r="B191" t="s">
        <v>1537</v>
      </c>
      <c r="C191" t="s">
        <v>2923</v>
      </c>
      <c r="D191" t="s">
        <v>719</v>
      </c>
      <c r="E191" t="s">
        <v>2210</v>
      </c>
      <c r="G191" t="s">
        <v>2211</v>
      </c>
      <c r="H191" t="s">
        <v>2209</v>
      </c>
      <c r="K191" t="s">
        <v>189</v>
      </c>
      <c r="L191" t="s">
        <v>125</v>
      </c>
      <c r="M191" t="s">
        <v>3018</v>
      </c>
      <c r="N191" t="s">
        <v>2368</v>
      </c>
      <c r="O191" t="s">
        <v>2918</v>
      </c>
      <c r="P191" t="s">
        <v>3030</v>
      </c>
      <c r="Q191" t="s">
        <v>1566</v>
      </c>
      <c r="R191" s="31">
        <v>57.9</v>
      </c>
      <c r="S191" t="s">
        <v>3215</v>
      </c>
      <c r="T191" t="s">
        <v>2553</v>
      </c>
    </row>
    <row r="192" spans="1:20" hidden="1" x14ac:dyDescent="0.35">
      <c r="A192">
        <v>2023</v>
      </c>
      <c r="B192" t="s">
        <v>1537</v>
      </c>
      <c r="C192" t="s">
        <v>2923</v>
      </c>
      <c r="D192" t="s">
        <v>719</v>
      </c>
      <c r="E192" t="s">
        <v>2210</v>
      </c>
      <c r="G192" t="s">
        <v>2211</v>
      </c>
      <c r="H192" t="s">
        <v>2209</v>
      </c>
      <c r="K192" t="s">
        <v>189</v>
      </c>
      <c r="L192" t="s">
        <v>557</v>
      </c>
      <c r="M192" t="s">
        <v>3018</v>
      </c>
      <c r="N192" t="s">
        <v>2368</v>
      </c>
      <c r="O192" t="s">
        <v>2918</v>
      </c>
      <c r="P192" t="s">
        <v>3030</v>
      </c>
      <c r="Q192" t="s">
        <v>1566</v>
      </c>
      <c r="R192" s="31">
        <v>38.200000000000003</v>
      </c>
      <c r="S192" t="s">
        <v>3215</v>
      </c>
      <c r="T192" t="s">
        <v>2553</v>
      </c>
    </row>
    <row r="193" spans="1:20" hidden="1" x14ac:dyDescent="0.35">
      <c r="A193">
        <v>2023</v>
      </c>
      <c r="B193" t="s">
        <v>772</v>
      </c>
      <c r="C193" t="s">
        <v>2923</v>
      </c>
      <c r="D193" t="s">
        <v>900</v>
      </c>
      <c r="E193" t="s">
        <v>50</v>
      </c>
      <c r="F193" t="s">
        <v>1372</v>
      </c>
      <c r="H193" t="s">
        <v>2182</v>
      </c>
      <c r="I193" t="s">
        <v>11</v>
      </c>
      <c r="J193" t="s">
        <v>13</v>
      </c>
      <c r="K193" t="s">
        <v>16</v>
      </c>
      <c r="L193" t="s">
        <v>16</v>
      </c>
      <c r="M193" t="s">
        <v>3014</v>
      </c>
      <c r="N193" t="s">
        <v>1594</v>
      </c>
      <c r="O193" t="s">
        <v>2918</v>
      </c>
      <c r="P193" t="s">
        <v>3030</v>
      </c>
      <c r="Q193" t="s">
        <v>1546</v>
      </c>
      <c r="R193" s="31">
        <v>234671</v>
      </c>
      <c r="T193" s="2" t="s">
        <v>1880</v>
      </c>
    </row>
    <row r="194" spans="1:20" x14ac:dyDescent="0.35">
      <c r="A194">
        <v>2023</v>
      </c>
      <c r="B194" t="s">
        <v>772</v>
      </c>
      <c r="C194" t="s">
        <v>2923</v>
      </c>
      <c r="D194" t="s">
        <v>900</v>
      </c>
      <c r="E194" t="s">
        <v>50</v>
      </c>
      <c r="F194" t="s">
        <v>1372</v>
      </c>
      <c r="H194" t="s">
        <v>2182</v>
      </c>
      <c r="I194" t="s">
        <v>11</v>
      </c>
      <c r="J194" t="s">
        <v>13</v>
      </c>
      <c r="K194" t="s">
        <v>16</v>
      </c>
      <c r="L194" t="s">
        <v>16</v>
      </c>
      <c r="M194" t="s">
        <v>3016</v>
      </c>
      <c r="N194" t="s">
        <v>3228</v>
      </c>
      <c r="O194" t="s">
        <v>2918</v>
      </c>
      <c r="P194" t="s">
        <v>3030</v>
      </c>
      <c r="Q194" t="s">
        <v>1548</v>
      </c>
      <c r="R194" s="31">
        <v>38659</v>
      </c>
      <c r="T194" s="2" t="s">
        <v>1880</v>
      </c>
    </row>
    <row r="195" spans="1:20" hidden="1" x14ac:dyDescent="0.35">
      <c r="A195">
        <v>2022</v>
      </c>
      <c r="B195" t="s">
        <v>772</v>
      </c>
      <c r="C195" t="s">
        <v>2923</v>
      </c>
      <c r="D195" t="s">
        <v>358</v>
      </c>
      <c r="E195" t="s">
        <v>359</v>
      </c>
      <c r="F195" t="s">
        <v>1371</v>
      </c>
      <c r="H195" t="s">
        <v>2181</v>
      </c>
      <c r="I195" t="s">
        <v>233</v>
      </c>
      <c r="J195" t="s">
        <v>274</v>
      </c>
      <c r="K195" t="s">
        <v>360</v>
      </c>
      <c r="L195" t="s">
        <v>1769</v>
      </c>
      <c r="M195" t="s">
        <v>3018</v>
      </c>
      <c r="N195" t="s">
        <v>2368</v>
      </c>
      <c r="O195" t="s">
        <v>2918</v>
      </c>
      <c r="P195" t="s">
        <v>3030</v>
      </c>
      <c r="Q195" t="s">
        <v>1546</v>
      </c>
      <c r="R195" s="31">
        <f>35636-32268</f>
        <v>3368</v>
      </c>
      <c r="S195" t="s">
        <v>2371</v>
      </c>
      <c r="T195" t="s">
        <v>2369</v>
      </c>
    </row>
    <row r="196" spans="1:20" hidden="1" x14ac:dyDescent="0.35">
      <c r="A196">
        <v>2022</v>
      </c>
      <c r="B196" t="s">
        <v>772</v>
      </c>
      <c r="C196" t="s">
        <v>2923</v>
      </c>
      <c r="D196" t="s">
        <v>358</v>
      </c>
      <c r="E196" t="s">
        <v>359</v>
      </c>
      <c r="F196" t="s">
        <v>1371</v>
      </c>
      <c r="H196" t="s">
        <v>2181</v>
      </c>
      <c r="I196" t="s">
        <v>233</v>
      </c>
      <c r="J196" t="s">
        <v>274</v>
      </c>
      <c r="K196" t="s">
        <v>360</v>
      </c>
      <c r="L196" t="s">
        <v>557</v>
      </c>
      <c r="M196" t="s">
        <v>3018</v>
      </c>
      <c r="N196" t="s">
        <v>2368</v>
      </c>
      <c r="O196" t="s">
        <v>2918</v>
      </c>
      <c r="P196" t="s">
        <v>3030</v>
      </c>
      <c r="Q196" t="s">
        <v>1546</v>
      </c>
      <c r="R196" s="31">
        <v>32268</v>
      </c>
      <c r="T196" t="s">
        <v>2369</v>
      </c>
    </row>
    <row r="197" spans="1:20" x14ac:dyDescent="0.35">
      <c r="A197">
        <v>2023</v>
      </c>
      <c r="B197" t="s">
        <v>772</v>
      </c>
      <c r="C197" t="s">
        <v>2923</v>
      </c>
      <c r="D197" t="s">
        <v>719</v>
      </c>
      <c r="E197" t="s">
        <v>179</v>
      </c>
      <c r="F197" t="s">
        <v>1425</v>
      </c>
      <c r="H197" t="s">
        <v>2209</v>
      </c>
      <c r="I197" t="s">
        <v>11</v>
      </c>
      <c r="J197" t="s">
        <v>23</v>
      </c>
      <c r="K197" t="s">
        <v>180</v>
      </c>
      <c r="L197" t="s">
        <v>125</v>
      </c>
      <c r="M197" t="s">
        <v>3016</v>
      </c>
      <c r="N197" t="s">
        <v>1778</v>
      </c>
      <c r="O197" t="s">
        <v>2918</v>
      </c>
      <c r="P197" t="s">
        <v>3030</v>
      </c>
      <c r="Q197" t="s">
        <v>1566</v>
      </c>
      <c r="R197" s="31">
        <v>4.7</v>
      </c>
      <c r="S197" t="s">
        <v>3216</v>
      </c>
      <c r="T197" t="s">
        <v>2553</v>
      </c>
    </row>
    <row r="198" spans="1:20" x14ac:dyDescent="0.35">
      <c r="A198">
        <v>2023</v>
      </c>
      <c r="B198" t="s">
        <v>772</v>
      </c>
      <c r="C198" t="s">
        <v>2923</v>
      </c>
      <c r="D198" t="s">
        <v>719</v>
      </c>
      <c r="E198" t="s">
        <v>179</v>
      </c>
      <c r="F198" t="s">
        <v>1425</v>
      </c>
      <c r="H198" t="s">
        <v>2209</v>
      </c>
      <c r="I198" t="s">
        <v>11</v>
      </c>
      <c r="J198" t="s">
        <v>23</v>
      </c>
      <c r="K198" t="s">
        <v>180</v>
      </c>
      <c r="L198" t="s">
        <v>557</v>
      </c>
      <c r="M198" t="s">
        <v>3016</v>
      </c>
      <c r="N198" t="s">
        <v>1778</v>
      </c>
      <c r="O198" t="s">
        <v>2918</v>
      </c>
      <c r="P198" t="s">
        <v>3030</v>
      </c>
      <c r="Q198" t="s">
        <v>1566</v>
      </c>
      <c r="R198" s="31">
        <v>7.9</v>
      </c>
      <c r="S198" t="s">
        <v>3216</v>
      </c>
      <c r="T198" t="s">
        <v>2553</v>
      </c>
    </row>
    <row r="199" spans="1:20" hidden="1" x14ac:dyDescent="0.35">
      <c r="A199">
        <v>2023</v>
      </c>
      <c r="B199" t="s">
        <v>772</v>
      </c>
      <c r="C199" t="s">
        <v>2923</v>
      </c>
      <c r="D199" t="s">
        <v>719</v>
      </c>
      <c r="E199" t="s">
        <v>179</v>
      </c>
      <c r="F199" t="s">
        <v>1425</v>
      </c>
      <c r="H199" t="s">
        <v>2209</v>
      </c>
      <c r="I199" t="s">
        <v>11</v>
      </c>
      <c r="J199" t="s">
        <v>23</v>
      </c>
      <c r="K199" t="s">
        <v>180</v>
      </c>
      <c r="L199" t="s">
        <v>1776</v>
      </c>
      <c r="M199" t="s">
        <v>3015</v>
      </c>
      <c r="N199" t="s">
        <v>1545</v>
      </c>
      <c r="O199" t="s">
        <v>2918</v>
      </c>
      <c r="P199" t="s">
        <v>3197</v>
      </c>
      <c r="Q199" t="s">
        <v>1566</v>
      </c>
      <c r="R199" s="31">
        <f>4.7/(0.005*0.85)</f>
        <v>1105.8823529411764</v>
      </c>
      <c r="S199" t="s">
        <v>3222</v>
      </c>
    </row>
    <row r="200" spans="1:20" hidden="1" x14ac:dyDescent="0.35">
      <c r="A200">
        <v>2023</v>
      </c>
      <c r="B200" t="s">
        <v>1537</v>
      </c>
      <c r="C200" t="s">
        <v>2923</v>
      </c>
      <c r="D200" t="s">
        <v>46</v>
      </c>
      <c r="E200" t="s">
        <v>1536</v>
      </c>
      <c r="G200" t="s">
        <v>1755</v>
      </c>
      <c r="H200" t="s">
        <v>2166</v>
      </c>
      <c r="I200" t="s">
        <v>11</v>
      </c>
      <c r="J200" t="s">
        <v>13</v>
      </c>
      <c r="K200" t="s">
        <v>16</v>
      </c>
      <c r="L200" t="s">
        <v>16</v>
      </c>
      <c r="M200" t="s">
        <v>3014</v>
      </c>
      <c r="N200" t="s">
        <v>1594</v>
      </c>
      <c r="O200" t="s">
        <v>2918</v>
      </c>
      <c r="P200" t="s">
        <v>3030</v>
      </c>
      <c r="Q200" t="s">
        <v>1566</v>
      </c>
      <c r="R200" s="31">
        <v>1541</v>
      </c>
      <c r="T200" t="s">
        <v>1649</v>
      </c>
    </row>
    <row r="201" spans="1:20" hidden="1" x14ac:dyDescent="0.35">
      <c r="A201">
        <v>2023</v>
      </c>
      <c r="B201" t="s">
        <v>1537</v>
      </c>
      <c r="C201" t="s">
        <v>2923</v>
      </c>
      <c r="D201" t="s">
        <v>46</v>
      </c>
      <c r="E201" t="s">
        <v>1536</v>
      </c>
      <c r="G201" t="s">
        <v>1755</v>
      </c>
      <c r="H201" t="s">
        <v>2166</v>
      </c>
      <c r="I201" t="s">
        <v>11</v>
      </c>
      <c r="J201" t="s">
        <v>13</v>
      </c>
      <c r="K201" t="s">
        <v>16</v>
      </c>
      <c r="L201" t="s">
        <v>16</v>
      </c>
      <c r="M201" t="s">
        <v>3015</v>
      </c>
      <c r="N201" t="s">
        <v>1545</v>
      </c>
      <c r="O201" t="s">
        <v>2918</v>
      </c>
      <c r="P201" t="s">
        <v>3030</v>
      </c>
      <c r="Q201" t="s">
        <v>1566</v>
      </c>
      <c r="R201" s="31">
        <v>1574</v>
      </c>
      <c r="T201" t="s">
        <v>1649</v>
      </c>
    </row>
    <row r="202" spans="1:20" x14ac:dyDescent="0.35">
      <c r="A202">
        <v>2023</v>
      </c>
      <c r="B202" t="s">
        <v>1537</v>
      </c>
      <c r="C202" t="s">
        <v>2923</v>
      </c>
      <c r="D202" t="s">
        <v>46</v>
      </c>
      <c r="E202" t="s">
        <v>1536</v>
      </c>
      <c r="G202" t="s">
        <v>1755</v>
      </c>
      <c r="H202" t="s">
        <v>2166</v>
      </c>
      <c r="I202" t="s">
        <v>11</v>
      </c>
      <c r="J202" t="s">
        <v>13</v>
      </c>
      <c r="K202" t="s">
        <v>16</v>
      </c>
      <c r="L202" t="s">
        <v>16</v>
      </c>
      <c r="M202" t="s">
        <v>3016</v>
      </c>
      <c r="N202" t="s">
        <v>3228</v>
      </c>
      <c r="O202" t="s">
        <v>2918</v>
      </c>
      <c r="P202" t="s">
        <v>3030</v>
      </c>
      <c r="Q202" t="s">
        <v>1550</v>
      </c>
      <c r="R202" s="31">
        <v>132.9</v>
      </c>
      <c r="T202" t="s">
        <v>1649</v>
      </c>
    </row>
    <row r="203" spans="1:20" x14ac:dyDescent="0.35">
      <c r="A203">
        <v>2023</v>
      </c>
      <c r="B203" t="s">
        <v>1537</v>
      </c>
      <c r="C203" t="s">
        <v>2923</v>
      </c>
      <c r="D203" t="s">
        <v>46</v>
      </c>
      <c r="E203" t="s">
        <v>1536</v>
      </c>
      <c r="G203" t="s">
        <v>1755</v>
      </c>
      <c r="H203" t="s">
        <v>2166</v>
      </c>
      <c r="I203" t="s">
        <v>11</v>
      </c>
      <c r="J203" t="s">
        <v>13</v>
      </c>
      <c r="K203" t="s">
        <v>16</v>
      </c>
      <c r="L203" t="s">
        <v>1549</v>
      </c>
      <c r="M203" t="s">
        <v>3016</v>
      </c>
      <c r="N203" t="s">
        <v>3228</v>
      </c>
      <c r="O203" t="s">
        <v>2918</v>
      </c>
      <c r="P203" t="s">
        <v>3030</v>
      </c>
      <c r="Q203" t="s">
        <v>1550</v>
      </c>
      <c r="R203" s="31">
        <v>16</v>
      </c>
      <c r="T203" t="s">
        <v>1649</v>
      </c>
    </row>
    <row r="204" spans="1:20" hidden="1" x14ac:dyDescent="0.35">
      <c r="A204">
        <v>2024</v>
      </c>
      <c r="B204" t="s">
        <v>772</v>
      </c>
      <c r="C204" t="s">
        <v>2923</v>
      </c>
      <c r="D204" t="s">
        <v>101</v>
      </c>
      <c r="E204" t="s">
        <v>361</v>
      </c>
      <c r="F204" t="s">
        <v>1405</v>
      </c>
      <c r="H204" t="s">
        <v>1850</v>
      </c>
      <c r="I204" t="s">
        <v>233</v>
      </c>
      <c r="J204" t="s">
        <v>292</v>
      </c>
      <c r="K204" t="s">
        <v>362</v>
      </c>
      <c r="L204" t="s">
        <v>1551</v>
      </c>
      <c r="M204" t="s">
        <v>3018</v>
      </c>
      <c r="N204" t="s">
        <v>2368</v>
      </c>
      <c r="O204" t="s">
        <v>2918</v>
      </c>
      <c r="P204" t="s">
        <v>3030</v>
      </c>
      <c r="Q204" t="s">
        <v>1566</v>
      </c>
      <c r="R204" s="31">
        <v>256</v>
      </c>
      <c r="T204" t="s">
        <v>1873</v>
      </c>
    </row>
    <row r="205" spans="1:20" hidden="1" x14ac:dyDescent="0.35">
      <c r="A205">
        <v>2023</v>
      </c>
      <c r="B205" t="s">
        <v>772</v>
      </c>
      <c r="C205" t="s">
        <v>2923</v>
      </c>
      <c r="D205" t="s">
        <v>718</v>
      </c>
      <c r="E205" t="s">
        <v>363</v>
      </c>
      <c r="F205" t="s">
        <v>1348</v>
      </c>
      <c r="G205" t="s">
        <v>2169</v>
      </c>
      <c r="H205" t="s">
        <v>2167</v>
      </c>
      <c r="I205" t="s">
        <v>233</v>
      </c>
      <c r="J205" t="s">
        <v>274</v>
      </c>
      <c r="K205" t="s">
        <v>364</v>
      </c>
      <c r="L205" t="s">
        <v>364</v>
      </c>
      <c r="M205" t="s">
        <v>3017</v>
      </c>
      <c r="N205" t="s">
        <v>2294</v>
      </c>
      <c r="O205" t="s">
        <v>2918</v>
      </c>
      <c r="P205" t="s">
        <v>3030</v>
      </c>
      <c r="Q205" t="s">
        <v>1566</v>
      </c>
      <c r="R205" s="31">
        <v>1391.8058030326899</v>
      </c>
      <c r="T205" t="s">
        <v>2290</v>
      </c>
    </row>
    <row r="206" spans="1:20" x14ac:dyDescent="0.35">
      <c r="A206">
        <v>2023</v>
      </c>
      <c r="B206" t="s">
        <v>772</v>
      </c>
      <c r="C206" t="s">
        <v>2923</v>
      </c>
      <c r="D206" t="s">
        <v>719</v>
      </c>
      <c r="E206" t="s">
        <v>182</v>
      </c>
      <c r="F206" t="s">
        <v>1428</v>
      </c>
      <c r="H206" t="s">
        <v>2209</v>
      </c>
      <c r="I206" t="s">
        <v>11</v>
      </c>
      <c r="J206" t="s">
        <v>23</v>
      </c>
      <c r="K206" t="s">
        <v>183</v>
      </c>
      <c r="L206" t="s">
        <v>125</v>
      </c>
      <c r="M206" t="s">
        <v>3016</v>
      </c>
      <c r="N206" t="s">
        <v>1778</v>
      </c>
      <c r="O206" t="s">
        <v>2918</v>
      </c>
      <c r="P206" t="s">
        <v>3030</v>
      </c>
      <c r="Q206" t="s">
        <v>1566</v>
      </c>
      <c r="R206" s="31">
        <v>9.6</v>
      </c>
      <c r="S206" t="s">
        <v>3216</v>
      </c>
      <c r="T206" t="s">
        <v>2553</v>
      </c>
    </row>
    <row r="207" spans="1:20" x14ac:dyDescent="0.35">
      <c r="A207">
        <v>2023</v>
      </c>
      <c r="B207" t="s">
        <v>772</v>
      </c>
      <c r="C207" t="s">
        <v>2923</v>
      </c>
      <c r="D207" t="s">
        <v>719</v>
      </c>
      <c r="E207" t="s">
        <v>182</v>
      </c>
      <c r="F207" t="s">
        <v>1428</v>
      </c>
      <c r="H207" t="s">
        <v>2209</v>
      </c>
      <c r="I207" t="s">
        <v>11</v>
      </c>
      <c r="J207" t="s">
        <v>23</v>
      </c>
      <c r="K207" t="s">
        <v>183</v>
      </c>
      <c r="L207" t="s">
        <v>557</v>
      </c>
      <c r="M207" t="s">
        <v>3016</v>
      </c>
      <c r="N207" t="s">
        <v>1778</v>
      </c>
      <c r="O207" t="s">
        <v>2918</v>
      </c>
      <c r="P207" t="s">
        <v>3030</v>
      </c>
      <c r="Q207" t="s">
        <v>1566</v>
      </c>
      <c r="R207" s="31">
        <v>13.5</v>
      </c>
      <c r="S207" t="s">
        <v>3216</v>
      </c>
      <c r="T207" t="s">
        <v>2553</v>
      </c>
    </row>
    <row r="208" spans="1:20" hidden="1" x14ac:dyDescent="0.35">
      <c r="A208">
        <v>2023</v>
      </c>
      <c r="B208" t="s">
        <v>772</v>
      </c>
      <c r="C208" t="s">
        <v>2923</v>
      </c>
      <c r="D208" t="s">
        <v>719</v>
      </c>
      <c r="E208" t="s">
        <v>182</v>
      </c>
      <c r="F208" t="s">
        <v>1428</v>
      </c>
      <c r="H208" t="s">
        <v>2209</v>
      </c>
      <c r="I208" t="s">
        <v>11</v>
      </c>
      <c r="J208" t="s">
        <v>23</v>
      </c>
      <c r="K208" t="s">
        <v>183</v>
      </c>
      <c r="L208" t="s">
        <v>1776</v>
      </c>
      <c r="M208" t="s">
        <v>3015</v>
      </c>
      <c r="N208" t="s">
        <v>1545</v>
      </c>
      <c r="O208" t="s">
        <v>2918</v>
      </c>
      <c r="P208" t="s">
        <v>3197</v>
      </c>
      <c r="Q208" t="s">
        <v>1566</v>
      </c>
      <c r="R208" s="31">
        <f>9.6/(0.005*0.85)</f>
        <v>2258.8235294117644</v>
      </c>
      <c r="S208" t="s">
        <v>3222</v>
      </c>
    </row>
    <row r="209" spans="1:20" hidden="1" x14ac:dyDescent="0.35">
      <c r="A209">
        <v>2023</v>
      </c>
      <c r="B209" t="s">
        <v>772</v>
      </c>
      <c r="C209" t="s">
        <v>2923</v>
      </c>
      <c r="D209" t="s">
        <v>73</v>
      </c>
      <c r="E209" t="s">
        <v>74</v>
      </c>
      <c r="F209" t="s">
        <v>1276</v>
      </c>
      <c r="H209" t="s">
        <v>2118</v>
      </c>
      <c r="I209" t="s">
        <v>11</v>
      </c>
      <c r="J209" t="s">
        <v>13</v>
      </c>
      <c r="K209" t="s">
        <v>64</v>
      </c>
      <c r="L209" t="s">
        <v>1776</v>
      </c>
      <c r="M209" t="s">
        <v>3015</v>
      </c>
      <c r="N209" t="s">
        <v>1734</v>
      </c>
      <c r="O209" t="s">
        <v>2918</v>
      </c>
      <c r="P209" t="s">
        <v>3030</v>
      </c>
      <c r="Q209" t="s">
        <v>1566</v>
      </c>
      <c r="R209" s="31">
        <v>1034</v>
      </c>
      <c r="T209" t="s">
        <v>2998</v>
      </c>
    </row>
    <row r="210" spans="1:20" hidden="1" x14ac:dyDescent="0.35">
      <c r="A210">
        <v>2023</v>
      </c>
      <c r="B210" t="s">
        <v>772</v>
      </c>
      <c r="C210" t="s">
        <v>2923</v>
      </c>
      <c r="D210" t="s">
        <v>73</v>
      </c>
      <c r="E210" t="s">
        <v>74</v>
      </c>
      <c r="F210" t="s">
        <v>1276</v>
      </c>
      <c r="H210" t="s">
        <v>2118</v>
      </c>
      <c r="I210" t="s">
        <v>11</v>
      </c>
      <c r="J210" t="s">
        <v>13</v>
      </c>
      <c r="K210" t="s">
        <v>64</v>
      </c>
      <c r="L210" t="s">
        <v>1776</v>
      </c>
      <c r="M210" t="s">
        <v>3014</v>
      </c>
      <c r="N210" t="s">
        <v>1594</v>
      </c>
      <c r="O210" t="s">
        <v>2918</v>
      </c>
      <c r="P210" t="s">
        <v>3030</v>
      </c>
      <c r="Q210" s="10" t="s">
        <v>1566</v>
      </c>
      <c r="R210">
        <v>1022</v>
      </c>
      <c r="T210" t="s">
        <v>1931</v>
      </c>
    </row>
    <row r="211" spans="1:20" x14ac:dyDescent="0.35">
      <c r="A211">
        <v>2023</v>
      </c>
      <c r="B211" t="s">
        <v>772</v>
      </c>
      <c r="C211" t="s">
        <v>2923</v>
      </c>
      <c r="D211" t="s">
        <v>73</v>
      </c>
      <c r="E211" t="s">
        <v>74</v>
      </c>
      <c r="F211" t="s">
        <v>1276</v>
      </c>
      <c r="H211" t="s">
        <v>2118</v>
      </c>
      <c r="I211" t="s">
        <v>11</v>
      </c>
      <c r="J211" t="s">
        <v>13</v>
      </c>
      <c r="K211" t="s">
        <v>64</v>
      </c>
      <c r="L211" t="s">
        <v>16</v>
      </c>
      <c r="M211" t="s">
        <v>3016</v>
      </c>
      <c r="N211" t="s">
        <v>3228</v>
      </c>
      <c r="O211" t="s">
        <v>2918</v>
      </c>
      <c r="P211" t="s">
        <v>3030</v>
      </c>
      <c r="Q211" t="s">
        <v>1550</v>
      </c>
      <c r="R211" s="31">
        <v>93</v>
      </c>
      <c r="T211" t="s">
        <v>2998</v>
      </c>
    </row>
    <row r="212" spans="1:20" x14ac:dyDescent="0.35">
      <c r="A212">
        <v>2023</v>
      </c>
      <c r="B212" t="s">
        <v>772</v>
      </c>
      <c r="C212" t="s">
        <v>2923</v>
      </c>
      <c r="D212" t="s">
        <v>736</v>
      </c>
      <c r="E212" t="s">
        <v>26</v>
      </c>
      <c r="F212" t="s">
        <v>1135</v>
      </c>
      <c r="H212" t="s">
        <v>2037</v>
      </c>
      <c r="I212" t="s">
        <v>11</v>
      </c>
      <c r="J212" t="s">
        <v>13</v>
      </c>
      <c r="K212" t="s">
        <v>16</v>
      </c>
      <c r="L212" t="s">
        <v>16</v>
      </c>
      <c r="M212" t="s">
        <v>3016</v>
      </c>
      <c r="N212" t="s">
        <v>3228</v>
      </c>
      <c r="O212" t="s">
        <v>2918</v>
      </c>
      <c r="P212" t="s">
        <v>3030</v>
      </c>
      <c r="Q212" t="s">
        <v>1548</v>
      </c>
      <c r="R212" s="31">
        <v>185100</v>
      </c>
      <c r="T212" t="s">
        <v>1601</v>
      </c>
    </row>
    <row r="213" spans="1:20" hidden="1" x14ac:dyDescent="0.35">
      <c r="A213">
        <v>2023</v>
      </c>
      <c r="B213" t="s">
        <v>772</v>
      </c>
      <c r="C213" t="s">
        <v>2923</v>
      </c>
      <c r="D213" t="s">
        <v>736</v>
      </c>
      <c r="E213" t="s">
        <v>26</v>
      </c>
      <c r="F213" t="s">
        <v>1135</v>
      </c>
      <c r="H213" t="s">
        <v>2037</v>
      </c>
      <c r="I213" t="s">
        <v>11</v>
      </c>
      <c r="J213" t="s">
        <v>13</v>
      </c>
      <c r="K213" t="s">
        <v>16</v>
      </c>
      <c r="L213" t="s">
        <v>16</v>
      </c>
      <c r="M213" t="s">
        <v>3014</v>
      </c>
      <c r="N213" t="s">
        <v>1594</v>
      </c>
      <c r="O213" t="s">
        <v>2918</v>
      </c>
      <c r="P213" t="s">
        <v>3030</v>
      </c>
      <c r="Q213" t="s">
        <v>1546</v>
      </c>
      <c r="R213" s="31">
        <v>2878155</v>
      </c>
      <c r="T213" t="s">
        <v>1601</v>
      </c>
    </row>
    <row r="214" spans="1:20" hidden="1" x14ac:dyDescent="0.35">
      <c r="A214">
        <v>2023</v>
      </c>
      <c r="B214" t="s">
        <v>772</v>
      </c>
      <c r="C214" t="s">
        <v>2923</v>
      </c>
      <c r="D214" t="s">
        <v>736</v>
      </c>
      <c r="E214" t="s">
        <v>26</v>
      </c>
      <c r="F214" t="s">
        <v>1135</v>
      </c>
      <c r="H214" t="s">
        <v>2037</v>
      </c>
      <c r="I214" t="s">
        <v>11</v>
      </c>
      <c r="J214" t="s">
        <v>13</v>
      </c>
      <c r="K214" t="s">
        <v>16</v>
      </c>
      <c r="L214" t="s">
        <v>16</v>
      </c>
      <c r="M214" t="s">
        <v>3015</v>
      </c>
      <c r="N214" t="s">
        <v>1545</v>
      </c>
      <c r="O214" t="s">
        <v>2918</v>
      </c>
      <c r="P214" t="s">
        <v>3030</v>
      </c>
      <c r="Q214" t="s">
        <v>1546</v>
      </c>
      <c r="R214" s="31">
        <v>2878047</v>
      </c>
      <c r="T214" t="s">
        <v>1601</v>
      </c>
    </row>
  </sheetData>
  <autoFilter ref="A1:T214" xr:uid="{193C49F6-0B9C-4617-A21C-6A093F3467BC}">
    <filterColumn colId="8">
      <filters blank="1">
        <filter val="mining"/>
        <filter val="x"/>
      </filters>
    </filterColumn>
    <filterColumn colId="12">
      <filters>
        <filter val="Usable ore"/>
      </filters>
    </filterColumn>
  </autoFilter>
  <phoneticPr fontId="3" type="noConversion"/>
  <hyperlinks>
    <hyperlink ref="T9" r:id="rId1" xr:uid="{5D8E5388-EDC7-4C5C-9BBE-EF0133BD3DB9}"/>
    <hyperlink ref="T36" r:id="rId2" xr:uid="{96454F6E-9D4D-4A18-B710-FF5CD3CCEE36}"/>
    <hyperlink ref="T10" r:id="rId3" xr:uid="{987CF2F7-5D10-45FD-AB76-CA4DF4510DA6}"/>
    <hyperlink ref="T2" r:id="rId4" xr:uid="{C7B51286-DEE9-4D07-8CD4-DEF5AAF4036F}"/>
    <hyperlink ref="T4" r:id="rId5" xr:uid="{A2CEB718-BD96-4A9D-8421-486493FACD89}"/>
    <hyperlink ref="T71" r:id="rId6" xr:uid="{FDEB84C3-78ED-48D7-8A91-90C3E750C73F}"/>
    <hyperlink ref="T106" r:id="rId7" xr:uid="{13B89705-7F93-4ECE-93D9-7BB4BFA45EE6}"/>
    <hyperlink ref="T94" r:id="rId8" xr:uid="{5CC4A292-D412-43DD-9AFF-8AA39F4A1F5B}"/>
    <hyperlink ref="T24" r:id="rId9" xr:uid="{6732583E-6EF9-4CD0-B9F7-03F20D7C03F5}"/>
    <hyperlink ref="T193" r:id="rId10" display="https://www.geologyontario.mines.gov.on.ca/mineral-inventory/MDI42C14SE00005" xr:uid="{C3F18074-1980-4ED9-B194-6FDCC4CAA3F6}"/>
    <hyperlink ref="T83" r:id="rId11" xr:uid="{0EE94310-A388-4EC5-8315-1D62654BE99A}"/>
    <hyperlink ref="T65" r:id="rId12" xr:uid="{380BC8EA-3099-4406-8B05-73B7349C74A7}"/>
    <hyperlink ref="T53" r:id="rId13" xr:uid="{08BD7F78-4380-43C9-9FC1-4187AFC3416D}"/>
    <hyperlink ref="T149" r:id="rId14" xr:uid="{71399DA8-4EB9-413E-B81D-1F618E0AD547}"/>
    <hyperlink ref="T113" r:id="rId15" xr:uid="{AEB87532-0E2C-4FD8-98F3-317A46CEA406}"/>
    <hyperlink ref="T123" r:id="rId16" xr:uid="{8C013715-5B22-4E61-B816-04A5262AF738}"/>
    <hyperlink ref="T42" r:id="rId17" xr:uid="{17B4C5D1-1BD2-4CEF-BE66-97058F5153D0}"/>
    <hyperlink ref="T114" r:id="rId18" xr:uid="{424A4843-AC44-4939-9C3A-F0AABD15FB55}"/>
    <hyperlink ref="T150" r:id="rId19" xr:uid="{0D0C7A3D-09B5-4263-A8C0-F11186C22AD3}"/>
    <hyperlink ref="T194" r:id="rId20" display="https://www.geologyontario.mines.gov.on.ca/mineral-inventory/MDI42C14SE00005" xr:uid="{722048EF-32C1-4A5C-BF9F-D205C19E7800}"/>
  </hyperlinks>
  <pageMargins left="0.7" right="0.7" top="0.75" bottom="0.75" header="0.3" footer="0.3"/>
  <pageSetup orientation="portrait" r:id="rId21"/>
  <legacyDrawing r:id="rId2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743C8-D14E-44FA-A271-4453D39FC361}">
  <dimension ref="A1:V395"/>
  <sheetViews>
    <sheetView workbookViewId="0">
      <selection activeCell="E13" sqref="E13"/>
    </sheetView>
  </sheetViews>
  <sheetFormatPr baseColWidth="10" defaultColWidth="8.7265625" defaultRowHeight="14.5" x14ac:dyDescent="0.35"/>
  <cols>
    <col min="1" max="1" width="6.90625" bestFit="1" customWidth="1"/>
    <col min="2" max="2" width="13.81640625" bestFit="1" customWidth="1"/>
    <col min="3" max="3" width="29.1796875" bestFit="1" customWidth="1"/>
    <col min="4" max="4" width="29.36328125" bestFit="1" customWidth="1"/>
    <col min="5" max="5" width="17.81640625" bestFit="1" customWidth="1"/>
    <col min="6" max="6" width="17.81640625" customWidth="1"/>
    <col min="7" max="7" width="13.54296875" style="37" bestFit="1" customWidth="1"/>
    <col min="8" max="8" width="31.453125" style="37" bestFit="1" customWidth="1"/>
    <col min="9" max="9" width="29.1796875" bestFit="1" customWidth="1"/>
    <col min="10" max="10" width="19.6328125" bestFit="1" customWidth="1"/>
    <col min="11" max="11" width="24.1796875" bestFit="1" customWidth="1"/>
    <col min="12" max="12" width="24.1796875" customWidth="1"/>
    <col min="13" max="13" width="10" bestFit="1" customWidth="1"/>
    <col min="14" max="14" width="10.6328125" bestFit="1" customWidth="1"/>
    <col min="15" max="15" width="8" bestFit="1" customWidth="1"/>
    <col min="16" max="16" width="12.36328125" bestFit="1" customWidth="1"/>
    <col min="17" max="17" width="15.6328125" bestFit="1" customWidth="1"/>
    <col min="18" max="18" width="20.08984375" bestFit="1" customWidth="1"/>
    <col min="19" max="19" width="8.54296875" bestFit="1" customWidth="1"/>
    <col min="20" max="20" width="14.90625" bestFit="1" customWidth="1"/>
    <col min="21" max="21" width="14.90625" customWidth="1"/>
    <col min="22" max="22" width="57.36328125" bestFit="1" customWidth="1"/>
  </cols>
  <sheetData>
    <row r="1" spans="1:22" x14ac:dyDescent="0.35">
      <c r="A1" s="6" t="s">
        <v>1538</v>
      </c>
      <c r="B1" s="6" t="s">
        <v>1553</v>
      </c>
      <c r="C1" s="7" t="s">
        <v>0</v>
      </c>
      <c r="D1" s="6" t="s">
        <v>1653</v>
      </c>
      <c r="E1" s="6" t="s">
        <v>2</v>
      </c>
      <c r="F1" s="6" t="s">
        <v>2030</v>
      </c>
      <c r="G1" s="36" t="s">
        <v>4</v>
      </c>
      <c r="H1" s="36" t="s">
        <v>6</v>
      </c>
      <c r="I1" s="6" t="s">
        <v>1540</v>
      </c>
      <c r="J1" s="6" t="s">
        <v>1554</v>
      </c>
      <c r="K1" s="8" t="s">
        <v>1555</v>
      </c>
      <c r="L1" s="8" t="s">
        <v>3029</v>
      </c>
      <c r="M1" s="8" t="s">
        <v>1556</v>
      </c>
      <c r="N1" s="8" t="s">
        <v>1557</v>
      </c>
      <c r="O1" s="8" t="s">
        <v>1558</v>
      </c>
      <c r="P1" s="8" t="s">
        <v>1559</v>
      </c>
      <c r="Q1" s="8" t="s">
        <v>1560</v>
      </c>
      <c r="R1" s="8" t="s">
        <v>1561</v>
      </c>
      <c r="S1" s="8" t="s">
        <v>1562</v>
      </c>
      <c r="T1" s="8" t="s">
        <v>1563</v>
      </c>
      <c r="U1" s="8" t="s">
        <v>7</v>
      </c>
      <c r="V1" s="8" t="s">
        <v>1543</v>
      </c>
    </row>
    <row r="2" spans="1:22" x14ac:dyDescent="0.35">
      <c r="A2">
        <v>2022</v>
      </c>
      <c r="B2" t="s">
        <v>772</v>
      </c>
      <c r="C2" t="s">
        <v>774</v>
      </c>
      <c r="D2" t="s">
        <v>63</v>
      </c>
      <c r="E2" t="s">
        <v>1122</v>
      </c>
      <c r="G2" s="37" t="s">
        <v>11</v>
      </c>
      <c r="H2" s="37" t="s">
        <v>21</v>
      </c>
      <c r="I2" t="s">
        <v>16</v>
      </c>
      <c r="J2" s="28" t="s">
        <v>1570</v>
      </c>
      <c r="K2" s="28" t="s">
        <v>1572</v>
      </c>
      <c r="L2" s="28" t="s">
        <v>3031</v>
      </c>
      <c r="M2">
        <v>755000</v>
      </c>
      <c r="N2" t="s">
        <v>1641</v>
      </c>
      <c r="O2">
        <v>7.14</v>
      </c>
      <c r="P2" t="s">
        <v>1567</v>
      </c>
      <c r="Q2">
        <v>173300</v>
      </c>
      <c r="R2" t="s">
        <v>1548</v>
      </c>
      <c r="V2" t="s">
        <v>1875</v>
      </c>
    </row>
    <row r="3" spans="1:22" x14ac:dyDescent="0.35">
      <c r="A3">
        <v>2022</v>
      </c>
      <c r="B3" t="s">
        <v>772</v>
      </c>
      <c r="C3" t="s">
        <v>774</v>
      </c>
      <c r="D3" t="s">
        <v>63</v>
      </c>
      <c r="E3" t="s">
        <v>1122</v>
      </c>
      <c r="G3" s="37" t="s">
        <v>11</v>
      </c>
      <c r="H3" s="37" t="s">
        <v>21</v>
      </c>
      <c r="I3" t="s">
        <v>16</v>
      </c>
      <c r="J3" s="28" t="s">
        <v>1570</v>
      </c>
      <c r="K3" s="28" t="s">
        <v>1573</v>
      </c>
      <c r="L3" s="28" t="s">
        <v>3031</v>
      </c>
      <c r="M3">
        <v>884000</v>
      </c>
      <c r="N3" t="s">
        <v>1641</v>
      </c>
      <c r="O3">
        <v>8.74</v>
      </c>
      <c r="P3" t="s">
        <v>1567</v>
      </c>
      <c r="Q3">
        <v>248300</v>
      </c>
      <c r="R3" t="s">
        <v>1548</v>
      </c>
      <c r="V3" t="s">
        <v>1875</v>
      </c>
    </row>
    <row r="4" spans="1:22" x14ac:dyDescent="0.35">
      <c r="A4">
        <v>2024</v>
      </c>
      <c r="B4" t="s">
        <v>772</v>
      </c>
      <c r="C4" t="s">
        <v>14</v>
      </c>
      <c r="D4" t="s">
        <v>65</v>
      </c>
      <c r="E4" t="s">
        <v>1125</v>
      </c>
      <c r="G4" s="37" t="s">
        <v>11</v>
      </c>
      <c r="H4" s="37" t="s">
        <v>13</v>
      </c>
      <c r="I4" t="s">
        <v>64</v>
      </c>
      <c r="J4" t="s">
        <v>1564</v>
      </c>
      <c r="K4" t="s">
        <v>1565</v>
      </c>
      <c r="L4" s="28" t="s">
        <v>3031</v>
      </c>
      <c r="M4">
        <v>40419</v>
      </c>
      <c r="N4" t="s">
        <v>1566</v>
      </c>
      <c r="O4">
        <v>0.52</v>
      </c>
      <c r="P4" t="s">
        <v>1567</v>
      </c>
      <c r="Q4">
        <v>680</v>
      </c>
      <c r="R4" t="s">
        <v>1550</v>
      </c>
      <c r="T4">
        <f>(89.3+95+95.4)/3</f>
        <v>93.233333333333348</v>
      </c>
      <c r="V4" t="s">
        <v>1568</v>
      </c>
    </row>
    <row r="5" spans="1:22" x14ac:dyDescent="0.35">
      <c r="A5">
        <v>2024</v>
      </c>
      <c r="B5" t="s">
        <v>772</v>
      </c>
      <c r="C5" t="s">
        <v>14</v>
      </c>
      <c r="D5" t="s">
        <v>65</v>
      </c>
      <c r="E5" t="s">
        <v>1125</v>
      </c>
      <c r="G5" s="37" t="s">
        <v>11</v>
      </c>
      <c r="H5" s="37" t="s">
        <v>13</v>
      </c>
      <c r="I5" t="s">
        <v>64</v>
      </c>
      <c r="J5" t="s">
        <v>1564</v>
      </c>
      <c r="K5" t="s">
        <v>1569</v>
      </c>
      <c r="L5" s="28" t="s">
        <v>3031</v>
      </c>
      <c r="M5">
        <v>87128</v>
      </c>
      <c r="N5" t="s">
        <v>1566</v>
      </c>
      <c r="O5">
        <v>2.4300000000000002</v>
      </c>
      <c r="P5" t="s">
        <v>1567</v>
      </c>
      <c r="Q5">
        <v>6818</v>
      </c>
      <c r="R5" t="s">
        <v>1550</v>
      </c>
      <c r="T5">
        <f>(89.3+95+95.4)/3</f>
        <v>93.233333333333348</v>
      </c>
      <c r="V5" t="s">
        <v>1568</v>
      </c>
    </row>
    <row r="6" spans="1:22" x14ac:dyDescent="0.35">
      <c r="A6">
        <v>2024</v>
      </c>
      <c r="B6" t="s">
        <v>772</v>
      </c>
      <c r="C6" t="s">
        <v>14</v>
      </c>
      <c r="D6" t="s">
        <v>65</v>
      </c>
      <c r="E6" t="s">
        <v>1125</v>
      </c>
      <c r="G6" s="37" t="s">
        <v>11</v>
      </c>
      <c r="H6" s="37" t="s">
        <v>13</v>
      </c>
      <c r="I6" t="s">
        <v>64</v>
      </c>
      <c r="J6" t="s">
        <v>1570</v>
      </c>
      <c r="K6" t="s">
        <v>1572</v>
      </c>
      <c r="L6" s="28" t="s">
        <v>3031</v>
      </c>
      <c r="M6">
        <v>52873</v>
      </c>
      <c r="N6" t="s">
        <v>1566</v>
      </c>
      <c r="O6">
        <v>1.9</v>
      </c>
      <c r="P6" t="s">
        <v>1567</v>
      </c>
      <c r="Q6">
        <v>3232</v>
      </c>
      <c r="R6" t="s">
        <v>1550</v>
      </c>
      <c r="V6" t="s">
        <v>1568</v>
      </c>
    </row>
    <row r="7" spans="1:22" x14ac:dyDescent="0.35">
      <c r="A7">
        <v>2024</v>
      </c>
      <c r="B7" t="s">
        <v>772</v>
      </c>
      <c r="C7" t="s">
        <v>14</v>
      </c>
      <c r="D7" t="s">
        <v>65</v>
      </c>
      <c r="E7" t="s">
        <v>1125</v>
      </c>
      <c r="G7" s="37" t="s">
        <v>11</v>
      </c>
      <c r="H7" s="37" t="s">
        <v>13</v>
      </c>
      <c r="I7" t="s">
        <v>64</v>
      </c>
      <c r="J7" t="s">
        <v>1570</v>
      </c>
      <c r="K7" t="s">
        <v>1573</v>
      </c>
      <c r="L7" s="28" t="s">
        <v>3031</v>
      </c>
      <c r="M7">
        <v>144334</v>
      </c>
      <c r="N7" t="s">
        <v>1566</v>
      </c>
      <c r="O7">
        <v>2.12</v>
      </c>
      <c r="P7" t="s">
        <v>1567</v>
      </c>
      <c r="Q7">
        <v>9857</v>
      </c>
      <c r="R7" t="s">
        <v>1550</v>
      </c>
      <c r="V7" t="s">
        <v>1568</v>
      </c>
    </row>
    <row r="8" spans="1:22" x14ac:dyDescent="0.35">
      <c r="A8">
        <v>2024</v>
      </c>
      <c r="B8" t="s">
        <v>772</v>
      </c>
      <c r="C8" t="s">
        <v>14</v>
      </c>
      <c r="D8" t="s">
        <v>18</v>
      </c>
      <c r="E8" t="s">
        <v>1354</v>
      </c>
      <c r="G8" s="37" t="s">
        <v>11</v>
      </c>
      <c r="H8" s="37" t="s">
        <v>19</v>
      </c>
      <c r="I8" t="s">
        <v>16</v>
      </c>
      <c r="J8" t="s">
        <v>1564</v>
      </c>
      <c r="K8" t="s">
        <v>1565</v>
      </c>
      <c r="L8" s="28" t="s">
        <v>3031</v>
      </c>
      <c r="M8">
        <v>128454</v>
      </c>
      <c r="N8" t="s">
        <v>1566</v>
      </c>
      <c r="O8">
        <v>0.81</v>
      </c>
      <c r="P8" t="s">
        <v>1567</v>
      </c>
      <c r="Q8">
        <v>3333</v>
      </c>
      <c r="R8" t="s">
        <v>1550</v>
      </c>
      <c r="T8">
        <v>92</v>
      </c>
      <c r="V8" t="s">
        <v>1568</v>
      </c>
    </row>
    <row r="9" spans="1:22" x14ac:dyDescent="0.35">
      <c r="A9">
        <v>2024</v>
      </c>
      <c r="B9" t="s">
        <v>772</v>
      </c>
      <c r="C9" t="s">
        <v>14</v>
      </c>
      <c r="D9" t="s">
        <v>18</v>
      </c>
      <c r="E9" t="s">
        <v>1127</v>
      </c>
      <c r="G9" s="37" t="s">
        <v>11</v>
      </c>
      <c r="H9" s="37" t="s">
        <v>19</v>
      </c>
      <c r="I9" t="s">
        <v>16</v>
      </c>
      <c r="J9" t="s">
        <v>1564</v>
      </c>
      <c r="K9" t="s">
        <v>1569</v>
      </c>
      <c r="L9" s="28" t="s">
        <v>3031</v>
      </c>
      <c r="M9">
        <v>666651</v>
      </c>
      <c r="N9" t="s">
        <v>1566</v>
      </c>
      <c r="O9">
        <v>0.73</v>
      </c>
      <c r="P9" t="s">
        <v>1567</v>
      </c>
      <c r="Q9">
        <v>15718</v>
      </c>
      <c r="R9" t="s">
        <v>1550</v>
      </c>
      <c r="T9">
        <v>92</v>
      </c>
      <c r="V9" t="s">
        <v>1568</v>
      </c>
    </row>
    <row r="10" spans="1:22" x14ac:dyDescent="0.35">
      <c r="A10">
        <v>2024</v>
      </c>
      <c r="B10" t="s">
        <v>772</v>
      </c>
      <c r="C10" t="s">
        <v>14</v>
      </c>
      <c r="D10" t="s">
        <v>18</v>
      </c>
      <c r="E10" t="s">
        <v>1127</v>
      </c>
      <c r="G10" s="37" t="s">
        <v>11</v>
      </c>
      <c r="H10" s="37" t="s">
        <v>19</v>
      </c>
      <c r="I10" t="s">
        <v>16</v>
      </c>
      <c r="J10" t="s">
        <v>1570</v>
      </c>
      <c r="K10" t="s">
        <v>1571</v>
      </c>
      <c r="L10" s="28" t="s">
        <v>3031</v>
      </c>
      <c r="M10">
        <v>33923</v>
      </c>
      <c r="N10" t="s">
        <v>1566</v>
      </c>
      <c r="O10">
        <v>1.1000000000000001</v>
      </c>
      <c r="P10" t="s">
        <v>1567</v>
      </c>
      <c r="Q10">
        <v>1201</v>
      </c>
      <c r="R10" t="s">
        <v>1550</v>
      </c>
      <c r="V10" t="s">
        <v>1568</v>
      </c>
    </row>
    <row r="11" spans="1:22" x14ac:dyDescent="0.35">
      <c r="A11">
        <v>2024</v>
      </c>
      <c r="B11" t="s">
        <v>772</v>
      </c>
      <c r="C11" t="s">
        <v>14</v>
      </c>
      <c r="D11" t="s">
        <v>18</v>
      </c>
      <c r="E11" t="s">
        <v>1127</v>
      </c>
      <c r="G11" s="37" t="s">
        <v>11</v>
      </c>
      <c r="H11" s="37" t="s">
        <v>19</v>
      </c>
      <c r="I11" t="s">
        <v>16</v>
      </c>
      <c r="J11" t="s">
        <v>1570</v>
      </c>
      <c r="K11" t="s">
        <v>1572</v>
      </c>
      <c r="L11" s="28" t="s">
        <v>3031</v>
      </c>
      <c r="M11">
        <v>661068</v>
      </c>
      <c r="N11" t="s">
        <v>1566</v>
      </c>
      <c r="O11">
        <v>0.69</v>
      </c>
      <c r="P11" t="s">
        <v>1567</v>
      </c>
      <c r="Q11">
        <v>14592</v>
      </c>
      <c r="R11" t="s">
        <v>1550</v>
      </c>
      <c r="V11" t="s">
        <v>1568</v>
      </c>
    </row>
    <row r="12" spans="1:22" x14ac:dyDescent="0.35">
      <c r="A12">
        <v>2024</v>
      </c>
      <c r="B12" t="s">
        <v>772</v>
      </c>
      <c r="C12" t="s">
        <v>14</v>
      </c>
      <c r="D12" t="s">
        <v>18</v>
      </c>
      <c r="E12" t="s">
        <v>1127</v>
      </c>
      <c r="G12" s="37" t="s">
        <v>11</v>
      </c>
      <c r="H12" s="37" t="s">
        <v>19</v>
      </c>
      <c r="I12" t="s">
        <v>16</v>
      </c>
      <c r="J12" t="s">
        <v>1570</v>
      </c>
      <c r="K12" t="s">
        <v>1573</v>
      </c>
      <c r="L12" s="28" t="s">
        <v>3031</v>
      </c>
      <c r="M12">
        <v>125335</v>
      </c>
      <c r="N12" t="s">
        <v>1566</v>
      </c>
      <c r="O12">
        <v>1.67</v>
      </c>
      <c r="P12" t="s">
        <v>1567</v>
      </c>
      <c r="Q12">
        <v>6742</v>
      </c>
      <c r="R12" t="s">
        <v>1550</v>
      </c>
      <c r="V12" t="s">
        <v>1568</v>
      </c>
    </row>
    <row r="13" spans="1:22" x14ac:dyDescent="0.35">
      <c r="A13">
        <v>2024</v>
      </c>
      <c r="B13" t="s">
        <v>772</v>
      </c>
      <c r="C13" t="s">
        <v>14</v>
      </c>
      <c r="D13" t="s">
        <v>66</v>
      </c>
      <c r="E13" t="s">
        <v>1124</v>
      </c>
      <c r="G13" s="37" t="s">
        <v>11</v>
      </c>
      <c r="H13" s="37" t="s">
        <v>13</v>
      </c>
      <c r="I13" t="s">
        <v>64</v>
      </c>
      <c r="J13" t="s">
        <v>1564</v>
      </c>
      <c r="K13" t="s">
        <v>1565</v>
      </c>
      <c r="L13" s="28" t="s">
        <v>3031</v>
      </c>
      <c r="M13">
        <v>6318</v>
      </c>
      <c r="N13" t="s">
        <v>1566</v>
      </c>
      <c r="O13">
        <v>1.34</v>
      </c>
      <c r="P13" t="s">
        <v>1567</v>
      </c>
      <c r="Q13">
        <v>273</v>
      </c>
      <c r="R13" t="s">
        <v>1550</v>
      </c>
      <c r="T13">
        <f>(86.9+77)/2</f>
        <v>81.95</v>
      </c>
      <c r="V13" t="s">
        <v>1568</v>
      </c>
    </row>
    <row r="14" spans="1:22" x14ac:dyDescent="0.35">
      <c r="A14">
        <v>2024</v>
      </c>
      <c r="B14" t="s">
        <v>772</v>
      </c>
      <c r="C14" t="s">
        <v>14</v>
      </c>
      <c r="D14" t="s">
        <v>66</v>
      </c>
      <c r="E14" t="s">
        <v>1124</v>
      </c>
      <c r="G14" s="37" t="s">
        <v>11</v>
      </c>
      <c r="H14" s="37" t="s">
        <v>13</v>
      </c>
      <c r="I14" t="s">
        <v>64</v>
      </c>
      <c r="J14" t="s">
        <v>1564</v>
      </c>
      <c r="K14" t="s">
        <v>1569</v>
      </c>
      <c r="L14" s="28" t="s">
        <v>3031</v>
      </c>
      <c r="M14">
        <v>14085</v>
      </c>
      <c r="N14" t="s">
        <v>1566</v>
      </c>
      <c r="O14">
        <v>1.44</v>
      </c>
      <c r="P14" t="s">
        <v>1567</v>
      </c>
      <c r="Q14">
        <v>654</v>
      </c>
      <c r="R14" t="s">
        <v>1550</v>
      </c>
      <c r="T14">
        <f>(86.9+77)/2</f>
        <v>81.95</v>
      </c>
      <c r="V14" t="s">
        <v>1568</v>
      </c>
    </row>
    <row r="15" spans="1:22" x14ac:dyDescent="0.35">
      <c r="A15">
        <v>2024</v>
      </c>
      <c r="B15" t="s">
        <v>772</v>
      </c>
      <c r="C15" t="s">
        <v>14</v>
      </c>
      <c r="D15" t="s">
        <v>66</v>
      </c>
      <c r="E15" t="s">
        <v>1124</v>
      </c>
      <c r="G15" s="37" t="s">
        <v>11</v>
      </c>
      <c r="H15" s="37" t="s">
        <v>13</v>
      </c>
      <c r="I15" t="s">
        <v>64</v>
      </c>
      <c r="J15" t="s">
        <v>1570</v>
      </c>
      <c r="K15" t="s">
        <v>1571</v>
      </c>
      <c r="L15" s="28" t="s">
        <v>3031</v>
      </c>
      <c r="M15">
        <v>12360</v>
      </c>
      <c r="N15" t="s">
        <v>1566</v>
      </c>
      <c r="O15">
        <v>1.86</v>
      </c>
      <c r="P15" t="s">
        <v>1567</v>
      </c>
      <c r="Q15">
        <v>739</v>
      </c>
      <c r="R15" t="s">
        <v>1550</v>
      </c>
      <c r="V15" t="s">
        <v>1568</v>
      </c>
    </row>
    <row r="16" spans="1:22" x14ac:dyDescent="0.35">
      <c r="A16">
        <v>2024</v>
      </c>
      <c r="B16" t="s">
        <v>772</v>
      </c>
      <c r="C16" t="s">
        <v>14</v>
      </c>
      <c r="D16" t="s">
        <v>66</v>
      </c>
      <c r="E16" t="s">
        <v>1124</v>
      </c>
      <c r="G16" s="37" t="s">
        <v>11</v>
      </c>
      <c r="H16" s="37" t="s">
        <v>13</v>
      </c>
      <c r="I16" t="s">
        <v>64</v>
      </c>
      <c r="J16" t="s">
        <v>1570</v>
      </c>
      <c r="K16" t="s">
        <v>1572</v>
      </c>
      <c r="L16" s="28" t="s">
        <v>3031</v>
      </c>
      <c r="M16">
        <v>22270</v>
      </c>
      <c r="N16" t="s">
        <v>1566</v>
      </c>
      <c r="O16">
        <v>1.33</v>
      </c>
      <c r="P16" t="s">
        <v>1567</v>
      </c>
      <c r="Q16">
        <v>955</v>
      </c>
      <c r="R16" t="s">
        <v>1550</v>
      </c>
      <c r="V16" t="s">
        <v>1568</v>
      </c>
    </row>
    <row r="17" spans="1:22" x14ac:dyDescent="0.35">
      <c r="A17">
        <v>2024</v>
      </c>
      <c r="B17" t="s">
        <v>772</v>
      </c>
      <c r="C17" t="s">
        <v>14</v>
      </c>
      <c r="D17" t="s">
        <v>66</v>
      </c>
      <c r="E17" t="s">
        <v>1124</v>
      </c>
      <c r="G17" s="37" t="s">
        <v>11</v>
      </c>
      <c r="H17" s="37" t="s">
        <v>13</v>
      </c>
      <c r="I17" t="s">
        <v>64</v>
      </c>
      <c r="J17" t="s">
        <v>1570</v>
      </c>
      <c r="K17" t="s">
        <v>1573</v>
      </c>
      <c r="L17" s="28" t="s">
        <v>3031</v>
      </c>
      <c r="M17">
        <v>16946</v>
      </c>
      <c r="N17" t="s">
        <v>1566</v>
      </c>
      <c r="O17">
        <v>1.62</v>
      </c>
      <c r="P17" t="s">
        <v>1567</v>
      </c>
      <c r="Q17">
        <v>885</v>
      </c>
      <c r="R17" t="s">
        <v>1550</v>
      </c>
      <c r="V17" t="s">
        <v>1568</v>
      </c>
    </row>
    <row r="18" spans="1:22" x14ac:dyDescent="0.35">
      <c r="A18">
        <v>2024</v>
      </c>
      <c r="B18" t="s">
        <v>772</v>
      </c>
      <c r="C18" t="s">
        <v>14</v>
      </c>
      <c r="D18" t="s">
        <v>91</v>
      </c>
      <c r="E18" t="s">
        <v>1126</v>
      </c>
      <c r="G18" s="37" t="s">
        <v>11</v>
      </c>
      <c r="H18" s="37" t="s">
        <v>23</v>
      </c>
      <c r="I18" t="s">
        <v>92</v>
      </c>
      <c r="J18" t="s">
        <v>1564</v>
      </c>
      <c r="K18" t="s">
        <v>1565</v>
      </c>
      <c r="L18" s="28" t="s">
        <v>3031</v>
      </c>
      <c r="M18">
        <v>7424</v>
      </c>
      <c r="N18" t="s">
        <v>1566</v>
      </c>
      <c r="O18">
        <v>2.98</v>
      </c>
      <c r="P18" t="s">
        <v>1567</v>
      </c>
      <c r="Q18">
        <v>712</v>
      </c>
      <c r="R18" t="s">
        <v>1550</v>
      </c>
      <c r="T18">
        <v>94.6</v>
      </c>
      <c r="V18" t="s">
        <v>1568</v>
      </c>
    </row>
    <row r="19" spans="1:22" x14ac:dyDescent="0.35">
      <c r="A19">
        <v>2024</v>
      </c>
      <c r="B19" t="s">
        <v>772</v>
      </c>
      <c r="C19" t="s">
        <v>14</v>
      </c>
      <c r="D19" t="s">
        <v>91</v>
      </c>
      <c r="E19" t="s">
        <v>1126</v>
      </c>
      <c r="G19" s="37" t="s">
        <v>11</v>
      </c>
      <c r="H19" s="37" t="s">
        <v>23</v>
      </c>
      <c r="I19" t="s">
        <v>92</v>
      </c>
      <c r="J19" t="s">
        <v>1564</v>
      </c>
      <c r="K19" t="s">
        <v>1574</v>
      </c>
      <c r="L19" s="28" t="s">
        <v>3031</v>
      </c>
      <c r="M19">
        <v>12574</v>
      </c>
      <c r="N19" t="s">
        <v>1566</v>
      </c>
      <c r="O19">
        <v>5.0199999999999996</v>
      </c>
      <c r="P19" t="s">
        <v>1567</v>
      </c>
      <c r="Q19">
        <v>2028</v>
      </c>
      <c r="R19" t="s">
        <v>1550</v>
      </c>
      <c r="T19">
        <v>94.6</v>
      </c>
      <c r="V19" t="s">
        <v>1568</v>
      </c>
    </row>
    <row r="20" spans="1:22" x14ac:dyDescent="0.35">
      <c r="A20">
        <v>2024</v>
      </c>
      <c r="B20" t="s">
        <v>772</v>
      </c>
      <c r="C20" t="s">
        <v>14</v>
      </c>
      <c r="D20" t="s">
        <v>91</v>
      </c>
      <c r="E20" t="s">
        <v>1126</v>
      </c>
      <c r="G20" s="37" t="s">
        <v>11</v>
      </c>
      <c r="H20" s="37" t="s">
        <v>23</v>
      </c>
      <c r="I20" t="s">
        <v>92</v>
      </c>
      <c r="J20" t="s">
        <v>1570</v>
      </c>
      <c r="K20" t="s">
        <v>1572</v>
      </c>
      <c r="L20" s="28" t="s">
        <v>3031</v>
      </c>
      <c r="M20">
        <v>16945</v>
      </c>
      <c r="N20" t="s">
        <v>1566</v>
      </c>
      <c r="O20">
        <v>2.79</v>
      </c>
      <c r="P20" t="s">
        <v>1567</v>
      </c>
      <c r="Q20">
        <v>1522</v>
      </c>
      <c r="R20" t="s">
        <v>1550</v>
      </c>
      <c r="V20" t="s">
        <v>1568</v>
      </c>
    </row>
    <row r="21" spans="1:22" x14ac:dyDescent="0.35">
      <c r="A21">
        <v>2024</v>
      </c>
      <c r="B21" t="s">
        <v>772</v>
      </c>
      <c r="C21" t="s">
        <v>14</v>
      </c>
      <c r="D21" t="s">
        <v>91</v>
      </c>
      <c r="E21" t="s">
        <v>1126</v>
      </c>
      <c r="G21" s="37" t="s">
        <v>11</v>
      </c>
      <c r="H21" s="37" t="s">
        <v>23</v>
      </c>
      <c r="I21" t="s">
        <v>92</v>
      </c>
      <c r="J21" t="s">
        <v>1570</v>
      </c>
      <c r="K21" t="s">
        <v>1573</v>
      </c>
      <c r="L21" s="28" t="s">
        <v>3031</v>
      </c>
      <c r="M21">
        <v>8806</v>
      </c>
      <c r="N21" t="s">
        <v>1566</v>
      </c>
      <c r="O21">
        <v>4.38</v>
      </c>
      <c r="P21" t="s">
        <v>1567</v>
      </c>
      <c r="Q21">
        <v>1240</v>
      </c>
      <c r="R21" t="s">
        <v>1550</v>
      </c>
      <c r="V21" t="s">
        <v>1568</v>
      </c>
    </row>
    <row r="22" spans="1:22" x14ac:dyDescent="0.35">
      <c r="A22">
        <v>2024</v>
      </c>
      <c r="B22" t="s">
        <v>772</v>
      </c>
      <c r="C22" t="s">
        <v>14</v>
      </c>
      <c r="D22" t="s">
        <v>67</v>
      </c>
      <c r="E22" t="s">
        <v>1128</v>
      </c>
      <c r="G22" s="37" t="s">
        <v>11</v>
      </c>
      <c r="H22" s="37" t="s">
        <v>21</v>
      </c>
      <c r="I22" t="s">
        <v>64</v>
      </c>
      <c r="J22" t="s">
        <v>1564</v>
      </c>
      <c r="K22" t="s">
        <v>1565</v>
      </c>
      <c r="L22" s="28" t="s">
        <v>3031</v>
      </c>
      <c r="M22">
        <v>352</v>
      </c>
      <c r="N22" t="s">
        <v>1566</v>
      </c>
      <c r="O22">
        <v>12.65</v>
      </c>
      <c r="P22" t="s">
        <v>1567</v>
      </c>
      <c r="Q22">
        <v>143</v>
      </c>
      <c r="R22" t="s">
        <v>1550</v>
      </c>
      <c r="V22" t="s">
        <v>1568</v>
      </c>
    </row>
    <row r="23" spans="1:22" x14ac:dyDescent="0.35">
      <c r="A23">
        <v>2024</v>
      </c>
      <c r="B23" t="s">
        <v>772</v>
      </c>
      <c r="C23" t="s">
        <v>14</v>
      </c>
      <c r="D23" t="s">
        <v>67</v>
      </c>
      <c r="E23" t="s">
        <v>1128</v>
      </c>
      <c r="G23" s="37" t="s">
        <v>11</v>
      </c>
      <c r="H23" s="37" t="s">
        <v>21</v>
      </c>
      <c r="I23" t="s">
        <v>64</v>
      </c>
      <c r="J23" t="s">
        <v>1564</v>
      </c>
      <c r="K23" t="s">
        <v>1569</v>
      </c>
      <c r="L23" s="28" t="s">
        <v>3031</v>
      </c>
      <c r="M23">
        <v>6675</v>
      </c>
      <c r="N23" t="s">
        <v>1566</v>
      </c>
      <c r="O23">
        <v>9</v>
      </c>
      <c r="P23" t="s">
        <v>1567</v>
      </c>
      <c r="Q23">
        <v>1931</v>
      </c>
      <c r="R23" t="s">
        <v>1550</v>
      </c>
      <c r="V23" t="s">
        <v>1568</v>
      </c>
    </row>
    <row r="24" spans="1:22" x14ac:dyDescent="0.35">
      <c r="A24">
        <v>2024</v>
      </c>
      <c r="B24" t="s">
        <v>772</v>
      </c>
      <c r="C24" t="s">
        <v>14</v>
      </c>
      <c r="D24" t="s">
        <v>67</v>
      </c>
      <c r="E24" t="s">
        <v>1128</v>
      </c>
      <c r="G24" s="37" t="s">
        <v>11</v>
      </c>
      <c r="H24" s="37" t="s">
        <v>21</v>
      </c>
      <c r="I24" t="s">
        <v>64</v>
      </c>
      <c r="J24" t="s">
        <v>1570</v>
      </c>
      <c r="K24" t="s">
        <v>1571</v>
      </c>
      <c r="L24" s="28" t="s">
        <v>3031</v>
      </c>
      <c r="M24">
        <v>278</v>
      </c>
      <c r="N24" t="s">
        <v>1566</v>
      </c>
      <c r="O24">
        <v>8.4600000000000009</v>
      </c>
      <c r="P24" t="s">
        <v>1567</v>
      </c>
      <c r="Q24">
        <v>76</v>
      </c>
      <c r="R24" t="s">
        <v>1550</v>
      </c>
      <c r="V24" t="s">
        <v>1568</v>
      </c>
    </row>
    <row r="25" spans="1:22" x14ac:dyDescent="0.35">
      <c r="A25">
        <v>2024</v>
      </c>
      <c r="B25" t="s">
        <v>772</v>
      </c>
      <c r="C25" t="s">
        <v>14</v>
      </c>
      <c r="D25" t="s">
        <v>67</v>
      </c>
      <c r="E25" t="s">
        <v>1128</v>
      </c>
      <c r="G25" s="37" t="s">
        <v>11</v>
      </c>
      <c r="H25" s="37" t="s">
        <v>21</v>
      </c>
      <c r="I25" t="s">
        <v>64</v>
      </c>
      <c r="J25" t="s">
        <v>1570</v>
      </c>
      <c r="K25" t="s">
        <v>1572</v>
      </c>
      <c r="L25" s="28" t="s">
        <v>3031</v>
      </c>
      <c r="M25">
        <v>3144</v>
      </c>
      <c r="N25" t="s">
        <v>1566</v>
      </c>
      <c r="O25">
        <v>7.05</v>
      </c>
      <c r="P25" t="s">
        <v>1567</v>
      </c>
      <c r="Q25">
        <v>712</v>
      </c>
      <c r="R25" t="s">
        <v>1550</v>
      </c>
      <c r="V25" t="s">
        <v>1568</v>
      </c>
    </row>
    <row r="26" spans="1:22" x14ac:dyDescent="0.35">
      <c r="A26">
        <v>2024</v>
      </c>
      <c r="B26" t="s">
        <v>772</v>
      </c>
      <c r="C26" t="s">
        <v>14</v>
      </c>
      <c r="D26" t="s">
        <v>67</v>
      </c>
      <c r="E26" t="s">
        <v>1128</v>
      </c>
      <c r="G26" s="37" t="s">
        <v>11</v>
      </c>
      <c r="H26" s="37" t="s">
        <v>21</v>
      </c>
      <c r="I26" t="s">
        <v>64</v>
      </c>
      <c r="J26" t="s">
        <v>1570</v>
      </c>
      <c r="K26" t="s">
        <v>1573</v>
      </c>
      <c r="L26" s="28" t="s">
        <v>3031</v>
      </c>
      <c r="M26">
        <v>5524</v>
      </c>
      <c r="N26" t="s">
        <v>1566</v>
      </c>
      <c r="O26">
        <v>7.44</v>
      </c>
      <c r="P26" t="s">
        <v>1567</v>
      </c>
      <c r="Q26">
        <v>1322</v>
      </c>
      <c r="R26" t="s">
        <v>1550</v>
      </c>
      <c r="V26" t="s">
        <v>1568</v>
      </c>
    </row>
    <row r="27" spans="1:22" x14ac:dyDescent="0.35">
      <c r="A27">
        <v>2024</v>
      </c>
      <c r="B27" t="s">
        <v>1537</v>
      </c>
      <c r="C27" t="s">
        <v>14</v>
      </c>
      <c r="D27" t="s">
        <v>20</v>
      </c>
      <c r="F27" t="s">
        <v>1753</v>
      </c>
      <c r="G27" s="37" t="s">
        <v>11</v>
      </c>
      <c r="H27" s="37" t="s">
        <v>23</v>
      </c>
      <c r="I27" t="s">
        <v>16</v>
      </c>
      <c r="J27" t="s">
        <v>1564</v>
      </c>
      <c r="K27" t="s">
        <v>1565</v>
      </c>
      <c r="L27" s="28" t="s">
        <v>3031</v>
      </c>
      <c r="M27">
        <v>3355</v>
      </c>
      <c r="N27" t="s">
        <v>1566</v>
      </c>
      <c r="O27">
        <v>1.86</v>
      </c>
      <c r="P27" t="s">
        <v>1567</v>
      </c>
      <c r="Q27">
        <v>200</v>
      </c>
      <c r="R27" t="s">
        <v>1550</v>
      </c>
      <c r="T27">
        <v>90.7</v>
      </c>
      <c r="V27" t="s">
        <v>1568</v>
      </c>
    </row>
    <row r="28" spans="1:22" x14ac:dyDescent="0.35">
      <c r="A28">
        <v>2024</v>
      </c>
      <c r="B28" t="s">
        <v>1537</v>
      </c>
      <c r="C28" t="s">
        <v>14</v>
      </c>
      <c r="D28" t="s">
        <v>20</v>
      </c>
      <c r="F28" t="s">
        <v>1753</v>
      </c>
      <c r="G28" s="37" t="s">
        <v>11</v>
      </c>
      <c r="H28" s="37" t="s">
        <v>23</v>
      </c>
      <c r="I28" t="s">
        <v>16</v>
      </c>
      <c r="J28" t="s">
        <v>1564</v>
      </c>
      <c r="K28" t="s">
        <v>1574</v>
      </c>
      <c r="L28" s="28" t="s">
        <v>3031</v>
      </c>
      <c r="M28">
        <v>11516</v>
      </c>
      <c r="N28" t="s">
        <v>1566</v>
      </c>
      <c r="O28">
        <v>3.8</v>
      </c>
      <c r="P28" t="s">
        <v>1567</v>
      </c>
      <c r="Q28">
        <v>1408</v>
      </c>
      <c r="R28" t="s">
        <v>1550</v>
      </c>
      <c r="T28">
        <v>90.7</v>
      </c>
      <c r="V28" t="s">
        <v>1568</v>
      </c>
    </row>
    <row r="29" spans="1:22" x14ac:dyDescent="0.35">
      <c r="A29">
        <v>2024</v>
      </c>
      <c r="B29" t="s">
        <v>1537</v>
      </c>
      <c r="C29" t="s">
        <v>14</v>
      </c>
      <c r="D29" t="s">
        <v>20</v>
      </c>
      <c r="F29" t="s">
        <v>1753</v>
      </c>
      <c r="G29" s="37" t="s">
        <v>11</v>
      </c>
      <c r="H29" s="37" t="s">
        <v>23</v>
      </c>
      <c r="I29" t="s">
        <v>16</v>
      </c>
      <c r="J29" t="s">
        <v>1570</v>
      </c>
      <c r="K29" t="s">
        <v>1572</v>
      </c>
      <c r="L29" s="28" t="s">
        <v>3031</v>
      </c>
      <c r="M29">
        <v>9915</v>
      </c>
      <c r="N29" t="s">
        <v>1566</v>
      </c>
      <c r="O29">
        <v>4.01</v>
      </c>
      <c r="P29" t="s">
        <v>1567</v>
      </c>
      <c r="Q29">
        <v>1277</v>
      </c>
      <c r="R29" t="s">
        <v>1550</v>
      </c>
      <c r="V29" t="s">
        <v>1568</v>
      </c>
    </row>
    <row r="30" spans="1:22" x14ac:dyDescent="0.35">
      <c r="A30">
        <v>2024</v>
      </c>
      <c r="B30" t="s">
        <v>1537</v>
      </c>
      <c r="C30" t="s">
        <v>14</v>
      </c>
      <c r="D30" t="s">
        <v>20</v>
      </c>
      <c r="F30" t="s">
        <v>1753</v>
      </c>
      <c r="G30" s="37" t="s">
        <v>11</v>
      </c>
      <c r="H30" s="37" t="s">
        <v>23</v>
      </c>
      <c r="I30" t="s">
        <v>16</v>
      </c>
      <c r="J30" t="s">
        <v>1570</v>
      </c>
      <c r="K30" t="s">
        <v>1573</v>
      </c>
      <c r="L30" s="28" t="s">
        <v>3031</v>
      </c>
      <c r="M30">
        <v>3960</v>
      </c>
      <c r="N30" t="s">
        <v>1566</v>
      </c>
      <c r="O30">
        <v>4.6500000000000004</v>
      </c>
      <c r="P30" t="s">
        <v>1567</v>
      </c>
      <c r="Q30">
        <v>592</v>
      </c>
      <c r="R30" t="s">
        <v>1550</v>
      </c>
      <c r="V30" t="s">
        <v>1568</v>
      </c>
    </row>
    <row r="31" spans="1:22" x14ac:dyDescent="0.35">
      <c r="A31">
        <v>2024</v>
      </c>
      <c r="B31" t="s">
        <v>772</v>
      </c>
      <c r="C31" t="s">
        <v>14</v>
      </c>
      <c r="D31" t="s">
        <v>22</v>
      </c>
      <c r="E31" t="s">
        <v>1129</v>
      </c>
      <c r="G31" s="37" t="s">
        <v>11</v>
      </c>
      <c r="H31" s="37" t="s">
        <v>13</v>
      </c>
      <c r="I31" t="s">
        <v>16</v>
      </c>
      <c r="J31" t="s">
        <v>1564</v>
      </c>
      <c r="K31" t="s">
        <v>1565</v>
      </c>
      <c r="L31" s="28" t="s">
        <v>3031</v>
      </c>
      <c r="M31">
        <v>1990</v>
      </c>
      <c r="N31" t="s">
        <v>1566</v>
      </c>
      <c r="O31">
        <v>6.37</v>
      </c>
      <c r="P31" t="s">
        <v>1567</v>
      </c>
      <c r="Q31">
        <v>407</v>
      </c>
      <c r="R31" t="s">
        <v>1550</v>
      </c>
      <c r="T31">
        <v>96</v>
      </c>
      <c r="V31" t="s">
        <v>1568</v>
      </c>
    </row>
    <row r="32" spans="1:22" x14ac:dyDescent="0.35">
      <c r="A32">
        <v>2024</v>
      </c>
      <c r="B32" t="s">
        <v>772</v>
      </c>
      <c r="C32" t="s">
        <v>14</v>
      </c>
      <c r="D32" t="s">
        <v>22</v>
      </c>
      <c r="E32" t="s">
        <v>1129</v>
      </c>
      <c r="G32" s="37" t="s">
        <v>11</v>
      </c>
      <c r="H32" s="37" t="s">
        <v>13</v>
      </c>
      <c r="I32" t="s">
        <v>16</v>
      </c>
      <c r="J32" t="s">
        <v>1564</v>
      </c>
      <c r="K32" t="s">
        <v>1569</v>
      </c>
      <c r="L32" s="28" t="s">
        <v>3031</v>
      </c>
      <c r="M32">
        <v>17798</v>
      </c>
      <c r="N32" t="s">
        <v>1566</v>
      </c>
      <c r="O32">
        <v>5.17</v>
      </c>
      <c r="P32" t="s">
        <v>1567</v>
      </c>
      <c r="Q32">
        <v>2958</v>
      </c>
      <c r="R32" t="s">
        <v>1550</v>
      </c>
      <c r="T32">
        <v>96</v>
      </c>
      <c r="V32" t="s">
        <v>1568</v>
      </c>
    </row>
    <row r="33" spans="1:22" x14ac:dyDescent="0.35">
      <c r="A33">
        <v>2024</v>
      </c>
      <c r="B33" t="s">
        <v>772</v>
      </c>
      <c r="C33" t="s">
        <v>14</v>
      </c>
      <c r="D33" t="s">
        <v>22</v>
      </c>
      <c r="E33" t="s">
        <v>1129</v>
      </c>
      <c r="G33" s="37" t="s">
        <v>11</v>
      </c>
      <c r="H33" s="37" t="s">
        <v>13</v>
      </c>
      <c r="I33" t="s">
        <v>16</v>
      </c>
      <c r="J33" t="s">
        <v>1570</v>
      </c>
      <c r="K33" t="s">
        <v>1571</v>
      </c>
      <c r="L33" s="28" t="s">
        <v>3031</v>
      </c>
      <c r="M33">
        <v>525</v>
      </c>
      <c r="N33" t="s">
        <v>1566</v>
      </c>
      <c r="O33">
        <v>4.53</v>
      </c>
      <c r="P33" t="s">
        <v>1567</v>
      </c>
      <c r="Q33">
        <v>76</v>
      </c>
      <c r="R33" t="s">
        <v>1550</v>
      </c>
      <c r="V33" t="s">
        <v>1568</v>
      </c>
    </row>
    <row r="34" spans="1:22" x14ac:dyDescent="0.35">
      <c r="A34">
        <v>2024</v>
      </c>
      <c r="B34" t="s">
        <v>772</v>
      </c>
      <c r="C34" t="s">
        <v>14</v>
      </c>
      <c r="D34" t="s">
        <v>22</v>
      </c>
      <c r="E34" t="s">
        <v>1129</v>
      </c>
      <c r="G34" s="37" t="s">
        <v>11</v>
      </c>
      <c r="H34" s="37" t="s">
        <v>13</v>
      </c>
      <c r="I34" t="s">
        <v>16</v>
      </c>
      <c r="J34" t="s">
        <v>1570</v>
      </c>
      <c r="K34" t="s">
        <v>1572</v>
      </c>
      <c r="L34" s="28" t="s">
        <v>3031</v>
      </c>
      <c r="M34">
        <v>13416</v>
      </c>
      <c r="N34" t="s">
        <v>1566</v>
      </c>
      <c r="O34">
        <v>3.8</v>
      </c>
      <c r="P34" t="s">
        <v>1567</v>
      </c>
      <c r="Q34">
        <v>1638</v>
      </c>
      <c r="R34" t="s">
        <v>1550</v>
      </c>
      <c r="V34" t="s">
        <v>1568</v>
      </c>
    </row>
    <row r="35" spans="1:22" x14ac:dyDescent="0.35">
      <c r="A35">
        <v>2024</v>
      </c>
      <c r="B35" t="s">
        <v>772</v>
      </c>
      <c r="C35" t="s">
        <v>14</v>
      </c>
      <c r="D35" t="s">
        <v>22</v>
      </c>
      <c r="E35" t="s">
        <v>1129</v>
      </c>
      <c r="G35" s="37" t="s">
        <v>11</v>
      </c>
      <c r="H35" s="37" t="s">
        <v>13</v>
      </c>
      <c r="I35" t="s">
        <v>16</v>
      </c>
      <c r="J35" t="s">
        <v>1570</v>
      </c>
      <c r="K35" t="s">
        <v>1573</v>
      </c>
      <c r="L35" s="28" t="s">
        <v>3031</v>
      </c>
      <c r="M35">
        <v>11696</v>
      </c>
      <c r="N35" t="s">
        <v>1566</v>
      </c>
      <c r="O35">
        <v>5.92</v>
      </c>
      <c r="P35" t="s">
        <v>1567</v>
      </c>
      <c r="Q35">
        <v>2225</v>
      </c>
      <c r="R35" t="s">
        <v>1550</v>
      </c>
      <c r="V35" t="s">
        <v>1568</v>
      </c>
    </row>
    <row r="36" spans="1:22" x14ac:dyDescent="0.35">
      <c r="A36">
        <v>2024</v>
      </c>
      <c r="B36" t="s">
        <v>772</v>
      </c>
      <c r="C36" t="s">
        <v>736</v>
      </c>
      <c r="D36" t="s">
        <v>25</v>
      </c>
      <c r="E36" t="s">
        <v>1135</v>
      </c>
      <c r="G36" s="37" t="s">
        <v>11</v>
      </c>
      <c r="H36" s="37" t="s">
        <v>13</v>
      </c>
      <c r="I36" t="s">
        <v>16</v>
      </c>
      <c r="J36" t="s">
        <v>1564</v>
      </c>
      <c r="K36" t="s">
        <v>1600</v>
      </c>
      <c r="L36" s="28" t="s">
        <v>3031</v>
      </c>
      <c r="M36">
        <v>6232</v>
      </c>
      <c r="N36" t="s">
        <v>1566</v>
      </c>
      <c r="O36">
        <v>11.4</v>
      </c>
      <c r="P36" t="s">
        <v>1567</v>
      </c>
      <c r="Q36">
        <v>2285</v>
      </c>
      <c r="R36" t="s">
        <v>1550</v>
      </c>
      <c r="V36" t="s">
        <v>1601</v>
      </c>
    </row>
    <row r="37" spans="1:22" x14ac:dyDescent="0.35">
      <c r="A37">
        <v>2024</v>
      </c>
      <c r="B37" t="s">
        <v>772</v>
      </c>
      <c r="C37" t="s">
        <v>736</v>
      </c>
      <c r="D37" t="s">
        <v>25</v>
      </c>
      <c r="E37" t="s">
        <v>1135</v>
      </c>
      <c r="G37" s="37" t="s">
        <v>11</v>
      </c>
      <c r="H37" s="37" t="s">
        <v>13</v>
      </c>
      <c r="I37" t="s">
        <v>16</v>
      </c>
      <c r="J37" t="s">
        <v>1570</v>
      </c>
      <c r="K37" t="s">
        <v>1602</v>
      </c>
      <c r="L37" s="28" t="s">
        <v>3031</v>
      </c>
      <c r="M37">
        <v>2113</v>
      </c>
      <c r="N37" t="s">
        <v>1566</v>
      </c>
      <c r="O37">
        <v>8.76</v>
      </c>
      <c r="P37" t="s">
        <v>1567</v>
      </c>
      <c r="Q37">
        <v>601</v>
      </c>
      <c r="R37" t="s">
        <v>1550</v>
      </c>
      <c r="V37" t="s">
        <v>1601</v>
      </c>
    </row>
    <row r="38" spans="1:22" x14ac:dyDescent="0.35">
      <c r="A38">
        <v>2024</v>
      </c>
      <c r="B38" t="s">
        <v>772</v>
      </c>
      <c r="C38" t="s">
        <v>736</v>
      </c>
      <c r="D38" t="s">
        <v>26</v>
      </c>
      <c r="E38" t="s">
        <v>1135</v>
      </c>
      <c r="G38" s="37" t="s">
        <v>11</v>
      </c>
      <c r="H38" s="37" t="s">
        <v>13</v>
      </c>
      <c r="I38" t="s">
        <v>16</v>
      </c>
      <c r="J38" t="s">
        <v>1564</v>
      </c>
      <c r="K38" t="s">
        <v>1600</v>
      </c>
      <c r="L38" s="28" t="s">
        <v>3031</v>
      </c>
      <c r="M38">
        <v>41756</v>
      </c>
      <c r="N38" t="s">
        <v>1566</v>
      </c>
      <c r="O38">
        <v>2.2599999999999998</v>
      </c>
      <c r="P38" t="s">
        <v>1567</v>
      </c>
      <c r="Q38">
        <v>3030</v>
      </c>
      <c r="R38" t="s">
        <v>1550</v>
      </c>
      <c r="V38" t="s">
        <v>1601</v>
      </c>
    </row>
    <row r="39" spans="1:22" x14ac:dyDescent="0.35">
      <c r="A39">
        <v>2024</v>
      </c>
      <c r="B39" t="s">
        <v>772</v>
      </c>
      <c r="C39" t="s">
        <v>736</v>
      </c>
      <c r="D39" t="s">
        <v>26</v>
      </c>
      <c r="E39" t="s">
        <v>1135</v>
      </c>
      <c r="G39" s="37" t="s">
        <v>11</v>
      </c>
      <c r="H39" s="37" t="s">
        <v>13</v>
      </c>
      <c r="I39" t="s">
        <v>16</v>
      </c>
      <c r="J39" t="s">
        <v>1570</v>
      </c>
      <c r="K39" t="s">
        <v>1602</v>
      </c>
      <c r="L39" s="28" t="s">
        <v>3031</v>
      </c>
      <c r="M39">
        <v>12825</v>
      </c>
      <c r="N39" t="s">
        <v>1566</v>
      </c>
      <c r="O39">
        <v>2.87</v>
      </c>
      <c r="P39" t="s">
        <v>1567</v>
      </c>
      <c r="Q39">
        <v>1186</v>
      </c>
      <c r="R39" t="s">
        <v>1550</v>
      </c>
      <c r="V39" t="s">
        <v>1601</v>
      </c>
    </row>
    <row r="40" spans="1:22" x14ac:dyDescent="0.35">
      <c r="A40">
        <v>2024</v>
      </c>
      <c r="B40" t="s">
        <v>1537</v>
      </c>
      <c r="C40" t="s">
        <v>155</v>
      </c>
      <c r="D40" t="s">
        <v>2425</v>
      </c>
      <c r="F40" t="s">
        <v>2930</v>
      </c>
      <c r="G40" s="37" t="s">
        <v>11</v>
      </c>
      <c r="I40" t="s">
        <v>157</v>
      </c>
      <c r="J40" t="s">
        <v>1564</v>
      </c>
      <c r="K40" t="s">
        <v>1565</v>
      </c>
      <c r="L40" s="28" t="s">
        <v>3031</v>
      </c>
      <c r="M40">
        <v>1580</v>
      </c>
      <c r="N40" t="s">
        <v>1641</v>
      </c>
      <c r="O40">
        <v>29.1</v>
      </c>
      <c r="P40" t="s">
        <v>2426</v>
      </c>
      <c r="V40" t="s">
        <v>2989</v>
      </c>
    </row>
    <row r="41" spans="1:22" x14ac:dyDescent="0.35">
      <c r="A41">
        <v>2024</v>
      </c>
      <c r="B41" t="s">
        <v>1537</v>
      </c>
      <c r="C41" t="s">
        <v>155</v>
      </c>
      <c r="D41" t="s">
        <v>2425</v>
      </c>
      <c r="F41" t="s">
        <v>2930</v>
      </c>
      <c r="G41" s="37" t="s">
        <v>11</v>
      </c>
      <c r="I41" t="s">
        <v>157</v>
      </c>
      <c r="J41" t="s">
        <v>1564</v>
      </c>
      <c r="K41" t="s">
        <v>1574</v>
      </c>
      <c r="L41" s="28" t="s">
        <v>3031</v>
      </c>
      <c r="M41">
        <v>155</v>
      </c>
      <c r="N41" t="s">
        <v>1641</v>
      </c>
      <c r="O41">
        <v>28.8</v>
      </c>
      <c r="P41" t="s">
        <v>2426</v>
      </c>
      <c r="V41" t="s">
        <v>2989</v>
      </c>
    </row>
    <row r="42" spans="1:22" x14ac:dyDescent="0.35">
      <c r="A42">
        <v>2024</v>
      </c>
      <c r="B42" t="s">
        <v>1537</v>
      </c>
      <c r="C42" t="s">
        <v>155</v>
      </c>
      <c r="D42" t="s">
        <v>2425</v>
      </c>
      <c r="F42" t="s">
        <v>2930</v>
      </c>
      <c r="G42" s="37" t="s">
        <v>11</v>
      </c>
      <c r="I42" t="s">
        <v>157</v>
      </c>
      <c r="J42" t="s">
        <v>1570</v>
      </c>
      <c r="K42" t="s">
        <v>1571</v>
      </c>
      <c r="L42" s="28" t="s">
        <v>3031</v>
      </c>
      <c r="M42">
        <v>1582</v>
      </c>
      <c r="N42" t="s">
        <v>1641</v>
      </c>
      <c r="O42">
        <v>27.1</v>
      </c>
      <c r="P42" t="s">
        <v>2426</v>
      </c>
      <c r="V42" t="s">
        <v>2989</v>
      </c>
    </row>
    <row r="43" spans="1:22" x14ac:dyDescent="0.35">
      <c r="A43">
        <v>2024</v>
      </c>
      <c r="B43" t="s">
        <v>1537</v>
      </c>
      <c r="C43" t="s">
        <v>155</v>
      </c>
      <c r="D43" t="s">
        <v>2425</v>
      </c>
      <c r="F43" t="s">
        <v>2930</v>
      </c>
      <c r="G43" s="37" t="s">
        <v>11</v>
      </c>
      <c r="I43" t="s">
        <v>157</v>
      </c>
      <c r="J43" t="s">
        <v>1570</v>
      </c>
      <c r="K43" t="s">
        <v>1572</v>
      </c>
      <c r="L43" s="28" t="s">
        <v>3031</v>
      </c>
      <c r="M43">
        <v>1598</v>
      </c>
      <c r="N43" t="s">
        <v>1641</v>
      </c>
      <c r="O43">
        <v>28.9</v>
      </c>
      <c r="P43" t="s">
        <v>2426</v>
      </c>
      <c r="V43" t="s">
        <v>2989</v>
      </c>
    </row>
    <row r="44" spans="1:22" x14ac:dyDescent="0.35">
      <c r="A44">
        <v>2024</v>
      </c>
      <c r="B44" t="s">
        <v>1537</v>
      </c>
      <c r="C44" t="s">
        <v>155</v>
      </c>
      <c r="D44" t="s">
        <v>2425</v>
      </c>
      <c r="F44" t="s">
        <v>2930</v>
      </c>
      <c r="G44" s="37" t="s">
        <v>11</v>
      </c>
      <c r="I44" t="s">
        <v>157</v>
      </c>
      <c r="J44" t="s">
        <v>1570</v>
      </c>
      <c r="K44" t="s">
        <v>1573</v>
      </c>
      <c r="L44" s="28" t="s">
        <v>3031</v>
      </c>
      <c r="M44">
        <v>1642</v>
      </c>
      <c r="N44" t="s">
        <v>1641</v>
      </c>
      <c r="O44">
        <v>27.7</v>
      </c>
      <c r="P44" t="s">
        <v>2426</v>
      </c>
      <c r="V44" t="s">
        <v>2989</v>
      </c>
    </row>
    <row r="45" spans="1:22" x14ac:dyDescent="0.35">
      <c r="A45">
        <v>2023</v>
      </c>
      <c r="B45" t="s">
        <v>772</v>
      </c>
      <c r="C45" t="s">
        <v>159</v>
      </c>
      <c r="D45" t="s">
        <v>160</v>
      </c>
      <c r="E45" t="s">
        <v>1165</v>
      </c>
      <c r="G45" s="37" t="s">
        <v>11</v>
      </c>
      <c r="H45" s="37" t="s">
        <v>34</v>
      </c>
      <c r="I45" t="s">
        <v>157</v>
      </c>
      <c r="J45" t="s">
        <v>1564</v>
      </c>
      <c r="K45" s="28" t="s">
        <v>1877</v>
      </c>
      <c r="L45" s="28" t="s">
        <v>3031</v>
      </c>
      <c r="M45">
        <v>663000</v>
      </c>
      <c r="N45" t="s">
        <v>1641</v>
      </c>
      <c r="U45" t="s">
        <v>2990</v>
      </c>
      <c r="V45" t="s">
        <v>2989</v>
      </c>
    </row>
    <row r="46" spans="1:22" ht="29" x14ac:dyDescent="0.35">
      <c r="A46">
        <v>2023</v>
      </c>
      <c r="B46" t="s">
        <v>772</v>
      </c>
      <c r="C46" t="s">
        <v>159</v>
      </c>
      <c r="D46" t="s">
        <v>160</v>
      </c>
      <c r="E46" t="s">
        <v>1165</v>
      </c>
      <c r="G46" s="37" t="s">
        <v>11</v>
      </c>
      <c r="H46" s="37" t="s">
        <v>34</v>
      </c>
      <c r="I46" t="s">
        <v>157</v>
      </c>
      <c r="J46" s="28" t="s">
        <v>1570</v>
      </c>
      <c r="K46" s="28" t="s">
        <v>1878</v>
      </c>
      <c r="L46" s="28" t="s">
        <v>3031</v>
      </c>
      <c r="M46">
        <v>1004000</v>
      </c>
      <c r="N46" t="s">
        <v>1641</v>
      </c>
      <c r="U46" t="s">
        <v>2990</v>
      </c>
      <c r="V46" t="s">
        <v>2989</v>
      </c>
    </row>
    <row r="47" spans="1:22" x14ac:dyDescent="0.35">
      <c r="A47">
        <v>2023</v>
      </c>
      <c r="B47" t="s">
        <v>772</v>
      </c>
      <c r="C47" t="s">
        <v>27</v>
      </c>
      <c r="D47" t="s">
        <v>28</v>
      </c>
      <c r="E47" t="s">
        <v>1166</v>
      </c>
      <c r="G47" s="37" t="s">
        <v>11</v>
      </c>
      <c r="H47" s="37" t="s">
        <v>23</v>
      </c>
      <c r="I47" t="s">
        <v>16</v>
      </c>
      <c r="J47" s="28" t="s">
        <v>1564</v>
      </c>
      <c r="K47" s="28" t="s">
        <v>1565</v>
      </c>
      <c r="L47" s="28" t="s">
        <v>3031</v>
      </c>
      <c r="M47">
        <v>0.28999999999999998</v>
      </c>
      <c r="N47" t="s">
        <v>1641</v>
      </c>
      <c r="O47">
        <v>3.84</v>
      </c>
      <c r="P47" t="s">
        <v>1567</v>
      </c>
      <c r="Q47">
        <v>3.5999999999999997E-2</v>
      </c>
      <c r="R47" t="s">
        <v>1841</v>
      </c>
      <c r="V47" t="s">
        <v>1648</v>
      </c>
    </row>
    <row r="48" spans="1:22" x14ac:dyDescent="0.35">
      <c r="A48">
        <v>2023</v>
      </c>
      <c r="B48" t="s">
        <v>772</v>
      </c>
      <c r="C48" t="s">
        <v>27</v>
      </c>
      <c r="D48" t="s">
        <v>28</v>
      </c>
      <c r="E48" t="s">
        <v>1166</v>
      </c>
      <c r="G48" s="37" t="s">
        <v>11</v>
      </c>
      <c r="H48" s="37" t="s">
        <v>23</v>
      </c>
      <c r="I48" t="s">
        <v>16</v>
      </c>
      <c r="J48" s="28" t="s">
        <v>1564</v>
      </c>
      <c r="K48" s="28" t="s">
        <v>1574</v>
      </c>
      <c r="L48" s="28" t="s">
        <v>3031</v>
      </c>
      <c r="M48">
        <v>31</v>
      </c>
      <c r="N48" t="s">
        <v>1641</v>
      </c>
      <c r="O48">
        <v>1.6</v>
      </c>
      <c r="P48" t="s">
        <v>1567</v>
      </c>
      <c r="Q48">
        <v>1.6</v>
      </c>
      <c r="R48" t="s">
        <v>1841</v>
      </c>
      <c r="V48" t="s">
        <v>2991</v>
      </c>
    </row>
    <row r="49" spans="1:22" x14ac:dyDescent="0.35">
      <c r="A49">
        <v>2023</v>
      </c>
      <c r="B49" t="s">
        <v>772</v>
      </c>
      <c r="C49" t="s">
        <v>27</v>
      </c>
      <c r="D49" t="s">
        <v>28</v>
      </c>
      <c r="E49" t="s">
        <v>1166</v>
      </c>
      <c r="G49" s="37" t="s">
        <v>11</v>
      </c>
      <c r="H49" s="37" t="s">
        <v>23</v>
      </c>
      <c r="I49" t="s">
        <v>16</v>
      </c>
      <c r="J49" s="28" t="s">
        <v>1570</v>
      </c>
      <c r="K49" s="28" t="s">
        <v>1571</v>
      </c>
      <c r="L49" s="28" t="s">
        <v>3031</v>
      </c>
      <c r="M49">
        <v>3.9</v>
      </c>
      <c r="N49" t="s">
        <v>1641</v>
      </c>
      <c r="O49">
        <v>4.37</v>
      </c>
      <c r="P49" t="s">
        <v>1567</v>
      </c>
      <c r="Q49">
        <v>0.55000000000000004</v>
      </c>
      <c r="R49" t="s">
        <v>1841</v>
      </c>
      <c r="V49" t="s">
        <v>2991</v>
      </c>
    </row>
    <row r="50" spans="1:22" x14ac:dyDescent="0.35">
      <c r="A50">
        <v>2023</v>
      </c>
      <c r="B50" t="s">
        <v>772</v>
      </c>
      <c r="C50" t="s">
        <v>27</v>
      </c>
      <c r="D50" t="s">
        <v>28</v>
      </c>
      <c r="E50" t="s">
        <v>1166</v>
      </c>
      <c r="G50" s="37" t="s">
        <v>11</v>
      </c>
      <c r="H50" s="37" t="s">
        <v>23</v>
      </c>
      <c r="I50" t="s">
        <v>16</v>
      </c>
      <c r="J50" s="28" t="s">
        <v>1570</v>
      </c>
      <c r="K50" s="28" t="s">
        <v>1572</v>
      </c>
      <c r="L50" s="28" t="s">
        <v>3031</v>
      </c>
      <c r="M50">
        <v>60</v>
      </c>
      <c r="N50" t="s">
        <v>1641</v>
      </c>
      <c r="O50">
        <v>1.49</v>
      </c>
      <c r="P50" t="s">
        <v>1567</v>
      </c>
      <c r="Q50">
        <v>2.9</v>
      </c>
      <c r="R50" t="s">
        <v>1841</v>
      </c>
      <c r="V50" t="s">
        <v>2991</v>
      </c>
    </row>
    <row r="51" spans="1:22" x14ac:dyDescent="0.35">
      <c r="A51">
        <v>2023</v>
      </c>
      <c r="B51" t="s">
        <v>772</v>
      </c>
      <c r="C51" t="s">
        <v>27</v>
      </c>
      <c r="D51" t="s">
        <v>28</v>
      </c>
      <c r="E51" t="s">
        <v>1166</v>
      </c>
      <c r="G51" s="37" t="s">
        <v>11</v>
      </c>
      <c r="H51" s="37" t="s">
        <v>23</v>
      </c>
      <c r="I51" t="s">
        <v>16</v>
      </c>
      <c r="J51" s="28" t="s">
        <v>1570</v>
      </c>
      <c r="K51" s="28" t="s">
        <v>1573</v>
      </c>
      <c r="L51" s="28" t="s">
        <v>3031</v>
      </c>
      <c r="M51">
        <v>8.5</v>
      </c>
      <c r="N51" t="s">
        <v>1641</v>
      </c>
      <c r="O51">
        <v>2.2999999999999998</v>
      </c>
      <c r="P51" t="s">
        <v>1567</v>
      </c>
      <c r="Q51">
        <v>0.62</v>
      </c>
      <c r="R51" t="s">
        <v>1841</v>
      </c>
      <c r="V51" t="s">
        <v>2991</v>
      </c>
    </row>
    <row r="52" spans="1:22" x14ac:dyDescent="0.35">
      <c r="A52">
        <v>2024</v>
      </c>
      <c r="B52" t="s">
        <v>772</v>
      </c>
      <c r="C52" t="s">
        <v>145</v>
      </c>
      <c r="D52" t="s">
        <v>146</v>
      </c>
      <c r="E52" t="s">
        <v>1172</v>
      </c>
      <c r="G52" s="37" t="s">
        <v>11</v>
      </c>
      <c r="H52" s="37" t="s">
        <v>148</v>
      </c>
      <c r="I52" t="s">
        <v>147</v>
      </c>
      <c r="J52" s="28" t="s">
        <v>1564</v>
      </c>
      <c r="K52" s="28" t="s">
        <v>1574</v>
      </c>
      <c r="L52" s="28" t="s">
        <v>3031</v>
      </c>
      <c r="N52" t="s">
        <v>1641</v>
      </c>
      <c r="P52" t="s">
        <v>1814</v>
      </c>
      <c r="R52" t="s">
        <v>1815</v>
      </c>
      <c r="V52" t="s">
        <v>2992</v>
      </c>
    </row>
    <row r="53" spans="1:22" x14ac:dyDescent="0.35">
      <c r="A53">
        <v>2024</v>
      </c>
      <c r="B53" t="s">
        <v>772</v>
      </c>
      <c r="C53" t="s">
        <v>208</v>
      </c>
      <c r="D53" t="s">
        <v>209</v>
      </c>
      <c r="E53" t="s">
        <v>1175</v>
      </c>
      <c r="G53" s="37" t="s">
        <v>11</v>
      </c>
      <c r="H53" s="37" t="s">
        <v>44</v>
      </c>
      <c r="I53" t="s">
        <v>210</v>
      </c>
      <c r="J53" t="s">
        <v>1564</v>
      </c>
      <c r="K53" t="s">
        <v>1565</v>
      </c>
      <c r="L53" s="28" t="s">
        <v>3031</v>
      </c>
      <c r="M53">
        <v>322</v>
      </c>
      <c r="N53" t="s">
        <v>1566</v>
      </c>
      <c r="O53">
        <v>16.68</v>
      </c>
      <c r="P53" t="s">
        <v>1652</v>
      </c>
      <c r="Q53">
        <v>118.4</v>
      </c>
      <c r="R53" t="s">
        <v>1713</v>
      </c>
      <c r="T53">
        <v>98.7</v>
      </c>
      <c r="V53" t="s">
        <v>1648</v>
      </c>
    </row>
    <row r="54" spans="1:22" x14ac:dyDescent="0.35">
      <c r="A54">
        <v>2024</v>
      </c>
      <c r="B54" t="s">
        <v>772</v>
      </c>
      <c r="C54" t="s">
        <v>208</v>
      </c>
      <c r="D54" t="s">
        <v>209</v>
      </c>
      <c r="E54" t="s">
        <v>1175</v>
      </c>
      <c r="G54" s="37" t="s">
        <v>11</v>
      </c>
      <c r="H54" s="37" t="s">
        <v>44</v>
      </c>
      <c r="I54" t="s">
        <v>210</v>
      </c>
      <c r="J54" t="s">
        <v>1564</v>
      </c>
      <c r="K54" t="s">
        <v>1574</v>
      </c>
      <c r="L54" s="28" t="s">
        <v>3031</v>
      </c>
      <c r="M54">
        <v>229.4</v>
      </c>
      <c r="N54" t="s">
        <v>1566</v>
      </c>
      <c r="O54">
        <v>14.73</v>
      </c>
      <c r="P54" t="s">
        <v>1652</v>
      </c>
      <c r="Q54">
        <v>74.5</v>
      </c>
      <c r="R54" t="s">
        <v>1713</v>
      </c>
      <c r="T54">
        <v>98.7</v>
      </c>
      <c r="V54" t="s">
        <v>1648</v>
      </c>
    </row>
    <row r="55" spans="1:22" x14ac:dyDescent="0.35">
      <c r="A55">
        <v>2024</v>
      </c>
      <c r="B55" t="s">
        <v>772</v>
      </c>
      <c r="C55" t="s">
        <v>208</v>
      </c>
      <c r="D55" t="s">
        <v>209</v>
      </c>
      <c r="E55" t="s">
        <v>1175</v>
      </c>
      <c r="G55" s="37" t="s">
        <v>11</v>
      </c>
      <c r="H55" s="37" t="s">
        <v>44</v>
      </c>
      <c r="I55" t="s">
        <v>210</v>
      </c>
      <c r="J55" t="s">
        <v>1570</v>
      </c>
      <c r="K55" t="s">
        <v>1571</v>
      </c>
      <c r="L55" s="28" t="s">
        <v>3031</v>
      </c>
      <c r="M55">
        <v>75.5</v>
      </c>
      <c r="N55" t="s">
        <v>1566</v>
      </c>
      <c r="O55">
        <v>4.88</v>
      </c>
      <c r="P55" t="s">
        <v>1652</v>
      </c>
      <c r="Q55">
        <v>8.1</v>
      </c>
      <c r="R55" t="s">
        <v>1713</v>
      </c>
      <c r="V55" t="s">
        <v>1648</v>
      </c>
    </row>
    <row r="56" spans="1:22" x14ac:dyDescent="0.35">
      <c r="A56">
        <v>2024</v>
      </c>
      <c r="B56" t="s">
        <v>772</v>
      </c>
      <c r="C56" t="s">
        <v>208</v>
      </c>
      <c r="D56" t="s">
        <v>209</v>
      </c>
      <c r="E56" t="s">
        <v>1175</v>
      </c>
      <c r="G56" s="37" t="s">
        <v>11</v>
      </c>
      <c r="H56" s="37" t="s">
        <v>44</v>
      </c>
      <c r="I56" t="s">
        <v>210</v>
      </c>
      <c r="J56" t="s">
        <v>1570</v>
      </c>
      <c r="K56" t="s">
        <v>1572</v>
      </c>
      <c r="L56" s="28" t="s">
        <v>3031</v>
      </c>
      <c r="M56">
        <v>141.30000000000001</v>
      </c>
      <c r="N56" t="s">
        <v>1566</v>
      </c>
      <c r="O56">
        <v>4.95</v>
      </c>
      <c r="P56" t="s">
        <v>1652</v>
      </c>
      <c r="Q56">
        <v>15.4</v>
      </c>
      <c r="R56" t="s">
        <v>1713</v>
      </c>
      <c r="V56" t="s">
        <v>1648</v>
      </c>
    </row>
    <row r="57" spans="1:22" x14ac:dyDescent="0.35">
      <c r="A57">
        <v>2024</v>
      </c>
      <c r="B57" t="s">
        <v>772</v>
      </c>
      <c r="C57" t="s">
        <v>208</v>
      </c>
      <c r="D57" t="s">
        <v>209</v>
      </c>
      <c r="E57" t="s">
        <v>1175</v>
      </c>
      <c r="G57" s="37" t="s">
        <v>11</v>
      </c>
      <c r="H57" s="37" t="s">
        <v>44</v>
      </c>
      <c r="I57" t="s">
        <v>210</v>
      </c>
      <c r="J57" t="s">
        <v>1570</v>
      </c>
      <c r="K57" t="s">
        <v>1573</v>
      </c>
      <c r="L57" s="28" t="s">
        <v>3031</v>
      </c>
      <c r="M57">
        <v>163.4</v>
      </c>
      <c r="N57" t="s">
        <v>1566</v>
      </c>
      <c r="O57">
        <v>5.55</v>
      </c>
      <c r="P57" t="s">
        <v>1652</v>
      </c>
      <c r="Q57">
        <v>20</v>
      </c>
      <c r="R57" t="s">
        <v>1713</v>
      </c>
      <c r="V57" t="s">
        <v>1648</v>
      </c>
    </row>
    <row r="58" spans="1:22" x14ac:dyDescent="0.35">
      <c r="A58">
        <v>2024</v>
      </c>
      <c r="B58" t="s">
        <v>772</v>
      </c>
      <c r="C58" t="s">
        <v>208</v>
      </c>
      <c r="D58" t="s">
        <v>211</v>
      </c>
      <c r="E58" t="s">
        <v>1177</v>
      </c>
      <c r="G58" s="37" t="s">
        <v>11</v>
      </c>
      <c r="H58" s="37" t="s">
        <v>21</v>
      </c>
      <c r="I58" t="s">
        <v>210</v>
      </c>
      <c r="J58" t="s">
        <v>1564</v>
      </c>
      <c r="K58" t="s">
        <v>1565</v>
      </c>
      <c r="L58" s="28" t="s">
        <v>3031</v>
      </c>
      <c r="M58">
        <v>61.1</v>
      </c>
      <c r="N58" t="s">
        <v>1566</v>
      </c>
      <c r="O58">
        <v>0.52</v>
      </c>
      <c r="P58" t="s">
        <v>1652</v>
      </c>
      <c r="Q58">
        <v>0.7</v>
      </c>
      <c r="R58" t="s">
        <v>1713</v>
      </c>
      <c r="T58">
        <v>95</v>
      </c>
      <c r="V58" t="s">
        <v>1648</v>
      </c>
    </row>
    <row r="59" spans="1:22" x14ac:dyDescent="0.35">
      <c r="A59">
        <v>2024</v>
      </c>
      <c r="B59" t="s">
        <v>772</v>
      </c>
      <c r="C59" t="s">
        <v>208</v>
      </c>
      <c r="D59" t="s">
        <v>212</v>
      </c>
      <c r="E59" t="s">
        <v>1176</v>
      </c>
      <c r="G59" s="37" t="s">
        <v>11</v>
      </c>
      <c r="H59" s="37" t="s">
        <v>44</v>
      </c>
      <c r="I59" t="s">
        <v>210</v>
      </c>
      <c r="J59" t="s">
        <v>1564</v>
      </c>
      <c r="K59" t="s">
        <v>1565</v>
      </c>
      <c r="L59" s="28" t="s">
        <v>3031</v>
      </c>
      <c r="M59">
        <v>1970.3</v>
      </c>
      <c r="N59" t="s">
        <v>1566</v>
      </c>
      <c r="O59">
        <v>6.81</v>
      </c>
      <c r="P59" t="s">
        <v>1652</v>
      </c>
      <c r="Q59">
        <v>295.8</v>
      </c>
      <c r="R59" t="s">
        <v>1713</v>
      </c>
      <c r="T59">
        <v>99.2</v>
      </c>
      <c r="V59" t="s">
        <v>1648</v>
      </c>
    </row>
    <row r="60" spans="1:22" x14ac:dyDescent="0.35">
      <c r="A60">
        <v>2024</v>
      </c>
      <c r="B60" t="s">
        <v>772</v>
      </c>
      <c r="C60" t="s">
        <v>208</v>
      </c>
      <c r="D60" t="s">
        <v>212</v>
      </c>
      <c r="E60" t="s">
        <v>1176</v>
      </c>
      <c r="G60" s="37" t="s">
        <v>11</v>
      </c>
      <c r="H60" s="37" t="s">
        <v>44</v>
      </c>
      <c r="I60" t="s">
        <v>210</v>
      </c>
      <c r="J60" t="s">
        <v>1564</v>
      </c>
      <c r="K60" t="s">
        <v>1574</v>
      </c>
      <c r="L60" s="28" t="s">
        <v>3031</v>
      </c>
      <c r="M60">
        <v>520.4</v>
      </c>
      <c r="N60" t="s">
        <v>1566</v>
      </c>
      <c r="O60">
        <v>5.56</v>
      </c>
      <c r="P60" t="s">
        <v>1652</v>
      </c>
      <c r="Q60">
        <v>63.7</v>
      </c>
      <c r="R60" t="s">
        <v>1713</v>
      </c>
      <c r="T60">
        <v>99.2</v>
      </c>
      <c r="V60" t="s">
        <v>1648</v>
      </c>
    </row>
    <row r="61" spans="1:22" x14ac:dyDescent="0.35">
      <c r="A61">
        <v>2024</v>
      </c>
      <c r="B61" t="s">
        <v>772</v>
      </c>
      <c r="C61" t="s">
        <v>208</v>
      </c>
      <c r="D61" t="s">
        <v>212</v>
      </c>
      <c r="E61" t="s">
        <v>1176</v>
      </c>
      <c r="G61" s="37" t="s">
        <v>11</v>
      </c>
      <c r="H61" s="37" t="s">
        <v>44</v>
      </c>
      <c r="I61" t="s">
        <v>210</v>
      </c>
      <c r="J61" t="s">
        <v>1570</v>
      </c>
      <c r="K61" t="s">
        <v>1571</v>
      </c>
      <c r="L61" s="28" t="s">
        <v>3031</v>
      </c>
      <c r="M61">
        <v>71.8</v>
      </c>
      <c r="N61" t="s">
        <v>1566</v>
      </c>
      <c r="O61">
        <v>2.2799999999999998</v>
      </c>
      <c r="P61" t="s">
        <v>1652</v>
      </c>
      <c r="Q61">
        <v>3.6</v>
      </c>
      <c r="R61" t="s">
        <v>1713</v>
      </c>
      <c r="V61" t="s">
        <v>1648</v>
      </c>
    </row>
    <row r="62" spans="1:22" x14ac:dyDescent="0.35">
      <c r="A62">
        <v>2024</v>
      </c>
      <c r="B62" t="s">
        <v>772</v>
      </c>
      <c r="C62" t="s">
        <v>208</v>
      </c>
      <c r="D62" t="s">
        <v>212</v>
      </c>
      <c r="E62" t="s">
        <v>1176</v>
      </c>
      <c r="G62" s="37" t="s">
        <v>11</v>
      </c>
      <c r="H62" s="37" t="s">
        <v>44</v>
      </c>
      <c r="I62" t="s">
        <v>210</v>
      </c>
      <c r="J62" t="s">
        <v>1570</v>
      </c>
      <c r="K62" t="s">
        <v>1572</v>
      </c>
      <c r="L62" s="28" t="s">
        <v>3031</v>
      </c>
      <c r="M62">
        <v>60.3</v>
      </c>
      <c r="N62" t="s">
        <v>1566</v>
      </c>
      <c r="O62">
        <v>2.31</v>
      </c>
      <c r="P62" t="s">
        <v>1652</v>
      </c>
      <c r="Q62">
        <v>3.1</v>
      </c>
      <c r="R62" t="s">
        <v>1713</v>
      </c>
      <c r="V62" t="s">
        <v>1648</v>
      </c>
    </row>
    <row r="63" spans="1:22" x14ac:dyDescent="0.35">
      <c r="A63">
        <v>2024</v>
      </c>
      <c r="B63" t="s">
        <v>772</v>
      </c>
      <c r="C63" t="s">
        <v>208</v>
      </c>
      <c r="D63" t="s">
        <v>212</v>
      </c>
      <c r="E63" t="s">
        <v>1176</v>
      </c>
      <c r="G63" s="37" t="s">
        <v>11</v>
      </c>
      <c r="H63" s="37" t="s">
        <v>44</v>
      </c>
      <c r="I63" t="s">
        <v>210</v>
      </c>
      <c r="J63" t="s">
        <v>1570</v>
      </c>
      <c r="K63" t="s">
        <v>1573</v>
      </c>
      <c r="L63" s="28" t="s">
        <v>3031</v>
      </c>
      <c r="M63">
        <v>36.4</v>
      </c>
      <c r="N63" t="s">
        <v>1566</v>
      </c>
      <c r="O63">
        <v>2.95</v>
      </c>
      <c r="P63" t="s">
        <v>1652</v>
      </c>
      <c r="Q63">
        <v>2.4</v>
      </c>
      <c r="R63" t="s">
        <v>1713</v>
      </c>
      <c r="V63" t="s">
        <v>1648</v>
      </c>
    </row>
    <row r="64" spans="1:22" x14ac:dyDescent="0.35">
      <c r="A64">
        <v>2024</v>
      </c>
      <c r="B64" t="s">
        <v>772</v>
      </c>
      <c r="C64" t="s">
        <v>793</v>
      </c>
      <c r="D64" t="s">
        <v>129</v>
      </c>
      <c r="E64" t="s">
        <v>1190</v>
      </c>
      <c r="G64" s="37" t="s">
        <v>11</v>
      </c>
      <c r="H64" s="37" t="s">
        <v>19</v>
      </c>
      <c r="I64" t="s">
        <v>16</v>
      </c>
      <c r="J64" t="s">
        <v>1564</v>
      </c>
      <c r="K64" s="28" t="s">
        <v>1565</v>
      </c>
      <c r="L64" s="28" t="s">
        <v>3031</v>
      </c>
      <c r="M64">
        <v>187961</v>
      </c>
      <c r="N64" t="s">
        <v>1566</v>
      </c>
      <c r="O64">
        <v>0.34</v>
      </c>
      <c r="P64" t="s">
        <v>1567</v>
      </c>
      <c r="Q64">
        <v>2056</v>
      </c>
      <c r="R64" t="s">
        <v>1548</v>
      </c>
      <c r="V64" t="s">
        <v>2991</v>
      </c>
    </row>
    <row r="65" spans="1:22" x14ac:dyDescent="0.35">
      <c r="A65">
        <v>2024</v>
      </c>
      <c r="B65" t="s">
        <v>772</v>
      </c>
      <c r="C65" t="s">
        <v>793</v>
      </c>
      <c r="D65" t="s">
        <v>129</v>
      </c>
      <c r="E65" t="s">
        <v>1190</v>
      </c>
      <c r="G65" s="37" t="s">
        <v>11</v>
      </c>
      <c r="H65" s="37" t="s">
        <v>19</v>
      </c>
      <c r="I65" t="s">
        <v>16</v>
      </c>
      <c r="J65" t="s">
        <v>1564</v>
      </c>
      <c r="K65" s="28" t="s">
        <v>1574</v>
      </c>
      <c r="L65" s="28" t="s">
        <v>3031</v>
      </c>
      <c r="M65">
        <v>76551</v>
      </c>
      <c r="N65" t="s">
        <v>1566</v>
      </c>
      <c r="O65">
        <v>0.31</v>
      </c>
      <c r="P65" t="s">
        <v>1567</v>
      </c>
      <c r="Q65">
        <v>770</v>
      </c>
      <c r="R65" t="s">
        <v>1548</v>
      </c>
      <c r="V65" t="s">
        <v>2991</v>
      </c>
    </row>
    <row r="66" spans="1:22" x14ac:dyDescent="0.35">
      <c r="A66">
        <v>2024</v>
      </c>
      <c r="B66" t="s">
        <v>772</v>
      </c>
      <c r="C66" t="s">
        <v>793</v>
      </c>
      <c r="D66" t="s">
        <v>129</v>
      </c>
      <c r="E66" t="s">
        <v>1190</v>
      </c>
      <c r="G66" s="37" t="s">
        <v>11</v>
      </c>
      <c r="H66" s="37" t="s">
        <v>19</v>
      </c>
      <c r="I66" t="s">
        <v>125</v>
      </c>
      <c r="J66" t="s">
        <v>1564</v>
      </c>
      <c r="K66" s="28" t="s">
        <v>1565</v>
      </c>
      <c r="L66" s="28" t="s">
        <v>3031</v>
      </c>
      <c r="M66" t="s">
        <v>707</v>
      </c>
      <c r="N66" t="s">
        <v>1566</v>
      </c>
      <c r="O66" s="25">
        <v>0.19</v>
      </c>
      <c r="P66" t="s">
        <v>1589</v>
      </c>
      <c r="Q66">
        <v>808</v>
      </c>
      <c r="R66" t="s">
        <v>1713</v>
      </c>
      <c r="V66" t="s">
        <v>2991</v>
      </c>
    </row>
    <row r="67" spans="1:22" x14ac:dyDescent="0.35">
      <c r="A67">
        <v>2024</v>
      </c>
      <c r="B67" t="s">
        <v>772</v>
      </c>
      <c r="C67" t="s">
        <v>793</v>
      </c>
      <c r="D67" t="s">
        <v>129</v>
      </c>
      <c r="E67" t="s">
        <v>1190</v>
      </c>
      <c r="G67" s="37" t="s">
        <v>11</v>
      </c>
      <c r="H67" s="37" t="s">
        <v>19</v>
      </c>
      <c r="I67" t="s">
        <v>125</v>
      </c>
      <c r="J67" t="s">
        <v>1564</v>
      </c>
      <c r="K67" s="28" t="s">
        <v>1574</v>
      </c>
      <c r="L67" s="28" t="s">
        <v>3031</v>
      </c>
      <c r="M67" t="s">
        <v>707</v>
      </c>
      <c r="N67" t="s">
        <v>1566</v>
      </c>
      <c r="O67">
        <v>0.2</v>
      </c>
      <c r="P67" t="s">
        <v>1589</v>
      </c>
      <c r="Q67">
        <v>342</v>
      </c>
      <c r="R67" t="s">
        <v>1713</v>
      </c>
      <c r="V67" t="s">
        <v>2991</v>
      </c>
    </row>
    <row r="68" spans="1:22" x14ac:dyDescent="0.35">
      <c r="A68">
        <v>2024</v>
      </c>
      <c r="B68" t="s">
        <v>772</v>
      </c>
      <c r="C68" t="s">
        <v>793</v>
      </c>
      <c r="D68" t="s">
        <v>129</v>
      </c>
      <c r="E68" t="s">
        <v>1190</v>
      </c>
      <c r="G68" s="37" t="s">
        <v>11</v>
      </c>
      <c r="H68" s="37" t="s">
        <v>19</v>
      </c>
      <c r="I68" t="s">
        <v>1882</v>
      </c>
      <c r="J68" t="s">
        <v>1564</v>
      </c>
      <c r="K68" s="28" t="s">
        <v>1565</v>
      </c>
      <c r="L68" s="28" t="s">
        <v>3031</v>
      </c>
      <c r="M68">
        <v>187961</v>
      </c>
      <c r="N68" t="s">
        <v>1566</v>
      </c>
      <c r="V68" t="s">
        <v>2991</v>
      </c>
    </row>
    <row r="69" spans="1:22" x14ac:dyDescent="0.35">
      <c r="A69">
        <v>2024</v>
      </c>
      <c r="B69" t="s">
        <v>772</v>
      </c>
      <c r="C69" t="s">
        <v>793</v>
      </c>
      <c r="D69" t="s">
        <v>129</v>
      </c>
      <c r="E69" t="s">
        <v>1190</v>
      </c>
      <c r="G69" s="37" t="s">
        <v>11</v>
      </c>
      <c r="H69" s="37" t="s">
        <v>19</v>
      </c>
      <c r="I69" t="s">
        <v>1882</v>
      </c>
      <c r="J69" t="s">
        <v>1564</v>
      </c>
      <c r="K69" s="28" t="s">
        <v>1574</v>
      </c>
      <c r="L69" s="28" t="s">
        <v>3031</v>
      </c>
      <c r="M69">
        <v>76551</v>
      </c>
      <c r="N69" t="s">
        <v>1566</v>
      </c>
      <c r="V69" t="s">
        <v>2991</v>
      </c>
    </row>
    <row r="70" spans="1:22" x14ac:dyDescent="0.35">
      <c r="A70">
        <v>2024</v>
      </c>
      <c r="B70" t="s">
        <v>772</v>
      </c>
      <c r="C70" t="s">
        <v>793</v>
      </c>
      <c r="D70" t="s">
        <v>129</v>
      </c>
      <c r="E70" t="s">
        <v>1190</v>
      </c>
      <c r="G70" s="37" t="s">
        <v>11</v>
      </c>
      <c r="H70" s="37" t="s">
        <v>19</v>
      </c>
      <c r="I70" t="s">
        <v>16</v>
      </c>
      <c r="J70" t="s">
        <v>1570</v>
      </c>
      <c r="K70" s="28" t="s">
        <v>1571</v>
      </c>
      <c r="L70" s="28" t="s">
        <v>3031</v>
      </c>
      <c r="M70">
        <v>91827</v>
      </c>
      <c r="N70" t="s">
        <v>1566</v>
      </c>
      <c r="O70">
        <v>0.25</v>
      </c>
      <c r="P70" t="s">
        <v>1567</v>
      </c>
      <c r="Q70">
        <v>743</v>
      </c>
      <c r="R70" t="s">
        <v>1550</v>
      </c>
      <c r="V70" t="s">
        <v>2991</v>
      </c>
    </row>
    <row r="71" spans="1:22" x14ac:dyDescent="0.35">
      <c r="A71">
        <v>2024</v>
      </c>
      <c r="B71" t="s">
        <v>772</v>
      </c>
      <c r="C71" t="s">
        <v>793</v>
      </c>
      <c r="D71" t="s">
        <v>129</v>
      </c>
      <c r="E71" t="s">
        <v>1190</v>
      </c>
      <c r="G71" s="37" t="s">
        <v>11</v>
      </c>
      <c r="H71" s="37" t="s">
        <v>19</v>
      </c>
      <c r="I71" t="s">
        <v>16</v>
      </c>
      <c r="J71" t="s">
        <v>1570</v>
      </c>
      <c r="K71" s="28" t="s">
        <v>1572</v>
      </c>
      <c r="L71" s="28" t="s">
        <v>3031</v>
      </c>
      <c r="M71">
        <v>92144</v>
      </c>
      <c r="N71" t="s">
        <v>1566</v>
      </c>
      <c r="O71">
        <v>0.28000000000000003</v>
      </c>
      <c r="P71" t="s">
        <v>1567</v>
      </c>
      <c r="Q71">
        <v>824</v>
      </c>
      <c r="R71" t="s">
        <v>1550</v>
      </c>
      <c r="V71" t="s">
        <v>2991</v>
      </c>
    </row>
    <row r="72" spans="1:22" x14ac:dyDescent="0.35">
      <c r="A72">
        <v>2024</v>
      </c>
      <c r="B72" t="s">
        <v>772</v>
      </c>
      <c r="C72" t="s">
        <v>793</v>
      </c>
      <c r="D72" t="s">
        <v>129</v>
      </c>
      <c r="E72" t="s">
        <v>1190</v>
      </c>
      <c r="G72" s="37" t="s">
        <v>11</v>
      </c>
      <c r="H72" s="37" t="s">
        <v>19</v>
      </c>
      <c r="I72" t="s">
        <v>16</v>
      </c>
      <c r="J72" t="s">
        <v>1570</v>
      </c>
      <c r="K72" s="28" t="s">
        <v>1573</v>
      </c>
      <c r="L72" s="28" t="s">
        <v>3031</v>
      </c>
      <c r="M72">
        <v>27924</v>
      </c>
      <c r="N72" t="s">
        <v>1566</v>
      </c>
      <c r="O72">
        <v>0.44</v>
      </c>
      <c r="P72" t="s">
        <v>1567</v>
      </c>
      <c r="Q72">
        <v>395</v>
      </c>
      <c r="R72" t="s">
        <v>1550</v>
      </c>
      <c r="V72" t="s">
        <v>2991</v>
      </c>
    </row>
    <row r="73" spans="1:22" x14ac:dyDescent="0.35">
      <c r="A73">
        <v>2024</v>
      </c>
      <c r="B73" t="s">
        <v>772</v>
      </c>
      <c r="C73" t="s">
        <v>793</v>
      </c>
      <c r="D73" t="s">
        <v>129</v>
      </c>
      <c r="E73" t="s">
        <v>1190</v>
      </c>
      <c r="G73" s="37" t="s">
        <v>11</v>
      </c>
      <c r="H73" s="37" t="s">
        <v>19</v>
      </c>
      <c r="I73" t="s">
        <v>1882</v>
      </c>
      <c r="J73" t="s">
        <v>1570</v>
      </c>
      <c r="K73" s="28" t="s">
        <v>1571</v>
      </c>
      <c r="L73" s="28" t="s">
        <v>3031</v>
      </c>
      <c r="M73">
        <v>91827</v>
      </c>
      <c r="N73" t="s">
        <v>1566</v>
      </c>
      <c r="V73" t="s">
        <v>2991</v>
      </c>
    </row>
    <row r="74" spans="1:22" x14ac:dyDescent="0.35">
      <c r="A74">
        <v>2024</v>
      </c>
      <c r="B74" t="s">
        <v>772</v>
      </c>
      <c r="C74" t="s">
        <v>793</v>
      </c>
      <c r="D74" t="s">
        <v>129</v>
      </c>
      <c r="E74" t="s">
        <v>1190</v>
      </c>
      <c r="G74" s="37" t="s">
        <v>11</v>
      </c>
      <c r="H74" s="37" t="s">
        <v>19</v>
      </c>
      <c r="I74" t="s">
        <v>1882</v>
      </c>
      <c r="J74" t="s">
        <v>1570</v>
      </c>
      <c r="K74" s="28" t="s">
        <v>1572</v>
      </c>
      <c r="L74" s="28" t="s">
        <v>3031</v>
      </c>
      <c r="M74">
        <v>92144</v>
      </c>
      <c r="N74" t="s">
        <v>1566</v>
      </c>
      <c r="V74" t="s">
        <v>2991</v>
      </c>
    </row>
    <row r="75" spans="1:22" x14ac:dyDescent="0.35">
      <c r="A75">
        <v>2024</v>
      </c>
      <c r="B75" t="s">
        <v>772</v>
      </c>
      <c r="C75" t="s">
        <v>793</v>
      </c>
      <c r="D75" t="s">
        <v>129</v>
      </c>
      <c r="E75" t="s">
        <v>1190</v>
      </c>
      <c r="G75" s="37" t="s">
        <v>11</v>
      </c>
      <c r="H75" s="37" t="s">
        <v>19</v>
      </c>
      <c r="I75" t="s">
        <v>1882</v>
      </c>
      <c r="J75" t="s">
        <v>1570</v>
      </c>
      <c r="K75" s="28" t="s">
        <v>1573</v>
      </c>
      <c r="L75" s="28" t="s">
        <v>3031</v>
      </c>
      <c r="M75">
        <v>27924</v>
      </c>
      <c r="N75" t="s">
        <v>1566</v>
      </c>
      <c r="V75" t="s">
        <v>2991</v>
      </c>
    </row>
    <row r="76" spans="1:22" x14ac:dyDescent="0.35">
      <c r="A76">
        <v>2024</v>
      </c>
      <c r="B76" t="s">
        <v>772</v>
      </c>
      <c r="C76" t="s">
        <v>793</v>
      </c>
      <c r="D76" t="s">
        <v>129</v>
      </c>
      <c r="E76" t="s">
        <v>1190</v>
      </c>
      <c r="G76" s="37" t="s">
        <v>11</v>
      </c>
      <c r="H76" s="37" t="s">
        <v>19</v>
      </c>
      <c r="I76" t="s">
        <v>125</v>
      </c>
      <c r="J76" t="s">
        <v>1570</v>
      </c>
      <c r="K76" s="28" t="s">
        <v>1571</v>
      </c>
      <c r="L76" s="28" t="s">
        <v>3031</v>
      </c>
      <c r="M76" t="s">
        <v>707</v>
      </c>
      <c r="N76" t="s">
        <v>1566</v>
      </c>
      <c r="O76">
        <v>0.19</v>
      </c>
      <c r="P76" t="s">
        <v>1589</v>
      </c>
      <c r="Q76">
        <v>384</v>
      </c>
      <c r="R76" t="s">
        <v>1713</v>
      </c>
      <c r="V76" t="s">
        <v>2991</v>
      </c>
    </row>
    <row r="77" spans="1:22" x14ac:dyDescent="0.35">
      <c r="A77">
        <v>2024</v>
      </c>
      <c r="B77" t="s">
        <v>772</v>
      </c>
      <c r="C77" t="s">
        <v>793</v>
      </c>
      <c r="D77" t="s">
        <v>129</v>
      </c>
      <c r="E77" t="s">
        <v>1190</v>
      </c>
      <c r="G77" s="37" t="s">
        <v>11</v>
      </c>
      <c r="H77" s="37" t="s">
        <v>19</v>
      </c>
      <c r="I77" t="s">
        <v>125</v>
      </c>
      <c r="J77" t="s">
        <v>1570</v>
      </c>
      <c r="K77" s="28" t="s">
        <v>1572</v>
      </c>
      <c r="L77" s="28" t="s">
        <v>3031</v>
      </c>
      <c r="M77" t="s">
        <v>707</v>
      </c>
      <c r="N77" t="s">
        <v>1566</v>
      </c>
      <c r="O77">
        <v>0.17</v>
      </c>
      <c r="P77" t="s">
        <v>1589</v>
      </c>
      <c r="Q77">
        <v>348</v>
      </c>
      <c r="R77" t="s">
        <v>1713</v>
      </c>
      <c r="V77" t="s">
        <v>2991</v>
      </c>
    </row>
    <row r="78" spans="1:22" x14ac:dyDescent="0.35">
      <c r="A78">
        <v>2024</v>
      </c>
      <c r="B78" t="s">
        <v>772</v>
      </c>
      <c r="C78" t="s">
        <v>793</v>
      </c>
      <c r="D78" t="s">
        <v>129</v>
      </c>
      <c r="E78" t="s">
        <v>1190</v>
      </c>
      <c r="G78" s="37" t="s">
        <v>11</v>
      </c>
      <c r="H78" s="37" t="s">
        <v>19</v>
      </c>
      <c r="I78" t="s">
        <v>125</v>
      </c>
      <c r="J78" t="s">
        <v>1570</v>
      </c>
      <c r="K78" s="28" t="s">
        <v>1573</v>
      </c>
      <c r="L78" s="28" t="s">
        <v>3031</v>
      </c>
      <c r="M78" t="s">
        <v>707</v>
      </c>
      <c r="N78" t="s">
        <v>1566</v>
      </c>
      <c r="O78">
        <v>0.12</v>
      </c>
      <c r="P78" t="s">
        <v>1589</v>
      </c>
      <c r="Q78">
        <v>74</v>
      </c>
      <c r="R78" t="s">
        <v>1713</v>
      </c>
      <c r="V78" t="s">
        <v>2991</v>
      </c>
    </row>
    <row r="79" spans="1:22" x14ac:dyDescent="0.35">
      <c r="A79">
        <v>2023</v>
      </c>
      <c r="B79" t="s">
        <v>772</v>
      </c>
      <c r="C79" t="s">
        <v>795</v>
      </c>
      <c r="D79" t="s">
        <v>162</v>
      </c>
      <c r="E79" t="s">
        <v>1192</v>
      </c>
      <c r="G79" s="37" t="s">
        <v>11</v>
      </c>
      <c r="H79" s="37" t="s">
        <v>34</v>
      </c>
      <c r="I79" t="s">
        <v>157</v>
      </c>
      <c r="J79" t="s">
        <v>1570</v>
      </c>
      <c r="K79" t="s">
        <v>1571</v>
      </c>
      <c r="L79" s="28" t="s">
        <v>3031</v>
      </c>
      <c r="M79">
        <v>186.7</v>
      </c>
      <c r="N79" t="s">
        <v>1641</v>
      </c>
      <c r="O79">
        <v>30.4</v>
      </c>
      <c r="P79" t="s">
        <v>1589</v>
      </c>
      <c r="V79" t="s">
        <v>2499</v>
      </c>
    </row>
    <row r="80" spans="1:22" x14ac:dyDescent="0.35">
      <c r="A80">
        <v>2023</v>
      </c>
      <c r="B80" t="s">
        <v>772</v>
      </c>
      <c r="C80" t="s">
        <v>795</v>
      </c>
      <c r="D80" t="s">
        <v>162</v>
      </c>
      <c r="E80" t="s">
        <v>1192</v>
      </c>
      <c r="G80" s="37" t="s">
        <v>11</v>
      </c>
      <c r="H80" s="37" t="s">
        <v>34</v>
      </c>
      <c r="I80" t="s">
        <v>2955</v>
      </c>
      <c r="J80" t="s">
        <v>1570</v>
      </c>
      <c r="K80" t="s">
        <v>1571</v>
      </c>
      <c r="L80" s="28" t="s">
        <v>3031</v>
      </c>
      <c r="M80">
        <v>186.7</v>
      </c>
      <c r="N80" t="s">
        <v>1641</v>
      </c>
      <c r="O80">
        <v>1.3</v>
      </c>
      <c r="P80" t="s">
        <v>1589</v>
      </c>
      <c r="V80" t="s">
        <v>2499</v>
      </c>
    </row>
    <row r="81" spans="1:22" x14ac:dyDescent="0.35">
      <c r="A81">
        <v>2023</v>
      </c>
      <c r="B81" t="s">
        <v>772</v>
      </c>
      <c r="C81" t="s">
        <v>795</v>
      </c>
      <c r="D81" t="s">
        <v>162</v>
      </c>
      <c r="E81" t="s">
        <v>1192</v>
      </c>
      <c r="G81" s="37" t="s">
        <v>11</v>
      </c>
      <c r="H81" s="37" t="s">
        <v>34</v>
      </c>
      <c r="I81" t="s">
        <v>265</v>
      </c>
      <c r="J81" t="s">
        <v>1570</v>
      </c>
      <c r="K81" t="s">
        <v>1571</v>
      </c>
      <c r="L81" s="28" t="s">
        <v>3031</v>
      </c>
      <c r="M81">
        <v>186.7</v>
      </c>
      <c r="N81" t="s">
        <v>1641</v>
      </c>
      <c r="O81">
        <v>1.3</v>
      </c>
      <c r="P81" t="s">
        <v>1589</v>
      </c>
      <c r="V81" t="s">
        <v>2499</v>
      </c>
    </row>
    <row r="82" spans="1:22" x14ac:dyDescent="0.35">
      <c r="A82">
        <v>2023</v>
      </c>
      <c r="B82" t="s">
        <v>772</v>
      </c>
      <c r="C82" t="s">
        <v>795</v>
      </c>
      <c r="D82" t="s">
        <v>162</v>
      </c>
      <c r="E82" t="s">
        <v>1192</v>
      </c>
      <c r="G82" s="37" t="s">
        <v>11</v>
      </c>
      <c r="H82" s="37" t="s">
        <v>34</v>
      </c>
      <c r="I82" t="s">
        <v>2954</v>
      </c>
      <c r="J82" t="s">
        <v>1570</v>
      </c>
      <c r="K82" t="s">
        <v>1571</v>
      </c>
      <c r="L82" s="28" t="s">
        <v>3031</v>
      </c>
      <c r="M82">
        <v>186.7</v>
      </c>
      <c r="N82" t="s">
        <v>1641</v>
      </c>
      <c r="O82">
        <v>0.3</v>
      </c>
      <c r="P82" t="s">
        <v>1589</v>
      </c>
      <c r="V82" t="s">
        <v>2499</v>
      </c>
    </row>
    <row r="83" spans="1:22" x14ac:dyDescent="0.35">
      <c r="A83">
        <v>2023</v>
      </c>
      <c r="B83" t="s">
        <v>772</v>
      </c>
      <c r="C83" t="s">
        <v>795</v>
      </c>
      <c r="D83" t="s">
        <v>162</v>
      </c>
      <c r="E83" t="s">
        <v>1192</v>
      </c>
      <c r="G83" s="37" t="s">
        <v>11</v>
      </c>
      <c r="H83" s="37" t="s">
        <v>34</v>
      </c>
      <c r="I83" t="s">
        <v>157</v>
      </c>
      <c r="J83" t="s">
        <v>1570</v>
      </c>
      <c r="K83" t="s">
        <v>1572</v>
      </c>
      <c r="L83" s="28" t="s">
        <v>3031</v>
      </c>
      <c r="M83">
        <v>1065.5</v>
      </c>
      <c r="N83" t="s">
        <v>1641</v>
      </c>
      <c r="O83">
        <v>28.4</v>
      </c>
      <c r="P83" t="s">
        <v>1589</v>
      </c>
      <c r="V83" t="s">
        <v>2499</v>
      </c>
    </row>
    <row r="84" spans="1:22" x14ac:dyDescent="0.35">
      <c r="A84">
        <v>2023</v>
      </c>
      <c r="B84" t="s">
        <v>772</v>
      </c>
      <c r="C84" t="s">
        <v>795</v>
      </c>
      <c r="D84" t="s">
        <v>162</v>
      </c>
      <c r="E84" t="s">
        <v>1192</v>
      </c>
      <c r="G84" s="37" t="s">
        <v>11</v>
      </c>
      <c r="H84" s="37" t="s">
        <v>34</v>
      </c>
      <c r="I84" t="s">
        <v>2955</v>
      </c>
      <c r="J84" t="s">
        <v>1570</v>
      </c>
      <c r="K84" t="s">
        <v>1572</v>
      </c>
      <c r="L84" s="28" t="s">
        <v>3031</v>
      </c>
      <c r="M84">
        <v>1065.5</v>
      </c>
      <c r="N84" t="s">
        <v>1641</v>
      </c>
      <c r="O84">
        <v>1.3</v>
      </c>
      <c r="P84" t="s">
        <v>1589</v>
      </c>
      <c r="V84" t="s">
        <v>2499</v>
      </c>
    </row>
    <row r="85" spans="1:22" x14ac:dyDescent="0.35">
      <c r="A85">
        <v>2023</v>
      </c>
      <c r="B85" t="s">
        <v>772</v>
      </c>
      <c r="C85" t="s">
        <v>795</v>
      </c>
      <c r="D85" t="s">
        <v>162</v>
      </c>
      <c r="E85" t="s">
        <v>1192</v>
      </c>
      <c r="G85" s="37" t="s">
        <v>11</v>
      </c>
      <c r="H85" s="37" t="s">
        <v>34</v>
      </c>
      <c r="I85" t="s">
        <v>265</v>
      </c>
      <c r="J85" t="s">
        <v>1570</v>
      </c>
      <c r="K85" t="s">
        <v>1572</v>
      </c>
      <c r="L85" s="28" t="s">
        <v>3031</v>
      </c>
      <c r="M85">
        <v>1065.5</v>
      </c>
      <c r="N85" t="s">
        <v>1641</v>
      </c>
      <c r="O85">
        <v>1.2</v>
      </c>
      <c r="P85" t="s">
        <v>1589</v>
      </c>
      <c r="V85" t="s">
        <v>2499</v>
      </c>
    </row>
    <row r="86" spans="1:22" x14ac:dyDescent="0.35">
      <c r="A86">
        <v>2023</v>
      </c>
      <c r="B86" t="s">
        <v>772</v>
      </c>
      <c r="C86" t="s">
        <v>795</v>
      </c>
      <c r="D86" t="s">
        <v>162</v>
      </c>
      <c r="E86" t="s">
        <v>1192</v>
      </c>
      <c r="G86" s="37" t="s">
        <v>11</v>
      </c>
      <c r="H86" s="37" t="s">
        <v>34</v>
      </c>
      <c r="I86" t="s">
        <v>2954</v>
      </c>
      <c r="J86" t="s">
        <v>1570</v>
      </c>
      <c r="K86" t="s">
        <v>1572</v>
      </c>
      <c r="L86" s="28" t="s">
        <v>3031</v>
      </c>
      <c r="M86">
        <v>1065.5</v>
      </c>
      <c r="N86" t="s">
        <v>1641</v>
      </c>
      <c r="O86">
        <v>0.5</v>
      </c>
      <c r="P86" t="s">
        <v>1589</v>
      </c>
      <c r="V86" t="s">
        <v>2499</v>
      </c>
    </row>
    <row r="87" spans="1:22" x14ac:dyDescent="0.35">
      <c r="A87">
        <v>2023</v>
      </c>
      <c r="B87" t="s">
        <v>772</v>
      </c>
      <c r="C87" t="s">
        <v>795</v>
      </c>
      <c r="D87" t="s">
        <v>162</v>
      </c>
      <c r="E87" t="s">
        <v>1192</v>
      </c>
      <c r="G87" s="37" t="s">
        <v>11</v>
      </c>
      <c r="H87" s="37" t="s">
        <v>34</v>
      </c>
      <c r="I87" t="s">
        <v>157</v>
      </c>
      <c r="J87" t="s">
        <v>1570</v>
      </c>
      <c r="K87" t="s">
        <v>1573</v>
      </c>
      <c r="L87" s="28" t="s">
        <v>3031</v>
      </c>
      <c r="M87">
        <v>246.3</v>
      </c>
      <c r="N87" t="s">
        <v>1641</v>
      </c>
      <c r="O87">
        <v>28.7</v>
      </c>
      <c r="P87" t="s">
        <v>1589</v>
      </c>
      <c r="V87" t="s">
        <v>2499</v>
      </c>
    </row>
    <row r="88" spans="1:22" x14ac:dyDescent="0.35">
      <c r="A88">
        <v>2023</v>
      </c>
      <c r="B88" t="s">
        <v>772</v>
      </c>
      <c r="C88" t="s">
        <v>795</v>
      </c>
      <c r="D88" t="s">
        <v>162</v>
      </c>
      <c r="E88" t="s">
        <v>1192</v>
      </c>
      <c r="G88" s="37" t="s">
        <v>11</v>
      </c>
      <c r="H88" s="37" t="s">
        <v>34</v>
      </c>
      <c r="I88" t="s">
        <v>2955</v>
      </c>
      <c r="J88" t="s">
        <v>1570</v>
      </c>
      <c r="K88" t="s">
        <v>1573</v>
      </c>
      <c r="L88" s="28" t="s">
        <v>3031</v>
      </c>
      <c r="M88">
        <v>246.3</v>
      </c>
      <c r="N88" t="s">
        <v>1641</v>
      </c>
      <c r="O88">
        <v>1.3</v>
      </c>
      <c r="P88" t="s">
        <v>1589</v>
      </c>
      <c r="V88" t="s">
        <v>2499</v>
      </c>
    </row>
    <row r="89" spans="1:22" x14ac:dyDescent="0.35">
      <c r="A89">
        <v>2023</v>
      </c>
      <c r="B89" t="s">
        <v>772</v>
      </c>
      <c r="C89" t="s">
        <v>795</v>
      </c>
      <c r="D89" t="s">
        <v>162</v>
      </c>
      <c r="E89" t="s">
        <v>1192</v>
      </c>
      <c r="G89" s="37" t="s">
        <v>11</v>
      </c>
      <c r="H89" s="37" t="s">
        <v>34</v>
      </c>
      <c r="I89" t="s">
        <v>265</v>
      </c>
      <c r="J89" t="s">
        <v>1570</v>
      </c>
      <c r="K89" t="s">
        <v>1573</v>
      </c>
      <c r="L89" s="28" t="s">
        <v>3031</v>
      </c>
      <c r="M89">
        <v>246.3</v>
      </c>
      <c r="N89" t="s">
        <v>1641</v>
      </c>
      <c r="O89">
        <v>1.2</v>
      </c>
      <c r="P89" t="s">
        <v>1589</v>
      </c>
      <c r="V89" t="s">
        <v>2499</v>
      </c>
    </row>
    <row r="90" spans="1:22" x14ac:dyDescent="0.35">
      <c r="A90">
        <v>2023</v>
      </c>
      <c r="B90" t="s">
        <v>772</v>
      </c>
      <c r="C90" t="s">
        <v>795</v>
      </c>
      <c r="D90" t="s">
        <v>162</v>
      </c>
      <c r="E90" t="s">
        <v>1192</v>
      </c>
      <c r="G90" s="37" t="s">
        <v>11</v>
      </c>
      <c r="H90" s="37" t="s">
        <v>34</v>
      </c>
      <c r="I90" t="s">
        <v>2954</v>
      </c>
      <c r="J90" t="s">
        <v>1570</v>
      </c>
      <c r="K90" t="s">
        <v>1573</v>
      </c>
      <c r="L90" s="28" t="s">
        <v>3031</v>
      </c>
      <c r="M90">
        <v>246.3</v>
      </c>
      <c r="N90" t="s">
        <v>1641</v>
      </c>
      <c r="O90">
        <v>0.5</v>
      </c>
      <c r="P90" t="s">
        <v>1589</v>
      </c>
      <c r="V90" t="s">
        <v>2499</v>
      </c>
    </row>
    <row r="91" spans="1:22" x14ac:dyDescent="0.35">
      <c r="A91">
        <v>2023</v>
      </c>
      <c r="B91" t="s">
        <v>772</v>
      </c>
      <c r="C91" t="s">
        <v>795</v>
      </c>
      <c r="D91" t="s">
        <v>162</v>
      </c>
      <c r="E91" t="s">
        <v>1192</v>
      </c>
      <c r="G91" s="37" t="s">
        <v>11</v>
      </c>
      <c r="H91" s="37" t="s">
        <v>34</v>
      </c>
      <c r="I91" t="s">
        <v>157</v>
      </c>
      <c r="J91" t="s">
        <v>1564</v>
      </c>
      <c r="K91" t="s">
        <v>1565</v>
      </c>
      <c r="L91" s="28" t="s">
        <v>3031</v>
      </c>
      <c r="M91">
        <v>183.7</v>
      </c>
      <c r="N91" t="s">
        <v>1641</v>
      </c>
      <c r="O91">
        <v>30</v>
      </c>
      <c r="P91" t="s">
        <v>1589</v>
      </c>
      <c r="V91" t="s">
        <v>2499</v>
      </c>
    </row>
    <row r="92" spans="1:22" x14ac:dyDescent="0.35">
      <c r="A92">
        <v>2023</v>
      </c>
      <c r="B92" t="s">
        <v>772</v>
      </c>
      <c r="C92" t="s">
        <v>795</v>
      </c>
      <c r="D92" t="s">
        <v>162</v>
      </c>
      <c r="E92" t="s">
        <v>1192</v>
      </c>
      <c r="G92" s="37" t="s">
        <v>11</v>
      </c>
      <c r="H92" s="37" t="s">
        <v>34</v>
      </c>
      <c r="I92" t="s">
        <v>2955</v>
      </c>
      <c r="J92" t="s">
        <v>1564</v>
      </c>
      <c r="K92" t="s">
        <v>1565</v>
      </c>
      <c r="L92" s="28" t="s">
        <v>3031</v>
      </c>
      <c r="M92">
        <v>183.7</v>
      </c>
      <c r="N92" t="s">
        <v>1641</v>
      </c>
      <c r="O92">
        <v>1.3</v>
      </c>
      <c r="P92" t="s">
        <v>1589</v>
      </c>
      <c r="V92" t="s">
        <v>2499</v>
      </c>
    </row>
    <row r="93" spans="1:22" x14ac:dyDescent="0.35">
      <c r="A93">
        <v>2023</v>
      </c>
      <c r="B93" t="s">
        <v>772</v>
      </c>
      <c r="C93" t="s">
        <v>795</v>
      </c>
      <c r="D93" t="s">
        <v>162</v>
      </c>
      <c r="E93" t="s">
        <v>1192</v>
      </c>
      <c r="G93" s="37" t="s">
        <v>11</v>
      </c>
      <c r="H93" s="37" t="s">
        <v>34</v>
      </c>
      <c r="I93" t="s">
        <v>265</v>
      </c>
      <c r="J93" t="s">
        <v>1564</v>
      </c>
      <c r="K93" t="s">
        <v>1565</v>
      </c>
      <c r="L93" s="28" t="s">
        <v>3031</v>
      </c>
      <c r="M93">
        <v>183.7</v>
      </c>
      <c r="N93" t="s">
        <v>1641</v>
      </c>
      <c r="O93">
        <v>1.3</v>
      </c>
      <c r="P93" t="s">
        <v>1589</v>
      </c>
      <c r="V93" t="s">
        <v>2499</v>
      </c>
    </row>
    <row r="94" spans="1:22" x14ac:dyDescent="0.35">
      <c r="A94">
        <v>2023</v>
      </c>
      <c r="B94" t="s">
        <v>772</v>
      </c>
      <c r="C94" t="s">
        <v>795</v>
      </c>
      <c r="D94" t="s">
        <v>162</v>
      </c>
      <c r="E94" t="s">
        <v>1192</v>
      </c>
      <c r="G94" s="37" t="s">
        <v>11</v>
      </c>
      <c r="H94" s="37" t="s">
        <v>34</v>
      </c>
      <c r="I94" t="s">
        <v>2954</v>
      </c>
      <c r="J94" t="s">
        <v>1564</v>
      </c>
      <c r="K94" t="s">
        <v>1565</v>
      </c>
      <c r="L94" s="28" t="s">
        <v>3031</v>
      </c>
      <c r="M94">
        <v>183.7</v>
      </c>
      <c r="N94" t="s">
        <v>1641</v>
      </c>
      <c r="O94">
        <v>0.3</v>
      </c>
      <c r="P94" t="s">
        <v>1589</v>
      </c>
      <c r="V94" t="s">
        <v>2499</v>
      </c>
    </row>
    <row r="95" spans="1:22" x14ac:dyDescent="0.35">
      <c r="A95">
        <v>2023</v>
      </c>
      <c r="B95" t="s">
        <v>772</v>
      </c>
      <c r="C95" t="s">
        <v>795</v>
      </c>
      <c r="D95" t="s">
        <v>162</v>
      </c>
      <c r="E95" t="s">
        <v>1192</v>
      </c>
      <c r="G95" s="37" t="s">
        <v>11</v>
      </c>
      <c r="H95" s="37" t="s">
        <v>34</v>
      </c>
      <c r="I95" t="s">
        <v>157</v>
      </c>
      <c r="J95" t="s">
        <v>1564</v>
      </c>
      <c r="K95" t="s">
        <v>1574</v>
      </c>
      <c r="L95" s="28" t="s">
        <v>3031</v>
      </c>
      <c r="M95">
        <v>532.5</v>
      </c>
      <c r="N95" t="s">
        <v>1641</v>
      </c>
      <c r="O95">
        <v>28.1</v>
      </c>
      <c r="P95" t="s">
        <v>1589</v>
      </c>
      <c r="V95" t="s">
        <v>2499</v>
      </c>
    </row>
    <row r="96" spans="1:22" x14ac:dyDescent="0.35">
      <c r="A96">
        <v>2023</v>
      </c>
      <c r="B96" t="s">
        <v>772</v>
      </c>
      <c r="C96" t="s">
        <v>795</v>
      </c>
      <c r="D96" t="s">
        <v>162</v>
      </c>
      <c r="E96" t="s">
        <v>1192</v>
      </c>
      <c r="G96" s="37" t="s">
        <v>11</v>
      </c>
      <c r="H96" s="37" t="s">
        <v>34</v>
      </c>
      <c r="I96" t="s">
        <v>2955</v>
      </c>
      <c r="J96" t="s">
        <v>1564</v>
      </c>
      <c r="K96" t="s">
        <v>1574</v>
      </c>
      <c r="L96" s="28" t="s">
        <v>3031</v>
      </c>
      <c r="M96">
        <v>532.5</v>
      </c>
      <c r="N96" t="s">
        <v>1641</v>
      </c>
      <c r="O96">
        <v>2.1</v>
      </c>
      <c r="P96" t="s">
        <v>1589</v>
      </c>
      <c r="V96" t="s">
        <v>2499</v>
      </c>
    </row>
    <row r="97" spans="1:22" x14ac:dyDescent="0.35">
      <c r="A97">
        <v>2023</v>
      </c>
      <c r="B97" t="s">
        <v>772</v>
      </c>
      <c r="C97" t="s">
        <v>795</v>
      </c>
      <c r="D97" t="s">
        <v>162</v>
      </c>
      <c r="E97" t="s">
        <v>1192</v>
      </c>
      <c r="G97" s="37" t="s">
        <v>11</v>
      </c>
      <c r="H97" s="37" t="s">
        <v>34</v>
      </c>
      <c r="I97" t="s">
        <v>265</v>
      </c>
      <c r="J97" t="s">
        <v>1564</v>
      </c>
      <c r="K97" t="s">
        <v>1574</v>
      </c>
      <c r="L97" s="28" t="s">
        <v>3031</v>
      </c>
      <c r="M97">
        <v>532.5</v>
      </c>
      <c r="N97" t="s">
        <v>1641</v>
      </c>
      <c r="O97">
        <v>2</v>
      </c>
      <c r="P97" t="s">
        <v>1589</v>
      </c>
      <c r="V97" t="s">
        <v>2499</v>
      </c>
    </row>
    <row r="98" spans="1:22" x14ac:dyDescent="0.35">
      <c r="A98">
        <v>2023</v>
      </c>
      <c r="B98" t="s">
        <v>772</v>
      </c>
      <c r="C98" t="s">
        <v>795</v>
      </c>
      <c r="D98" t="s">
        <v>162</v>
      </c>
      <c r="E98" t="s">
        <v>1192</v>
      </c>
      <c r="G98" s="37" t="s">
        <v>11</v>
      </c>
      <c r="H98" s="37" t="s">
        <v>34</v>
      </c>
      <c r="I98" t="s">
        <v>2954</v>
      </c>
      <c r="J98" t="s">
        <v>1564</v>
      </c>
      <c r="K98" t="s">
        <v>1574</v>
      </c>
      <c r="L98" s="28" t="s">
        <v>3031</v>
      </c>
      <c r="M98">
        <v>532.5</v>
      </c>
      <c r="N98" t="s">
        <v>1641</v>
      </c>
      <c r="O98">
        <v>0.5</v>
      </c>
      <c r="P98" t="s">
        <v>1589</v>
      </c>
      <c r="V98" t="s">
        <v>2499</v>
      </c>
    </row>
    <row r="99" spans="1:22" x14ac:dyDescent="0.35">
      <c r="A99">
        <v>2024</v>
      </c>
      <c r="B99" t="s">
        <v>772</v>
      </c>
      <c r="C99" t="s">
        <v>30</v>
      </c>
      <c r="D99" t="s">
        <v>31</v>
      </c>
      <c r="E99" t="s">
        <v>1210</v>
      </c>
      <c r="G99" s="37" t="s">
        <v>11</v>
      </c>
      <c r="H99" s="37" t="s">
        <v>13</v>
      </c>
      <c r="I99" t="s">
        <v>16</v>
      </c>
      <c r="J99" t="s">
        <v>1564</v>
      </c>
      <c r="K99" s="28" t="s">
        <v>1565</v>
      </c>
      <c r="L99" s="28" t="s">
        <v>3031</v>
      </c>
      <c r="M99">
        <v>1360</v>
      </c>
      <c r="N99" t="s">
        <v>1566</v>
      </c>
      <c r="O99">
        <v>5.72</v>
      </c>
      <c r="P99" t="s">
        <v>1567</v>
      </c>
      <c r="Q99">
        <v>250</v>
      </c>
      <c r="R99" t="s">
        <v>1550</v>
      </c>
      <c r="V99" t="s">
        <v>1885</v>
      </c>
    </row>
    <row r="100" spans="1:22" x14ac:dyDescent="0.35">
      <c r="A100">
        <v>2024</v>
      </c>
      <c r="B100" t="s">
        <v>772</v>
      </c>
      <c r="C100" t="s">
        <v>30</v>
      </c>
      <c r="D100" t="s">
        <v>31</v>
      </c>
      <c r="E100" t="s">
        <v>1210</v>
      </c>
      <c r="G100" s="37" t="s">
        <v>11</v>
      </c>
      <c r="H100" s="37" t="s">
        <v>13</v>
      </c>
      <c r="I100" t="s">
        <v>16</v>
      </c>
      <c r="J100" t="s">
        <v>1564</v>
      </c>
      <c r="K100" s="28" t="s">
        <v>1574</v>
      </c>
      <c r="L100" s="28" t="s">
        <v>3031</v>
      </c>
      <c r="M100">
        <v>4617</v>
      </c>
      <c r="N100" t="s">
        <v>1566</v>
      </c>
      <c r="O100">
        <v>6.92</v>
      </c>
      <c r="P100" t="s">
        <v>1567</v>
      </c>
      <c r="Q100">
        <v>1027</v>
      </c>
      <c r="R100" t="s">
        <v>1550</v>
      </c>
      <c r="V100" t="s">
        <v>1885</v>
      </c>
    </row>
    <row r="101" spans="1:22" x14ac:dyDescent="0.35">
      <c r="A101">
        <v>2024</v>
      </c>
      <c r="B101" t="s">
        <v>772</v>
      </c>
      <c r="C101" t="s">
        <v>30</v>
      </c>
      <c r="D101" t="s">
        <v>31</v>
      </c>
      <c r="E101" t="s">
        <v>1210</v>
      </c>
      <c r="G101" s="37" t="s">
        <v>11</v>
      </c>
      <c r="H101" s="37" t="s">
        <v>13</v>
      </c>
      <c r="I101" t="s">
        <v>16</v>
      </c>
      <c r="J101" t="s">
        <v>1570</v>
      </c>
      <c r="K101" t="s">
        <v>1571</v>
      </c>
      <c r="L101" s="28" t="s">
        <v>3031</v>
      </c>
      <c r="M101">
        <v>391266</v>
      </c>
      <c r="N101" t="s">
        <v>1566</v>
      </c>
      <c r="O101">
        <v>0.94</v>
      </c>
      <c r="P101" t="s">
        <v>1567</v>
      </c>
      <c r="Q101">
        <v>11797</v>
      </c>
      <c r="R101" t="s">
        <v>1550</v>
      </c>
      <c r="V101" t="s">
        <v>1885</v>
      </c>
    </row>
    <row r="102" spans="1:22" x14ac:dyDescent="0.35">
      <c r="A102">
        <v>2024</v>
      </c>
      <c r="B102" t="s">
        <v>772</v>
      </c>
      <c r="C102" t="s">
        <v>30</v>
      </c>
      <c r="D102" t="s">
        <v>31</v>
      </c>
      <c r="E102" t="s">
        <v>1210</v>
      </c>
      <c r="G102" s="37" t="s">
        <v>11</v>
      </c>
      <c r="H102" s="37" t="s">
        <v>13</v>
      </c>
      <c r="I102" t="s">
        <v>16</v>
      </c>
      <c r="J102" t="s">
        <v>1570</v>
      </c>
      <c r="K102" t="s">
        <v>1572</v>
      </c>
      <c r="L102" s="28" t="s">
        <v>3031</v>
      </c>
      <c r="M102">
        <v>277840</v>
      </c>
      <c r="N102" t="s">
        <v>1566</v>
      </c>
      <c r="O102">
        <v>1.1499999999999999</v>
      </c>
      <c r="P102" t="s">
        <v>1567</v>
      </c>
      <c r="Q102">
        <v>10242</v>
      </c>
      <c r="R102" t="s">
        <v>1550</v>
      </c>
      <c r="V102" t="s">
        <v>1885</v>
      </c>
    </row>
    <row r="103" spans="1:22" x14ac:dyDescent="0.35">
      <c r="A103">
        <v>2024</v>
      </c>
      <c r="B103" t="s">
        <v>772</v>
      </c>
      <c r="C103" t="s">
        <v>30</v>
      </c>
      <c r="D103" t="s">
        <v>31</v>
      </c>
      <c r="E103" t="s">
        <v>1210</v>
      </c>
      <c r="G103" s="37" t="s">
        <v>11</v>
      </c>
      <c r="H103" s="37" t="s">
        <v>13</v>
      </c>
      <c r="I103" t="s">
        <v>16</v>
      </c>
      <c r="J103" t="s">
        <v>1570</v>
      </c>
      <c r="K103" t="s">
        <v>1573</v>
      </c>
      <c r="L103" s="28" t="s">
        <v>3031</v>
      </c>
      <c r="M103">
        <v>114527</v>
      </c>
      <c r="N103" t="s">
        <v>1566</v>
      </c>
      <c r="O103">
        <v>1.84</v>
      </c>
      <c r="P103" t="s">
        <v>1567</v>
      </c>
      <c r="Q103">
        <v>6762</v>
      </c>
      <c r="R103" t="s">
        <v>1550</v>
      </c>
      <c r="V103" t="s">
        <v>1885</v>
      </c>
    </row>
    <row r="104" spans="1:22" x14ac:dyDescent="0.35">
      <c r="A104">
        <v>2024</v>
      </c>
      <c r="B104" t="s">
        <v>772</v>
      </c>
      <c r="C104" t="s">
        <v>798</v>
      </c>
      <c r="D104" t="s">
        <v>71</v>
      </c>
      <c r="E104" t="s">
        <v>1215</v>
      </c>
      <c r="I104" s="28" t="s">
        <v>16</v>
      </c>
      <c r="J104" s="28" t="s">
        <v>1564</v>
      </c>
      <c r="K104" s="28" t="s">
        <v>1574</v>
      </c>
      <c r="L104" s="28" t="s">
        <v>3031</v>
      </c>
      <c r="M104">
        <v>12.4</v>
      </c>
      <c r="N104" t="s">
        <v>1641</v>
      </c>
      <c r="O104">
        <v>6.87</v>
      </c>
      <c r="P104" t="s">
        <v>1567</v>
      </c>
      <c r="Q104">
        <v>2748</v>
      </c>
      <c r="R104" t="s">
        <v>1550</v>
      </c>
      <c r="V104" t="s">
        <v>1828</v>
      </c>
    </row>
    <row r="105" spans="1:22" x14ac:dyDescent="0.35">
      <c r="A105">
        <v>2024</v>
      </c>
      <c r="B105" t="s">
        <v>772</v>
      </c>
      <c r="C105" t="s">
        <v>798</v>
      </c>
      <c r="D105" t="s">
        <v>71</v>
      </c>
      <c r="E105" t="s">
        <v>1215</v>
      </c>
      <c r="G105" s="37" t="s">
        <v>11</v>
      </c>
      <c r="H105" s="37" t="s">
        <v>13</v>
      </c>
      <c r="I105" t="s">
        <v>16</v>
      </c>
      <c r="J105" s="28" t="s">
        <v>1570</v>
      </c>
      <c r="K105" s="28" t="s">
        <v>1572</v>
      </c>
      <c r="L105" s="28" t="s">
        <v>3031</v>
      </c>
      <c r="M105">
        <v>32.4</v>
      </c>
      <c r="N105" t="s">
        <v>1641</v>
      </c>
      <c r="O105">
        <v>6.89</v>
      </c>
      <c r="P105" t="s">
        <v>1567</v>
      </c>
      <c r="Q105">
        <v>7174</v>
      </c>
      <c r="R105" t="s">
        <v>1550</v>
      </c>
      <c r="V105" t="s">
        <v>1828</v>
      </c>
    </row>
    <row r="106" spans="1:22" x14ac:dyDescent="0.35">
      <c r="A106">
        <v>2024</v>
      </c>
      <c r="B106" t="s">
        <v>772</v>
      </c>
      <c r="C106" t="s">
        <v>798</v>
      </c>
      <c r="D106" t="s">
        <v>71</v>
      </c>
      <c r="E106" t="s">
        <v>1215</v>
      </c>
      <c r="G106" s="37" t="s">
        <v>11</v>
      </c>
      <c r="H106" s="37" t="s">
        <v>13</v>
      </c>
      <c r="I106" t="s">
        <v>16</v>
      </c>
      <c r="J106" s="28" t="s">
        <v>1570</v>
      </c>
      <c r="K106" s="28" t="s">
        <v>1573</v>
      </c>
      <c r="L106" s="28" t="s">
        <v>3031</v>
      </c>
      <c r="M106">
        <v>22.7</v>
      </c>
      <c r="N106" t="s">
        <v>1641</v>
      </c>
      <c r="O106">
        <v>6.1</v>
      </c>
      <c r="P106" t="s">
        <v>1567</v>
      </c>
      <c r="Q106">
        <v>4456</v>
      </c>
      <c r="R106" t="s">
        <v>1550</v>
      </c>
      <c r="V106" t="s">
        <v>1828</v>
      </c>
    </row>
    <row r="107" spans="1:22" x14ac:dyDescent="0.35">
      <c r="A107">
        <v>2024</v>
      </c>
      <c r="B107" t="s">
        <v>772</v>
      </c>
      <c r="C107" t="s">
        <v>406</v>
      </c>
      <c r="D107" t="s">
        <v>131</v>
      </c>
      <c r="E107" t="s">
        <v>1222</v>
      </c>
      <c r="G107" s="37" t="s">
        <v>11</v>
      </c>
      <c r="H107" s="37" t="s">
        <v>21</v>
      </c>
      <c r="I107" t="s">
        <v>125</v>
      </c>
      <c r="J107" t="s">
        <v>1570</v>
      </c>
      <c r="K107" t="s">
        <v>1571</v>
      </c>
      <c r="L107" s="28" t="s">
        <v>3031</v>
      </c>
      <c r="M107">
        <v>8.4</v>
      </c>
      <c r="N107" t="s">
        <v>1641</v>
      </c>
      <c r="O107">
        <v>1.71</v>
      </c>
      <c r="P107" t="s">
        <v>1589</v>
      </c>
      <c r="Q107">
        <v>144</v>
      </c>
      <c r="R107" t="s">
        <v>1566</v>
      </c>
      <c r="V107" t="s">
        <v>1598</v>
      </c>
    </row>
    <row r="108" spans="1:22" x14ac:dyDescent="0.35">
      <c r="A108">
        <v>2024</v>
      </c>
      <c r="B108" t="s">
        <v>772</v>
      </c>
      <c r="C108" t="s">
        <v>406</v>
      </c>
      <c r="D108" t="s">
        <v>131</v>
      </c>
      <c r="E108" t="s">
        <v>1222</v>
      </c>
      <c r="G108" s="37" t="s">
        <v>11</v>
      </c>
      <c r="H108" s="37" t="s">
        <v>21</v>
      </c>
      <c r="I108" t="s">
        <v>16</v>
      </c>
      <c r="J108" t="s">
        <v>1570</v>
      </c>
      <c r="K108" t="s">
        <v>1571</v>
      </c>
      <c r="L108" s="28" t="s">
        <v>3031</v>
      </c>
      <c r="M108">
        <v>8.4</v>
      </c>
      <c r="N108" t="s">
        <v>1641</v>
      </c>
      <c r="O108">
        <v>0.5</v>
      </c>
      <c r="P108" t="s">
        <v>1567</v>
      </c>
      <c r="Q108">
        <v>124</v>
      </c>
      <c r="R108" t="s">
        <v>1550</v>
      </c>
      <c r="V108" t="s">
        <v>1598</v>
      </c>
    </row>
    <row r="109" spans="1:22" x14ac:dyDescent="0.35">
      <c r="A109">
        <v>2024</v>
      </c>
      <c r="B109" t="s">
        <v>772</v>
      </c>
      <c r="C109" t="s">
        <v>406</v>
      </c>
      <c r="D109" t="s">
        <v>131</v>
      </c>
      <c r="E109" t="s">
        <v>1222</v>
      </c>
      <c r="G109" s="37" t="s">
        <v>11</v>
      </c>
      <c r="H109" s="37" t="s">
        <v>21</v>
      </c>
      <c r="I109" t="s">
        <v>1549</v>
      </c>
      <c r="J109" t="s">
        <v>1570</v>
      </c>
      <c r="K109" t="s">
        <v>1571</v>
      </c>
      <c r="L109" s="28" t="s">
        <v>3031</v>
      </c>
      <c r="M109">
        <v>8.4</v>
      </c>
      <c r="N109" t="s">
        <v>1641</v>
      </c>
      <c r="O109">
        <v>3.6</v>
      </c>
      <c r="P109" t="s">
        <v>1567</v>
      </c>
      <c r="Q109">
        <v>962</v>
      </c>
      <c r="R109" t="s">
        <v>1550</v>
      </c>
      <c r="V109" t="s">
        <v>1598</v>
      </c>
    </row>
    <row r="110" spans="1:22" x14ac:dyDescent="0.35">
      <c r="A110">
        <v>2024</v>
      </c>
      <c r="B110" t="s">
        <v>772</v>
      </c>
      <c r="C110" t="s">
        <v>406</v>
      </c>
      <c r="D110" t="s">
        <v>131</v>
      </c>
      <c r="E110" t="s">
        <v>1222</v>
      </c>
      <c r="G110" s="37" t="s">
        <v>11</v>
      </c>
      <c r="H110" s="37" t="s">
        <v>21</v>
      </c>
      <c r="I110" t="s">
        <v>125</v>
      </c>
      <c r="J110" t="s">
        <v>1570</v>
      </c>
      <c r="K110" t="s">
        <v>1572</v>
      </c>
      <c r="L110" s="28" t="s">
        <v>3031</v>
      </c>
      <c r="M110">
        <v>15.3</v>
      </c>
      <c r="N110" t="s">
        <v>1641</v>
      </c>
      <c r="O110">
        <v>1.85</v>
      </c>
      <c r="P110" t="s">
        <v>1589</v>
      </c>
      <c r="Q110">
        <v>284</v>
      </c>
      <c r="R110" t="s">
        <v>1566</v>
      </c>
      <c r="V110" t="s">
        <v>1598</v>
      </c>
    </row>
    <row r="111" spans="1:22" x14ac:dyDescent="0.35">
      <c r="A111">
        <v>2024</v>
      </c>
      <c r="B111" t="s">
        <v>772</v>
      </c>
      <c r="C111" t="s">
        <v>406</v>
      </c>
      <c r="D111" t="s">
        <v>131</v>
      </c>
      <c r="E111" t="s">
        <v>1222</v>
      </c>
      <c r="G111" s="37" t="s">
        <v>11</v>
      </c>
      <c r="H111" s="37" t="s">
        <v>21</v>
      </c>
      <c r="I111" t="s">
        <v>16</v>
      </c>
      <c r="J111" t="s">
        <v>1570</v>
      </c>
      <c r="K111" t="s">
        <v>1572</v>
      </c>
      <c r="L111" s="28" t="s">
        <v>3031</v>
      </c>
      <c r="M111">
        <v>15.3</v>
      </c>
      <c r="N111" t="s">
        <v>1641</v>
      </c>
      <c r="O111">
        <v>0.3</v>
      </c>
      <c r="P111" t="s">
        <v>1567</v>
      </c>
      <c r="Q111">
        <v>148</v>
      </c>
      <c r="R111" t="s">
        <v>1550</v>
      </c>
      <c r="V111" t="s">
        <v>1598</v>
      </c>
    </row>
    <row r="112" spans="1:22" x14ac:dyDescent="0.35">
      <c r="A112">
        <v>2024</v>
      </c>
      <c r="B112" t="s">
        <v>772</v>
      </c>
      <c r="C112" t="s">
        <v>406</v>
      </c>
      <c r="D112" t="s">
        <v>131</v>
      </c>
      <c r="E112" t="s">
        <v>1222</v>
      </c>
      <c r="G112" s="37" t="s">
        <v>11</v>
      </c>
      <c r="H112" s="37" t="s">
        <v>21</v>
      </c>
      <c r="I112" t="s">
        <v>1549</v>
      </c>
      <c r="J112" t="s">
        <v>1570</v>
      </c>
      <c r="K112" t="s">
        <v>1572</v>
      </c>
      <c r="L112" s="28" t="s">
        <v>3031</v>
      </c>
      <c r="M112">
        <v>15.3</v>
      </c>
      <c r="N112" t="s">
        <v>1641</v>
      </c>
      <c r="O112">
        <v>2.4</v>
      </c>
      <c r="P112" t="s">
        <v>1567</v>
      </c>
      <c r="Q112">
        <v>1164</v>
      </c>
      <c r="R112" t="s">
        <v>1550</v>
      </c>
      <c r="V112" t="s">
        <v>1598</v>
      </c>
    </row>
    <row r="113" spans="1:22" x14ac:dyDescent="0.35">
      <c r="A113">
        <v>2024</v>
      </c>
      <c r="B113" t="s">
        <v>772</v>
      </c>
      <c r="C113" t="s">
        <v>406</v>
      </c>
      <c r="D113" t="s">
        <v>131</v>
      </c>
      <c r="E113" t="s">
        <v>1222</v>
      </c>
      <c r="G113" s="37" t="s">
        <v>11</v>
      </c>
      <c r="H113" s="37" t="s">
        <v>21</v>
      </c>
      <c r="I113" t="s">
        <v>125</v>
      </c>
      <c r="J113" t="s">
        <v>1570</v>
      </c>
      <c r="K113" t="s">
        <v>1573</v>
      </c>
      <c r="L113" s="28" t="s">
        <v>3031</v>
      </c>
      <c r="M113">
        <v>6.4</v>
      </c>
      <c r="N113" t="s">
        <v>1641</v>
      </c>
      <c r="O113">
        <v>1.86</v>
      </c>
      <c r="P113" t="s">
        <v>1589</v>
      </c>
      <c r="Q113">
        <v>120</v>
      </c>
      <c r="R113" t="s">
        <v>1566</v>
      </c>
      <c r="V113" t="s">
        <v>1598</v>
      </c>
    </row>
    <row r="114" spans="1:22" x14ac:dyDescent="0.35">
      <c r="A114">
        <v>2024</v>
      </c>
      <c r="B114" t="s">
        <v>772</v>
      </c>
      <c r="C114" t="s">
        <v>406</v>
      </c>
      <c r="D114" t="s">
        <v>131</v>
      </c>
      <c r="E114" t="s">
        <v>1222</v>
      </c>
      <c r="G114" s="37" t="s">
        <v>11</v>
      </c>
      <c r="H114" s="37" t="s">
        <v>21</v>
      </c>
      <c r="I114" t="s">
        <v>16</v>
      </c>
      <c r="J114" t="s">
        <v>1570</v>
      </c>
      <c r="K114" t="s">
        <v>1573</v>
      </c>
      <c r="L114" s="28" t="s">
        <v>3031</v>
      </c>
      <c r="M114">
        <v>6.4</v>
      </c>
      <c r="N114" t="s">
        <v>1641</v>
      </c>
      <c r="O114">
        <v>0.4</v>
      </c>
      <c r="P114" t="s">
        <v>1567</v>
      </c>
      <c r="Q114">
        <v>79</v>
      </c>
      <c r="R114" t="s">
        <v>1550</v>
      </c>
      <c r="V114" t="s">
        <v>1598</v>
      </c>
    </row>
    <row r="115" spans="1:22" x14ac:dyDescent="0.35">
      <c r="A115">
        <v>2024</v>
      </c>
      <c r="B115" t="s">
        <v>772</v>
      </c>
      <c r="C115" t="s">
        <v>406</v>
      </c>
      <c r="D115" t="s">
        <v>131</v>
      </c>
      <c r="E115" t="s">
        <v>1222</v>
      </c>
      <c r="G115" s="37" t="s">
        <v>11</v>
      </c>
      <c r="H115" s="37" t="s">
        <v>21</v>
      </c>
      <c r="I115" t="s">
        <v>1549</v>
      </c>
      <c r="J115" t="s">
        <v>1570</v>
      </c>
      <c r="K115" t="s">
        <v>1573</v>
      </c>
      <c r="L115" s="28" t="s">
        <v>3031</v>
      </c>
      <c r="M115">
        <v>6.4</v>
      </c>
      <c r="N115" t="s">
        <v>1641</v>
      </c>
      <c r="O115">
        <v>2.6</v>
      </c>
      <c r="P115" t="s">
        <v>1567</v>
      </c>
      <c r="Q115">
        <v>537</v>
      </c>
      <c r="R115" t="s">
        <v>1550</v>
      </c>
      <c r="V115" t="s">
        <v>1598</v>
      </c>
    </row>
    <row r="116" spans="1:22" x14ac:dyDescent="0.35">
      <c r="A116">
        <v>2024</v>
      </c>
      <c r="B116" t="s">
        <v>1537</v>
      </c>
      <c r="C116" t="s">
        <v>715</v>
      </c>
      <c r="D116" s="11" t="s">
        <v>1771</v>
      </c>
      <c r="F116" t="s">
        <v>2933</v>
      </c>
      <c r="G116" s="37" t="s">
        <v>1851</v>
      </c>
      <c r="H116" s="37" t="s">
        <v>2988</v>
      </c>
      <c r="I116" s="11" t="s">
        <v>1776</v>
      </c>
      <c r="J116" s="11" t="s">
        <v>1570</v>
      </c>
      <c r="K116" s="11" t="s">
        <v>1571</v>
      </c>
      <c r="L116" s="28" t="s">
        <v>3031</v>
      </c>
      <c r="M116" s="11">
        <v>9.6</v>
      </c>
      <c r="N116" s="11" t="s">
        <v>1641</v>
      </c>
      <c r="O116" s="11"/>
      <c r="P116" s="11"/>
      <c r="V116" t="s">
        <v>2288</v>
      </c>
    </row>
    <row r="117" spans="1:22" x14ac:dyDescent="0.35">
      <c r="A117">
        <v>2024</v>
      </c>
      <c r="B117" t="s">
        <v>1537</v>
      </c>
      <c r="C117" t="s">
        <v>715</v>
      </c>
      <c r="D117" s="11" t="s">
        <v>1771</v>
      </c>
      <c r="F117" t="s">
        <v>2959</v>
      </c>
      <c r="G117" s="37" t="s">
        <v>1851</v>
      </c>
      <c r="H117" s="37" t="s">
        <v>2988</v>
      </c>
      <c r="I117" s="11" t="s">
        <v>557</v>
      </c>
      <c r="J117" s="11" t="s">
        <v>1570</v>
      </c>
      <c r="K117" s="11" t="s">
        <v>1571</v>
      </c>
      <c r="L117" s="28" t="s">
        <v>3031</v>
      </c>
      <c r="M117" s="11"/>
      <c r="N117" s="11" t="s">
        <v>1641</v>
      </c>
      <c r="O117" s="11">
        <v>2.9</v>
      </c>
      <c r="P117" s="11" t="s">
        <v>1589</v>
      </c>
      <c r="V117" t="s">
        <v>2288</v>
      </c>
    </row>
    <row r="118" spans="1:22" x14ac:dyDescent="0.35">
      <c r="A118">
        <v>2024</v>
      </c>
      <c r="B118" t="s">
        <v>1537</v>
      </c>
      <c r="C118" t="s">
        <v>715</v>
      </c>
      <c r="D118" s="11" t="s">
        <v>1771</v>
      </c>
      <c r="F118" t="s">
        <v>2960</v>
      </c>
      <c r="G118" s="37" t="s">
        <v>1851</v>
      </c>
      <c r="H118" s="37" t="s">
        <v>2988</v>
      </c>
      <c r="I118" s="11" t="s">
        <v>125</v>
      </c>
      <c r="J118" s="11" t="s">
        <v>1570</v>
      </c>
      <c r="K118" s="11" t="s">
        <v>1571</v>
      </c>
      <c r="L118" s="28" t="s">
        <v>3031</v>
      </c>
      <c r="M118" s="11"/>
      <c r="N118" s="11" t="s">
        <v>1641</v>
      </c>
      <c r="O118" s="11">
        <v>0.82</v>
      </c>
      <c r="P118" s="11" t="s">
        <v>1589</v>
      </c>
      <c r="V118" t="s">
        <v>2288</v>
      </c>
    </row>
    <row r="119" spans="1:22" x14ac:dyDescent="0.35">
      <c r="A119">
        <v>2024</v>
      </c>
      <c r="B119" t="s">
        <v>1537</v>
      </c>
      <c r="C119" t="s">
        <v>715</v>
      </c>
      <c r="D119" s="11" t="s">
        <v>1771</v>
      </c>
      <c r="F119" t="s">
        <v>2961</v>
      </c>
      <c r="G119" s="37" t="s">
        <v>1851</v>
      </c>
      <c r="H119" s="37" t="s">
        <v>2988</v>
      </c>
      <c r="I119" s="11" t="s">
        <v>1769</v>
      </c>
      <c r="J119" s="11" t="s">
        <v>1570</v>
      </c>
      <c r="K119" s="11" t="s">
        <v>1571</v>
      </c>
      <c r="L119" s="28" t="s">
        <v>3031</v>
      </c>
      <c r="M119" s="11"/>
      <c r="N119" s="11" t="s">
        <v>1641</v>
      </c>
      <c r="O119" s="11">
        <v>7.0000000000000007E-2</v>
      </c>
      <c r="P119" s="11" t="s">
        <v>1589</v>
      </c>
      <c r="V119" t="s">
        <v>2288</v>
      </c>
    </row>
    <row r="120" spans="1:22" x14ac:dyDescent="0.35">
      <c r="A120">
        <v>2024</v>
      </c>
      <c r="B120" t="s">
        <v>1537</v>
      </c>
      <c r="C120" t="s">
        <v>715</v>
      </c>
      <c r="D120" s="11" t="s">
        <v>1771</v>
      </c>
      <c r="F120" t="s">
        <v>2962</v>
      </c>
      <c r="G120" s="37" t="s">
        <v>1851</v>
      </c>
      <c r="H120" s="37" t="s">
        <v>2988</v>
      </c>
      <c r="I120" s="11" t="s">
        <v>1772</v>
      </c>
      <c r="J120" s="11" t="s">
        <v>1570</v>
      </c>
      <c r="K120" s="11" t="s">
        <v>1571</v>
      </c>
      <c r="L120" s="28" t="s">
        <v>3031</v>
      </c>
      <c r="M120" s="11"/>
      <c r="N120" s="11" t="s">
        <v>1641</v>
      </c>
      <c r="O120" s="11">
        <v>0.81</v>
      </c>
      <c r="P120" s="11" t="s">
        <v>1567</v>
      </c>
      <c r="V120" t="s">
        <v>2288</v>
      </c>
    </row>
    <row r="121" spans="1:22" x14ac:dyDescent="0.35">
      <c r="A121">
        <v>2024</v>
      </c>
      <c r="B121" t="s">
        <v>1537</v>
      </c>
      <c r="C121" t="s">
        <v>715</v>
      </c>
      <c r="D121" s="11" t="s">
        <v>1771</v>
      </c>
      <c r="F121" t="s">
        <v>2963</v>
      </c>
      <c r="G121" s="37" t="s">
        <v>1851</v>
      </c>
      <c r="H121" s="37" t="s">
        <v>2988</v>
      </c>
      <c r="I121" s="11" t="s">
        <v>1773</v>
      </c>
      <c r="J121" s="11" t="s">
        <v>1570</v>
      </c>
      <c r="K121" s="11" t="s">
        <v>1571</v>
      </c>
      <c r="L121" s="28" t="s">
        <v>3031</v>
      </c>
      <c r="M121" s="11"/>
      <c r="N121" s="11" t="s">
        <v>1641</v>
      </c>
      <c r="O121" s="11">
        <v>1.9</v>
      </c>
      <c r="P121" s="11" t="s">
        <v>1567</v>
      </c>
      <c r="V121" t="s">
        <v>2288</v>
      </c>
    </row>
    <row r="122" spans="1:22" x14ac:dyDescent="0.35">
      <c r="A122">
        <v>2024</v>
      </c>
      <c r="B122" t="s">
        <v>1537</v>
      </c>
      <c r="C122" t="s">
        <v>715</v>
      </c>
      <c r="D122" s="11" t="s">
        <v>1771</v>
      </c>
      <c r="F122" t="s">
        <v>2964</v>
      </c>
      <c r="G122" s="37" t="s">
        <v>1851</v>
      </c>
      <c r="H122" s="37" t="s">
        <v>2988</v>
      </c>
      <c r="I122" s="11" t="s">
        <v>1776</v>
      </c>
      <c r="J122" s="11" t="s">
        <v>1570</v>
      </c>
      <c r="K122" s="11" t="s">
        <v>1572</v>
      </c>
      <c r="L122" s="28" t="s">
        <v>3031</v>
      </c>
      <c r="M122" s="11">
        <v>35.9</v>
      </c>
      <c r="N122" s="11" t="s">
        <v>1641</v>
      </c>
      <c r="O122" s="11"/>
      <c r="P122" s="11"/>
      <c r="V122" t="s">
        <v>2288</v>
      </c>
    </row>
    <row r="123" spans="1:22" x14ac:dyDescent="0.35">
      <c r="A123">
        <v>2024</v>
      </c>
      <c r="B123" t="s">
        <v>1537</v>
      </c>
      <c r="C123" t="s">
        <v>715</v>
      </c>
      <c r="D123" s="11" t="s">
        <v>1771</v>
      </c>
      <c r="F123" t="s">
        <v>2965</v>
      </c>
      <c r="G123" s="37" t="s">
        <v>1851</v>
      </c>
      <c r="H123" s="37" t="s">
        <v>2988</v>
      </c>
      <c r="I123" s="11" t="s">
        <v>557</v>
      </c>
      <c r="J123" s="11" t="s">
        <v>1570</v>
      </c>
      <c r="K123" s="11" t="s">
        <v>1572</v>
      </c>
      <c r="L123" s="28" t="s">
        <v>3031</v>
      </c>
      <c r="M123" s="11"/>
      <c r="N123" s="11" t="s">
        <v>1641</v>
      </c>
      <c r="O123" s="11">
        <v>2.52</v>
      </c>
      <c r="P123" s="11" t="s">
        <v>1589</v>
      </c>
      <c r="V123" t="s">
        <v>2288</v>
      </c>
    </row>
    <row r="124" spans="1:22" x14ac:dyDescent="0.35">
      <c r="A124">
        <v>2024</v>
      </c>
      <c r="B124" t="s">
        <v>1537</v>
      </c>
      <c r="C124" t="s">
        <v>715</v>
      </c>
      <c r="D124" s="11" t="s">
        <v>1771</v>
      </c>
      <c r="F124" t="s">
        <v>2966</v>
      </c>
      <c r="G124" s="37" t="s">
        <v>1851</v>
      </c>
      <c r="H124" s="37" t="s">
        <v>2988</v>
      </c>
      <c r="I124" s="11" t="s">
        <v>125</v>
      </c>
      <c r="J124" s="11" t="s">
        <v>1570</v>
      </c>
      <c r="K124" s="11" t="s">
        <v>1572</v>
      </c>
      <c r="L124" s="28" t="s">
        <v>3031</v>
      </c>
      <c r="M124" s="11"/>
      <c r="N124" s="11" t="s">
        <v>1641</v>
      </c>
      <c r="O124" s="11">
        <v>2</v>
      </c>
      <c r="P124" s="11" t="s">
        <v>1589</v>
      </c>
      <c r="V124" t="s">
        <v>2288</v>
      </c>
    </row>
    <row r="125" spans="1:22" x14ac:dyDescent="0.35">
      <c r="A125">
        <v>2024</v>
      </c>
      <c r="B125" t="s">
        <v>1537</v>
      </c>
      <c r="C125" t="s">
        <v>715</v>
      </c>
      <c r="D125" s="11" t="s">
        <v>1771</v>
      </c>
      <c r="F125" t="s">
        <v>2967</v>
      </c>
      <c r="G125" s="37" t="s">
        <v>1851</v>
      </c>
      <c r="H125" s="37" t="s">
        <v>2988</v>
      </c>
      <c r="I125" s="11" t="s">
        <v>1769</v>
      </c>
      <c r="J125" s="11" t="s">
        <v>1570</v>
      </c>
      <c r="K125" s="11" t="s">
        <v>1572</v>
      </c>
      <c r="L125" s="28" t="s">
        <v>3031</v>
      </c>
      <c r="M125" s="11"/>
      <c r="N125" s="11" t="s">
        <v>1641</v>
      </c>
      <c r="O125" s="11">
        <v>0.05</v>
      </c>
      <c r="P125" s="11" t="s">
        <v>1589</v>
      </c>
      <c r="V125" t="s">
        <v>2288</v>
      </c>
    </row>
    <row r="126" spans="1:22" x14ac:dyDescent="0.35">
      <c r="A126">
        <v>2024</v>
      </c>
      <c r="B126" t="s">
        <v>1537</v>
      </c>
      <c r="C126" t="s">
        <v>715</v>
      </c>
      <c r="D126" s="11" t="s">
        <v>1771</v>
      </c>
      <c r="F126" t="s">
        <v>2968</v>
      </c>
      <c r="G126" s="37" t="s">
        <v>1851</v>
      </c>
      <c r="H126" s="37" t="s">
        <v>2988</v>
      </c>
      <c r="I126" s="11" t="s">
        <v>1772</v>
      </c>
      <c r="J126" s="11" t="s">
        <v>1570</v>
      </c>
      <c r="K126" s="11" t="s">
        <v>1572</v>
      </c>
      <c r="L126" s="28" t="s">
        <v>3031</v>
      </c>
      <c r="M126" s="11"/>
      <c r="N126" s="11" t="s">
        <v>1641</v>
      </c>
      <c r="O126" s="11">
        <v>1</v>
      </c>
      <c r="P126" s="11" t="s">
        <v>1567</v>
      </c>
      <c r="V126" t="s">
        <v>2288</v>
      </c>
    </row>
    <row r="127" spans="1:22" x14ac:dyDescent="0.35">
      <c r="A127">
        <v>2024</v>
      </c>
      <c r="B127" t="s">
        <v>1537</v>
      </c>
      <c r="C127" t="s">
        <v>715</v>
      </c>
      <c r="D127" s="11" t="s">
        <v>1771</v>
      </c>
      <c r="F127" t="s">
        <v>2969</v>
      </c>
      <c r="G127" s="37" t="s">
        <v>1851</v>
      </c>
      <c r="H127" s="37" t="s">
        <v>2988</v>
      </c>
      <c r="I127" s="11" t="s">
        <v>1773</v>
      </c>
      <c r="J127" s="11" t="s">
        <v>1570</v>
      </c>
      <c r="K127" s="11" t="s">
        <v>1572</v>
      </c>
      <c r="L127" s="28" t="s">
        <v>3031</v>
      </c>
      <c r="M127" s="11"/>
      <c r="N127" s="11" t="s">
        <v>1641</v>
      </c>
      <c r="O127" s="11">
        <v>1.07</v>
      </c>
      <c r="P127" s="11" t="s">
        <v>1567</v>
      </c>
      <c r="V127" t="s">
        <v>2288</v>
      </c>
    </row>
    <row r="128" spans="1:22" x14ac:dyDescent="0.35">
      <c r="A128">
        <v>2024</v>
      </c>
      <c r="B128" t="s">
        <v>1537</v>
      </c>
      <c r="C128" t="s">
        <v>715</v>
      </c>
      <c r="D128" s="11" t="s">
        <v>1771</v>
      </c>
      <c r="F128" t="s">
        <v>2970</v>
      </c>
      <c r="G128" s="37" t="s">
        <v>1851</v>
      </c>
      <c r="H128" s="37" t="s">
        <v>2988</v>
      </c>
      <c r="I128" s="11" t="s">
        <v>1776</v>
      </c>
      <c r="J128" s="11" t="s">
        <v>1570</v>
      </c>
      <c r="K128" s="11" t="s">
        <v>1573</v>
      </c>
      <c r="L128" s="28" t="s">
        <v>3031</v>
      </c>
      <c r="M128" s="11">
        <v>60</v>
      </c>
      <c r="N128" s="11" t="s">
        <v>1641</v>
      </c>
      <c r="O128" s="11"/>
      <c r="P128" s="11"/>
      <c r="V128" t="s">
        <v>2288</v>
      </c>
    </row>
    <row r="129" spans="1:22" x14ac:dyDescent="0.35">
      <c r="A129">
        <v>2024</v>
      </c>
      <c r="B129" t="s">
        <v>1537</v>
      </c>
      <c r="C129" t="s">
        <v>715</v>
      </c>
      <c r="D129" s="11" t="s">
        <v>1771</v>
      </c>
      <c r="F129" t="s">
        <v>2971</v>
      </c>
      <c r="G129" s="37" t="s">
        <v>1851</v>
      </c>
      <c r="H129" s="37" t="s">
        <v>2988</v>
      </c>
      <c r="I129" s="11" t="s">
        <v>557</v>
      </c>
      <c r="J129" s="11" t="s">
        <v>1570</v>
      </c>
      <c r="K129" s="11" t="s">
        <v>1573</v>
      </c>
      <c r="L129" s="28" t="s">
        <v>3031</v>
      </c>
      <c r="M129" s="11"/>
      <c r="N129" s="11" t="s">
        <v>1641</v>
      </c>
      <c r="O129" s="11">
        <v>1.46</v>
      </c>
      <c r="P129" s="11" t="s">
        <v>1589</v>
      </c>
      <c r="V129" t="s">
        <v>2288</v>
      </c>
    </row>
    <row r="130" spans="1:22" x14ac:dyDescent="0.35">
      <c r="A130">
        <v>2024</v>
      </c>
      <c r="B130" t="s">
        <v>1537</v>
      </c>
      <c r="C130" t="s">
        <v>715</v>
      </c>
      <c r="D130" s="11" t="s">
        <v>1771</v>
      </c>
      <c r="F130" t="s">
        <v>2972</v>
      </c>
      <c r="G130" s="37" t="s">
        <v>1851</v>
      </c>
      <c r="H130" s="37" t="s">
        <v>2988</v>
      </c>
      <c r="I130" s="11" t="s">
        <v>125</v>
      </c>
      <c r="J130" s="11" t="s">
        <v>1570</v>
      </c>
      <c r="K130" s="11" t="s">
        <v>1573</v>
      </c>
      <c r="L130" s="28" t="s">
        <v>3031</v>
      </c>
      <c r="M130" s="11"/>
      <c r="N130" s="11" t="s">
        <v>1641</v>
      </c>
      <c r="O130" s="11">
        <v>1.63</v>
      </c>
      <c r="P130" s="11" t="s">
        <v>1589</v>
      </c>
      <c r="V130" t="s">
        <v>2288</v>
      </c>
    </row>
    <row r="131" spans="1:22" x14ac:dyDescent="0.35">
      <c r="A131">
        <v>2024</v>
      </c>
      <c r="B131" t="s">
        <v>1537</v>
      </c>
      <c r="C131" t="s">
        <v>715</v>
      </c>
      <c r="D131" s="11" t="s">
        <v>1771</v>
      </c>
      <c r="F131" t="s">
        <v>2973</v>
      </c>
      <c r="G131" s="37" t="s">
        <v>1851</v>
      </c>
      <c r="H131" s="37" t="s">
        <v>2988</v>
      </c>
      <c r="I131" s="11" t="s">
        <v>1769</v>
      </c>
      <c r="J131" s="11" t="s">
        <v>1570</v>
      </c>
      <c r="K131" s="11" t="s">
        <v>1573</v>
      </c>
      <c r="L131" s="28" t="s">
        <v>3031</v>
      </c>
      <c r="M131" s="11"/>
      <c r="N131" s="11" t="s">
        <v>1641</v>
      </c>
      <c r="O131" s="11">
        <v>0.03</v>
      </c>
      <c r="P131" s="11" t="s">
        <v>1589</v>
      </c>
      <c r="V131" t="s">
        <v>2288</v>
      </c>
    </row>
    <row r="132" spans="1:22" x14ac:dyDescent="0.35">
      <c r="A132">
        <v>2024</v>
      </c>
      <c r="B132" t="s">
        <v>1537</v>
      </c>
      <c r="C132" t="s">
        <v>715</v>
      </c>
      <c r="D132" s="11" t="s">
        <v>1771</v>
      </c>
      <c r="F132" t="s">
        <v>2974</v>
      </c>
      <c r="G132" s="37" t="s">
        <v>1851</v>
      </c>
      <c r="H132" s="37" t="s">
        <v>2988</v>
      </c>
      <c r="I132" s="11" t="s">
        <v>1772</v>
      </c>
      <c r="J132" s="11" t="s">
        <v>1570</v>
      </c>
      <c r="K132" s="11" t="s">
        <v>1573</v>
      </c>
      <c r="L132" s="28" t="s">
        <v>3031</v>
      </c>
      <c r="M132" s="11"/>
      <c r="N132" s="11" t="s">
        <v>1641</v>
      </c>
      <c r="O132" s="11">
        <v>0.69</v>
      </c>
      <c r="P132" s="11" t="s">
        <v>1567</v>
      </c>
      <c r="V132" t="s">
        <v>2288</v>
      </c>
    </row>
    <row r="133" spans="1:22" x14ac:dyDescent="0.35">
      <c r="A133">
        <v>2024</v>
      </c>
      <c r="B133" t="s">
        <v>1537</v>
      </c>
      <c r="C133" t="s">
        <v>715</v>
      </c>
      <c r="D133" s="11" t="s">
        <v>1771</v>
      </c>
      <c r="F133" t="s">
        <v>2975</v>
      </c>
      <c r="G133" s="37" t="s">
        <v>1851</v>
      </c>
      <c r="H133" s="37" t="s">
        <v>2988</v>
      </c>
      <c r="I133" s="11" t="s">
        <v>1773</v>
      </c>
      <c r="J133" s="11" t="s">
        <v>1570</v>
      </c>
      <c r="K133" s="11" t="s">
        <v>1573</v>
      </c>
      <c r="L133" s="28" t="s">
        <v>3031</v>
      </c>
      <c r="M133" s="11"/>
      <c r="N133" s="11" t="s">
        <v>1641</v>
      </c>
      <c r="O133" s="11">
        <v>1.1000000000000001</v>
      </c>
      <c r="P133" s="11" t="s">
        <v>1567</v>
      </c>
      <c r="V133" t="s">
        <v>2288</v>
      </c>
    </row>
    <row r="134" spans="1:22" x14ac:dyDescent="0.35">
      <c r="A134">
        <v>2024</v>
      </c>
      <c r="B134" t="s">
        <v>1537</v>
      </c>
      <c r="C134" t="s">
        <v>715</v>
      </c>
      <c r="D134" s="11" t="s">
        <v>1771</v>
      </c>
      <c r="F134" t="s">
        <v>2976</v>
      </c>
      <c r="G134" s="37" t="s">
        <v>1851</v>
      </c>
      <c r="H134" s="37" t="s">
        <v>2988</v>
      </c>
      <c r="I134" s="11" t="s">
        <v>1776</v>
      </c>
      <c r="J134" s="11" t="s">
        <v>1564</v>
      </c>
      <c r="K134" s="11" t="s">
        <v>1775</v>
      </c>
      <c r="L134" s="28" t="s">
        <v>3031</v>
      </c>
      <c r="M134" s="11">
        <v>9.9</v>
      </c>
      <c r="N134" s="11" t="s">
        <v>1641</v>
      </c>
      <c r="O134" s="11"/>
      <c r="P134" s="11"/>
      <c r="V134" t="s">
        <v>2288</v>
      </c>
    </row>
    <row r="135" spans="1:22" x14ac:dyDescent="0.35">
      <c r="A135">
        <v>2024</v>
      </c>
      <c r="B135" t="s">
        <v>1537</v>
      </c>
      <c r="C135" t="s">
        <v>715</v>
      </c>
      <c r="D135" s="11" t="s">
        <v>1771</v>
      </c>
      <c r="F135" t="s">
        <v>2977</v>
      </c>
      <c r="G135" s="37" t="s">
        <v>1851</v>
      </c>
      <c r="H135" s="37" t="s">
        <v>2988</v>
      </c>
      <c r="I135" s="11" t="s">
        <v>557</v>
      </c>
      <c r="J135" s="11" t="s">
        <v>1564</v>
      </c>
      <c r="K135" s="11" t="s">
        <v>1775</v>
      </c>
      <c r="L135" s="28" t="s">
        <v>3031</v>
      </c>
      <c r="M135" s="11"/>
      <c r="N135" s="11" t="s">
        <v>1641</v>
      </c>
      <c r="O135" s="11">
        <v>2.36</v>
      </c>
      <c r="P135" s="11" t="s">
        <v>1589</v>
      </c>
      <c r="V135" t="s">
        <v>2288</v>
      </c>
    </row>
    <row r="136" spans="1:22" x14ac:dyDescent="0.35">
      <c r="A136">
        <v>2024</v>
      </c>
      <c r="B136" t="s">
        <v>1537</v>
      </c>
      <c r="C136" t="s">
        <v>715</v>
      </c>
      <c r="D136" s="11" t="s">
        <v>1771</v>
      </c>
      <c r="F136" t="s">
        <v>2978</v>
      </c>
      <c r="G136" s="37" t="s">
        <v>1851</v>
      </c>
      <c r="H136" s="37" t="s">
        <v>2988</v>
      </c>
      <c r="I136" s="11" t="s">
        <v>125</v>
      </c>
      <c r="J136" s="11" t="s">
        <v>1564</v>
      </c>
      <c r="K136" s="11" t="s">
        <v>1775</v>
      </c>
      <c r="L136" s="28" t="s">
        <v>3031</v>
      </c>
      <c r="M136" s="11"/>
      <c r="N136" s="11" t="s">
        <v>1641</v>
      </c>
      <c r="O136" s="11">
        <v>0.67</v>
      </c>
      <c r="P136" s="11" t="s">
        <v>1589</v>
      </c>
      <c r="V136" t="s">
        <v>2288</v>
      </c>
    </row>
    <row r="137" spans="1:22" x14ac:dyDescent="0.35">
      <c r="A137">
        <v>2024</v>
      </c>
      <c r="B137" t="s">
        <v>1537</v>
      </c>
      <c r="C137" t="s">
        <v>715</v>
      </c>
      <c r="D137" s="11" t="s">
        <v>1771</v>
      </c>
      <c r="F137" t="s">
        <v>2979</v>
      </c>
      <c r="G137" s="37" t="s">
        <v>1851</v>
      </c>
      <c r="H137" s="37" t="s">
        <v>2988</v>
      </c>
      <c r="I137" s="11" t="s">
        <v>1769</v>
      </c>
      <c r="J137" s="11" t="s">
        <v>1564</v>
      </c>
      <c r="K137" s="11" t="s">
        <v>1775</v>
      </c>
      <c r="L137" s="28" t="s">
        <v>3031</v>
      </c>
      <c r="M137" s="11"/>
      <c r="N137" s="11" t="s">
        <v>1641</v>
      </c>
      <c r="O137" s="11">
        <v>0.05</v>
      </c>
      <c r="P137" s="11" t="s">
        <v>1589</v>
      </c>
      <c r="V137" t="s">
        <v>2288</v>
      </c>
    </row>
    <row r="138" spans="1:22" x14ac:dyDescent="0.35">
      <c r="A138">
        <v>2024</v>
      </c>
      <c r="B138" t="s">
        <v>1537</v>
      </c>
      <c r="C138" t="s">
        <v>715</v>
      </c>
      <c r="D138" s="11" t="s">
        <v>1771</v>
      </c>
      <c r="F138" t="s">
        <v>2980</v>
      </c>
      <c r="G138" s="37" t="s">
        <v>1851</v>
      </c>
      <c r="H138" s="37" t="s">
        <v>2988</v>
      </c>
      <c r="I138" s="11" t="s">
        <v>1772</v>
      </c>
      <c r="J138" s="11" t="s">
        <v>1564</v>
      </c>
      <c r="K138" s="11" t="s">
        <v>1775</v>
      </c>
      <c r="L138" s="28" t="s">
        <v>3031</v>
      </c>
      <c r="M138" s="11"/>
      <c r="N138" s="11" t="s">
        <v>1641</v>
      </c>
      <c r="O138" s="11">
        <v>0.68</v>
      </c>
      <c r="P138" s="11" t="s">
        <v>1567</v>
      </c>
      <c r="V138" t="s">
        <v>2288</v>
      </c>
    </row>
    <row r="139" spans="1:22" x14ac:dyDescent="0.35">
      <c r="A139">
        <v>2024</v>
      </c>
      <c r="B139" t="s">
        <v>1537</v>
      </c>
      <c r="C139" t="s">
        <v>715</v>
      </c>
      <c r="D139" s="11" t="s">
        <v>1771</v>
      </c>
      <c r="F139" t="s">
        <v>2981</v>
      </c>
      <c r="G139" s="37" t="s">
        <v>1851</v>
      </c>
      <c r="H139" s="37" t="s">
        <v>2988</v>
      </c>
      <c r="I139" s="11" t="s">
        <v>1773</v>
      </c>
      <c r="J139" s="11" t="s">
        <v>1564</v>
      </c>
      <c r="K139" s="11" t="s">
        <v>1775</v>
      </c>
      <c r="L139" s="28" t="s">
        <v>3031</v>
      </c>
      <c r="M139" s="11"/>
      <c r="N139" s="11" t="s">
        <v>1641</v>
      </c>
      <c r="O139" s="11">
        <v>1.6</v>
      </c>
      <c r="P139" s="11" t="s">
        <v>1567</v>
      </c>
      <c r="V139" t="s">
        <v>2288</v>
      </c>
    </row>
    <row r="140" spans="1:22" x14ac:dyDescent="0.35">
      <c r="A140">
        <v>2024</v>
      </c>
      <c r="B140" t="s">
        <v>1537</v>
      </c>
      <c r="C140" t="s">
        <v>715</v>
      </c>
      <c r="D140" s="11" t="s">
        <v>1771</v>
      </c>
      <c r="F140" t="s">
        <v>2982</v>
      </c>
      <c r="G140" s="37" t="s">
        <v>1851</v>
      </c>
      <c r="H140" s="37" t="s">
        <v>2988</v>
      </c>
      <c r="I140" s="11" t="s">
        <v>1776</v>
      </c>
      <c r="J140" s="11" t="s">
        <v>1564</v>
      </c>
      <c r="K140" s="11" t="s">
        <v>1574</v>
      </c>
      <c r="L140" s="28" t="s">
        <v>3031</v>
      </c>
      <c r="M140" s="11">
        <v>21.5</v>
      </c>
      <c r="N140" s="11" t="s">
        <v>1641</v>
      </c>
      <c r="O140" s="11"/>
      <c r="P140" s="11"/>
      <c r="V140" t="s">
        <v>2288</v>
      </c>
    </row>
    <row r="141" spans="1:22" x14ac:dyDescent="0.35">
      <c r="A141">
        <v>2024</v>
      </c>
      <c r="B141" t="s">
        <v>1537</v>
      </c>
      <c r="C141" t="s">
        <v>715</v>
      </c>
      <c r="D141" s="11" t="s">
        <v>1771</v>
      </c>
      <c r="F141" t="s">
        <v>2983</v>
      </c>
      <c r="G141" s="37" t="s">
        <v>1851</v>
      </c>
      <c r="H141" s="37" t="s">
        <v>2988</v>
      </c>
      <c r="I141" s="11" t="s">
        <v>557</v>
      </c>
      <c r="J141" s="11" t="s">
        <v>1564</v>
      </c>
      <c r="K141" s="11" t="s">
        <v>1574</v>
      </c>
      <c r="L141" s="28" t="s">
        <v>3031</v>
      </c>
      <c r="M141" s="11"/>
      <c r="N141" s="11" t="s">
        <v>1641</v>
      </c>
      <c r="O141" s="11">
        <v>2.02</v>
      </c>
      <c r="P141" s="11" t="s">
        <v>1589</v>
      </c>
      <c r="V141" t="s">
        <v>2288</v>
      </c>
    </row>
    <row r="142" spans="1:22" x14ac:dyDescent="0.35">
      <c r="A142">
        <v>2024</v>
      </c>
      <c r="B142" t="s">
        <v>1537</v>
      </c>
      <c r="C142" t="s">
        <v>715</v>
      </c>
      <c r="D142" s="11" t="s">
        <v>1771</v>
      </c>
      <c r="F142" t="s">
        <v>2984</v>
      </c>
      <c r="G142" s="37" t="s">
        <v>1851</v>
      </c>
      <c r="H142" s="37" t="s">
        <v>2988</v>
      </c>
      <c r="I142" s="11" t="s">
        <v>125</v>
      </c>
      <c r="J142" s="11" t="s">
        <v>1564</v>
      </c>
      <c r="K142" s="11" t="s">
        <v>1574</v>
      </c>
      <c r="L142" s="28" t="s">
        <v>3031</v>
      </c>
      <c r="M142" s="11"/>
      <c r="N142" s="11" t="s">
        <v>1641</v>
      </c>
      <c r="O142" s="11">
        <v>0.87</v>
      </c>
      <c r="P142" s="11" t="s">
        <v>1589</v>
      </c>
      <c r="V142" t="s">
        <v>2288</v>
      </c>
    </row>
    <row r="143" spans="1:22" x14ac:dyDescent="0.35">
      <c r="A143">
        <v>2024</v>
      </c>
      <c r="B143" t="s">
        <v>1537</v>
      </c>
      <c r="C143" t="s">
        <v>715</v>
      </c>
      <c r="D143" s="11" t="s">
        <v>1771</v>
      </c>
      <c r="F143" t="s">
        <v>2985</v>
      </c>
      <c r="G143" s="37" t="s">
        <v>1851</v>
      </c>
      <c r="H143" s="37" t="s">
        <v>2988</v>
      </c>
      <c r="I143" s="11" t="s">
        <v>1769</v>
      </c>
      <c r="J143" s="11" t="s">
        <v>1564</v>
      </c>
      <c r="K143" s="11" t="s">
        <v>1574</v>
      </c>
      <c r="L143" s="28" t="s">
        <v>3031</v>
      </c>
      <c r="M143" s="11"/>
      <c r="N143" s="11" t="s">
        <v>1641</v>
      </c>
      <c r="O143" s="11">
        <v>0.05</v>
      </c>
      <c r="P143" s="11" t="s">
        <v>1589</v>
      </c>
      <c r="V143" t="s">
        <v>2288</v>
      </c>
    </row>
    <row r="144" spans="1:22" x14ac:dyDescent="0.35">
      <c r="A144">
        <v>2024</v>
      </c>
      <c r="B144" t="s">
        <v>1537</v>
      </c>
      <c r="C144" t="s">
        <v>715</v>
      </c>
      <c r="D144" s="11" t="s">
        <v>1771</v>
      </c>
      <c r="F144" t="s">
        <v>2986</v>
      </c>
      <c r="G144" s="37" t="s">
        <v>1851</v>
      </c>
      <c r="H144" s="37" t="s">
        <v>2988</v>
      </c>
      <c r="I144" s="11" t="s">
        <v>1772</v>
      </c>
      <c r="J144" s="11" t="s">
        <v>1564</v>
      </c>
      <c r="K144" s="11" t="s">
        <v>1574</v>
      </c>
      <c r="L144" s="28" t="s">
        <v>3031</v>
      </c>
      <c r="M144" s="11"/>
      <c r="N144" s="11" t="s">
        <v>1641</v>
      </c>
      <c r="O144" s="11">
        <v>0.5</v>
      </c>
      <c r="P144" s="11" t="s">
        <v>1567</v>
      </c>
      <c r="V144" t="s">
        <v>2288</v>
      </c>
    </row>
    <row r="145" spans="1:22" x14ac:dyDescent="0.35">
      <c r="A145">
        <v>2024</v>
      </c>
      <c r="B145" t="s">
        <v>1537</v>
      </c>
      <c r="C145" t="s">
        <v>715</v>
      </c>
      <c r="D145" s="11" t="s">
        <v>1771</v>
      </c>
      <c r="F145" t="s">
        <v>2987</v>
      </c>
      <c r="G145" s="37" t="s">
        <v>1851</v>
      </c>
      <c r="H145" s="37" t="s">
        <v>2988</v>
      </c>
      <c r="I145" s="11" t="s">
        <v>1773</v>
      </c>
      <c r="J145" s="11" t="s">
        <v>1564</v>
      </c>
      <c r="K145" s="11" t="s">
        <v>1574</v>
      </c>
      <c r="L145" s="28" t="s">
        <v>3031</v>
      </c>
      <c r="M145" s="11"/>
      <c r="N145" s="11" t="s">
        <v>1641</v>
      </c>
      <c r="O145" s="11">
        <v>0.83</v>
      </c>
      <c r="P145" s="11" t="s">
        <v>1567</v>
      </c>
      <c r="V145" t="s">
        <v>2288</v>
      </c>
    </row>
    <row r="146" spans="1:22" x14ac:dyDescent="0.35">
      <c r="A146">
        <v>2024</v>
      </c>
      <c r="B146" t="s">
        <v>772</v>
      </c>
      <c r="C146" t="s">
        <v>715</v>
      </c>
      <c r="D146" s="11" t="s">
        <v>143</v>
      </c>
      <c r="E146" t="s">
        <v>1249</v>
      </c>
      <c r="G146" s="37" t="s">
        <v>11</v>
      </c>
      <c r="H146" s="37" t="s">
        <v>44</v>
      </c>
      <c r="I146" s="11" t="s">
        <v>1776</v>
      </c>
      <c r="J146" s="11" t="s">
        <v>1570</v>
      </c>
      <c r="K146" s="11" t="s">
        <v>1571</v>
      </c>
      <c r="L146" s="28" t="s">
        <v>3031</v>
      </c>
      <c r="M146">
        <v>3.1</v>
      </c>
      <c r="N146" s="11" t="s">
        <v>1641</v>
      </c>
      <c r="V146" t="s">
        <v>2288</v>
      </c>
    </row>
    <row r="147" spans="1:22" x14ac:dyDescent="0.35">
      <c r="A147">
        <v>2024</v>
      </c>
      <c r="B147" t="s">
        <v>772</v>
      </c>
      <c r="C147" t="s">
        <v>715</v>
      </c>
      <c r="D147" s="11" t="s">
        <v>143</v>
      </c>
      <c r="E147" t="s">
        <v>1249</v>
      </c>
      <c r="G147" s="37" t="s">
        <v>11</v>
      </c>
      <c r="H147" s="37" t="s">
        <v>44</v>
      </c>
      <c r="I147" s="11" t="s">
        <v>1551</v>
      </c>
      <c r="J147" s="11" t="s">
        <v>1570</v>
      </c>
      <c r="K147" s="11" t="s">
        <v>1571</v>
      </c>
      <c r="L147" s="28" t="s">
        <v>3031</v>
      </c>
      <c r="N147" s="11" t="s">
        <v>1641</v>
      </c>
      <c r="O147" s="11">
        <v>3.42</v>
      </c>
      <c r="P147" s="11" t="s">
        <v>1589</v>
      </c>
      <c r="V147" t="s">
        <v>2288</v>
      </c>
    </row>
    <row r="148" spans="1:22" x14ac:dyDescent="0.35">
      <c r="A148">
        <v>2024</v>
      </c>
      <c r="B148" t="s">
        <v>772</v>
      </c>
      <c r="C148" t="s">
        <v>715</v>
      </c>
      <c r="D148" s="11" t="s">
        <v>143</v>
      </c>
      <c r="E148" t="s">
        <v>1249</v>
      </c>
      <c r="G148" s="37" t="s">
        <v>11</v>
      </c>
      <c r="H148" s="37" t="s">
        <v>44</v>
      </c>
      <c r="I148" s="11" t="s">
        <v>125</v>
      </c>
      <c r="J148" s="11" t="s">
        <v>1570</v>
      </c>
      <c r="K148" s="11" t="s">
        <v>1571</v>
      </c>
      <c r="L148" s="28" t="s">
        <v>3031</v>
      </c>
      <c r="N148" s="11" t="s">
        <v>1641</v>
      </c>
      <c r="O148" s="11">
        <v>1.38</v>
      </c>
      <c r="P148" s="11" t="s">
        <v>1589</v>
      </c>
      <c r="V148" t="s">
        <v>2288</v>
      </c>
    </row>
    <row r="149" spans="1:22" x14ac:dyDescent="0.35">
      <c r="A149">
        <v>2024</v>
      </c>
      <c r="B149" t="s">
        <v>772</v>
      </c>
      <c r="C149" t="s">
        <v>715</v>
      </c>
      <c r="D149" s="11" t="s">
        <v>143</v>
      </c>
      <c r="E149" t="s">
        <v>1249</v>
      </c>
      <c r="G149" s="37" t="s">
        <v>11</v>
      </c>
      <c r="H149" s="37" t="s">
        <v>44</v>
      </c>
      <c r="I149" s="11" t="s">
        <v>1549</v>
      </c>
      <c r="J149" s="11" t="s">
        <v>1570</v>
      </c>
      <c r="K149" s="11" t="s">
        <v>1571</v>
      </c>
      <c r="L149" s="28" t="s">
        <v>3031</v>
      </c>
      <c r="N149" s="11" t="s">
        <v>1641</v>
      </c>
      <c r="O149" s="11">
        <v>42</v>
      </c>
      <c r="P149" s="11" t="s">
        <v>1567</v>
      </c>
      <c r="V149" t="s">
        <v>2288</v>
      </c>
    </row>
    <row r="150" spans="1:22" x14ac:dyDescent="0.35">
      <c r="A150">
        <v>2024</v>
      </c>
      <c r="B150" t="s">
        <v>772</v>
      </c>
      <c r="C150" t="s">
        <v>715</v>
      </c>
      <c r="D150" s="11" t="s">
        <v>143</v>
      </c>
      <c r="E150" t="s">
        <v>1249</v>
      </c>
      <c r="G150" s="37" t="s">
        <v>11</v>
      </c>
      <c r="H150" s="37" t="s">
        <v>44</v>
      </c>
      <c r="I150" s="11" t="s">
        <v>1776</v>
      </c>
      <c r="J150" s="11" t="s">
        <v>1570</v>
      </c>
      <c r="K150" s="11" t="s">
        <v>1572</v>
      </c>
      <c r="L150" s="28" t="s">
        <v>3031</v>
      </c>
      <c r="M150">
        <v>0.3</v>
      </c>
      <c r="N150" s="11" t="s">
        <v>1641</v>
      </c>
      <c r="V150" t="s">
        <v>2288</v>
      </c>
    </row>
    <row r="151" spans="1:22" x14ac:dyDescent="0.35">
      <c r="A151">
        <v>2024</v>
      </c>
      <c r="B151" t="s">
        <v>772</v>
      </c>
      <c r="C151" t="s">
        <v>715</v>
      </c>
      <c r="D151" s="11" t="s">
        <v>143</v>
      </c>
      <c r="E151" t="s">
        <v>1249</v>
      </c>
      <c r="G151" s="37" t="s">
        <v>11</v>
      </c>
      <c r="H151" s="37" t="s">
        <v>44</v>
      </c>
      <c r="I151" s="11" t="s">
        <v>1551</v>
      </c>
      <c r="J151" s="11" t="s">
        <v>1570</v>
      </c>
      <c r="K151" s="11" t="s">
        <v>1572</v>
      </c>
      <c r="L151" s="28" t="s">
        <v>3031</v>
      </c>
      <c r="N151" s="11" t="s">
        <v>1641</v>
      </c>
      <c r="O151" s="11">
        <v>3.42</v>
      </c>
      <c r="P151" s="11" t="s">
        <v>1589</v>
      </c>
      <c r="V151" t="s">
        <v>2288</v>
      </c>
    </row>
    <row r="152" spans="1:22" x14ac:dyDescent="0.35">
      <c r="A152">
        <v>2024</v>
      </c>
      <c r="B152" t="s">
        <v>772</v>
      </c>
      <c r="C152" t="s">
        <v>715</v>
      </c>
      <c r="D152" s="11" t="s">
        <v>143</v>
      </c>
      <c r="E152" t="s">
        <v>1249</v>
      </c>
      <c r="G152" s="37" t="s">
        <v>11</v>
      </c>
      <c r="H152" s="37" t="s">
        <v>44</v>
      </c>
      <c r="I152" s="11" t="s">
        <v>125</v>
      </c>
      <c r="J152" s="11" t="s">
        <v>1570</v>
      </c>
      <c r="K152" s="11" t="s">
        <v>1572</v>
      </c>
      <c r="L152" s="28" t="s">
        <v>3031</v>
      </c>
      <c r="N152" s="11" t="s">
        <v>1641</v>
      </c>
      <c r="O152" s="11">
        <v>1.38</v>
      </c>
      <c r="P152" s="11" t="s">
        <v>1589</v>
      </c>
      <c r="V152" t="s">
        <v>2288</v>
      </c>
    </row>
    <row r="153" spans="1:22" x14ac:dyDescent="0.35">
      <c r="A153">
        <v>2024</v>
      </c>
      <c r="B153" t="s">
        <v>772</v>
      </c>
      <c r="C153" t="s">
        <v>715</v>
      </c>
      <c r="D153" s="11" t="s">
        <v>143</v>
      </c>
      <c r="E153" t="s">
        <v>1249</v>
      </c>
      <c r="G153" s="37" t="s">
        <v>11</v>
      </c>
      <c r="H153" s="37" t="s">
        <v>44</v>
      </c>
      <c r="I153" s="11" t="s">
        <v>1549</v>
      </c>
      <c r="J153" s="11" t="s">
        <v>1570</v>
      </c>
      <c r="K153" s="11" t="s">
        <v>1572</v>
      </c>
      <c r="L153" s="28" t="s">
        <v>3031</v>
      </c>
      <c r="N153" s="11" t="s">
        <v>1641</v>
      </c>
      <c r="O153" s="11">
        <v>42</v>
      </c>
      <c r="P153" s="11" t="s">
        <v>1567</v>
      </c>
      <c r="V153" t="s">
        <v>2288</v>
      </c>
    </row>
    <row r="154" spans="1:22" x14ac:dyDescent="0.35">
      <c r="A154">
        <v>2024</v>
      </c>
      <c r="B154" t="s">
        <v>772</v>
      </c>
      <c r="C154" t="s">
        <v>715</v>
      </c>
      <c r="D154" s="11" t="s">
        <v>143</v>
      </c>
      <c r="E154" t="s">
        <v>1249</v>
      </c>
      <c r="G154" s="37" t="s">
        <v>11</v>
      </c>
      <c r="H154" s="37" t="s">
        <v>44</v>
      </c>
      <c r="I154" s="11" t="s">
        <v>1776</v>
      </c>
      <c r="J154" s="11" t="s">
        <v>1564</v>
      </c>
      <c r="K154" s="11" t="s">
        <v>1775</v>
      </c>
      <c r="L154" s="28" t="s">
        <v>3031</v>
      </c>
      <c r="M154">
        <v>1.5</v>
      </c>
      <c r="N154" s="11" t="s">
        <v>1641</v>
      </c>
      <c r="V154" t="s">
        <v>2288</v>
      </c>
    </row>
    <row r="155" spans="1:22" x14ac:dyDescent="0.35">
      <c r="A155">
        <v>2024</v>
      </c>
      <c r="B155" t="s">
        <v>772</v>
      </c>
      <c r="C155" t="s">
        <v>715</v>
      </c>
      <c r="D155" s="11" t="s">
        <v>143</v>
      </c>
      <c r="E155" t="s">
        <v>1249</v>
      </c>
      <c r="G155" s="37" t="s">
        <v>11</v>
      </c>
      <c r="H155" s="37" t="s">
        <v>44</v>
      </c>
      <c r="I155" s="11" t="s">
        <v>1551</v>
      </c>
      <c r="J155" s="11" t="s">
        <v>1564</v>
      </c>
      <c r="K155" s="11" t="s">
        <v>1775</v>
      </c>
      <c r="L155" s="28" t="s">
        <v>3031</v>
      </c>
      <c r="N155" s="11" t="s">
        <v>1641</v>
      </c>
      <c r="O155" s="11">
        <v>3.42</v>
      </c>
      <c r="P155" s="11" t="s">
        <v>1589</v>
      </c>
      <c r="V155" t="s">
        <v>2288</v>
      </c>
    </row>
    <row r="156" spans="1:22" x14ac:dyDescent="0.35">
      <c r="A156">
        <v>2024</v>
      </c>
      <c r="B156" t="s">
        <v>772</v>
      </c>
      <c r="C156" t="s">
        <v>715</v>
      </c>
      <c r="D156" s="11" t="s">
        <v>143</v>
      </c>
      <c r="E156" t="s">
        <v>1249</v>
      </c>
      <c r="G156" s="37" t="s">
        <v>11</v>
      </c>
      <c r="H156" s="37" t="s">
        <v>44</v>
      </c>
      <c r="I156" s="11" t="s">
        <v>125</v>
      </c>
      <c r="J156" s="11" t="s">
        <v>1564</v>
      </c>
      <c r="K156" s="11" t="s">
        <v>1775</v>
      </c>
      <c r="L156" s="28" t="s">
        <v>3031</v>
      </c>
      <c r="N156" s="11" t="s">
        <v>1641</v>
      </c>
      <c r="O156" s="11">
        <v>1.41</v>
      </c>
      <c r="P156" s="11" t="s">
        <v>1589</v>
      </c>
      <c r="V156" t="s">
        <v>2288</v>
      </c>
    </row>
    <row r="157" spans="1:22" x14ac:dyDescent="0.35">
      <c r="A157">
        <v>2024</v>
      </c>
      <c r="B157" t="s">
        <v>772</v>
      </c>
      <c r="C157" t="s">
        <v>715</v>
      </c>
      <c r="D157" s="11" t="s">
        <v>143</v>
      </c>
      <c r="E157" t="s">
        <v>1249</v>
      </c>
      <c r="G157" s="37" t="s">
        <v>11</v>
      </c>
      <c r="H157" s="37" t="s">
        <v>44</v>
      </c>
      <c r="I157" s="11" t="s">
        <v>1549</v>
      </c>
      <c r="J157" s="11" t="s">
        <v>1564</v>
      </c>
      <c r="K157" s="11" t="s">
        <v>1775</v>
      </c>
      <c r="L157" s="28" t="s">
        <v>3031</v>
      </c>
      <c r="N157" s="11" t="s">
        <v>1641</v>
      </c>
      <c r="O157" s="11">
        <v>40</v>
      </c>
      <c r="P157" s="11" t="s">
        <v>1567</v>
      </c>
      <c r="V157" t="s">
        <v>2288</v>
      </c>
    </row>
    <row r="158" spans="1:22" x14ac:dyDescent="0.35">
      <c r="A158">
        <v>2024</v>
      </c>
      <c r="B158" t="s">
        <v>772</v>
      </c>
      <c r="C158" t="s">
        <v>715</v>
      </c>
      <c r="D158" s="11" t="s">
        <v>143</v>
      </c>
      <c r="E158" t="s">
        <v>1249</v>
      </c>
      <c r="G158" s="37" t="s">
        <v>11</v>
      </c>
      <c r="H158" s="37" t="s">
        <v>44</v>
      </c>
      <c r="I158" s="11" t="s">
        <v>1776</v>
      </c>
      <c r="J158" s="11" t="s">
        <v>1564</v>
      </c>
      <c r="K158" s="11" t="s">
        <v>1574</v>
      </c>
      <c r="L158" s="28" t="s">
        <v>3031</v>
      </c>
      <c r="M158">
        <v>1.3</v>
      </c>
      <c r="N158" s="11" t="s">
        <v>1641</v>
      </c>
      <c r="V158" t="s">
        <v>2288</v>
      </c>
    </row>
    <row r="159" spans="1:22" x14ac:dyDescent="0.35">
      <c r="A159">
        <v>2024</v>
      </c>
      <c r="B159" t="s">
        <v>772</v>
      </c>
      <c r="C159" t="s">
        <v>715</v>
      </c>
      <c r="D159" s="11" t="s">
        <v>143</v>
      </c>
      <c r="E159" t="s">
        <v>1249</v>
      </c>
      <c r="G159" s="37" t="s">
        <v>11</v>
      </c>
      <c r="H159" s="37" t="s">
        <v>44</v>
      </c>
      <c r="I159" s="11" t="s">
        <v>1551</v>
      </c>
      <c r="J159" s="11" t="s">
        <v>1564</v>
      </c>
      <c r="K159" s="11" t="s">
        <v>1574</v>
      </c>
      <c r="L159" s="28" t="s">
        <v>3031</v>
      </c>
      <c r="N159" s="11" t="s">
        <v>1641</v>
      </c>
      <c r="O159" s="11">
        <v>3.51</v>
      </c>
      <c r="P159" s="11" t="s">
        <v>1589</v>
      </c>
      <c r="V159" t="s">
        <v>2288</v>
      </c>
    </row>
    <row r="160" spans="1:22" x14ac:dyDescent="0.35">
      <c r="A160">
        <v>2024</v>
      </c>
      <c r="B160" t="s">
        <v>772</v>
      </c>
      <c r="C160" t="s">
        <v>715</v>
      </c>
      <c r="D160" s="11" t="s">
        <v>143</v>
      </c>
      <c r="E160" t="s">
        <v>1249</v>
      </c>
      <c r="G160" s="37" t="s">
        <v>11</v>
      </c>
      <c r="H160" s="37" t="s">
        <v>44</v>
      </c>
      <c r="I160" s="11" t="s">
        <v>125</v>
      </c>
      <c r="J160" s="11" t="s">
        <v>1564</v>
      </c>
      <c r="K160" s="11" t="s">
        <v>1574</v>
      </c>
      <c r="L160" s="28" t="s">
        <v>3031</v>
      </c>
      <c r="N160" s="11" t="s">
        <v>1641</v>
      </c>
      <c r="O160" s="11">
        <v>1.23</v>
      </c>
      <c r="P160" s="11" t="s">
        <v>1589</v>
      </c>
      <c r="V160" t="s">
        <v>2288</v>
      </c>
    </row>
    <row r="161" spans="1:22" x14ac:dyDescent="0.35">
      <c r="A161">
        <v>2024</v>
      </c>
      <c r="B161" t="s">
        <v>772</v>
      </c>
      <c r="C161" t="s">
        <v>715</v>
      </c>
      <c r="D161" s="11" t="s">
        <v>143</v>
      </c>
      <c r="E161" t="s">
        <v>1249</v>
      </c>
      <c r="G161" s="37" t="s">
        <v>11</v>
      </c>
      <c r="H161" s="37" t="s">
        <v>44</v>
      </c>
      <c r="I161" s="11" t="s">
        <v>1549</v>
      </c>
      <c r="J161" s="11" t="s">
        <v>1564</v>
      </c>
      <c r="K161" s="11" t="s">
        <v>1574</v>
      </c>
      <c r="L161" s="28" t="s">
        <v>3031</v>
      </c>
      <c r="N161" s="11" t="s">
        <v>1641</v>
      </c>
      <c r="O161" s="11">
        <v>45</v>
      </c>
      <c r="P161" s="11" t="s">
        <v>1567</v>
      </c>
      <c r="V161" t="s">
        <v>2288</v>
      </c>
    </row>
    <row r="162" spans="1:22" x14ac:dyDescent="0.35">
      <c r="A162">
        <v>2024</v>
      </c>
      <c r="B162" t="s">
        <v>772</v>
      </c>
      <c r="C162" t="s">
        <v>715</v>
      </c>
      <c r="D162" s="11" t="s">
        <v>200</v>
      </c>
      <c r="E162" t="s">
        <v>1245</v>
      </c>
      <c r="G162" s="37" t="s">
        <v>11</v>
      </c>
      <c r="H162" s="37" t="s">
        <v>21</v>
      </c>
      <c r="I162" s="11" t="s">
        <v>1776</v>
      </c>
      <c r="J162" s="11" t="s">
        <v>1570</v>
      </c>
      <c r="K162" s="11" t="s">
        <v>1571</v>
      </c>
      <c r="L162" s="28" t="s">
        <v>3031</v>
      </c>
      <c r="M162" s="11">
        <v>8.1999999999999993</v>
      </c>
      <c r="N162" s="11" t="s">
        <v>1641</v>
      </c>
      <c r="O162" s="11"/>
      <c r="P162" s="11"/>
      <c r="Q162" s="11"/>
      <c r="R162" s="11"/>
      <c r="S162" s="11"/>
      <c r="T162" s="11"/>
      <c r="U162" s="11"/>
      <c r="V162" t="s">
        <v>2288</v>
      </c>
    </row>
    <row r="163" spans="1:22" x14ac:dyDescent="0.35">
      <c r="A163">
        <v>2024</v>
      </c>
      <c r="B163" t="s">
        <v>772</v>
      </c>
      <c r="C163" t="s">
        <v>715</v>
      </c>
      <c r="D163" s="11" t="s">
        <v>200</v>
      </c>
      <c r="E163" t="s">
        <v>1245</v>
      </c>
      <c r="G163" s="37" t="s">
        <v>11</v>
      </c>
      <c r="H163" s="37" t="s">
        <v>21</v>
      </c>
      <c r="I163" s="11" t="s">
        <v>557</v>
      </c>
      <c r="J163" s="11" t="s">
        <v>1570</v>
      </c>
      <c r="K163" s="11" t="s">
        <v>1571</v>
      </c>
      <c r="L163" s="28" t="s">
        <v>3031</v>
      </c>
      <c r="M163" s="11"/>
      <c r="N163" s="11" t="s">
        <v>1641</v>
      </c>
      <c r="O163" s="11">
        <v>3.12</v>
      </c>
      <c r="P163" s="11" t="s">
        <v>1589</v>
      </c>
      <c r="Q163" s="11"/>
      <c r="R163" s="11"/>
      <c r="S163" s="11"/>
      <c r="T163" s="11"/>
      <c r="U163" s="11"/>
      <c r="V163" t="s">
        <v>2288</v>
      </c>
    </row>
    <row r="164" spans="1:22" x14ac:dyDescent="0.35">
      <c r="A164">
        <v>2024</v>
      </c>
      <c r="B164" t="s">
        <v>772</v>
      </c>
      <c r="C164" t="s">
        <v>715</v>
      </c>
      <c r="D164" s="11" t="s">
        <v>200</v>
      </c>
      <c r="E164" t="s">
        <v>1245</v>
      </c>
      <c r="G164" s="37" t="s">
        <v>11</v>
      </c>
      <c r="H164" s="37" t="s">
        <v>21</v>
      </c>
      <c r="I164" s="11" t="s">
        <v>125</v>
      </c>
      <c r="J164" s="11" t="s">
        <v>1570</v>
      </c>
      <c r="K164" s="11" t="s">
        <v>1571</v>
      </c>
      <c r="L164" s="28" t="s">
        <v>3031</v>
      </c>
      <c r="M164" s="11"/>
      <c r="N164" s="11" t="s">
        <v>1641</v>
      </c>
      <c r="O164" s="11">
        <v>0.85</v>
      </c>
      <c r="P164" s="11" t="s">
        <v>1589</v>
      </c>
      <c r="Q164" s="11"/>
      <c r="R164" s="11"/>
      <c r="S164" s="11"/>
      <c r="T164" s="11"/>
      <c r="U164" s="11"/>
      <c r="V164" t="s">
        <v>2288</v>
      </c>
    </row>
    <row r="165" spans="1:22" x14ac:dyDescent="0.35">
      <c r="A165">
        <v>2024</v>
      </c>
      <c r="B165" t="s">
        <v>772</v>
      </c>
      <c r="C165" t="s">
        <v>715</v>
      </c>
      <c r="D165" s="11" t="s">
        <v>200</v>
      </c>
      <c r="E165" t="s">
        <v>1245</v>
      </c>
      <c r="G165" s="37" t="s">
        <v>11</v>
      </c>
      <c r="H165" s="37" t="s">
        <v>21</v>
      </c>
      <c r="I165" s="11" t="s">
        <v>1769</v>
      </c>
      <c r="J165" s="11" t="s">
        <v>1570</v>
      </c>
      <c r="K165" s="11" t="s">
        <v>1571</v>
      </c>
      <c r="L165" s="28" t="s">
        <v>3031</v>
      </c>
      <c r="M165" s="11"/>
      <c r="N165" s="11" t="s">
        <v>1641</v>
      </c>
      <c r="O165" s="11">
        <v>7.0000000000000007E-2</v>
      </c>
      <c r="P165" s="11" t="s">
        <v>1589</v>
      </c>
      <c r="Q165" s="11"/>
      <c r="R165" s="11"/>
      <c r="S165" s="11"/>
      <c r="T165" s="11"/>
      <c r="U165" s="11"/>
      <c r="V165" t="s">
        <v>2288</v>
      </c>
    </row>
    <row r="166" spans="1:22" x14ac:dyDescent="0.35">
      <c r="A166">
        <v>2024</v>
      </c>
      <c r="B166" t="s">
        <v>772</v>
      </c>
      <c r="C166" t="s">
        <v>715</v>
      </c>
      <c r="D166" s="11" t="s">
        <v>200</v>
      </c>
      <c r="E166" t="s">
        <v>1245</v>
      </c>
      <c r="G166" s="37" t="s">
        <v>11</v>
      </c>
      <c r="H166" s="37" t="s">
        <v>21</v>
      </c>
      <c r="I166" s="11" t="s">
        <v>1772</v>
      </c>
      <c r="J166" s="11" t="s">
        <v>1570</v>
      </c>
      <c r="K166" s="11" t="s">
        <v>1571</v>
      </c>
      <c r="L166" s="28" t="s">
        <v>3031</v>
      </c>
      <c r="M166" s="11"/>
      <c r="N166" s="11" t="s">
        <v>1641</v>
      </c>
      <c r="O166" s="11">
        <v>0.91</v>
      </c>
      <c r="P166" s="11" t="s">
        <v>1567</v>
      </c>
      <c r="Q166" s="11"/>
      <c r="R166" s="11"/>
      <c r="S166" s="11"/>
      <c r="T166" s="11"/>
      <c r="U166" s="11"/>
      <c r="V166" t="s">
        <v>2288</v>
      </c>
    </row>
    <row r="167" spans="1:22" x14ac:dyDescent="0.35">
      <c r="A167">
        <v>2024</v>
      </c>
      <c r="B167" t="s">
        <v>772</v>
      </c>
      <c r="C167" t="s">
        <v>715</v>
      </c>
      <c r="D167" s="11" t="s">
        <v>200</v>
      </c>
      <c r="E167" t="s">
        <v>1245</v>
      </c>
      <c r="G167" s="37" t="s">
        <v>11</v>
      </c>
      <c r="H167" s="37" t="s">
        <v>21</v>
      </c>
      <c r="I167" s="11" t="s">
        <v>1773</v>
      </c>
      <c r="J167" s="11" t="s">
        <v>1570</v>
      </c>
      <c r="K167" s="11" t="s">
        <v>1571</v>
      </c>
      <c r="L167" s="28" t="s">
        <v>3031</v>
      </c>
      <c r="M167" s="11"/>
      <c r="N167" s="11" t="s">
        <v>1641</v>
      </c>
      <c r="O167" s="11">
        <v>2.2000000000000002</v>
      </c>
      <c r="P167" s="11" t="s">
        <v>1567</v>
      </c>
      <c r="Q167" s="11"/>
      <c r="R167" s="11"/>
      <c r="S167" s="11"/>
      <c r="T167" s="11"/>
      <c r="U167" s="11"/>
      <c r="V167" t="s">
        <v>2288</v>
      </c>
    </row>
    <row r="168" spans="1:22" x14ac:dyDescent="0.35">
      <c r="A168">
        <v>2024</v>
      </c>
      <c r="B168" t="s">
        <v>772</v>
      </c>
      <c r="C168" t="s">
        <v>715</v>
      </c>
      <c r="D168" s="11" t="s">
        <v>200</v>
      </c>
      <c r="E168" t="s">
        <v>1245</v>
      </c>
      <c r="G168" s="37" t="s">
        <v>11</v>
      </c>
      <c r="H168" s="37" t="s">
        <v>21</v>
      </c>
      <c r="I168" s="11" t="s">
        <v>1776</v>
      </c>
      <c r="J168" s="11" t="s">
        <v>1570</v>
      </c>
      <c r="K168" s="11" t="s">
        <v>1572</v>
      </c>
      <c r="L168" s="28" t="s">
        <v>3031</v>
      </c>
      <c r="M168" s="11">
        <v>15.8</v>
      </c>
      <c r="N168" s="11" t="s">
        <v>1641</v>
      </c>
      <c r="O168" s="11"/>
      <c r="P168" s="11"/>
      <c r="Q168" s="11"/>
      <c r="R168" s="11"/>
      <c r="S168" s="11"/>
      <c r="T168" s="11"/>
      <c r="U168" s="11"/>
      <c r="V168" t="s">
        <v>2288</v>
      </c>
    </row>
    <row r="169" spans="1:22" x14ac:dyDescent="0.35">
      <c r="A169">
        <v>2024</v>
      </c>
      <c r="B169" t="s">
        <v>772</v>
      </c>
      <c r="C169" t="s">
        <v>715</v>
      </c>
      <c r="D169" s="11" t="s">
        <v>200</v>
      </c>
      <c r="E169" t="s">
        <v>1245</v>
      </c>
      <c r="G169" s="37" t="s">
        <v>11</v>
      </c>
      <c r="H169" s="37" t="s">
        <v>21</v>
      </c>
      <c r="I169" s="11" t="s">
        <v>557</v>
      </c>
      <c r="J169" s="11" t="s">
        <v>1570</v>
      </c>
      <c r="K169" s="11" t="s">
        <v>1572</v>
      </c>
      <c r="L169" s="28" t="s">
        <v>3031</v>
      </c>
      <c r="M169" s="11"/>
      <c r="N169" s="11" t="s">
        <v>1641</v>
      </c>
      <c r="O169" s="11">
        <v>3.12</v>
      </c>
      <c r="P169" s="11" t="s">
        <v>1589</v>
      </c>
      <c r="Q169" s="11"/>
      <c r="R169" s="11"/>
      <c r="S169" s="11"/>
      <c r="T169" s="11"/>
      <c r="U169" s="11"/>
      <c r="V169" t="s">
        <v>2288</v>
      </c>
    </row>
    <row r="170" spans="1:22" x14ac:dyDescent="0.35">
      <c r="A170">
        <v>2024</v>
      </c>
      <c r="B170" t="s">
        <v>772</v>
      </c>
      <c r="C170" t="s">
        <v>715</v>
      </c>
      <c r="D170" s="11" t="s">
        <v>200</v>
      </c>
      <c r="E170" t="s">
        <v>1245</v>
      </c>
      <c r="G170" s="37" t="s">
        <v>11</v>
      </c>
      <c r="H170" s="37" t="s">
        <v>21</v>
      </c>
      <c r="I170" s="11" t="s">
        <v>125</v>
      </c>
      <c r="J170" s="11" t="s">
        <v>1570</v>
      </c>
      <c r="K170" s="11" t="s">
        <v>1572</v>
      </c>
      <c r="L170" s="28" t="s">
        <v>3031</v>
      </c>
      <c r="M170" s="11"/>
      <c r="N170" s="11" t="s">
        <v>1641</v>
      </c>
      <c r="O170" s="11">
        <v>0.94</v>
      </c>
      <c r="P170" s="11" t="s">
        <v>1589</v>
      </c>
      <c r="Q170" s="11"/>
      <c r="R170" s="11"/>
      <c r="S170" s="11"/>
      <c r="T170" s="11"/>
      <c r="U170" s="11"/>
      <c r="V170" t="s">
        <v>2288</v>
      </c>
    </row>
    <row r="171" spans="1:22" x14ac:dyDescent="0.35">
      <c r="A171">
        <v>2024</v>
      </c>
      <c r="B171" t="s">
        <v>772</v>
      </c>
      <c r="C171" t="s">
        <v>715</v>
      </c>
      <c r="D171" s="11" t="s">
        <v>200</v>
      </c>
      <c r="E171" t="s">
        <v>1245</v>
      </c>
      <c r="G171" s="37" t="s">
        <v>11</v>
      </c>
      <c r="H171" s="37" t="s">
        <v>21</v>
      </c>
      <c r="I171" s="11" t="s">
        <v>1769</v>
      </c>
      <c r="J171" s="11" t="s">
        <v>1570</v>
      </c>
      <c r="K171" s="11" t="s">
        <v>1572</v>
      </c>
      <c r="L171" s="28" t="s">
        <v>3031</v>
      </c>
      <c r="M171" s="11"/>
      <c r="N171" s="11" t="s">
        <v>1641</v>
      </c>
      <c r="O171" s="11">
        <v>7.0000000000000007E-2</v>
      </c>
      <c r="P171" s="11" t="s">
        <v>1589</v>
      </c>
      <c r="Q171" s="11"/>
      <c r="R171" s="11"/>
      <c r="S171" s="11"/>
      <c r="T171" s="11"/>
      <c r="U171" s="11"/>
      <c r="V171" t="s">
        <v>2288</v>
      </c>
    </row>
    <row r="172" spans="1:22" x14ac:dyDescent="0.35">
      <c r="A172">
        <v>2024</v>
      </c>
      <c r="B172" t="s">
        <v>772</v>
      </c>
      <c r="C172" t="s">
        <v>715</v>
      </c>
      <c r="D172" s="11" t="s">
        <v>200</v>
      </c>
      <c r="E172" t="s">
        <v>1245</v>
      </c>
      <c r="G172" s="37" t="s">
        <v>11</v>
      </c>
      <c r="H172" s="37" t="s">
        <v>21</v>
      </c>
      <c r="I172" s="11" t="s">
        <v>1772</v>
      </c>
      <c r="J172" s="11" t="s">
        <v>1570</v>
      </c>
      <c r="K172" s="11" t="s">
        <v>1572</v>
      </c>
      <c r="L172" s="28" t="s">
        <v>3031</v>
      </c>
      <c r="M172" s="11"/>
      <c r="N172" s="11" t="s">
        <v>1641</v>
      </c>
      <c r="O172" s="11">
        <v>0.92</v>
      </c>
      <c r="P172" s="11" t="s">
        <v>1567</v>
      </c>
      <c r="Q172" s="11"/>
      <c r="R172" s="11"/>
      <c r="S172" s="11"/>
      <c r="T172" s="11"/>
      <c r="U172" s="11"/>
      <c r="V172" t="s">
        <v>2288</v>
      </c>
    </row>
    <row r="173" spans="1:22" x14ac:dyDescent="0.35">
      <c r="A173">
        <v>2024</v>
      </c>
      <c r="B173" t="s">
        <v>772</v>
      </c>
      <c r="C173" t="s">
        <v>715</v>
      </c>
      <c r="D173" s="11" t="s">
        <v>200</v>
      </c>
      <c r="E173" t="s">
        <v>1245</v>
      </c>
      <c r="G173" s="37" t="s">
        <v>11</v>
      </c>
      <c r="H173" s="37" t="s">
        <v>21</v>
      </c>
      <c r="I173" s="11" t="s">
        <v>1773</v>
      </c>
      <c r="J173" s="11" t="s">
        <v>1570</v>
      </c>
      <c r="K173" s="11" t="s">
        <v>1572</v>
      </c>
      <c r="L173" s="28" t="s">
        <v>3031</v>
      </c>
      <c r="M173" s="11"/>
      <c r="N173" s="11" t="s">
        <v>1641</v>
      </c>
      <c r="O173" s="11">
        <v>2.2999999999999998</v>
      </c>
      <c r="P173" s="11" t="s">
        <v>1567</v>
      </c>
      <c r="Q173" s="11"/>
      <c r="R173" s="11"/>
      <c r="S173" s="11"/>
      <c r="T173" s="11"/>
      <c r="U173" s="11"/>
      <c r="V173" t="s">
        <v>2288</v>
      </c>
    </row>
    <row r="174" spans="1:22" x14ac:dyDescent="0.35">
      <c r="A174">
        <v>2024</v>
      </c>
      <c r="B174" t="s">
        <v>772</v>
      </c>
      <c r="C174" t="s">
        <v>715</v>
      </c>
      <c r="D174" s="11" t="s">
        <v>200</v>
      </c>
      <c r="E174" t="s">
        <v>1245</v>
      </c>
      <c r="G174" s="37" t="s">
        <v>11</v>
      </c>
      <c r="H174" s="37" t="s">
        <v>21</v>
      </c>
      <c r="I174" s="11" t="s">
        <v>1776</v>
      </c>
      <c r="J174" s="11" t="s">
        <v>1570</v>
      </c>
      <c r="K174" s="11" t="s">
        <v>1573</v>
      </c>
      <c r="L174" s="28" t="s">
        <v>3031</v>
      </c>
      <c r="M174" s="11">
        <v>11</v>
      </c>
      <c r="N174" s="11" t="s">
        <v>1641</v>
      </c>
      <c r="O174" s="11"/>
      <c r="P174" s="11"/>
      <c r="Q174" s="11"/>
      <c r="R174" s="11"/>
      <c r="S174" s="11"/>
      <c r="T174" s="11"/>
      <c r="U174" s="11"/>
      <c r="V174" t="s">
        <v>2288</v>
      </c>
    </row>
    <row r="175" spans="1:22" x14ac:dyDescent="0.35">
      <c r="A175">
        <v>2024</v>
      </c>
      <c r="B175" t="s">
        <v>772</v>
      </c>
      <c r="C175" t="s">
        <v>715</v>
      </c>
      <c r="D175" s="11" t="s">
        <v>200</v>
      </c>
      <c r="E175" t="s">
        <v>1245</v>
      </c>
      <c r="G175" s="37" t="s">
        <v>11</v>
      </c>
      <c r="H175" s="37" t="s">
        <v>21</v>
      </c>
      <c r="I175" s="11" t="s">
        <v>557</v>
      </c>
      <c r="J175" s="11" t="s">
        <v>1570</v>
      </c>
      <c r="K175" s="11" t="s">
        <v>1573</v>
      </c>
      <c r="L175" s="28" t="s">
        <v>3031</v>
      </c>
      <c r="M175" s="11"/>
      <c r="N175" s="11" t="s">
        <v>1641</v>
      </c>
      <c r="O175" s="11">
        <v>3.22</v>
      </c>
      <c r="P175" s="11" t="s">
        <v>1589</v>
      </c>
      <c r="Q175" s="11"/>
      <c r="R175" s="11"/>
      <c r="S175" s="11"/>
      <c r="T175" s="11"/>
      <c r="U175" s="11"/>
      <c r="V175" t="s">
        <v>2288</v>
      </c>
    </row>
    <row r="176" spans="1:22" x14ac:dyDescent="0.35">
      <c r="A176">
        <v>2024</v>
      </c>
      <c r="B176" t="s">
        <v>772</v>
      </c>
      <c r="C176" t="s">
        <v>715</v>
      </c>
      <c r="D176" s="11" t="s">
        <v>200</v>
      </c>
      <c r="E176" t="s">
        <v>1245</v>
      </c>
      <c r="G176" s="37" t="s">
        <v>11</v>
      </c>
      <c r="H176" s="37" t="s">
        <v>21</v>
      </c>
      <c r="I176" s="11" t="s">
        <v>125</v>
      </c>
      <c r="J176" s="11" t="s">
        <v>1570</v>
      </c>
      <c r="K176" s="11" t="s">
        <v>1573</v>
      </c>
      <c r="L176" s="28" t="s">
        <v>3031</v>
      </c>
      <c r="M176" s="11"/>
      <c r="N176" s="11" t="s">
        <v>1641</v>
      </c>
      <c r="O176" s="11">
        <v>0.89</v>
      </c>
      <c r="P176" s="11" t="s">
        <v>1589</v>
      </c>
      <c r="Q176" s="11"/>
      <c r="R176" s="11"/>
      <c r="S176" s="11"/>
      <c r="T176" s="11"/>
      <c r="U176" s="11"/>
      <c r="V176" t="s">
        <v>2288</v>
      </c>
    </row>
    <row r="177" spans="1:22" x14ac:dyDescent="0.35">
      <c r="A177">
        <v>2024</v>
      </c>
      <c r="B177" t="s">
        <v>772</v>
      </c>
      <c r="C177" t="s">
        <v>715</v>
      </c>
      <c r="D177" s="11" t="s">
        <v>200</v>
      </c>
      <c r="E177" t="s">
        <v>1245</v>
      </c>
      <c r="G177" s="37" t="s">
        <v>11</v>
      </c>
      <c r="H177" s="37" t="s">
        <v>21</v>
      </c>
      <c r="I177" s="11" t="s">
        <v>1769</v>
      </c>
      <c r="J177" s="11" t="s">
        <v>1570</v>
      </c>
      <c r="K177" s="11" t="s">
        <v>1573</v>
      </c>
      <c r="L177" s="28" t="s">
        <v>3031</v>
      </c>
      <c r="M177" s="11"/>
      <c r="N177" s="11" t="s">
        <v>1641</v>
      </c>
      <c r="O177" s="11">
        <v>7.0000000000000007E-2</v>
      </c>
      <c r="P177" s="11" t="s">
        <v>1589</v>
      </c>
      <c r="Q177" s="11"/>
      <c r="R177" s="11"/>
      <c r="S177" s="11"/>
      <c r="T177" s="11"/>
      <c r="U177" s="11"/>
      <c r="V177" t="s">
        <v>2288</v>
      </c>
    </row>
    <row r="178" spans="1:22" x14ac:dyDescent="0.35">
      <c r="A178">
        <v>2024</v>
      </c>
      <c r="B178" t="s">
        <v>772</v>
      </c>
      <c r="C178" t="s">
        <v>715</v>
      </c>
      <c r="D178" s="11" t="s">
        <v>200</v>
      </c>
      <c r="E178" t="s">
        <v>1245</v>
      </c>
      <c r="G178" s="37" t="s">
        <v>11</v>
      </c>
      <c r="H178" s="37" t="s">
        <v>21</v>
      </c>
      <c r="I178" s="11" t="s">
        <v>1772</v>
      </c>
      <c r="J178" s="11" t="s">
        <v>1570</v>
      </c>
      <c r="K178" s="11" t="s">
        <v>1573</v>
      </c>
      <c r="L178" s="28" t="s">
        <v>3031</v>
      </c>
      <c r="M178" s="11"/>
      <c r="N178" s="11" t="s">
        <v>1641</v>
      </c>
      <c r="O178" s="11">
        <v>0.89</v>
      </c>
      <c r="P178" s="11" t="s">
        <v>1567</v>
      </c>
      <c r="Q178" s="11"/>
      <c r="R178" s="11"/>
      <c r="S178" s="11"/>
      <c r="T178" s="11"/>
      <c r="U178" s="11"/>
      <c r="V178" t="s">
        <v>2288</v>
      </c>
    </row>
    <row r="179" spans="1:22" x14ac:dyDescent="0.35">
      <c r="A179">
        <v>2024</v>
      </c>
      <c r="B179" t="s">
        <v>772</v>
      </c>
      <c r="C179" t="s">
        <v>715</v>
      </c>
      <c r="D179" s="11" t="s">
        <v>200</v>
      </c>
      <c r="E179" t="s">
        <v>1245</v>
      </c>
      <c r="G179" s="37" t="s">
        <v>11</v>
      </c>
      <c r="H179" s="37" t="s">
        <v>21</v>
      </c>
      <c r="I179" s="11" t="s">
        <v>1773</v>
      </c>
      <c r="J179" s="11" t="s">
        <v>1570</v>
      </c>
      <c r="K179" s="11" t="s">
        <v>1573</v>
      </c>
      <c r="L179" s="28" t="s">
        <v>3031</v>
      </c>
      <c r="M179" s="11"/>
      <c r="N179" s="11" t="s">
        <v>1641</v>
      </c>
      <c r="O179" s="11">
        <v>2.2999999999999998</v>
      </c>
      <c r="P179" s="11" t="s">
        <v>1567</v>
      </c>
      <c r="Q179" s="11"/>
      <c r="R179" s="11"/>
      <c r="S179" s="11"/>
      <c r="T179" s="11"/>
      <c r="U179" s="11"/>
      <c r="V179" t="s">
        <v>2288</v>
      </c>
    </row>
    <row r="180" spans="1:22" x14ac:dyDescent="0.35">
      <c r="A180">
        <v>2024</v>
      </c>
      <c r="B180" t="s">
        <v>772</v>
      </c>
      <c r="C180" t="s">
        <v>715</v>
      </c>
      <c r="D180" s="11" t="s">
        <v>200</v>
      </c>
      <c r="E180" t="s">
        <v>1245</v>
      </c>
      <c r="G180" s="37" t="s">
        <v>11</v>
      </c>
      <c r="H180" s="37" t="s">
        <v>21</v>
      </c>
      <c r="I180" s="11" t="s">
        <v>1776</v>
      </c>
      <c r="J180" s="11" t="s">
        <v>1564</v>
      </c>
      <c r="K180" s="11" t="s">
        <v>1775</v>
      </c>
      <c r="L180" s="28" t="s">
        <v>3031</v>
      </c>
      <c r="M180" s="11">
        <v>9</v>
      </c>
      <c r="N180" s="11" t="s">
        <v>1641</v>
      </c>
      <c r="O180" s="11"/>
      <c r="P180" s="11"/>
      <c r="Q180" s="11"/>
      <c r="R180" s="11"/>
      <c r="S180" s="11"/>
      <c r="T180" s="11"/>
      <c r="U180" s="11"/>
      <c r="V180" t="s">
        <v>2288</v>
      </c>
    </row>
    <row r="181" spans="1:22" x14ac:dyDescent="0.35">
      <c r="A181">
        <v>2024</v>
      </c>
      <c r="B181" t="s">
        <v>772</v>
      </c>
      <c r="C181" t="s">
        <v>715</v>
      </c>
      <c r="D181" s="11" t="s">
        <v>200</v>
      </c>
      <c r="E181" t="s">
        <v>1245</v>
      </c>
      <c r="G181" s="37" t="s">
        <v>11</v>
      </c>
      <c r="H181" s="37" t="s">
        <v>21</v>
      </c>
      <c r="I181" s="11" t="s">
        <v>557</v>
      </c>
      <c r="J181" s="11" t="s">
        <v>1564</v>
      </c>
      <c r="K181" s="11" t="s">
        <v>1775</v>
      </c>
      <c r="L181" s="28" t="s">
        <v>3031</v>
      </c>
      <c r="M181" s="11"/>
      <c r="N181" s="11" t="s">
        <v>1641</v>
      </c>
      <c r="O181" s="11">
        <v>2.46</v>
      </c>
      <c r="P181" s="11" t="s">
        <v>1589</v>
      </c>
      <c r="Q181" s="11"/>
      <c r="R181" s="11"/>
      <c r="S181" s="11"/>
      <c r="T181" s="11"/>
      <c r="U181" s="11"/>
      <c r="V181" t="s">
        <v>2288</v>
      </c>
    </row>
    <row r="182" spans="1:22" x14ac:dyDescent="0.35">
      <c r="A182">
        <v>2024</v>
      </c>
      <c r="B182" t="s">
        <v>772</v>
      </c>
      <c r="C182" t="s">
        <v>715</v>
      </c>
      <c r="D182" s="11" t="s">
        <v>200</v>
      </c>
      <c r="E182" t="s">
        <v>1245</v>
      </c>
      <c r="G182" s="37" t="s">
        <v>11</v>
      </c>
      <c r="H182" s="37" t="s">
        <v>21</v>
      </c>
      <c r="I182" s="11" t="s">
        <v>125</v>
      </c>
      <c r="J182" s="11" t="s">
        <v>1564</v>
      </c>
      <c r="K182" s="11" t="s">
        <v>1775</v>
      </c>
      <c r="L182" s="28" t="s">
        <v>3031</v>
      </c>
      <c r="M182" s="11"/>
      <c r="N182" s="11" t="s">
        <v>1641</v>
      </c>
      <c r="O182" s="11">
        <v>0.69</v>
      </c>
      <c r="P182" s="11" t="s">
        <v>1589</v>
      </c>
      <c r="Q182" s="11"/>
      <c r="R182" s="11"/>
      <c r="S182" s="11"/>
      <c r="T182" s="11"/>
      <c r="U182" s="11"/>
      <c r="V182" t="s">
        <v>2288</v>
      </c>
    </row>
    <row r="183" spans="1:22" x14ac:dyDescent="0.35">
      <c r="A183">
        <v>2024</v>
      </c>
      <c r="B183" t="s">
        <v>772</v>
      </c>
      <c r="C183" t="s">
        <v>715</v>
      </c>
      <c r="D183" s="11" t="s">
        <v>200</v>
      </c>
      <c r="E183" t="s">
        <v>1245</v>
      </c>
      <c r="G183" s="37" t="s">
        <v>11</v>
      </c>
      <c r="H183" s="37" t="s">
        <v>21</v>
      </c>
      <c r="I183" s="11" t="s">
        <v>1769</v>
      </c>
      <c r="J183" s="11" t="s">
        <v>1564</v>
      </c>
      <c r="K183" s="11" t="s">
        <v>1775</v>
      </c>
      <c r="L183" s="28" t="s">
        <v>3031</v>
      </c>
      <c r="M183" s="11"/>
      <c r="N183" s="11" t="s">
        <v>1641</v>
      </c>
      <c r="O183" s="11">
        <v>0.05</v>
      </c>
      <c r="P183" s="11" t="s">
        <v>1589</v>
      </c>
      <c r="Q183" s="11"/>
      <c r="R183" s="11"/>
      <c r="S183" s="11"/>
      <c r="T183" s="11"/>
      <c r="U183" s="11"/>
      <c r="V183" t="s">
        <v>2288</v>
      </c>
    </row>
    <row r="184" spans="1:22" x14ac:dyDescent="0.35">
      <c r="A184">
        <v>2024</v>
      </c>
      <c r="B184" t="s">
        <v>772</v>
      </c>
      <c r="C184" t="s">
        <v>715</v>
      </c>
      <c r="D184" s="11" t="s">
        <v>200</v>
      </c>
      <c r="E184" t="s">
        <v>1245</v>
      </c>
      <c r="G184" s="37" t="s">
        <v>11</v>
      </c>
      <c r="H184" s="37" t="s">
        <v>21</v>
      </c>
      <c r="I184" s="11" t="s">
        <v>1772</v>
      </c>
      <c r="J184" s="11" t="s">
        <v>1564</v>
      </c>
      <c r="K184" s="11" t="s">
        <v>1775</v>
      </c>
      <c r="L184" s="28" t="s">
        <v>3031</v>
      </c>
      <c r="M184" s="11"/>
      <c r="N184" s="11" t="s">
        <v>1641</v>
      </c>
      <c r="O184" s="11">
        <v>0.73</v>
      </c>
      <c r="P184" s="11" t="s">
        <v>1567</v>
      </c>
      <c r="Q184" s="11"/>
      <c r="R184" s="11"/>
      <c r="S184" s="11"/>
      <c r="T184" s="11"/>
      <c r="U184" s="11"/>
      <c r="V184" t="s">
        <v>2288</v>
      </c>
    </row>
    <row r="185" spans="1:22" x14ac:dyDescent="0.35">
      <c r="A185">
        <v>2024</v>
      </c>
      <c r="B185" t="s">
        <v>772</v>
      </c>
      <c r="C185" t="s">
        <v>715</v>
      </c>
      <c r="D185" s="11" t="s">
        <v>200</v>
      </c>
      <c r="E185" t="s">
        <v>1245</v>
      </c>
      <c r="G185" s="37" t="s">
        <v>11</v>
      </c>
      <c r="H185" s="37" t="s">
        <v>21</v>
      </c>
      <c r="I185" s="11" t="s">
        <v>1773</v>
      </c>
      <c r="J185" s="11" t="s">
        <v>1564</v>
      </c>
      <c r="K185" s="11" t="s">
        <v>1775</v>
      </c>
      <c r="L185" s="28" t="s">
        <v>3031</v>
      </c>
      <c r="M185" s="11"/>
      <c r="N185" s="11" t="s">
        <v>1641</v>
      </c>
      <c r="O185" s="11">
        <v>1.7</v>
      </c>
      <c r="P185" s="11" t="s">
        <v>1567</v>
      </c>
      <c r="Q185" s="11"/>
      <c r="R185" s="11"/>
      <c r="S185" s="11"/>
      <c r="T185" s="11"/>
      <c r="U185" s="11"/>
      <c r="V185" t="s">
        <v>2288</v>
      </c>
    </row>
    <row r="186" spans="1:22" x14ac:dyDescent="0.35">
      <c r="A186">
        <v>2024</v>
      </c>
      <c r="B186" t="s">
        <v>772</v>
      </c>
      <c r="C186" t="s">
        <v>715</v>
      </c>
      <c r="D186" s="11" t="s">
        <v>200</v>
      </c>
      <c r="E186" t="s">
        <v>1245</v>
      </c>
      <c r="G186" s="37" t="s">
        <v>11</v>
      </c>
      <c r="H186" s="37" t="s">
        <v>21</v>
      </c>
      <c r="I186" s="11" t="s">
        <v>1776</v>
      </c>
      <c r="J186" s="11" t="s">
        <v>1564</v>
      </c>
      <c r="K186" s="11" t="s">
        <v>1574</v>
      </c>
      <c r="L186" s="28" t="s">
        <v>3031</v>
      </c>
      <c r="M186" s="11">
        <v>6.3</v>
      </c>
      <c r="N186" s="11" t="s">
        <v>1641</v>
      </c>
      <c r="O186" s="11"/>
      <c r="P186" s="11"/>
      <c r="Q186" s="11"/>
      <c r="R186" s="11"/>
      <c r="S186" s="11"/>
      <c r="T186" s="11"/>
      <c r="U186" s="11"/>
      <c r="V186" t="s">
        <v>2288</v>
      </c>
    </row>
    <row r="187" spans="1:22" x14ac:dyDescent="0.35">
      <c r="A187">
        <v>2024</v>
      </c>
      <c r="B187" t="s">
        <v>772</v>
      </c>
      <c r="C187" t="s">
        <v>715</v>
      </c>
      <c r="D187" s="11" t="s">
        <v>200</v>
      </c>
      <c r="E187" t="s">
        <v>1245</v>
      </c>
      <c r="G187" s="37" t="s">
        <v>11</v>
      </c>
      <c r="H187" s="37" t="s">
        <v>21</v>
      </c>
      <c r="I187" s="11" t="s">
        <v>557</v>
      </c>
      <c r="J187" s="11" t="s">
        <v>1564</v>
      </c>
      <c r="K187" s="11" t="s">
        <v>1574</v>
      </c>
      <c r="L187" s="28" t="s">
        <v>3031</v>
      </c>
      <c r="M187" s="11"/>
      <c r="N187" s="11" t="s">
        <v>1641</v>
      </c>
      <c r="O187" s="11">
        <v>2.54</v>
      </c>
      <c r="P187" s="11" t="s">
        <v>1589</v>
      </c>
      <c r="Q187" s="11"/>
      <c r="R187" s="11"/>
      <c r="S187" s="11"/>
      <c r="T187" s="11"/>
      <c r="U187" s="11"/>
      <c r="V187" t="s">
        <v>2288</v>
      </c>
    </row>
    <row r="188" spans="1:22" x14ac:dyDescent="0.35">
      <c r="A188">
        <v>2024</v>
      </c>
      <c r="B188" t="s">
        <v>772</v>
      </c>
      <c r="C188" t="s">
        <v>715</v>
      </c>
      <c r="D188" s="11" t="s">
        <v>200</v>
      </c>
      <c r="E188" t="s">
        <v>1245</v>
      </c>
      <c r="G188" s="37" t="s">
        <v>11</v>
      </c>
      <c r="H188" s="37" t="s">
        <v>21</v>
      </c>
      <c r="I188" s="11" t="s">
        <v>125</v>
      </c>
      <c r="J188" s="11" t="s">
        <v>1564</v>
      </c>
      <c r="K188" s="11" t="s">
        <v>1574</v>
      </c>
      <c r="L188" s="28" t="s">
        <v>3031</v>
      </c>
      <c r="M188" s="11"/>
      <c r="N188" s="11" t="s">
        <v>1641</v>
      </c>
      <c r="O188" s="11">
        <v>0.71</v>
      </c>
      <c r="P188" s="11" t="s">
        <v>1589</v>
      </c>
      <c r="Q188" s="11"/>
      <c r="R188" s="11"/>
      <c r="S188" s="11"/>
      <c r="T188" s="11"/>
      <c r="U188" s="11"/>
      <c r="V188" t="s">
        <v>2288</v>
      </c>
    </row>
    <row r="189" spans="1:22" x14ac:dyDescent="0.35">
      <c r="A189">
        <v>2024</v>
      </c>
      <c r="B189" t="s">
        <v>772</v>
      </c>
      <c r="C189" t="s">
        <v>715</v>
      </c>
      <c r="D189" s="11" t="s">
        <v>200</v>
      </c>
      <c r="E189" t="s">
        <v>1245</v>
      </c>
      <c r="G189" s="37" t="s">
        <v>11</v>
      </c>
      <c r="H189" s="37" t="s">
        <v>21</v>
      </c>
      <c r="I189" s="11" t="s">
        <v>1769</v>
      </c>
      <c r="J189" s="11" t="s">
        <v>1564</v>
      </c>
      <c r="K189" s="11" t="s">
        <v>1574</v>
      </c>
      <c r="L189" s="28" t="s">
        <v>3031</v>
      </c>
      <c r="M189" s="11"/>
      <c r="N189" s="11" t="s">
        <v>1641</v>
      </c>
      <c r="O189" s="11">
        <v>0.06</v>
      </c>
      <c r="P189" s="11" t="s">
        <v>1589</v>
      </c>
      <c r="Q189" s="11"/>
      <c r="R189" s="11"/>
      <c r="S189" s="11"/>
      <c r="T189" s="11"/>
      <c r="U189" s="11"/>
      <c r="V189" t="s">
        <v>2288</v>
      </c>
    </row>
    <row r="190" spans="1:22" x14ac:dyDescent="0.35">
      <c r="A190">
        <v>2024</v>
      </c>
      <c r="B190" t="s">
        <v>772</v>
      </c>
      <c r="C190" t="s">
        <v>715</v>
      </c>
      <c r="D190" s="11" t="s">
        <v>200</v>
      </c>
      <c r="E190" t="s">
        <v>1245</v>
      </c>
      <c r="G190" s="37" t="s">
        <v>11</v>
      </c>
      <c r="H190" s="37" t="s">
        <v>21</v>
      </c>
      <c r="I190" s="11" t="s">
        <v>1772</v>
      </c>
      <c r="J190" s="11" t="s">
        <v>1564</v>
      </c>
      <c r="K190" s="11" t="s">
        <v>1574</v>
      </c>
      <c r="L190" s="28" t="s">
        <v>3031</v>
      </c>
      <c r="M190" s="11"/>
      <c r="N190" s="11" t="s">
        <v>1641</v>
      </c>
      <c r="O190" s="11">
        <v>0.77</v>
      </c>
      <c r="P190" s="11" t="s">
        <v>1567</v>
      </c>
      <c r="Q190" s="11"/>
      <c r="R190" s="11"/>
      <c r="S190" s="11"/>
      <c r="T190" s="11"/>
      <c r="U190" s="11"/>
      <c r="V190" t="s">
        <v>2288</v>
      </c>
    </row>
    <row r="191" spans="1:22" x14ac:dyDescent="0.35">
      <c r="A191">
        <v>2024</v>
      </c>
      <c r="B191" t="s">
        <v>772</v>
      </c>
      <c r="C191" t="s">
        <v>715</v>
      </c>
      <c r="D191" s="11" t="s">
        <v>200</v>
      </c>
      <c r="E191" t="s">
        <v>1245</v>
      </c>
      <c r="G191" s="37" t="s">
        <v>11</v>
      </c>
      <c r="H191" s="37" t="s">
        <v>21</v>
      </c>
      <c r="I191" s="11" t="s">
        <v>1773</v>
      </c>
      <c r="J191" s="11" t="s">
        <v>1564</v>
      </c>
      <c r="K191" s="11" t="s">
        <v>1574</v>
      </c>
      <c r="L191" s="28" t="s">
        <v>3031</v>
      </c>
      <c r="M191" s="11"/>
      <c r="N191" s="11" t="s">
        <v>1641</v>
      </c>
      <c r="O191" s="11">
        <v>1.8</v>
      </c>
      <c r="P191" s="11" t="s">
        <v>1567</v>
      </c>
      <c r="Q191" s="11"/>
      <c r="R191" s="11"/>
      <c r="S191" s="11"/>
      <c r="T191" s="11"/>
      <c r="U191" s="11"/>
      <c r="V191" t="s">
        <v>2288</v>
      </c>
    </row>
    <row r="192" spans="1:22" x14ac:dyDescent="0.35">
      <c r="A192">
        <v>2024</v>
      </c>
      <c r="B192" t="s">
        <v>772</v>
      </c>
      <c r="C192" t="s">
        <v>32</v>
      </c>
      <c r="D192" t="s">
        <v>33</v>
      </c>
      <c r="E192" t="s">
        <v>1257</v>
      </c>
      <c r="G192" s="37" t="s">
        <v>11</v>
      </c>
      <c r="H192" s="37" t="s">
        <v>34</v>
      </c>
      <c r="I192" t="s">
        <v>16</v>
      </c>
      <c r="J192" t="s">
        <v>1570</v>
      </c>
      <c r="K192" t="s">
        <v>1571</v>
      </c>
      <c r="L192" s="28" t="s">
        <v>3031</v>
      </c>
      <c r="M192">
        <v>169000</v>
      </c>
      <c r="N192" t="s">
        <v>1546</v>
      </c>
      <c r="O192">
        <v>10.3</v>
      </c>
      <c r="P192" t="s">
        <v>1567</v>
      </c>
      <c r="Q192">
        <v>56000</v>
      </c>
      <c r="R192" t="s">
        <v>1548</v>
      </c>
      <c r="V192" t="s">
        <v>1899</v>
      </c>
    </row>
    <row r="193" spans="1:22" x14ac:dyDescent="0.35">
      <c r="A193">
        <v>2024</v>
      </c>
      <c r="B193" t="s">
        <v>772</v>
      </c>
      <c r="C193" t="s">
        <v>32</v>
      </c>
      <c r="D193" t="s">
        <v>33</v>
      </c>
      <c r="E193" t="s">
        <v>1257</v>
      </c>
      <c r="G193" s="37" t="s">
        <v>11</v>
      </c>
      <c r="H193" s="37" t="s">
        <v>34</v>
      </c>
      <c r="I193" t="s">
        <v>16</v>
      </c>
      <c r="J193" t="s">
        <v>1570</v>
      </c>
      <c r="K193" t="s">
        <v>1572</v>
      </c>
      <c r="L193" s="28" t="s">
        <v>3031</v>
      </c>
      <c r="M193">
        <v>4190000</v>
      </c>
      <c r="N193" t="s">
        <v>1546</v>
      </c>
      <c r="O193">
        <v>5.4</v>
      </c>
      <c r="P193" t="s">
        <v>1567</v>
      </c>
      <c r="Q193">
        <v>750000</v>
      </c>
      <c r="R193" t="s">
        <v>1548</v>
      </c>
      <c r="V193" t="s">
        <v>1900</v>
      </c>
    </row>
    <row r="194" spans="1:22" x14ac:dyDescent="0.35">
      <c r="A194">
        <v>2024</v>
      </c>
      <c r="B194" t="s">
        <v>772</v>
      </c>
      <c r="C194" t="s">
        <v>32</v>
      </c>
      <c r="D194" t="s">
        <v>33</v>
      </c>
      <c r="E194" t="s">
        <v>1257</v>
      </c>
      <c r="G194" s="37" t="s">
        <v>11</v>
      </c>
      <c r="H194" s="37" t="s">
        <v>34</v>
      </c>
      <c r="I194" t="s">
        <v>16</v>
      </c>
      <c r="J194" t="s">
        <v>1570</v>
      </c>
      <c r="K194" t="s">
        <v>1573</v>
      </c>
      <c r="L194" s="28" t="s">
        <v>3031</v>
      </c>
      <c r="M194">
        <v>1497000</v>
      </c>
      <c r="N194" t="s">
        <v>1546</v>
      </c>
      <c r="O194">
        <v>5.3</v>
      </c>
      <c r="P194" t="s">
        <v>1567</v>
      </c>
      <c r="Q194">
        <v>262000</v>
      </c>
      <c r="R194" t="s">
        <v>1548</v>
      </c>
      <c r="V194" t="s">
        <v>1901</v>
      </c>
    </row>
    <row r="195" spans="1:22" x14ac:dyDescent="0.35">
      <c r="A195">
        <v>2024</v>
      </c>
      <c r="B195" t="s">
        <v>772</v>
      </c>
      <c r="C195" t="s">
        <v>8</v>
      </c>
      <c r="D195" t="s">
        <v>72</v>
      </c>
      <c r="E195" t="s">
        <v>1263</v>
      </c>
      <c r="G195" s="37" t="s">
        <v>11</v>
      </c>
      <c r="H195" s="37" t="s">
        <v>21</v>
      </c>
      <c r="I195" t="s">
        <v>130</v>
      </c>
      <c r="J195" t="s">
        <v>1564</v>
      </c>
      <c r="K195" t="s">
        <v>1565</v>
      </c>
      <c r="L195" s="28" t="s">
        <v>3031</v>
      </c>
      <c r="M195">
        <v>87</v>
      </c>
      <c r="N195" t="s">
        <v>1566</v>
      </c>
      <c r="O195">
        <v>0.15</v>
      </c>
      <c r="P195" t="s">
        <v>1912</v>
      </c>
      <c r="Q195">
        <v>13</v>
      </c>
      <c r="R195" t="s">
        <v>1550</v>
      </c>
      <c r="U195" t="s">
        <v>2957</v>
      </c>
      <c r="V195" t="s">
        <v>1913</v>
      </c>
    </row>
    <row r="196" spans="1:22" x14ac:dyDescent="0.35">
      <c r="A196">
        <v>2024</v>
      </c>
      <c r="B196" t="s">
        <v>772</v>
      </c>
      <c r="C196" t="s">
        <v>8</v>
      </c>
      <c r="D196" t="s">
        <v>72</v>
      </c>
      <c r="E196" t="s">
        <v>1263</v>
      </c>
      <c r="G196" s="37" t="s">
        <v>11</v>
      </c>
      <c r="H196" s="37" t="s">
        <v>21</v>
      </c>
      <c r="I196" t="s">
        <v>130</v>
      </c>
      <c r="J196" t="s">
        <v>1564</v>
      </c>
      <c r="K196" t="s">
        <v>1565</v>
      </c>
      <c r="L196" s="28" t="s">
        <v>3031</v>
      </c>
      <c r="M196">
        <v>4958</v>
      </c>
      <c r="N196" t="s">
        <v>1566</v>
      </c>
      <c r="O196">
        <v>0.08</v>
      </c>
      <c r="P196" t="s">
        <v>1912</v>
      </c>
      <c r="Q196">
        <v>415</v>
      </c>
      <c r="R196" t="s">
        <v>1550</v>
      </c>
      <c r="U196" t="s">
        <v>2956</v>
      </c>
      <c r="V196" t="s">
        <v>1913</v>
      </c>
    </row>
    <row r="197" spans="1:22" x14ac:dyDescent="0.35">
      <c r="A197">
        <v>2024</v>
      </c>
      <c r="B197" t="s">
        <v>772</v>
      </c>
      <c r="C197" t="s">
        <v>8</v>
      </c>
      <c r="D197" t="s">
        <v>72</v>
      </c>
      <c r="E197" t="s">
        <v>1263</v>
      </c>
      <c r="G197" s="37" t="s">
        <v>11</v>
      </c>
      <c r="H197" s="37" t="s">
        <v>21</v>
      </c>
      <c r="I197" t="s">
        <v>130</v>
      </c>
      <c r="J197" t="s">
        <v>1564</v>
      </c>
      <c r="K197" t="s">
        <v>1574</v>
      </c>
      <c r="L197" s="28" t="s">
        <v>3031</v>
      </c>
      <c r="M197">
        <v>391</v>
      </c>
      <c r="N197" t="s">
        <v>1566</v>
      </c>
      <c r="O197">
        <v>0.15</v>
      </c>
      <c r="P197" t="s">
        <v>1912</v>
      </c>
      <c r="Q197">
        <v>59</v>
      </c>
      <c r="R197" t="s">
        <v>1550</v>
      </c>
      <c r="U197" t="s">
        <v>2957</v>
      </c>
      <c r="V197" t="s">
        <v>1913</v>
      </c>
    </row>
    <row r="198" spans="1:22" x14ac:dyDescent="0.35">
      <c r="A198">
        <v>2024</v>
      </c>
      <c r="B198" t="s">
        <v>772</v>
      </c>
      <c r="C198" t="s">
        <v>8</v>
      </c>
      <c r="D198" t="s">
        <v>72</v>
      </c>
      <c r="E198" t="s">
        <v>1263</v>
      </c>
      <c r="G198" s="37" t="s">
        <v>11</v>
      </c>
      <c r="H198" s="37" t="s">
        <v>21</v>
      </c>
      <c r="I198" t="s">
        <v>130</v>
      </c>
      <c r="J198" t="s">
        <v>1564</v>
      </c>
      <c r="K198" t="s">
        <v>1574</v>
      </c>
      <c r="L198" s="28" t="s">
        <v>3031</v>
      </c>
      <c r="M198">
        <v>10457</v>
      </c>
      <c r="N198" t="s">
        <v>1566</v>
      </c>
      <c r="O198">
        <v>0.08</v>
      </c>
      <c r="P198" t="s">
        <v>1912</v>
      </c>
      <c r="Q198">
        <v>804</v>
      </c>
      <c r="R198" t="s">
        <v>1550</v>
      </c>
      <c r="U198" t="s">
        <v>2956</v>
      </c>
      <c r="V198" t="s">
        <v>1913</v>
      </c>
    </row>
    <row r="199" spans="1:22" x14ac:dyDescent="0.35">
      <c r="A199">
        <v>2024</v>
      </c>
      <c r="B199" t="s">
        <v>772</v>
      </c>
      <c r="C199" t="s">
        <v>8</v>
      </c>
      <c r="D199" t="s">
        <v>72</v>
      </c>
      <c r="E199" t="s">
        <v>1263</v>
      </c>
      <c r="G199" s="37" t="s">
        <v>11</v>
      </c>
      <c r="H199" s="37" t="s">
        <v>21</v>
      </c>
      <c r="I199" t="s">
        <v>130</v>
      </c>
      <c r="J199" t="s">
        <v>1564</v>
      </c>
      <c r="K199" t="s">
        <v>1571</v>
      </c>
      <c r="L199" s="28" t="s">
        <v>3031</v>
      </c>
      <c r="M199">
        <v>1486</v>
      </c>
      <c r="N199" t="s">
        <v>1566</v>
      </c>
      <c r="O199">
        <v>0.2</v>
      </c>
      <c r="P199" t="s">
        <v>1912</v>
      </c>
      <c r="Q199">
        <v>300</v>
      </c>
      <c r="R199" t="s">
        <v>1550</v>
      </c>
      <c r="U199" t="s">
        <v>2957</v>
      </c>
      <c r="V199" t="s">
        <v>1913</v>
      </c>
    </row>
    <row r="200" spans="1:22" x14ac:dyDescent="0.35">
      <c r="A200">
        <v>2024</v>
      </c>
      <c r="B200" t="s">
        <v>772</v>
      </c>
      <c r="C200" t="s">
        <v>8</v>
      </c>
      <c r="D200" t="s">
        <v>72</v>
      </c>
      <c r="E200" t="s">
        <v>1263</v>
      </c>
      <c r="G200" s="37" t="s">
        <v>11</v>
      </c>
      <c r="H200" s="37" t="s">
        <v>21</v>
      </c>
      <c r="I200" t="s">
        <v>130</v>
      </c>
      <c r="J200" t="s">
        <v>1564</v>
      </c>
      <c r="K200" t="s">
        <v>1571</v>
      </c>
      <c r="L200" s="28" t="s">
        <v>3031</v>
      </c>
      <c r="M200">
        <v>84</v>
      </c>
      <c r="N200" t="s">
        <v>1566</v>
      </c>
      <c r="O200">
        <v>0.03</v>
      </c>
      <c r="P200" t="s">
        <v>1912</v>
      </c>
      <c r="Q200">
        <v>3</v>
      </c>
      <c r="R200" t="s">
        <v>1550</v>
      </c>
      <c r="U200" t="s">
        <v>2956</v>
      </c>
      <c r="V200" t="s">
        <v>1913</v>
      </c>
    </row>
    <row r="201" spans="1:22" x14ac:dyDescent="0.35">
      <c r="A201">
        <v>2024</v>
      </c>
      <c r="B201" t="s">
        <v>772</v>
      </c>
      <c r="C201" t="s">
        <v>8</v>
      </c>
      <c r="D201" t="s">
        <v>72</v>
      </c>
      <c r="E201" t="s">
        <v>1263</v>
      </c>
      <c r="G201" s="37" t="s">
        <v>11</v>
      </c>
      <c r="H201" s="37" t="s">
        <v>21</v>
      </c>
      <c r="I201" t="s">
        <v>130</v>
      </c>
      <c r="J201" t="s">
        <v>1564</v>
      </c>
      <c r="K201" t="s">
        <v>1572</v>
      </c>
      <c r="L201" s="28" t="s">
        <v>3031</v>
      </c>
      <c r="M201">
        <v>3522</v>
      </c>
      <c r="N201" t="s">
        <v>1566</v>
      </c>
      <c r="O201">
        <v>0.17</v>
      </c>
      <c r="P201" t="s">
        <v>1912</v>
      </c>
      <c r="Q201">
        <v>594</v>
      </c>
      <c r="R201" t="s">
        <v>1550</v>
      </c>
      <c r="U201" t="s">
        <v>2957</v>
      </c>
      <c r="V201" t="s">
        <v>1913</v>
      </c>
    </row>
    <row r="202" spans="1:22" x14ac:dyDescent="0.35">
      <c r="A202">
        <v>2024</v>
      </c>
      <c r="B202" t="s">
        <v>772</v>
      </c>
      <c r="C202" t="s">
        <v>8</v>
      </c>
      <c r="D202" t="s">
        <v>72</v>
      </c>
      <c r="E202" t="s">
        <v>1263</v>
      </c>
      <c r="G202" s="37" t="s">
        <v>11</v>
      </c>
      <c r="H202" s="37" t="s">
        <v>21</v>
      </c>
      <c r="I202" t="s">
        <v>130</v>
      </c>
      <c r="J202" t="s">
        <v>1564</v>
      </c>
      <c r="K202" t="s">
        <v>1572</v>
      </c>
      <c r="L202" s="28" t="s">
        <v>3031</v>
      </c>
      <c r="M202">
        <v>126</v>
      </c>
      <c r="N202" t="s">
        <v>1566</v>
      </c>
      <c r="O202">
        <v>0.03</v>
      </c>
      <c r="P202" t="s">
        <v>1912</v>
      </c>
      <c r="Q202">
        <v>4</v>
      </c>
      <c r="R202" t="s">
        <v>1550</v>
      </c>
      <c r="U202" t="s">
        <v>2956</v>
      </c>
      <c r="V202" t="s">
        <v>1913</v>
      </c>
    </row>
    <row r="203" spans="1:22" x14ac:dyDescent="0.35">
      <c r="A203">
        <v>2024</v>
      </c>
      <c r="B203" t="s">
        <v>772</v>
      </c>
      <c r="C203" t="s">
        <v>8</v>
      </c>
      <c r="D203" t="s">
        <v>72</v>
      </c>
      <c r="E203" t="s">
        <v>1263</v>
      </c>
      <c r="G203" s="37" t="s">
        <v>11</v>
      </c>
      <c r="H203" s="37" t="s">
        <v>21</v>
      </c>
      <c r="I203" t="s">
        <v>130</v>
      </c>
      <c r="J203" t="s">
        <v>1564</v>
      </c>
      <c r="K203" t="s">
        <v>1573</v>
      </c>
      <c r="L203" s="28" t="s">
        <v>3031</v>
      </c>
      <c r="M203">
        <v>2076</v>
      </c>
      <c r="N203" t="s">
        <v>1566</v>
      </c>
      <c r="O203">
        <v>0.2</v>
      </c>
      <c r="P203" t="s">
        <v>1912</v>
      </c>
      <c r="Q203">
        <v>408</v>
      </c>
      <c r="R203" t="s">
        <v>1550</v>
      </c>
      <c r="U203" t="s">
        <v>2957</v>
      </c>
      <c r="V203" t="s">
        <v>1913</v>
      </c>
    </row>
    <row r="204" spans="1:22" x14ac:dyDescent="0.35">
      <c r="A204">
        <v>2024</v>
      </c>
      <c r="B204" t="s">
        <v>772</v>
      </c>
      <c r="C204" t="s">
        <v>8</v>
      </c>
      <c r="D204" t="s">
        <v>72</v>
      </c>
      <c r="E204" t="s">
        <v>1263</v>
      </c>
      <c r="G204" s="37" t="s">
        <v>11</v>
      </c>
      <c r="H204" s="37" t="s">
        <v>21</v>
      </c>
      <c r="I204" t="s">
        <v>130</v>
      </c>
      <c r="J204" t="s">
        <v>1564</v>
      </c>
      <c r="K204" t="s">
        <v>1573</v>
      </c>
      <c r="L204" s="28" t="s">
        <v>3031</v>
      </c>
      <c r="M204">
        <v>577</v>
      </c>
      <c r="N204" t="s">
        <v>1566</v>
      </c>
      <c r="O204">
        <v>0.1</v>
      </c>
      <c r="P204" t="s">
        <v>1912</v>
      </c>
      <c r="Q204">
        <v>57</v>
      </c>
      <c r="R204" t="s">
        <v>1550</v>
      </c>
      <c r="U204" t="s">
        <v>2956</v>
      </c>
      <c r="V204" t="s">
        <v>1913</v>
      </c>
    </row>
    <row r="205" spans="1:22" x14ac:dyDescent="0.35">
      <c r="A205">
        <v>2024</v>
      </c>
      <c r="B205" t="s">
        <v>772</v>
      </c>
      <c r="C205" t="s">
        <v>8</v>
      </c>
      <c r="D205" t="s">
        <v>9</v>
      </c>
      <c r="E205" t="s">
        <v>1263</v>
      </c>
      <c r="G205" s="37" t="s">
        <v>11</v>
      </c>
      <c r="H205" s="37" t="s">
        <v>23</v>
      </c>
      <c r="I205" t="s">
        <v>1549</v>
      </c>
      <c r="J205" t="s">
        <v>1564</v>
      </c>
      <c r="K205" t="s">
        <v>1565</v>
      </c>
      <c r="L205" s="28" t="s">
        <v>3031</v>
      </c>
      <c r="M205">
        <v>13</v>
      </c>
      <c r="N205" t="s">
        <v>1566</v>
      </c>
      <c r="O205">
        <v>28.1</v>
      </c>
      <c r="P205" t="s">
        <v>1912</v>
      </c>
      <c r="Q205">
        <v>364</v>
      </c>
      <c r="R205" t="s">
        <v>1550</v>
      </c>
      <c r="V205" t="s">
        <v>1913</v>
      </c>
    </row>
    <row r="206" spans="1:22" x14ac:dyDescent="0.35">
      <c r="A206">
        <v>2024</v>
      </c>
      <c r="B206" t="s">
        <v>772</v>
      </c>
      <c r="C206" t="s">
        <v>8</v>
      </c>
      <c r="D206" t="s">
        <v>9</v>
      </c>
      <c r="E206" t="s">
        <v>1263</v>
      </c>
      <c r="G206" s="37" t="s">
        <v>11</v>
      </c>
      <c r="H206" s="37" t="s">
        <v>23</v>
      </c>
      <c r="I206" t="s">
        <v>1615</v>
      </c>
      <c r="J206" t="s">
        <v>1564</v>
      </c>
      <c r="K206" t="s">
        <v>1565</v>
      </c>
      <c r="L206" s="28" t="s">
        <v>3031</v>
      </c>
      <c r="M206">
        <v>13</v>
      </c>
      <c r="N206" t="s">
        <v>1566</v>
      </c>
      <c r="O206">
        <v>3</v>
      </c>
      <c r="P206" t="s">
        <v>1589</v>
      </c>
      <c r="Q206">
        <v>380</v>
      </c>
      <c r="R206" t="s">
        <v>1546</v>
      </c>
      <c r="V206" t="s">
        <v>1913</v>
      </c>
    </row>
    <row r="207" spans="1:22" x14ac:dyDescent="0.35">
      <c r="A207">
        <v>2024</v>
      </c>
      <c r="B207" t="s">
        <v>772</v>
      </c>
      <c r="C207" t="s">
        <v>8</v>
      </c>
      <c r="D207" t="s">
        <v>9</v>
      </c>
      <c r="E207" t="s">
        <v>1263</v>
      </c>
      <c r="G207" s="37" t="s">
        <v>11</v>
      </c>
      <c r="H207" s="37" t="s">
        <v>23</v>
      </c>
      <c r="I207" t="s">
        <v>1551</v>
      </c>
      <c r="J207" t="s">
        <v>1564</v>
      </c>
      <c r="K207" t="s">
        <v>1565</v>
      </c>
      <c r="L207" s="28" t="s">
        <v>3031</v>
      </c>
      <c r="M207">
        <v>13</v>
      </c>
      <c r="N207" t="s">
        <v>1566</v>
      </c>
      <c r="O207">
        <v>1.6</v>
      </c>
      <c r="P207" t="s">
        <v>1589</v>
      </c>
      <c r="Q207">
        <v>200</v>
      </c>
      <c r="R207" t="s">
        <v>1546</v>
      </c>
      <c r="V207" t="s">
        <v>1913</v>
      </c>
    </row>
    <row r="208" spans="1:22" x14ac:dyDescent="0.35">
      <c r="A208">
        <v>2024</v>
      </c>
      <c r="B208" t="s">
        <v>772</v>
      </c>
      <c r="C208" t="s">
        <v>8</v>
      </c>
      <c r="D208" t="s">
        <v>9</v>
      </c>
      <c r="E208" t="s">
        <v>1263</v>
      </c>
      <c r="G208" s="37" t="s">
        <v>11</v>
      </c>
      <c r="H208" s="37" t="s">
        <v>23</v>
      </c>
      <c r="I208" t="s">
        <v>1549</v>
      </c>
      <c r="J208" t="s">
        <v>1564</v>
      </c>
      <c r="K208" t="s">
        <v>1574</v>
      </c>
      <c r="L208" s="28" t="s">
        <v>3031</v>
      </c>
      <c r="M208">
        <v>2630</v>
      </c>
      <c r="N208" t="s">
        <v>1566</v>
      </c>
      <c r="O208">
        <v>24.3</v>
      </c>
      <c r="P208" t="s">
        <v>1912</v>
      </c>
      <c r="Q208">
        <v>63914</v>
      </c>
      <c r="R208" t="s">
        <v>1550</v>
      </c>
      <c r="V208" t="s">
        <v>1913</v>
      </c>
    </row>
    <row r="209" spans="1:22" x14ac:dyDescent="0.35">
      <c r="A209">
        <v>2024</v>
      </c>
      <c r="B209" t="s">
        <v>772</v>
      </c>
      <c r="C209" t="s">
        <v>8</v>
      </c>
      <c r="D209" t="s">
        <v>9</v>
      </c>
      <c r="E209" t="s">
        <v>1263</v>
      </c>
      <c r="G209" s="37" t="s">
        <v>11</v>
      </c>
      <c r="H209" s="37" t="s">
        <v>23</v>
      </c>
      <c r="I209" t="s">
        <v>16</v>
      </c>
      <c r="J209" t="s">
        <v>1564</v>
      </c>
      <c r="K209" t="s">
        <v>1574</v>
      </c>
      <c r="L209" s="28" t="s">
        <v>3031</v>
      </c>
      <c r="M209">
        <v>2630</v>
      </c>
      <c r="N209" t="s">
        <v>1566</v>
      </c>
      <c r="O209">
        <v>0.01</v>
      </c>
      <c r="P209" t="s">
        <v>1912</v>
      </c>
      <c r="Q209">
        <v>17</v>
      </c>
      <c r="R209" t="s">
        <v>1550</v>
      </c>
      <c r="V209" t="s">
        <v>1913</v>
      </c>
    </row>
    <row r="210" spans="1:22" x14ac:dyDescent="0.35">
      <c r="A210">
        <v>2024</v>
      </c>
      <c r="B210" t="s">
        <v>772</v>
      </c>
      <c r="C210" t="s">
        <v>8</v>
      </c>
      <c r="D210" t="s">
        <v>9</v>
      </c>
      <c r="E210" t="s">
        <v>1263</v>
      </c>
      <c r="G210" s="37" t="s">
        <v>11</v>
      </c>
      <c r="H210" s="37" t="s">
        <v>23</v>
      </c>
      <c r="I210" t="s">
        <v>1615</v>
      </c>
      <c r="J210" t="s">
        <v>1564</v>
      </c>
      <c r="K210" t="s">
        <v>1574</v>
      </c>
      <c r="L210" s="28" t="s">
        <v>3031</v>
      </c>
      <c r="M210">
        <v>2630</v>
      </c>
      <c r="N210" t="s">
        <v>1566</v>
      </c>
      <c r="O210">
        <v>2.4</v>
      </c>
      <c r="P210" t="s">
        <v>1589</v>
      </c>
      <c r="Q210">
        <v>63440</v>
      </c>
      <c r="R210" t="s">
        <v>1546</v>
      </c>
      <c r="V210" t="s">
        <v>1913</v>
      </c>
    </row>
    <row r="211" spans="1:22" x14ac:dyDescent="0.35">
      <c r="A211">
        <v>2024</v>
      </c>
      <c r="B211" t="s">
        <v>772</v>
      </c>
      <c r="C211" t="s">
        <v>8</v>
      </c>
      <c r="D211" t="s">
        <v>9</v>
      </c>
      <c r="E211" t="s">
        <v>1263</v>
      </c>
      <c r="G211" s="37" t="s">
        <v>11</v>
      </c>
      <c r="H211" s="37" t="s">
        <v>23</v>
      </c>
      <c r="I211" t="s">
        <v>1551</v>
      </c>
      <c r="J211" t="s">
        <v>1564</v>
      </c>
      <c r="K211" t="s">
        <v>1574</v>
      </c>
      <c r="L211" s="28" t="s">
        <v>3031</v>
      </c>
      <c r="M211">
        <v>2630</v>
      </c>
      <c r="N211" t="s">
        <v>1566</v>
      </c>
      <c r="O211">
        <v>2.4</v>
      </c>
      <c r="P211" t="s">
        <v>1589</v>
      </c>
      <c r="Q211">
        <v>62790</v>
      </c>
      <c r="R211" t="s">
        <v>1546</v>
      </c>
      <c r="V211" t="s">
        <v>1913</v>
      </c>
    </row>
    <row r="212" spans="1:22" x14ac:dyDescent="0.35">
      <c r="A212">
        <v>2024</v>
      </c>
      <c r="B212" t="s">
        <v>772</v>
      </c>
      <c r="C212" t="s">
        <v>8</v>
      </c>
      <c r="D212" t="s">
        <v>9</v>
      </c>
      <c r="E212" t="s">
        <v>1263</v>
      </c>
      <c r="G212" s="37" t="s">
        <v>11</v>
      </c>
      <c r="H212" s="37" t="s">
        <v>23</v>
      </c>
      <c r="I212" t="s">
        <v>1549</v>
      </c>
      <c r="J212" t="s">
        <v>1570</v>
      </c>
      <c r="K212" t="s">
        <v>1572</v>
      </c>
      <c r="L212" s="28" t="s">
        <v>3031</v>
      </c>
      <c r="M212">
        <v>1050</v>
      </c>
      <c r="N212" t="s">
        <v>1566</v>
      </c>
      <c r="O212">
        <v>13.7</v>
      </c>
      <c r="P212" t="s">
        <v>1912</v>
      </c>
      <c r="Q212">
        <v>14431</v>
      </c>
      <c r="R212" t="s">
        <v>1550</v>
      </c>
      <c r="V212" t="s">
        <v>1913</v>
      </c>
    </row>
    <row r="213" spans="1:22" x14ac:dyDescent="0.35">
      <c r="A213">
        <v>2024</v>
      </c>
      <c r="B213" t="s">
        <v>772</v>
      </c>
      <c r="C213" t="s">
        <v>8</v>
      </c>
      <c r="D213" t="s">
        <v>9</v>
      </c>
      <c r="E213" t="s">
        <v>1263</v>
      </c>
      <c r="G213" s="37" t="s">
        <v>11</v>
      </c>
      <c r="H213" s="37" t="s">
        <v>23</v>
      </c>
      <c r="I213" t="s">
        <v>16</v>
      </c>
      <c r="J213" t="s">
        <v>1570</v>
      </c>
      <c r="K213" t="s">
        <v>1572</v>
      </c>
      <c r="L213" s="28" t="s">
        <v>3031</v>
      </c>
      <c r="M213">
        <v>1050</v>
      </c>
      <c r="N213" t="s">
        <v>1566</v>
      </c>
      <c r="O213">
        <v>0.01</v>
      </c>
      <c r="P213" t="s">
        <v>1912</v>
      </c>
      <c r="Q213">
        <v>12</v>
      </c>
      <c r="R213" t="s">
        <v>1550</v>
      </c>
      <c r="V213" t="s">
        <v>1913</v>
      </c>
    </row>
    <row r="214" spans="1:22" x14ac:dyDescent="0.35">
      <c r="A214">
        <v>2024</v>
      </c>
      <c r="B214" t="s">
        <v>772</v>
      </c>
      <c r="C214" t="s">
        <v>8</v>
      </c>
      <c r="D214" t="s">
        <v>9</v>
      </c>
      <c r="E214" t="s">
        <v>1263</v>
      </c>
      <c r="G214" s="37" t="s">
        <v>11</v>
      </c>
      <c r="H214" s="37" t="s">
        <v>23</v>
      </c>
      <c r="I214" t="s">
        <v>1615</v>
      </c>
      <c r="J214" t="s">
        <v>1570</v>
      </c>
      <c r="K214" t="s">
        <v>1572</v>
      </c>
      <c r="L214" s="28" t="s">
        <v>3031</v>
      </c>
      <c r="M214">
        <v>1050</v>
      </c>
      <c r="N214" t="s">
        <v>1566</v>
      </c>
      <c r="O214">
        <v>1.1000000000000001</v>
      </c>
      <c r="P214" t="s">
        <v>1589</v>
      </c>
      <c r="Q214">
        <v>11610</v>
      </c>
      <c r="R214" t="s">
        <v>1546</v>
      </c>
      <c r="V214" t="s">
        <v>1913</v>
      </c>
    </row>
    <row r="215" spans="1:22" x14ac:dyDescent="0.35">
      <c r="A215">
        <v>2024</v>
      </c>
      <c r="B215" t="s">
        <v>772</v>
      </c>
      <c r="C215" t="s">
        <v>8</v>
      </c>
      <c r="D215" t="s">
        <v>9</v>
      </c>
      <c r="E215" t="s">
        <v>1263</v>
      </c>
      <c r="G215" s="37" t="s">
        <v>11</v>
      </c>
      <c r="H215" s="37" t="s">
        <v>23</v>
      </c>
      <c r="I215" t="s">
        <v>1551</v>
      </c>
      <c r="J215" t="s">
        <v>1570</v>
      </c>
      <c r="K215" t="s">
        <v>1572</v>
      </c>
      <c r="L215" s="28" t="s">
        <v>3031</v>
      </c>
      <c r="M215">
        <v>1050</v>
      </c>
      <c r="N215" t="s">
        <v>1566</v>
      </c>
      <c r="O215">
        <v>2.1</v>
      </c>
      <c r="P215" t="s">
        <v>1589</v>
      </c>
      <c r="Q215">
        <v>22460</v>
      </c>
      <c r="R215" t="s">
        <v>1546</v>
      </c>
      <c r="V215" t="s">
        <v>1913</v>
      </c>
    </row>
    <row r="216" spans="1:22" x14ac:dyDescent="0.35">
      <c r="A216">
        <v>2024</v>
      </c>
      <c r="B216" t="s">
        <v>772</v>
      </c>
      <c r="C216" t="s">
        <v>8</v>
      </c>
      <c r="D216" t="s">
        <v>9</v>
      </c>
      <c r="E216" t="s">
        <v>1263</v>
      </c>
      <c r="G216" s="37" t="s">
        <v>11</v>
      </c>
      <c r="H216" s="37" t="s">
        <v>23</v>
      </c>
      <c r="I216" t="s">
        <v>1549</v>
      </c>
      <c r="J216" t="s">
        <v>1570</v>
      </c>
      <c r="K216" t="s">
        <v>1573</v>
      </c>
      <c r="L216" s="28" t="s">
        <v>3031</v>
      </c>
      <c r="M216">
        <v>1300</v>
      </c>
      <c r="N216" t="s">
        <v>1566</v>
      </c>
      <c r="O216">
        <v>14.8</v>
      </c>
      <c r="P216" t="s">
        <v>1912</v>
      </c>
      <c r="Q216">
        <v>19270</v>
      </c>
      <c r="R216" t="s">
        <v>1550</v>
      </c>
      <c r="V216" t="s">
        <v>1913</v>
      </c>
    </row>
    <row r="217" spans="1:22" x14ac:dyDescent="0.35">
      <c r="A217">
        <v>2024</v>
      </c>
      <c r="B217" t="s">
        <v>772</v>
      </c>
      <c r="C217" t="s">
        <v>8</v>
      </c>
      <c r="D217" t="s">
        <v>9</v>
      </c>
      <c r="E217" t="s">
        <v>1263</v>
      </c>
      <c r="G217" s="37" t="s">
        <v>11</v>
      </c>
      <c r="H217" s="37" t="s">
        <v>23</v>
      </c>
      <c r="I217" t="s">
        <v>16</v>
      </c>
      <c r="J217" t="s">
        <v>1570</v>
      </c>
      <c r="K217" t="s">
        <v>1573</v>
      </c>
      <c r="L217" s="28" t="s">
        <v>3031</v>
      </c>
      <c r="M217">
        <v>1300</v>
      </c>
      <c r="N217" t="s">
        <v>1566</v>
      </c>
      <c r="O217">
        <v>5.0000000000000001E-3</v>
      </c>
      <c r="P217" t="s">
        <v>1912</v>
      </c>
      <c r="Q217">
        <v>6</v>
      </c>
      <c r="R217" t="s">
        <v>1550</v>
      </c>
      <c r="V217" t="s">
        <v>1913</v>
      </c>
    </row>
    <row r="218" spans="1:22" x14ac:dyDescent="0.35">
      <c r="A218">
        <v>2024</v>
      </c>
      <c r="B218" t="s">
        <v>772</v>
      </c>
      <c r="C218" t="s">
        <v>8</v>
      </c>
      <c r="D218" t="s">
        <v>9</v>
      </c>
      <c r="E218" t="s">
        <v>1263</v>
      </c>
      <c r="G218" s="37" t="s">
        <v>11</v>
      </c>
      <c r="H218" s="37" t="s">
        <v>23</v>
      </c>
      <c r="I218" t="s">
        <v>1615</v>
      </c>
      <c r="J218" t="s">
        <v>1570</v>
      </c>
      <c r="K218" t="s">
        <v>1573</v>
      </c>
      <c r="L218" s="28" t="s">
        <v>3031</v>
      </c>
      <c r="M218">
        <v>1300</v>
      </c>
      <c r="N218" t="s">
        <v>1566</v>
      </c>
      <c r="O218">
        <v>1.3</v>
      </c>
      <c r="P218" t="s">
        <v>1589</v>
      </c>
      <c r="Q218">
        <v>16450</v>
      </c>
      <c r="R218" t="s">
        <v>1546</v>
      </c>
      <c r="V218" t="s">
        <v>1913</v>
      </c>
    </row>
    <row r="219" spans="1:22" x14ac:dyDescent="0.35">
      <c r="A219">
        <v>2024</v>
      </c>
      <c r="B219" t="s">
        <v>772</v>
      </c>
      <c r="C219" t="s">
        <v>8</v>
      </c>
      <c r="D219" t="s">
        <v>9</v>
      </c>
      <c r="E219" t="s">
        <v>1263</v>
      </c>
      <c r="G219" s="37" t="s">
        <v>11</v>
      </c>
      <c r="H219" s="37" t="s">
        <v>23</v>
      </c>
      <c r="I219" t="s">
        <v>1551</v>
      </c>
      <c r="J219" t="s">
        <v>1570</v>
      </c>
      <c r="K219" t="s">
        <v>1573</v>
      </c>
      <c r="L219" s="28" t="s">
        <v>3031</v>
      </c>
      <c r="M219">
        <v>1300</v>
      </c>
      <c r="N219" t="s">
        <v>1566</v>
      </c>
      <c r="O219">
        <v>2.7</v>
      </c>
      <c r="P219" t="s">
        <v>1589</v>
      </c>
      <c r="Q219">
        <v>34940</v>
      </c>
      <c r="R219" t="s">
        <v>1546</v>
      </c>
      <c r="V219" t="s">
        <v>1913</v>
      </c>
    </row>
    <row r="220" spans="1:22" x14ac:dyDescent="0.35">
      <c r="A220">
        <v>2025</v>
      </c>
      <c r="B220" t="s">
        <v>772</v>
      </c>
      <c r="C220" t="s">
        <v>717</v>
      </c>
      <c r="D220" t="s">
        <v>132</v>
      </c>
      <c r="E220" t="s">
        <v>1270</v>
      </c>
      <c r="F220" t="s">
        <v>1854</v>
      </c>
      <c r="G220" s="37" t="s">
        <v>11</v>
      </c>
      <c r="H220" s="37" t="s">
        <v>21</v>
      </c>
      <c r="I220" s="28" t="s">
        <v>1776</v>
      </c>
      <c r="J220" s="28" t="s">
        <v>1564</v>
      </c>
      <c r="K220" s="28" t="s">
        <v>1565</v>
      </c>
      <c r="L220" s="28" t="s">
        <v>3031</v>
      </c>
      <c r="M220">
        <v>1729000</v>
      </c>
      <c r="N220" s="11" t="s">
        <v>1641</v>
      </c>
      <c r="V220" t="s">
        <v>2991</v>
      </c>
    </row>
    <row r="221" spans="1:22" x14ac:dyDescent="0.35">
      <c r="A221">
        <v>2025</v>
      </c>
      <c r="B221" t="s">
        <v>772</v>
      </c>
      <c r="C221" t="s">
        <v>717</v>
      </c>
      <c r="D221" t="s">
        <v>132</v>
      </c>
      <c r="E221" t="s">
        <v>1270</v>
      </c>
      <c r="F221" t="s">
        <v>1854</v>
      </c>
      <c r="G221" s="37" t="s">
        <v>11</v>
      </c>
      <c r="H221" s="37" t="s">
        <v>21</v>
      </c>
      <c r="I221" s="28" t="s">
        <v>125</v>
      </c>
      <c r="J221" s="28" t="s">
        <v>1564</v>
      </c>
      <c r="K221" s="28" t="s">
        <v>1565</v>
      </c>
      <c r="L221" s="28" t="s">
        <v>3031</v>
      </c>
      <c r="O221">
        <v>0.26900000000000002</v>
      </c>
      <c r="P221" t="s">
        <v>1589</v>
      </c>
      <c r="V221" t="s">
        <v>2991</v>
      </c>
    </row>
    <row r="222" spans="1:22" x14ac:dyDescent="0.35">
      <c r="A222">
        <v>2025</v>
      </c>
      <c r="B222" t="s">
        <v>772</v>
      </c>
      <c r="C222" t="s">
        <v>717</v>
      </c>
      <c r="D222" t="s">
        <v>132</v>
      </c>
      <c r="E222" t="s">
        <v>1270</v>
      </c>
      <c r="F222" t="s">
        <v>1854</v>
      </c>
      <c r="G222" s="37" t="s">
        <v>11</v>
      </c>
      <c r="H222" s="37" t="s">
        <v>21</v>
      </c>
      <c r="I222" s="28" t="s">
        <v>16</v>
      </c>
      <c r="J222" s="28" t="s">
        <v>1564</v>
      </c>
      <c r="K222" s="28" t="s">
        <v>1565</v>
      </c>
      <c r="L222" s="28" t="s">
        <v>3031</v>
      </c>
      <c r="O222">
        <v>0.124</v>
      </c>
      <c r="P222" t="s">
        <v>1567</v>
      </c>
      <c r="V222" t="s">
        <v>2991</v>
      </c>
    </row>
    <row r="223" spans="1:22" x14ac:dyDescent="0.35">
      <c r="A223">
        <v>2025</v>
      </c>
      <c r="B223" t="s">
        <v>772</v>
      </c>
      <c r="C223" t="s">
        <v>717</v>
      </c>
      <c r="D223" t="s">
        <v>132</v>
      </c>
      <c r="E223" t="s">
        <v>1270</v>
      </c>
      <c r="F223" t="s">
        <v>1854</v>
      </c>
      <c r="G223" s="37" t="s">
        <v>11</v>
      </c>
      <c r="H223" s="37" t="s">
        <v>21</v>
      </c>
      <c r="I223" s="28" t="s">
        <v>1549</v>
      </c>
      <c r="J223" s="28" t="s">
        <v>1564</v>
      </c>
      <c r="K223" s="28" t="s">
        <v>1565</v>
      </c>
      <c r="L223" s="28" t="s">
        <v>3031</v>
      </c>
      <c r="O223">
        <v>0.72</v>
      </c>
      <c r="P223" t="s">
        <v>1567</v>
      </c>
      <c r="V223" t="s">
        <v>2991</v>
      </c>
    </row>
    <row r="224" spans="1:22" x14ac:dyDescent="0.35">
      <c r="A224">
        <v>2025</v>
      </c>
      <c r="B224" t="s">
        <v>772</v>
      </c>
      <c r="C224" t="s">
        <v>717</v>
      </c>
      <c r="D224" t="s">
        <v>132</v>
      </c>
      <c r="E224" t="s">
        <v>1270</v>
      </c>
      <c r="F224" t="s">
        <v>1854</v>
      </c>
      <c r="G224" s="37" t="s">
        <v>11</v>
      </c>
      <c r="H224" s="37" t="s">
        <v>21</v>
      </c>
      <c r="I224" s="28" t="s">
        <v>1776</v>
      </c>
      <c r="J224" s="28" t="s">
        <v>1564</v>
      </c>
      <c r="K224" s="28" t="s">
        <v>1574</v>
      </c>
      <c r="L224" s="28" t="s">
        <v>3031</v>
      </c>
      <c r="M224">
        <v>173100000</v>
      </c>
      <c r="N224" s="11" t="s">
        <v>1641</v>
      </c>
      <c r="V224" t="s">
        <v>2991</v>
      </c>
    </row>
    <row r="225" spans="1:22" x14ac:dyDescent="0.35">
      <c r="A225">
        <v>2025</v>
      </c>
      <c r="B225" t="s">
        <v>772</v>
      </c>
      <c r="C225" t="s">
        <v>717</v>
      </c>
      <c r="D225" t="s">
        <v>132</v>
      </c>
      <c r="E225" t="s">
        <v>1270</v>
      </c>
      <c r="F225" t="s">
        <v>1854</v>
      </c>
      <c r="G225" s="37" t="s">
        <v>11</v>
      </c>
      <c r="H225" s="37" t="s">
        <v>21</v>
      </c>
      <c r="I225" s="28" t="s">
        <v>125</v>
      </c>
      <c r="J225" s="28" t="s">
        <v>1564</v>
      </c>
      <c r="K225" s="28" t="s">
        <v>1574</v>
      </c>
      <c r="L225" s="28" t="s">
        <v>3031</v>
      </c>
      <c r="O225">
        <v>0.222</v>
      </c>
      <c r="P225" t="s">
        <v>1589</v>
      </c>
      <c r="V225" t="s">
        <v>2991</v>
      </c>
    </row>
    <row r="226" spans="1:22" x14ac:dyDescent="0.35">
      <c r="A226">
        <v>2025</v>
      </c>
      <c r="B226" t="s">
        <v>772</v>
      </c>
      <c r="C226" t="s">
        <v>717</v>
      </c>
      <c r="D226" t="s">
        <v>132</v>
      </c>
      <c r="E226" t="s">
        <v>1270</v>
      </c>
      <c r="F226" t="s">
        <v>1854</v>
      </c>
      <c r="G226" s="37" t="s">
        <v>11</v>
      </c>
      <c r="H226" s="37" t="s">
        <v>21</v>
      </c>
      <c r="I226" s="28" t="s">
        <v>16</v>
      </c>
      <c r="J226" s="28" t="s">
        <v>1564</v>
      </c>
      <c r="K226" s="28" t="s">
        <v>1574</v>
      </c>
      <c r="L226" s="28" t="s">
        <v>3031</v>
      </c>
      <c r="O226">
        <v>0.109</v>
      </c>
      <c r="P226" t="s">
        <v>1567</v>
      </c>
      <c r="V226" t="s">
        <v>2991</v>
      </c>
    </row>
    <row r="227" spans="1:22" x14ac:dyDescent="0.35">
      <c r="A227">
        <v>2025</v>
      </c>
      <c r="B227" t="s">
        <v>772</v>
      </c>
      <c r="C227" t="s">
        <v>717</v>
      </c>
      <c r="D227" t="s">
        <v>132</v>
      </c>
      <c r="E227" t="s">
        <v>1270</v>
      </c>
      <c r="F227" t="s">
        <v>1854</v>
      </c>
      <c r="G227" s="37" t="s">
        <v>11</v>
      </c>
      <c r="H227" s="37" t="s">
        <v>21</v>
      </c>
      <c r="I227" s="28" t="s">
        <v>1549</v>
      </c>
      <c r="J227" s="28" t="s">
        <v>1564</v>
      </c>
      <c r="K227" s="28" t="s">
        <v>1574</v>
      </c>
      <c r="L227" s="28" t="s">
        <v>3031</v>
      </c>
      <c r="O227">
        <v>0.62</v>
      </c>
      <c r="P227" t="s">
        <v>1567</v>
      </c>
      <c r="V227" t="s">
        <v>2991</v>
      </c>
    </row>
    <row r="228" spans="1:22" x14ac:dyDescent="0.35">
      <c r="A228">
        <v>2025</v>
      </c>
      <c r="B228" t="s">
        <v>772</v>
      </c>
      <c r="C228" t="s">
        <v>717</v>
      </c>
      <c r="D228" t="s">
        <v>132</v>
      </c>
      <c r="E228" t="s">
        <v>1270</v>
      </c>
      <c r="F228" t="s">
        <v>1854</v>
      </c>
      <c r="G228" s="37" t="s">
        <v>11</v>
      </c>
      <c r="H228" s="37" t="s">
        <v>21</v>
      </c>
      <c r="I228" s="28" t="s">
        <v>1776</v>
      </c>
      <c r="J228" s="28" t="s">
        <v>1570</v>
      </c>
      <c r="K228" s="28" t="s">
        <v>1571</v>
      </c>
      <c r="L228" s="28" t="s">
        <v>3031</v>
      </c>
      <c r="M228">
        <v>31900000</v>
      </c>
      <c r="N228" s="11" t="s">
        <v>1641</v>
      </c>
      <c r="V228" t="s">
        <v>2991</v>
      </c>
    </row>
    <row r="229" spans="1:22" x14ac:dyDescent="0.35">
      <c r="A229">
        <v>2025</v>
      </c>
      <c r="B229" t="s">
        <v>772</v>
      </c>
      <c r="C229" t="s">
        <v>717</v>
      </c>
      <c r="D229" t="s">
        <v>132</v>
      </c>
      <c r="E229" t="s">
        <v>1270</v>
      </c>
      <c r="F229" t="s">
        <v>1854</v>
      </c>
      <c r="G229" s="37" t="s">
        <v>11</v>
      </c>
      <c r="H229" s="37" t="s">
        <v>21</v>
      </c>
      <c r="I229" s="28" t="s">
        <v>125</v>
      </c>
      <c r="J229" s="28" t="s">
        <v>1570</v>
      </c>
      <c r="K229" s="28" t="s">
        <v>1571</v>
      </c>
      <c r="L229" s="28" t="s">
        <v>3031</v>
      </c>
      <c r="O229">
        <v>0.21299999999999999</v>
      </c>
      <c r="P229" t="s">
        <v>1589</v>
      </c>
      <c r="V229" t="s">
        <v>2991</v>
      </c>
    </row>
    <row r="230" spans="1:22" x14ac:dyDescent="0.35">
      <c r="A230">
        <v>2025</v>
      </c>
      <c r="B230" t="s">
        <v>772</v>
      </c>
      <c r="C230" t="s">
        <v>717</v>
      </c>
      <c r="D230" t="s">
        <v>132</v>
      </c>
      <c r="E230" t="s">
        <v>1270</v>
      </c>
      <c r="F230" t="s">
        <v>1854</v>
      </c>
      <c r="G230" s="37" t="s">
        <v>11</v>
      </c>
      <c r="H230" s="37" t="s">
        <v>21</v>
      </c>
      <c r="I230" s="28" t="s">
        <v>16</v>
      </c>
      <c r="J230" s="28" t="s">
        <v>1570</v>
      </c>
      <c r="K230" s="28" t="s">
        <v>1571</v>
      </c>
      <c r="L230" s="28" t="s">
        <v>3031</v>
      </c>
      <c r="O230">
        <v>9.1999999999999998E-2</v>
      </c>
      <c r="P230" t="s">
        <v>1567</v>
      </c>
      <c r="V230" t="s">
        <v>2991</v>
      </c>
    </row>
    <row r="231" spans="1:22" x14ac:dyDescent="0.35">
      <c r="A231">
        <v>2025</v>
      </c>
      <c r="B231" t="s">
        <v>772</v>
      </c>
      <c r="C231" t="s">
        <v>717</v>
      </c>
      <c r="D231" t="s">
        <v>132</v>
      </c>
      <c r="E231" t="s">
        <v>1270</v>
      </c>
      <c r="F231" t="s">
        <v>1854</v>
      </c>
      <c r="G231" s="37" t="s">
        <v>11</v>
      </c>
      <c r="H231" s="37" t="s">
        <v>21</v>
      </c>
      <c r="I231" s="28" t="s">
        <v>1549</v>
      </c>
      <c r="J231" s="28" t="s">
        <v>1570</v>
      </c>
      <c r="K231" s="28" t="s">
        <v>1571</v>
      </c>
      <c r="L231" s="28" t="s">
        <v>3031</v>
      </c>
      <c r="O231">
        <v>0.72</v>
      </c>
      <c r="P231" t="s">
        <v>1567</v>
      </c>
      <c r="V231" t="s">
        <v>2991</v>
      </c>
    </row>
    <row r="232" spans="1:22" x14ac:dyDescent="0.35">
      <c r="A232">
        <v>2025</v>
      </c>
      <c r="B232" t="s">
        <v>772</v>
      </c>
      <c r="C232" t="s">
        <v>717</v>
      </c>
      <c r="D232" t="s">
        <v>132</v>
      </c>
      <c r="E232" t="s">
        <v>1270</v>
      </c>
      <c r="F232" t="s">
        <v>1854</v>
      </c>
      <c r="G232" s="37" t="s">
        <v>11</v>
      </c>
      <c r="H232" s="37" t="s">
        <v>21</v>
      </c>
      <c r="I232" s="28" t="s">
        <v>1776</v>
      </c>
      <c r="J232" s="28" t="s">
        <v>1570</v>
      </c>
      <c r="K232" s="28" t="s">
        <v>1572</v>
      </c>
      <c r="L232" s="28" t="s">
        <v>3031</v>
      </c>
      <c r="M232">
        <v>92800000</v>
      </c>
      <c r="N232" s="11" t="s">
        <v>1641</v>
      </c>
      <c r="V232" t="s">
        <v>2991</v>
      </c>
    </row>
    <row r="233" spans="1:22" x14ac:dyDescent="0.35">
      <c r="A233">
        <v>2025</v>
      </c>
      <c r="B233" t="s">
        <v>772</v>
      </c>
      <c r="C233" t="s">
        <v>717</v>
      </c>
      <c r="D233" t="s">
        <v>132</v>
      </c>
      <c r="E233" t="s">
        <v>1270</v>
      </c>
      <c r="F233" t="s">
        <v>1854</v>
      </c>
      <c r="G233" s="37" t="s">
        <v>11</v>
      </c>
      <c r="H233" s="37" t="s">
        <v>21</v>
      </c>
      <c r="I233" s="28" t="s">
        <v>125</v>
      </c>
      <c r="J233" s="28" t="s">
        <v>1570</v>
      </c>
      <c r="K233" s="28" t="s">
        <v>1572</v>
      </c>
      <c r="L233" s="28" t="s">
        <v>3031</v>
      </c>
      <c r="O233">
        <v>0.20899999999999999</v>
      </c>
      <c r="P233" t="s">
        <v>1589</v>
      </c>
      <c r="V233" t="s">
        <v>2991</v>
      </c>
    </row>
    <row r="234" spans="1:22" x14ac:dyDescent="0.35">
      <c r="A234">
        <v>2025</v>
      </c>
      <c r="B234" t="s">
        <v>772</v>
      </c>
      <c r="C234" t="s">
        <v>717</v>
      </c>
      <c r="D234" t="s">
        <v>132</v>
      </c>
      <c r="E234" t="s">
        <v>1270</v>
      </c>
      <c r="F234" t="s">
        <v>1854</v>
      </c>
      <c r="G234" s="37" t="s">
        <v>11</v>
      </c>
      <c r="H234" s="37" t="s">
        <v>21</v>
      </c>
      <c r="I234" s="28" t="s">
        <v>16</v>
      </c>
      <c r="J234" s="28" t="s">
        <v>1570</v>
      </c>
      <c r="K234" s="28" t="s">
        <v>1572</v>
      </c>
      <c r="L234" s="28" t="s">
        <v>3031</v>
      </c>
      <c r="O234">
        <v>0.109</v>
      </c>
      <c r="P234" t="s">
        <v>1567</v>
      </c>
      <c r="V234" t="s">
        <v>2991</v>
      </c>
    </row>
    <row r="235" spans="1:22" x14ac:dyDescent="0.35">
      <c r="A235">
        <v>2025</v>
      </c>
      <c r="B235" t="s">
        <v>772</v>
      </c>
      <c r="C235" t="s">
        <v>717</v>
      </c>
      <c r="D235" t="s">
        <v>132</v>
      </c>
      <c r="E235" t="s">
        <v>1270</v>
      </c>
      <c r="F235" t="s">
        <v>1854</v>
      </c>
      <c r="G235" s="37" t="s">
        <v>11</v>
      </c>
      <c r="H235" s="37" t="s">
        <v>21</v>
      </c>
      <c r="I235" s="28" t="s">
        <v>1549</v>
      </c>
      <c r="J235" s="28" t="s">
        <v>1570</v>
      </c>
      <c r="K235" s="28" t="s">
        <v>1572</v>
      </c>
      <c r="L235" s="28" t="s">
        <v>3031</v>
      </c>
      <c r="O235">
        <v>0.66</v>
      </c>
      <c r="P235" t="s">
        <v>1567</v>
      </c>
      <c r="V235" t="s">
        <v>2991</v>
      </c>
    </row>
    <row r="236" spans="1:22" x14ac:dyDescent="0.35">
      <c r="A236">
        <v>2025</v>
      </c>
      <c r="B236" t="s">
        <v>772</v>
      </c>
      <c r="C236" t="s">
        <v>717</v>
      </c>
      <c r="D236" t="s">
        <v>89</v>
      </c>
      <c r="E236" t="s">
        <v>1269</v>
      </c>
      <c r="F236" t="s">
        <v>1854</v>
      </c>
      <c r="G236" s="37" t="s">
        <v>11</v>
      </c>
      <c r="H236" s="37" t="s">
        <v>21</v>
      </c>
      <c r="I236" s="11" t="s">
        <v>1776</v>
      </c>
      <c r="J236" s="11" t="s">
        <v>1564</v>
      </c>
      <c r="K236" s="11" t="s">
        <v>1600</v>
      </c>
      <c r="L236" s="28" t="s">
        <v>3031</v>
      </c>
      <c r="M236">
        <v>11156000</v>
      </c>
      <c r="N236" s="11" t="s">
        <v>1641</v>
      </c>
      <c r="V236" t="s">
        <v>980</v>
      </c>
    </row>
    <row r="237" spans="1:22" x14ac:dyDescent="0.35">
      <c r="A237">
        <v>2025</v>
      </c>
      <c r="B237" t="s">
        <v>772</v>
      </c>
      <c r="C237" t="s">
        <v>717</v>
      </c>
      <c r="D237" t="s">
        <v>89</v>
      </c>
      <c r="E237" t="s">
        <v>1269</v>
      </c>
      <c r="F237" t="s">
        <v>1854</v>
      </c>
      <c r="G237" s="37" t="s">
        <v>11</v>
      </c>
      <c r="H237" s="37" t="s">
        <v>21</v>
      </c>
      <c r="I237" s="11" t="s">
        <v>16</v>
      </c>
      <c r="J237" s="11" t="s">
        <v>1564</v>
      </c>
      <c r="K237" s="11" t="s">
        <v>1600</v>
      </c>
      <c r="L237" s="28" t="s">
        <v>3031</v>
      </c>
      <c r="N237" s="11" t="s">
        <v>1641</v>
      </c>
      <c r="O237" s="11">
        <v>3.9</v>
      </c>
      <c r="P237" s="11" t="s">
        <v>1567</v>
      </c>
      <c r="V237" t="s">
        <v>980</v>
      </c>
    </row>
    <row r="238" spans="1:22" x14ac:dyDescent="0.35">
      <c r="A238">
        <v>2025</v>
      </c>
      <c r="B238" t="s">
        <v>772</v>
      </c>
      <c r="C238" t="s">
        <v>717</v>
      </c>
      <c r="D238" t="s">
        <v>89</v>
      </c>
      <c r="E238" t="s">
        <v>1269</v>
      </c>
      <c r="F238" t="s">
        <v>1854</v>
      </c>
      <c r="G238" s="37" t="s">
        <v>11</v>
      </c>
      <c r="H238" s="37" t="s">
        <v>21</v>
      </c>
      <c r="I238" s="11" t="s">
        <v>1551</v>
      </c>
      <c r="J238" s="11" t="s">
        <v>1564</v>
      </c>
      <c r="K238" s="11" t="s">
        <v>1600</v>
      </c>
      <c r="L238" s="28" t="s">
        <v>3031</v>
      </c>
      <c r="N238" s="11" t="s">
        <v>1641</v>
      </c>
      <c r="O238" s="11">
        <v>2.2599999999999998</v>
      </c>
      <c r="P238" s="11" t="s">
        <v>1589</v>
      </c>
      <c r="V238" t="s">
        <v>980</v>
      </c>
    </row>
    <row r="239" spans="1:22" x14ac:dyDescent="0.35">
      <c r="A239">
        <v>2025</v>
      </c>
      <c r="B239" t="s">
        <v>772</v>
      </c>
      <c r="C239" t="s">
        <v>717</v>
      </c>
      <c r="D239" t="s">
        <v>89</v>
      </c>
      <c r="E239" t="s">
        <v>1269</v>
      </c>
      <c r="F239" t="s">
        <v>1854</v>
      </c>
      <c r="G239" s="37" t="s">
        <v>11</v>
      </c>
      <c r="H239" s="37" t="s">
        <v>21</v>
      </c>
      <c r="I239" s="28" t="s">
        <v>125</v>
      </c>
      <c r="J239" s="11" t="s">
        <v>1564</v>
      </c>
      <c r="K239" s="11" t="s">
        <v>1600</v>
      </c>
      <c r="L239" s="28" t="s">
        <v>3031</v>
      </c>
      <c r="M239" s="29"/>
      <c r="N239" s="11" t="s">
        <v>1641</v>
      </c>
      <c r="O239" s="28">
        <v>0.66</v>
      </c>
      <c r="P239" s="28" t="s">
        <v>1589</v>
      </c>
      <c r="Q239" s="28"/>
      <c r="R239" s="28"/>
      <c r="S239" s="28"/>
      <c r="T239" s="28"/>
      <c r="U239" s="28"/>
      <c r="V239" t="s">
        <v>980</v>
      </c>
    </row>
    <row r="240" spans="1:22" x14ac:dyDescent="0.35">
      <c r="A240">
        <v>2025</v>
      </c>
      <c r="B240" t="s">
        <v>772</v>
      </c>
      <c r="C240" t="s">
        <v>717</v>
      </c>
      <c r="D240" t="s">
        <v>89</v>
      </c>
      <c r="E240" t="s">
        <v>1269</v>
      </c>
      <c r="F240" t="s">
        <v>1854</v>
      </c>
      <c r="G240" s="37" t="s">
        <v>11</v>
      </c>
      <c r="H240" s="37" t="s">
        <v>21</v>
      </c>
      <c r="I240" s="28" t="s">
        <v>1549</v>
      </c>
      <c r="J240" s="11" t="s">
        <v>1564</v>
      </c>
      <c r="K240" s="11" t="s">
        <v>1600</v>
      </c>
      <c r="L240" s="28" t="s">
        <v>3031</v>
      </c>
      <c r="M240" s="29"/>
      <c r="N240" s="11" t="s">
        <v>1641</v>
      </c>
      <c r="O240" s="28">
        <v>29.4</v>
      </c>
      <c r="P240" s="28" t="s">
        <v>1567</v>
      </c>
      <c r="Q240" s="28"/>
      <c r="R240" s="28"/>
      <c r="S240" s="28"/>
      <c r="T240" s="28"/>
      <c r="U240" s="28"/>
      <c r="V240" t="s">
        <v>980</v>
      </c>
    </row>
    <row r="241" spans="1:22" x14ac:dyDescent="0.35">
      <c r="A241">
        <v>2025</v>
      </c>
      <c r="B241" t="s">
        <v>772</v>
      </c>
      <c r="C241" t="s">
        <v>717</v>
      </c>
      <c r="D241" t="s">
        <v>89</v>
      </c>
      <c r="E241" t="s">
        <v>1269</v>
      </c>
      <c r="F241" t="s">
        <v>1854</v>
      </c>
      <c r="G241" s="37" t="s">
        <v>11</v>
      </c>
      <c r="H241" s="37" t="s">
        <v>21</v>
      </c>
      <c r="I241" s="11" t="s">
        <v>1776</v>
      </c>
      <c r="J241" s="11" t="s">
        <v>1570</v>
      </c>
      <c r="K241" s="11" t="s">
        <v>1573</v>
      </c>
      <c r="L241" s="28" t="s">
        <v>3031</v>
      </c>
      <c r="M241" s="29">
        <v>2513000</v>
      </c>
      <c r="N241" s="11" t="s">
        <v>1641</v>
      </c>
      <c r="O241" s="28"/>
      <c r="P241" s="28"/>
      <c r="Q241" s="28"/>
      <c r="R241" s="28"/>
      <c r="S241" s="28"/>
      <c r="T241" s="28"/>
      <c r="U241" s="28"/>
      <c r="V241" t="s">
        <v>980</v>
      </c>
    </row>
    <row r="242" spans="1:22" x14ac:dyDescent="0.35">
      <c r="A242">
        <v>2025</v>
      </c>
      <c r="B242" t="s">
        <v>772</v>
      </c>
      <c r="C242" t="s">
        <v>717</v>
      </c>
      <c r="D242" t="s">
        <v>89</v>
      </c>
      <c r="E242" t="s">
        <v>1269</v>
      </c>
      <c r="F242" t="s">
        <v>1854</v>
      </c>
      <c r="G242" s="37" t="s">
        <v>11</v>
      </c>
      <c r="H242" s="37" t="s">
        <v>21</v>
      </c>
      <c r="I242" s="11" t="s">
        <v>16</v>
      </c>
      <c r="J242" s="11" t="s">
        <v>1570</v>
      </c>
      <c r="K242" s="11" t="s">
        <v>1573</v>
      </c>
      <c r="L242" s="28" t="s">
        <v>3031</v>
      </c>
      <c r="M242" s="29"/>
      <c r="N242" s="28"/>
      <c r="O242" s="28">
        <v>3.7</v>
      </c>
      <c r="P242" s="11" t="s">
        <v>1567</v>
      </c>
      <c r="Q242" s="28"/>
      <c r="R242" s="28"/>
      <c r="S242" s="28"/>
      <c r="T242" s="28"/>
      <c r="U242" s="28"/>
      <c r="V242" t="s">
        <v>980</v>
      </c>
    </row>
    <row r="243" spans="1:22" x14ac:dyDescent="0.35">
      <c r="A243">
        <v>2025</v>
      </c>
      <c r="B243" t="s">
        <v>772</v>
      </c>
      <c r="C243" t="s">
        <v>717</v>
      </c>
      <c r="D243" t="s">
        <v>89</v>
      </c>
      <c r="E243" t="s">
        <v>1269</v>
      </c>
      <c r="F243" t="s">
        <v>1854</v>
      </c>
      <c r="G243" s="37" t="s">
        <v>11</v>
      </c>
      <c r="H243" s="37" t="s">
        <v>21</v>
      </c>
      <c r="I243" s="11" t="s">
        <v>1551</v>
      </c>
      <c r="J243" s="11" t="s">
        <v>1570</v>
      </c>
      <c r="K243" s="11" t="s">
        <v>1573</v>
      </c>
      <c r="L243" s="28" t="s">
        <v>3031</v>
      </c>
      <c r="M243" s="29"/>
      <c r="N243" s="28"/>
      <c r="O243" s="28">
        <v>1.42</v>
      </c>
      <c r="P243" s="11" t="s">
        <v>1589</v>
      </c>
      <c r="Q243" s="28"/>
      <c r="R243" s="28"/>
      <c r="S243" s="28"/>
      <c r="T243" s="28"/>
      <c r="U243" s="28"/>
      <c r="V243" t="s">
        <v>980</v>
      </c>
    </row>
    <row r="244" spans="1:22" x14ac:dyDescent="0.35">
      <c r="A244">
        <v>2025</v>
      </c>
      <c r="B244" t="s">
        <v>772</v>
      </c>
      <c r="C244" t="s">
        <v>717</v>
      </c>
      <c r="D244" t="s">
        <v>89</v>
      </c>
      <c r="E244" t="s">
        <v>1269</v>
      </c>
      <c r="F244" t="s">
        <v>1854</v>
      </c>
      <c r="G244" s="37" t="s">
        <v>11</v>
      </c>
      <c r="H244" s="37" t="s">
        <v>21</v>
      </c>
      <c r="I244" s="28" t="s">
        <v>125</v>
      </c>
      <c r="J244" s="11" t="s">
        <v>1570</v>
      </c>
      <c r="K244" s="11" t="s">
        <v>1573</v>
      </c>
      <c r="L244" s="28" t="s">
        <v>3031</v>
      </c>
      <c r="M244" s="29"/>
      <c r="N244" s="28"/>
      <c r="O244" s="28">
        <v>1.92</v>
      </c>
      <c r="P244" s="28" t="s">
        <v>1589</v>
      </c>
      <c r="Q244" s="28"/>
      <c r="R244" s="28"/>
      <c r="S244" s="28"/>
      <c r="T244" s="28"/>
      <c r="U244" s="28"/>
      <c r="V244" t="s">
        <v>980</v>
      </c>
    </row>
    <row r="245" spans="1:22" x14ac:dyDescent="0.35">
      <c r="A245">
        <v>2025</v>
      </c>
      <c r="B245" t="s">
        <v>772</v>
      </c>
      <c r="C245" t="s">
        <v>717</v>
      </c>
      <c r="D245" t="s">
        <v>89</v>
      </c>
      <c r="E245" t="s">
        <v>1269</v>
      </c>
      <c r="F245" t="s">
        <v>1854</v>
      </c>
      <c r="G245" s="37" t="s">
        <v>11</v>
      </c>
      <c r="H245" s="37" t="s">
        <v>21</v>
      </c>
      <c r="I245" s="28" t="s">
        <v>1549</v>
      </c>
      <c r="J245" s="11" t="s">
        <v>1570</v>
      </c>
      <c r="K245" s="11" t="s">
        <v>1573</v>
      </c>
      <c r="L245" s="28" t="s">
        <v>3031</v>
      </c>
      <c r="M245" s="29"/>
      <c r="N245" s="28"/>
      <c r="O245" s="28">
        <v>18.600000000000001</v>
      </c>
      <c r="P245" s="28" t="s">
        <v>1567</v>
      </c>
      <c r="Q245" s="28"/>
      <c r="R245" s="28"/>
      <c r="S245" s="28"/>
      <c r="T245" s="28"/>
      <c r="U245" s="28"/>
      <c r="V245" t="s">
        <v>980</v>
      </c>
    </row>
    <row r="246" spans="1:22" x14ac:dyDescent="0.35">
      <c r="A246">
        <v>2025</v>
      </c>
      <c r="B246" t="s">
        <v>772</v>
      </c>
      <c r="C246" t="s">
        <v>717</v>
      </c>
      <c r="D246" t="s">
        <v>80</v>
      </c>
      <c r="E246" t="s">
        <v>1268</v>
      </c>
      <c r="F246" t="s">
        <v>1854</v>
      </c>
      <c r="G246" s="37" t="s">
        <v>11</v>
      </c>
      <c r="H246" s="37" t="s">
        <v>19</v>
      </c>
      <c r="I246" s="28" t="s">
        <v>1776</v>
      </c>
      <c r="J246" s="28" t="s">
        <v>1570</v>
      </c>
      <c r="K246" s="28" t="s">
        <v>1573</v>
      </c>
      <c r="L246" s="28" t="s">
        <v>3031</v>
      </c>
      <c r="M246">
        <v>2750000</v>
      </c>
      <c r="N246" s="11" t="s">
        <v>1641</v>
      </c>
      <c r="V246" t="s">
        <v>2991</v>
      </c>
    </row>
    <row r="247" spans="1:22" x14ac:dyDescent="0.35">
      <c r="A247">
        <v>2025</v>
      </c>
      <c r="B247" t="s">
        <v>772</v>
      </c>
      <c r="C247" t="s">
        <v>717</v>
      </c>
      <c r="D247" t="s">
        <v>80</v>
      </c>
      <c r="E247" t="s">
        <v>1268</v>
      </c>
      <c r="F247" t="s">
        <v>1854</v>
      </c>
      <c r="G247" s="37" t="s">
        <v>11</v>
      </c>
      <c r="H247" s="37" t="s">
        <v>19</v>
      </c>
      <c r="I247" s="28" t="s">
        <v>16</v>
      </c>
      <c r="J247" s="28" t="s">
        <v>1570</v>
      </c>
      <c r="K247" s="28" t="s">
        <v>1573</v>
      </c>
      <c r="L247" s="28" t="s">
        <v>3031</v>
      </c>
      <c r="O247">
        <v>4.5</v>
      </c>
      <c r="P247" t="s">
        <v>1567</v>
      </c>
      <c r="V247" t="s">
        <v>2991</v>
      </c>
    </row>
    <row r="248" spans="1:22" ht="29" x14ac:dyDescent="0.35">
      <c r="A248">
        <v>2025</v>
      </c>
      <c r="B248" t="s">
        <v>1537</v>
      </c>
      <c r="C248" t="s">
        <v>717</v>
      </c>
      <c r="D248" t="s">
        <v>1782</v>
      </c>
      <c r="F248" t="s">
        <v>1854</v>
      </c>
      <c r="G248" s="37" t="s">
        <v>11</v>
      </c>
      <c r="H248" s="38" t="s">
        <v>23</v>
      </c>
      <c r="I248" s="28" t="s">
        <v>1776</v>
      </c>
      <c r="J248" s="28" t="s">
        <v>1564</v>
      </c>
      <c r="K248" s="28" t="s">
        <v>1574</v>
      </c>
      <c r="L248" s="28" t="s">
        <v>3031</v>
      </c>
      <c r="M248">
        <v>3110000</v>
      </c>
      <c r="N248" s="11" t="s">
        <v>1641</v>
      </c>
      <c r="Q248" s="28"/>
      <c r="R248" s="28"/>
      <c r="S248" s="28"/>
      <c r="T248" s="28"/>
      <c r="U248" s="28"/>
      <c r="V248" t="s">
        <v>2991</v>
      </c>
    </row>
    <row r="249" spans="1:22" ht="29" x14ac:dyDescent="0.35">
      <c r="A249">
        <v>2025</v>
      </c>
      <c r="B249" t="s">
        <v>1537</v>
      </c>
      <c r="C249" t="s">
        <v>717</v>
      </c>
      <c r="D249" t="s">
        <v>1782</v>
      </c>
      <c r="F249" t="s">
        <v>1854</v>
      </c>
      <c r="G249" s="37" t="s">
        <v>11</v>
      </c>
      <c r="H249" s="38" t="s">
        <v>23</v>
      </c>
      <c r="I249" s="11" t="s">
        <v>16</v>
      </c>
      <c r="J249" s="28" t="s">
        <v>1564</v>
      </c>
      <c r="K249" s="28" t="s">
        <v>1574</v>
      </c>
      <c r="L249" s="28" t="s">
        <v>3031</v>
      </c>
      <c r="N249" s="11" t="s">
        <v>1641</v>
      </c>
      <c r="O249" s="11">
        <v>2.2000000000000002</v>
      </c>
      <c r="P249" s="11" t="s">
        <v>1567</v>
      </c>
      <c r="Q249" s="28"/>
      <c r="R249" s="28"/>
      <c r="S249" s="28"/>
      <c r="T249" s="28"/>
      <c r="U249" s="28"/>
      <c r="V249" t="s">
        <v>2991</v>
      </c>
    </row>
    <row r="250" spans="1:22" ht="29" x14ac:dyDescent="0.35">
      <c r="A250">
        <v>2025</v>
      </c>
      <c r="B250" t="s">
        <v>1537</v>
      </c>
      <c r="C250" t="s">
        <v>717</v>
      </c>
      <c r="D250" t="s">
        <v>1782</v>
      </c>
      <c r="F250" t="s">
        <v>1854</v>
      </c>
      <c r="G250" s="37" t="s">
        <v>11</v>
      </c>
      <c r="H250" s="38" t="s">
        <v>23</v>
      </c>
      <c r="I250" s="11" t="s">
        <v>1551</v>
      </c>
      <c r="J250" s="28" t="s">
        <v>1564</v>
      </c>
      <c r="K250" s="28" t="s">
        <v>1574</v>
      </c>
      <c r="L250" s="28" t="s">
        <v>3031</v>
      </c>
      <c r="N250" s="11" t="s">
        <v>1641</v>
      </c>
      <c r="O250" s="11">
        <v>0.2</v>
      </c>
      <c r="P250" s="11" t="s">
        <v>1589</v>
      </c>
      <c r="Q250" s="28"/>
      <c r="R250" s="28"/>
      <c r="S250" s="28"/>
      <c r="T250" s="28"/>
      <c r="U250" s="28"/>
      <c r="V250" t="s">
        <v>2991</v>
      </c>
    </row>
    <row r="251" spans="1:22" ht="29" x14ac:dyDescent="0.35">
      <c r="A251">
        <v>2025</v>
      </c>
      <c r="B251" t="s">
        <v>1537</v>
      </c>
      <c r="C251" t="s">
        <v>717</v>
      </c>
      <c r="D251" t="s">
        <v>1782</v>
      </c>
      <c r="F251" t="s">
        <v>1854</v>
      </c>
      <c r="G251" s="37" t="s">
        <v>11</v>
      </c>
      <c r="H251" s="38" t="s">
        <v>23</v>
      </c>
      <c r="I251" s="28" t="s">
        <v>125</v>
      </c>
      <c r="J251" s="28" t="s">
        <v>1564</v>
      </c>
      <c r="K251" s="28" t="s">
        <v>1574</v>
      </c>
      <c r="L251" s="28" t="s">
        <v>3031</v>
      </c>
      <c r="M251" s="29"/>
      <c r="N251" s="11" t="s">
        <v>1641</v>
      </c>
      <c r="O251" s="28">
        <v>1.28</v>
      </c>
      <c r="P251" s="28" t="s">
        <v>1589</v>
      </c>
      <c r="V251" t="s">
        <v>2991</v>
      </c>
    </row>
    <row r="252" spans="1:22" ht="29" x14ac:dyDescent="0.35">
      <c r="A252">
        <v>2025</v>
      </c>
      <c r="B252" t="s">
        <v>1537</v>
      </c>
      <c r="C252" t="s">
        <v>717</v>
      </c>
      <c r="D252" t="s">
        <v>1782</v>
      </c>
      <c r="F252" t="s">
        <v>1854</v>
      </c>
      <c r="G252" s="37" t="s">
        <v>11</v>
      </c>
      <c r="H252" s="38" t="s">
        <v>23</v>
      </c>
      <c r="I252" s="28" t="s">
        <v>1549</v>
      </c>
      <c r="J252" s="28" t="s">
        <v>1564</v>
      </c>
      <c r="K252" s="28" t="s">
        <v>1574</v>
      </c>
      <c r="L252" s="28" t="s">
        <v>3031</v>
      </c>
      <c r="M252" s="29"/>
      <c r="N252" s="11" t="s">
        <v>1641</v>
      </c>
      <c r="O252" s="28">
        <v>5</v>
      </c>
      <c r="P252" s="28" t="s">
        <v>1567</v>
      </c>
      <c r="V252" t="s">
        <v>2991</v>
      </c>
    </row>
    <row r="253" spans="1:22" x14ac:dyDescent="0.35">
      <c r="A253">
        <v>2024</v>
      </c>
      <c r="B253" t="s">
        <v>772</v>
      </c>
      <c r="C253" t="s">
        <v>73</v>
      </c>
      <c r="D253" t="s">
        <v>74</v>
      </c>
      <c r="E253" t="s">
        <v>1276</v>
      </c>
      <c r="G253" s="37" t="s">
        <v>11</v>
      </c>
      <c r="H253" s="37" t="s">
        <v>13</v>
      </c>
      <c r="I253" t="s">
        <v>64</v>
      </c>
      <c r="J253" t="s">
        <v>1564</v>
      </c>
      <c r="K253" t="s">
        <v>1565</v>
      </c>
      <c r="L253" s="28" t="s">
        <v>3031</v>
      </c>
      <c r="M253">
        <v>1080</v>
      </c>
      <c r="N253" t="s">
        <v>1566</v>
      </c>
      <c r="O253">
        <v>8.64</v>
      </c>
      <c r="P253" t="s">
        <v>1567</v>
      </c>
      <c r="Q253">
        <v>300</v>
      </c>
      <c r="R253" t="s">
        <v>1550</v>
      </c>
      <c r="V253" t="s">
        <v>1931</v>
      </c>
    </row>
    <row r="254" spans="1:22" x14ac:dyDescent="0.35">
      <c r="A254">
        <v>2024</v>
      </c>
      <c r="B254" t="s">
        <v>772</v>
      </c>
      <c r="C254" t="s">
        <v>73</v>
      </c>
      <c r="D254" t="s">
        <v>74</v>
      </c>
      <c r="E254" t="s">
        <v>1276</v>
      </c>
      <c r="G254" s="37" t="s">
        <v>11</v>
      </c>
      <c r="H254" s="37" t="s">
        <v>13</v>
      </c>
      <c r="I254" t="s">
        <v>64</v>
      </c>
      <c r="J254" t="s">
        <v>1564</v>
      </c>
      <c r="K254" t="s">
        <v>1574</v>
      </c>
      <c r="L254" s="28" t="s">
        <v>3031</v>
      </c>
      <c r="M254">
        <v>2976</v>
      </c>
      <c r="N254" t="s">
        <v>1566</v>
      </c>
      <c r="O254">
        <v>7.35</v>
      </c>
      <c r="P254" t="s">
        <v>1567</v>
      </c>
      <c r="Q254">
        <v>704</v>
      </c>
      <c r="R254" t="s">
        <v>1550</v>
      </c>
      <c r="V254" t="s">
        <v>1931</v>
      </c>
    </row>
    <row r="255" spans="1:22" x14ac:dyDescent="0.35">
      <c r="A255">
        <v>2024</v>
      </c>
      <c r="B255" t="s">
        <v>772</v>
      </c>
      <c r="C255" t="s">
        <v>73</v>
      </c>
      <c r="D255" t="s">
        <v>74</v>
      </c>
      <c r="E255" t="s">
        <v>1276</v>
      </c>
      <c r="G255" s="37" t="s">
        <v>11</v>
      </c>
      <c r="H255" s="37" t="s">
        <v>13</v>
      </c>
      <c r="I255" t="s">
        <v>64</v>
      </c>
      <c r="J255" t="s">
        <v>1570</v>
      </c>
      <c r="K255" t="s">
        <v>1571</v>
      </c>
      <c r="L255" s="28" t="s">
        <v>3031</v>
      </c>
      <c r="M255">
        <v>1061</v>
      </c>
      <c r="N255" t="s">
        <v>1566</v>
      </c>
      <c r="O255">
        <v>9.17</v>
      </c>
      <c r="P255" t="s">
        <v>1567</v>
      </c>
      <c r="Q255">
        <v>313</v>
      </c>
      <c r="R255" t="s">
        <v>1550</v>
      </c>
      <c r="V255" t="s">
        <v>1931</v>
      </c>
    </row>
    <row r="256" spans="1:22" x14ac:dyDescent="0.35">
      <c r="A256">
        <v>2024</v>
      </c>
      <c r="B256" t="s">
        <v>772</v>
      </c>
      <c r="C256" t="s">
        <v>73</v>
      </c>
      <c r="D256" t="s">
        <v>74</v>
      </c>
      <c r="E256" t="s">
        <v>1276</v>
      </c>
      <c r="G256" s="37" t="s">
        <v>11</v>
      </c>
      <c r="H256" s="37" t="s">
        <v>13</v>
      </c>
      <c r="I256" t="s">
        <v>64</v>
      </c>
      <c r="J256" t="s">
        <v>1570</v>
      </c>
      <c r="K256" t="s">
        <v>1572</v>
      </c>
      <c r="L256" s="28" t="s">
        <v>3031</v>
      </c>
      <c r="M256">
        <v>5627</v>
      </c>
      <c r="N256" t="s">
        <v>1566</v>
      </c>
      <c r="O256">
        <v>7.75</v>
      </c>
      <c r="P256" t="s">
        <v>1567</v>
      </c>
      <c r="Q256">
        <v>1402</v>
      </c>
      <c r="R256" t="s">
        <v>1550</v>
      </c>
      <c r="V256" t="s">
        <v>1931</v>
      </c>
    </row>
    <row r="257" spans="1:22" x14ac:dyDescent="0.35">
      <c r="A257">
        <v>2024</v>
      </c>
      <c r="B257" t="s">
        <v>772</v>
      </c>
      <c r="C257" t="s">
        <v>73</v>
      </c>
      <c r="D257" t="s">
        <v>74</v>
      </c>
      <c r="E257" t="s">
        <v>1276</v>
      </c>
      <c r="G257" s="37" t="s">
        <v>11</v>
      </c>
      <c r="H257" s="37" t="s">
        <v>13</v>
      </c>
      <c r="I257" t="s">
        <v>64</v>
      </c>
      <c r="J257" t="s">
        <v>1570</v>
      </c>
      <c r="K257" t="s">
        <v>1573</v>
      </c>
      <c r="L257" s="28" t="s">
        <v>3031</v>
      </c>
      <c r="M257">
        <v>4369</v>
      </c>
      <c r="N257" t="s">
        <v>1566</v>
      </c>
      <c r="O257">
        <v>12.83</v>
      </c>
      <c r="P257" t="s">
        <v>1567</v>
      </c>
      <c r="Q257">
        <v>1802</v>
      </c>
      <c r="R257" t="s">
        <v>1550</v>
      </c>
      <c r="V257" t="s">
        <v>1931</v>
      </c>
    </row>
    <row r="258" spans="1:22" x14ac:dyDescent="0.35">
      <c r="A258">
        <v>2023</v>
      </c>
      <c r="B258" t="s">
        <v>772</v>
      </c>
      <c r="C258" t="s">
        <v>859</v>
      </c>
      <c r="D258" t="s">
        <v>203</v>
      </c>
      <c r="E258" t="s">
        <v>1277</v>
      </c>
      <c r="G258" s="37" t="s">
        <v>11</v>
      </c>
      <c r="H258" s="37" t="s">
        <v>23</v>
      </c>
      <c r="I258" t="s">
        <v>1936</v>
      </c>
      <c r="J258" t="s">
        <v>1570</v>
      </c>
      <c r="K258" t="s">
        <v>1571</v>
      </c>
      <c r="L258" s="28" t="s">
        <v>3031</v>
      </c>
      <c r="M258">
        <v>26.3</v>
      </c>
      <c r="N258" t="s">
        <v>1641</v>
      </c>
      <c r="O258">
        <v>2.87</v>
      </c>
      <c r="P258" t="s">
        <v>1567</v>
      </c>
      <c r="Q258">
        <v>2.4</v>
      </c>
      <c r="R258" t="s">
        <v>1841</v>
      </c>
      <c r="V258" t="s">
        <v>1940</v>
      </c>
    </row>
    <row r="259" spans="1:22" x14ac:dyDescent="0.35">
      <c r="A259">
        <v>2023</v>
      </c>
      <c r="B259" t="s">
        <v>772</v>
      </c>
      <c r="C259" t="s">
        <v>859</v>
      </c>
      <c r="D259" t="s">
        <v>203</v>
      </c>
      <c r="E259" t="s">
        <v>1277</v>
      </c>
      <c r="G259" s="37" t="s">
        <v>11</v>
      </c>
      <c r="H259" s="37" t="s">
        <v>23</v>
      </c>
      <c r="I259" t="s">
        <v>1936</v>
      </c>
      <c r="J259" t="s">
        <v>1570</v>
      </c>
      <c r="K259" t="s">
        <v>1572</v>
      </c>
      <c r="L259" s="28" t="s">
        <v>3031</v>
      </c>
      <c r="M259">
        <v>39</v>
      </c>
      <c r="N259" t="s">
        <v>1641</v>
      </c>
      <c r="O259">
        <v>2.44</v>
      </c>
      <c r="P259" t="s">
        <v>1567</v>
      </c>
      <c r="Q259">
        <v>3.1</v>
      </c>
      <c r="R259" t="s">
        <v>1841</v>
      </c>
      <c r="V259" t="s">
        <v>1940</v>
      </c>
    </row>
    <row r="260" spans="1:22" x14ac:dyDescent="0.35">
      <c r="A260">
        <v>2023</v>
      </c>
      <c r="B260" t="s">
        <v>772</v>
      </c>
      <c r="C260" t="s">
        <v>859</v>
      </c>
      <c r="D260" t="s">
        <v>203</v>
      </c>
      <c r="E260" t="s">
        <v>1277</v>
      </c>
      <c r="G260" s="37" t="s">
        <v>11</v>
      </c>
      <c r="H260" s="37" t="s">
        <v>23</v>
      </c>
      <c r="I260" t="s">
        <v>1936</v>
      </c>
      <c r="J260" t="s">
        <v>1570</v>
      </c>
      <c r="K260" t="s">
        <v>1573</v>
      </c>
      <c r="L260" s="28" t="s">
        <v>3031</v>
      </c>
      <c r="M260">
        <v>4.3</v>
      </c>
      <c r="N260" t="s">
        <v>1641</v>
      </c>
      <c r="O260">
        <v>2.4700000000000002</v>
      </c>
      <c r="P260" t="s">
        <v>1567</v>
      </c>
      <c r="Q260">
        <v>1.03</v>
      </c>
      <c r="R260" t="s">
        <v>1841</v>
      </c>
      <c r="V260" t="s">
        <v>1940</v>
      </c>
    </row>
    <row r="261" spans="1:22" x14ac:dyDescent="0.35">
      <c r="A261">
        <v>2023</v>
      </c>
      <c r="B261" t="s">
        <v>772</v>
      </c>
      <c r="C261" t="s">
        <v>859</v>
      </c>
      <c r="D261" t="s">
        <v>203</v>
      </c>
      <c r="E261" t="s">
        <v>1277</v>
      </c>
      <c r="G261" s="37" t="s">
        <v>11</v>
      </c>
      <c r="H261" s="37" t="s">
        <v>23</v>
      </c>
      <c r="I261" t="s">
        <v>1772</v>
      </c>
      <c r="J261" t="s">
        <v>1570</v>
      </c>
      <c r="K261" t="s">
        <v>1571</v>
      </c>
      <c r="L261" s="28" t="s">
        <v>3031</v>
      </c>
      <c r="M261" t="s">
        <v>707</v>
      </c>
      <c r="N261" t="s">
        <v>1641</v>
      </c>
      <c r="O261" t="s">
        <v>707</v>
      </c>
      <c r="P261" t="s">
        <v>1567</v>
      </c>
      <c r="Q261">
        <v>0.19</v>
      </c>
      <c r="R261" t="s">
        <v>1841</v>
      </c>
      <c r="V261" t="s">
        <v>1940</v>
      </c>
    </row>
    <row r="262" spans="1:22" x14ac:dyDescent="0.35">
      <c r="A262">
        <v>2023</v>
      </c>
      <c r="B262" t="s">
        <v>772</v>
      </c>
      <c r="C262" t="s">
        <v>859</v>
      </c>
      <c r="D262" t="s">
        <v>203</v>
      </c>
      <c r="E262" t="s">
        <v>1277</v>
      </c>
      <c r="G262" s="37" t="s">
        <v>11</v>
      </c>
      <c r="H262" s="37" t="s">
        <v>23</v>
      </c>
      <c r="I262" t="s">
        <v>1772</v>
      </c>
      <c r="J262" t="s">
        <v>1570</v>
      </c>
      <c r="K262" t="s">
        <v>1572</v>
      </c>
      <c r="L262" s="28" t="s">
        <v>3031</v>
      </c>
      <c r="M262" t="s">
        <v>707</v>
      </c>
      <c r="N262" t="s">
        <v>1641</v>
      </c>
      <c r="O262" t="s">
        <v>707</v>
      </c>
      <c r="P262" t="s">
        <v>1567</v>
      </c>
      <c r="Q262">
        <v>0.27</v>
      </c>
      <c r="R262" t="s">
        <v>1841</v>
      </c>
      <c r="V262" t="s">
        <v>1940</v>
      </c>
    </row>
    <row r="263" spans="1:22" x14ac:dyDescent="0.35">
      <c r="A263">
        <v>2023</v>
      </c>
      <c r="B263" t="s">
        <v>772</v>
      </c>
      <c r="C263" t="s">
        <v>859</v>
      </c>
      <c r="D263" t="s">
        <v>203</v>
      </c>
      <c r="E263" t="s">
        <v>1277</v>
      </c>
      <c r="G263" s="37" t="s">
        <v>11</v>
      </c>
      <c r="H263" s="37" t="s">
        <v>23</v>
      </c>
      <c r="I263" t="s">
        <v>1772</v>
      </c>
      <c r="J263" t="s">
        <v>1570</v>
      </c>
      <c r="K263" t="s">
        <v>1573</v>
      </c>
      <c r="L263" s="28" t="s">
        <v>3031</v>
      </c>
      <c r="M263" t="s">
        <v>707</v>
      </c>
      <c r="N263" t="s">
        <v>1641</v>
      </c>
      <c r="O263" t="s">
        <v>707</v>
      </c>
      <c r="P263" t="s">
        <v>1567</v>
      </c>
      <c r="Q263">
        <v>0.03</v>
      </c>
      <c r="R263" t="s">
        <v>1841</v>
      </c>
      <c r="V263" t="s">
        <v>1940</v>
      </c>
    </row>
    <row r="264" spans="1:22" x14ac:dyDescent="0.35">
      <c r="A264">
        <v>2023</v>
      </c>
      <c r="B264" t="s">
        <v>772</v>
      </c>
      <c r="C264" t="s">
        <v>859</v>
      </c>
      <c r="D264" t="s">
        <v>203</v>
      </c>
      <c r="E264" t="s">
        <v>1277</v>
      </c>
      <c r="G264" s="37" t="s">
        <v>11</v>
      </c>
      <c r="H264" s="37" t="s">
        <v>23</v>
      </c>
      <c r="I264" t="s">
        <v>1773</v>
      </c>
      <c r="J264" t="s">
        <v>1570</v>
      </c>
      <c r="K264" t="s">
        <v>1571</v>
      </c>
      <c r="L264" s="28" t="s">
        <v>3031</v>
      </c>
      <c r="M264" t="s">
        <v>707</v>
      </c>
      <c r="N264" t="s">
        <v>1641</v>
      </c>
      <c r="O264" t="s">
        <v>707</v>
      </c>
      <c r="P264" t="s">
        <v>1567</v>
      </c>
      <c r="Q264">
        <v>2.09</v>
      </c>
      <c r="R264" t="s">
        <v>1841</v>
      </c>
      <c r="V264" t="s">
        <v>1940</v>
      </c>
    </row>
    <row r="265" spans="1:22" x14ac:dyDescent="0.35">
      <c r="A265">
        <v>2023</v>
      </c>
      <c r="B265" t="s">
        <v>772</v>
      </c>
      <c r="C265" t="s">
        <v>859</v>
      </c>
      <c r="D265" t="s">
        <v>203</v>
      </c>
      <c r="E265" t="s">
        <v>1277</v>
      </c>
      <c r="G265" s="37" t="s">
        <v>11</v>
      </c>
      <c r="H265" s="37" t="s">
        <v>23</v>
      </c>
      <c r="I265" t="s">
        <v>1773</v>
      </c>
      <c r="J265" t="s">
        <v>1570</v>
      </c>
      <c r="K265" t="s">
        <v>1572</v>
      </c>
      <c r="L265" s="28" t="s">
        <v>3031</v>
      </c>
      <c r="M265" t="s">
        <v>707</v>
      </c>
      <c r="N265" t="s">
        <v>1641</v>
      </c>
      <c r="O265" t="s">
        <v>707</v>
      </c>
      <c r="P265" t="s">
        <v>1567</v>
      </c>
      <c r="Q265">
        <v>2.6</v>
      </c>
      <c r="R265" t="s">
        <v>1841</v>
      </c>
      <c r="V265" t="s">
        <v>1940</v>
      </c>
    </row>
    <row r="266" spans="1:22" x14ac:dyDescent="0.35">
      <c r="A266">
        <v>2023</v>
      </c>
      <c r="B266" t="s">
        <v>772</v>
      </c>
      <c r="C266" t="s">
        <v>859</v>
      </c>
      <c r="D266" t="s">
        <v>203</v>
      </c>
      <c r="E266" t="s">
        <v>1277</v>
      </c>
      <c r="G266" s="37" t="s">
        <v>11</v>
      </c>
      <c r="H266" s="37" t="s">
        <v>23</v>
      </c>
      <c r="I266" t="s">
        <v>1773</v>
      </c>
      <c r="J266" t="s">
        <v>1570</v>
      </c>
      <c r="K266" t="s">
        <v>1573</v>
      </c>
      <c r="L266" s="28" t="s">
        <v>3031</v>
      </c>
      <c r="M266" t="s">
        <v>707</v>
      </c>
      <c r="N266" t="s">
        <v>1641</v>
      </c>
      <c r="O266" t="s">
        <v>707</v>
      </c>
      <c r="P266" t="s">
        <v>1567</v>
      </c>
      <c r="Q266">
        <v>0.28999999999999998</v>
      </c>
      <c r="R266" t="s">
        <v>1841</v>
      </c>
      <c r="V266" t="s">
        <v>1940</v>
      </c>
    </row>
    <row r="267" spans="1:22" x14ac:dyDescent="0.35">
      <c r="A267">
        <v>2023</v>
      </c>
      <c r="B267" t="s">
        <v>772</v>
      </c>
      <c r="C267" t="s">
        <v>859</v>
      </c>
      <c r="D267" t="s">
        <v>203</v>
      </c>
      <c r="E267" t="s">
        <v>1277</v>
      </c>
      <c r="G267" s="37" t="s">
        <v>11</v>
      </c>
      <c r="H267" s="37" t="s">
        <v>23</v>
      </c>
      <c r="I267" t="s">
        <v>16</v>
      </c>
      <c r="J267" t="s">
        <v>1570</v>
      </c>
      <c r="K267" t="s">
        <v>1571</v>
      </c>
      <c r="L267" s="28" t="s">
        <v>3031</v>
      </c>
      <c r="M267" t="s">
        <v>707</v>
      </c>
      <c r="N267" t="s">
        <v>1641</v>
      </c>
      <c r="O267" t="s">
        <v>707</v>
      </c>
      <c r="P267" t="s">
        <v>1567</v>
      </c>
      <c r="Q267">
        <v>0.15</v>
      </c>
      <c r="R267" t="s">
        <v>1841</v>
      </c>
      <c r="V267" t="s">
        <v>1940</v>
      </c>
    </row>
    <row r="268" spans="1:22" x14ac:dyDescent="0.35">
      <c r="A268">
        <v>2023</v>
      </c>
      <c r="B268" t="s">
        <v>772</v>
      </c>
      <c r="C268" t="s">
        <v>859</v>
      </c>
      <c r="D268" t="s">
        <v>203</v>
      </c>
      <c r="E268" t="s">
        <v>1277</v>
      </c>
      <c r="G268" s="37" t="s">
        <v>11</v>
      </c>
      <c r="H268" s="37" t="s">
        <v>23</v>
      </c>
      <c r="I268" t="s">
        <v>16</v>
      </c>
      <c r="J268" t="s">
        <v>1570</v>
      </c>
      <c r="K268" t="s">
        <v>1572</v>
      </c>
      <c r="L268" s="28" t="s">
        <v>3031</v>
      </c>
      <c r="M268" t="s">
        <v>707</v>
      </c>
      <c r="N268" t="s">
        <v>1641</v>
      </c>
      <c r="O268" t="s">
        <v>707</v>
      </c>
      <c r="P268" t="s">
        <v>1567</v>
      </c>
      <c r="Q268">
        <v>0.19</v>
      </c>
      <c r="R268" t="s">
        <v>1841</v>
      </c>
      <c r="V268" t="s">
        <v>1940</v>
      </c>
    </row>
    <row r="269" spans="1:22" x14ac:dyDescent="0.35">
      <c r="A269">
        <v>2023</v>
      </c>
      <c r="B269" t="s">
        <v>772</v>
      </c>
      <c r="C269" t="s">
        <v>859</v>
      </c>
      <c r="D269" t="s">
        <v>203</v>
      </c>
      <c r="E269" t="s">
        <v>1277</v>
      </c>
      <c r="G269" s="37" t="s">
        <v>11</v>
      </c>
      <c r="H269" s="37" t="s">
        <v>23</v>
      </c>
      <c r="I269" t="s">
        <v>16</v>
      </c>
      <c r="J269" t="s">
        <v>1570</v>
      </c>
      <c r="K269" t="s">
        <v>1573</v>
      </c>
      <c r="L269" s="28" t="s">
        <v>3031</v>
      </c>
      <c r="M269" t="s">
        <v>707</v>
      </c>
      <c r="N269" t="s">
        <v>1641</v>
      </c>
      <c r="O269" t="s">
        <v>707</v>
      </c>
      <c r="P269" t="s">
        <v>1567</v>
      </c>
      <c r="Q269">
        <v>0.02</v>
      </c>
      <c r="R269" t="s">
        <v>1841</v>
      </c>
      <c r="V269" t="s">
        <v>1940</v>
      </c>
    </row>
    <row r="270" spans="1:22" x14ac:dyDescent="0.35">
      <c r="A270">
        <v>2023</v>
      </c>
      <c r="B270" t="s">
        <v>772</v>
      </c>
      <c r="C270" t="s">
        <v>859</v>
      </c>
      <c r="D270" t="s">
        <v>203</v>
      </c>
      <c r="E270" t="s">
        <v>1277</v>
      </c>
      <c r="G270" s="37" t="s">
        <v>11</v>
      </c>
      <c r="H270" s="37" t="s">
        <v>23</v>
      </c>
      <c r="I270" t="s">
        <v>1936</v>
      </c>
      <c r="J270" t="s">
        <v>1564</v>
      </c>
      <c r="K270" t="s">
        <v>1775</v>
      </c>
      <c r="L270" s="28" t="s">
        <v>3031</v>
      </c>
      <c r="M270">
        <v>2</v>
      </c>
      <c r="N270" t="s">
        <v>1641</v>
      </c>
      <c r="O270">
        <v>3.67</v>
      </c>
      <c r="P270" t="s">
        <v>1567</v>
      </c>
      <c r="Q270">
        <v>0.2</v>
      </c>
      <c r="R270" t="s">
        <v>1841</v>
      </c>
      <c r="V270" t="s">
        <v>1940</v>
      </c>
    </row>
    <row r="271" spans="1:22" x14ac:dyDescent="0.35">
      <c r="A271">
        <v>2023</v>
      </c>
      <c r="B271" t="s">
        <v>772</v>
      </c>
      <c r="C271" t="s">
        <v>859</v>
      </c>
      <c r="D271" t="s">
        <v>203</v>
      </c>
      <c r="E271" t="s">
        <v>1277</v>
      </c>
      <c r="G271" s="37" t="s">
        <v>11</v>
      </c>
      <c r="H271" s="37" t="s">
        <v>23</v>
      </c>
      <c r="I271" t="s">
        <v>1936</v>
      </c>
      <c r="J271" t="s">
        <v>1564</v>
      </c>
      <c r="K271" t="s">
        <v>1574</v>
      </c>
      <c r="L271" s="28" t="s">
        <v>3031</v>
      </c>
      <c r="M271">
        <v>6.5</v>
      </c>
      <c r="N271" t="s">
        <v>1641</v>
      </c>
      <c r="O271">
        <v>3.43</v>
      </c>
      <c r="P271" t="s">
        <v>1567</v>
      </c>
      <c r="Q271">
        <v>0.7</v>
      </c>
      <c r="R271" t="s">
        <v>1841</v>
      </c>
      <c r="V271" t="s">
        <v>1940</v>
      </c>
    </row>
    <row r="272" spans="1:22" x14ac:dyDescent="0.35">
      <c r="A272">
        <v>2023</v>
      </c>
      <c r="B272" t="s">
        <v>772</v>
      </c>
      <c r="C272" t="s">
        <v>859</v>
      </c>
      <c r="D272" t="s">
        <v>203</v>
      </c>
      <c r="E272" t="s">
        <v>1277</v>
      </c>
      <c r="G272" s="37" t="s">
        <v>11</v>
      </c>
      <c r="H272" s="37" t="s">
        <v>23</v>
      </c>
      <c r="I272" t="s">
        <v>1772</v>
      </c>
      <c r="J272" t="s">
        <v>1564</v>
      </c>
      <c r="K272" t="s">
        <v>1775</v>
      </c>
      <c r="L272" s="28" t="s">
        <v>3031</v>
      </c>
      <c r="M272" t="s">
        <v>707</v>
      </c>
      <c r="N272" t="s">
        <v>1641</v>
      </c>
      <c r="O272" t="s">
        <v>707</v>
      </c>
      <c r="P272" t="s">
        <v>1567</v>
      </c>
      <c r="Q272">
        <v>0.02</v>
      </c>
      <c r="R272" t="s">
        <v>1841</v>
      </c>
      <c r="V272" t="s">
        <v>1940</v>
      </c>
    </row>
    <row r="273" spans="1:22" x14ac:dyDescent="0.35">
      <c r="A273">
        <v>2023</v>
      </c>
      <c r="B273" t="s">
        <v>772</v>
      </c>
      <c r="C273" t="s">
        <v>859</v>
      </c>
      <c r="D273" t="s">
        <v>203</v>
      </c>
      <c r="E273" t="s">
        <v>1277</v>
      </c>
      <c r="G273" s="37" t="s">
        <v>11</v>
      </c>
      <c r="H273" s="37" t="s">
        <v>23</v>
      </c>
      <c r="I273" t="s">
        <v>1772</v>
      </c>
      <c r="J273" t="s">
        <v>1564</v>
      </c>
      <c r="K273" t="s">
        <v>1574</v>
      </c>
      <c r="L273" s="28" t="s">
        <v>3031</v>
      </c>
      <c r="M273" t="s">
        <v>707</v>
      </c>
      <c r="N273" t="s">
        <v>1641</v>
      </c>
      <c r="O273" t="s">
        <v>707</v>
      </c>
      <c r="P273" t="s">
        <v>1567</v>
      </c>
      <c r="Q273">
        <v>0.05</v>
      </c>
      <c r="R273" t="s">
        <v>1841</v>
      </c>
      <c r="V273" t="s">
        <v>1940</v>
      </c>
    </row>
    <row r="274" spans="1:22" x14ac:dyDescent="0.35">
      <c r="A274">
        <v>2023</v>
      </c>
      <c r="B274" t="s">
        <v>772</v>
      </c>
      <c r="C274" t="s">
        <v>859</v>
      </c>
      <c r="D274" t="s">
        <v>203</v>
      </c>
      <c r="E274" t="s">
        <v>1277</v>
      </c>
      <c r="G274" s="37" t="s">
        <v>11</v>
      </c>
      <c r="H274" s="37" t="s">
        <v>23</v>
      </c>
      <c r="I274" t="s">
        <v>1773</v>
      </c>
      <c r="J274" t="s">
        <v>1564</v>
      </c>
      <c r="K274" t="s">
        <v>1775</v>
      </c>
      <c r="L274" s="28" t="s">
        <v>3031</v>
      </c>
      <c r="M274" t="s">
        <v>707</v>
      </c>
      <c r="N274" t="s">
        <v>1641</v>
      </c>
      <c r="O274" t="s">
        <v>707</v>
      </c>
      <c r="P274" t="s">
        <v>1567</v>
      </c>
      <c r="Q274">
        <v>0.2</v>
      </c>
      <c r="R274" t="s">
        <v>1841</v>
      </c>
      <c r="V274" t="s">
        <v>1940</v>
      </c>
    </row>
    <row r="275" spans="1:22" x14ac:dyDescent="0.35">
      <c r="A275">
        <v>2023</v>
      </c>
      <c r="B275" t="s">
        <v>772</v>
      </c>
      <c r="C275" t="s">
        <v>859</v>
      </c>
      <c r="D275" t="s">
        <v>203</v>
      </c>
      <c r="E275" t="s">
        <v>1277</v>
      </c>
      <c r="G275" s="37" t="s">
        <v>11</v>
      </c>
      <c r="H275" s="37" t="s">
        <v>23</v>
      </c>
      <c r="I275" t="s">
        <v>1773</v>
      </c>
      <c r="J275" t="s">
        <v>1564</v>
      </c>
      <c r="K275" t="s">
        <v>1574</v>
      </c>
      <c r="L275" s="28" t="s">
        <v>3031</v>
      </c>
      <c r="M275" t="s">
        <v>707</v>
      </c>
      <c r="N275" t="s">
        <v>1641</v>
      </c>
      <c r="O275" t="s">
        <v>707</v>
      </c>
      <c r="P275" t="s">
        <v>1567</v>
      </c>
      <c r="Q275">
        <v>0.62</v>
      </c>
      <c r="R275" t="s">
        <v>1841</v>
      </c>
      <c r="V275" t="s">
        <v>1940</v>
      </c>
    </row>
    <row r="276" spans="1:22" x14ac:dyDescent="0.35">
      <c r="A276">
        <v>2023</v>
      </c>
      <c r="B276" t="s">
        <v>772</v>
      </c>
      <c r="C276" t="s">
        <v>859</v>
      </c>
      <c r="D276" t="s">
        <v>203</v>
      </c>
      <c r="E276" t="s">
        <v>1277</v>
      </c>
      <c r="G276" s="37" t="s">
        <v>11</v>
      </c>
      <c r="H276" s="37" t="s">
        <v>23</v>
      </c>
      <c r="I276" t="s">
        <v>16</v>
      </c>
      <c r="J276" t="s">
        <v>1564</v>
      </c>
      <c r="K276" t="s">
        <v>1775</v>
      </c>
      <c r="L276" s="28" t="s">
        <v>3031</v>
      </c>
      <c r="M276" t="s">
        <v>707</v>
      </c>
      <c r="N276" t="s">
        <v>1641</v>
      </c>
      <c r="O276" t="s">
        <v>707</v>
      </c>
      <c r="P276" t="s">
        <v>1567</v>
      </c>
      <c r="Q276">
        <v>0.01</v>
      </c>
      <c r="R276" t="s">
        <v>1841</v>
      </c>
      <c r="V276" t="s">
        <v>1940</v>
      </c>
    </row>
    <row r="277" spans="1:22" x14ac:dyDescent="0.35">
      <c r="A277">
        <v>2023</v>
      </c>
      <c r="B277" t="s">
        <v>772</v>
      </c>
      <c r="C277" t="s">
        <v>859</v>
      </c>
      <c r="D277" t="s">
        <v>203</v>
      </c>
      <c r="E277" t="s">
        <v>1277</v>
      </c>
      <c r="G277" s="37" t="s">
        <v>11</v>
      </c>
      <c r="H277" s="37" t="s">
        <v>23</v>
      </c>
      <c r="I277" t="s">
        <v>16</v>
      </c>
      <c r="J277" t="s">
        <v>1564</v>
      </c>
      <c r="K277" t="s">
        <v>1574</v>
      </c>
      <c r="L277" s="28" t="s">
        <v>3031</v>
      </c>
      <c r="M277" t="s">
        <v>707</v>
      </c>
      <c r="N277" t="s">
        <v>1641</v>
      </c>
      <c r="O277" t="s">
        <v>707</v>
      </c>
      <c r="P277" t="s">
        <v>1567</v>
      </c>
      <c r="Q277">
        <v>0.05</v>
      </c>
      <c r="R277" t="s">
        <v>1841</v>
      </c>
      <c r="V277" t="s">
        <v>1940</v>
      </c>
    </row>
    <row r="278" spans="1:22" x14ac:dyDescent="0.35">
      <c r="A278">
        <v>2016</v>
      </c>
      <c r="B278" t="s">
        <v>772</v>
      </c>
      <c r="C278" t="s">
        <v>82</v>
      </c>
      <c r="D278" t="s">
        <v>83</v>
      </c>
      <c r="E278" t="s">
        <v>1278</v>
      </c>
      <c r="G278" s="37" t="s">
        <v>11</v>
      </c>
      <c r="H278" s="37" t="s">
        <v>19</v>
      </c>
      <c r="I278" t="s">
        <v>125</v>
      </c>
      <c r="J278" t="s">
        <v>1564</v>
      </c>
      <c r="K278" t="s">
        <v>1600</v>
      </c>
      <c r="L278" s="28" t="s">
        <v>3031</v>
      </c>
      <c r="M278">
        <v>54</v>
      </c>
      <c r="N278" t="s">
        <v>1641</v>
      </c>
      <c r="O278">
        <v>0.34</v>
      </c>
      <c r="P278" t="s">
        <v>1589</v>
      </c>
      <c r="Q278">
        <v>403</v>
      </c>
      <c r="R278" t="s">
        <v>1713</v>
      </c>
      <c r="V278" t="s">
        <v>1942</v>
      </c>
    </row>
    <row r="279" spans="1:22" x14ac:dyDescent="0.35">
      <c r="A279">
        <v>2016</v>
      </c>
      <c r="B279" t="s">
        <v>772</v>
      </c>
      <c r="C279" t="s">
        <v>82</v>
      </c>
      <c r="D279" t="s">
        <v>83</v>
      </c>
      <c r="E279" t="s">
        <v>1278</v>
      </c>
      <c r="G279" s="37" t="s">
        <v>11</v>
      </c>
      <c r="H279" s="37" t="s">
        <v>19</v>
      </c>
      <c r="I279" t="s">
        <v>16</v>
      </c>
      <c r="J279" t="s">
        <v>1564</v>
      </c>
      <c r="K279" t="s">
        <v>1600</v>
      </c>
      <c r="L279" s="28" t="s">
        <v>3031</v>
      </c>
      <c r="M279">
        <v>54</v>
      </c>
      <c r="N279" t="s">
        <v>1641</v>
      </c>
      <c r="O279">
        <v>0.32</v>
      </c>
      <c r="P279" t="s">
        <v>1567</v>
      </c>
      <c r="Q279">
        <v>550000</v>
      </c>
      <c r="R279" t="s">
        <v>1548</v>
      </c>
      <c r="V279" t="s">
        <v>1942</v>
      </c>
    </row>
    <row r="280" spans="1:22" x14ac:dyDescent="0.35">
      <c r="A280">
        <v>2016</v>
      </c>
      <c r="B280" t="s">
        <v>772</v>
      </c>
      <c r="C280" t="s">
        <v>82</v>
      </c>
      <c r="D280" t="s">
        <v>83</v>
      </c>
      <c r="E280" t="s">
        <v>1278</v>
      </c>
      <c r="G280" s="37" t="s">
        <v>11</v>
      </c>
      <c r="H280" s="37" t="s">
        <v>19</v>
      </c>
      <c r="I280" t="s">
        <v>1549</v>
      </c>
      <c r="J280" t="s">
        <v>1564</v>
      </c>
      <c r="K280" t="s">
        <v>1600</v>
      </c>
      <c r="L280" s="28" t="s">
        <v>3031</v>
      </c>
      <c r="M280">
        <v>54</v>
      </c>
      <c r="N280" t="s">
        <v>1641</v>
      </c>
      <c r="O280">
        <v>0.9</v>
      </c>
      <c r="P280" t="s">
        <v>1567</v>
      </c>
      <c r="Q280">
        <v>1542000</v>
      </c>
      <c r="R280" t="s">
        <v>1548</v>
      </c>
      <c r="V280" t="s">
        <v>1942</v>
      </c>
    </row>
    <row r="281" spans="1:22" x14ac:dyDescent="0.35">
      <c r="A281">
        <v>2016</v>
      </c>
      <c r="B281" t="s">
        <v>772</v>
      </c>
      <c r="C281" t="s">
        <v>82</v>
      </c>
      <c r="D281" t="s">
        <v>83</v>
      </c>
      <c r="E281" t="s">
        <v>1278</v>
      </c>
      <c r="G281" s="37" t="s">
        <v>11</v>
      </c>
      <c r="H281" s="37" t="s">
        <v>19</v>
      </c>
      <c r="I281" t="s">
        <v>125</v>
      </c>
      <c r="J281" t="s">
        <v>1570</v>
      </c>
      <c r="K281" t="s">
        <v>1602</v>
      </c>
      <c r="L281" s="28" t="s">
        <v>3031</v>
      </c>
      <c r="M281">
        <v>202</v>
      </c>
      <c r="N281" t="s">
        <v>1641</v>
      </c>
      <c r="O281">
        <v>0.28999999999999998</v>
      </c>
      <c r="P281" t="s">
        <v>1589</v>
      </c>
      <c r="Q281">
        <v>1281</v>
      </c>
      <c r="R281" t="s">
        <v>1713</v>
      </c>
      <c r="V281" t="s">
        <v>1942</v>
      </c>
    </row>
    <row r="282" spans="1:22" x14ac:dyDescent="0.35">
      <c r="A282">
        <v>2016</v>
      </c>
      <c r="B282" t="s">
        <v>772</v>
      </c>
      <c r="C282" t="s">
        <v>82</v>
      </c>
      <c r="D282" t="s">
        <v>83</v>
      </c>
      <c r="E282" t="s">
        <v>1278</v>
      </c>
      <c r="G282" s="37" t="s">
        <v>11</v>
      </c>
      <c r="H282" s="37" t="s">
        <v>19</v>
      </c>
      <c r="I282" t="s">
        <v>16</v>
      </c>
      <c r="J282" t="s">
        <v>1570</v>
      </c>
      <c r="K282" t="s">
        <v>1602</v>
      </c>
      <c r="L282" s="28" t="s">
        <v>3031</v>
      </c>
      <c r="M282">
        <v>202</v>
      </c>
      <c r="N282" t="s">
        <v>1641</v>
      </c>
      <c r="O282">
        <v>0.3</v>
      </c>
      <c r="P282" t="s">
        <v>1567</v>
      </c>
      <c r="Q282">
        <v>1974000</v>
      </c>
      <c r="R282" t="s">
        <v>1548</v>
      </c>
      <c r="V282" t="s">
        <v>1942</v>
      </c>
    </row>
    <row r="283" spans="1:22" x14ac:dyDescent="0.35">
      <c r="A283">
        <v>2016</v>
      </c>
      <c r="B283" t="s">
        <v>772</v>
      </c>
      <c r="C283" t="s">
        <v>82</v>
      </c>
      <c r="D283" t="s">
        <v>83</v>
      </c>
      <c r="E283" t="s">
        <v>1278</v>
      </c>
      <c r="G283" s="37" t="s">
        <v>11</v>
      </c>
      <c r="H283" s="37" t="s">
        <v>19</v>
      </c>
      <c r="I283" t="s">
        <v>1549</v>
      </c>
      <c r="J283" t="s">
        <v>1570</v>
      </c>
      <c r="K283" t="s">
        <v>1602</v>
      </c>
      <c r="L283" s="28" t="s">
        <v>3031</v>
      </c>
      <c r="M283">
        <v>202</v>
      </c>
      <c r="N283" t="s">
        <v>1641</v>
      </c>
      <c r="O283">
        <v>0.53</v>
      </c>
      <c r="P283" t="s">
        <v>1567</v>
      </c>
      <c r="Q283">
        <v>3425000</v>
      </c>
      <c r="R283" t="s">
        <v>1548</v>
      </c>
      <c r="V283" t="s">
        <v>1942</v>
      </c>
    </row>
    <row r="284" spans="1:22" x14ac:dyDescent="0.35">
      <c r="A284">
        <v>2016</v>
      </c>
      <c r="B284" t="s">
        <v>772</v>
      </c>
      <c r="C284" t="s">
        <v>82</v>
      </c>
      <c r="D284" t="s">
        <v>83</v>
      </c>
      <c r="E284" t="s">
        <v>1278</v>
      </c>
      <c r="G284" s="37" t="s">
        <v>11</v>
      </c>
      <c r="H284" s="37" t="s">
        <v>19</v>
      </c>
      <c r="I284" t="s">
        <v>125</v>
      </c>
      <c r="J284" t="s">
        <v>1570</v>
      </c>
      <c r="K284" t="s">
        <v>1573</v>
      </c>
      <c r="L284" s="28" t="s">
        <v>3031</v>
      </c>
      <c r="M284">
        <v>15</v>
      </c>
      <c r="N284" t="s">
        <v>1641</v>
      </c>
      <c r="O284">
        <v>0.16</v>
      </c>
      <c r="P284" t="s">
        <v>1589</v>
      </c>
      <c r="Q284">
        <v>52</v>
      </c>
      <c r="R284" t="s">
        <v>1713</v>
      </c>
      <c r="V284" t="s">
        <v>1942</v>
      </c>
    </row>
    <row r="285" spans="1:22" x14ac:dyDescent="0.35">
      <c r="A285">
        <v>2016</v>
      </c>
      <c r="B285" t="s">
        <v>772</v>
      </c>
      <c r="C285" t="s">
        <v>82</v>
      </c>
      <c r="D285" t="s">
        <v>83</v>
      </c>
      <c r="E285" t="s">
        <v>1278</v>
      </c>
      <c r="G285" s="37" t="s">
        <v>11</v>
      </c>
      <c r="H285" s="37" t="s">
        <v>19</v>
      </c>
      <c r="I285" t="s">
        <v>16</v>
      </c>
      <c r="J285" t="s">
        <v>1570</v>
      </c>
      <c r="K285" t="s">
        <v>1573</v>
      </c>
      <c r="L285" s="28" t="s">
        <v>3031</v>
      </c>
      <c r="M285">
        <v>15</v>
      </c>
      <c r="N285" t="s">
        <v>1641</v>
      </c>
      <c r="O285">
        <v>0.18</v>
      </c>
      <c r="P285" t="s">
        <v>1567</v>
      </c>
      <c r="Q285">
        <v>85000</v>
      </c>
      <c r="R285" t="s">
        <v>1548</v>
      </c>
      <c r="V285" t="s">
        <v>1942</v>
      </c>
    </row>
    <row r="286" spans="1:22" x14ac:dyDescent="0.35">
      <c r="A286">
        <v>2016</v>
      </c>
      <c r="B286" t="s">
        <v>772</v>
      </c>
      <c r="C286" t="s">
        <v>82</v>
      </c>
      <c r="D286" t="s">
        <v>83</v>
      </c>
      <c r="E286" t="s">
        <v>1278</v>
      </c>
      <c r="G286" s="37" t="s">
        <v>11</v>
      </c>
      <c r="H286" s="37" t="s">
        <v>19</v>
      </c>
      <c r="I286" t="s">
        <v>1549</v>
      </c>
      <c r="J286" t="s">
        <v>1570</v>
      </c>
      <c r="K286" t="s">
        <v>1573</v>
      </c>
      <c r="L286" s="28" t="s">
        <v>3031</v>
      </c>
      <c r="M286">
        <v>15</v>
      </c>
      <c r="N286" t="s">
        <v>1641</v>
      </c>
      <c r="O286">
        <v>0.13</v>
      </c>
      <c r="P286" t="s">
        <v>1567</v>
      </c>
      <c r="Q286">
        <v>61000</v>
      </c>
      <c r="R286" t="s">
        <v>1548</v>
      </c>
      <c r="V286" t="s">
        <v>1942</v>
      </c>
    </row>
    <row r="287" spans="1:22" x14ac:dyDescent="0.35">
      <c r="A287">
        <v>2023</v>
      </c>
      <c r="B287" t="s">
        <v>772</v>
      </c>
      <c r="C287" t="s">
        <v>163</v>
      </c>
      <c r="D287" t="s">
        <v>164</v>
      </c>
      <c r="E287" t="s">
        <v>1282</v>
      </c>
      <c r="G287" s="37" t="s">
        <v>11</v>
      </c>
      <c r="H287" s="37" t="s">
        <v>19</v>
      </c>
      <c r="I287" t="s">
        <v>157</v>
      </c>
      <c r="J287" t="s">
        <v>1564</v>
      </c>
      <c r="K287" t="s">
        <v>1565</v>
      </c>
      <c r="L287" s="28" t="s">
        <v>3031</v>
      </c>
      <c r="M287">
        <v>149</v>
      </c>
      <c r="N287" t="s">
        <v>1641</v>
      </c>
      <c r="O287">
        <v>65</v>
      </c>
      <c r="P287" t="s">
        <v>2426</v>
      </c>
      <c r="U287" t="s">
        <v>2995</v>
      </c>
      <c r="V287" t="s">
        <v>2290</v>
      </c>
    </row>
    <row r="288" spans="1:22" x14ac:dyDescent="0.35">
      <c r="A288">
        <v>2023</v>
      </c>
      <c r="B288" t="s">
        <v>772</v>
      </c>
      <c r="C288" t="s">
        <v>163</v>
      </c>
      <c r="D288" t="s">
        <v>164</v>
      </c>
      <c r="E288" t="s">
        <v>1282</v>
      </c>
      <c r="G288" s="37" t="s">
        <v>11</v>
      </c>
      <c r="H288" s="37" t="s">
        <v>19</v>
      </c>
      <c r="I288" t="s">
        <v>2494</v>
      </c>
      <c r="J288" t="s">
        <v>1564</v>
      </c>
      <c r="K288" t="s">
        <v>1565</v>
      </c>
      <c r="L288" s="28" t="s">
        <v>3031</v>
      </c>
      <c r="M288">
        <v>149</v>
      </c>
      <c r="N288" t="s">
        <v>1641</v>
      </c>
      <c r="O288">
        <v>2.8</v>
      </c>
      <c r="P288" t="s">
        <v>2493</v>
      </c>
      <c r="U288" t="s">
        <v>2995</v>
      </c>
      <c r="V288" t="s">
        <v>2290</v>
      </c>
    </row>
    <row r="289" spans="1:22" x14ac:dyDescent="0.35">
      <c r="A289">
        <v>2023</v>
      </c>
      <c r="B289" t="s">
        <v>772</v>
      </c>
      <c r="C289" t="s">
        <v>163</v>
      </c>
      <c r="D289" t="s">
        <v>164</v>
      </c>
      <c r="E289" t="s">
        <v>1282</v>
      </c>
      <c r="G289" s="37" t="s">
        <v>11</v>
      </c>
      <c r="H289" s="37" t="s">
        <v>19</v>
      </c>
      <c r="I289" t="s">
        <v>157</v>
      </c>
      <c r="J289" t="s">
        <v>1564</v>
      </c>
      <c r="K289" t="s">
        <v>1574</v>
      </c>
      <c r="L289" s="28" t="s">
        <v>3031</v>
      </c>
      <c r="M289">
        <v>275</v>
      </c>
      <c r="N289" t="s">
        <v>1641</v>
      </c>
      <c r="O289">
        <v>65</v>
      </c>
      <c r="P289" t="s">
        <v>2426</v>
      </c>
      <c r="U289" t="s">
        <v>2995</v>
      </c>
      <c r="V289" t="s">
        <v>2290</v>
      </c>
    </row>
    <row r="290" spans="1:22" x14ac:dyDescent="0.35">
      <c r="A290">
        <v>2023</v>
      </c>
      <c r="B290" t="s">
        <v>772</v>
      </c>
      <c r="C290" t="s">
        <v>163</v>
      </c>
      <c r="D290" t="s">
        <v>164</v>
      </c>
      <c r="E290" t="s">
        <v>1282</v>
      </c>
      <c r="G290" s="37" t="s">
        <v>11</v>
      </c>
      <c r="H290" s="37" t="s">
        <v>19</v>
      </c>
      <c r="I290" t="s">
        <v>2494</v>
      </c>
      <c r="J290" t="s">
        <v>1564</v>
      </c>
      <c r="K290" t="s">
        <v>1574</v>
      </c>
      <c r="L290" s="28" t="s">
        <v>3031</v>
      </c>
      <c r="M290">
        <v>275</v>
      </c>
      <c r="N290" t="s">
        <v>1641</v>
      </c>
      <c r="O290">
        <v>2.8</v>
      </c>
      <c r="P290" t="s">
        <v>2493</v>
      </c>
      <c r="U290" t="s">
        <v>2995</v>
      </c>
      <c r="V290" t="s">
        <v>2290</v>
      </c>
    </row>
    <row r="291" spans="1:22" x14ac:dyDescent="0.35">
      <c r="A291">
        <v>2023</v>
      </c>
      <c r="B291" t="s">
        <v>772</v>
      </c>
      <c r="C291" t="s">
        <v>163</v>
      </c>
      <c r="D291" t="s">
        <v>164</v>
      </c>
      <c r="E291" t="s">
        <v>1282</v>
      </c>
      <c r="G291" s="37" t="s">
        <v>11</v>
      </c>
      <c r="H291" s="37" t="s">
        <v>19</v>
      </c>
      <c r="I291" t="s">
        <v>157</v>
      </c>
      <c r="J291" t="s">
        <v>1570</v>
      </c>
      <c r="K291" t="s">
        <v>1571</v>
      </c>
      <c r="L291" s="28" t="s">
        <v>3031</v>
      </c>
      <c r="M291">
        <v>171</v>
      </c>
      <c r="N291" t="s">
        <v>1641</v>
      </c>
      <c r="O291">
        <v>40.799999999999997</v>
      </c>
      <c r="P291" t="s">
        <v>2426</v>
      </c>
      <c r="U291" t="s">
        <v>2995</v>
      </c>
      <c r="V291" t="s">
        <v>2290</v>
      </c>
    </row>
    <row r="292" spans="1:22" x14ac:dyDescent="0.35">
      <c r="A292">
        <v>2023</v>
      </c>
      <c r="B292" t="s">
        <v>772</v>
      </c>
      <c r="C292" t="s">
        <v>163</v>
      </c>
      <c r="D292" t="s">
        <v>164</v>
      </c>
      <c r="E292" t="s">
        <v>1282</v>
      </c>
      <c r="G292" s="37" t="s">
        <v>11</v>
      </c>
      <c r="H292" s="37" t="s">
        <v>19</v>
      </c>
      <c r="I292" t="s">
        <v>2494</v>
      </c>
      <c r="J292" t="s">
        <v>1570</v>
      </c>
      <c r="K292" t="s">
        <v>1571</v>
      </c>
      <c r="L292" s="28" t="s">
        <v>3031</v>
      </c>
      <c r="M292">
        <v>171</v>
      </c>
      <c r="N292" t="s">
        <v>1641</v>
      </c>
      <c r="O292">
        <v>35.799999999999997</v>
      </c>
      <c r="P292" t="s">
        <v>2493</v>
      </c>
      <c r="U292" t="s">
        <v>2995</v>
      </c>
      <c r="V292" t="s">
        <v>2290</v>
      </c>
    </row>
    <row r="293" spans="1:22" x14ac:dyDescent="0.35">
      <c r="A293">
        <v>2023</v>
      </c>
      <c r="B293" t="s">
        <v>772</v>
      </c>
      <c r="C293" t="s">
        <v>163</v>
      </c>
      <c r="D293" t="s">
        <v>164</v>
      </c>
      <c r="E293" t="s">
        <v>1282</v>
      </c>
      <c r="G293" s="37" t="s">
        <v>11</v>
      </c>
      <c r="H293" s="37" t="s">
        <v>19</v>
      </c>
      <c r="I293" t="s">
        <v>2954</v>
      </c>
      <c r="J293" t="s">
        <v>1570</v>
      </c>
      <c r="K293" t="s">
        <v>1571</v>
      </c>
      <c r="L293" s="28" t="s">
        <v>3031</v>
      </c>
      <c r="M293">
        <v>171</v>
      </c>
      <c r="N293" t="s">
        <v>1641</v>
      </c>
      <c r="O293">
        <v>0.2</v>
      </c>
      <c r="P293" t="s">
        <v>2496</v>
      </c>
      <c r="U293" t="s">
        <v>2995</v>
      </c>
      <c r="V293" t="s">
        <v>2290</v>
      </c>
    </row>
    <row r="294" spans="1:22" x14ac:dyDescent="0.35">
      <c r="A294">
        <v>2023</v>
      </c>
      <c r="B294" t="s">
        <v>772</v>
      </c>
      <c r="C294" t="s">
        <v>163</v>
      </c>
      <c r="D294" t="s">
        <v>164</v>
      </c>
      <c r="E294" t="s">
        <v>1282</v>
      </c>
      <c r="G294" s="37" t="s">
        <v>11</v>
      </c>
      <c r="H294" s="37" t="s">
        <v>19</v>
      </c>
      <c r="I294" t="s">
        <v>2495</v>
      </c>
      <c r="J294" t="s">
        <v>1570</v>
      </c>
      <c r="K294" t="s">
        <v>1571</v>
      </c>
      <c r="L294" s="28" t="s">
        <v>3031</v>
      </c>
      <c r="M294">
        <v>171</v>
      </c>
      <c r="N294" t="s">
        <v>1641</v>
      </c>
      <c r="O294">
        <v>0.02</v>
      </c>
      <c r="P294" t="s">
        <v>2497</v>
      </c>
      <c r="U294" t="s">
        <v>2995</v>
      </c>
      <c r="V294" t="s">
        <v>2290</v>
      </c>
    </row>
    <row r="295" spans="1:22" x14ac:dyDescent="0.35">
      <c r="A295">
        <v>2023</v>
      </c>
      <c r="B295" t="s">
        <v>772</v>
      </c>
      <c r="C295" t="s">
        <v>163</v>
      </c>
      <c r="D295" t="s">
        <v>164</v>
      </c>
      <c r="E295" t="s">
        <v>1282</v>
      </c>
      <c r="G295" s="37" t="s">
        <v>11</v>
      </c>
      <c r="H295" s="37" t="s">
        <v>19</v>
      </c>
      <c r="I295" t="s">
        <v>157</v>
      </c>
      <c r="J295" t="s">
        <v>1570</v>
      </c>
      <c r="K295" t="s">
        <v>1572</v>
      </c>
      <c r="L295" s="28" t="s">
        <v>3031</v>
      </c>
      <c r="M295">
        <v>720</v>
      </c>
      <c r="N295" t="s">
        <v>1641</v>
      </c>
      <c r="O295">
        <v>38.5</v>
      </c>
      <c r="P295" t="s">
        <v>2426</v>
      </c>
      <c r="U295" t="s">
        <v>2995</v>
      </c>
      <c r="V295" t="s">
        <v>2290</v>
      </c>
    </row>
    <row r="296" spans="1:22" x14ac:dyDescent="0.35">
      <c r="A296">
        <v>2023</v>
      </c>
      <c r="B296" t="s">
        <v>772</v>
      </c>
      <c r="C296" t="s">
        <v>163</v>
      </c>
      <c r="D296" t="s">
        <v>164</v>
      </c>
      <c r="E296" t="s">
        <v>1282</v>
      </c>
      <c r="G296" s="37" t="s">
        <v>11</v>
      </c>
      <c r="H296" s="37" t="s">
        <v>19</v>
      </c>
      <c r="I296" t="s">
        <v>2494</v>
      </c>
      <c r="J296" t="s">
        <v>1570</v>
      </c>
      <c r="K296" t="s">
        <v>1572</v>
      </c>
      <c r="L296" s="28" t="s">
        <v>3031</v>
      </c>
      <c r="M296">
        <v>720</v>
      </c>
      <c r="N296" t="s">
        <v>1641</v>
      </c>
      <c r="O296">
        <v>37.1</v>
      </c>
      <c r="P296" t="s">
        <v>2493</v>
      </c>
      <c r="U296" t="s">
        <v>2995</v>
      </c>
      <c r="V296" t="s">
        <v>2290</v>
      </c>
    </row>
    <row r="297" spans="1:22" x14ac:dyDescent="0.35">
      <c r="A297">
        <v>2023</v>
      </c>
      <c r="B297" t="s">
        <v>772</v>
      </c>
      <c r="C297" t="s">
        <v>163</v>
      </c>
      <c r="D297" t="s">
        <v>164</v>
      </c>
      <c r="E297" t="s">
        <v>1282</v>
      </c>
      <c r="G297" s="37" t="s">
        <v>11</v>
      </c>
      <c r="H297" s="37" t="s">
        <v>19</v>
      </c>
      <c r="I297" t="s">
        <v>2954</v>
      </c>
      <c r="J297" t="s">
        <v>1570</v>
      </c>
      <c r="K297" t="s">
        <v>1572</v>
      </c>
      <c r="L297" s="28" t="s">
        <v>3031</v>
      </c>
      <c r="M297">
        <v>720</v>
      </c>
      <c r="N297" t="s">
        <v>1641</v>
      </c>
      <c r="O297">
        <v>0.2</v>
      </c>
      <c r="P297" t="s">
        <v>2496</v>
      </c>
      <c r="U297" t="s">
        <v>2995</v>
      </c>
      <c r="V297" t="s">
        <v>2290</v>
      </c>
    </row>
    <row r="298" spans="1:22" x14ac:dyDescent="0.35">
      <c r="A298">
        <v>2023</v>
      </c>
      <c r="B298" t="s">
        <v>772</v>
      </c>
      <c r="C298" t="s">
        <v>163</v>
      </c>
      <c r="D298" t="s">
        <v>164</v>
      </c>
      <c r="E298" t="s">
        <v>1282</v>
      </c>
      <c r="G298" s="37" t="s">
        <v>11</v>
      </c>
      <c r="H298" s="37" t="s">
        <v>19</v>
      </c>
      <c r="I298" t="s">
        <v>2495</v>
      </c>
      <c r="J298" t="s">
        <v>1570</v>
      </c>
      <c r="K298" t="s">
        <v>1572</v>
      </c>
      <c r="L298" s="28" t="s">
        <v>3031</v>
      </c>
      <c r="M298">
        <v>720</v>
      </c>
      <c r="N298" t="s">
        <v>1641</v>
      </c>
      <c r="O298">
        <v>0.03</v>
      </c>
      <c r="P298" t="s">
        <v>2497</v>
      </c>
      <c r="U298" t="s">
        <v>2995</v>
      </c>
      <c r="V298" t="s">
        <v>2290</v>
      </c>
    </row>
    <row r="299" spans="1:22" x14ac:dyDescent="0.35">
      <c r="A299">
        <v>2023</v>
      </c>
      <c r="B299" t="s">
        <v>772</v>
      </c>
      <c r="C299" t="s">
        <v>163</v>
      </c>
      <c r="D299" t="s">
        <v>164</v>
      </c>
      <c r="E299" t="s">
        <v>1282</v>
      </c>
      <c r="G299" s="37" t="s">
        <v>11</v>
      </c>
      <c r="H299" s="37" t="s">
        <v>19</v>
      </c>
      <c r="I299" t="s">
        <v>157</v>
      </c>
      <c r="J299" t="s">
        <v>1570</v>
      </c>
      <c r="K299" t="s">
        <v>1573</v>
      </c>
      <c r="L299" s="28" t="s">
        <v>3031</v>
      </c>
      <c r="M299">
        <v>751</v>
      </c>
      <c r="N299" t="s">
        <v>1641</v>
      </c>
      <c r="O299">
        <v>38.200000000000003</v>
      </c>
      <c r="P299" t="s">
        <v>2426</v>
      </c>
      <c r="U299" t="s">
        <v>2995</v>
      </c>
      <c r="V299" t="s">
        <v>2290</v>
      </c>
    </row>
    <row r="300" spans="1:22" x14ac:dyDescent="0.35">
      <c r="A300">
        <v>2023</v>
      </c>
      <c r="B300" t="s">
        <v>772</v>
      </c>
      <c r="C300" t="s">
        <v>163</v>
      </c>
      <c r="D300" t="s">
        <v>164</v>
      </c>
      <c r="E300" t="s">
        <v>1282</v>
      </c>
      <c r="G300" s="37" t="s">
        <v>11</v>
      </c>
      <c r="H300" s="37" t="s">
        <v>19</v>
      </c>
      <c r="I300" t="s">
        <v>2494</v>
      </c>
      <c r="J300" t="s">
        <v>1570</v>
      </c>
      <c r="K300" t="s">
        <v>1573</v>
      </c>
      <c r="L300" s="28" t="s">
        <v>3031</v>
      </c>
      <c r="M300">
        <v>751</v>
      </c>
      <c r="N300" t="s">
        <v>1641</v>
      </c>
      <c r="O300">
        <v>37.799999999999997</v>
      </c>
      <c r="P300" t="s">
        <v>2493</v>
      </c>
      <c r="U300" t="s">
        <v>2995</v>
      </c>
      <c r="V300" t="s">
        <v>2290</v>
      </c>
    </row>
    <row r="301" spans="1:22" x14ac:dyDescent="0.35">
      <c r="A301">
        <v>2023</v>
      </c>
      <c r="B301" t="s">
        <v>772</v>
      </c>
      <c r="C301" t="s">
        <v>163</v>
      </c>
      <c r="D301" t="s">
        <v>164</v>
      </c>
      <c r="E301" t="s">
        <v>1282</v>
      </c>
      <c r="G301" s="37" t="s">
        <v>11</v>
      </c>
      <c r="H301" s="37" t="s">
        <v>19</v>
      </c>
      <c r="I301" t="s">
        <v>2954</v>
      </c>
      <c r="J301" t="s">
        <v>1570</v>
      </c>
      <c r="K301" t="s">
        <v>1573</v>
      </c>
      <c r="L301" s="28" t="s">
        <v>3031</v>
      </c>
      <c r="M301">
        <v>751</v>
      </c>
      <c r="N301" t="s">
        <v>1641</v>
      </c>
      <c r="O301">
        <v>0.2</v>
      </c>
      <c r="P301" t="s">
        <v>2496</v>
      </c>
      <c r="U301" t="s">
        <v>2995</v>
      </c>
      <c r="V301" t="s">
        <v>2290</v>
      </c>
    </row>
    <row r="302" spans="1:22" x14ac:dyDescent="0.35">
      <c r="A302">
        <v>2023</v>
      </c>
      <c r="B302" t="s">
        <v>772</v>
      </c>
      <c r="C302" t="s">
        <v>163</v>
      </c>
      <c r="D302" t="s">
        <v>164</v>
      </c>
      <c r="E302" t="s">
        <v>1282</v>
      </c>
      <c r="G302" s="37" t="s">
        <v>11</v>
      </c>
      <c r="H302" s="37" t="s">
        <v>19</v>
      </c>
      <c r="I302" t="s">
        <v>2495</v>
      </c>
      <c r="J302" t="s">
        <v>1570</v>
      </c>
      <c r="K302" t="s">
        <v>1573</v>
      </c>
      <c r="L302" s="28" t="s">
        <v>3031</v>
      </c>
      <c r="M302">
        <v>751</v>
      </c>
      <c r="N302" t="s">
        <v>1641</v>
      </c>
      <c r="O302">
        <v>0.03</v>
      </c>
      <c r="P302" t="s">
        <v>2497</v>
      </c>
    </row>
    <row r="303" spans="1:22" x14ac:dyDescent="0.35">
      <c r="A303">
        <v>2024</v>
      </c>
      <c r="B303" t="s">
        <v>772</v>
      </c>
      <c r="C303" t="s">
        <v>755</v>
      </c>
      <c r="D303" t="s">
        <v>85</v>
      </c>
      <c r="E303" t="s">
        <v>1315</v>
      </c>
      <c r="G303" s="37" t="s">
        <v>11</v>
      </c>
      <c r="H303" s="37" t="s">
        <v>23</v>
      </c>
      <c r="I303" t="s">
        <v>16</v>
      </c>
      <c r="J303" t="s">
        <v>1564</v>
      </c>
      <c r="K303" t="s">
        <v>1574</v>
      </c>
      <c r="L303" s="28" t="s">
        <v>3031</v>
      </c>
      <c r="M303" s="23">
        <v>39567</v>
      </c>
      <c r="N303" t="s">
        <v>1566</v>
      </c>
      <c r="O303">
        <v>0.65</v>
      </c>
      <c r="P303" t="s">
        <v>1567</v>
      </c>
      <c r="Q303">
        <v>828</v>
      </c>
      <c r="R303" t="s">
        <v>1550</v>
      </c>
      <c r="V303" t="s">
        <v>1568</v>
      </c>
    </row>
    <row r="304" spans="1:22" x14ac:dyDescent="0.35">
      <c r="A304">
        <v>2024</v>
      </c>
      <c r="B304" t="s">
        <v>772</v>
      </c>
      <c r="C304" t="s">
        <v>755</v>
      </c>
      <c r="D304" t="s">
        <v>85</v>
      </c>
      <c r="E304" t="s">
        <v>1315</v>
      </c>
      <c r="G304" s="37" t="s">
        <v>11</v>
      </c>
      <c r="H304" s="37" t="s">
        <v>23</v>
      </c>
      <c r="I304" t="s">
        <v>16</v>
      </c>
      <c r="J304" t="s">
        <v>1570</v>
      </c>
      <c r="K304" t="s">
        <v>1571</v>
      </c>
      <c r="L304" s="28" t="s">
        <v>3031</v>
      </c>
      <c r="M304" s="23">
        <v>51195</v>
      </c>
      <c r="N304" t="s">
        <v>1566</v>
      </c>
      <c r="O304">
        <v>0.57999999999999996</v>
      </c>
      <c r="P304" t="s">
        <v>1567</v>
      </c>
      <c r="Q304">
        <v>958</v>
      </c>
      <c r="R304" t="s">
        <v>1550</v>
      </c>
      <c r="V304" t="s">
        <v>1568</v>
      </c>
    </row>
    <row r="305" spans="1:22" x14ac:dyDescent="0.35">
      <c r="A305">
        <v>2024</v>
      </c>
      <c r="B305" t="s">
        <v>772</v>
      </c>
      <c r="C305" t="s">
        <v>755</v>
      </c>
      <c r="D305" t="s">
        <v>85</v>
      </c>
      <c r="E305" t="s">
        <v>1315</v>
      </c>
      <c r="G305" s="37" t="s">
        <v>11</v>
      </c>
      <c r="H305" s="37" t="s">
        <v>23</v>
      </c>
      <c r="I305" t="s">
        <v>16</v>
      </c>
      <c r="J305" t="s">
        <v>1570</v>
      </c>
      <c r="K305" t="s">
        <v>1572</v>
      </c>
      <c r="L305" s="28" t="s">
        <v>3031</v>
      </c>
      <c r="M305" s="23">
        <v>30448</v>
      </c>
      <c r="N305" t="s">
        <v>1566</v>
      </c>
      <c r="O305">
        <v>0.4</v>
      </c>
      <c r="P305" t="s">
        <v>1567</v>
      </c>
      <c r="Q305">
        <v>393</v>
      </c>
      <c r="R305" t="s">
        <v>1550</v>
      </c>
      <c r="V305" t="s">
        <v>1568</v>
      </c>
    </row>
    <row r="306" spans="1:22" x14ac:dyDescent="0.35">
      <c r="A306">
        <v>2024</v>
      </c>
      <c r="B306" t="s">
        <v>772</v>
      </c>
      <c r="C306" t="s">
        <v>755</v>
      </c>
      <c r="D306" t="s">
        <v>85</v>
      </c>
      <c r="E306" t="s">
        <v>1315</v>
      </c>
      <c r="G306" s="37" t="s">
        <v>11</v>
      </c>
      <c r="H306" s="37" t="s">
        <v>23</v>
      </c>
      <c r="I306" t="s">
        <v>16</v>
      </c>
      <c r="J306" t="s">
        <v>1570</v>
      </c>
      <c r="K306" t="s">
        <v>1573</v>
      </c>
      <c r="L306" s="28" t="s">
        <v>3031</v>
      </c>
      <c r="M306" s="23">
        <v>132</v>
      </c>
      <c r="N306" t="s">
        <v>1566</v>
      </c>
      <c r="O306">
        <v>0.19</v>
      </c>
      <c r="P306" t="s">
        <v>1567</v>
      </c>
      <c r="Q306">
        <v>1</v>
      </c>
      <c r="R306" t="s">
        <v>1550</v>
      </c>
      <c r="V306" t="s">
        <v>1568</v>
      </c>
    </row>
    <row r="307" spans="1:22" x14ac:dyDescent="0.35">
      <c r="A307">
        <v>2024</v>
      </c>
      <c r="B307" t="s">
        <v>772</v>
      </c>
      <c r="C307" t="s">
        <v>755</v>
      </c>
      <c r="D307" t="s">
        <v>85</v>
      </c>
      <c r="E307" t="s">
        <v>1315</v>
      </c>
      <c r="G307" s="37" t="s">
        <v>11</v>
      </c>
      <c r="H307" s="37" t="s">
        <v>23</v>
      </c>
      <c r="I307" t="s">
        <v>1549</v>
      </c>
      <c r="J307" t="s">
        <v>1564</v>
      </c>
      <c r="K307" t="s">
        <v>1574</v>
      </c>
      <c r="L307" s="28" t="s">
        <v>3031</v>
      </c>
      <c r="M307" s="23">
        <v>39567</v>
      </c>
      <c r="N307" t="s">
        <v>1566</v>
      </c>
      <c r="O307">
        <v>1.77</v>
      </c>
      <c r="P307" t="s">
        <v>1567</v>
      </c>
      <c r="Q307">
        <v>2253</v>
      </c>
      <c r="R307" t="s">
        <v>1550</v>
      </c>
      <c r="V307" t="s">
        <v>1568</v>
      </c>
    </row>
    <row r="308" spans="1:22" x14ac:dyDescent="0.35">
      <c r="A308">
        <v>2024</v>
      </c>
      <c r="B308" t="s">
        <v>772</v>
      </c>
      <c r="C308" t="s">
        <v>755</v>
      </c>
      <c r="D308" t="s">
        <v>85</v>
      </c>
      <c r="E308" t="s">
        <v>1315</v>
      </c>
      <c r="G308" s="37" t="s">
        <v>11</v>
      </c>
      <c r="H308" s="37" t="s">
        <v>23</v>
      </c>
      <c r="I308" t="s">
        <v>1549</v>
      </c>
      <c r="J308" t="s">
        <v>1570</v>
      </c>
      <c r="K308" t="s">
        <v>1571</v>
      </c>
      <c r="L308" s="28" t="s">
        <v>3031</v>
      </c>
      <c r="M308" s="23">
        <v>51195</v>
      </c>
      <c r="N308" t="s">
        <v>1566</v>
      </c>
      <c r="O308">
        <v>1.81</v>
      </c>
      <c r="P308" t="s">
        <v>1567</v>
      </c>
      <c r="Q308">
        <v>2976</v>
      </c>
      <c r="R308" t="s">
        <v>1550</v>
      </c>
      <c r="V308" t="s">
        <v>1568</v>
      </c>
    </row>
    <row r="309" spans="1:22" x14ac:dyDescent="0.35">
      <c r="A309">
        <v>2024</v>
      </c>
      <c r="B309" t="s">
        <v>772</v>
      </c>
      <c r="C309" t="s">
        <v>755</v>
      </c>
      <c r="D309" t="s">
        <v>85</v>
      </c>
      <c r="E309" t="s">
        <v>1315</v>
      </c>
      <c r="G309" s="37" t="s">
        <v>11</v>
      </c>
      <c r="H309" s="37" t="s">
        <v>23</v>
      </c>
      <c r="I309" t="s">
        <v>1549</v>
      </c>
      <c r="J309" t="s">
        <v>1570</v>
      </c>
      <c r="K309" t="s">
        <v>1572</v>
      </c>
      <c r="L309" s="28" t="s">
        <v>3031</v>
      </c>
      <c r="M309" s="23">
        <v>30448</v>
      </c>
      <c r="N309" t="s">
        <v>1566</v>
      </c>
      <c r="O309">
        <v>1.49</v>
      </c>
      <c r="P309" t="s">
        <v>1567</v>
      </c>
      <c r="Q309">
        <v>1455</v>
      </c>
      <c r="R309" t="s">
        <v>1550</v>
      </c>
      <c r="V309" t="s">
        <v>1568</v>
      </c>
    </row>
    <row r="310" spans="1:22" x14ac:dyDescent="0.35">
      <c r="A310">
        <v>2024</v>
      </c>
      <c r="B310" t="s">
        <v>772</v>
      </c>
      <c r="C310" t="s">
        <v>755</v>
      </c>
      <c r="D310" t="s">
        <v>85</v>
      </c>
      <c r="E310" t="s">
        <v>1315</v>
      </c>
      <c r="G310" s="37" t="s">
        <v>11</v>
      </c>
      <c r="H310" s="37" t="s">
        <v>23</v>
      </c>
      <c r="I310" t="s">
        <v>1549</v>
      </c>
      <c r="J310" t="s">
        <v>1570</v>
      </c>
      <c r="K310" t="s">
        <v>1573</v>
      </c>
      <c r="L310" s="28" t="s">
        <v>3031</v>
      </c>
      <c r="M310" s="23">
        <v>132</v>
      </c>
      <c r="N310" t="s">
        <v>1566</v>
      </c>
      <c r="O310">
        <v>0.54</v>
      </c>
      <c r="P310" t="s">
        <v>1567</v>
      </c>
      <c r="Q310">
        <v>4431</v>
      </c>
      <c r="R310" t="s">
        <v>1550</v>
      </c>
      <c r="V310" t="s">
        <v>1568</v>
      </c>
    </row>
    <row r="311" spans="1:22" x14ac:dyDescent="0.35">
      <c r="A311">
        <v>2024</v>
      </c>
      <c r="B311" t="s">
        <v>772</v>
      </c>
      <c r="C311" t="s">
        <v>755</v>
      </c>
      <c r="D311" t="s">
        <v>85</v>
      </c>
      <c r="E311" t="s">
        <v>1315</v>
      </c>
      <c r="G311" s="37" t="s">
        <v>11</v>
      </c>
      <c r="H311" s="37" t="s">
        <v>23</v>
      </c>
      <c r="I311" t="s">
        <v>125</v>
      </c>
      <c r="J311" t="s">
        <v>1564</v>
      </c>
      <c r="K311" t="s">
        <v>1574</v>
      </c>
      <c r="L311" s="28" t="s">
        <v>3031</v>
      </c>
      <c r="M311" s="23">
        <v>39567</v>
      </c>
      <c r="N311" t="s">
        <v>1566</v>
      </c>
      <c r="O311">
        <v>0.72</v>
      </c>
      <c r="P311" t="s">
        <v>1589</v>
      </c>
      <c r="Q311">
        <v>631</v>
      </c>
      <c r="R311" t="s">
        <v>1713</v>
      </c>
      <c r="V311" t="s">
        <v>1568</v>
      </c>
    </row>
    <row r="312" spans="1:22" x14ac:dyDescent="0.35">
      <c r="A312">
        <v>2024</v>
      </c>
      <c r="B312" t="s">
        <v>772</v>
      </c>
      <c r="C312" t="s">
        <v>755</v>
      </c>
      <c r="D312" t="s">
        <v>85</v>
      </c>
      <c r="E312" t="s">
        <v>1315</v>
      </c>
      <c r="G312" s="37" t="s">
        <v>11</v>
      </c>
      <c r="H312" s="37" t="s">
        <v>23</v>
      </c>
      <c r="I312" t="s">
        <v>125</v>
      </c>
      <c r="J312" t="s">
        <v>1570</v>
      </c>
      <c r="K312" t="s">
        <v>1571</v>
      </c>
      <c r="L312" s="28" t="s">
        <v>3031</v>
      </c>
      <c r="M312" s="23">
        <v>51195</v>
      </c>
      <c r="N312" t="s">
        <v>1566</v>
      </c>
      <c r="O312">
        <v>0.67</v>
      </c>
      <c r="P312" t="s">
        <v>1589</v>
      </c>
      <c r="Q312">
        <v>758</v>
      </c>
      <c r="R312" t="s">
        <v>1713</v>
      </c>
      <c r="V312" t="s">
        <v>1568</v>
      </c>
    </row>
    <row r="313" spans="1:22" x14ac:dyDescent="0.35">
      <c r="A313">
        <v>2024</v>
      </c>
      <c r="B313" t="s">
        <v>772</v>
      </c>
      <c r="C313" t="s">
        <v>755</v>
      </c>
      <c r="D313" t="s">
        <v>85</v>
      </c>
      <c r="E313" t="s">
        <v>1315</v>
      </c>
      <c r="G313" s="37" t="s">
        <v>11</v>
      </c>
      <c r="H313" s="37" t="s">
        <v>23</v>
      </c>
      <c r="I313" t="s">
        <v>125</v>
      </c>
      <c r="J313" t="s">
        <v>1570</v>
      </c>
      <c r="K313" t="s">
        <v>1572</v>
      </c>
      <c r="L313" s="28" t="s">
        <v>3031</v>
      </c>
      <c r="M313" s="23">
        <v>30448</v>
      </c>
      <c r="N313" t="s">
        <v>1566</v>
      </c>
      <c r="O313">
        <v>0.51</v>
      </c>
      <c r="P313" t="s">
        <v>1589</v>
      </c>
      <c r="Q313">
        <v>342</v>
      </c>
      <c r="R313" t="s">
        <v>1713</v>
      </c>
      <c r="V313" t="s">
        <v>1568</v>
      </c>
    </row>
    <row r="314" spans="1:22" x14ac:dyDescent="0.35">
      <c r="A314">
        <v>2024</v>
      </c>
      <c r="B314" t="s">
        <v>772</v>
      </c>
      <c r="C314" t="s">
        <v>755</v>
      </c>
      <c r="D314" t="s">
        <v>85</v>
      </c>
      <c r="E314" t="s">
        <v>1315</v>
      </c>
      <c r="G314" s="37" t="s">
        <v>11</v>
      </c>
      <c r="H314" s="37" t="s">
        <v>23</v>
      </c>
      <c r="I314" t="s">
        <v>125</v>
      </c>
      <c r="J314" t="s">
        <v>1570</v>
      </c>
      <c r="K314" t="s">
        <v>1573</v>
      </c>
      <c r="L314" s="28" t="s">
        <v>3031</v>
      </c>
      <c r="M314" s="23">
        <v>132</v>
      </c>
      <c r="N314" t="s">
        <v>1566</v>
      </c>
      <c r="O314">
        <v>0.19</v>
      </c>
      <c r="P314" t="s">
        <v>1589</v>
      </c>
      <c r="Q314">
        <v>1</v>
      </c>
      <c r="R314" t="s">
        <v>1713</v>
      </c>
      <c r="V314" t="s">
        <v>1568</v>
      </c>
    </row>
    <row r="315" spans="1:22" x14ac:dyDescent="0.35">
      <c r="A315">
        <v>2024</v>
      </c>
      <c r="B315" t="s">
        <v>772</v>
      </c>
      <c r="C315" t="s">
        <v>755</v>
      </c>
      <c r="D315" t="s">
        <v>76</v>
      </c>
      <c r="E315" t="s">
        <v>1314</v>
      </c>
      <c r="G315" s="37" t="s">
        <v>11</v>
      </c>
      <c r="H315" s="37" t="s">
        <v>13</v>
      </c>
      <c r="I315" t="s">
        <v>16</v>
      </c>
      <c r="J315" t="s">
        <v>1564</v>
      </c>
      <c r="K315" t="s">
        <v>1565</v>
      </c>
      <c r="L315" s="28" t="s">
        <v>3031</v>
      </c>
      <c r="M315" s="23">
        <v>15935</v>
      </c>
      <c r="N315" t="s">
        <v>1566</v>
      </c>
      <c r="O315">
        <v>0.44</v>
      </c>
      <c r="P315" t="s">
        <v>1567</v>
      </c>
      <c r="Q315">
        <v>223</v>
      </c>
      <c r="R315" t="s">
        <v>1550</v>
      </c>
      <c r="V315" t="s">
        <v>1568</v>
      </c>
    </row>
    <row r="316" spans="1:22" x14ac:dyDescent="0.35">
      <c r="A316">
        <v>2024</v>
      </c>
      <c r="B316" t="s">
        <v>772</v>
      </c>
      <c r="C316" t="s">
        <v>755</v>
      </c>
      <c r="D316" t="s">
        <v>76</v>
      </c>
      <c r="E316" t="s">
        <v>1314</v>
      </c>
      <c r="G316" s="37" t="s">
        <v>11</v>
      </c>
      <c r="H316" s="37" t="s">
        <v>13</v>
      </c>
      <c r="I316" t="s">
        <v>16</v>
      </c>
      <c r="J316" t="s">
        <v>1564</v>
      </c>
      <c r="K316" t="s">
        <v>1574</v>
      </c>
      <c r="L316" s="28" t="s">
        <v>3031</v>
      </c>
      <c r="M316" s="23">
        <v>36991</v>
      </c>
      <c r="N316" t="s">
        <v>1566</v>
      </c>
      <c r="O316">
        <v>1.6</v>
      </c>
      <c r="P316" t="s">
        <v>1567</v>
      </c>
      <c r="Q316">
        <v>1903</v>
      </c>
      <c r="R316" t="s">
        <v>1550</v>
      </c>
      <c r="V316" t="s">
        <v>1568</v>
      </c>
    </row>
    <row r="317" spans="1:22" x14ac:dyDescent="0.35">
      <c r="A317">
        <v>2024</v>
      </c>
      <c r="B317" t="s">
        <v>772</v>
      </c>
      <c r="C317" t="s">
        <v>755</v>
      </c>
      <c r="D317" t="s">
        <v>76</v>
      </c>
      <c r="E317" t="s">
        <v>1314</v>
      </c>
      <c r="G317" s="37" t="s">
        <v>11</v>
      </c>
      <c r="H317" s="37" t="s">
        <v>13</v>
      </c>
      <c r="I317" t="s">
        <v>16</v>
      </c>
      <c r="J317" t="s">
        <v>1570</v>
      </c>
      <c r="K317" t="s">
        <v>1571</v>
      </c>
      <c r="L317" s="28" t="s">
        <v>3031</v>
      </c>
      <c r="M317" s="23">
        <v>310</v>
      </c>
      <c r="N317" t="s">
        <v>1566</v>
      </c>
      <c r="O317">
        <v>2.74</v>
      </c>
      <c r="P317" t="s">
        <v>1567</v>
      </c>
      <c r="Q317">
        <v>27</v>
      </c>
      <c r="R317" t="s">
        <v>1550</v>
      </c>
      <c r="V317" t="s">
        <v>1568</v>
      </c>
    </row>
    <row r="318" spans="1:22" x14ac:dyDescent="0.35">
      <c r="A318">
        <v>2024</v>
      </c>
      <c r="B318" t="s">
        <v>772</v>
      </c>
      <c r="C318" t="s">
        <v>755</v>
      </c>
      <c r="D318" t="s">
        <v>76</v>
      </c>
      <c r="E318" t="s">
        <v>1314</v>
      </c>
      <c r="G318" s="37" t="s">
        <v>11</v>
      </c>
      <c r="H318" s="37" t="s">
        <v>13</v>
      </c>
      <c r="I318" t="s">
        <v>16</v>
      </c>
      <c r="J318" t="s">
        <v>1570</v>
      </c>
      <c r="K318" t="s">
        <v>1572</v>
      </c>
      <c r="L318" s="28" t="s">
        <v>3031</v>
      </c>
      <c r="M318" s="23">
        <v>34772</v>
      </c>
      <c r="N318" t="s">
        <v>1566</v>
      </c>
      <c r="O318">
        <v>1.1299999999999999</v>
      </c>
      <c r="P318" t="s">
        <v>1567</v>
      </c>
      <c r="Q318">
        <v>1267</v>
      </c>
      <c r="R318" t="s">
        <v>1550</v>
      </c>
      <c r="V318" t="s">
        <v>1568</v>
      </c>
    </row>
    <row r="319" spans="1:22" x14ac:dyDescent="0.35">
      <c r="A319">
        <v>2024</v>
      </c>
      <c r="B319" t="s">
        <v>772</v>
      </c>
      <c r="C319" t="s">
        <v>755</v>
      </c>
      <c r="D319" t="s">
        <v>76</v>
      </c>
      <c r="E319" t="s">
        <v>1314</v>
      </c>
      <c r="G319" s="37" t="s">
        <v>11</v>
      </c>
      <c r="H319" s="37" t="s">
        <v>13</v>
      </c>
      <c r="I319" t="s">
        <v>16</v>
      </c>
      <c r="J319" t="s">
        <v>1570</v>
      </c>
      <c r="K319" t="s">
        <v>1573</v>
      </c>
      <c r="L319" s="28" t="s">
        <v>3031</v>
      </c>
      <c r="M319" s="23">
        <v>7663</v>
      </c>
      <c r="N319" t="s">
        <v>1566</v>
      </c>
      <c r="O319">
        <v>1.62</v>
      </c>
      <c r="P319" t="s">
        <v>1567</v>
      </c>
      <c r="Q319">
        <v>398</v>
      </c>
      <c r="R319" t="s">
        <v>1550</v>
      </c>
      <c r="V319" t="s">
        <v>1568</v>
      </c>
    </row>
    <row r="320" spans="1:22" x14ac:dyDescent="0.35">
      <c r="A320">
        <v>2024</v>
      </c>
      <c r="B320" t="s">
        <v>772</v>
      </c>
      <c r="C320" t="s">
        <v>755</v>
      </c>
      <c r="D320" t="s">
        <v>76</v>
      </c>
      <c r="E320" t="s">
        <v>1314</v>
      </c>
      <c r="G320" s="37" t="s">
        <v>11</v>
      </c>
      <c r="H320" s="37" t="s">
        <v>13</v>
      </c>
      <c r="I320" t="s">
        <v>1549</v>
      </c>
      <c r="J320" t="s">
        <v>1564</v>
      </c>
      <c r="K320" t="s">
        <v>1565</v>
      </c>
      <c r="L320" s="28" t="s">
        <v>3031</v>
      </c>
      <c r="M320" s="23">
        <v>15935</v>
      </c>
      <c r="N320" t="s">
        <v>1566</v>
      </c>
      <c r="O320">
        <v>2.68</v>
      </c>
      <c r="P320" t="s">
        <v>1567</v>
      </c>
      <c r="Q320">
        <v>1371</v>
      </c>
      <c r="R320" t="s">
        <v>1550</v>
      </c>
      <c r="V320" t="s">
        <v>1568</v>
      </c>
    </row>
    <row r="321" spans="1:22" x14ac:dyDescent="0.35">
      <c r="A321">
        <v>2024</v>
      </c>
      <c r="B321" t="s">
        <v>772</v>
      </c>
      <c r="C321" t="s">
        <v>755</v>
      </c>
      <c r="D321" t="s">
        <v>76</v>
      </c>
      <c r="E321" t="s">
        <v>1314</v>
      </c>
      <c r="G321" s="37" t="s">
        <v>11</v>
      </c>
      <c r="H321" s="37" t="s">
        <v>13</v>
      </c>
      <c r="I321" t="s">
        <v>1549</v>
      </c>
      <c r="J321" t="s">
        <v>1564</v>
      </c>
      <c r="K321" t="s">
        <v>1574</v>
      </c>
      <c r="L321" s="28" t="s">
        <v>3031</v>
      </c>
      <c r="M321" s="23">
        <v>36991</v>
      </c>
      <c r="N321" t="s">
        <v>1566</v>
      </c>
      <c r="O321">
        <v>3.5</v>
      </c>
      <c r="P321" t="s">
        <v>1567</v>
      </c>
      <c r="Q321">
        <v>4164</v>
      </c>
      <c r="R321" t="s">
        <v>1550</v>
      </c>
      <c r="V321" t="s">
        <v>1568</v>
      </c>
    </row>
    <row r="322" spans="1:22" x14ac:dyDescent="0.35">
      <c r="A322">
        <v>2024</v>
      </c>
      <c r="B322" t="s">
        <v>772</v>
      </c>
      <c r="C322" t="s">
        <v>755</v>
      </c>
      <c r="D322" t="s">
        <v>76</v>
      </c>
      <c r="E322" t="s">
        <v>1314</v>
      </c>
      <c r="G322" s="37" t="s">
        <v>11</v>
      </c>
      <c r="H322" s="37" t="s">
        <v>13</v>
      </c>
      <c r="I322" t="s">
        <v>1549</v>
      </c>
      <c r="J322" t="s">
        <v>1570</v>
      </c>
      <c r="K322" t="s">
        <v>1571</v>
      </c>
      <c r="L322" s="28" t="s">
        <v>3031</v>
      </c>
      <c r="M322" s="23">
        <v>310</v>
      </c>
      <c r="N322" t="s">
        <v>1566</v>
      </c>
      <c r="O322">
        <v>26.38</v>
      </c>
      <c r="P322" t="s">
        <v>1567</v>
      </c>
      <c r="Q322">
        <v>263</v>
      </c>
      <c r="R322" t="s">
        <v>1550</v>
      </c>
      <c r="V322" t="s">
        <v>1568</v>
      </c>
    </row>
    <row r="323" spans="1:22" x14ac:dyDescent="0.35">
      <c r="A323">
        <v>2024</v>
      </c>
      <c r="B323" t="s">
        <v>772</v>
      </c>
      <c r="C323" t="s">
        <v>755</v>
      </c>
      <c r="D323" t="s">
        <v>76</v>
      </c>
      <c r="E323" t="s">
        <v>1314</v>
      </c>
      <c r="G323" s="37" t="s">
        <v>11</v>
      </c>
      <c r="H323" s="37" t="s">
        <v>13</v>
      </c>
      <c r="I323" t="s">
        <v>1549</v>
      </c>
      <c r="J323" t="s">
        <v>1570</v>
      </c>
      <c r="K323" t="s">
        <v>1572</v>
      </c>
      <c r="L323" s="28" t="s">
        <v>3031</v>
      </c>
      <c r="M323" s="23">
        <v>34772</v>
      </c>
      <c r="N323" t="s">
        <v>1566</v>
      </c>
      <c r="O323">
        <v>3.86</v>
      </c>
      <c r="P323" t="s">
        <v>1567</v>
      </c>
      <c r="Q323">
        <v>4310</v>
      </c>
      <c r="R323" t="s">
        <v>1550</v>
      </c>
      <c r="V323" t="s">
        <v>1568</v>
      </c>
    </row>
    <row r="324" spans="1:22" x14ac:dyDescent="0.35">
      <c r="A324">
        <v>2024</v>
      </c>
      <c r="B324" t="s">
        <v>772</v>
      </c>
      <c r="C324" t="s">
        <v>755</v>
      </c>
      <c r="D324" t="s">
        <v>76</v>
      </c>
      <c r="E324" t="s">
        <v>1314</v>
      </c>
      <c r="G324" s="37" t="s">
        <v>11</v>
      </c>
      <c r="H324" s="37" t="s">
        <v>13</v>
      </c>
      <c r="I324" t="s">
        <v>1549</v>
      </c>
      <c r="J324" t="s">
        <v>1570</v>
      </c>
      <c r="K324" t="s">
        <v>1573</v>
      </c>
      <c r="L324" s="28" t="s">
        <v>3031</v>
      </c>
      <c r="M324" s="23">
        <v>7663</v>
      </c>
      <c r="N324" t="s">
        <v>1566</v>
      </c>
      <c r="O324">
        <v>3.68</v>
      </c>
      <c r="P324" t="s">
        <v>1567</v>
      </c>
      <c r="Q324">
        <v>908</v>
      </c>
      <c r="R324" t="s">
        <v>1550</v>
      </c>
      <c r="V324" t="s">
        <v>1568</v>
      </c>
    </row>
    <row r="325" spans="1:22" x14ac:dyDescent="0.35">
      <c r="A325">
        <v>2023</v>
      </c>
      <c r="B325" t="s">
        <v>772</v>
      </c>
      <c r="C325" t="s">
        <v>1591</v>
      </c>
      <c r="D325" t="s">
        <v>77</v>
      </c>
      <c r="E325" t="s">
        <v>1323</v>
      </c>
      <c r="G325" s="37" t="s">
        <v>11</v>
      </c>
      <c r="H325" s="37" t="s">
        <v>13</v>
      </c>
      <c r="I325" t="s">
        <v>16</v>
      </c>
      <c r="J325" t="s">
        <v>1564</v>
      </c>
      <c r="K325" t="s">
        <v>1574</v>
      </c>
      <c r="L325" s="28" t="s">
        <v>3031</v>
      </c>
      <c r="M325">
        <v>11500</v>
      </c>
      <c r="N325" t="s">
        <v>1566</v>
      </c>
      <c r="O325">
        <v>8.44</v>
      </c>
      <c r="P325" t="s">
        <v>1567</v>
      </c>
      <c r="Q325">
        <v>3100</v>
      </c>
      <c r="R325" t="s">
        <v>1550</v>
      </c>
      <c r="S325" t="s">
        <v>1588</v>
      </c>
      <c r="T325">
        <v>96</v>
      </c>
      <c r="V325" t="s">
        <v>1592</v>
      </c>
    </row>
    <row r="326" spans="1:22" x14ac:dyDescent="0.35">
      <c r="A326">
        <v>2023</v>
      </c>
      <c r="B326" t="s">
        <v>772</v>
      </c>
      <c r="C326" t="s">
        <v>1591</v>
      </c>
      <c r="D326" t="s">
        <v>77</v>
      </c>
      <c r="E326" t="s">
        <v>1323</v>
      </c>
      <c r="G326" s="37" t="s">
        <v>11</v>
      </c>
      <c r="H326" s="37" t="s">
        <v>13</v>
      </c>
      <c r="I326" t="s">
        <v>16</v>
      </c>
      <c r="J326" t="s">
        <v>1570</v>
      </c>
      <c r="K326" t="s">
        <v>1572</v>
      </c>
      <c r="L326" s="28" t="s">
        <v>3031</v>
      </c>
      <c r="M326">
        <v>1800</v>
      </c>
      <c r="N326" t="s">
        <v>1566</v>
      </c>
      <c r="O326">
        <v>7.64</v>
      </c>
      <c r="P326" t="s">
        <v>1567</v>
      </c>
      <c r="Q326">
        <v>500</v>
      </c>
      <c r="R326" t="s">
        <v>1550</v>
      </c>
      <c r="S326" t="s">
        <v>1588</v>
      </c>
      <c r="T326">
        <v>96</v>
      </c>
      <c r="V326" t="s">
        <v>1592</v>
      </c>
    </row>
    <row r="327" spans="1:22" x14ac:dyDescent="0.35">
      <c r="A327">
        <v>2023</v>
      </c>
      <c r="B327" t="s">
        <v>772</v>
      </c>
      <c r="C327" t="s">
        <v>1591</v>
      </c>
      <c r="D327" t="s">
        <v>77</v>
      </c>
      <c r="E327" t="s">
        <v>1323</v>
      </c>
      <c r="G327" s="37" t="s">
        <v>11</v>
      </c>
      <c r="H327" s="37" t="s">
        <v>13</v>
      </c>
      <c r="I327" t="s">
        <v>16</v>
      </c>
      <c r="J327" t="s">
        <v>1570</v>
      </c>
      <c r="K327" t="s">
        <v>1573</v>
      </c>
      <c r="L327" s="28" t="s">
        <v>3031</v>
      </c>
      <c r="M327">
        <v>12100</v>
      </c>
      <c r="N327" t="s">
        <v>1566</v>
      </c>
      <c r="O327">
        <v>10.35</v>
      </c>
      <c r="P327" t="s">
        <v>1567</v>
      </c>
      <c r="Q327">
        <v>4000</v>
      </c>
      <c r="R327" t="s">
        <v>1550</v>
      </c>
      <c r="S327" t="s">
        <v>1588</v>
      </c>
      <c r="T327">
        <v>96</v>
      </c>
      <c r="V327" t="s">
        <v>1592</v>
      </c>
    </row>
    <row r="328" spans="1:22" x14ac:dyDescent="0.35">
      <c r="A328">
        <v>2023</v>
      </c>
      <c r="B328" t="s">
        <v>772</v>
      </c>
      <c r="C328" t="s">
        <v>1591</v>
      </c>
      <c r="D328" t="s">
        <v>1590</v>
      </c>
      <c r="E328" t="s">
        <v>1316</v>
      </c>
      <c r="G328" s="37" t="s">
        <v>11</v>
      </c>
      <c r="H328" s="37" t="s">
        <v>13</v>
      </c>
      <c r="I328" t="s">
        <v>16</v>
      </c>
      <c r="J328" t="s">
        <v>1564</v>
      </c>
      <c r="K328" t="s">
        <v>1574</v>
      </c>
      <c r="L328" s="28" t="s">
        <v>3031</v>
      </c>
      <c r="M328">
        <v>6800</v>
      </c>
      <c r="N328" t="s">
        <v>1566</v>
      </c>
      <c r="O328">
        <v>5.47</v>
      </c>
      <c r="P328" t="s">
        <v>1567</v>
      </c>
      <c r="Q328">
        <v>1200</v>
      </c>
      <c r="R328" t="s">
        <v>1550</v>
      </c>
      <c r="S328" t="s">
        <v>1588</v>
      </c>
      <c r="T328">
        <v>92</v>
      </c>
      <c r="V328" t="s">
        <v>1592</v>
      </c>
    </row>
    <row r="329" spans="1:22" x14ac:dyDescent="0.35">
      <c r="A329">
        <v>2023</v>
      </c>
      <c r="B329" t="s">
        <v>772</v>
      </c>
      <c r="C329" t="s">
        <v>1591</v>
      </c>
      <c r="D329" t="s">
        <v>1590</v>
      </c>
      <c r="E329" t="s">
        <v>1316</v>
      </c>
      <c r="G329" s="37" t="s">
        <v>11</v>
      </c>
      <c r="H329" s="37" t="s">
        <v>13</v>
      </c>
      <c r="I329" t="s">
        <v>16</v>
      </c>
      <c r="J329" t="s">
        <v>1564</v>
      </c>
      <c r="K329" t="s">
        <v>1565</v>
      </c>
      <c r="L329" s="28" t="s">
        <v>3031</v>
      </c>
      <c r="M329">
        <v>2100</v>
      </c>
      <c r="N329" t="s">
        <v>1566</v>
      </c>
      <c r="O329">
        <v>5.08</v>
      </c>
      <c r="P329" t="s">
        <v>1567</v>
      </c>
      <c r="Q329">
        <v>300</v>
      </c>
      <c r="R329" t="s">
        <v>1550</v>
      </c>
      <c r="S329" t="s">
        <v>1588</v>
      </c>
      <c r="T329">
        <v>92</v>
      </c>
      <c r="V329" t="s">
        <v>1592</v>
      </c>
    </row>
    <row r="330" spans="1:22" x14ac:dyDescent="0.35">
      <c r="A330">
        <v>2023</v>
      </c>
      <c r="B330" t="s">
        <v>772</v>
      </c>
      <c r="C330" t="s">
        <v>1591</v>
      </c>
      <c r="D330" t="s">
        <v>1590</v>
      </c>
      <c r="E330" t="s">
        <v>1316</v>
      </c>
      <c r="G330" s="37" t="s">
        <v>11</v>
      </c>
      <c r="H330" s="37" t="s">
        <v>13</v>
      </c>
      <c r="I330" t="s">
        <v>16</v>
      </c>
      <c r="J330" t="s">
        <v>1570</v>
      </c>
      <c r="K330" t="s">
        <v>1572</v>
      </c>
      <c r="L330" s="28" t="s">
        <v>3031</v>
      </c>
      <c r="M330">
        <v>2100</v>
      </c>
      <c r="N330" t="s">
        <v>1566</v>
      </c>
      <c r="O330">
        <v>4.7</v>
      </c>
      <c r="P330" t="s">
        <v>1567</v>
      </c>
      <c r="Q330">
        <v>300</v>
      </c>
      <c r="R330" t="s">
        <v>1550</v>
      </c>
      <c r="S330" t="s">
        <v>1588</v>
      </c>
      <c r="T330">
        <v>92</v>
      </c>
      <c r="V330" t="s">
        <v>1592</v>
      </c>
    </row>
    <row r="331" spans="1:22" x14ac:dyDescent="0.35">
      <c r="A331">
        <v>2023</v>
      </c>
      <c r="B331" t="s">
        <v>772</v>
      </c>
      <c r="C331" t="s">
        <v>1591</v>
      </c>
      <c r="D331" t="s">
        <v>1590</v>
      </c>
      <c r="E331" t="s">
        <v>1316</v>
      </c>
      <c r="G331" s="37" t="s">
        <v>11</v>
      </c>
      <c r="H331" s="37" t="s">
        <v>13</v>
      </c>
      <c r="I331" t="s">
        <v>16</v>
      </c>
      <c r="J331" t="s">
        <v>1570</v>
      </c>
      <c r="K331" t="s">
        <v>1573</v>
      </c>
      <c r="L331" s="28" t="s">
        <v>3031</v>
      </c>
      <c r="M331">
        <v>1800</v>
      </c>
      <c r="N331" t="s">
        <v>1566</v>
      </c>
      <c r="O331">
        <v>5.7</v>
      </c>
      <c r="P331" t="s">
        <v>1567</v>
      </c>
      <c r="Q331">
        <v>300</v>
      </c>
      <c r="R331" t="s">
        <v>1550</v>
      </c>
      <c r="S331" t="s">
        <v>1588</v>
      </c>
      <c r="T331">
        <v>92</v>
      </c>
      <c r="V331" t="s">
        <v>1592</v>
      </c>
    </row>
    <row r="332" spans="1:22" x14ac:dyDescent="0.35">
      <c r="A332">
        <v>2023</v>
      </c>
      <c r="B332" t="s">
        <v>772</v>
      </c>
      <c r="C332" t="s">
        <v>1591</v>
      </c>
      <c r="D332" t="s">
        <v>1590</v>
      </c>
      <c r="E332" t="s">
        <v>1316</v>
      </c>
      <c r="G332" s="37" t="s">
        <v>11</v>
      </c>
      <c r="H332" s="37" t="s">
        <v>13</v>
      </c>
      <c r="I332" t="s">
        <v>16</v>
      </c>
      <c r="J332" t="s">
        <v>1570</v>
      </c>
      <c r="K332" t="s">
        <v>1571</v>
      </c>
      <c r="L332" s="28" t="s">
        <v>3031</v>
      </c>
      <c r="M332">
        <v>700</v>
      </c>
      <c r="N332" t="s">
        <v>1566</v>
      </c>
      <c r="O332">
        <v>4.59</v>
      </c>
      <c r="P332" t="s">
        <v>1567</v>
      </c>
      <c r="Q332">
        <v>100</v>
      </c>
      <c r="R332" t="s">
        <v>1550</v>
      </c>
      <c r="S332" t="s">
        <v>1588</v>
      </c>
      <c r="T332">
        <v>92</v>
      </c>
      <c r="V332" t="s">
        <v>1592</v>
      </c>
    </row>
    <row r="333" spans="1:22" x14ac:dyDescent="0.35">
      <c r="A333">
        <v>2023</v>
      </c>
      <c r="B333" t="s">
        <v>772</v>
      </c>
      <c r="C333" t="s">
        <v>1591</v>
      </c>
      <c r="D333" t="s">
        <v>401</v>
      </c>
      <c r="E333" t="s">
        <v>1325</v>
      </c>
      <c r="G333" s="37" t="s">
        <v>375</v>
      </c>
      <c r="H333" s="37" t="s">
        <v>720</v>
      </c>
      <c r="I333" t="s">
        <v>125</v>
      </c>
      <c r="J333" t="s">
        <v>1570</v>
      </c>
      <c r="K333" t="s">
        <v>1572</v>
      </c>
      <c r="L333" s="28" t="s">
        <v>3031</v>
      </c>
      <c r="M333">
        <v>385600</v>
      </c>
      <c r="N333" t="s">
        <v>1566</v>
      </c>
      <c r="O333">
        <v>0.47</v>
      </c>
      <c r="P333" t="s">
        <v>1589</v>
      </c>
      <c r="Q333">
        <v>4000</v>
      </c>
      <c r="R333" t="s">
        <v>1713</v>
      </c>
      <c r="S333" t="s">
        <v>1588</v>
      </c>
      <c r="T333">
        <v>93</v>
      </c>
      <c r="V333" t="s">
        <v>1592</v>
      </c>
    </row>
    <row r="334" spans="1:22" x14ac:dyDescent="0.35">
      <c r="A334">
        <v>2023</v>
      </c>
      <c r="B334" t="s">
        <v>772</v>
      </c>
      <c r="C334" t="s">
        <v>1591</v>
      </c>
      <c r="D334" t="s">
        <v>401</v>
      </c>
      <c r="E334" t="s">
        <v>1325</v>
      </c>
      <c r="G334" s="37" t="s">
        <v>375</v>
      </c>
      <c r="H334" s="37" t="s">
        <v>720</v>
      </c>
      <c r="I334" t="s">
        <v>16</v>
      </c>
      <c r="J334" t="s">
        <v>1570</v>
      </c>
      <c r="K334" t="s">
        <v>1572</v>
      </c>
      <c r="L334" s="28" t="s">
        <v>3031</v>
      </c>
      <c r="M334">
        <v>385600</v>
      </c>
      <c r="N334" t="s">
        <v>1566</v>
      </c>
      <c r="O334">
        <v>0.22</v>
      </c>
      <c r="P334" t="s">
        <v>1567</v>
      </c>
      <c r="Q334">
        <v>2700</v>
      </c>
      <c r="R334" t="s">
        <v>1550</v>
      </c>
      <c r="S334" t="s">
        <v>1588</v>
      </c>
      <c r="T334">
        <v>75</v>
      </c>
      <c r="V334" t="s">
        <v>1592</v>
      </c>
    </row>
    <row r="335" spans="1:22" x14ac:dyDescent="0.35">
      <c r="A335">
        <v>2023</v>
      </c>
      <c r="B335" t="s">
        <v>772</v>
      </c>
      <c r="C335" t="s">
        <v>1591</v>
      </c>
      <c r="D335" t="s">
        <v>401</v>
      </c>
      <c r="E335" t="s">
        <v>1325</v>
      </c>
      <c r="G335" s="37" t="s">
        <v>375</v>
      </c>
      <c r="H335" s="37" t="s">
        <v>720</v>
      </c>
      <c r="I335" t="s">
        <v>125</v>
      </c>
      <c r="J335" t="s">
        <v>1570</v>
      </c>
      <c r="K335" t="s">
        <v>1573</v>
      </c>
      <c r="L335" s="28" t="s">
        <v>3031</v>
      </c>
      <c r="M335">
        <v>118900</v>
      </c>
      <c r="N335" t="s">
        <v>1566</v>
      </c>
      <c r="O335">
        <v>0.26</v>
      </c>
      <c r="P335" t="s">
        <v>1589</v>
      </c>
      <c r="Q335">
        <v>700</v>
      </c>
      <c r="R335" t="s">
        <v>1713</v>
      </c>
      <c r="S335" t="s">
        <v>1588</v>
      </c>
      <c r="T335">
        <v>93</v>
      </c>
      <c r="V335" t="s">
        <v>1592</v>
      </c>
    </row>
    <row r="336" spans="1:22" x14ac:dyDescent="0.35">
      <c r="A336">
        <v>2023</v>
      </c>
      <c r="B336" t="s">
        <v>772</v>
      </c>
      <c r="C336" t="s">
        <v>1591</v>
      </c>
      <c r="D336" t="s">
        <v>401</v>
      </c>
      <c r="E336" t="s">
        <v>1325</v>
      </c>
      <c r="G336" s="37" t="s">
        <v>375</v>
      </c>
      <c r="H336" s="37" t="s">
        <v>720</v>
      </c>
      <c r="I336" t="s">
        <v>16</v>
      </c>
      <c r="J336" t="s">
        <v>1570</v>
      </c>
      <c r="K336" t="s">
        <v>1573</v>
      </c>
      <c r="L336" s="28" t="s">
        <v>3031</v>
      </c>
      <c r="M336">
        <v>118900</v>
      </c>
      <c r="N336" t="s">
        <v>1566</v>
      </c>
      <c r="O336">
        <v>0.19</v>
      </c>
      <c r="P336" t="s">
        <v>1567</v>
      </c>
      <c r="Q336">
        <v>700</v>
      </c>
      <c r="R336" t="s">
        <v>1550</v>
      </c>
      <c r="S336" t="s">
        <v>1588</v>
      </c>
      <c r="T336">
        <v>75</v>
      </c>
      <c r="V336" t="s">
        <v>1592</v>
      </c>
    </row>
    <row r="337" spans="1:22" x14ac:dyDescent="0.35">
      <c r="A337">
        <v>2023</v>
      </c>
      <c r="B337" t="s">
        <v>772</v>
      </c>
      <c r="C337" t="s">
        <v>1591</v>
      </c>
      <c r="D337" t="s">
        <v>401</v>
      </c>
      <c r="E337" t="s">
        <v>1325</v>
      </c>
      <c r="G337" s="37" t="s">
        <v>375</v>
      </c>
      <c r="H337" s="37" t="s">
        <v>720</v>
      </c>
      <c r="I337" t="s">
        <v>125</v>
      </c>
      <c r="J337" t="s">
        <v>1570</v>
      </c>
      <c r="K337" t="s">
        <v>1571</v>
      </c>
      <c r="L337" s="28" t="s">
        <v>3031</v>
      </c>
      <c r="M337">
        <v>212800</v>
      </c>
      <c r="N337" t="s">
        <v>1566</v>
      </c>
      <c r="O337">
        <v>0.44</v>
      </c>
      <c r="P337" t="s">
        <v>1589</v>
      </c>
      <c r="Q337">
        <v>2100</v>
      </c>
      <c r="R337" t="s">
        <v>1713</v>
      </c>
      <c r="S337" t="s">
        <v>1588</v>
      </c>
      <c r="T337">
        <v>93</v>
      </c>
      <c r="V337" t="s">
        <v>1592</v>
      </c>
    </row>
    <row r="338" spans="1:22" x14ac:dyDescent="0.35">
      <c r="A338">
        <v>2023</v>
      </c>
      <c r="B338" t="s">
        <v>772</v>
      </c>
      <c r="C338" t="s">
        <v>1591</v>
      </c>
      <c r="D338" t="s">
        <v>401</v>
      </c>
      <c r="E338" t="s">
        <v>1325</v>
      </c>
      <c r="G338" s="37" t="s">
        <v>375</v>
      </c>
      <c r="H338" s="37" t="s">
        <v>720</v>
      </c>
      <c r="I338" t="s">
        <v>16</v>
      </c>
      <c r="J338" t="s">
        <v>1570</v>
      </c>
      <c r="K338" t="s">
        <v>1571</v>
      </c>
      <c r="L338" s="28" t="s">
        <v>3031</v>
      </c>
      <c r="M338">
        <v>212800</v>
      </c>
      <c r="N338" t="s">
        <v>1566</v>
      </c>
      <c r="O338">
        <v>0.28999999999999998</v>
      </c>
      <c r="P338" t="s">
        <v>1567</v>
      </c>
      <c r="Q338">
        <v>2000</v>
      </c>
      <c r="R338" t="s">
        <v>1550</v>
      </c>
      <c r="S338" t="s">
        <v>1588</v>
      </c>
      <c r="T338">
        <v>75</v>
      </c>
      <c r="V338" t="s">
        <v>1592</v>
      </c>
    </row>
    <row r="339" spans="1:22" x14ac:dyDescent="0.35">
      <c r="A339">
        <v>2023</v>
      </c>
      <c r="B339" t="s">
        <v>772</v>
      </c>
      <c r="C339" t="s">
        <v>1591</v>
      </c>
      <c r="D339" t="s">
        <v>78</v>
      </c>
      <c r="E339" t="s">
        <v>1321</v>
      </c>
      <c r="G339" s="37" t="s">
        <v>11</v>
      </c>
      <c r="H339" s="37" t="s">
        <v>21</v>
      </c>
      <c r="I339" t="s">
        <v>16</v>
      </c>
      <c r="J339" t="s">
        <v>1564</v>
      </c>
      <c r="K339" t="s">
        <v>1574</v>
      </c>
      <c r="L339" s="28" t="s">
        <v>3031</v>
      </c>
      <c r="M339">
        <v>3800</v>
      </c>
      <c r="N339" t="s">
        <v>1566</v>
      </c>
      <c r="O339">
        <v>6.3</v>
      </c>
      <c r="P339" t="s">
        <v>1567</v>
      </c>
      <c r="Q339">
        <v>800</v>
      </c>
      <c r="R339" t="s">
        <v>1550</v>
      </c>
      <c r="S339" t="s">
        <v>1588</v>
      </c>
      <c r="T339">
        <v>96</v>
      </c>
      <c r="V339" t="s">
        <v>1592</v>
      </c>
    </row>
    <row r="340" spans="1:22" x14ac:dyDescent="0.35">
      <c r="A340">
        <v>2023</v>
      </c>
      <c r="B340" t="s">
        <v>772</v>
      </c>
      <c r="C340" t="s">
        <v>1591</v>
      </c>
      <c r="D340" t="s">
        <v>78</v>
      </c>
      <c r="E340" t="s">
        <v>1321</v>
      </c>
      <c r="G340" s="37" t="s">
        <v>11</v>
      </c>
      <c r="H340" s="37" t="s">
        <v>21</v>
      </c>
      <c r="I340" t="s">
        <v>16</v>
      </c>
      <c r="J340" t="s">
        <v>1564</v>
      </c>
      <c r="K340" t="s">
        <v>1565</v>
      </c>
      <c r="L340" s="28" t="s">
        <v>3031</v>
      </c>
      <c r="M340">
        <v>3200</v>
      </c>
      <c r="N340" t="s">
        <v>1566</v>
      </c>
      <c r="O340">
        <v>6.78</v>
      </c>
      <c r="P340" t="s">
        <v>1567</v>
      </c>
      <c r="Q340">
        <v>700</v>
      </c>
      <c r="R340" t="s">
        <v>1550</v>
      </c>
      <c r="S340" t="s">
        <v>1588</v>
      </c>
      <c r="T340">
        <v>96</v>
      </c>
      <c r="V340" t="s">
        <v>1592</v>
      </c>
    </row>
    <row r="341" spans="1:22" x14ac:dyDescent="0.35">
      <c r="A341">
        <v>2023</v>
      </c>
      <c r="B341" t="s">
        <v>772</v>
      </c>
      <c r="C341" t="s">
        <v>1591</v>
      </c>
      <c r="D341" t="s">
        <v>78</v>
      </c>
      <c r="E341" t="s">
        <v>1321</v>
      </c>
      <c r="G341" s="37" t="s">
        <v>11</v>
      </c>
      <c r="H341" s="37" t="s">
        <v>21</v>
      </c>
      <c r="I341" t="s">
        <v>16</v>
      </c>
      <c r="J341" t="s">
        <v>1570</v>
      </c>
      <c r="K341" t="s">
        <v>1572</v>
      </c>
      <c r="L341" s="28" t="s">
        <v>3031</v>
      </c>
      <c r="M341">
        <v>1300</v>
      </c>
      <c r="N341" t="s">
        <v>1566</v>
      </c>
      <c r="O341">
        <v>4.17</v>
      </c>
      <c r="P341" t="s">
        <v>1567</v>
      </c>
      <c r="Q341">
        <v>200</v>
      </c>
      <c r="R341" t="s">
        <v>1550</v>
      </c>
      <c r="S341" t="s">
        <v>1588</v>
      </c>
      <c r="T341">
        <v>96</v>
      </c>
      <c r="V341" t="s">
        <v>1592</v>
      </c>
    </row>
    <row r="342" spans="1:22" x14ac:dyDescent="0.35">
      <c r="A342">
        <v>2023</v>
      </c>
      <c r="B342" t="s">
        <v>772</v>
      </c>
      <c r="C342" t="s">
        <v>1591</v>
      </c>
      <c r="D342" t="s">
        <v>78</v>
      </c>
      <c r="E342" t="s">
        <v>1321</v>
      </c>
      <c r="G342" s="37" t="s">
        <v>11</v>
      </c>
      <c r="H342" s="37" t="s">
        <v>21</v>
      </c>
      <c r="I342" t="s">
        <v>16</v>
      </c>
      <c r="J342" t="s">
        <v>1570</v>
      </c>
      <c r="K342" t="s">
        <v>1573</v>
      </c>
      <c r="L342" s="28" t="s">
        <v>3031</v>
      </c>
      <c r="M342">
        <v>1200</v>
      </c>
      <c r="N342" t="s">
        <v>1566</v>
      </c>
      <c r="O342">
        <v>4.96</v>
      </c>
      <c r="P342" t="s">
        <v>1567</v>
      </c>
      <c r="Q342">
        <v>200</v>
      </c>
      <c r="R342" t="s">
        <v>1550</v>
      </c>
      <c r="S342" t="s">
        <v>1588</v>
      </c>
      <c r="T342">
        <v>96</v>
      </c>
      <c r="V342" t="s">
        <v>1592</v>
      </c>
    </row>
    <row r="343" spans="1:22" x14ac:dyDescent="0.35">
      <c r="A343">
        <v>2023</v>
      </c>
      <c r="B343" t="s">
        <v>772</v>
      </c>
      <c r="C343" t="s">
        <v>1591</v>
      </c>
      <c r="D343" t="s">
        <v>78</v>
      </c>
      <c r="E343" t="s">
        <v>1321</v>
      </c>
      <c r="G343" s="37" t="s">
        <v>11</v>
      </c>
      <c r="H343" s="37" t="s">
        <v>21</v>
      </c>
      <c r="I343" t="s">
        <v>16</v>
      </c>
      <c r="J343" t="s">
        <v>1570</v>
      </c>
      <c r="K343" t="s">
        <v>1571</v>
      </c>
      <c r="L343" s="28" t="s">
        <v>3031</v>
      </c>
      <c r="M343">
        <v>900</v>
      </c>
      <c r="N343" t="s">
        <v>1566</v>
      </c>
      <c r="O343">
        <v>4.3600000000000003</v>
      </c>
      <c r="P343" t="s">
        <v>1567</v>
      </c>
      <c r="Q343">
        <v>100</v>
      </c>
      <c r="R343" t="s">
        <v>1550</v>
      </c>
      <c r="S343" t="s">
        <v>1588</v>
      </c>
      <c r="T343">
        <v>96</v>
      </c>
      <c r="V343" t="s">
        <v>1592</v>
      </c>
    </row>
    <row r="344" spans="1:22" x14ac:dyDescent="0.35">
      <c r="A344">
        <v>2023</v>
      </c>
      <c r="B344" t="s">
        <v>1537</v>
      </c>
      <c r="C344" t="s">
        <v>1591</v>
      </c>
      <c r="D344" t="s">
        <v>1587</v>
      </c>
      <c r="F344" t="s">
        <v>1754</v>
      </c>
      <c r="G344" s="37" t="s">
        <v>11</v>
      </c>
      <c r="H344" s="37" t="s">
        <v>720</v>
      </c>
      <c r="I344" t="s">
        <v>16</v>
      </c>
      <c r="J344" t="s">
        <v>1564</v>
      </c>
      <c r="K344" t="s">
        <v>1574</v>
      </c>
      <c r="L344" s="28" t="s">
        <v>3031</v>
      </c>
      <c r="M344">
        <v>28200</v>
      </c>
      <c r="N344" t="s">
        <v>1566</v>
      </c>
      <c r="O344">
        <v>4.9399999999999897</v>
      </c>
      <c r="P344" t="s">
        <v>1567</v>
      </c>
      <c r="Q344">
        <v>1700</v>
      </c>
      <c r="R344" t="s">
        <v>1550</v>
      </c>
      <c r="S344" t="s">
        <v>1588</v>
      </c>
      <c r="T344">
        <v>93.5</v>
      </c>
      <c r="V344" t="s">
        <v>1592</v>
      </c>
    </row>
    <row r="345" spans="1:22" x14ac:dyDescent="0.35">
      <c r="A345">
        <v>2023</v>
      </c>
      <c r="B345" t="s">
        <v>1537</v>
      </c>
      <c r="C345" t="s">
        <v>1591</v>
      </c>
      <c r="D345" t="s">
        <v>1587</v>
      </c>
      <c r="F345" t="s">
        <v>1754</v>
      </c>
      <c r="G345" s="37" t="s">
        <v>11</v>
      </c>
      <c r="H345" s="37" t="s">
        <v>720</v>
      </c>
      <c r="I345" t="s">
        <v>16</v>
      </c>
      <c r="J345" t="s">
        <v>1564</v>
      </c>
      <c r="K345" t="s">
        <v>1565</v>
      </c>
      <c r="L345" s="28" t="s">
        <v>3031</v>
      </c>
      <c r="M345">
        <v>4600</v>
      </c>
      <c r="N345" t="s">
        <v>1566</v>
      </c>
      <c r="O345">
        <v>4.2450000000000001</v>
      </c>
      <c r="P345" t="s">
        <v>1567</v>
      </c>
      <c r="Q345">
        <v>400</v>
      </c>
      <c r="R345" t="s">
        <v>1550</v>
      </c>
      <c r="S345" t="s">
        <v>1588</v>
      </c>
      <c r="T345">
        <v>93.5</v>
      </c>
      <c r="V345" t="s">
        <v>1592</v>
      </c>
    </row>
    <row r="346" spans="1:22" x14ac:dyDescent="0.35">
      <c r="A346">
        <v>2023</v>
      </c>
      <c r="B346" t="s">
        <v>1537</v>
      </c>
      <c r="C346" t="s">
        <v>1591</v>
      </c>
      <c r="D346" t="s">
        <v>1587</v>
      </c>
      <c r="F346" t="s">
        <v>1754</v>
      </c>
      <c r="G346" s="37" t="s">
        <v>11</v>
      </c>
      <c r="H346" s="37" t="s">
        <v>720</v>
      </c>
      <c r="I346" t="s">
        <v>16</v>
      </c>
      <c r="J346" t="s">
        <v>1570</v>
      </c>
      <c r="K346" t="s">
        <v>1572</v>
      </c>
      <c r="L346" s="28" t="s">
        <v>3031</v>
      </c>
      <c r="M346">
        <v>67400</v>
      </c>
      <c r="N346" t="s">
        <v>1566</v>
      </c>
      <c r="O346">
        <v>4.2699999999999996</v>
      </c>
      <c r="P346" t="s">
        <v>1567</v>
      </c>
      <c r="Q346">
        <v>3700</v>
      </c>
      <c r="R346" t="s">
        <v>1550</v>
      </c>
      <c r="S346" t="s">
        <v>1588</v>
      </c>
      <c r="T346">
        <v>93</v>
      </c>
      <c r="V346" t="s">
        <v>1592</v>
      </c>
    </row>
    <row r="347" spans="1:22" x14ac:dyDescent="0.35">
      <c r="A347">
        <v>2023</v>
      </c>
      <c r="B347" t="s">
        <v>1537</v>
      </c>
      <c r="C347" t="s">
        <v>1591</v>
      </c>
      <c r="D347" t="s">
        <v>1587</v>
      </c>
      <c r="F347" t="s">
        <v>1754</v>
      </c>
      <c r="G347" s="37" t="s">
        <v>11</v>
      </c>
      <c r="H347" s="37" t="s">
        <v>720</v>
      </c>
      <c r="I347" t="s">
        <v>16</v>
      </c>
      <c r="J347" t="s">
        <v>1570</v>
      </c>
      <c r="K347" t="s">
        <v>1573</v>
      </c>
      <c r="L347" s="28" t="s">
        <v>3031</v>
      </c>
      <c r="M347">
        <v>62200</v>
      </c>
      <c r="N347" t="s">
        <v>1566</v>
      </c>
      <c r="O347">
        <v>4.75</v>
      </c>
      <c r="P347" t="s">
        <v>1567</v>
      </c>
      <c r="Q347">
        <v>3400</v>
      </c>
      <c r="R347" t="s">
        <v>1550</v>
      </c>
      <c r="S347" t="s">
        <v>1588</v>
      </c>
      <c r="T347">
        <v>93</v>
      </c>
      <c r="V347" t="s">
        <v>1592</v>
      </c>
    </row>
    <row r="348" spans="1:22" x14ac:dyDescent="0.35">
      <c r="A348">
        <v>2023</v>
      </c>
      <c r="B348" t="s">
        <v>1537</v>
      </c>
      <c r="C348" t="s">
        <v>1591</v>
      </c>
      <c r="D348" t="s">
        <v>1587</v>
      </c>
      <c r="F348" t="s">
        <v>1754</v>
      </c>
      <c r="G348" s="37" t="s">
        <v>11</v>
      </c>
      <c r="H348" s="37" t="s">
        <v>720</v>
      </c>
      <c r="I348" t="s">
        <v>16</v>
      </c>
      <c r="J348" t="s">
        <v>1570</v>
      </c>
      <c r="K348" t="s">
        <v>1571</v>
      </c>
      <c r="L348" s="28" t="s">
        <v>3031</v>
      </c>
      <c r="M348">
        <v>300</v>
      </c>
      <c r="N348" t="s">
        <v>1566</v>
      </c>
      <c r="O348">
        <v>2.57499999999999</v>
      </c>
      <c r="P348" t="s">
        <v>1567</v>
      </c>
      <c r="Q348">
        <v>0</v>
      </c>
      <c r="R348" t="s">
        <v>1550</v>
      </c>
      <c r="S348" t="s">
        <v>1588</v>
      </c>
      <c r="T348">
        <v>93</v>
      </c>
      <c r="V348" t="s">
        <v>1592</v>
      </c>
    </row>
    <row r="349" spans="1:22" x14ac:dyDescent="0.35">
      <c r="A349">
        <v>2023</v>
      </c>
      <c r="B349" t="s">
        <v>772</v>
      </c>
      <c r="C349" t="s">
        <v>1591</v>
      </c>
      <c r="D349" t="s">
        <v>86</v>
      </c>
      <c r="E349" t="s">
        <v>1322</v>
      </c>
      <c r="G349" s="37" t="s">
        <v>11</v>
      </c>
      <c r="H349" s="37" t="s">
        <v>19</v>
      </c>
      <c r="I349" t="s">
        <v>125</v>
      </c>
      <c r="J349" t="s">
        <v>1564</v>
      </c>
      <c r="K349" t="s">
        <v>1574</v>
      </c>
      <c r="L349" s="28" t="s">
        <v>3031</v>
      </c>
      <c r="M349">
        <v>201900</v>
      </c>
      <c r="N349" t="s">
        <v>1566</v>
      </c>
      <c r="O349">
        <v>0.51</v>
      </c>
      <c r="P349" t="s">
        <v>1589</v>
      </c>
      <c r="Q349">
        <v>2300</v>
      </c>
      <c r="R349" t="s">
        <v>1713</v>
      </c>
      <c r="S349" t="s">
        <v>1588</v>
      </c>
      <c r="T349">
        <v>84</v>
      </c>
      <c r="V349" t="s">
        <v>1592</v>
      </c>
    </row>
    <row r="350" spans="1:22" x14ac:dyDescent="0.35">
      <c r="A350">
        <v>2023</v>
      </c>
      <c r="B350" t="s">
        <v>772</v>
      </c>
      <c r="C350" t="s">
        <v>1591</v>
      </c>
      <c r="D350" t="s">
        <v>86</v>
      </c>
      <c r="E350" t="s">
        <v>1322</v>
      </c>
      <c r="G350" s="37" t="s">
        <v>11</v>
      </c>
      <c r="H350" s="37" t="s">
        <v>19</v>
      </c>
      <c r="I350" t="s">
        <v>16</v>
      </c>
      <c r="J350" t="s">
        <v>1564</v>
      </c>
      <c r="K350" t="s">
        <v>1574</v>
      </c>
      <c r="L350" s="28" t="s">
        <v>3031</v>
      </c>
      <c r="M350">
        <v>201900</v>
      </c>
      <c r="N350" t="s">
        <v>1566</v>
      </c>
      <c r="O350">
        <v>0.6</v>
      </c>
      <c r="P350" t="s">
        <v>1567</v>
      </c>
      <c r="Q350">
        <v>3900</v>
      </c>
      <c r="R350" t="s">
        <v>1550</v>
      </c>
      <c r="S350" t="s">
        <v>1588</v>
      </c>
      <c r="T350">
        <v>68</v>
      </c>
      <c r="V350" t="s">
        <v>1592</v>
      </c>
    </row>
    <row r="351" spans="1:22" x14ac:dyDescent="0.35">
      <c r="A351">
        <v>2023</v>
      </c>
      <c r="B351" t="s">
        <v>772</v>
      </c>
      <c r="C351" t="s">
        <v>1591</v>
      </c>
      <c r="D351" t="s">
        <v>86</v>
      </c>
      <c r="E351" t="s">
        <v>1322</v>
      </c>
      <c r="G351" s="37" t="s">
        <v>11</v>
      </c>
      <c r="H351" s="37" t="s">
        <v>19</v>
      </c>
      <c r="I351" t="s">
        <v>125</v>
      </c>
      <c r="J351" t="s">
        <v>1570</v>
      </c>
      <c r="K351" t="s">
        <v>1572</v>
      </c>
      <c r="L351" s="28" t="s">
        <v>3031</v>
      </c>
      <c r="M351">
        <v>334700</v>
      </c>
      <c r="N351" t="s">
        <v>1566</v>
      </c>
      <c r="O351">
        <v>0.34</v>
      </c>
      <c r="P351" t="s">
        <v>1589</v>
      </c>
      <c r="Q351">
        <v>2500</v>
      </c>
      <c r="R351" t="s">
        <v>1713</v>
      </c>
      <c r="S351" t="s">
        <v>1588</v>
      </c>
      <c r="T351">
        <v>81</v>
      </c>
      <c r="V351" t="s">
        <v>1592</v>
      </c>
    </row>
    <row r="352" spans="1:22" x14ac:dyDescent="0.35">
      <c r="A352">
        <v>2023</v>
      </c>
      <c r="B352" t="s">
        <v>772</v>
      </c>
      <c r="C352" t="s">
        <v>1591</v>
      </c>
      <c r="D352" t="s">
        <v>86</v>
      </c>
      <c r="E352" t="s">
        <v>1322</v>
      </c>
      <c r="G352" s="37" t="s">
        <v>11</v>
      </c>
      <c r="H352" s="37" t="s">
        <v>19</v>
      </c>
      <c r="I352" t="s">
        <v>16</v>
      </c>
      <c r="J352" t="s">
        <v>1570</v>
      </c>
      <c r="K352" t="s">
        <v>1572</v>
      </c>
      <c r="L352" s="28" t="s">
        <v>3031</v>
      </c>
      <c r="M352">
        <v>334700</v>
      </c>
      <c r="N352" t="s">
        <v>1566</v>
      </c>
      <c r="O352">
        <v>0.34</v>
      </c>
      <c r="P352" t="s">
        <v>1567</v>
      </c>
      <c r="Q352">
        <v>3600</v>
      </c>
      <c r="R352" t="s">
        <v>1550</v>
      </c>
      <c r="S352" t="s">
        <v>1588</v>
      </c>
      <c r="T352">
        <v>55</v>
      </c>
      <c r="V352" t="s">
        <v>1592</v>
      </c>
    </row>
    <row r="353" spans="1:22" x14ac:dyDescent="0.35">
      <c r="A353">
        <v>2023</v>
      </c>
      <c r="B353" t="s">
        <v>772</v>
      </c>
      <c r="C353" t="s">
        <v>1591</v>
      </c>
      <c r="D353" t="s">
        <v>86</v>
      </c>
      <c r="E353" t="s">
        <v>1322</v>
      </c>
      <c r="G353" s="37" t="s">
        <v>11</v>
      </c>
      <c r="H353" s="37" t="s">
        <v>19</v>
      </c>
      <c r="I353" t="s">
        <v>125</v>
      </c>
      <c r="J353" t="s">
        <v>1570</v>
      </c>
      <c r="K353" t="s">
        <v>1573</v>
      </c>
      <c r="L353" s="28" t="s">
        <v>3031</v>
      </c>
      <c r="M353">
        <v>62100</v>
      </c>
      <c r="N353" t="s">
        <v>1566</v>
      </c>
      <c r="O353">
        <v>0.36</v>
      </c>
      <c r="P353" t="s">
        <v>1589</v>
      </c>
      <c r="Q353">
        <v>500</v>
      </c>
      <c r="R353" t="s">
        <v>1713</v>
      </c>
      <c r="S353" t="s">
        <v>1588</v>
      </c>
      <c r="T353">
        <v>81</v>
      </c>
      <c r="V353" t="s">
        <v>1592</v>
      </c>
    </row>
    <row r="354" spans="1:22" x14ac:dyDescent="0.35">
      <c r="A354">
        <v>2023</v>
      </c>
      <c r="B354" t="s">
        <v>772</v>
      </c>
      <c r="C354" t="s">
        <v>1591</v>
      </c>
      <c r="D354" t="s">
        <v>86</v>
      </c>
      <c r="E354" t="s">
        <v>1322</v>
      </c>
      <c r="G354" s="37" t="s">
        <v>11</v>
      </c>
      <c r="H354" s="37" t="s">
        <v>19</v>
      </c>
      <c r="I354" t="s">
        <v>16</v>
      </c>
      <c r="J354" t="s">
        <v>1570</v>
      </c>
      <c r="K354" t="s">
        <v>1573</v>
      </c>
      <c r="L354" s="28" t="s">
        <v>3031</v>
      </c>
      <c r="M354">
        <v>62100</v>
      </c>
      <c r="N354" t="s">
        <v>1566</v>
      </c>
      <c r="O354">
        <v>0.35</v>
      </c>
      <c r="P354" t="s">
        <v>1567</v>
      </c>
      <c r="Q354">
        <v>700</v>
      </c>
      <c r="R354" t="s">
        <v>1550</v>
      </c>
      <c r="S354" t="s">
        <v>1588</v>
      </c>
      <c r="T354">
        <v>55</v>
      </c>
      <c r="V354" t="s">
        <v>1592</v>
      </c>
    </row>
    <row r="355" spans="1:22" x14ac:dyDescent="0.35">
      <c r="A355">
        <v>2024</v>
      </c>
      <c r="B355" t="s">
        <v>1537</v>
      </c>
      <c r="C355" t="s">
        <v>756</v>
      </c>
      <c r="D355" t="s">
        <v>1536</v>
      </c>
      <c r="F355" t="s">
        <v>1755</v>
      </c>
      <c r="G355" s="37" t="s">
        <v>11</v>
      </c>
      <c r="H355" s="37" t="s">
        <v>13</v>
      </c>
      <c r="I355" t="s">
        <v>16</v>
      </c>
      <c r="J355" t="s">
        <v>1564</v>
      </c>
      <c r="K355" t="s">
        <v>1565</v>
      </c>
      <c r="L355" s="28" t="s">
        <v>3031</v>
      </c>
      <c r="M355">
        <v>5.4</v>
      </c>
      <c r="N355" t="s">
        <v>1641</v>
      </c>
      <c r="O355">
        <v>2.79</v>
      </c>
      <c r="P355" t="s">
        <v>1567</v>
      </c>
      <c r="Q355">
        <v>481.4</v>
      </c>
      <c r="R355" t="s">
        <v>1550</v>
      </c>
      <c r="V355" t="s">
        <v>1648</v>
      </c>
    </row>
    <row r="356" spans="1:22" x14ac:dyDescent="0.35">
      <c r="A356">
        <v>2024</v>
      </c>
      <c r="B356" t="s">
        <v>1537</v>
      </c>
      <c r="C356" t="s">
        <v>756</v>
      </c>
      <c r="D356" t="s">
        <v>1536</v>
      </c>
      <c r="F356" t="s">
        <v>1755</v>
      </c>
      <c r="G356" s="37" t="s">
        <v>11</v>
      </c>
      <c r="H356" s="37" t="s">
        <v>13</v>
      </c>
      <c r="I356" t="s">
        <v>16</v>
      </c>
      <c r="J356" t="s">
        <v>1564</v>
      </c>
      <c r="K356" t="s">
        <v>1574</v>
      </c>
      <c r="L356" s="28" t="s">
        <v>3031</v>
      </c>
      <c r="M356">
        <v>4.4000000000000004</v>
      </c>
      <c r="N356" t="s">
        <v>1641</v>
      </c>
      <c r="O356">
        <v>2.74</v>
      </c>
      <c r="P356" t="s">
        <v>1567</v>
      </c>
      <c r="Q356">
        <v>386.2</v>
      </c>
      <c r="R356" t="s">
        <v>1550</v>
      </c>
      <c r="V356" t="s">
        <v>1648</v>
      </c>
    </row>
    <row r="357" spans="1:22" x14ac:dyDescent="0.35">
      <c r="A357">
        <v>2024</v>
      </c>
      <c r="B357" t="s">
        <v>1537</v>
      </c>
      <c r="C357" t="s">
        <v>756</v>
      </c>
      <c r="D357" t="s">
        <v>1536</v>
      </c>
      <c r="F357" t="s">
        <v>1755</v>
      </c>
      <c r="G357" s="37" t="s">
        <v>11</v>
      </c>
      <c r="H357" s="37" t="s">
        <v>13</v>
      </c>
      <c r="I357" t="s">
        <v>16</v>
      </c>
      <c r="J357" t="s">
        <v>1570</v>
      </c>
      <c r="K357" t="s">
        <v>1571</v>
      </c>
      <c r="L357" s="28" t="s">
        <v>3031</v>
      </c>
      <c r="M357">
        <v>1.1000000000000001</v>
      </c>
      <c r="N357" t="s">
        <v>1641</v>
      </c>
      <c r="O357">
        <v>2.48</v>
      </c>
      <c r="P357" t="s">
        <v>1567</v>
      </c>
      <c r="Q357">
        <v>85.5</v>
      </c>
      <c r="R357" t="s">
        <v>1550</v>
      </c>
      <c r="V357" t="s">
        <v>1648</v>
      </c>
    </row>
    <row r="358" spans="1:22" x14ac:dyDescent="0.35">
      <c r="A358">
        <v>2024</v>
      </c>
      <c r="B358" t="s">
        <v>1537</v>
      </c>
      <c r="C358" t="s">
        <v>756</v>
      </c>
      <c r="D358" t="s">
        <v>1536</v>
      </c>
      <c r="F358" t="s">
        <v>1755</v>
      </c>
      <c r="G358" s="37" t="s">
        <v>11</v>
      </c>
      <c r="H358" s="37" t="s">
        <v>13</v>
      </c>
      <c r="I358" t="s">
        <v>16</v>
      </c>
      <c r="J358" t="s">
        <v>1570</v>
      </c>
      <c r="K358" t="s">
        <v>1572</v>
      </c>
      <c r="L358" s="28" t="s">
        <v>3031</v>
      </c>
      <c r="M358">
        <v>1.3</v>
      </c>
      <c r="N358" t="s">
        <v>1641</v>
      </c>
      <c r="O358">
        <v>2.76</v>
      </c>
      <c r="P358" t="s">
        <v>1567</v>
      </c>
      <c r="Q358">
        <v>114.2</v>
      </c>
      <c r="R358" t="s">
        <v>1550</v>
      </c>
      <c r="V358" t="s">
        <v>1648</v>
      </c>
    </row>
    <row r="359" spans="1:22" x14ac:dyDescent="0.35">
      <c r="A359">
        <v>2023</v>
      </c>
      <c r="B359" t="s">
        <v>772</v>
      </c>
      <c r="C359" t="s">
        <v>718</v>
      </c>
      <c r="D359" t="s">
        <v>152</v>
      </c>
      <c r="E359" t="s">
        <v>1354</v>
      </c>
      <c r="G359" s="37" t="s">
        <v>11</v>
      </c>
      <c r="H359" s="37" t="s">
        <v>148</v>
      </c>
      <c r="I359" t="s">
        <v>147</v>
      </c>
      <c r="J359" t="s">
        <v>1564</v>
      </c>
      <c r="K359" t="s">
        <v>1565</v>
      </c>
      <c r="L359" s="28" t="s">
        <v>3031</v>
      </c>
      <c r="M359">
        <v>1.9</v>
      </c>
      <c r="N359" t="s">
        <v>1641</v>
      </c>
      <c r="O359">
        <v>2.1</v>
      </c>
      <c r="P359" t="s">
        <v>2492</v>
      </c>
      <c r="V359" t="s">
        <v>2290</v>
      </c>
    </row>
    <row r="360" spans="1:22" x14ac:dyDescent="0.35">
      <c r="A360">
        <v>2023</v>
      </c>
      <c r="B360" t="s">
        <v>772</v>
      </c>
      <c r="C360" t="s">
        <v>718</v>
      </c>
      <c r="D360" t="s">
        <v>152</v>
      </c>
      <c r="E360" t="s">
        <v>1354</v>
      </c>
      <c r="G360" s="37" t="s">
        <v>11</v>
      </c>
      <c r="H360" s="37" t="s">
        <v>148</v>
      </c>
      <c r="I360" t="s">
        <v>147</v>
      </c>
      <c r="J360" t="s">
        <v>1564</v>
      </c>
      <c r="K360" t="s">
        <v>1574</v>
      </c>
      <c r="L360" s="28" t="s">
        <v>3031</v>
      </c>
      <c r="M360">
        <v>1.3</v>
      </c>
      <c r="N360" t="s">
        <v>1641</v>
      </c>
      <c r="O360">
        <v>2.2999999999999998</v>
      </c>
      <c r="P360" t="s">
        <v>2492</v>
      </c>
      <c r="V360" t="s">
        <v>2290</v>
      </c>
    </row>
    <row r="361" spans="1:22" x14ac:dyDescent="0.35">
      <c r="A361">
        <v>2023</v>
      </c>
      <c r="B361" t="s">
        <v>772</v>
      </c>
      <c r="C361" t="s">
        <v>718</v>
      </c>
      <c r="D361" t="s">
        <v>152</v>
      </c>
      <c r="E361" t="s">
        <v>1354</v>
      </c>
      <c r="G361" s="37" t="s">
        <v>11</v>
      </c>
      <c r="H361" s="37" t="s">
        <v>148</v>
      </c>
      <c r="I361" t="s">
        <v>147</v>
      </c>
      <c r="J361" t="s">
        <v>1570</v>
      </c>
      <c r="K361" t="s">
        <v>1571</v>
      </c>
      <c r="L361" s="28" t="s">
        <v>3031</v>
      </c>
      <c r="M361">
        <v>1.5</v>
      </c>
      <c r="N361" t="s">
        <v>1641</v>
      </c>
      <c r="O361">
        <v>2.4</v>
      </c>
      <c r="P361" t="s">
        <v>2492</v>
      </c>
      <c r="V361" t="s">
        <v>2290</v>
      </c>
    </row>
    <row r="362" spans="1:22" x14ac:dyDescent="0.35">
      <c r="A362">
        <v>2023</v>
      </c>
      <c r="B362" t="s">
        <v>772</v>
      </c>
      <c r="C362" t="s">
        <v>718</v>
      </c>
      <c r="D362" t="s">
        <v>152</v>
      </c>
      <c r="E362" t="s">
        <v>1354</v>
      </c>
      <c r="G362" s="37" t="s">
        <v>11</v>
      </c>
      <c r="H362" s="37" t="s">
        <v>148</v>
      </c>
      <c r="I362" t="s">
        <v>147</v>
      </c>
      <c r="J362" t="s">
        <v>1570</v>
      </c>
      <c r="K362" t="s">
        <v>1572</v>
      </c>
      <c r="L362" s="28" t="s">
        <v>3031</v>
      </c>
      <c r="M362">
        <v>2.4</v>
      </c>
      <c r="N362" t="s">
        <v>1641</v>
      </c>
      <c r="O362">
        <v>2.7</v>
      </c>
      <c r="P362" t="s">
        <v>2492</v>
      </c>
      <c r="V362" t="s">
        <v>2290</v>
      </c>
    </row>
    <row r="363" spans="1:22" x14ac:dyDescent="0.35">
      <c r="A363">
        <v>2023</v>
      </c>
      <c r="B363" t="s">
        <v>772</v>
      </c>
      <c r="C363" t="s">
        <v>718</v>
      </c>
      <c r="D363" t="s">
        <v>152</v>
      </c>
      <c r="E363" t="s">
        <v>1354</v>
      </c>
      <c r="G363" s="37" t="s">
        <v>11</v>
      </c>
      <c r="H363" s="37" t="s">
        <v>148</v>
      </c>
      <c r="I363" t="s">
        <v>147</v>
      </c>
      <c r="J363" t="s">
        <v>1570</v>
      </c>
      <c r="K363" t="s">
        <v>1573</v>
      </c>
      <c r="L363" s="28" t="s">
        <v>3031</v>
      </c>
      <c r="M363">
        <v>0.3</v>
      </c>
      <c r="N363" t="s">
        <v>1641</v>
      </c>
      <c r="O363">
        <v>2.1</v>
      </c>
      <c r="P363" t="s">
        <v>2492</v>
      </c>
      <c r="V363" t="s">
        <v>2290</v>
      </c>
    </row>
    <row r="364" spans="1:22" x14ac:dyDescent="0.35">
      <c r="A364">
        <v>2023</v>
      </c>
      <c r="B364" t="s">
        <v>772</v>
      </c>
      <c r="C364" t="s">
        <v>896</v>
      </c>
      <c r="D364" t="s">
        <v>173</v>
      </c>
      <c r="E364" t="s">
        <v>1366</v>
      </c>
      <c r="G364" s="37" t="s">
        <v>11</v>
      </c>
      <c r="H364" s="37" t="s">
        <v>17</v>
      </c>
      <c r="I364" t="s">
        <v>174</v>
      </c>
      <c r="J364" t="s">
        <v>1570</v>
      </c>
      <c r="K364" t="s">
        <v>2022</v>
      </c>
      <c r="L364" s="28" t="s">
        <v>3031</v>
      </c>
      <c r="M364">
        <v>58</v>
      </c>
      <c r="N364" t="s">
        <v>1641</v>
      </c>
      <c r="V364" t="s">
        <v>1880</v>
      </c>
    </row>
    <row r="365" spans="1:22" x14ac:dyDescent="0.35">
      <c r="A365">
        <v>2023</v>
      </c>
      <c r="B365" t="s">
        <v>772</v>
      </c>
      <c r="C365" t="s">
        <v>49</v>
      </c>
      <c r="D365" t="s">
        <v>50</v>
      </c>
      <c r="E365" t="s">
        <v>1372</v>
      </c>
      <c r="G365" s="37" t="s">
        <v>11</v>
      </c>
      <c r="H365" s="37" t="s">
        <v>13</v>
      </c>
      <c r="I365" t="s">
        <v>16</v>
      </c>
      <c r="J365" t="s">
        <v>1564</v>
      </c>
      <c r="K365" t="s">
        <v>1775</v>
      </c>
      <c r="L365" s="28" t="s">
        <v>3031</v>
      </c>
      <c r="M365">
        <v>2</v>
      </c>
      <c r="N365" t="s">
        <v>1641</v>
      </c>
      <c r="O365">
        <v>5.8</v>
      </c>
      <c r="P365" t="s">
        <v>1567</v>
      </c>
      <c r="Q365">
        <v>0</v>
      </c>
      <c r="R365" t="s">
        <v>1550</v>
      </c>
      <c r="V365" t="s">
        <v>1086</v>
      </c>
    </row>
    <row r="366" spans="1:22" x14ac:dyDescent="0.35">
      <c r="A366">
        <v>2023</v>
      </c>
      <c r="B366" t="s">
        <v>772</v>
      </c>
      <c r="C366" t="s">
        <v>49</v>
      </c>
      <c r="D366" t="s">
        <v>50</v>
      </c>
      <c r="E366" t="s">
        <v>1372</v>
      </c>
      <c r="G366" s="37" t="s">
        <v>11</v>
      </c>
      <c r="H366" s="37" t="s">
        <v>13</v>
      </c>
      <c r="I366" t="s">
        <v>16</v>
      </c>
      <c r="J366" t="s">
        <v>1564</v>
      </c>
      <c r="K366" t="s">
        <v>1574</v>
      </c>
      <c r="L366" s="28" t="s">
        <v>3031</v>
      </c>
      <c r="M366">
        <v>2872</v>
      </c>
      <c r="N366" t="s">
        <v>1641</v>
      </c>
      <c r="O366">
        <v>5.5</v>
      </c>
      <c r="P366" t="s">
        <v>1567</v>
      </c>
      <c r="Q366">
        <v>506</v>
      </c>
      <c r="R366" t="s">
        <v>1550</v>
      </c>
      <c r="V366" t="s">
        <v>1086</v>
      </c>
    </row>
    <row r="367" spans="1:22" x14ac:dyDescent="0.35">
      <c r="A367">
        <v>2023</v>
      </c>
      <c r="B367" t="s">
        <v>772</v>
      </c>
      <c r="C367" t="s">
        <v>49</v>
      </c>
      <c r="D367" t="s">
        <v>50</v>
      </c>
      <c r="E367" t="s">
        <v>1372</v>
      </c>
      <c r="G367" s="37" t="s">
        <v>11</v>
      </c>
      <c r="H367" s="37" t="s">
        <v>13</v>
      </c>
      <c r="I367" t="s">
        <v>16</v>
      </c>
      <c r="J367" t="s">
        <v>1570</v>
      </c>
      <c r="K367" t="s">
        <v>1602</v>
      </c>
      <c r="L367" s="28" t="s">
        <v>3031</v>
      </c>
      <c r="M367">
        <v>2.8</v>
      </c>
      <c r="N367" t="s">
        <v>1641</v>
      </c>
      <c r="O367">
        <v>8.5</v>
      </c>
      <c r="P367" t="s">
        <v>1567</v>
      </c>
      <c r="Q367">
        <v>768</v>
      </c>
      <c r="R367" t="s">
        <v>1550</v>
      </c>
      <c r="V367" t="s">
        <v>1086</v>
      </c>
    </row>
    <row r="368" spans="1:22" x14ac:dyDescent="0.35">
      <c r="A368">
        <v>2023</v>
      </c>
      <c r="B368" t="s">
        <v>772</v>
      </c>
      <c r="C368" t="s">
        <v>49</v>
      </c>
      <c r="D368" t="s">
        <v>50</v>
      </c>
      <c r="E368" t="s">
        <v>1372</v>
      </c>
      <c r="G368" s="37" t="s">
        <v>11</v>
      </c>
      <c r="H368" s="37" t="s">
        <v>13</v>
      </c>
      <c r="I368" t="s">
        <v>16</v>
      </c>
      <c r="J368" t="s">
        <v>1570</v>
      </c>
      <c r="K368" t="s">
        <v>1573</v>
      </c>
      <c r="L368" s="28" t="s">
        <v>3031</v>
      </c>
      <c r="M368">
        <v>2.0299999999999998</v>
      </c>
      <c r="N368" t="s">
        <v>1641</v>
      </c>
      <c r="O368">
        <v>7.8</v>
      </c>
      <c r="P368" t="s">
        <v>1567</v>
      </c>
      <c r="Q368">
        <v>510</v>
      </c>
      <c r="R368" t="s">
        <v>1550</v>
      </c>
      <c r="V368" t="s">
        <v>1086</v>
      </c>
    </row>
    <row r="369" spans="1:22" x14ac:dyDescent="0.35">
      <c r="A369">
        <v>2024</v>
      </c>
      <c r="B369" t="s">
        <v>1537</v>
      </c>
      <c r="C369" t="s">
        <v>902</v>
      </c>
      <c r="D369" t="s">
        <v>1951</v>
      </c>
      <c r="F369" t="s">
        <v>1950</v>
      </c>
      <c r="G369" s="37" t="s">
        <v>11</v>
      </c>
      <c r="H369" s="37" t="s">
        <v>44</v>
      </c>
      <c r="I369" t="s">
        <v>16</v>
      </c>
      <c r="J369" t="s">
        <v>1564</v>
      </c>
      <c r="K369" t="s">
        <v>1565</v>
      </c>
      <c r="L369" s="28" t="s">
        <v>3031</v>
      </c>
      <c r="M369">
        <v>335</v>
      </c>
      <c r="N369" t="s">
        <v>1566</v>
      </c>
      <c r="O369">
        <v>6.11</v>
      </c>
      <c r="P369" t="s">
        <v>1567</v>
      </c>
      <c r="Q369">
        <v>66</v>
      </c>
      <c r="R369" t="s">
        <v>1550</v>
      </c>
      <c r="T369">
        <v>96</v>
      </c>
      <c r="V369" t="s">
        <v>1955</v>
      </c>
    </row>
    <row r="370" spans="1:22" x14ac:dyDescent="0.35">
      <c r="A370">
        <v>2024</v>
      </c>
      <c r="B370" t="s">
        <v>1537</v>
      </c>
      <c r="C370" t="s">
        <v>902</v>
      </c>
      <c r="D370" t="s">
        <v>1951</v>
      </c>
      <c r="F370" t="s">
        <v>1950</v>
      </c>
      <c r="G370" s="37" t="s">
        <v>11</v>
      </c>
      <c r="H370" s="37" t="s">
        <v>44</v>
      </c>
      <c r="I370" t="s">
        <v>16</v>
      </c>
      <c r="J370" t="s">
        <v>1564</v>
      </c>
      <c r="K370" t="s">
        <v>1574</v>
      </c>
      <c r="L370" s="28" t="s">
        <v>3031</v>
      </c>
      <c r="M370">
        <v>1466</v>
      </c>
      <c r="N370" t="s">
        <v>1566</v>
      </c>
      <c r="O370">
        <v>5.16</v>
      </c>
      <c r="P370" t="s">
        <v>1567</v>
      </c>
      <c r="Q370">
        <v>243</v>
      </c>
      <c r="R370" t="s">
        <v>1550</v>
      </c>
      <c r="T370">
        <v>96</v>
      </c>
      <c r="V370" t="s">
        <v>1955</v>
      </c>
    </row>
    <row r="371" spans="1:22" x14ac:dyDescent="0.35">
      <c r="A371">
        <v>2024</v>
      </c>
      <c r="B371" t="s">
        <v>1537</v>
      </c>
      <c r="C371" t="s">
        <v>902</v>
      </c>
      <c r="D371" t="s">
        <v>1951</v>
      </c>
      <c r="F371" t="s">
        <v>1950</v>
      </c>
      <c r="G371" s="37" t="s">
        <v>11</v>
      </c>
      <c r="H371" s="37" t="s">
        <v>44</v>
      </c>
      <c r="I371" t="s">
        <v>16</v>
      </c>
      <c r="J371" t="s">
        <v>1570</v>
      </c>
      <c r="K371" t="s">
        <v>1571</v>
      </c>
      <c r="L371" s="28" t="s">
        <v>3031</v>
      </c>
      <c r="M371">
        <v>290</v>
      </c>
      <c r="N371" t="s">
        <v>1566</v>
      </c>
      <c r="O371">
        <v>6.34</v>
      </c>
      <c r="P371" t="s">
        <v>1567</v>
      </c>
      <c r="Q371">
        <v>59</v>
      </c>
      <c r="R371" t="s">
        <v>1550</v>
      </c>
      <c r="V371" t="s">
        <v>1955</v>
      </c>
    </row>
    <row r="372" spans="1:22" x14ac:dyDescent="0.35">
      <c r="A372">
        <v>2024</v>
      </c>
      <c r="B372" t="s">
        <v>1537</v>
      </c>
      <c r="C372" t="s">
        <v>902</v>
      </c>
      <c r="D372" t="s">
        <v>1951</v>
      </c>
      <c r="F372" t="s">
        <v>1950</v>
      </c>
      <c r="G372" s="37" t="s">
        <v>11</v>
      </c>
      <c r="H372" s="37" t="s">
        <v>44</v>
      </c>
      <c r="I372" t="s">
        <v>16</v>
      </c>
      <c r="J372" t="s">
        <v>1570</v>
      </c>
      <c r="K372" t="s">
        <v>1572</v>
      </c>
      <c r="L372" s="28" t="s">
        <v>3031</v>
      </c>
      <c r="M372">
        <v>2150</v>
      </c>
      <c r="N372" t="s">
        <v>1566</v>
      </c>
      <c r="O372">
        <v>5.0999999999999996</v>
      </c>
      <c r="P372" t="s">
        <v>1567</v>
      </c>
      <c r="Q372">
        <v>352</v>
      </c>
      <c r="R372" t="s">
        <v>1550</v>
      </c>
      <c r="V372" t="s">
        <v>1955</v>
      </c>
    </row>
    <row r="373" spans="1:22" x14ac:dyDescent="0.35">
      <c r="A373">
        <v>2024</v>
      </c>
      <c r="B373" t="s">
        <v>1537</v>
      </c>
      <c r="C373" t="s">
        <v>902</v>
      </c>
      <c r="D373" t="s">
        <v>1951</v>
      </c>
      <c r="F373" t="s">
        <v>1950</v>
      </c>
      <c r="G373" s="37" t="s">
        <v>11</v>
      </c>
      <c r="H373" s="37" t="s">
        <v>44</v>
      </c>
      <c r="I373" t="s">
        <v>16</v>
      </c>
      <c r="J373" t="s">
        <v>1570</v>
      </c>
      <c r="K373" t="s">
        <v>1573</v>
      </c>
      <c r="L373" s="28" t="s">
        <v>3031</v>
      </c>
      <c r="M373">
        <v>1464</v>
      </c>
      <c r="N373" t="s">
        <v>1566</v>
      </c>
      <c r="O373">
        <v>4.37</v>
      </c>
      <c r="P373" t="s">
        <v>1567</v>
      </c>
      <c r="Q373">
        <v>206</v>
      </c>
      <c r="R373" t="s">
        <v>1550</v>
      </c>
      <c r="V373" t="s">
        <v>1955</v>
      </c>
    </row>
    <row r="374" spans="1:22" x14ac:dyDescent="0.35">
      <c r="A374">
        <v>2024</v>
      </c>
      <c r="B374" t="s">
        <v>772</v>
      </c>
      <c r="C374" t="s">
        <v>54</v>
      </c>
      <c r="D374" t="s">
        <v>55</v>
      </c>
      <c r="E374" t="s">
        <v>1379</v>
      </c>
      <c r="G374" s="37" t="s">
        <v>11</v>
      </c>
      <c r="H374" s="37" t="s">
        <v>19</v>
      </c>
      <c r="I374" t="s">
        <v>16</v>
      </c>
      <c r="J374" t="s">
        <v>1570</v>
      </c>
      <c r="K374" t="s">
        <v>1544</v>
      </c>
      <c r="L374" s="28" t="s">
        <v>3031</v>
      </c>
      <c r="M374">
        <v>56.5</v>
      </c>
      <c r="N374" t="s">
        <v>1566</v>
      </c>
      <c r="O374">
        <v>1.1000000000000001</v>
      </c>
      <c r="P374" t="s">
        <v>1567</v>
      </c>
      <c r="Q374">
        <v>1980</v>
      </c>
      <c r="R374" t="s">
        <v>1550</v>
      </c>
      <c r="V374" t="s">
        <v>1940</v>
      </c>
    </row>
    <row r="375" spans="1:22" x14ac:dyDescent="0.35">
      <c r="A375">
        <v>2024</v>
      </c>
      <c r="B375" t="s">
        <v>772</v>
      </c>
      <c r="C375" t="s">
        <v>54</v>
      </c>
      <c r="D375" t="s">
        <v>55</v>
      </c>
      <c r="E375" t="s">
        <v>1379</v>
      </c>
      <c r="G375" s="37" t="s">
        <v>11</v>
      </c>
      <c r="H375" s="37" t="s">
        <v>19</v>
      </c>
      <c r="I375" t="s">
        <v>16</v>
      </c>
      <c r="J375" t="s">
        <v>1564</v>
      </c>
      <c r="K375" t="s">
        <v>1544</v>
      </c>
      <c r="L375" s="28" t="s">
        <v>3031</v>
      </c>
      <c r="M375">
        <v>38.299999999999997</v>
      </c>
      <c r="N375" t="s">
        <v>1566</v>
      </c>
      <c r="O375">
        <v>1.1000000000000001</v>
      </c>
      <c r="P375" t="s">
        <v>1567</v>
      </c>
      <c r="Q375">
        <v>1350</v>
      </c>
      <c r="R375" t="s">
        <v>1550</v>
      </c>
      <c r="V375" t="s">
        <v>1940</v>
      </c>
    </row>
    <row r="376" spans="1:22" x14ac:dyDescent="0.35">
      <c r="A376">
        <v>2023</v>
      </c>
      <c r="B376" t="s">
        <v>772</v>
      </c>
      <c r="C376" t="s">
        <v>165</v>
      </c>
      <c r="D376" t="s">
        <v>166</v>
      </c>
      <c r="E376" t="s">
        <v>1392</v>
      </c>
      <c r="G376" s="37" t="s">
        <v>11</v>
      </c>
      <c r="H376" s="37" t="s">
        <v>19</v>
      </c>
      <c r="I376" t="s">
        <v>157</v>
      </c>
      <c r="J376" t="s">
        <v>1564</v>
      </c>
      <c r="K376" t="s">
        <v>2022</v>
      </c>
      <c r="L376" s="28" t="s">
        <v>3031</v>
      </c>
      <c r="M376">
        <v>207600</v>
      </c>
      <c r="N376" t="s">
        <v>1566</v>
      </c>
      <c r="V376" t="s">
        <v>2380</v>
      </c>
    </row>
    <row r="377" spans="1:22" x14ac:dyDescent="0.35">
      <c r="A377">
        <v>2024</v>
      </c>
      <c r="B377" t="s">
        <v>772</v>
      </c>
      <c r="C377" t="s">
        <v>135</v>
      </c>
      <c r="D377" t="s">
        <v>136</v>
      </c>
      <c r="E377" t="s">
        <v>1395</v>
      </c>
      <c r="G377" s="37" t="s">
        <v>11</v>
      </c>
      <c r="H377" s="37" t="s">
        <v>19</v>
      </c>
      <c r="I377" t="s">
        <v>125</v>
      </c>
      <c r="J377" t="s">
        <v>1564</v>
      </c>
      <c r="K377" t="s">
        <v>1565</v>
      </c>
      <c r="L377" s="28" t="s">
        <v>3031</v>
      </c>
      <c r="M377">
        <v>437</v>
      </c>
      <c r="N377" t="s">
        <v>3053</v>
      </c>
      <c r="O377">
        <v>0.26</v>
      </c>
      <c r="P377" t="s">
        <v>1589</v>
      </c>
      <c r="V377" t="s">
        <v>2389</v>
      </c>
    </row>
    <row r="378" spans="1:22" x14ac:dyDescent="0.35">
      <c r="A378">
        <v>2024</v>
      </c>
      <c r="B378" t="s">
        <v>772</v>
      </c>
      <c r="C378" t="s">
        <v>135</v>
      </c>
      <c r="D378" t="s">
        <v>136</v>
      </c>
      <c r="E378" t="s">
        <v>1395</v>
      </c>
      <c r="G378" s="37" t="s">
        <v>11</v>
      </c>
      <c r="H378" s="37" t="s">
        <v>19</v>
      </c>
      <c r="I378" t="s">
        <v>1874</v>
      </c>
      <c r="J378" t="s">
        <v>1564</v>
      </c>
      <c r="K378" t="s">
        <v>1565</v>
      </c>
      <c r="L378" s="28" t="s">
        <v>3031</v>
      </c>
      <c r="M378">
        <v>437</v>
      </c>
      <c r="N378" t="s">
        <v>3053</v>
      </c>
      <c r="O378">
        <v>0.22</v>
      </c>
      <c r="P378" t="s">
        <v>1589</v>
      </c>
      <c r="V378" t="s">
        <v>2389</v>
      </c>
    </row>
    <row r="379" spans="1:22" x14ac:dyDescent="0.35">
      <c r="A379">
        <v>2024</v>
      </c>
      <c r="B379" t="s">
        <v>772</v>
      </c>
      <c r="C379" t="s">
        <v>135</v>
      </c>
      <c r="D379" t="s">
        <v>136</v>
      </c>
      <c r="E379" t="s">
        <v>1395</v>
      </c>
      <c r="G379" s="37" t="s">
        <v>11</v>
      </c>
      <c r="H379" s="37" t="s">
        <v>19</v>
      </c>
      <c r="I379" t="s">
        <v>125</v>
      </c>
      <c r="J379" t="s">
        <v>1564</v>
      </c>
      <c r="K379" t="s">
        <v>1574</v>
      </c>
      <c r="L379" s="28" t="s">
        <v>3031</v>
      </c>
      <c r="M379">
        <v>168</v>
      </c>
      <c r="N379" t="s">
        <v>3053</v>
      </c>
      <c r="O379">
        <v>0.22</v>
      </c>
      <c r="P379" t="s">
        <v>1589</v>
      </c>
      <c r="V379" t="s">
        <v>2389</v>
      </c>
    </row>
    <row r="380" spans="1:22" x14ac:dyDescent="0.35">
      <c r="A380">
        <v>2024</v>
      </c>
      <c r="B380" t="s">
        <v>772</v>
      </c>
      <c r="C380" t="s">
        <v>135</v>
      </c>
      <c r="D380" t="s">
        <v>136</v>
      </c>
      <c r="E380" t="s">
        <v>1395</v>
      </c>
      <c r="G380" s="37" t="s">
        <v>11</v>
      </c>
      <c r="H380" s="37" t="s">
        <v>19</v>
      </c>
      <c r="I380" t="s">
        <v>1874</v>
      </c>
      <c r="J380" t="s">
        <v>1564</v>
      </c>
      <c r="K380" t="s">
        <v>1574</v>
      </c>
      <c r="L380" s="28" t="s">
        <v>3031</v>
      </c>
      <c r="M380">
        <v>168</v>
      </c>
      <c r="N380" t="s">
        <v>3053</v>
      </c>
      <c r="O380">
        <v>8.0000000000000002E-3</v>
      </c>
      <c r="P380" t="s">
        <v>1589</v>
      </c>
      <c r="V380" t="s">
        <v>2389</v>
      </c>
    </row>
    <row r="381" spans="1:22" x14ac:dyDescent="0.35">
      <c r="A381">
        <v>2024</v>
      </c>
      <c r="B381" t="s">
        <v>772</v>
      </c>
      <c r="C381" t="s">
        <v>135</v>
      </c>
      <c r="D381" t="s">
        <v>136</v>
      </c>
      <c r="E381" t="s">
        <v>1395</v>
      </c>
      <c r="G381" s="37" t="s">
        <v>11</v>
      </c>
      <c r="H381" s="37" t="s">
        <v>19</v>
      </c>
      <c r="I381" t="s">
        <v>125</v>
      </c>
      <c r="J381" t="s">
        <v>1564</v>
      </c>
      <c r="K381" t="s">
        <v>1574</v>
      </c>
      <c r="L381" s="28" t="s">
        <v>3031</v>
      </c>
      <c r="M381">
        <v>5</v>
      </c>
      <c r="N381" t="s">
        <v>3053</v>
      </c>
      <c r="O381">
        <v>0.11</v>
      </c>
      <c r="P381" t="s">
        <v>1589</v>
      </c>
      <c r="V381" t="s">
        <v>2389</v>
      </c>
    </row>
    <row r="382" spans="1:22" x14ac:dyDescent="0.35">
      <c r="A382">
        <v>2024</v>
      </c>
      <c r="B382" t="s">
        <v>772</v>
      </c>
      <c r="C382" t="s">
        <v>135</v>
      </c>
      <c r="D382" t="s">
        <v>136</v>
      </c>
      <c r="E382" t="s">
        <v>1395</v>
      </c>
      <c r="G382" s="37" t="s">
        <v>11</v>
      </c>
      <c r="H382" s="37" t="s">
        <v>19</v>
      </c>
      <c r="I382" t="s">
        <v>125</v>
      </c>
      <c r="J382" t="s">
        <v>1570</v>
      </c>
      <c r="K382" t="s">
        <v>1571</v>
      </c>
      <c r="L382" s="28" t="s">
        <v>3031</v>
      </c>
      <c r="M382">
        <v>767</v>
      </c>
      <c r="N382" t="s">
        <v>3053</v>
      </c>
      <c r="O382">
        <v>0.25</v>
      </c>
      <c r="P382" t="s">
        <v>1589</v>
      </c>
      <c r="V382" t="s">
        <v>2389</v>
      </c>
    </row>
    <row r="383" spans="1:22" x14ac:dyDescent="0.35">
      <c r="A383">
        <v>2024</v>
      </c>
      <c r="B383" t="s">
        <v>772</v>
      </c>
      <c r="C383" t="s">
        <v>135</v>
      </c>
      <c r="D383" t="s">
        <v>136</v>
      </c>
      <c r="E383" t="s">
        <v>1395</v>
      </c>
      <c r="G383" s="37" t="s">
        <v>11</v>
      </c>
      <c r="H383" s="37" t="s">
        <v>19</v>
      </c>
      <c r="I383" t="s">
        <v>1874</v>
      </c>
      <c r="J383" t="s">
        <v>1570</v>
      </c>
      <c r="K383" t="s">
        <v>1571</v>
      </c>
      <c r="L383" s="28" t="s">
        <v>3031</v>
      </c>
      <c r="M383">
        <v>767</v>
      </c>
      <c r="N383" t="s">
        <v>3053</v>
      </c>
      <c r="O383">
        <v>8.0000000000000002E-3</v>
      </c>
      <c r="P383" t="s">
        <v>1589</v>
      </c>
      <c r="V383" t="s">
        <v>2389</v>
      </c>
    </row>
    <row r="384" spans="1:22" x14ac:dyDescent="0.35">
      <c r="A384">
        <v>2024</v>
      </c>
      <c r="B384" t="s">
        <v>772</v>
      </c>
      <c r="C384" t="s">
        <v>135</v>
      </c>
      <c r="D384" t="s">
        <v>136</v>
      </c>
      <c r="E384" t="s">
        <v>1395</v>
      </c>
      <c r="G384" s="37" t="s">
        <v>11</v>
      </c>
      <c r="H384" s="37" t="s">
        <v>19</v>
      </c>
      <c r="I384" t="s">
        <v>125</v>
      </c>
      <c r="J384" t="s">
        <v>1570</v>
      </c>
      <c r="K384" t="s">
        <v>1572</v>
      </c>
      <c r="L384" s="28" t="s">
        <v>3031</v>
      </c>
      <c r="M384">
        <v>342</v>
      </c>
      <c r="N384" t="s">
        <v>3053</v>
      </c>
      <c r="O384">
        <v>0.23</v>
      </c>
      <c r="P384" t="s">
        <v>1589</v>
      </c>
      <c r="V384" t="s">
        <v>2993</v>
      </c>
    </row>
    <row r="385" spans="1:22" x14ac:dyDescent="0.35">
      <c r="A385">
        <v>2024</v>
      </c>
      <c r="B385" t="s">
        <v>772</v>
      </c>
      <c r="C385" t="s">
        <v>135</v>
      </c>
      <c r="D385" t="s">
        <v>136</v>
      </c>
      <c r="E385" t="s">
        <v>1395</v>
      </c>
      <c r="G385" s="37" t="s">
        <v>11</v>
      </c>
      <c r="H385" s="37" t="s">
        <v>19</v>
      </c>
      <c r="I385" t="s">
        <v>1874</v>
      </c>
      <c r="J385" t="s">
        <v>1570</v>
      </c>
      <c r="K385" t="s">
        <v>1572</v>
      </c>
      <c r="L385" s="28" t="s">
        <v>3031</v>
      </c>
      <c r="M385">
        <v>342</v>
      </c>
      <c r="N385" t="s">
        <v>3053</v>
      </c>
      <c r="O385">
        <v>7.0000000000000001E-3</v>
      </c>
      <c r="P385" t="s">
        <v>1589</v>
      </c>
      <c r="V385" t="s">
        <v>2993</v>
      </c>
    </row>
    <row r="386" spans="1:22" x14ac:dyDescent="0.35">
      <c r="A386">
        <v>2024</v>
      </c>
      <c r="B386" t="s">
        <v>772</v>
      </c>
      <c r="C386" t="s">
        <v>730</v>
      </c>
      <c r="D386" t="s">
        <v>59</v>
      </c>
      <c r="E386" t="s">
        <v>1439</v>
      </c>
      <c r="G386" s="37" t="s">
        <v>11</v>
      </c>
      <c r="H386" s="37" t="s">
        <v>13</v>
      </c>
      <c r="I386" t="s">
        <v>16</v>
      </c>
      <c r="J386" t="s">
        <v>1564</v>
      </c>
      <c r="K386" t="s">
        <v>1565</v>
      </c>
      <c r="L386" s="28" t="s">
        <v>3031</v>
      </c>
      <c r="M386">
        <v>433</v>
      </c>
      <c r="N386" t="s">
        <v>1566</v>
      </c>
      <c r="O386">
        <v>15.6</v>
      </c>
      <c r="P386" t="s">
        <v>1567</v>
      </c>
      <c r="Q386">
        <v>217</v>
      </c>
      <c r="R386" t="s">
        <v>1550</v>
      </c>
      <c r="V386" t="s">
        <v>2994</v>
      </c>
    </row>
    <row r="387" spans="1:22" x14ac:dyDescent="0.35">
      <c r="A387">
        <v>2024</v>
      </c>
      <c r="B387" t="s">
        <v>772</v>
      </c>
      <c r="C387" t="s">
        <v>730</v>
      </c>
      <c r="D387" t="s">
        <v>59</v>
      </c>
      <c r="E387" t="s">
        <v>1439</v>
      </c>
      <c r="G387" s="37" t="s">
        <v>11</v>
      </c>
      <c r="H387" s="37" t="s">
        <v>13</v>
      </c>
      <c r="I387" t="s">
        <v>16</v>
      </c>
      <c r="J387" t="s">
        <v>1564</v>
      </c>
      <c r="K387" t="s">
        <v>1574</v>
      </c>
      <c r="L387" s="28" t="s">
        <v>3031</v>
      </c>
      <c r="M387">
        <v>794</v>
      </c>
      <c r="N387" t="s">
        <v>1566</v>
      </c>
      <c r="O387">
        <v>10.4</v>
      </c>
      <c r="P387" t="s">
        <v>1567</v>
      </c>
      <c r="Q387">
        <v>265</v>
      </c>
      <c r="R387" t="s">
        <v>1550</v>
      </c>
      <c r="V387" t="s">
        <v>2994</v>
      </c>
    </row>
    <row r="388" spans="1:22" x14ac:dyDescent="0.35">
      <c r="A388">
        <v>2024</v>
      </c>
      <c r="B388" t="s">
        <v>772</v>
      </c>
      <c r="C388" t="s">
        <v>730</v>
      </c>
      <c r="D388" t="s">
        <v>59</v>
      </c>
      <c r="E388" t="s">
        <v>1439</v>
      </c>
      <c r="G388" s="37" t="s">
        <v>11</v>
      </c>
      <c r="H388" s="37" t="s">
        <v>13</v>
      </c>
      <c r="I388" t="s">
        <v>16</v>
      </c>
      <c r="J388" t="s">
        <v>1570</v>
      </c>
      <c r="K388" t="s">
        <v>1571</v>
      </c>
      <c r="L388" s="28" t="s">
        <v>3031</v>
      </c>
      <c r="M388">
        <v>250</v>
      </c>
      <c r="N388" t="s">
        <v>1566</v>
      </c>
      <c r="O388">
        <v>11.6</v>
      </c>
      <c r="P388" t="s">
        <v>1567</v>
      </c>
      <c r="Q388">
        <v>93</v>
      </c>
      <c r="R388" t="s">
        <v>1550</v>
      </c>
      <c r="V388" t="s">
        <v>2994</v>
      </c>
    </row>
    <row r="389" spans="1:22" x14ac:dyDescent="0.35">
      <c r="A389">
        <v>2024</v>
      </c>
      <c r="B389" t="s">
        <v>772</v>
      </c>
      <c r="C389" t="s">
        <v>730</v>
      </c>
      <c r="D389" t="s">
        <v>59</v>
      </c>
      <c r="E389" t="s">
        <v>1439</v>
      </c>
      <c r="G389" s="37" t="s">
        <v>11</v>
      </c>
      <c r="H389" s="37" t="s">
        <v>13</v>
      </c>
      <c r="I389" t="s">
        <v>16</v>
      </c>
      <c r="J389" t="s">
        <v>1570</v>
      </c>
      <c r="K389" t="s">
        <v>1572</v>
      </c>
      <c r="L389" s="28" t="s">
        <v>3031</v>
      </c>
      <c r="M389">
        <v>557</v>
      </c>
      <c r="N389" t="s">
        <v>1566</v>
      </c>
      <c r="O389">
        <v>7.5</v>
      </c>
      <c r="P389" t="s">
        <v>1567</v>
      </c>
      <c r="Q389">
        <v>135</v>
      </c>
      <c r="R389" t="s">
        <v>1550</v>
      </c>
      <c r="V389" t="s">
        <v>2994</v>
      </c>
    </row>
    <row r="390" spans="1:22" x14ac:dyDescent="0.35">
      <c r="A390">
        <v>2024</v>
      </c>
      <c r="B390" t="s">
        <v>772</v>
      </c>
      <c r="C390" t="s">
        <v>730</v>
      </c>
      <c r="D390" t="s">
        <v>59</v>
      </c>
      <c r="E390" t="s">
        <v>1439</v>
      </c>
      <c r="G390" s="37" t="s">
        <v>11</v>
      </c>
      <c r="H390" s="37" t="s">
        <v>13</v>
      </c>
      <c r="I390" t="s">
        <v>16</v>
      </c>
      <c r="J390" t="s">
        <v>1570</v>
      </c>
      <c r="K390" t="s">
        <v>1573</v>
      </c>
      <c r="L390" s="28" t="s">
        <v>3031</v>
      </c>
      <c r="M390">
        <v>2749</v>
      </c>
      <c r="N390" t="s">
        <v>1566</v>
      </c>
      <c r="O390">
        <v>2.6</v>
      </c>
      <c r="P390" t="s">
        <v>1567</v>
      </c>
      <c r="Q390">
        <v>229</v>
      </c>
      <c r="R390" t="s">
        <v>1550</v>
      </c>
      <c r="V390" t="s">
        <v>2994</v>
      </c>
    </row>
    <row r="391" spans="1:22" x14ac:dyDescent="0.35">
      <c r="A391">
        <v>2024</v>
      </c>
      <c r="B391" t="s">
        <v>772</v>
      </c>
      <c r="C391" t="s">
        <v>730</v>
      </c>
      <c r="D391" t="s">
        <v>60</v>
      </c>
      <c r="E391" t="s">
        <v>1437</v>
      </c>
      <c r="G391" s="37" t="s">
        <v>11</v>
      </c>
      <c r="H391" s="37" t="s">
        <v>19</v>
      </c>
      <c r="I391" t="s">
        <v>16</v>
      </c>
      <c r="J391" t="s">
        <v>1564</v>
      </c>
      <c r="K391" t="s">
        <v>1565</v>
      </c>
      <c r="L391" s="28" t="s">
        <v>3031</v>
      </c>
      <c r="M391">
        <v>305</v>
      </c>
      <c r="N391" t="s">
        <v>1566</v>
      </c>
      <c r="O391">
        <v>11</v>
      </c>
      <c r="P391" t="s">
        <v>1567</v>
      </c>
      <c r="Q391">
        <v>107</v>
      </c>
      <c r="R391" t="s">
        <v>1550</v>
      </c>
      <c r="V391" t="s">
        <v>2994</v>
      </c>
    </row>
    <row r="392" spans="1:22" x14ac:dyDescent="0.35">
      <c r="A392">
        <v>2024</v>
      </c>
      <c r="B392" t="s">
        <v>772</v>
      </c>
      <c r="C392" t="s">
        <v>730</v>
      </c>
      <c r="D392" t="s">
        <v>60</v>
      </c>
      <c r="E392" t="s">
        <v>1437</v>
      </c>
      <c r="G392" s="37" t="s">
        <v>11</v>
      </c>
      <c r="H392" s="37" t="s">
        <v>19</v>
      </c>
      <c r="I392" t="s">
        <v>16</v>
      </c>
      <c r="J392" t="s">
        <v>1564</v>
      </c>
      <c r="K392" t="s">
        <v>1574</v>
      </c>
      <c r="L392" s="28" t="s">
        <v>3031</v>
      </c>
      <c r="M392">
        <v>2076</v>
      </c>
      <c r="N392" t="s">
        <v>1566</v>
      </c>
      <c r="O392">
        <v>8.9</v>
      </c>
      <c r="P392" t="s">
        <v>1567</v>
      </c>
      <c r="Q392">
        <v>592</v>
      </c>
      <c r="R392" t="s">
        <v>1550</v>
      </c>
      <c r="V392" t="s">
        <v>2994</v>
      </c>
    </row>
    <row r="393" spans="1:22" x14ac:dyDescent="0.35">
      <c r="A393">
        <v>2024</v>
      </c>
      <c r="B393" t="s">
        <v>772</v>
      </c>
      <c r="C393" t="s">
        <v>730</v>
      </c>
      <c r="D393" t="s">
        <v>60</v>
      </c>
      <c r="E393" t="s">
        <v>1437</v>
      </c>
      <c r="G393" s="37" t="s">
        <v>11</v>
      </c>
      <c r="H393" s="37" t="s">
        <v>19</v>
      </c>
      <c r="I393" t="s">
        <v>16</v>
      </c>
      <c r="J393" t="s">
        <v>1570</v>
      </c>
      <c r="K393" t="s">
        <v>1571</v>
      </c>
      <c r="L393" s="28" t="s">
        <v>3031</v>
      </c>
      <c r="M393">
        <v>58</v>
      </c>
      <c r="N393" t="s">
        <v>1566</v>
      </c>
      <c r="O393">
        <v>10.199999999999999</v>
      </c>
      <c r="P393" t="s">
        <v>1567</v>
      </c>
      <c r="Q393">
        <v>19</v>
      </c>
      <c r="R393" t="s">
        <v>1550</v>
      </c>
      <c r="V393" t="s">
        <v>2994</v>
      </c>
    </row>
    <row r="394" spans="1:22" x14ac:dyDescent="0.35">
      <c r="A394">
        <v>2024</v>
      </c>
      <c r="B394" t="s">
        <v>772</v>
      </c>
      <c r="C394" t="s">
        <v>730</v>
      </c>
      <c r="D394" t="s">
        <v>60</v>
      </c>
      <c r="E394" t="s">
        <v>1437</v>
      </c>
      <c r="G394" s="37" t="s">
        <v>11</v>
      </c>
      <c r="H394" s="37" t="s">
        <v>19</v>
      </c>
      <c r="I394" t="s">
        <v>16</v>
      </c>
      <c r="J394" t="s">
        <v>1570</v>
      </c>
      <c r="K394" t="s">
        <v>1572</v>
      </c>
      <c r="L394" s="28" t="s">
        <v>3031</v>
      </c>
      <c r="M394">
        <v>789</v>
      </c>
      <c r="N394" t="s">
        <v>1566</v>
      </c>
      <c r="O394">
        <v>5.4</v>
      </c>
      <c r="P394" t="s">
        <v>1567</v>
      </c>
      <c r="Q394">
        <v>138</v>
      </c>
      <c r="R394" t="s">
        <v>1550</v>
      </c>
      <c r="V394" t="s">
        <v>2994</v>
      </c>
    </row>
    <row r="395" spans="1:22" x14ac:dyDescent="0.35">
      <c r="A395">
        <v>2024</v>
      </c>
      <c r="B395" t="s">
        <v>772</v>
      </c>
      <c r="C395" t="s">
        <v>730</v>
      </c>
      <c r="D395" t="s">
        <v>60</v>
      </c>
      <c r="E395" t="s">
        <v>1437</v>
      </c>
      <c r="G395" s="37" t="s">
        <v>11</v>
      </c>
      <c r="H395" s="37" t="s">
        <v>19</v>
      </c>
      <c r="I395" t="s">
        <v>16</v>
      </c>
      <c r="J395" t="s">
        <v>1570</v>
      </c>
      <c r="K395" t="s">
        <v>1573</v>
      </c>
      <c r="L395" s="28" t="s">
        <v>3031</v>
      </c>
      <c r="M395">
        <v>2536</v>
      </c>
      <c r="N395" t="s">
        <v>1566</v>
      </c>
      <c r="O395">
        <v>5</v>
      </c>
      <c r="P395" t="s">
        <v>1567</v>
      </c>
      <c r="Q395">
        <v>411</v>
      </c>
      <c r="R395" t="s">
        <v>1550</v>
      </c>
      <c r="V395" t="s">
        <v>2994</v>
      </c>
    </row>
  </sheetData>
  <autoFilter ref="A1:V395" xr:uid="{23E743C8-D14E-44FA-A271-4453D39FC361}">
    <sortState xmlns:xlrd2="http://schemas.microsoft.com/office/spreadsheetml/2017/richdata2" ref="A2:V395">
      <sortCondition ref="C1:C395"/>
    </sortState>
  </autoFilter>
  <phoneticPr fontId="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E6E20-3A0D-4233-A6AC-071804281041}">
  <dimension ref="A1:V131"/>
  <sheetViews>
    <sheetView workbookViewId="0">
      <selection sqref="A1:XFD1"/>
    </sheetView>
  </sheetViews>
  <sheetFormatPr baseColWidth="10" defaultColWidth="8.7265625" defaultRowHeight="14.5" x14ac:dyDescent="0.35"/>
  <cols>
    <col min="1" max="1" width="6.90625" bestFit="1" customWidth="1"/>
    <col min="2" max="2" width="12" bestFit="1" customWidth="1"/>
    <col min="3" max="3" width="10" bestFit="1" customWidth="1"/>
    <col min="4" max="4" width="26.6328125" customWidth="1"/>
    <col min="5" max="5" width="29" bestFit="1" customWidth="1"/>
    <col min="6" max="6" width="18" bestFit="1" customWidth="1"/>
    <col min="7" max="7" width="17.453125" bestFit="1" customWidth="1"/>
    <col min="8" max="8" width="13.6328125" bestFit="1" customWidth="1"/>
    <col min="9" max="9" width="13.54296875" bestFit="1" customWidth="1"/>
    <col min="10" max="10" width="31.453125" bestFit="1" customWidth="1"/>
    <col min="11" max="11" width="47.90625" bestFit="1" customWidth="1"/>
    <col min="12" max="12" width="12.90625" bestFit="1" customWidth="1"/>
    <col min="13" max="13" width="16.81640625" bestFit="1" customWidth="1"/>
    <col min="14" max="14" width="16.1796875" bestFit="1" customWidth="1"/>
    <col min="15" max="15" width="9.90625" bestFit="1" customWidth="1"/>
    <col min="16" max="16" width="9.453125" bestFit="1" customWidth="1"/>
    <col min="17" max="17" width="12" bestFit="1" customWidth="1"/>
    <col min="18" max="18" width="26.08984375" bestFit="1" customWidth="1"/>
    <col min="19" max="19" width="151.90625" bestFit="1" customWidth="1"/>
    <col min="20" max="20" width="11.453125" bestFit="1" customWidth="1"/>
  </cols>
  <sheetData>
    <row r="1" spans="1:22" x14ac:dyDescent="0.35">
      <c r="A1" s="6" t="s">
        <v>1538</v>
      </c>
      <c r="B1" s="6" t="s">
        <v>1539</v>
      </c>
      <c r="C1" s="6" t="s">
        <v>2922</v>
      </c>
      <c r="D1" s="7" t="s">
        <v>0</v>
      </c>
      <c r="E1" s="6" t="s">
        <v>1653</v>
      </c>
      <c r="F1" s="6" t="s">
        <v>2</v>
      </c>
      <c r="G1" s="6" t="s">
        <v>2030</v>
      </c>
      <c r="H1" s="6" t="s">
        <v>2028</v>
      </c>
      <c r="I1" s="6" t="s">
        <v>4</v>
      </c>
      <c r="J1" s="6" t="s">
        <v>6</v>
      </c>
      <c r="K1" s="6" t="s">
        <v>1781</v>
      </c>
      <c r="L1" s="6" t="s">
        <v>1540</v>
      </c>
      <c r="M1" s="6" t="s">
        <v>2504</v>
      </c>
      <c r="N1" s="6" t="s">
        <v>1541</v>
      </c>
      <c r="O1" s="6" t="s">
        <v>3029</v>
      </c>
      <c r="P1" s="6" t="s">
        <v>1542</v>
      </c>
      <c r="Q1" s="41" t="s">
        <v>2505</v>
      </c>
      <c r="R1" s="6" t="s">
        <v>7</v>
      </c>
      <c r="S1" s="6" t="s">
        <v>1543</v>
      </c>
    </row>
    <row r="2" spans="1:22" x14ac:dyDescent="0.35">
      <c r="A2">
        <v>2022</v>
      </c>
      <c r="B2" t="s">
        <v>772</v>
      </c>
      <c r="C2" t="s">
        <v>2923</v>
      </c>
      <c r="D2" t="s">
        <v>795</v>
      </c>
      <c r="E2" t="s">
        <v>162</v>
      </c>
      <c r="F2" t="s">
        <v>1192</v>
      </c>
      <c r="H2" t="s">
        <v>2011</v>
      </c>
      <c r="I2" t="s">
        <v>11</v>
      </c>
      <c r="J2" t="s">
        <v>34</v>
      </c>
      <c r="K2" t="s">
        <v>157</v>
      </c>
      <c r="L2" t="s">
        <v>157</v>
      </c>
      <c r="M2" t="s">
        <v>3016</v>
      </c>
      <c r="N2" t="s">
        <v>1779</v>
      </c>
      <c r="O2" t="s">
        <v>3030</v>
      </c>
      <c r="P2" t="s">
        <v>1589</v>
      </c>
      <c r="Q2" s="31">
        <v>0.66200000000000003</v>
      </c>
      <c r="S2" t="s">
        <v>2499</v>
      </c>
      <c r="U2" s="10"/>
    </row>
    <row r="3" spans="1:22" x14ac:dyDescent="0.35">
      <c r="A3">
        <v>2023</v>
      </c>
      <c r="B3" t="s">
        <v>772</v>
      </c>
      <c r="C3" t="s">
        <v>2923</v>
      </c>
      <c r="D3" t="s">
        <v>14</v>
      </c>
      <c r="E3" t="s">
        <v>22</v>
      </c>
      <c r="F3" t="s">
        <v>1129</v>
      </c>
      <c r="H3" t="s">
        <v>2034</v>
      </c>
      <c r="I3" t="s">
        <v>11</v>
      </c>
      <c r="J3" t="s">
        <v>13</v>
      </c>
      <c r="K3" t="s">
        <v>16</v>
      </c>
      <c r="L3" t="s">
        <v>1776</v>
      </c>
      <c r="M3" t="s">
        <v>3015</v>
      </c>
      <c r="N3" t="s">
        <v>1780</v>
      </c>
      <c r="O3" t="s">
        <v>3197</v>
      </c>
      <c r="P3" t="s">
        <v>2945</v>
      </c>
      <c r="Q3" s="49">
        <v>3.1482939488870225</v>
      </c>
      <c r="R3" t="s">
        <v>3198</v>
      </c>
      <c r="S3" t="s">
        <v>1547</v>
      </c>
    </row>
    <row r="4" spans="1:22" x14ac:dyDescent="0.35">
      <c r="A4">
        <v>2023</v>
      </c>
      <c r="B4" t="s">
        <v>772</v>
      </c>
      <c r="C4" t="s">
        <v>2923</v>
      </c>
      <c r="D4" t="s">
        <v>14</v>
      </c>
      <c r="E4" t="s">
        <v>22</v>
      </c>
      <c r="F4" t="s">
        <v>1129</v>
      </c>
      <c r="H4" t="s">
        <v>2034</v>
      </c>
      <c r="I4" t="s">
        <v>11</v>
      </c>
      <c r="J4" t="s">
        <v>13</v>
      </c>
      <c r="K4" t="s">
        <v>16</v>
      </c>
      <c r="L4" t="s">
        <v>16</v>
      </c>
      <c r="M4" t="s">
        <v>3015</v>
      </c>
      <c r="N4" t="s">
        <v>1735</v>
      </c>
      <c r="O4" t="s">
        <v>3030</v>
      </c>
      <c r="P4" t="s">
        <v>1567</v>
      </c>
      <c r="Q4" s="49">
        <v>6.11</v>
      </c>
      <c r="S4" t="s">
        <v>2998</v>
      </c>
    </row>
    <row r="5" spans="1:22" x14ac:dyDescent="0.35">
      <c r="A5">
        <v>2023</v>
      </c>
      <c r="B5" t="s">
        <v>772</v>
      </c>
      <c r="C5" t="s">
        <v>2923</v>
      </c>
      <c r="D5" t="s">
        <v>14</v>
      </c>
      <c r="E5" t="s">
        <v>22</v>
      </c>
      <c r="F5" t="s">
        <v>1129</v>
      </c>
      <c r="H5" t="s">
        <v>2034</v>
      </c>
      <c r="I5" t="s">
        <v>11</v>
      </c>
      <c r="J5" t="s">
        <v>13</v>
      </c>
      <c r="K5" t="s">
        <v>16</v>
      </c>
      <c r="L5" t="s">
        <v>16</v>
      </c>
      <c r="M5" t="s">
        <v>3015</v>
      </c>
      <c r="N5" t="s">
        <v>1716</v>
      </c>
      <c r="O5" t="s">
        <v>3030</v>
      </c>
      <c r="P5" t="s">
        <v>1589</v>
      </c>
      <c r="Q5" s="49">
        <v>96.6</v>
      </c>
      <c r="S5" t="s">
        <v>2998</v>
      </c>
    </row>
    <row r="6" spans="1:22" x14ac:dyDescent="0.35">
      <c r="A6">
        <v>2023</v>
      </c>
      <c r="B6" t="s">
        <v>772</v>
      </c>
      <c r="C6" t="s">
        <v>2923</v>
      </c>
      <c r="D6" t="s">
        <v>14</v>
      </c>
      <c r="E6" t="s">
        <v>18</v>
      </c>
      <c r="F6" t="s">
        <v>1127</v>
      </c>
      <c r="H6" t="s">
        <v>2034</v>
      </c>
      <c r="I6" t="s">
        <v>11</v>
      </c>
      <c r="J6" t="s">
        <v>19</v>
      </c>
      <c r="K6" t="s">
        <v>16</v>
      </c>
      <c r="L6" t="s">
        <v>1776</v>
      </c>
      <c r="M6" t="s">
        <v>3015</v>
      </c>
      <c r="N6" t="s">
        <v>1780</v>
      </c>
      <c r="O6" t="s">
        <v>3197</v>
      </c>
      <c r="P6" t="s">
        <v>2945</v>
      </c>
      <c r="Q6" s="49">
        <v>4.3275814028000141</v>
      </c>
      <c r="R6" t="s">
        <v>3198</v>
      </c>
      <c r="S6" t="s">
        <v>1547</v>
      </c>
    </row>
    <row r="7" spans="1:22" x14ac:dyDescent="0.35">
      <c r="A7">
        <v>2023</v>
      </c>
      <c r="B7" t="s">
        <v>772</v>
      </c>
      <c r="C7" t="s">
        <v>2923</v>
      </c>
      <c r="D7" t="s">
        <v>14</v>
      </c>
      <c r="E7" t="s">
        <v>91</v>
      </c>
      <c r="F7" t="s">
        <v>1126</v>
      </c>
      <c r="H7" t="s">
        <v>2034</v>
      </c>
      <c r="I7" t="s">
        <v>11</v>
      </c>
      <c r="J7" t="s">
        <v>13</v>
      </c>
      <c r="K7" t="s">
        <v>92</v>
      </c>
      <c r="L7" t="s">
        <v>1776</v>
      </c>
      <c r="M7" t="s">
        <v>3015</v>
      </c>
      <c r="N7" t="s">
        <v>1780</v>
      </c>
      <c r="O7" t="s">
        <v>3197</v>
      </c>
      <c r="P7" t="s">
        <v>2945</v>
      </c>
      <c r="Q7">
        <v>1.46708992187948</v>
      </c>
      <c r="R7" s="49" t="s">
        <v>3198</v>
      </c>
      <c r="S7" t="s">
        <v>1547</v>
      </c>
    </row>
    <row r="8" spans="1:22" x14ac:dyDescent="0.35">
      <c r="A8">
        <v>2023</v>
      </c>
      <c r="B8" t="s">
        <v>772</v>
      </c>
      <c r="C8" t="s">
        <v>2923</v>
      </c>
      <c r="D8" t="s">
        <v>14</v>
      </c>
      <c r="E8" t="s">
        <v>91</v>
      </c>
      <c r="F8" t="s">
        <v>1126</v>
      </c>
      <c r="H8" t="s">
        <v>2034</v>
      </c>
      <c r="I8" t="s">
        <v>11</v>
      </c>
      <c r="J8" t="s">
        <v>13</v>
      </c>
      <c r="K8" t="s">
        <v>92</v>
      </c>
      <c r="L8" t="s">
        <v>16</v>
      </c>
      <c r="M8" t="s">
        <v>3015</v>
      </c>
      <c r="N8" t="s">
        <v>1735</v>
      </c>
      <c r="O8" t="s">
        <v>3030</v>
      </c>
      <c r="P8" t="s">
        <v>1567</v>
      </c>
      <c r="Q8" s="48">
        <v>5.23</v>
      </c>
      <c r="R8" s="49"/>
      <c r="S8" t="s">
        <v>2998</v>
      </c>
    </row>
    <row r="9" spans="1:22" x14ac:dyDescent="0.35">
      <c r="A9">
        <v>2023</v>
      </c>
      <c r="B9" t="s">
        <v>772</v>
      </c>
      <c r="C9" t="s">
        <v>2923</v>
      </c>
      <c r="D9" t="s">
        <v>717</v>
      </c>
      <c r="E9" t="s">
        <v>132</v>
      </c>
      <c r="F9" t="s">
        <v>1270</v>
      </c>
      <c r="H9" t="s">
        <v>1853</v>
      </c>
      <c r="I9" t="s">
        <v>11</v>
      </c>
      <c r="J9" t="s">
        <v>21</v>
      </c>
      <c r="K9" t="s">
        <v>130</v>
      </c>
      <c r="L9" t="s">
        <v>125</v>
      </c>
      <c r="M9" t="s">
        <v>3015</v>
      </c>
      <c r="N9" t="s">
        <v>1735</v>
      </c>
      <c r="O9" t="s">
        <v>3030</v>
      </c>
      <c r="P9" t="s">
        <v>1589</v>
      </c>
      <c r="Q9" s="31">
        <v>0.35</v>
      </c>
      <c r="R9" s="49" t="s">
        <v>3002</v>
      </c>
      <c r="S9" t="s">
        <v>1777</v>
      </c>
    </row>
    <row r="10" spans="1:22" x14ac:dyDescent="0.35">
      <c r="A10">
        <v>2023</v>
      </c>
      <c r="B10" t="s">
        <v>772</v>
      </c>
      <c r="C10" t="s">
        <v>2923</v>
      </c>
      <c r="D10" t="s">
        <v>717</v>
      </c>
      <c r="E10" t="s">
        <v>132</v>
      </c>
      <c r="F10" t="s">
        <v>1270</v>
      </c>
      <c r="H10" t="s">
        <v>1853</v>
      </c>
      <c r="I10" t="s">
        <v>11</v>
      </c>
      <c r="J10" t="s">
        <v>21</v>
      </c>
      <c r="K10" t="s">
        <v>130</v>
      </c>
      <c r="L10" t="s">
        <v>125</v>
      </c>
      <c r="M10" t="s">
        <v>3015</v>
      </c>
      <c r="N10" t="s">
        <v>1716</v>
      </c>
      <c r="O10" t="s">
        <v>3030</v>
      </c>
      <c r="P10" t="s">
        <v>1589</v>
      </c>
      <c r="Q10" s="31">
        <v>79.7</v>
      </c>
      <c r="R10" s="49" t="s">
        <v>3002</v>
      </c>
      <c r="S10" t="s">
        <v>1777</v>
      </c>
    </row>
    <row r="11" spans="1:22" x14ac:dyDescent="0.35">
      <c r="A11">
        <v>2023</v>
      </c>
      <c r="B11" t="s">
        <v>772</v>
      </c>
      <c r="C11" t="s">
        <v>2923</v>
      </c>
      <c r="D11" t="s">
        <v>717</v>
      </c>
      <c r="E11" t="s">
        <v>132</v>
      </c>
      <c r="F11" t="s">
        <v>1270</v>
      </c>
      <c r="H11" t="s">
        <v>1853</v>
      </c>
      <c r="I11" t="s">
        <v>11</v>
      </c>
      <c r="J11" t="s">
        <v>21</v>
      </c>
      <c r="K11" t="s">
        <v>130</v>
      </c>
      <c r="L11" t="s">
        <v>125</v>
      </c>
      <c r="M11" t="s">
        <v>3016</v>
      </c>
      <c r="N11" t="s">
        <v>1779</v>
      </c>
      <c r="O11" t="s">
        <v>3030</v>
      </c>
      <c r="P11" t="s">
        <v>1589</v>
      </c>
      <c r="Q11" s="31">
        <v>23.1</v>
      </c>
      <c r="R11" t="s">
        <v>3002</v>
      </c>
      <c r="S11" t="s">
        <v>1777</v>
      </c>
      <c r="U11" s="31"/>
      <c r="V11" s="10"/>
    </row>
    <row r="12" spans="1:22" x14ac:dyDescent="0.35">
      <c r="A12">
        <v>2023</v>
      </c>
      <c r="B12" t="s">
        <v>772</v>
      </c>
      <c r="C12" t="s">
        <v>2923</v>
      </c>
      <c r="D12" t="s">
        <v>14</v>
      </c>
      <c r="E12" t="s">
        <v>91</v>
      </c>
      <c r="F12" t="s">
        <v>1126</v>
      </c>
      <c r="H12" t="s">
        <v>2034</v>
      </c>
      <c r="I12" t="s">
        <v>11</v>
      </c>
      <c r="J12" t="s">
        <v>13</v>
      </c>
      <c r="K12" t="s">
        <v>92</v>
      </c>
      <c r="L12" t="s">
        <v>16</v>
      </c>
      <c r="M12" t="s">
        <v>3015</v>
      </c>
      <c r="N12" t="s">
        <v>1716</v>
      </c>
      <c r="O12" t="s">
        <v>3030</v>
      </c>
      <c r="P12" t="s">
        <v>1589</v>
      </c>
      <c r="Q12" s="47">
        <v>93.5</v>
      </c>
      <c r="R12" s="50"/>
      <c r="S12" t="s">
        <v>2998</v>
      </c>
    </row>
    <row r="13" spans="1:22" x14ac:dyDescent="0.35">
      <c r="A13">
        <v>2023</v>
      </c>
      <c r="B13" t="s">
        <v>772</v>
      </c>
      <c r="C13" t="s">
        <v>2923</v>
      </c>
      <c r="D13" t="s">
        <v>14</v>
      </c>
      <c r="E13" t="s">
        <v>65</v>
      </c>
      <c r="F13" t="s">
        <v>1125</v>
      </c>
      <c r="H13" t="s">
        <v>2034</v>
      </c>
      <c r="I13" t="s">
        <v>11</v>
      </c>
      <c r="J13" t="s">
        <v>19</v>
      </c>
      <c r="K13" t="s">
        <v>64</v>
      </c>
      <c r="L13" t="s">
        <v>1776</v>
      </c>
      <c r="M13" t="s">
        <v>3015</v>
      </c>
      <c r="N13" t="s">
        <v>1780</v>
      </c>
      <c r="O13" t="s">
        <v>3197</v>
      </c>
      <c r="P13" t="s">
        <v>2945</v>
      </c>
      <c r="Q13">
        <v>1.0001405976077076</v>
      </c>
      <c r="R13" t="s">
        <v>3198</v>
      </c>
      <c r="S13" t="s">
        <v>1547</v>
      </c>
    </row>
    <row r="14" spans="1:22" x14ac:dyDescent="0.35">
      <c r="A14">
        <v>2023</v>
      </c>
      <c r="B14" t="s">
        <v>772</v>
      </c>
      <c r="C14" t="s">
        <v>2923</v>
      </c>
      <c r="D14" t="s">
        <v>717</v>
      </c>
      <c r="E14" t="s">
        <v>132</v>
      </c>
      <c r="F14" t="s">
        <v>1270</v>
      </c>
      <c r="H14" t="s">
        <v>1853</v>
      </c>
      <c r="I14" t="s">
        <v>11</v>
      </c>
      <c r="J14" t="s">
        <v>21</v>
      </c>
      <c r="K14" t="s">
        <v>130</v>
      </c>
      <c r="L14" t="s">
        <v>1549</v>
      </c>
      <c r="M14" t="s">
        <v>3015</v>
      </c>
      <c r="N14" t="s">
        <v>1735</v>
      </c>
      <c r="O14" t="s">
        <v>3030</v>
      </c>
      <c r="P14" t="s">
        <v>1567</v>
      </c>
      <c r="Q14" s="31">
        <v>1.36</v>
      </c>
      <c r="S14" t="s">
        <v>1777</v>
      </c>
      <c r="T14" s="31"/>
      <c r="U14" s="10"/>
    </row>
    <row r="15" spans="1:22" x14ac:dyDescent="0.35">
      <c r="A15">
        <v>2023</v>
      </c>
      <c r="B15" t="s">
        <v>772</v>
      </c>
      <c r="C15" t="s">
        <v>2923</v>
      </c>
      <c r="D15" t="s">
        <v>717</v>
      </c>
      <c r="E15" t="s">
        <v>132</v>
      </c>
      <c r="F15" t="s">
        <v>1270</v>
      </c>
      <c r="H15" t="s">
        <v>1853</v>
      </c>
      <c r="I15" t="s">
        <v>11</v>
      </c>
      <c r="J15" t="s">
        <v>21</v>
      </c>
      <c r="K15" t="s">
        <v>130</v>
      </c>
      <c r="L15" t="s">
        <v>1549</v>
      </c>
      <c r="M15" t="s">
        <v>3015</v>
      </c>
      <c r="N15" t="s">
        <v>1716</v>
      </c>
      <c r="O15" t="s">
        <v>3030</v>
      </c>
      <c r="P15" t="s">
        <v>1589</v>
      </c>
      <c r="Q15" s="31">
        <v>73</v>
      </c>
      <c r="R15" t="s">
        <v>3002</v>
      </c>
      <c r="S15" t="s">
        <v>1777</v>
      </c>
      <c r="T15" s="31"/>
      <c r="U15" s="10"/>
    </row>
    <row r="16" spans="1:22" x14ac:dyDescent="0.35">
      <c r="A16">
        <v>2023</v>
      </c>
      <c r="B16" t="s">
        <v>772</v>
      </c>
      <c r="C16" t="s">
        <v>2923</v>
      </c>
      <c r="D16" t="s">
        <v>14</v>
      </c>
      <c r="E16" t="s">
        <v>65</v>
      </c>
      <c r="F16" t="s">
        <v>1125</v>
      </c>
      <c r="H16" t="s">
        <v>2034</v>
      </c>
      <c r="I16" t="s">
        <v>11</v>
      </c>
      <c r="J16" t="s">
        <v>19</v>
      </c>
      <c r="K16" t="s">
        <v>64</v>
      </c>
      <c r="L16" t="s">
        <v>16</v>
      </c>
      <c r="M16" t="s">
        <v>3015</v>
      </c>
      <c r="N16" t="s">
        <v>1735</v>
      </c>
      <c r="O16" t="s">
        <v>3030</v>
      </c>
      <c r="P16" t="s">
        <v>1567</v>
      </c>
      <c r="Q16" s="47">
        <v>1.17</v>
      </c>
      <c r="S16" t="s">
        <v>2998</v>
      </c>
    </row>
    <row r="17" spans="1:22" x14ac:dyDescent="0.35">
      <c r="A17">
        <v>2023</v>
      </c>
      <c r="B17" t="s">
        <v>772</v>
      </c>
      <c r="C17" t="s">
        <v>2923</v>
      </c>
      <c r="D17" t="s">
        <v>14</v>
      </c>
      <c r="E17" t="s">
        <v>65</v>
      </c>
      <c r="F17" t="s">
        <v>1125</v>
      </c>
      <c r="H17" t="s">
        <v>2034</v>
      </c>
      <c r="I17" t="s">
        <v>11</v>
      </c>
      <c r="J17" t="s">
        <v>19</v>
      </c>
      <c r="K17" t="s">
        <v>64</v>
      </c>
      <c r="L17" t="s">
        <v>16</v>
      </c>
      <c r="M17" t="s">
        <v>3015</v>
      </c>
      <c r="N17" t="s">
        <v>1716</v>
      </c>
      <c r="O17" t="s">
        <v>3030</v>
      </c>
      <c r="P17" t="s">
        <v>1589</v>
      </c>
      <c r="Q17" s="47">
        <v>92.8</v>
      </c>
      <c r="S17" t="s">
        <v>2998</v>
      </c>
    </row>
    <row r="18" spans="1:22" x14ac:dyDescent="0.35">
      <c r="A18">
        <v>2023</v>
      </c>
      <c r="B18" t="s">
        <v>1537</v>
      </c>
      <c r="C18" t="s">
        <v>2923</v>
      </c>
      <c r="D18" t="s">
        <v>14</v>
      </c>
      <c r="E18" t="s">
        <v>20</v>
      </c>
      <c r="G18" t="s">
        <v>1753</v>
      </c>
      <c r="H18" t="s">
        <v>2034</v>
      </c>
      <c r="I18" t="s">
        <v>11</v>
      </c>
      <c r="J18" t="s">
        <v>23</v>
      </c>
      <c r="K18" t="s">
        <v>16</v>
      </c>
      <c r="L18" t="s">
        <v>1776</v>
      </c>
      <c r="M18" t="s">
        <v>3015</v>
      </c>
      <c r="N18" t="s">
        <v>1780</v>
      </c>
      <c r="O18" t="s">
        <v>3197</v>
      </c>
      <c r="P18" t="s">
        <v>2945</v>
      </c>
      <c r="Q18">
        <v>9.5538046923556639</v>
      </c>
      <c r="R18" t="s">
        <v>3198</v>
      </c>
      <c r="S18" t="s">
        <v>1547</v>
      </c>
      <c r="T18" s="31"/>
      <c r="U18" s="10"/>
    </row>
    <row r="19" spans="1:22" x14ac:dyDescent="0.35">
      <c r="A19">
        <v>2023</v>
      </c>
      <c r="B19" t="s">
        <v>1537</v>
      </c>
      <c r="C19" t="s">
        <v>2923</v>
      </c>
      <c r="D19" t="s">
        <v>14</v>
      </c>
      <c r="E19" t="s">
        <v>20</v>
      </c>
      <c r="G19" t="s">
        <v>1753</v>
      </c>
      <c r="H19" t="s">
        <v>2034</v>
      </c>
      <c r="I19" t="s">
        <v>11</v>
      </c>
      <c r="J19" t="s">
        <v>23</v>
      </c>
      <c r="K19" t="s">
        <v>16</v>
      </c>
      <c r="L19" t="s">
        <v>16</v>
      </c>
      <c r="M19" t="s">
        <v>3015</v>
      </c>
      <c r="N19" t="s">
        <v>1735</v>
      </c>
      <c r="O19" t="s">
        <v>3030</v>
      </c>
      <c r="P19" t="s">
        <v>1567</v>
      </c>
      <c r="Q19">
        <v>3.86</v>
      </c>
      <c r="S19" t="s">
        <v>2998</v>
      </c>
    </row>
    <row r="20" spans="1:22" x14ac:dyDescent="0.35">
      <c r="A20">
        <v>2023</v>
      </c>
      <c r="B20" t="s">
        <v>1537</v>
      </c>
      <c r="C20" t="s">
        <v>2923</v>
      </c>
      <c r="D20" t="s">
        <v>14</v>
      </c>
      <c r="E20" t="s">
        <v>20</v>
      </c>
      <c r="G20" t="s">
        <v>1753</v>
      </c>
      <c r="H20" t="s">
        <v>2034</v>
      </c>
      <c r="I20" t="s">
        <v>11</v>
      </c>
      <c r="J20" t="s">
        <v>23</v>
      </c>
      <c r="K20" t="s">
        <v>16</v>
      </c>
      <c r="L20" t="s">
        <v>16</v>
      </c>
      <c r="M20" t="s">
        <v>3015</v>
      </c>
      <c r="N20" t="s">
        <v>1716</v>
      </c>
      <c r="O20" t="s">
        <v>3030</v>
      </c>
      <c r="P20" t="s">
        <v>1589</v>
      </c>
      <c r="Q20">
        <v>90.6</v>
      </c>
      <c r="S20" t="s">
        <v>2998</v>
      </c>
    </row>
    <row r="21" spans="1:22" x14ac:dyDescent="0.35">
      <c r="A21">
        <v>2023</v>
      </c>
      <c r="B21" t="s">
        <v>772</v>
      </c>
      <c r="C21" t="s">
        <v>2923</v>
      </c>
      <c r="D21" t="s">
        <v>736</v>
      </c>
      <c r="E21" t="s">
        <v>25</v>
      </c>
      <c r="F21" t="s">
        <v>1136</v>
      </c>
      <c r="H21" t="s">
        <v>2037</v>
      </c>
      <c r="I21" t="s">
        <v>11</v>
      </c>
      <c r="J21" t="s">
        <v>13</v>
      </c>
      <c r="K21" t="s">
        <v>16</v>
      </c>
      <c r="L21" t="s">
        <v>1776</v>
      </c>
      <c r="M21" t="s">
        <v>3015</v>
      </c>
      <c r="N21" t="s">
        <v>1780</v>
      </c>
      <c r="O21" t="s">
        <v>3197</v>
      </c>
      <c r="P21" t="s">
        <v>2945</v>
      </c>
      <c r="Q21">
        <v>0.16768245966796233</v>
      </c>
      <c r="R21" t="s">
        <v>3199</v>
      </c>
      <c r="S21" t="s">
        <v>1601</v>
      </c>
    </row>
    <row r="22" spans="1:22" x14ac:dyDescent="0.35">
      <c r="A22">
        <v>2023</v>
      </c>
      <c r="B22" t="s">
        <v>772</v>
      </c>
      <c r="C22" t="s">
        <v>2923</v>
      </c>
      <c r="D22" t="s">
        <v>736</v>
      </c>
      <c r="E22" t="s">
        <v>25</v>
      </c>
      <c r="F22" t="s">
        <v>1136</v>
      </c>
      <c r="H22" t="s">
        <v>2037</v>
      </c>
      <c r="I22" t="s">
        <v>11</v>
      </c>
      <c r="J22" t="s">
        <v>13</v>
      </c>
      <c r="K22" t="s">
        <v>16</v>
      </c>
      <c r="L22" t="s">
        <v>16</v>
      </c>
      <c r="M22" t="s">
        <v>3015</v>
      </c>
      <c r="N22" t="s">
        <v>1631</v>
      </c>
      <c r="O22" t="s">
        <v>3030</v>
      </c>
      <c r="P22" t="s">
        <v>1567</v>
      </c>
      <c r="Q22" s="31">
        <v>9.48</v>
      </c>
      <c r="R22" t="s">
        <v>3173</v>
      </c>
      <c r="S22" t="s">
        <v>1601</v>
      </c>
      <c r="U22" s="31"/>
      <c r="V22" s="10"/>
    </row>
    <row r="23" spans="1:22" x14ac:dyDescent="0.35">
      <c r="A23">
        <v>2023</v>
      </c>
      <c r="B23" t="s">
        <v>772</v>
      </c>
      <c r="C23" t="s">
        <v>2923</v>
      </c>
      <c r="D23" t="s">
        <v>736</v>
      </c>
      <c r="E23" t="s">
        <v>25</v>
      </c>
      <c r="F23" t="s">
        <v>1136</v>
      </c>
      <c r="H23" t="s">
        <v>2037</v>
      </c>
      <c r="I23" t="s">
        <v>11</v>
      </c>
      <c r="J23" t="s">
        <v>13</v>
      </c>
      <c r="K23" t="s">
        <v>16</v>
      </c>
      <c r="L23" t="s">
        <v>16</v>
      </c>
      <c r="M23" t="s">
        <v>3015</v>
      </c>
      <c r="N23" t="s">
        <v>1599</v>
      </c>
      <c r="O23" t="s">
        <v>3030</v>
      </c>
      <c r="P23" t="s">
        <v>1589</v>
      </c>
      <c r="Q23" s="31">
        <v>97</v>
      </c>
      <c r="S23" t="s">
        <v>1601</v>
      </c>
      <c r="T23" s="31"/>
      <c r="U23" s="31"/>
    </row>
    <row r="24" spans="1:22" x14ac:dyDescent="0.35">
      <c r="A24">
        <v>2023</v>
      </c>
      <c r="B24" t="s">
        <v>772</v>
      </c>
      <c r="C24" t="s">
        <v>2923</v>
      </c>
      <c r="D24" t="s">
        <v>736</v>
      </c>
      <c r="E24" t="s">
        <v>25</v>
      </c>
      <c r="F24" t="s">
        <v>1136</v>
      </c>
      <c r="H24" t="s">
        <v>2037</v>
      </c>
      <c r="I24" t="s">
        <v>11</v>
      </c>
      <c r="J24" t="s">
        <v>13</v>
      </c>
      <c r="K24" t="s">
        <v>16</v>
      </c>
      <c r="L24" t="s">
        <v>16</v>
      </c>
      <c r="M24" t="s">
        <v>3015</v>
      </c>
      <c r="N24" t="s">
        <v>1630</v>
      </c>
      <c r="O24" t="s">
        <v>3030</v>
      </c>
      <c r="P24" t="s">
        <v>1567</v>
      </c>
      <c r="Q24" s="31">
        <v>9.43</v>
      </c>
      <c r="R24" t="s">
        <v>3173</v>
      </c>
      <c r="S24" t="s">
        <v>1601</v>
      </c>
      <c r="T24" s="31"/>
      <c r="U24" s="31"/>
    </row>
    <row r="25" spans="1:22" x14ac:dyDescent="0.35">
      <c r="A25">
        <v>2023</v>
      </c>
      <c r="B25" t="s">
        <v>772</v>
      </c>
      <c r="C25" t="s">
        <v>2923</v>
      </c>
      <c r="D25" t="s">
        <v>736</v>
      </c>
      <c r="E25" t="s">
        <v>26</v>
      </c>
      <c r="F25" t="s">
        <v>1135</v>
      </c>
      <c r="H25" t="s">
        <v>2037</v>
      </c>
      <c r="I25" t="s">
        <v>11</v>
      </c>
      <c r="J25" t="s">
        <v>13</v>
      </c>
      <c r="K25" t="s">
        <v>16</v>
      </c>
      <c r="L25" t="s">
        <v>1776</v>
      </c>
      <c r="M25" t="s">
        <v>3015</v>
      </c>
      <c r="N25" t="s">
        <v>1780</v>
      </c>
      <c r="O25" t="s">
        <v>3197</v>
      </c>
      <c r="P25" t="s">
        <v>2945</v>
      </c>
      <c r="Q25">
        <v>0.15680324192064901</v>
      </c>
      <c r="R25" t="s">
        <v>3199</v>
      </c>
      <c r="S25" t="s">
        <v>1601</v>
      </c>
    </row>
    <row r="26" spans="1:22" x14ac:dyDescent="0.35">
      <c r="A26">
        <v>2023</v>
      </c>
      <c r="B26" t="s">
        <v>772</v>
      </c>
      <c r="C26" t="s">
        <v>2923</v>
      </c>
      <c r="D26" t="s">
        <v>736</v>
      </c>
      <c r="E26" t="s">
        <v>26</v>
      </c>
      <c r="F26" t="s">
        <v>1135</v>
      </c>
      <c r="H26" t="s">
        <v>2037</v>
      </c>
      <c r="I26" t="s">
        <v>11</v>
      </c>
      <c r="J26" t="s">
        <v>13</v>
      </c>
      <c r="K26" t="s">
        <v>16</v>
      </c>
      <c r="L26" t="s">
        <v>16</v>
      </c>
      <c r="M26" t="s">
        <v>3015</v>
      </c>
      <c r="N26" t="s">
        <v>1631</v>
      </c>
      <c r="O26" t="s">
        <v>3030</v>
      </c>
      <c r="P26" t="s">
        <v>1567</v>
      </c>
      <c r="Q26" s="31">
        <v>2.2000000000000002</v>
      </c>
      <c r="R26" t="s">
        <v>3173</v>
      </c>
      <c r="S26" t="s">
        <v>1601</v>
      </c>
    </row>
    <row r="27" spans="1:22" x14ac:dyDescent="0.35">
      <c r="A27">
        <v>2023</v>
      </c>
      <c r="B27" t="s">
        <v>772</v>
      </c>
      <c r="C27" t="s">
        <v>2923</v>
      </c>
      <c r="D27" t="s">
        <v>736</v>
      </c>
      <c r="E27" t="s">
        <v>26</v>
      </c>
      <c r="F27" t="s">
        <v>1135</v>
      </c>
      <c r="H27" t="s">
        <v>2037</v>
      </c>
      <c r="I27" t="s">
        <v>11</v>
      </c>
      <c r="J27" t="s">
        <v>13</v>
      </c>
      <c r="K27" t="s">
        <v>16</v>
      </c>
      <c r="L27" t="s">
        <v>16</v>
      </c>
      <c r="M27" t="s">
        <v>3015</v>
      </c>
      <c r="N27" t="s">
        <v>1599</v>
      </c>
      <c r="O27" t="s">
        <v>3030</v>
      </c>
      <c r="P27" t="s">
        <v>1589</v>
      </c>
      <c r="Q27" s="31">
        <v>90</v>
      </c>
      <c r="S27" t="s">
        <v>1601</v>
      </c>
    </row>
    <row r="28" spans="1:22" x14ac:dyDescent="0.35">
      <c r="A28">
        <v>2023</v>
      </c>
      <c r="B28" t="s">
        <v>772</v>
      </c>
      <c r="C28" t="s">
        <v>2923</v>
      </c>
      <c r="D28" t="s">
        <v>135</v>
      </c>
      <c r="E28" t="s">
        <v>136</v>
      </c>
      <c r="F28" t="s">
        <v>1395</v>
      </c>
      <c r="H28" t="s">
        <v>2200</v>
      </c>
      <c r="I28" t="s">
        <v>11</v>
      </c>
      <c r="J28" t="s">
        <v>19</v>
      </c>
      <c r="K28" t="s">
        <v>137</v>
      </c>
      <c r="L28" t="s">
        <v>125</v>
      </c>
      <c r="M28" t="s">
        <v>3016</v>
      </c>
      <c r="N28" t="s">
        <v>1735</v>
      </c>
      <c r="O28" t="s">
        <v>3030</v>
      </c>
      <c r="P28" t="s">
        <v>1589</v>
      </c>
      <c r="Q28" s="31">
        <v>0.25</v>
      </c>
      <c r="S28" t="s">
        <v>3023</v>
      </c>
      <c r="U28" s="10"/>
    </row>
    <row r="29" spans="1:22" x14ac:dyDescent="0.35">
      <c r="A29">
        <v>2023</v>
      </c>
      <c r="B29" t="s">
        <v>772</v>
      </c>
      <c r="C29" t="s">
        <v>2923</v>
      </c>
      <c r="D29" t="s">
        <v>135</v>
      </c>
      <c r="E29" t="s">
        <v>136</v>
      </c>
      <c r="F29" t="s">
        <v>1395</v>
      </c>
      <c r="H29" t="s">
        <v>2200</v>
      </c>
      <c r="I29" t="s">
        <v>11</v>
      </c>
      <c r="J29" t="s">
        <v>19</v>
      </c>
      <c r="K29" t="s">
        <v>137</v>
      </c>
      <c r="L29" t="s">
        <v>125</v>
      </c>
      <c r="M29" t="s">
        <v>3016</v>
      </c>
      <c r="N29" t="s">
        <v>3024</v>
      </c>
      <c r="O29" t="s">
        <v>3030</v>
      </c>
      <c r="P29" t="s">
        <v>1589</v>
      </c>
      <c r="Q29" s="31">
        <v>82.6</v>
      </c>
      <c r="S29" t="s">
        <v>3023</v>
      </c>
    </row>
    <row r="30" spans="1:22" x14ac:dyDescent="0.35">
      <c r="A30">
        <v>2023</v>
      </c>
      <c r="B30" t="s">
        <v>772</v>
      </c>
      <c r="C30" t="s">
        <v>2923</v>
      </c>
      <c r="D30" t="s">
        <v>736</v>
      </c>
      <c r="E30" t="s">
        <v>26</v>
      </c>
      <c r="F30" t="s">
        <v>1135</v>
      </c>
      <c r="H30" t="s">
        <v>2037</v>
      </c>
      <c r="I30" t="s">
        <v>11</v>
      </c>
      <c r="J30" t="s">
        <v>13</v>
      </c>
      <c r="K30" t="s">
        <v>16</v>
      </c>
      <c r="L30" t="s">
        <v>16</v>
      </c>
      <c r="M30" t="s">
        <v>3015</v>
      </c>
      <c r="N30" t="s">
        <v>1630</v>
      </c>
      <c r="O30" t="s">
        <v>3030</v>
      </c>
      <c r="P30" t="s">
        <v>1567</v>
      </c>
      <c r="Q30" s="31">
        <v>2.2000000000000002</v>
      </c>
      <c r="R30" t="s">
        <v>3173</v>
      </c>
      <c r="S30" t="s">
        <v>1601</v>
      </c>
    </row>
    <row r="31" spans="1:22" x14ac:dyDescent="0.35">
      <c r="A31">
        <v>2023</v>
      </c>
      <c r="B31" t="s">
        <v>772</v>
      </c>
      <c r="C31" t="s">
        <v>2923</v>
      </c>
      <c r="D31" t="s">
        <v>784</v>
      </c>
      <c r="E31" t="s">
        <v>69</v>
      </c>
      <c r="F31" t="s">
        <v>1159</v>
      </c>
      <c r="H31" t="s">
        <v>2049</v>
      </c>
      <c r="I31" t="s">
        <v>11</v>
      </c>
      <c r="J31" t="s">
        <v>19</v>
      </c>
      <c r="K31" t="s">
        <v>64</v>
      </c>
      <c r="L31" t="s">
        <v>1776</v>
      </c>
      <c r="M31" t="s">
        <v>3015</v>
      </c>
      <c r="N31" t="s">
        <v>1780</v>
      </c>
      <c r="O31" t="s">
        <v>3197</v>
      </c>
      <c r="P31" t="s">
        <v>2945</v>
      </c>
      <c r="Q31">
        <v>5.7994562228508197</v>
      </c>
      <c r="R31" t="s">
        <v>3200</v>
      </c>
      <c r="S31" t="s">
        <v>1601</v>
      </c>
      <c r="T31" s="31"/>
      <c r="U31" s="10"/>
    </row>
    <row r="32" spans="1:22" x14ac:dyDescent="0.35">
      <c r="A32">
        <v>2024</v>
      </c>
      <c r="B32" t="s">
        <v>772</v>
      </c>
      <c r="C32" t="s">
        <v>2923</v>
      </c>
      <c r="D32" t="s">
        <v>784</v>
      </c>
      <c r="E32" t="s">
        <v>69</v>
      </c>
      <c r="F32" t="s">
        <v>1159</v>
      </c>
      <c r="H32" t="s">
        <v>2049</v>
      </c>
      <c r="I32" t="s">
        <v>11</v>
      </c>
      <c r="J32" t="s">
        <v>19</v>
      </c>
      <c r="K32" t="s">
        <v>64</v>
      </c>
      <c r="L32" t="s">
        <v>16</v>
      </c>
      <c r="M32" t="s">
        <v>3015</v>
      </c>
      <c r="N32" t="s">
        <v>1630</v>
      </c>
      <c r="O32" t="s">
        <v>3030</v>
      </c>
      <c r="P32" t="s">
        <v>1567</v>
      </c>
      <c r="Q32" s="31">
        <v>0.81</v>
      </c>
      <c r="R32" t="s">
        <v>2952</v>
      </c>
      <c r="S32" t="s">
        <v>1601</v>
      </c>
    </row>
    <row r="33" spans="1:21" x14ac:dyDescent="0.35">
      <c r="A33">
        <v>2024</v>
      </c>
      <c r="B33" t="s">
        <v>772</v>
      </c>
      <c r="C33" t="s">
        <v>2923</v>
      </c>
      <c r="D33" t="s">
        <v>784</v>
      </c>
      <c r="E33" t="s">
        <v>69</v>
      </c>
      <c r="F33" t="s">
        <v>1159</v>
      </c>
      <c r="H33" t="s">
        <v>2049</v>
      </c>
      <c r="I33" t="s">
        <v>11</v>
      </c>
      <c r="J33" t="s">
        <v>19</v>
      </c>
      <c r="K33" t="s">
        <v>64</v>
      </c>
      <c r="L33" t="s">
        <v>16</v>
      </c>
      <c r="M33" t="s">
        <v>3015</v>
      </c>
      <c r="N33" t="s">
        <v>1735</v>
      </c>
      <c r="O33" t="s">
        <v>3030</v>
      </c>
      <c r="P33" t="s">
        <v>1567</v>
      </c>
      <c r="Q33" s="31">
        <v>0.91</v>
      </c>
      <c r="R33" t="s">
        <v>2952</v>
      </c>
      <c r="S33" t="s">
        <v>1601</v>
      </c>
    </row>
    <row r="34" spans="1:21" x14ac:dyDescent="0.35">
      <c r="A34">
        <v>2024</v>
      </c>
      <c r="B34" t="s">
        <v>772</v>
      </c>
      <c r="C34" t="s">
        <v>2923</v>
      </c>
      <c r="D34" t="s">
        <v>784</v>
      </c>
      <c r="E34" t="s">
        <v>69</v>
      </c>
      <c r="F34" t="s">
        <v>1159</v>
      </c>
      <c r="H34" t="s">
        <v>2049</v>
      </c>
      <c r="I34" t="s">
        <v>11</v>
      </c>
      <c r="J34" t="s">
        <v>19</v>
      </c>
      <c r="K34" t="s">
        <v>64</v>
      </c>
      <c r="L34" t="s">
        <v>16</v>
      </c>
      <c r="M34" t="s">
        <v>3015</v>
      </c>
      <c r="N34" t="s">
        <v>1716</v>
      </c>
      <c r="O34" t="s">
        <v>3030</v>
      </c>
      <c r="P34" t="s">
        <v>1589</v>
      </c>
      <c r="Q34" s="31">
        <v>95</v>
      </c>
      <c r="R34" t="s">
        <v>2952</v>
      </c>
      <c r="S34" t="s">
        <v>1601</v>
      </c>
    </row>
    <row r="35" spans="1:21" x14ac:dyDescent="0.35">
      <c r="A35">
        <v>2024</v>
      </c>
      <c r="B35" t="s">
        <v>772</v>
      </c>
      <c r="C35" t="s">
        <v>2923</v>
      </c>
      <c r="D35" t="s">
        <v>8</v>
      </c>
      <c r="E35" t="s">
        <v>9</v>
      </c>
      <c r="F35" t="s">
        <v>1264</v>
      </c>
      <c r="H35" t="s">
        <v>1902</v>
      </c>
      <c r="I35" t="s">
        <v>11</v>
      </c>
      <c r="J35" t="s">
        <v>23</v>
      </c>
      <c r="K35" t="s">
        <v>12</v>
      </c>
      <c r="L35" t="s">
        <v>1549</v>
      </c>
      <c r="M35" t="s">
        <v>3015</v>
      </c>
      <c r="N35" t="s">
        <v>1735</v>
      </c>
      <c r="O35" t="s">
        <v>3030</v>
      </c>
      <c r="P35" t="s">
        <v>1567</v>
      </c>
      <c r="Q35" s="31">
        <v>944</v>
      </c>
      <c r="R35" s="31"/>
      <c r="S35" t="s">
        <v>3181</v>
      </c>
    </row>
    <row r="36" spans="1:21" x14ac:dyDescent="0.35">
      <c r="A36">
        <v>2024</v>
      </c>
      <c r="B36" t="s">
        <v>772</v>
      </c>
      <c r="C36" t="s">
        <v>2923</v>
      </c>
      <c r="D36" t="s">
        <v>8</v>
      </c>
      <c r="E36" t="s">
        <v>9</v>
      </c>
      <c r="F36" t="s">
        <v>1264</v>
      </c>
      <c r="H36" t="s">
        <v>1902</v>
      </c>
      <c r="I36" t="s">
        <v>11</v>
      </c>
      <c r="J36" t="s">
        <v>23</v>
      </c>
      <c r="K36" t="s">
        <v>12</v>
      </c>
      <c r="L36" t="s">
        <v>1615</v>
      </c>
      <c r="M36" t="s">
        <v>3015</v>
      </c>
      <c r="N36" t="s">
        <v>1735</v>
      </c>
      <c r="O36" t="s">
        <v>3030</v>
      </c>
      <c r="P36" t="s">
        <v>1589</v>
      </c>
      <c r="Q36" s="31">
        <v>2.11</v>
      </c>
      <c r="R36" s="31"/>
      <c r="S36" t="s">
        <v>3181</v>
      </c>
    </row>
    <row r="37" spans="1:21" x14ac:dyDescent="0.35">
      <c r="A37">
        <v>2024</v>
      </c>
      <c r="B37" t="s">
        <v>772</v>
      </c>
      <c r="C37" t="s">
        <v>2923</v>
      </c>
      <c r="D37" t="s">
        <v>8</v>
      </c>
      <c r="E37" t="s">
        <v>9</v>
      </c>
      <c r="F37" t="s">
        <v>1264</v>
      </c>
      <c r="H37" t="s">
        <v>1902</v>
      </c>
      <c r="I37" t="s">
        <v>11</v>
      </c>
      <c r="J37" t="s">
        <v>23</v>
      </c>
      <c r="K37" t="s">
        <v>12</v>
      </c>
      <c r="L37" t="s">
        <v>1551</v>
      </c>
      <c r="M37" t="s">
        <v>3015</v>
      </c>
      <c r="N37" t="s">
        <v>1735</v>
      </c>
      <c r="O37" t="s">
        <v>3030</v>
      </c>
      <c r="P37" t="s">
        <v>1589</v>
      </c>
      <c r="Q37" s="31">
        <v>1.34</v>
      </c>
      <c r="R37" s="31"/>
      <c r="S37" t="s">
        <v>3181</v>
      </c>
    </row>
    <row r="38" spans="1:21" x14ac:dyDescent="0.35">
      <c r="A38">
        <v>2023</v>
      </c>
      <c r="B38" t="s">
        <v>772</v>
      </c>
      <c r="C38" t="s">
        <v>2923</v>
      </c>
      <c r="D38" t="s">
        <v>27</v>
      </c>
      <c r="E38" t="s">
        <v>28</v>
      </c>
      <c r="F38" t="s">
        <v>1166</v>
      </c>
      <c r="H38" t="s">
        <v>2055</v>
      </c>
      <c r="I38" t="s">
        <v>11</v>
      </c>
      <c r="J38" t="s">
        <v>23</v>
      </c>
      <c r="K38" t="s">
        <v>16</v>
      </c>
      <c r="L38" t="s">
        <v>1776</v>
      </c>
      <c r="M38" t="s">
        <v>3015</v>
      </c>
      <c r="N38" t="s">
        <v>1780</v>
      </c>
      <c r="O38" t="s">
        <v>3197</v>
      </c>
      <c r="P38" t="s">
        <v>2945</v>
      </c>
      <c r="Q38">
        <v>1.20852695359985</v>
      </c>
      <c r="R38" t="s">
        <v>3201</v>
      </c>
      <c r="S38" t="s">
        <v>1831</v>
      </c>
      <c r="T38" s="31"/>
      <c r="U38" s="10"/>
    </row>
    <row r="39" spans="1:21" x14ac:dyDescent="0.35">
      <c r="A39">
        <v>2023</v>
      </c>
      <c r="B39" t="s">
        <v>772</v>
      </c>
      <c r="C39" t="s">
        <v>2923</v>
      </c>
      <c r="D39" t="s">
        <v>793</v>
      </c>
      <c r="E39" t="s">
        <v>129</v>
      </c>
      <c r="F39" t="s">
        <v>1190</v>
      </c>
      <c r="H39" t="s">
        <v>3171</v>
      </c>
      <c r="I39" t="s">
        <v>11</v>
      </c>
      <c r="J39" t="s">
        <v>19</v>
      </c>
      <c r="K39" t="s">
        <v>130</v>
      </c>
      <c r="L39" t="s">
        <v>16</v>
      </c>
      <c r="M39" t="s">
        <v>3015</v>
      </c>
      <c r="N39" t="s">
        <v>1735</v>
      </c>
      <c r="O39" t="s">
        <v>3030</v>
      </c>
      <c r="P39" t="s">
        <v>1567</v>
      </c>
      <c r="Q39" s="31">
        <v>0.36</v>
      </c>
      <c r="S39" t="s">
        <v>1885</v>
      </c>
    </row>
    <row r="40" spans="1:21" x14ac:dyDescent="0.35">
      <c r="A40">
        <v>2023</v>
      </c>
      <c r="B40" t="s">
        <v>772</v>
      </c>
      <c r="C40" t="s">
        <v>2923</v>
      </c>
      <c r="D40" t="s">
        <v>793</v>
      </c>
      <c r="E40" t="s">
        <v>129</v>
      </c>
      <c r="F40" t="s">
        <v>1190</v>
      </c>
      <c r="H40" t="s">
        <v>3172</v>
      </c>
      <c r="I40" t="s">
        <v>11</v>
      </c>
      <c r="J40" t="s">
        <v>19</v>
      </c>
      <c r="K40" t="s">
        <v>130</v>
      </c>
      <c r="L40" t="s">
        <v>16</v>
      </c>
      <c r="M40" t="s">
        <v>3015</v>
      </c>
      <c r="N40" t="s">
        <v>1716</v>
      </c>
      <c r="O40" t="s">
        <v>3030</v>
      </c>
      <c r="P40" t="s">
        <v>1589</v>
      </c>
      <c r="Q40" s="31">
        <v>64</v>
      </c>
      <c r="S40" t="s">
        <v>1885</v>
      </c>
    </row>
    <row r="41" spans="1:21" x14ac:dyDescent="0.35">
      <c r="A41">
        <v>2023</v>
      </c>
      <c r="B41" t="s">
        <v>772</v>
      </c>
      <c r="C41" t="s">
        <v>2923</v>
      </c>
      <c r="D41" t="s">
        <v>859</v>
      </c>
      <c r="E41" t="s">
        <v>203</v>
      </c>
      <c r="F41" t="s">
        <v>1277</v>
      </c>
      <c r="H41" t="s">
        <v>2119</v>
      </c>
      <c r="I41" t="s">
        <v>11</v>
      </c>
      <c r="J41" t="s">
        <v>23</v>
      </c>
      <c r="K41" t="s">
        <v>204</v>
      </c>
      <c r="L41" t="s">
        <v>2999</v>
      </c>
      <c r="M41" t="s">
        <v>3015</v>
      </c>
      <c r="N41" t="s">
        <v>1735</v>
      </c>
      <c r="O41" t="s">
        <v>3030</v>
      </c>
      <c r="P41" t="s">
        <v>1567</v>
      </c>
      <c r="Q41" s="31">
        <v>3.88</v>
      </c>
      <c r="S41" t="s">
        <v>1939</v>
      </c>
    </row>
    <row r="42" spans="1:21" x14ac:dyDescent="0.35">
      <c r="A42">
        <v>2023</v>
      </c>
      <c r="B42" t="s">
        <v>772</v>
      </c>
      <c r="C42" t="s">
        <v>2923</v>
      </c>
      <c r="D42" t="s">
        <v>717</v>
      </c>
      <c r="E42" t="s">
        <v>89</v>
      </c>
      <c r="F42" t="s">
        <v>1269</v>
      </c>
      <c r="G42" t="s">
        <v>1854</v>
      </c>
      <c r="H42" t="s">
        <v>1853</v>
      </c>
      <c r="I42" t="s">
        <v>11</v>
      </c>
      <c r="J42" t="s">
        <v>21</v>
      </c>
      <c r="K42" t="s">
        <v>90</v>
      </c>
      <c r="L42" t="s">
        <v>125</v>
      </c>
      <c r="M42" t="s">
        <v>3015</v>
      </c>
      <c r="N42" t="s">
        <v>1630</v>
      </c>
      <c r="O42" t="s">
        <v>3030</v>
      </c>
      <c r="P42" t="s">
        <v>1589</v>
      </c>
      <c r="Q42" s="31">
        <v>0.86</v>
      </c>
      <c r="S42" t="s">
        <v>1777</v>
      </c>
    </row>
    <row r="43" spans="1:21" x14ac:dyDescent="0.35">
      <c r="A43">
        <v>2023</v>
      </c>
      <c r="B43" t="s">
        <v>772</v>
      </c>
      <c r="C43" t="s">
        <v>2923</v>
      </c>
      <c r="D43" t="s">
        <v>30</v>
      </c>
      <c r="E43" t="s">
        <v>31</v>
      </c>
      <c r="F43" t="s">
        <v>1210</v>
      </c>
      <c r="H43" t="s">
        <v>2080</v>
      </c>
      <c r="I43" t="s">
        <v>11</v>
      </c>
      <c r="J43" t="s">
        <v>13</v>
      </c>
      <c r="K43" t="s">
        <v>16</v>
      </c>
      <c r="L43" t="s">
        <v>16</v>
      </c>
      <c r="M43" t="s">
        <v>3015</v>
      </c>
      <c r="N43" t="s">
        <v>1735</v>
      </c>
      <c r="O43" t="s">
        <v>3030</v>
      </c>
      <c r="P43" t="s">
        <v>1567</v>
      </c>
      <c r="Q43" s="31">
        <v>6.76</v>
      </c>
      <c r="S43" t="s">
        <v>1885</v>
      </c>
    </row>
    <row r="44" spans="1:21" x14ac:dyDescent="0.35">
      <c r="A44">
        <v>2023</v>
      </c>
      <c r="B44" t="s">
        <v>772</v>
      </c>
      <c r="C44" t="s">
        <v>2923</v>
      </c>
      <c r="D44" t="s">
        <v>717</v>
      </c>
      <c r="E44" t="s">
        <v>89</v>
      </c>
      <c r="F44" t="s">
        <v>1269</v>
      </c>
      <c r="G44" t="s">
        <v>1854</v>
      </c>
      <c r="H44" t="s">
        <v>1853</v>
      </c>
      <c r="I44" t="s">
        <v>11</v>
      </c>
      <c r="J44" t="s">
        <v>21</v>
      </c>
      <c r="K44" t="s">
        <v>90</v>
      </c>
      <c r="L44" t="s">
        <v>1549</v>
      </c>
      <c r="M44" t="s">
        <v>3015</v>
      </c>
      <c r="N44" t="s">
        <v>1630</v>
      </c>
      <c r="O44" t="s">
        <v>3030</v>
      </c>
      <c r="P44" t="s">
        <v>1567</v>
      </c>
      <c r="Q44" s="31">
        <v>24.51</v>
      </c>
      <c r="S44" t="s">
        <v>1777</v>
      </c>
    </row>
    <row r="45" spans="1:21" x14ac:dyDescent="0.35">
      <c r="A45">
        <v>2023</v>
      </c>
      <c r="B45" t="s">
        <v>772</v>
      </c>
      <c r="C45" t="s">
        <v>2923</v>
      </c>
      <c r="D45" t="s">
        <v>717</v>
      </c>
      <c r="E45" t="s">
        <v>89</v>
      </c>
      <c r="F45" t="s">
        <v>1269</v>
      </c>
      <c r="G45" t="s">
        <v>1854</v>
      </c>
      <c r="H45" t="s">
        <v>1853</v>
      </c>
      <c r="I45" t="s">
        <v>11</v>
      </c>
      <c r="J45" t="s">
        <v>21</v>
      </c>
      <c r="K45" t="s">
        <v>90</v>
      </c>
      <c r="L45" t="s">
        <v>1551</v>
      </c>
      <c r="M45" t="s">
        <v>3015</v>
      </c>
      <c r="N45" t="s">
        <v>1630</v>
      </c>
      <c r="O45" t="s">
        <v>3030</v>
      </c>
      <c r="P45" t="s">
        <v>1589</v>
      </c>
      <c r="Q45" s="31">
        <v>3</v>
      </c>
      <c r="S45" t="s">
        <v>1777</v>
      </c>
    </row>
    <row r="46" spans="1:21" x14ac:dyDescent="0.35">
      <c r="A46">
        <v>2023</v>
      </c>
      <c r="B46" t="s">
        <v>772</v>
      </c>
      <c r="C46" t="s">
        <v>2923</v>
      </c>
      <c r="D46" t="s">
        <v>30</v>
      </c>
      <c r="E46" t="s">
        <v>31</v>
      </c>
      <c r="F46" t="s">
        <v>1210</v>
      </c>
      <c r="H46" t="s">
        <v>2080</v>
      </c>
      <c r="I46" t="s">
        <v>11</v>
      </c>
      <c r="J46" t="s">
        <v>13</v>
      </c>
      <c r="K46" t="s">
        <v>16</v>
      </c>
      <c r="L46" t="s">
        <v>16</v>
      </c>
      <c r="M46" t="s">
        <v>3015</v>
      </c>
      <c r="N46" t="s">
        <v>1716</v>
      </c>
      <c r="O46" t="s">
        <v>3030</v>
      </c>
      <c r="P46" t="s">
        <v>1589</v>
      </c>
      <c r="Q46" s="31">
        <v>0.97099999999999997</v>
      </c>
      <c r="S46" t="s">
        <v>1885</v>
      </c>
    </row>
    <row r="47" spans="1:21" x14ac:dyDescent="0.35">
      <c r="A47">
        <v>2023</v>
      </c>
      <c r="B47" t="s">
        <v>772</v>
      </c>
      <c r="C47" t="s">
        <v>2923</v>
      </c>
      <c r="D47" t="s">
        <v>798</v>
      </c>
      <c r="E47" t="s">
        <v>71</v>
      </c>
      <c r="F47" t="s">
        <v>1215</v>
      </c>
      <c r="H47" t="s">
        <v>2085</v>
      </c>
      <c r="I47" t="s">
        <v>11</v>
      </c>
      <c r="J47" t="s">
        <v>13</v>
      </c>
      <c r="K47" t="s">
        <v>64</v>
      </c>
      <c r="L47" t="s">
        <v>1776</v>
      </c>
      <c r="M47" t="s">
        <v>3015</v>
      </c>
      <c r="N47" t="s">
        <v>1780</v>
      </c>
      <c r="O47" t="s">
        <v>3197</v>
      </c>
      <c r="P47" t="s">
        <v>2945</v>
      </c>
      <c r="Q47">
        <v>1.1810594530320999</v>
      </c>
      <c r="R47" t="s">
        <v>3202</v>
      </c>
      <c r="S47" t="s">
        <v>1829</v>
      </c>
    </row>
    <row r="48" spans="1:21" x14ac:dyDescent="0.35">
      <c r="A48">
        <v>2024</v>
      </c>
      <c r="B48" t="s">
        <v>772</v>
      </c>
      <c r="C48" t="s">
        <v>2923</v>
      </c>
      <c r="D48" t="s">
        <v>855</v>
      </c>
      <c r="E48" t="s">
        <v>33</v>
      </c>
      <c r="F48" t="s">
        <v>1257</v>
      </c>
      <c r="H48" t="s">
        <v>2109</v>
      </c>
      <c r="I48" t="s">
        <v>11</v>
      </c>
      <c r="J48" t="s">
        <v>13</v>
      </c>
      <c r="K48" t="s">
        <v>64</v>
      </c>
      <c r="L48" t="s">
        <v>16</v>
      </c>
      <c r="M48" t="s">
        <v>3014</v>
      </c>
      <c r="N48" t="s">
        <v>1780</v>
      </c>
      <c r="O48" t="s">
        <v>3030</v>
      </c>
      <c r="P48" t="s">
        <v>2945</v>
      </c>
      <c r="Q48">
        <v>47.7</v>
      </c>
      <c r="S48" s="2" t="s">
        <v>2943</v>
      </c>
    </row>
    <row r="49" spans="1:21" x14ac:dyDescent="0.35">
      <c r="A49">
        <v>2024</v>
      </c>
      <c r="B49" t="s">
        <v>772</v>
      </c>
      <c r="C49" t="s">
        <v>2923</v>
      </c>
      <c r="D49" t="s">
        <v>855</v>
      </c>
      <c r="E49" t="s">
        <v>33</v>
      </c>
      <c r="F49" t="s">
        <v>1257</v>
      </c>
      <c r="H49" t="s">
        <v>2109</v>
      </c>
      <c r="I49" t="s">
        <v>11</v>
      </c>
      <c r="J49" t="s">
        <v>13</v>
      </c>
      <c r="K49" t="s">
        <v>64</v>
      </c>
      <c r="L49" t="s">
        <v>16</v>
      </c>
      <c r="M49" t="s">
        <v>3015</v>
      </c>
      <c r="N49" t="s">
        <v>1630</v>
      </c>
      <c r="O49" t="s">
        <v>3030</v>
      </c>
      <c r="P49" t="s">
        <v>1567</v>
      </c>
      <c r="Q49" s="31">
        <v>4.26</v>
      </c>
      <c r="S49" t="s">
        <v>2943</v>
      </c>
    </row>
    <row r="50" spans="1:21" x14ac:dyDescent="0.35">
      <c r="A50">
        <v>2023</v>
      </c>
      <c r="B50" t="s">
        <v>772</v>
      </c>
      <c r="C50" t="s">
        <v>2923</v>
      </c>
      <c r="D50" t="s">
        <v>14</v>
      </c>
      <c r="E50" t="s">
        <v>91</v>
      </c>
      <c r="F50" t="s">
        <v>1126</v>
      </c>
      <c r="H50" t="s">
        <v>2034</v>
      </c>
      <c r="I50" t="s">
        <v>11</v>
      </c>
      <c r="J50" t="s">
        <v>13</v>
      </c>
      <c r="K50" t="s">
        <v>92</v>
      </c>
      <c r="L50" t="s">
        <v>1549</v>
      </c>
      <c r="M50" t="s">
        <v>3015</v>
      </c>
      <c r="N50" t="s">
        <v>1735</v>
      </c>
      <c r="O50" t="s">
        <v>3030</v>
      </c>
      <c r="P50" t="s">
        <v>1567</v>
      </c>
      <c r="Q50" s="48">
        <v>16.149999999999999</v>
      </c>
      <c r="S50" t="s">
        <v>2998</v>
      </c>
    </row>
    <row r="51" spans="1:21" x14ac:dyDescent="0.35">
      <c r="A51">
        <v>2023</v>
      </c>
      <c r="B51" t="s">
        <v>772</v>
      </c>
      <c r="C51" t="s">
        <v>2923</v>
      </c>
      <c r="D51" t="s">
        <v>14</v>
      </c>
      <c r="E51" t="s">
        <v>91</v>
      </c>
      <c r="F51" t="s">
        <v>1126</v>
      </c>
      <c r="H51" t="s">
        <v>2034</v>
      </c>
      <c r="I51" t="s">
        <v>11</v>
      </c>
      <c r="J51" t="s">
        <v>13</v>
      </c>
      <c r="K51" t="s">
        <v>92</v>
      </c>
      <c r="L51" t="s">
        <v>1551</v>
      </c>
      <c r="M51" t="s">
        <v>3015</v>
      </c>
      <c r="N51" t="s">
        <v>1735</v>
      </c>
      <c r="O51" t="s">
        <v>3030</v>
      </c>
      <c r="P51" t="s">
        <v>1589</v>
      </c>
      <c r="Q51" s="48">
        <v>0.44</v>
      </c>
      <c r="S51" t="s">
        <v>2998</v>
      </c>
    </row>
    <row r="52" spans="1:21" x14ac:dyDescent="0.35">
      <c r="A52">
        <v>2023</v>
      </c>
      <c r="B52" t="s">
        <v>772</v>
      </c>
      <c r="C52" t="s">
        <v>2923</v>
      </c>
      <c r="D52" t="s">
        <v>14</v>
      </c>
      <c r="E52" t="s">
        <v>91</v>
      </c>
      <c r="F52" t="s">
        <v>1126</v>
      </c>
      <c r="H52" t="s">
        <v>2034</v>
      </c>
      <c r="I52" t="s">
        <v>11</v>
      </c>
      <c r="J52" t="s">
        <v>13</v>
      </c>
      <c r="K52" t="s">
        <v>92</v>
      </c>
      <c r="L52" t="s">
        <v>125</v>
      </c>
      <c r="M52" t="s">
        <v>3015</v>
      </c>
      <c r="N52" t="s">
        <v>1735</v>
      </c>
      <c r="O52" t="s">
        <v>3030</v>
      </c>
      <c r="P52" t="s">
        <v>1589</v>
      </c>
      <c r="Q52" s="48">
        <v>0.13</v>
      </c>
      <c r="S52" t="s">
        <v>2998</v>
      </c>
    </row>
    <row r="53" spans="1:21" x14ac:dyDescent="0.35">
      <c r="A53">
        <v>2023</v>
      </c>
      <c r="B53" t="s">
        <v>772</v>
      </c>
      <c r="C53" t="s">
        <v>2923</v>
      </c>
      <c r="D53" t="s">
        <v>717</v>
      </c>
      <c r="E53" t="s">
        <v>132</v>
      </c>
      <c r="F53" t="s">
        <v>1270</v>
      </c>
      <c r="H53" t="s">
        <v>1853</v>
      </c>
      <c r="I53" t="s">
        <v>11</v>
      </c>
      <c r="J53" t="s">
        <v>21</v>
      </c>
      <c r="K53" t="s">
        <v>130</v>
      </c>
      <c r="L53" t="s">
        <v>1776</v>
      </c>
      <c r="M53" t="s">
        <v>3014</v>
      </c>
      <c r="N53" t="s">
        <v>1780</v>
      </c>
      <c r="O53" t="s">
        <v>3030</v>
      </c>
      <c r="P53" t="s">
        <v>2945</v>
      </c>
      <c r="Q53" s="31">
        <v>3.82</v>
      </c>
      <c r="R53" t="s">
        <v>3002</v>
      </c>
      <c r="S53" t="s">
        <v>1777</v>
      </c>
    </row>
    <row r="54" spans="1:21" x14ac:dyDescent="0.35">
      <c r="A54">
        <v>2023</v>
      </c>
      <c r="B54" t="s">
        <v>772</v>
      </c>
      <c r="C54" t="s">
        <v>2923</v>
      </c>
      <c r="D54" t="s">
        <v>14</v>
      </c>
      <c r="E54" t="s">
        <v>91</v>
      </c>
      <c r="F54" t="s">
        <v>1126</v>
      </c>
      <c r="H54" t="s">
        <v>2034</v>
      </c>
      <c r="I54" t="s">
        <v>11</v>
      </c>
      <c r="J54" t="s">
        <v>13</v>
      </c>
      <c r="K54" t="s">
        <v>92</v>
      </c>
      <c r="L54" t="s">
        <v>1549</v>
      </c>
      <c r="M54" t="s">
        <v>3015</v>
      </c>
      <c r="N54" t="s">
        <v>1716</v>
      </c>
      <c r="O54" t="s">
        <v>3030</v>
      </c>
      <c r="P54" t="s">
        <v>1589</v>
      </c>
      <c r="Q54" s="47">
        <v>85.7</v>
      </c>
      <c r="R54" s="50"/>
      <c r="S54" t="s">
        <v>2998</v>
      </c>
    </row>
    <row r="55" spans="1:21" x14ac:dyDescent="0.35">
      <c r="A55">
        <v>2023</v>
      </c>
      <c r="B55" t="s">
        <v>772</v>
      </c>
      <c r="C55" t="s">
        <v>2923</v>
      </c>
      <c r="D55" t="s">
        <v>14</v>
      </c>
      <c r="E55" t="s">
        <v>91</v>
      </c>
      <c r="F55" t="s">
        <v>1126</v>
      </c>
      <c r="H55" t="s">
        <v>2034</v>
      </c>
      <c r="I55" t="s">
        <v>11</v>
      </c>
      <c r="J55" t="s">
        <v>13</v>
      </c>
      <c r="K55" t="s">
        <v>92</v>
      </c>
      <c r="L55" t="s">
        <v>1551</v>
      </c>
      <c r="M55" t="s">
        <v>3015</v>
      </c>
      <c r="N55" t="s">
        <v>1716</v>
      </c>
      <c r="O55" t="s">
        <v>3030</v>
      </c>
      <c r="P55" t="s">
        <v>1589</v>
      </c>
      <c r="Q55" s="47">
        <v>76.8</v>
      </c>
      <c r="R55" s="50"/>
      <c r="S55" t="s">
        <v>2998</v>
      </c>
    </row>
    <row r="56" spans="1:21" x14ac:dyDescent="0.35">
      <c r="A56">
        <v>2023</v>
      </c>
      <c r="B56" t="s">
        <v>772</v>
      </c>
      <c r="C56" t="s">
        <v>2923</v>
      </c>
      <c r="D56" t="s">
        <v>14</v>
      </c>
      <c r="E56" t="s">
        <v>91</v>
      </c>
      <c r="F56" t="s">
        <v>1126</v>
      </c>
      <c r="H56" t="s">
        <v>2034</v>
      </c>
      <c r="I56" t="s">
        <v>11</v>
      </c>
      <c r="J56" t="s">
        <v>13</v>
      </c>
      <c r="K56" t="s">
        <v>92</v>
      </c>
      <c r="L56" t="s">
        <v>125</v>
      </c>
      <c r="M56" t="s">
        <v>3015</v>
      </c>
      <c r="N56" t="s">
        <v>1716</v>
      </c>
      <c r="O56" t="s">
        <v>3030</v>
      </c>
      <c r="P56" t="s">
        <v>1589</v>
      </c>
      <c r="Q56" s="47">
        <v>80.8</v>
      </c>
      <c r="R56" s="50"/>
      <c r="S56" t="s">
        <v>2998</v>
      </c>
    </row>
    <row r="57" spans="1:21" x14ac:dyDescent="0.35">
      <c r="A57">
        <v>2023</v>
      </c>
      <c r="B57" t="s">
        <v>772</v>
      </c>
      <c r="C57" t="s">
        <v>2923</v>
      </c>
      <c r="D57" t="s">
        <v>717</v>
      </c>
      <c r="E57" t="s">
        <v>132</v>
      </c>
      <c r="F57" t="s">
        <v>1270</v>
      </c>
      <c r="H57" t="s">
        <v>1853</v>
      </c>
      <c r="I57" t="s">
        <v>11</v>
      </c>
      <c r="J57" t="s">
        <v>21</v>
      </c>
      <c r="K57" t="s">
        <v>130</v>
      </c>
      <c r="L57" t="s">
        <v>16</v>
      </c>
      <c r="M57" t="s">
        <v>3015</v>
      </c>
      <c r="N57" t="s">
        <v>1735</v>
      </c>
      <c r="O57" t="s">
        <v>3030</v>
      </c>
      <c r="P57" t="s">
        <v>1567</v>
      </c>
      <c r="Q57" s="31">
        <v>7.0000000000000007E-2</v>
      </c>
      <c r="S57" t="s">
        <v>1777</v>
      </c>
    </row>
    <row r="58" spans="1:21" x14ac:dyDescent="0.35">
      <c r="A58">
        <v>2023</v>
      </c>
      <c r="B58" t="s">
        <v>772</v>
      </c>
      <c r="C58" t="s">
        <v>2923</v>
      </c>
      <c r="D58" t="s">
        <v>717</v>
      </c>
      <c r="E58" t="s">
        <v>132</v>
      </c>
      <c r="F58" t="s">
        <v>1270</v>
      </c>
      <c r="H58" t="s">
        <v>1853</v>
      </c>
      <c r="I58" t="s">
        <v>11</v>
      </c>
      <c r="J58" t="s">
        <v>21</v>
      </c>
      <c r="K58" t="s">
        <v>130</v>
      </c>
      <c r="L58" t="s">
        <v>16</v>
      </c>
      <c r="M58" t="s">
        <v>3015</v>
      </c>
      <c r="N58" t="s">
        <v>1716</v>
      </c>
      <c r="O58" t="s">
        <v>3030</v>
      </c>
      <c r="P58" t="s">
        <v>1589</v>
      </c>
      <c r="Q58" s="31">
        <v>55.9</v>
      </c>
      <c r="R58" t="s">
        <v>3002</v>
      </c>
      <c r="S58" t="s">
        <v>1777</v>
      </c>
    </row>
    <row r="59" spans="1:21" x14ac:dyDescent="0.35">
      <c r="A59">
        <v>2023</v>
      </c>
      <c r="B59" t="s">
        <v>772</v>
      </c>
      <c r="C59" t="s">
        <v>2923</v>
      </c>
      <c r="D59" t="s">
        <v>717</v>
      </c>
      <c r="E59" t="s">
        <v>87</v>
      </c>
      <c r="F59" t="s">
        <v>1267</v>
      </c>
      <c r="G59" t="s">
        <v>1854</v>
      </c>
      <c r="H59" t="s">
        <v>1853</v>
      </c>
      <c r="I59" t="s">
        <v>11</v>
      </c>
      <c r="J59" t="s">
        <v>44</v>
      </c>
      <c r="K59" t="s">
        <v>88</v>
      </c>
      <c r="L59" t="s">
        <v>16</v>
      </c>
      <c r="M59" t="s">
        <v>3015</v>
      </c>
      <c r="N59" t="s">
        <v>1735</v>
      </c>
      <c r="O59" t="s">
        <v>3030</v>
      </c>
      <c r="P59" t="s">
        <v>1567</v>
      </c>
      <c r="Q59" s="31">
        <v>3.45</v>
      </c>
      <c r="S59" t="s">
        <v>1777</v>
      </c>
      <c r="T59" s="31"/>
      <c r="U59" s="10"/>
    </row>
    <row r="60" spans="1:21" x14ac:dyDescent="0.35">
      <c r="A60">
        <v>2023</v>
      </c>
      <c r="B60" t="s">
        <v>772</v>
      </c>
      <c r="C60" t="s">
        <v>2923</v>
      </c>
      <c r="D60" t="s">
        <v>717</v>
      </c>
      <c r="E60" t="s">
        <v>87</v>
      </c>
      <c r="F60" t="s">
        <v>1267</v>
      </c>
      <c r="G60" t="s">
        <v>1854</v>
      </c>
      <c r="H60" t="s">
        <v>1853</v>
      </c>
      <c r="I60" t="s">
        <v>11</v>
      </c>
      <c r="J60" t="s">
        <v>44</v>
      </c>
      <c r="K60" t="s">
        <v>88</v>
      </c>
      <c r="L60" t="s">
        <v>16</v>
      </c>
      <c r="M60" t="s">
        <v>3015</v>
      </c>
      <c r="N60" t="s">
        <v>1716</v>
      </c>
      <c r="O60" t="s">
        <v>3030</v>
      </c>
      <c r="P60" t="s">
        <v>1589</v>
      </c>
      <c r="Q60" s="31">
        <v>64.8</v>
      </c>
      <c r="S60" t="s">
        <v>1777</v>
      </c>
    </row>
    <row r="61" spans="1:21" x14ac:dyDescent="0.35">
      <c r="A61">
        <v>2023</v>
      </c>
      <c r="B61" t="s">
        <v>772</v>
      </c>
      <c r="C61" t="s">
        <v>2923</v>
      </c>
      <c r="D61" t="s">
        <v>138</v>
      </c>
      <c r="E61" t="s">
        <v>139</v>
      </c>
      <c r="F61" t="s">
        <v>1285</v>
      </c>
      <c r="H61" t="s">
        <v>2124</v>
      </c>
      <c r="I61" t="s">
        <v>11</v>
      </c>
      <c r="J61" t="s">
        <v>44</v>
      </c>
      <c r="K61" t="s">
        <v>141</v>
      </c>
      <c r="L61" t="s">
        <v>1769</v>
      </c>
      <c r="M61" t="s">
        <v>3015</v>
      </c>
      <c r="N61" t="s">
        <v>1735</v>
      </c>
      <c r="O61" t="s">
        <v>3030</v>
      </c>
      <c r="P61" t="s">
        <v>1589</v>
      </c>
      <c r="Q61" s="31">
        <v>0.01</v>
      </c>
      <c r="S61" t="s">
        <v>2125</v>
      </c>
    </row>
    <row r="62" spans="1:21" x14ac:dyDescent="0.35">
      <c r="A62">
        <v>2023</v>
      </c>
      <c r="B62" t="s">
        <v>772</v>
      </c>
      <c r="C62" t="s">
        <v>2923</v>
      </c>
      <c r="D62" t="s">
        <v>138</v>
      </c>
      <c r="E62" t="s">
        <v>139</v>
      </c>
      <c r="F62" t="s">
        <v>1285</v>
      </c>
      <c r="H62" t="s">
        <v>2124</v>
      </c>
      <c r="I62" t="s">
        <v>11</v>
      </c>
      <c r="J62" t="s">
        <v>44</v>
      </c>
      <c r="K62" t="s">
        <v>141</v>
      </c>
      <c r="L62" t="s">
        <v>125</v>
      </c>
      <c r="M62" t="s">
        <v>3015</v>
      </c>
      <c r="N62" t="s">
        <v>1735</v>
      </c>
      <c r="O62" t="s">
        <v>3030</v>
      </c>
      <c r="P62" t="s">
        <v>1589</v>
      </c>
      <c r="Q62" s="31">
        <v>1.59</v>
      </c>
      <c r="S62" t="s">
        <v>2125</v>
      </c>
    </row>
    <row r="63" spans="1:21" x14ac:dyDescent="0.35">
      <c r="A63">
        <v>2023</v>
      </c>
      <c r="B63" t="s">
        <v>772</v>
      </c>
      <c r="C63" t="s">
        <v>2923</v>
      </c>
      <c r="D63" t="s">
        <v>717</v>
      </c>
      <c r="E63" t="s">
        <v>89</v>
      </c>
      <c r="F63" t="s">
        <v>1269</v>
      </c>
      <c r="G63" t="s">
        <v>1854</v>
      </c>
      <c r="H63" t="s">
        <v>1853</v>
      </c>
      <c r="I63" t="s">
        <v>11</v>
      </c>
      <c r="J63" t="s">
        <v>21</v>
      </c>
      <c r="K63" t="s">
        <v>90</v>
      </c>
      <c r="L63" t="s">
        <v>16</v>
      </c>
      <c r="M63" t="s">
        <v>3015</v>
      </c>
      <c r="N63" t="s">
        <v>1630</v>
      </c>
      <c r="O63" t="s">
        <v>3030</v>
      </c>
      <c r="P63" t="s">
        <v>1567</v>
      </c>
      <c r="Q63" s="31">
        <v>4.74</v>
      </c>
      <c r="S63" t="s">
        <v>1777</v>
      </c>
    </row>
    <row r="64" spans="1:21" x14ac:dyDescent="0.35">
      <c r="A64">
        <v>2023</v>
      </c>
      <c r="B64" t="s">
        <v>772</v>
      </c>
      <c r="C64" t="s">
        <v>2923</v>
      </c>
      <c r="D64" t="s">
        <v>138</v>
      </c>
      <c r="E64" t="s">
        <v>139</v>
      </c>
      <c r="F64" t="s">
        <v>1285</v>
      </c>
      <c r="H64" t="s">
        <v>2124</v>
      </c>
      <c r="I64" t="s">
        <v>11</v>
      </c>
      <c r="J64" t="s">
        <v>44</v>
      </c>
      <c r="K64" t="s">
        <v>141</v>
      </c>
      <c r="L64" t="s">
        <v>557</v>
      </c>
      <c r="M64" t="s">
        <v>3015</v>
      </c>
      <c r="N64" t="s">
        <v>1735</v>
      </c>
      <c r="O64" t="s">
        <v>3030</v>
      </c>
      <c r="P64" t="s">
        <v>1589</v>
      </c>
      <c r="Q64" s="31">
        <v>0.23</v>
      </c>
      <c r="S64" t="s">
        <v>2125</v>
      </c>
    </row>
    <row r="65" spans="1:19" x14ac:dyDescent="0.35">
      <c r="A65">
        <v>2023</v>
      </c>
      <c r="B65" t="s">
        <v>772</v>
      </c>
      <c r="C65" t="s">
        <v>2923</v>
      </c>
      <c r="D65" t="s">
        <v>138</v>
      </c>
      <c r="E65" t="s">
        <v>139</v>
      </c>
      <c r="F65" t="s">
        <v>1285</v>
      </c>
      <c r="H65" t="s">
        <v>2124</v>
      </c>
      <c r="I65" t="s">
        <v>11</v>
      </c>
      <c r="J65" t="s">
        <v>44</v>
      </c>
      <c r="K65" t="s">
        <v>141</v>
      </c>
      <c r="L65" t="s">
        <v>1773</v>
      </c>
      <c r="M65" t="s">
        <v>3015</v>
      </c>
      <c r="N65" t="s">
        <v>1735</v>
      </c>
      <c r="O65" t="s">
        <v>3030</v>
      </c>
      <c r="P65" t="s">
        <v>1567</v>
      </c>
      <c r="Q65" s="31">
        <v>1.34</v>
      </c>
      <c r="S65" t="s">
        <v>2125</v>
      </c>
    </row>
    <row r="66" spans="1:19" x14ac:dyDescent="0.35">
      <c r="A66">
        <v>2023</v>
      </c>
      <c r="B66" t="s">
        <v>772</v>
      </c>
      <c r="C66" t="s">
        <v>2923</v>
      </c>
      <c r="D66" t="s">
        <v>138</v>
      </c>
      <c r="E66" t="s">
        <v>139</v>
      </c>
      <c r="F66" t="s">
        <v>1285</v>
      </c>
      <c r="H66" t="s">
        <v>2124</v>
      </c>
      <c r="I66" t="s">
        <v>11</v>
      </c>
      <c r="J66" t="s">
        <v>44</v>
      </c>
      <c r="K66" t="s">
        <v>141</v>
      </c>
      <c r="L66" t="s">
        <v>1772</v>
      </c>
      <c r="M66" t="s">
        <v>3015</v>
      </c>
      <c r="N66" t="s">
        <v>1735</v>
      </c>
      <c r="O66" t="s">
        <v>3030</v>
      </c>
      <c r="P66" t="s">
        <v>1567</v>
      </c>
      <c r="Q66" s="31">
        <v>1.03</v>
      </c>
      <c r="S66" t="s">
        <v>2125</v>
      </c>
    </row>
    <row r="67" spans="1:19" x14ac:dyDescent="0.35">
      <c r="A67">
        <v>2023</v>
      </c>
      <c r="B67" t="s">
        <v>772</v>
      </c>
      <c r="C67" t="s">
        <v>2923</v>
      </c>
      <c r="D67" t="s">
        <v>138</v>
      </c>
      <c r="E67" t="s">
        <v>139</v>
      </c>
      <c r="F67" t="s">
        <v>1285</v>
      </c>
      <c r="H67" t="s">
        <v>2124</v>
      </c>
      <c r="I67" t="s">
        <v>11</v>
      </c>
      <c r="J67" t="s">
        <v>44</v>
      </c>
      <c r="K67" t="s">
        <v>141</v>
      </c>
      <c r="L67" t="s">
        <v>1549</v>
      </c>
      <c r="M67" t="s">
        <v>3015</v>
      </c>
      <c r="N67" t="s">
        <v>1735</v>
      </c>
      <c r="O67" t="s">
        <v>3030</v>
      </c>
      <c r="P67" t="s">
        <v>1567</v>
      </c>
      <c r="Q67" s="31">
        <v>14.05</v>
      </c>
      <c r="S67" t="s">
        <v>2125</v>
      </c>
    </row>
    <row r="68" spans="1:19" x14ac:dyDescent="0.35">
      <c r="A68">
        <v>2023</v>
      </c>
      <c r="B68" t="s">
        <v>772</v>
      </c>
      <c r="C68" t="s">
        <v>2923</v>
      </c>
      <c r="D68" t="s">
        <v>717</v>
      </c>
      <c r="E68" t="s">
        <v>80</v>
      </c>
      <c r="F68" t="s">
        <v>1268</v>
      </c>
      <c r="G68" t="s">
        <v>1854</v>
      </c>
      <c r="H68" t="s">
        <v>1853</v>
      </c>
      <c r="I68" t="s">
        <v>11</v>
      </c>
      <c r="J68" t="s">
        <v>19</v>
      </c>
      <c r="K68" t="s">
        <v>81</v>
      </c>
      <c r="L68" t="s">
        <v>16</v>
      </c>
      <c r="M68" t="s">
        <v>3015</v>
      </c>
      <c r="N68" t="s">
        <v>1735</v>
      </c>
      <c r="O68" t="s">
        <v>3030</v>
      </c>
      <c r="P68" t="s">
        <v>1567</v>
      </c>
      <c r="Q68" s="31">
        <v>6.76</v>
      </c>
      <c r="S68" t="s">
        <v>1777</v>
      </c>
    </row>
    <row r="69" spans="1:19" x14ac:dyDescent="0.35">
      <c r="A69">
        <v>2023</v>
      </c>
      <c r="B69" t="s">
        <v>772</v>
      </c>
      <c r="C69" t="s">
        <v>2923</v>
      </c>
      <c r="D69" t="s">
        <v>717</v>
      </c>
      <c r="E69" t="s">
        <v>80</v>
      </c>
      <c r="F69" t="s">
        <v>1268</v>
      </c>
      <c r="G69" t="s">
        <v>1854</v>
      </c>
      <c r="H69" t="s">
        <v>1853</v>
      </c>
      <c r="I69" t="s">
        <v>11</v>
      </c>
      <c r="J69" t="s">
        <v>19</v>
      </c>
      <c r="K69" t="s">
        <v>81</v>
      </c>
      <c r="L69" t="s">
        <v>16</v>
      </c>
      <c r="M69" t="s">
        <v>3015</v>
      </c>
      <c r="N69" t="s">
        <v>1716</v>
      </c>
      <c r="O69" t="s">
        <v>3030</v>
      </c>
      <c r="P69" t="s">
        <v>1589</v>
      </c>
      <c r="Q69" s="31">
        <v>88.6</v>
      </c>
      <c r="S69" t="s">
        <v>1777</v>
      </c>
    </row>
    <row r="70" spans="1:19" x14ac:dyDescent="0.35">
      <c r="A70">
        <v>2023</v>
      </c>
      <c r="B70" t="s">
        <v>772</v>
      </c>
      <c r="C70" t="s">
        <v>2923</v>
      </c>
      <c r="D70" t="s">
        <v>73</v>
      </c>
      <c r="E70" t="s">
        <v>74</v>
      </c>
      <c r="F70" t="s">
        <v>1276</v>
      </c>
      <c r="H70" t="s">
        <v>2118</v>
      </c>
      <c r="I70" t="s">
        <v>11</v>
      </c>
      <c r="J70" t="s">
        <v>13</v>
      </c>
      <c r="K70" t="s">
        <v>64</v>
      </c>
      <c r="L70" t="s">
        <v>1776</v>
      </c>
      <c r="M70" t="s">
        <v>3015</v>
      </c>
      <c r="N70" t="s">
        <v>1780</v>
      </c>
      <c r="O70" t="s">
        <v>3197</v>
      </c>
      <c r="P70" t="s">
        <v>2945</v>
      </c>
      <c r="Q70">
        <v>2.3439110251450601</v>
      </c>
      <c r="R70" t="s">
        <v>3203</v>
      </c>
      <c r="S70" t="s">
        <v>2998</v>
      </c>
    </row>
    <row r="71" spans="1:19" x14ac:dyDescent="0.35">
      <c r="A71">
        <v>2023</v>
      </c>
      <c r="B71" t="s">
        <v>772</v>
      </c>
      <c r="C71" t="s">
        <v>2923</v>
      </c>
      <c r="D71" t="s">
        <v>73</v>
      </c>
      <c r="E71" t="s">
        <v>74</v>
      </c>
      <c r="F71" t="s">
        <v>1276</v>
      </c>
      <c r="H71" t="s">
        <v>2118</v>
      </c>
      <c r="I71" t="s">
        <v>11</v>
      </c>
      <c r="J71" t="s">
        <v>13</v>
      </c>
      <c r="K71" t="s">
        <v>64</v>
      </c>
      <c r="L71" t="s">
        <v>1776</v>
      </c>
      <c r="M71" t="s">
        <v>3015</v>
      </c>
      <c r="N71" t="s">
        <v>1735</v>
      </c>
      <c r="O71" t="s">
        <v>3030</v>
      </c>
      <c r="P71" t="s">
        <v>1567</v>
      </c>
      <c r="Q71" s="31">
        <v>3.03</v>
      </c>
      <c r="S71" t="s">
        <v>2998</v>
      </c>
    </row>
    <row r="72" spans="1:19" x14ac:dyDescent="0.35">
      <c r="A72">
        <v>2023</v>
      </c>
      <c r="B72" t="s">
        <v>772</v>
      </c>
      <c r="C72" t="s">
        <v>2923</v>
      </c>
      <c r="D72" t="s">
        <v>73</v>
      </c>
      <c r="E72" t="s">
        <v>74</v>
      </c>
      <c r="F72" t="s">
        <v>1276</v>
      </c>
      <c r="H72" t="s">
        <v>2118</v>
      </c>
      <c r="I72" t="s">
        <v>11</v>
      </c>
      <c r="J72" t="s">
        <v>13</v>
      </c>
      <c r="K72" t="s">
        <v>64</v>
      </c>
      <c r="L72" t="s">
        <v>1776</v>
      </c>
      <c r="M72" t="s">
        <v>3015</v>
      </c>
      <c r="N72" t="s">
        <v>1630</v>
      </c>
      <c r="O72" t="s">
        <v>3030</v>
      </c>
      <c r="P72" t="s">
        <v>1567</v>
      </c>
      <c r="Q72" s="31">
        <v>3.19</v>
      </c>
      <c r="S72" t="s">
        <v>2998</v>
      </c>
    </row>
    <row r="73" spans="1:19" x14ac:dyDescent="0.35">
      <c r="A73">
        <v>2023</v>
      </c>
      <c r="B73" t="s">
        <v>772</v>
      </c>
      <c r="C73" t="s">
        <v>2923</v>
      </c>
      <c r="D73" t="s">
        <v>73</v>
      </c>
      <c r="E73" t="s">
        <v>74</v>
      </c>
      <c r="F73" t="s">
        <v>1276</v>
      </c>
      <c r="H73" t="s">
        <v>2118</v>
      </c>
      <c r="I73" t="s">
        <v>11</v>
      </c>
      <c r="J73" t="s">
        <v>13</v>
      </c>
      <c r="K73" t="s">
        <v>64</v>
      </c>
      <c r="L73" t="s">
        <v>1776</v>
      </c>
      <c r="M73" t="s">
        <v>3015</v>
      </c>
      <c r="N73" t="s">
        <v>1716</v>
      </c>
      <c r="O73" t="s">
        <v>3030</v>
      </c>
      <c r="P73" t="s">
        <v>1589</v>
      </c>
      <c r="Q73" s="31">
        <v>93</v>
      </c>
      <c r="S73" t="s">
        <v>2998</v>
      </c>
    </row>
    <row r="74" spans="1:19" x14ac:dyDescent="0.35">
      <c r="A74">
        <v>2023</v>
      </c>
      <c r="B74" t="s">
        <v>772</v>
      </c>
      <c r="C74" t="s">
        <v>2923</v>
      </c>
      <c r="D74" t="s">
        <v>793</v>
      </c>
      <c r="E74" t="s">
        <v>129</v>
      </c>
      <c r="F74" t="s">
        <v>1190</v>
      </c>
      <c r="H74" t="s">
        <v>2064</v>
      </c>
      <c r="I74" t="s">
        <v>11</v>
      </c>
      <c r="J74" t="s">
        <v>19</v>
      </c>
      <c r="K74" t="s">
        <v>130</v>
      </c>
      <c r="L74" t="s">
        <v>125</v>
      </c>
      <c r="M74" t="s">
        <v>3015</v>
      </c>
      <c r="N74" t="s">
        <v>1735</v>
      </c>
      <c r="O74" t="s">
        <v>3030</v>
      </c>
      <c r="P74" t="s">
        <v>1589</v>
      </c>
      <c r="Q74" s="31">
        <v>0.18</v>
      </c>
      <c r="S74" t="s">
        <v>1885</v>
      </c>
    </row>
    <row r="75" spans="1:19" x14ac:dyDescent="0.35">
      <c r="A75">
        <v>2023</v>
      </c>
      <c r="B75" t="s">
        <v>772</v>
      </c>
      <c r="C75" t="s">
        <v>2923</v>
      </c>
      <c r="D75" t="s">
        <v>793</v>
      </c>
      <c r="E75" t="s">
        <v>129</v>
      </c>
      <c r="F75" t="s">
        <v>1190</v>
      </c>
      <c r="H75" t="s">
        <v>3170</v>
      </c>
      <c r="I75" t="s">
        <v>11</v>
      </c>
      <c r="J75" t="s">
        <v>19</v>
      </c>
      <c r="K75" t="s">
        <v>130</v>
      </c>
      <c r="L75" t="s">
        <v>125</v>
      </c>
      <c r="M75" t="s">
        <v>3015</v>
      </c>
      <c r="N75" t="s">
        <v>1716</v>
      </c>
      <c r="O75" t="s">
        <v>3030</v>
      </c>
      <c r="P75" t="s">
        <v>1589</v>
      </c>
      <c r="Q75" s="31">
        <v>77.599999999999994</v>
      </c>
      <c r="S75" t="s">
        <v>1885</v>
      </c>
    </row>
    <row r="76" spans="1:19" x14ac:dyDescent="0.35">
      <c r="A76">
        <v>2023</v>
      </c>
      <c r="B76" t="s">
        <v>772</v>
      </c>
      <c r="C76" t="s">
        <v>2923</v>
      </c>
      <c r="D76" t="s">
        <v>82</v>
      </c>
      <c r="E76" t="s">
        <v>83</v>
      </c>
      <c r="F76" t="s">
        <v>1278</v>
      </c>
      <c r="H76" t="s">
        <v>2121</v>
      </c>
      <c r="I76" t="s">
        <v>11</v>
      </c>
      <c r="J76" t="s">
        <v>19</v>
      </c>
      <c r="K76" t="s">
        <v>84</v>
      </c>
      <c r="L76" t="s">
        <v>16</v>
      </c>
      <c r="M76" t="s">
        <v>3015</v>
      </c>
      <c r="N76" t="s">
        <v>1630</v>
      </c>
      <c r="O76" t="s">
        <v>3030</v>
      </c>
      <c r="P76" t="s">
        <v>1567</v>
      </c>
      <c r="Q76" s="31">
        <v>0.311</v>
      </c>
      <c r="S76" t="s">
        <v>1941</v>
      </c>
    </row>
    <row r="77" spans="1:19" x14ac:dyDescent="0.35">
      <c r="A77">
        <v>2023</v>
      </c>
      <c r="B77" t="s">
        <v>772</v>
      </c>
      <c r="C77" t="s">
        <v>2923</v>
      </c>
      <c r="D77" t="s">
        <v>82</v>
      </c>
      <c r="E77" t="s">
        <v>83</v>
      </c>
      <c r="F77" t="s">
        <v>1278</v>
      </c>
      <c r="H77" t="s">
        <v>2121</v>
      </c>
      <c r="I77" t="s">
        <v>11</v>
      </c>
      <c r="J77" t="s">
        <v>19</v>
      </c>
      <c r="K77" t="s">
        <v>84</v>
      </c>
      <c r="L77" t="s">
        <v>16</v>
      </c>
      <c r="M77" t="s">
        <v>3015</v>
      </c>
      <c r="N77" t="s">
        <v>1716</v>
      </c>
      <c r="O77" t="s">
        <v>3030</v>
      </c>
      <c r="P77" t="s">
        <v>1589</v>
      </c>
      <c r="Q77" s="31">
        <v>70.400000000000006</v>
      </c>
      <c r="S77" t="s">
        <v>1941</v>
      </c>
    </row>
    <row r="78" spans="1:19" x14ac:dyDescent="0.35">
      <c r="A78">
        <v>2023</v>
      </c>
      <c r="B78" t="s">
        <v>772</v>
      </c>
      <c r="C78" t="s">
        <v>2923</v>
      </c>
      <c r="D78" t="s">
        <v>82</v>
      </c>
      <c r="E78" t="s">
        <v>83</v>
      </c>
      <c r="F78" t="s">
        <v>1278</v>
      </c>
      <c r="H78" t="s">
        <v>2121</v>
      </c>
      <c r="I78" t="s">
        <v>11</v>
      </c>
      <c r="J78" t="s">
        <v>19</v>
      </c>
      <c r="K78" t="s">
        <v>84</v>
      </c>
      <c r="L78" t="s">
        <v>125</v>
      </c>
      <c r="M78" t="s">
        <v>3015</v>
      </c>
      <c r="N78" t="s">
        <v>1630</v>
      </c>
      <c r="O78" t="s">
        <v>3030</v>
      </c>
      <c r="P78" t="s">
        <v>1589</v>
      </c>
      <c r="Q78" s="31">
        <v>0.28699999999999998</v>
      </c>
      <c r="S78" t="s">
        <v>1941</v>
      </c>
    </row>
    <row r="79" spans="1:19" x14ac:dyDescent="0.35">
      <c r="A79">
        <v>2023</v>
      </c>
      <c r="B79" t="s">
        <v>772</v>
      </c>
      <c r="C79" t="s">
        <v>2923</v>
      </c>
      <c r="D79" t="s">
        <v>82</v>
      </c>
      <c r="E79" t="s">
        <v>83</v>
      </c>
      <c r="F79" t="s">
        <v>1278</v>
      </c>
      <c r="H79" t="s">
        <v>2121</v>
      </c>
      <c r="I79" t="s">
        <v>11</v>
      </c>
      <c r="J79" t="s">
        <v>19</v>
      </c>
      <c r="K79" t="s">
        <v>84</v>
      </c>
      <c r="L79" t="s">
        <v>125</v>
      </c>
      <c r="M79" t="s">
        <v>3015</v>
      </c>
      <c r="N79" t="s">
        <v>1716</v>
      </c>
      <c r="O79" t="s">
        <v>3030</v>
      </c>
      <c r="P79" t="s">
        <v>1589</v>
      </c>
      <c r="Q79" s="31">
        <v>80</v>
      </c>
      <c r="S79" t="s">
        <v>1941</v>
      </c>
    </row>
    <row r="80" spans="1:19" x14ac:dyDescent="0.35">
      <c r="A80">
        <v>2023</v>
      </c>
      <c r="B80" t="s">
        <v>772</v>
      </c>
      <c r="C80" t="s">
        <v>2923</v>
      </c>
      <c r="D80" t="s">
        <v>138</v>
      </c>
      <c r="E80" t="s">
        <v>139</v>
      </c>
      <c r="F80" t="s">
        <v>1285</v>
      </c>
      <c r="H80" t="s">
        <v>2124</v>
      </c>
      <c r="I80" t="s">
        <v>11</v>
      </c>
      <c r="J80" t="s">
        <v>44</v>
      </c>
      <c r="K80" t="s">
        <v>141</v>
      </c>
      <c r="L80" t="s">
        <v>16</v>
      </c>
      <c r="M80" t="s">
        <v>3015</v>
      </c>
      <c r="N80" t="s">
        <v>1735</v>
      </c>
      <c r="O80" t="s">
        <v>3030</v>
      </c>
      <c r="P80" t="s">
        <v>1567</v>
      </c>
      <c r="Q80" s="31">
        <v>0.41</v>
      </c>
      <c r="S80" t="s">
        <v>2125</v>
      </c>
    </row>
    <row r="81" spans="1:19" x14ac:dyDescent="0.35">
      <c r="A81">
        <v>2023</v>
      </c>
      <c r="B81" t="s">
        <v>772</v>
      </c>
      <c r="C81" t="s">
        <v>2923</v>
      </c>
      <c r="D81" t="s">
        <v>872</v>
      </c>
      <c r="E81" t="s">
        <v>38</v>
      </c>
      <c r="F81" t="s">
        <v>1304</v>
      </c>
      <c r="H81" t="s">
        <v>2143</v>
      </c>
      <c r="I81" t="s">
        <v>11</v>
      </c>
      <c r="J81" t="s">
        <v>23</v>
      </c>
      <c r="K81" t="s">
        <v>16</v>
      </c>
      <c r="L81" t="s">
        <v>16</v>
      </c>
      <c r="M81" t="s">
        <v>3015</v>
      </c>
      <c r="N81" t="s">
        <v>1735</v>
      </c>
      <c r="O81" t="s">
        <v>3030</v>
      </c>
      <c r="P81" t="s">
        <v>1567</v>
      </c>
      <c r="Q81" s="31">
        <v>2.84</v>
      </c>
      <c r="S81" t="s">
        <v>2355</v>
      </c>
    </row>
    <row r="82" spans="1:19" x14ac:dyDescent="0.35">
      <c r="A82">
        <v>2023</v>
      </c>
      <c r="B82" t="s">
        <v>772</v>
      </c>
      <c r="C82" t="s">
        <v>2923</v>
      </c>
      <c r="D82" t="s">
        <v>872</v>
      </c>
      <c r="E82" t="s">
        <v>38</v>
      </c>
      <c r="F82" t="s">
        <v>1304</v>
      </c>
      <c r="H82" t="s">
        <v>2143</v>
      </c>
      <c r="I82" t="s">
        <v>11</v>
      </c>
      <c r="J82" t="s">
        <v>23</v>
      </c>
      <c r="K82" t="s">
        <v>16</v>
      </c>
      <c r="L82" t="s">
        <v>16</v>
      </c>
      <c r="M82" t="s">
        <v>3015</v>
      </c>
      <c r="N82" t="s">
        <v>1630</v>
      </c>
      <c r="O82" t="s">
        <v>3030</v>
      </c>
      <c r="P82" t="s">
        <v>1567</v>
      </c>
      <c r="Q82" s="31">
        <v>3.08</v>
      </c>
      <c r="S82" t="s">
        <v>2355</v>
      </c>
    </row>
    <row r="83" spans="1:19" x14ac:dyDescent="0.35">
      <c r="A83">
        <v>2023</v>
      </c>
      <c r="B83" t="s">
        <v>772</v>
      </c>
      <c r="C83" t="s">
        <v>2923</v>
      </c>
      <c r="D83" t="s">
        <v>755</v>
      </c>
      <c r="E83" t="s">
        <v>85</v>
      </c>
      <c r="F83" t="s">
        <v>1315</v>
      </c>
      <c r="H83" t="s">
        <v>2150</v>
      </c>
      <c r="I83" t="s">
        <v>11</v>
      </c>
      <c r="J83" t="s">
        <v>23</v>
      </c>
      <c r="K83" t="s">
        <v>84</v>
      </c>
      <c r="L83" t="s">
        <v>1776</v>
      </c>
      <c r="M83" t="s">
        <v>3015</v>
      </c>
      <c r="N83" t="s">
        <v>1780</v>
      </c>
      <c r="O83" t="s">
        <v>3197</v>
      </c>
      <c r="P83" t="s">
        <v>2945</v>
      </c>
      <c r="Q83">
        <v>0.18713344208809099</v>
      </c>
      <c r="R83" t="s">
        <v>3204</v>
      </c>
      <c r="S83" t="s">
        <v>1714</v>
      </c>
    </row>
    <row r="84" spans="1:19" x14ac:dyDescent="0.35">
      <c r="A84">
        <v>2023</v>
      </c>
      <c r="B84" t="s">
        <v>772</v>
      </c>
      <c r="C84" t="s">
        <v>2923</v>
      </c>
      <c r="D84" t="s">
        <v>755</v>
      </c>
      <c r="E84" t="s">
        <v>85</v>
      </c>
      <c r="F84" t="s">
        <v>1315</v>
      </c>
      <c r="H84" t="s">
        <v>2150</v>
      </c>
      <c r="I84" t="s">
        <v>11</v>
      </c>
      <c r="J84" t="s">
        <v>23</v>
      </c>
      <c r="K84" t="s">
        <v>84</v>
      </c>
      <c r="L84" t="s">
        <v>16</v>
      </c>
      <c r="M84" t="s">
        <v>3015</v>
      </c>
      <c r="N84" t="s">
        <v>1630</v>
      </c>
      <c r="O84" t="s">
        <v>3030</v>
      </c>
      <c r="P84" t="s">
        <v>1567</v>
      </c>
      <c r="Q84" s="31">
        <v>0.72</v>
      </c>
      <c r="R84" t="s">
        <v>3174</v>
      </c>
      <c r="S84" t="s">
        <v>1714</v>
      </c>
    </row>
    <row r="85" spans="1:19" x14ac:dyDescent="0.35">
      <c r="A85">
        <v>2023</v>
      </c>
      <c r="B85" t="s">
        <v>772</v>
      </c>
      <c r="C85" t="s">
        <v>2923</v>
      </c>
      <c r="D85" t="s">
        <v>755</v>
      </c>
      <c r="E85" t="s">
        <v>85</v>
      </c>
      <c r="F85" t="s">
        <v>1315</v>
      </c>
      <c r="H85" t="s">
        <v>2150</v>
      </c>
      <c r="I85" t="s">
        <v>11</v>
      </c>
      <c r="J85" t="s">
        <v>23</v>
      </c>
      <c r="K85" t="s">
        <v>84</v>
      </c>
      <c r="L85" t="s">
        <v>16</v>
      </c>
      <c r="M85" t="s">
        <v>3015</v>
      </c>
      <c r="N85" t="s">
        <v>1716</v>
      </c>
      <c r="O85" t="s">
        <v>3030</v>
      </c>
      <c r="P85" t="s">
        <v>1589</v>
      </c>
      <c r="Q85" s="31">
        <v>90</v>
      </c>
      <c r="S85" t="s">
        <v>1714</v>
      </c>
    </row>
    <row r="86" spans="1:19" x14ac:dyDescent="0.35">
      <c r="A86">
        <v>2023</v>
      </c>
      <c r="B86" t="s">
        <v>772</v>
      </c>
      <c r="C86" t="s">
        <v>2923</v>
      </c>
      <c r="D86" t="s">
        <v>755</v>
      </c>
      <c r="E86" t="s">
        <v>85</v>
      </c>
      <c r="F86" t="s">
        <v>1315</v>
      </c>
      <c r="H86" t="s">
        <v>2150</v>
      </c>
      <c r="I86" t="s">
        <v>11</v>
      </c>
      <c r="J86" t="s">
        <v>23</v>
      </c>
      <c r="K86" t="s">
        <v>84</v>
      </c>
      <c r="L86" t="s">
        <v>125</v>
      </c>
      <c r="M86" t="s">
        <v>3015</v>
      </c>
      <c r="N86" t="s">
        <v>1630</v>
      </c>
      <c r="O86" t="s">
        <v>3030</v>
      </c>
      <c r="P86" t="s">
        <v>1589</v>
      </c>
      <c r="Q86" s="31">
        <v>0.77</v>
      </c>
      <c r="R86" t="s">
        <v>3174</v>
      </c>
      <c r="S86" t="s">
        <v>1714</v>
      </c>
    </row>
    <row r="87" spans="1:19" x14ac:dyDescent="0.35">
      <c r="A87">
        <v>2023</v>
      </c>
      <c r="B87" t="s">
        <v>772</v>
      </c>
      <c r="C87" t="s">
        <v>2923</v>
      </c>
      <c r="D87" t="s">
        <v>755</v>
      </c>
      <c r="E87" t="s">
        <v>85</v>
      </c>
      <c r="F87" t="s">
        <v>1315</v>
      </c>
      <c r="H87" t="s">
        <v>2150</v>
      </c>
      <c r="I87" t="s">
        <v>11</v>
      </c>
      <c r="J87" t="s">
        <v>23</v>
      </c>
      <c r="K87" t="s">
        <v>84</v>
      </c>
      <c r="L87" t="s">
        <v>125</v>
      </c>
      <c r="M87" t="s">
        <v>3015</v>
      </c>
      <c r="N87" t="s">
        <v>1716</v>
      </c>
      <c r="O87" t="s">
        <v>3030</v>
      </c>
      <c r="P87" t="s">
        <v>1589</v>
      </c>
      <c r="Q87" s="31">
        <v>91</v>
      </c>
      <c r="S87" t="s">
        <v>1714</v>
      </c>
    </row>
    <row r="88" spans="1:19" x14ac:dyDescent="0.35">
      <c r="A88">
        <v>2023</v>
      </c>
      <c r="B88" t="s">
        <v>772</v>
      </c>
      <c r="C88" t="s">
        <v>2923</v>
      </c>
      <c r="D88" t="s">
        <v>755</v>
      </c>
      <c r="E88" t="s">
        <v>76</v>
      </c>
      <c r="F88" t="s">
        <v>1314</v>
      </c>
      <c r="H88" t="s">
        <v>2150</v>
      </c>
      <c r="I88" t="s">
        <v>11</v>
      </c>
      <c r="J88" t="s">
        <v>13</v>
      </c>
      <c r="K88" t="s">
        <v>64</v>
      </c>
      <c r="L88" t="s">
        <v>1776</v>
      </c>
      <c r="M88" t="s">
        <v>3015</v>
      </c>
      <c r="N88" t="s">
        <v>1780</v>
      </c>
      <c r="O88" t="s">
        <v>3197</v>
      </c>
      <c r="P88" t="s">
        <v>2945</v>
      </c>
      <c r="Q88">
        <v>3.4725899132815998</v>
      </c>
      <c r="R88" t="s">
        <v>3204</v>
      </c>
      <c r="S88" t="s">
        <v>1714</v>
      </c>
    </row>
    <row r="89" spans="1:19" x14ac:dyDescent="0.35">
      <c r="A89">
        <v>2023</v>
      </c>
      <c r="B89" t="s">
        <v>772</v>
      </c>
      <c r="C89" t="s">
        <v>2923</v>
      </c>
      <c r="D89" t="s">
        <v>755</v>
      </c>
      <c r="E89" t="s">
        <v>76</v>
      </c>
      <c r="F89" t="s">
        <v>1314</v>
      </c>
      <c r="H89" t="s">
        <v>2150</v>
      </c>
      <c r="I89" t="s">
        <v>11</v>
      </c>
      <c r="J89" t="s">
        <v>13</v>
      </c>
      <c r="K89" t="s">
        <v>64</v>
      </c>
      <c r="L89" t="s">
        <v>16</v>
      </c>
      <c r="M89" t="s">
        <v>3015</v>
      </c>
      <c r="N89" t="s">
        <v>1630</v>
      </c>
      <c r="O89" t="s">
        <v>3030</v>
      </c>
      <c r="P89" t="s">
        <v>1567</v>
      </c>
      <c r="Q89" s="31">
        <v>0.99</v>
      </c>
      <c r="R89" t="s">
        <v>3174</v>
      </c>
      <c r="S89" t="s">
        <v>1714</v>
      </c>
    </row>
    <row r="90" spans="1:19" x14ac:dyDescent="0.35">
      <c r="A90">
        <v>2023</v>
      </c>
      <c r="B90" t="s">
        <v>772</v>
      </c>
      <c r="C90" t="s">
        <v>2923</v>
      </c>
      <c r="D90" t="s">
        <v>717</v>
      </c>
      <c r="E90" t="s">
        <v>80</v>
      </c>
      <c r="F90" t="s">
        <v>1268</v>
      </c>
      <c r="G90" t="s">
        <v>1854</v>
      </c>
      <c r="H90" t="s">
        <v>1853</v>
      </c>
      <c r="I90" t="s">
        <v>11</v>
      </c>
      <c r="J90" t="s">
        <v>19</v>
      </c>
      <c r="K90" t="s">
        <v>81</v>
      </c>
      <c r="L90" t="s">
        <v>125</v>
      </c>
      <c r="M90" t="s">
        <v>3015</v>
      </c>
      <c r="N90" t="s">
        <v>1735</v>
      </c>
      <c r="O90" t="s">
        <v>3030</v>
      </c>
      <c r="P90" t="s">
        <v>1589</v>
      </c>
      <c r="Q90" s="31">
        <v>1.03</v>
      </c>
      <c r="S90" t="s">
        <v>1777</v>
      </c>
    </row>
    <row r="91" spans="1:19" x14ac:dyDescent="0.35">
      <c r="A91">
        <v>2023</v>
      </c>
      <c r="B91" t="s">
        <v>772</v>
      </c>
      <c r="C91" t="s">
        <v>2923</v>
      </c>
      <c r="D91" t="s">
        <v>717</v>
      </c>
      <c r="E91" t="s">
        <v>80</v>
      </c>
      <c r="F91" t="s">
        <v>1268</v>
      </c>
      <c r="G91" t="s">
        <v>1854</v>
      </c>
      <c r="H91" t="s">
        <v>1853</v>
      </c>
      <c r="I91" t="s">
        <v>11</v>
      </c>
      <c r="J91" t="s">
        <v>19</v>
      </c>
      <c r="K91" t="s">
        <v>81</v>
      </c>
      <c r="L91" t="s">
        <v>125</v>
      </c>
      <c r="M91" t="s">
        <v>3015</v>
      </c>
      <c r="N91" t="s">
        <v>1716</v>
      </c>
      <c r="O91" t="s">
        <v>3030</v>
      </c>
      <c r="P91" t="s">
        <v>1589</v>
      </c>
      <c r="Q91" s="31">
        <v>93.3</v>
      </c>
      <c r="S91" t="s">
        <v>1777</v>
      </c>
    </row>
    <row r="92" spans="1:19" x14ac:dyDescent="0.35">
      <c r="A92">
        <v>2023</v>
      </c>
      <c r="B92" t="s">
        <v>772</v>
      </c>
      <c r="C92" t="s">
        <v>2923</v>
      </c>
      <c r="D92" t="s">
        <v>717</v>
      </c>
      <c r="E92" t="s">
        <v>80</v>
      </c>
      <c r="F92" t="s">
        <v>1268</v>
      </c>
      <c r="G92" t="s">
        <v>1854</v>
      </c>
      <c r="H92" t="s">
        <v>1853</v>
      </c>
      <c r="I92" t="s">
        <v>11</v>
      </c>
      <c r="J92" t="s">
        <v>19</v>
      </c>
      <c r="K92" t="s">
        <v>81</v>
      </c>
      <c r="L92" t="s">
        <v>125</v>
      </c>
      <c r="M92" t="s">
        <v>3016</v>
      </c>
      <c r="N92" t="s">
        <v>1779</v>
      </c>
      <c r="O92" t="s">
        <v>3030</v>
      </c>
      <c r="P92" t="s">
        <v>1768</v>
      </c>
      <c r="Q92" s="31">
        <v>15.44</v>
      </c>
      <c r="S92" t="s">
        <v>1777</v>
      </c>
    </row>
    <row r="93" spans="1:19" x14ac:dyDescent="0.35">
      <c r="A93">
        <v>2023</v>
      </c>
      <c r="B93" t="s">
        <v>772</v>
      </c>
      <c r="C93" t="s">
        <v>2923</v>
      </c>
      <c r="D93" t="s">
        <v>755</v>
      </c>
      <c r="E93" t="s">
        <v>76</v>
      </c>
      <c r="F93" t="s">
        <v>1314</v>
      </c>
      <c r="H93" t="s">
        <v>2150</v>
      </c>
      <c r="I93" t="s">
        <v>11</v>
      </c>
      <c r="J93" t="s">
        <v>13</v>
      </c>
      <c r="K93" t="s">
        <v>64</v>
      </c>
      <c r="L93" t="s">
        <v>1776</v>
      </c>
      <c r="M93" t="s">
        <v>3015</v>
      </c>
      <c r="N93" t="s">
        <v>1716</v>
      </c>
      <c r="O93" t="s">
        <v>3030</v>
      </c>
      <c r="P93" t="s">
        <v>1589</v>
      </c>
      <c r="Q93" s="31">
        <v>91</v>
      </c>
      <c r="S93" t="s">
        <v>1714</v>
      </c>
    </row>
    <row r="94" spans="1:19" x14ac:dyDescent="0.35">
      <c r="A94">
        <v>2023</v>
      </c>
      <c r="B94" t="s">
        <v>772</v>
      </c>
      <c r="C94" t="s">
        <v>2923</v>
      </c>
      <c r="D94" t="s">
        <v>39</v>
      </c>
      <c r="E94" t="s">
        <v>77</v>
      </c>
      <c r="F94" t="s">
        <v>1323</v>
      </c>
      <c r="H94" t="s">
        <v>2151</v>
      </c>
      <c r="I94" t="s">
        <v>11</v>
      </c>
      <c r="J94" t="s">
        <v>13</v>
      </c>
      <c r="K94" t="s">
        <v>64</v>
      </c>
      <c r="L94" t="s">
        <v>1776</v>
      </c>
      <c r="M94" t="s">
        <v>3015</v>
      </c>
      <c r="N94" t="s">
        <v>1595</v>
      </c>
      <c r="O94" t="s">
        <v>3030</v>
      </c>
      <c r="P94" t="s">
        <v>1567</v>
      </c>
      <c r="Q94" s="31">
        <v>5.6849999999999996</v>
      </c>
      <c r="S94" t="s">
        <v>1593</v>
      </c>
    </row>
    <row r="95" spans="1:19" x14ac:dyDescent="0.35">
      <c r="A95">
        <v>2023</v>
      </c>
      <c r="B95" t="s">
        <v>772</v>
      </c>
      <c r="C95" t="s">
        <v>2923</v>
      </c>
      <c r="D95" t="s">
        <v>717</v>
      </c>
      <c r="E95" t="s">
        <v>80</v>
      </c>
      <c r="F95" t="s">
        <v>1268</v>
      </c>
      <c r="G95" t="s">
        <v>1854</v>
      </c>
      <c r="H95" t="s">
        <v>1853</v>
      </c>
      <c r="I95" t="s">
        <v>11</v>
      </c>
      <c r="J95" t="s">
        <v>19</v>
      </c>
      <c r="K95" t="s">
        <v>81</v>
      </c>
      <c r="L95" t="s">
        <v>1549</v>
      </c>
      <c r="M95" t="s">
        <v>3015</v>
      </c>
      <c r="N95" t="s">
        <v>1735</v>
      </c>
      <c r="O95" t="s">
        <v>3030</v>
      </c>
      <c r="P95" t="s">
        <v>1589</v>
      </c>
      <c r="Q95" s="31">
        <v>25.11</v>
      </c>
      <c r="S95" t="s">
        <v>1777</v>
      </c>
    </row>
    <row r="96" spans="1:19" x14ac:dyDescent="0.35">
      <c r="A96">
        <v>2023</v>
      </c>
      <c r="B96" t="s">
        <v>772</v>
      </c>
      <c r="C96" t="s">
        <v>2923</v>
      </c>
      <c r="D96" t="s">
        <v>717</v>
      </c>
      <c r="E96" t="s">
        <v>80</v>
      </c>
      <c r="F96" t="s">
        <v>1268</v>
      </c>
      <c r="G96" t="s">
        <v>1854</v>
      </c>
      <c r="H96" t="s">
        <v>1853</v>
      </c>
      <c r="I96" t="s">
        <v>11</v>
      </c>
      <c r="J96" t="s">
        <v>19</v>
      </c>
      <c r="K96" t="s">
        <v>81</v>
      </c>
      <c r="L96" t="s">
        <v>1549</v>
      </c>
      <c r="M96" t="s">
        <v>3015</v>
      </c>
      <c r="N96" t="s">
        <v>1716</v>
      </c>
      <c r="O96" t="s">
        <v>3030</v>
      </c>
      <c r="P96" t="s">
        <v>1589</v>
      </c>
      <c r="Q96" s="31">
        <v>81.5</v>
      </c>
      <c r="S96" t="s">
        <v>1777</v>
      </c>
    </row>
    <row r="97" spans="1:19" x14ac:dyDescent="0.35">
      <c r="A97">
        <v>2023</v>
      </c>
      <c r="B97" t="s">
        <v>772</v>
      </c>
      <c r="C97" t="s">
        <v>2923</v>
      </c>
      <c r="D97" t="s">
        <v>717</v>
      </c>
      <c r="E97" t="s">
        <v>80</v>
      </c>
      <c r="F97" t="s">
        <v>1268</v>
      </c>
      <c r="G97" t="s">
        <v>1854</v>
      </c>
      <c r="H97" t="s">
        <v>1853</v>
      </c>
      <c r="I97" t="s">
        <v>11</v>
      </c>
      <c r="J97" t="s">
        <v>19</v>
      </c>
      <c r="K97" t="s">
        <v>81</v>
      </c>
      <c r="L97" t="s">
        <v>1551</v>
      </c>
      <c r="M97" t="s">
        <v>3015</v>
      </c>
      <c r="N97" t="s">
        <v>1735</v>
      </c>
      <c r="O97" t="s">
        <v>3030</v>
      </c>
      <c r="P97" t="s">
        <v>1589</v>
      </c>
      <c r="Q97" s="31">
        <v>0.84</v>
      </c>
      <c r="S97" t="s">
        <v>1777</v>
      </c>
    </row>
    <row r="98" spans="1:19" x14ac:dyDescent="0.35">
      <c r="A98">
        <v>2023</v>
      </c>
      <c r="B98" t="s">
        <v>772</v>
      </c>
      <c r="C98" t="s">
        <v>2923</v>
      </c>
      <c r="D98" t="s">
        <v>39</v>
      </c>
      <c r="E98" t="s">
        <v>77</v>
      </c>
      <c r="F98" t="s">
        <v>1323</v>
      </c>
      <c r="H98" t="s">
        <v>2151</v>
      </c>
      <c r="I98" t="s">
        <v>11</v>
      </c>
      <c r="J98" t="s">
        <v>13</v>
      </c>
      <c r="K98" t="s">
        <v>64</v>
      </c>
      <c r="L98" t="s">
        <v>1776</v>
      </c>
      <c r="M98" t="s">
        <v>3015</v>
      </c>
      <c r="N98" t="s">
        <v>1599</v>
      </c>
      <c r="O98" t="s">
        <v>3030</v>
      </c>
      <c r="P98" t="s">
        <v>1589</v>
      </c>
      <c r="Q98" s="31">
        <v>96</v>
      </c>
      <c r="S98" t="s">
        <v>1593</v>
      </c>
    </row>
    <row r="99" spans="1:19" x14ac:dyDescent="0.35">
      <c r="A99">
        <v>2023</v>
      </c>
      <c r="B99" t="s">
        <v>772</v>
      </c>
      <c r="C99" t="s">
        <v>2923</v>
      </c>
      <c r="D99" t="s">
        <v>39</v>
      </c>
      <c r="E99" t="s">
        <v>86</v>
      </c>
      <c r="F99" t="s">
        <v>1322</v>
      </c>
      <c r="H99" t="s">
        <v>2151</v>
      </c>
      <c r="I99" t="s">
        <v>11</v>
      </c>
      <c r="J99" t="s">
        <v>19</v>
      </c>
      <c r="K99" t="s">
        <v>84</v>
      </c>
      <c r="L99" t="s">
        <v>16</v>
      </c>
      <c r="M99" t="s">
        <v>3015</v>
      </c>
      <c r="N99" t="s">
        <v>1595</v>
      </c>
      <c r="O99" t="s">
        <v>3030</v>
      </c>
      <c r="P99" t="s">
        <v>1567</v>
      </c>
      <c r="Q99" s="31">
        <v>0.27600000000000002</v>
      </c>
      <c r="S99" t="s">
        <v>1593</v>
      </c>
    </row>
    <row r="100" spans="1:19" x14ac:dyDescent="0.35">
      <c r="A100">
        <v>2023</v>
      </c>
      <c r="B100" t="s">
        <v>772</v>
      </c>
      <c r="C100" t="s">
        <v>2923</v>
      </c>
      <c r="D100" t="s">
        <v>39</v>
      </c>
      <c r="E100" t="s">
        <v>86</v>
      </c>
      <c r="F100" t="s">
        <v>1322</v>
      </c>
      <c r="H100" t="s">
        <v>2151</v>
      </c>
      <c r="I100" t="s">
        <v>11</v>
      </c>
      <c r="J100" t="s">
        <v>19</v>
      </c>
      <c r="K100" t="s">
        <v>84</v>
      </c>
      <c r="L100" t="s">
        <v>16</v>
      </c>
      <c r="M100" t="s">
        <v>3015</v>
      </c>
      <c r="N100" t="s">
        <v>1599</v>
      </c>
      <c r="O100" t="s">
        <v>3030</v>
      </c>
      <c r="P100" t="s">
        <v>1589</v>
      </c>
      <c r="Q100" s="31">
        <v>54.2</v>
      </c>
      <c r="S100" t="s">
        <v>1593</v>
      </c>
    </row>
    <row r="101" spans="1:19" x14ac:dyDescent="0.35">
      <c r="A101">
        <v>2023</v>
      </c>
      <c r="B101" t="s">
        <v>772</v>
      </c>
      <c r="C101" t="s">
        <v>2923</v>
      </c>
      <c r="D101" t="s">
        <v>39</v>
      </c>
      <c r="E101" t="s">
        <v>78</v>
      </c>
      <c r="F101" t="s">
        <v>1321</v>
      </c>
      <c r="H101" t="s">
        <v>2151</v>
      </c>
      <c r="I101" t="s">
        <v>11</v>
      </c>
      <c r="J101" t="s">
        <v>19</v>
      </c>
      <c r="K101" t="s">
        <v>84</v>
      </c>
      <c r="L101" t="s">
        <v>1776</v>
      </c>
      <c r="M101" t="s">
        <v>3015</v>
      </c>
      <c r="N101" t="s">
        <v>1780</v>
      </c>
      <c r="O101" t="s">
        <v>3197</v>
      </c>
      <c r="P101" t="s">
        <v>2945</v>
      </c>
      <c r="Q101">
        <v>0.68211478599221698</v>
      </c>
      <c r="R101" t="s">
        <v>3199</v>
      </c>
      <c r="S101" t="s">
        <v>1598</v>
      </c>
    </row>
    <row r="102" spans="1:19" x14ac:dyDescent="0.35">
      <c r="A102">
        <v>2023</v>
      </c>
      <c r="B102" t="s">
        <v>772</v>
      </c>
      <c r="C102" t="s">
        <v>2923</v>
      </c>
      <c r="D102" t="s">
        <v>39</v>
      </c>
      <c r="E102" t="s">
        <v>78</v>
      </c>
      <c r="F102" t="s">
        <v>1321</v>
      </c>
      <c r="H102" t="s">
        <v>2151</v>
      </c>
      <c r="I102" t="s">
        <v>11</v>
      </c>
      <c r="J102" t="s">
        <v>21</v>
      </c>
      <c r="K102" t="s">
        <v>64</v>
      </c>
      <c r="L102" t="s">
        <v>1776</v>
      </c>
      <c r="M102" t="s">
        <v>3015</v>
      </c>
      <c r="N102" t="s">
        <v>1595</v>
      </c>
      <c r="O102" t="s">
        <v>3030</v>
      </c>
      <c r="P102" t="s">
        <v>1567</v>
      </c>
      <c r="Q102" s="31">
        <v>5.7009999999999996</v>
      </c>
      <c r="S102" t="s">
        <v>1596</v>
      </c>
    </row>
    <row r="103" spans="1:19" s="18" customFormat="1" x14ac:dyDescent="0.35">
      <c r="A103">
        <v>2023</v>
      </c>
      <c r="B103" t="s">
        <v>772</v>
      </c>
      <c r="C103" t="s">
        <v>2923</v>
      </c>
      <c r="D103" t="s">
        <v>39</v>
      </c>
      <c r="E103" t="s">
        <v>86</v>
      </c>
      <c r="F103" t="s">
        <v>1322</v>
      </c>
      <c r="G103"/>
      <c r="H103" t="s">
        <v>2151</v>
      </c>
      <c r="I103" t="s">
        <v>11</v>
      </c>
      <c r="J103" t="s">
        <v>19</v>
      </c>
      <c r="K103" t="s">
        <v>84</v>
      </c>
      <c r="L103" t="s">
        <v>125</v>
      </c>
      <c r="M103" t="s">
        <v>3015</v>
      </c>
      <c r="N103" t="s">
        <v>1595</v>
      </c>
      <c r="O103" t="s">
        <v>3030</v>
      </c>
      <c r="P103" t="s">
        <v>1589</v>
      </c>
      <c r="Q103" s="31">
        <v>0.4</v>
      </c>
      <c r="R103"/>
      <c r="S103" t="s">
        <v>1593</v>
      </c>
    </row>
    <row r="104" spans="1:19" x14ac:dyDescent="0.35">
      <c r="A104">
        <v>2023</v>
      </c>
      <c r="B104" t="s">
        <v>772</v>
      </c>
      <c r="C104" t="s">
        <v>2923</v>
      </c>
      <c r="D104" t="s">
        <v>39</v>
      </c>
      <c r="E104" t="s">
        <v>86</v>
      </c>
      <c r="F104" t="s">
        <v>1322</v>
      </c>
      <c r="H104" t="s">
        <v>2151</v>
      </c>
      <c r="I104" t="s">
        <v>11</v>
      </c>
      <c r="J104" t="s">
        <v>19</v>
      </c>
      <c r="K104" t="s">
        <v>84</v>
      </c>
      <c r="L104" t="s">
        <v>125</v>
      </c>
      <c r="M104" t="s">
        <v>3015</v>
      </c>
      <c r="N104" t="s">
        <v>1599</v>
      </c>
      <c r="O104" t="s">
        <v>3030</v>
      </c>
      <c r="P104" t="s">
        <v>1589</v>
      </c>
      <c r="Q104" s="31">
        <v>81.2</v>
      </c>
      <c r="S104" t="s">
        <v>1593</v>
      </c>
    </row>
    <row r="105" spans="1:19" x14ac:dyDescent="0.35">
      <c r="A105">
        <v>2023</v>
      </c>
      <c r="B105" t="s">
        <v>772</v>
      </c>
      <c r="C105" t="s">
        <v>2923</v>
      </c>
      <c r="D105" t="s">
        <v>39</v>
      </c>
      <c r="E105" t="s">
        <v>78</v>
      </c>
      <c r="F105" t="s">
        <v>1321</v>
      </c>
      <c r="H105" t="s">
        <v>2151</v>
      </c>
      <c r="I105" t="s">
        <v>11</v>
      </c>
      <c r="J105" t="s">
        <v>21</v>
      </c>
      <c r="K105" t="s">
        <v>64</v>
      </c>
      <c r="L105" t="s">
        <v>1776</v>
      </c>
      <c r="M105" t="s">
        <v>3015</v>
      </c>
      <c r="N105" t="s">
        <v>1599</v>
      </c>
      <c r="O105" t="s">
        <v>3030</v>
      </c>
      <c r="P105" t="s">
        <v>1589</v>
      </c>
      <c r="Q105" s="31">
        <v>95.7</v>
      </c>
      <c r="S105" t="s">
        <v>1597</v>
      </c>
    </row>
    <row r="106" spans="1:19" x14ac:dyDescent="0.35">
      <c r="A106">
        <v>2023</v>
      </c>
      <c r="B106" t="s">
        <v>772</v>
      </c>
      <c r="C106" t="s">
        <v>2923</v>
      </c>
      <c r="D106" t="s">
        <v>39</v>
      </c>
      <c r="E106" t="s">
        <v>41</v>
      </c>
      <c r="F106" t="s">
        <v>1316</v>
      </c>
      <c r="H106" t="s">
        <v>2151</v>
      </c>
      <c r="I106" t="s">
        <v>11</v>
      </c>
      <c r="J106" t="s">
        <v>13</v>
      </c>
      <c r="K106" t="s">
        <v>16</v>
      </c>
      <c r="L106" t="s">
        <v>1776</v>
      </c>
      <c r="M106" t="s">
        <v>3015</v>
      </c>
      <c r="N106" t="s">
        <v>1780</v>
      </c>
      <c r="O106" t="s">
        <v>3197</v>
      </c>
      <c r="P106" t="s">
        <v>2945</v>
      </c>
      <c r="Q106">
        <v>0.36170620108368401</v>
      </c>
      <c r="R106" t="s">
        <v>3199</v>
      </c>
      <c r="S106" t="s">
        <v>1593</v>
      </c>
    </row>
    <row r="107" spans="1:19" x14ac:dyDescent="0.35">
      <c r="A107">
        <v>2023</v>
      </c>
      <c r="B107" t="s">
        <v>772</v>
      </c>
      <c r="C107" t="s">
        <v>2923</v>
      </c>
      <c r="D107" t="s">
        <v>39</v>
      </c>
      <c r="E107" t="s">
        <v>41</v>
      </c>
      <c r="F107" t="s">
        <v>1316</v>
      </c>
      <c r="H107" t="s">
        <v>2151</v>
      </c>
      <c r="I107" t="s">
        <v>11</v>
      </c>
      <c r="J107" t="s">
        <v>13</v>
      </c>
      <c r="K107" t="s">
        <v>16</v>
      </c>
      <c r="L107" t="s">
        <v>16</v>
      </c>
      <c r="M107" t="s">
        <v>3015</v>
      </c>
      <c r="N107" t="s">
        <v>1595</v>
      </c>
      <c r="O107" t="s">
        <v>3030</v>
      </c>
      <c r="P107" t="s">
        <v>1567</v>
      </c>
      <c r="Q107" s="31">
        <v>4.7850000000000001</v>
      </c>
      <c r="S107" t="s">
        <v>1593</v>
      </c>
    </row>
    <row r="108" spans="1:19" x14ac:dyDescent="0.35">
      <c r="A108">
        <v>2023</v>
      </c>
      <c r="B108" t="s">
        <v>772</v>
      </c>
      <c r="C108" t="s">
        <v>2923</v>
      </c>
      <c r="D108" t="s">
        <v>39</v>
      </c>
      <c r="E108" t="s">
        <v>41</v>
      </c>
      <c r="F108" t="s">
        <v>1316</v>
      </c>
      <c r="H108" t="s">
        <v>2151</v>
      </c>
      <c r="I108" t="s">
        <v>11</v>
      </c>
      <c r="J108" t="s">
        <v>13</v>
      </c>
      <c r="K108" t="s">
        <v>16</v>
      </c>
      <c r="L108" t="s">
        <v>16</v>
      </c>
      <c r="M108" t="s">
        <v>3015</v>
      </c>
      <c r="N108" t="s">
        <v>1599</v>
      </c>
      <c r="O108" t="s">
        <v>3030</v>
      </c>
      <c r="P108" t="s">
        <v>1589</v>
      </c>
      <c r="Q108" s="31">
        <v>91</v>
      </c>
      <c r="S108" t="s">
        <v>1593</v>
      </c>
    </row>
    <row r="109" spans="1:19" x14ac:dyDescent="0.35">
      <c r="A109">
        <v>2023</v>
      </c>
      <c r="B109" t="s">
        <v>1537</v>
      </c>
      <c r="C109" t="s">
        <v>2923</v>
      </c>
      <c r="D109" t="s">
        <v>39</v>
      </c>
      <c r="E109" t="s">
        <v>1587</v>
      </c>
      <c r="G109" t="s">
        <v>1754</v>
      </c>
      <c r="H109" t="s">
        <v>2151</v>
      </c>
      <c r="I109" t="s">
        <v>11</v>
      </c>
      <c r="J109" t="s">
        <v>720</v>
      </c>
      <c r="K109" t="s">
        <v>16</v>
      </c>
      <c r="L109" t="s">
        <v>16</v>
      </c>
      <c r="M109" t="s">
        <v>3015</v>
      </c>
      <c r="N109" t="s">
        <v>1595</v>
      </c>
      <c r="O109" t="s">
        <v>3030</v>
      </c>
      <c r="P109" t="s">
        <v>1567</v>
      </c>
      <c r="Q109" s="31">
        <v>3.0150000000000001</v>
      </c>
      <c r="S109" t="s">
        <v>1593</v>
      </c>
    </row>
    <row r="110" spans="1:19" x14ac:dyDescent="0.35">
      <c r="A110">
        <v>2023</v>
      </c>
      <c r="B110" t="s">
        <v>772</v>
      </c>
      <c r="C110" t="s">
        <v>2923</v>
      </c>
      <c r="D110" t="s">
        <v>717</v>
      </c>
      <c r="E110" t="s">
        <v>87</v>
      </c>
      <c r="F110" t="s">
        <v>1267</v>
      </c>
      <c r="G110" t="s">
        <v>1854</v>
      </c>
      <c r="H110" t="s">
        <v>1853</v>
      </c>
      <c r="I110" t="s">
        <v>11</v>
      </c>
      <c r="J110" t="s">
        <v>44</v>
      </c>
      <c r="K110" t="s">
        <v>88</v>
      </c>
      <c r="L110" t="s">
        <v>125</v>
      </c>
      <c r="M110" t="s">
        <v>3016</v>
      </c>
      <c r="N110" t="s">
        <v>1779</v>
      </c>
      <c r="O110" t="s">
        <v>3030</v>
      </c>
      <c r="P110" t="s">
        <v>1768</v>
      </c>
      <c r="Q110" s="31">
        <v>20.11</v>
      </c>
      <c r="S110" t="s">
        <v>1777</v>
      </c>
    </row>
    <row r="111" spans="1:19" x14ac:dyDescent="0.35">
      <c r="A111">
        <v>2023</v>
      </c>
      <c r="B111" t="s">
        <v>772</v>
      </c>
      <c r="C111" t="s">
        <v>2923</v>
      </c>
      <c r="D111" t="s">
        <v>717</v>
      </c>
      <c r="E111" t="s">
        <v>87</v>
      </c>
      <c r="F111" t="s">
        <v>1267</v>
      </c>
      <c r="G111" t="s">
        <v>1854</v>
      </c>
      <c r="H111" t="s">
        <v>1853</v>
      </c>
      <c r="I111" t="s">
        <v>11</v>
      </c>
      <c r="J111" t="s">
        <v>44</v>
      </c>
      <c r="K111" t="s">
        <v>88</v>
      </c>
      <c r="L111" t="s">
        <v>125</v>
      </c>
      <c r="M111" t="s">
        <v>3015</v>
      </c>
      <c r="N111" t="s">
        <v>1735</v>
      </c>
      <c r="O111" t="s">
        <v>3030</v>
      </c>
      <c r="P111" t="s">
        <v>1589</v>
      </c>
      <c r="Q111" s="31">
        <v>0.74</v>
      </c>
      <c r="S111" t="s">
        <v>1777</v>
      </c>
    </row>
    <row r="112" spans="1:19" x14ac:dyDescent="0.35">
      <c r="A112">
        <v>2023</v>
      </c>
      <c r="B112" t="s">
        <v>772</v>
      </c>
      <c r="C112" t="s">
        <v>2923</v>
      </c>
      <c r="D112" t="s">
        <v>717</v>
      </c>
      <c r="E112" t="s">
        <v>87</v>
      </c>
      <c r="F112" t="s">
        <v>1267</v>
      </c>
      <c r="G112" t="s">
        <v>1854</v>
      </c>
      <c r="H112" t="s">
        <v>1853</v>
      </c>
      <c r="I112" t="s">
        <v>11</v>
      </c>
      <c r="J112" t="s">
        <v>44</v>
      </c>
      <c r="K112" t="s">
        <v>88</v>
      </c>
      <c r="L112" t="s">
        <v>125</v>
      </c>
      <c r="M112" t="s">
        <v>3015</v>
      </c>
      <c r="N112" t="s">
        <v>1716</v>
      </c>
      <c r="O112" t="s">
        <v>3030</v>
      </c>
      <c r="P112" t="s">
        <v>1589</v>
      </c>
      <c r="Q112" s="31">
        <v>90.4</v>
      </c>
      <c r="S112" t="s">
        <v>1777</v>
      </c>
    </row>
    <row r="113" spans="1:19" x14ac:dyDescent="0.35">
      <c r="A113">
        <v>2023</v>
      </c>
      <c r="B113" t="s">
        <v>1537</v>
      </c>
      <c r="C113" t="s">
        <v>2923</v>
      </c>
      <c r="D113" t="s">
        <v>39</v>
      </c>
      <c r="E113" t="s">
        <v>1587</v>
      </c>
      <c r="G113" t="s">
        <v>1754</v>
      </c>
      <c r="H113" t="s">
        <v>2151</v>
      </c>
      <c r="I113" t="s">
        <v>11</v>
      </c>
      <c r="J113" t="s">
        <v>720</v>
      </c>
      <c r="K113" t="s">
        <v>16</v>
      </c>
      <c r="L113" t="s">
        <v>16</v>
      </c>
      <c r="M113" t="s">
        <v>3015</v>
      </c>
      <c r="N113" t="s">
        <v>1599</v>
      </c>
      <c r="O113" t="s">
        <v>3030</v>
      </c>
      <c r="P113" t="s">
        <v>1589</v>
      </c>
      <c r="Q113" s="31">
        <v>91.4</v>
      </c>
      <c r="S113" t="s">
        <v>1593</v>
      </c>
    </row>
    <row r="114" spans="1:19" x14ac:dyDescent="0.35">
      <c r="A114">
        <v>2023</v>
      </c>
      <c r="B114" t="s">
        <v>1537</v>
      </c>
      <c r="C114" t="s">
        <v>2923</v>
      </c>
      <c r="D114" t="s">
        <v>46</v>
      </c>
      <c r="E114" t="s">
        <v>1536</v>
      </c>
      <c r="G114" t="s">
        <v>1755</v>
      </c>
      <c r="H114" t="s">
        <v>2166</v>
      </c>
      <c r="I114" t="s">
        <v>720</v>
      </c>
      <c r="J114" t="s">
        <v>720</v>
      </c>
      <c r="K114" t="s">
        <v>16</v>
      </c>
      <c r="L114" t="s">
        <v>16</v>
      </c>
      <c r="M114" t="s">
        <v>3015</v>
      </c>
      <c r="N114" t="s">
        <v>1630</v>
      </c>
      <c r="O114" t="s">
        <v>3030</v>
      </c>
      <c r="P114" t="s">
        <v>1567</v>
      </c>
      <c r="Q114" s="31">
        <v>2.7</v>
      </c>
      <c r="R114" t="s">
        <v>3174</v>
      </c>
      <c r="S114" t="s">
        <v>1649</v>
      </c>
    </row>
    <row r="115" spans="1:19" x14ac:dyDescent="0.35">
      <c r="A115">
        <v>2023</v>
      </c>
      <c r="B115" t="s">
        <v>772</v>
      </c>
      <c r="C115" t="s">
        <v>2923</v>
      </c>
      <c r="D115" t="s">
        <v>717</v>
      </c>
      <c r="E115" t="s">
        <v>87</v>
      </c>
      <c r="F115" t="s">
        <v>1267</v>
      </c>
      <c r="G115" t="s">
        <v>1854</v>
      </c>
      <c r="H115" t="s">
        <v>1853</v>
      </c>
      <c r="I115" t="s">
        <v>11</v>
      </c>
      <c r="J115" t="s">
        <v>44</v>
      </c>
      <c r="K115" t="s">
        <v>88</v>
      </c>
      <c r="L115" t="s">
        <v>1549</v>
      </c>
      <c r="M115" t="s">
        <v>3015</v>
      </c>
      <c r="N115" t="s">
        <v>1735</v>
      </c>
      <c r="O115" t="s">
        <v>3030</v>
      </c>
      <c r="P115" t="s">
        <v>1567</v>
      </c>
      <c r="Q115" s="31">
        <v>24.19</v>
      </c>
      <c r="S115" t="s">
        <v>1777</v>
      </c>
    </row>
    <row r="116" spans="1:19" x14ac:dyDescent="0.35">
      <c r="A116">
        <v>2023</v>
      </c>
      <c r="B116" t="s">
        <v>772</v>
      </c>
      <c r="C116" t="s">
        <v>2923</v>
      </c>
      <c r="D116" t="s">
        <v>717</v>
      </c>
      <c r="E116" t="s">
        <v>87</v>
      </c>
      <c r="F116" t="s">
        <v>1267</v>
      </c>
      <c r="G116" t="s">
        <v>1854</v>
      </c>
      <c r="H116" t="s">
        <v>1853</v>
      </c>
      <c r="I116" t="s">
        <v>11</v>
      </c>
      <c r="J116" t="s">
        <v>44</v>
      </c>
      <c r="K116" t="s">
        <v>88</v>
      </c>
      <c r="L116" t="s">
        <v>1549</v>
      </c>
      <c r="M116" t="s">
        <v>3015</v>
      </c>
      <c r="N116" t="s">
        <v>1716</v>
      </c>
      <c r="O116" t="s">
        <v>3030</v>
      </c>
      <c r="P116" t="s">
        <v>1589</v>
      </c>
      <c r="Q116" s="31">
        <v>61.4</v>
      </c>
      <c r="S116" t="s">
        <v>1777</v>
      </c>
    </row>
    <row r="117" spans="1:19" x14ac:dyDescent="0.35">
      <c r="A117">
        <v>2023</v>
      </c>
      <c r="B117" t="s">
        <v>772</v>
      </c>
      <c r="C117" t="s">
        <v>2923</v>
      </c>
      <c r="D117" t="s">
        <v>717</v>
      </c>
      <c r="E117" t="s">
        <v>87</v>
      </c>
      <c r="F117" t="s">
        <v>1267</v>
      </c>
      <c r="G117" t="s">
        <v>1854</v>
      </c>
      <c r="H117" t="s">
        <v>1853</v>
      </c>
      <c r="I117" t="s">
        <v>11</v>
      </c>
      <c r="J117" t="s">
        <v>44</v>
      </c>
      <c r="K117" t="s">
        <v>88</v>
      </c>
      <c r="L117" t="s">
        <v>1551</v>
      </c>
      <c r="M117" t="s">
        <v>3016</v>
      </c>
      <c r="N117" t="s">
        <v>1779</v>
      </c>
      <c r="O117" t="s">
        <v>3030</v>
      </c>
      <c r="P117" t="s">
        <v>1770</v>
      </c>
      <c r="Q117" s="31">
        <v>51.84</v>
      </c>
      <c r="S117" t="s">
        <v>1777</v>
      </c>
    </row>
    <row r="118" spans="1:19" x14ac:dyDescent="0.35">
      <c r="A118">
        <v>2023</v>
      </c>
      <c r="B118" t="s">
        <v>772</v>
      </c>
      <c r="C118" t="s">
        <v>2923</v>
      </c>
      <c r="D118" t="s">
        <v>717</v>
      </c>
      <c r="E118" t="s">
        <v>87</v>
      </c>
      <c r="F118" t="s">
        <v>1267</v>
      </c>
      <c r="G118" t="s">
        <v>1854</v>
      </c>
      <c r="H118" t="s">
        <v>1853</v>
      </c>
      <c r="I118" t="s">
        <v>11</v>
      </c>
      <c r="J118" t="s">
        <v>44</v>
      </c>
      <c r="K118" t="s">
        <v>88</v>
      </c>
      <c r="L118" t="s">
        <v>1551</v>
      </c>
      <c r="M118" t="s">
        <v>3015</v>
      </c>
      <c r="N118" t="s">
        <v>1735</v>
      </c>
      <c r="O118" t="s">
        <v>3030</v>
      </c>
      <c r="P118" t="s">
        <v>1589</v>
      </c>
      <c r="Q118" s="31">
        <v>4.3600000000000003</v>
      </c>
      <c r="S118" t="s">
        <v>1777</v>
      </c>
    </row>
    <row r="119" spans="1:19" x14ac:dyDescent="0.35">
      <c r="A119">
        <v>2023</v>
      </c>
      <c r="B119" t="s">
        <v>772</v>
      </c>
      <c r="C119" t="s">
        <v>2923</v>
      </c>
      <c r="D119" t="s">
        <v>717</v>
      </c>
      <c r="E119" t="s">
        <v>87</v>
      </c>
      <c r="F119" t="s">
        <v>1267</v>
      </c>
      <c r="G119" t="s">
        <v>1854</v>
      </c>
      <c r="H119" t="s">
        <v>1853</v>
      </c>
      <c r="I119" t="s">
        <v>11</v>
      </c>
      <c r="J119" t="s">
        <v>44</v>
      </c>
      <c r="K119" t="s">
        <v>88</v>
      </c>
      <c r="L119" t="s">
        <v>1551</v>
      </c>
      <c r="M119" t="s">
        <v>3015</v>
      </c>
      <c r="N119" t="s">
        <v>1716</v>
      </c>
      <c r="O119" t="s">
        <v>3030</v>
      </c>
      <c r="P119" t="s">
        <v>1589</v>
      </c>
      <c r="Q119" s="31">
        <v>82.2</v>
      </c>
      <c r="S119" t="s">
        <v>1777</v>
      </c>
    </row>
    <row r="120" spans="1:19" x14ac:dyDescent="0.35">
      <c r="A120">
        <v>2023</v>
      </c>
      <c r="B120" t="s">
        <v>772</v>
      </c>
      <c r="C120" t="s">
        <v>2923</v>
      </c>
      <c r="D120" t="s">
        <v>900</v>
      </c>
      <c r="E120" t="s">
        <v>50</v>
      </c>
      <c r="F120" t="s">
        <v>1372</v>
      </c>
      <c r="H120" t="s">
        <v>2182</v>
      </c>
      <c r="I120" t="s">
        <v>11</v>
      </c>
      <c r="J120" t="s">
        <v>13</v>
      </c>
      <c r="K120" t="s">
        <v>16</v>
      </c>
      <c r="L120" t="s">
        <v>16</v>
      </c>
      <c r="M120" t="s">
        <v>3016</v>
      </c>
      <c r="N120" t="s">
        <v>1630</v>
      </c>
      <c r="O120" t="s">
        <v>3030</v>
      </c>
      <c r="P120" t="s">
        <v>1567</v>
      </c>
      <c r="Q120" s="31">
        <v>5.0999999999999996</v>
      </c>
      <c r="R120" t="s">
        <v>3174</v>
      </c>
      <c r="S120" s="22" t="s">
        <v>1880</v>
      </c>
    </row>
    <row r="121" spans="1:19" x14ac:dyDescent="0.35">
      <c r="A121">
        <v>2022</v>
      </c>
      <c r="B121" t="s">
        <v>772</v>
      </c>
      <c r="C121" t="s">
        <v>2923</v>
      </c>
      <c r="D121" t="s">
        <v>358</v>
      </c>
      <c r="E121" t="s">
        <v>359</v>
      </c>
      <c r="F121" t="s">
        <v>1371</v>
      </c>
      <c r="H121" t="s">
        <v>2181</v>
      </c>
      <c r="I121" t="s">
        <v>233</v>
      </c>
      <c r="J121" t="s">
        <v>274</v>
      </c>
      <c r="K121" t="s">
        <v>360</v>
      </c>
      <c r="L121" t="s">
        <v>1769</v>
      </c>
      <c r="M121" t="s">
        <v>3015</v>
      </c>
      <c r="N121" t="s">
        <v>1716</v>
      </c>
      <c r="O121" t="s">
        <v>3030</v>
      </c>
      <c r="P121" t="s">
        <v>1589</v>
      </c>
      <c r="Q121" s="31">
        <v>81.2</v>
      </c>
      <c r="R121" t="s">
        <v>2370</v>
      </c>
      <c r="S121" t="s">
        <v>2369</v>
      </c>
    </row>
    <row r="122" spans="1:19" x14ac:dyDescent="0.35">
      <c r="A122">
        <v>2022</v>
      </c>
      <c r="B122" t="s">
        <v>772</v>
      </c>
      <c r="C122" t="s">
        <v>2923</v>
      </c>
      <c r="D122" t="s">
        <v>358</v>
      </c>
      <c r="E122" t="s">
        <v>359</v>
      </c>
      <c r="F122" t="s">
        <v>1371</v>
      </c>
      <c r="H122" t="s">
        <v>2181</v>
      </c>
      <c r="I122" t="s">
        <v>233</v>
      </c>
      <c r="J122" t="s">
        <v>274</v>
      </c>
      <c r="K122" t="s">
        <v>360</v>
      </c>
      <c r="L122" t="s">
        <v>557</v>
      </c>
      <c r="M122" t="s">
        <v>3015</v>
      </c>
      <c r="N122" t="s">
        <v>1716</v>
      </c>
      <c r="O122" t="s">
        <v>3030</v>
      </c>
      <c r="P122" t="s">
        <v>1589</v>
      </c>
      <c r="Q122" s="31">
        <v>83.5</v>
      </c>
      <c r="R122" t="s">
        <v>2370</v>
      </c>
      <c r="S122" t="s">
        <v>2369</v>
      </c>
    </row>
    <row r="123" spans="1:19" x14ac:dyDescent="0.35">
      <c r="A123">
        <v>2023</v>
      </c>
      <c r="B123" t="s">
        <v>1537</v>
      </c>
      <c r="C123" t="s">
        <v>2923</v>
      </c>
      <c r="D123" t="s">
        <v>902</v>
      </c>
      <c r="E123" t="s">
        <v>1951</v>
      </c>
      <c r="G123" t="s">
        <v>1950</v>
      </c>
      <c r="H123" t="s">
        <v>2187</v>
      </c>
      <c r="I123" t="s">
        <v>11</v>
      </c>
      <c r="J123" t="s">
        <v>44</v>
      </c>
      <c r="K123" t="s">
        <v>16</v>
      </c>
      <c r="L123" t="s">
        <v>16</v>
      </c>
      <c r="M123" t="s">
        <v>3015</v>
      </c>
      <c r="N123" t="s">
        <v>1954</v>
      </c>
      <c r="O123" t="s">
        <v>3030</v>
      </c>
      <c r="P123" t="s">
        <v>1567</v>
      </c>
      <c r="Q123" s="31">
        <v>10.14</v>
      </c>
      <c r="S123" t="s">
        <v>1939</v>
      </c>
    </row>
    <row r="124" spans="1:19" x14ac:dyDescent="0.35">
      <c r="A124">
        <v>2023</v>
      </c>
      <c r="B124" t="s">
        <v>1537</v>
      </c>
      <c r="C124" t="s">
        <v>2923</v>
      </c>
      <c r="D124" t="s">
        <v>902</v>
      </c>
      <c r="E124" t="s">
        <v>1951</v>
      </c>
      <c r="G124" t="s">
        <v>1950</v>
      </c>
      <c r="H124" t="s">
        <v>2187</v>
      </c>
      <c r="I124" t="s">
        <v>11</v>
      </c>
      <c r="J124" t="s">
        <v>44</v>
      </c>
      <c r="K124" t="s">
        <v>16</v>
      </c>
      <c r="L124" t="s">
        <v>16</v>
      </c>
      <c r="M124" t="s">
        <v>3015</v>
      </c>
      <c r="N124" t="s">
        <v>1716</v>
      </c>
      <c r="O124" t="s">
        <v>3030</v>
      </c>
      <c r="P124" t="s">
        <v>1589</v>
      </c>
      <c r="Q124" s="31">
        <v>97</v>
      </c>
      <c r="S124" t="s">
        <v>1939</v>
      </c>
    </row>
    <row r="125" spans="1:19" x14ac:dyDescent="0.35">
      <c r="A125">
        <v>2023</v>
      </c>
      <c r="B125" t="s">
        <v>772</v>
      </c>
      <c r="C125" t="s">
        <v>2923</v>
      </c>
      <c r="D125" t="s">
        <v>135</v>
      </c>
      <c r="E125" t="s">
        <v>136</v>
      </c>
      <c r="F125" t="s">
        <v>1395</v>
      </c>
      <c r="H125" t="s">
        <v>2200</v>
      </c>
      <c r="I125" t="s">
        <v>11</v>
      </c>
      <c r="J125" t="s">
        <v>19</v>
      </c>
      <c r="K125" t="s">
        <v>137</v>
      </c>
      <c r="L125" t="s">
        <v>1776</v>
      </c>
      <c r="M125" t="s">
        <v>3015</v>
      </c>
      <c r="N125" t="s">
        <v>1780</v>
      </c>
      <c r="O125" t="s">
        <v>3030</v>
      </c>
      <c r="P125" t="s">
        <v>2945</v>
      </c>
      <c r="Q125" s="31">
        <v>1.3</v>
      </c>
      <c r="S125" t="s">
        <v>3023</v>
      </c>
    </row>
    <row r="126" spans="1:19" x14ac:dyDescent="0.35">
      <c r="A126">
        <v>2023</v>
      </c>
      <c r="B126" t="s">
        <v>772</v>
      </c>
      <c r="C126" t="s">
        <v>2923</v>
      </c>
      <c r="D126" t="s">
        <v>730</v>
      </c>
      <c r="E126" t="s">
        <v>59</v>
      </c>
      <c r="F126" t="s">
        <v>1439</v>
      </c>
      <c r="H126" t="s">
        <v>2220</v>
      </c>
      <c r="I126" t="s">
        <v>11</v>
      </c>
      <c r="J126" t="s">
        <v>13</v>
      </c>
      <c r="K126" t="s">
        <v>16</v>
      </c>
      <c r="L126" t="s">
        <v>1776</v>
      </c>
      <c r="M126" t="s">
        <v>3015</v>
      </c>
      <c r="N126" t="s">
        <v>1780</v>
      </c>
      <c r="O126" t="s">
        <v>3197</v>
      </c>
      <c r="P126" t="s">
        <v>2945</v>
      </c>
      <c r="Q126">
        <v>0.64937765859486896</v>
      </c>
      <c r="R126" t="s">
        <v>3204</v>
      </c>
      <c r="S126" t="s">
        <v>1733</v>
      </c>
    </row>
    <row r="127" spans="1:19" x14ac:dyDescent="0.35">
      <c r="A127">
        <v>2023</v>
      </c>
      <c r="B127" t="s">
        <v>772</v>
      </c>
      <c r="C127" t="s">
        <v>2923</v>
      </c>
      <c r="D127" t="s">
        <v>730</v>
      </c>
      <c r="E127" t="s">
        <v>59</v>
      </c>
      <c r="F127" t="s">
        <v>1439</v>
      </c>
      <c r="H127" t="s">
        <v>2220</v>
      </c>
      <c r="I127" t="s">
        <v>11</v>
      </c>
      <c r="J127" t="s">
        <v>13</v>
      </c>
      <c r="K127" t="s">
        <v>16</v>
      </c>
      <c r="L127" t="s">
        <v>16</v>
      </c>
      <c r="M127" t="s">
        <v>3015</v>
      </c>
      <c r="N127" t="s">
        <v>1735</v>
      </c>
      <c r="O127" t="s">
        <v>3030</v>
      </c>
      <c r="P127" t="s">
        <v>1567</v>
      </c>
      <c r="Q127" s="31">
        <v>12.6</v>
      </c>
      <c r="S127" t="s">
        <v>1733</v>
      </c>
    </row>
    <row r="128" spans="1:19" x14ac:dyDescent="0.35">
      <c r="A128">
        <v>2023</v>
      </c>
      <c r="B128" t="s">
        <v>772</v>
      </c>
      <c r="C128" t="s">
        <v>2923</v>
      </c>
      <c r="D128" t="s">
        <v>730</v>
      </c>
      <c r="E128" t="s">
        <v>59</v>
      </c>
      <c r="F128" t="s">
        <v>1439</v>
      </c>
      <c r="H128" t="s">
        <v>2220</v>
      </c>
      <c r="I128" t="s">
        <v>11</v>
      </c>
      <c r="J128" t="s">
        <v>13</v>
      </c>
      <c r="K128" t="s">
        <v>16</v>
      </c>
      <c r="L128" t="s">
        <v>16</v>
      </c>
      <c r="M128" t="s">
        <v>3015</v>
      </c>
      <c r="N128" t="s">
        <v>1716</v>
      </c>
      <c r="O128" t="s">
        <v>3030</v>
      </c>
      <c r="P128" t="s">
        <v>1589</v>
      </c>
      <c r="Q128" s="31">
        <v>96.9</v>
      </c>
      <c r="S128" t="s">
        <v>1733</v>
      </c>
    </row>
    <row r="129" spans="1:19" x14ac:dyDescent="0.35">
      <c r="A129">
        <v>2023</v>
      </c>
      <c r="B129" t="s">
        <v>772</v>
      </c>
      <c r="C129" t="s">
        <v>2923</v>
      </c>
      <c r="D129" t="s">
        <v>730</v>
      </c>
      <c r="E129" t="s">
        <v>60</v>
      </c>
      <c r="F129" t="s">
        <v>1437</v>
      </c>
      <c r="H129" t="s">
        <v>2220</v>
      </c>
      <c r="I129" t="s">
        <v>11</v>
      </c>
      <c r="J129" t="s">
        <v>19</v>
      </c>
      <c r="K129" t="s">
        <v>16</v>
      </c>
      <c r="L129" t="s">
        <v>1776</v>
      </c>
      <c r="M129" t="s">
        <v>3015</v>
      </c>
      <c r="N129" t="s">
        <v>1780</v>
      </c>
      <c r="O129" t="s">
        <v>3197</v>
      </c>
      <c r="P129" t="s">
        <v>2945</v>
      </c>
      <c r="Q129">
        <v>0.848295561554397</v>
      </c>
      <c r="R129" t="s">
        <v>3204</v>
      </c>
      <c r="S129" t="s">
        <v>1733</v>
      </c>
    </row>
    <row r="130" spans="1:19" x14ac:dyDescent="0.35">
      <c r="A130">
        <v>2023</v>
      </c>
      <c r="B130" t="s">
        <v>772</v>
      </c>
      <c r="C130" t="s">
        <v>2923</v>
      </c>
      <c r="D130" t="s">
        <v>730</v>
      </c>
      <c r="E130" t="s">
        <v>60</v>
      </c>
      <c r="F130" t="s">
        <v>1437</v>
      </c>
      <c r="H130" t="s">
        <v>2220</v>
      </c>
      <c r="I130" t="s">
        <v>11</v>
      </c>
      <c r="J130" t="s">
        <v>19</v>
      </c>
      <c r="K130" t="s">
        <v>16</v>
      </c>
      <c r="L130" t="s">
        <v>16</v>
      </c>
      <c r="M130" t="s">
        <v>3015</v>
      </c>
      <c r="N130" t="s">
        <v>1735</v>
      </c>
      <c r="O130" t="s">
        <v>3030</v>
      </c>
      <c r="P130" t="s">
        <v>1567</v>
      </c>
      <c r="Q130" s="31">
        <v>5.9</v>
      </c>
      <c r="S130" t="s">
        <v>1733</v>
      </c>
    </row>
    <row r="131" spans="1:19" x14ac:dyDescent="0.35">
      <c r="A131">
        <v>2023</v>
      </c>
      <c r="B131" t="s">
        <v>772</v>
      </c>
      <c r="C131" t="s">
        <v>2923</v>
      </c>
      <c r="D131" t="s">
        <v>730</v>
      </c>
      <c r="E131" t="s">
        <v>60</v>
      </c>
      <c r="F131" t="s">
        <v>1437</v>
      </c>
      <c r="H131" t="s">
        <v>2220</v>
      </c>
      <c r="I131" t="s">
        <v>11</v>
      </c>
      <c r="J131" t="s">
        <v>19</v>
      </c>
      <c r="K131" t="s">
        <v>16</v>
      </c>
      <c r="L131" t="s">
        <v>16</v>
      </c>
      <c r="M131" t="s">
        <v>3015</v>
      </c>
      <c r="N131" t="s">
        <v>1716</v>
      </c>
      <c r="O131" t="s">
        <v>3030</v>
      </c>
      <c r="P131" t="s">
        <v>1589</v>
      </c>
      <c r="Q131" s="31">
        <v>98.3</v>
      </c>
      <c r="S131" t="s">
        <v>1733</v>
      </c>
    </row>
  </sheetData>
  <autoFilter ref="A1:S131" xr:uid="{64FE6E20-3A0D-4233-A6AC-071804281041}"/>
  <phoneticPr fontId="3" type="noConversion"/>
  <hyperlinks>
    <hyperlink ref="S48" r:id="rId1" xr:uid="{AA397135-92AC-48E1-8DBA-0029EC319D60}"/>
    <hyperlink ref="S120" r:id="rId2" display="https://www.geologyontario.mines.gov.on.ca/mineral-inventory/MDI42C14SE00006" xr:uid="{55979883-AC60-4C9D-9FCF-A1E3B38D33F4}"/>
  </hyperlinks>
  <pageMargins left="0.7" right="0.7" top="0.75" bottom="0.75" header="0.3" footer="0.3"/>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C8D16-7BD3-496E-9247-CD37329760C3}">
  <dimension ref="A1:N271"/>
  <sheetViews>
    <sheetView topLeftCell="A22" workbookViewId="0">
      <pane xSplit="3" topLeftCell="D1" activePane="topRight" state="frozen"/>
      <selection pane="topRight" activeCell="K37" sqref="K37"/>
    </sheetView>
  </sheetViews>
  <sheetFormatPr baseColWidth="10" defaultColWidth="8.7265625" defaultRowHeight="14.5" x14ac:dyDescent="0.35"/>
  <cols>
    <col min="1" max="1" width="49.81640625" bestFit="1" customWidth="1"/>
    <col min="2" max="2" width="45.6328125" customWidth="1"/>
    <col min="3" max="3" width="35.81640625" bestFit="1" customWidth="1"/>
    <col min="4" max="4" width="18" customWidth="1"/>
    <col min="5" max="5" width="15.81640625" bestFit="1" customWidth="1"/>
    <col min="6" max="6" width="13.36328125" bestFit="1" customWidth="1"/>
    <col min="7" max="7" width="35.36328125" bestFit="1" customWidth="1"/>
    <col min="8" max="8" width="38.08984375" customWidth="1"/>
    <col min="9" max="9" width="50.54296875" bestFit="1" customWidth="1"/>
    <col min="10" max="10" width="87.54296875" customWidth="1"/>
    <col min="11" max="11" width="89.453125" bestFit="1" customWidth="1"/>
    <col min="12" max="12" width="23.54296875" customWidth="1"/>
    <col min="13" max="13" width="31.453125" bestFit="1" customWidth="1"/>
    <col min="14" max="14" width="30.90625" bestFit="1" customWidth="1"/>
  </cols>
  <sheetData>
    <row r="1" spans="1:14" x14ac:dyDescent="0.35">
      <c r="A1" s="32" t="s">
        <v>1672</v>
      </c>
      <c r="B1" s="32" t="s">
        <v>1673</v>
      </c>
      <c r="C1" s="32" t="s">
        <v>1653</v>
      </c>
      <c r="D1" s="32" t="s">
        <v>2</v>
      </c>
      <c r="E1" s="1" t="s">
        <v>4</v>
      </c>
      <c r="F1" s="32" t="s">
        <v>3</v>
      </c>
      <c r="G1" s="14" t="s">
        <v>6</v>
      </c>
      <c r="H1" s="1" t="s">
        <v>1781</v>
      </c>
      <c r="I1" s="15" t="s">
        <v>813</v>
      </c>
      <c r="J1" s="16" t="s">
        <v>837</v>
      </c>
      <c r="K1" s="16" t="s">
        <v>814</v>
      </c>
      <c r="L1" s="32" t="s">
        <v>2226</v>
      </c>
      <c r="M1" s="32" t="s">
        <v>2227</v>
      </c>
      <c r="N1" s="32" t="s">
        <v>2228</v>
      </c>
    </row>
    <row r="2" spans="1:14" x14ac:dyDescent="0.35">
      <c r="A2" s="18" t="s">
        <v>717</v>
      </c>
      <c r="B2" s="18" t="s">
        <v>79</v>
      </c>
      <c r="C2" s="18" t="s">
        <v>464</v>
      </c>
      <c r="D2" s="18" t="s">
        <v>1272</v>
      </c>
      <c r="E2" s="18" t="s">
        <v>375</v>
      </c>
      <c r="F2" s="18" t="s">
        <v>374</v>
      </c>
      <c r="G2" s="18"/>
      <c r="H2" s="18" t="s">
        <v>90</v>
      </c>
      <c r="I2" s="18" t="s">
        <v>980</v>
      </c>
      <c r="J2" s="18" t="s">
        <v>707</v>
      </c>
      <c r="K2" s="18" t="s">
        <v>983</v>
      </c>
    </row>
    <row r="3" spans="1:14" x14ac:dyDescent="0.35">
      <c r="A3" s="18" t="s">
        <v>774</v>
      </c>
      <c r="B3" s="18" t="s">
        <v>62</v>
      </c>
      <c r="C3" s="18" t="s">
        <v>702</v>
      </c>
      <c r="D3" s="18" t="s">
        <v>1123</v>
      </c>
      <c r="E3" s="18" t="s">
        <v>375</v>
      </c>
      <c r="F3" s="18" t="s">
        <v>374</v>
      </c>
      <c r="G3" s="18"/>
      <c r="H3" s="18" t="s">
        <v>703</v>
      </c>
      <c r="I3" s="18"/>
      <c r="J3" s="18"/>
      <c r="K3" s="18"/>
    </row>
    <row r="4" spans="1:14" x14ac:dyDescent="0.35">
      <c r="A4" s="18" t="s">
        <v>14</v>
      </c>
      <c r="B4" s="18" t="s">
        <v>14</v>
      </c>
      <c r="C4" s="18" t="s">
        <v>429</v>
      </c>
      <c r="D4" s="18" t="s">
        <v>1132</v>
      </c>
      <c r="E4" s="18" t="s">
        <v>375</v>
      </c>
      <c r="F4" s="18" t="s">
        <v>374</v>
      </c>
      <c r="G4" s="18"/>
      <c r="H4" s="18" t="s">
        <v>81</v>
      </c>
      <c r="I4" s="18" t="s">
        <v>768</v>
      </c>
      <c r="J4" s="19" t="s">
        <v>1501</v>
      </c>
      <c r="K4" s="19" t="s">
        <v>1500</v>
      </c>
    </row>
    <row r="5" spans="1:14" x14ac:dyDescent="0.35">
      <c r="A5" s="18" t="s">
        <v>916</v>
      </c>
      <c r="B5" s="18" t="s">
        <v>691</v>
      </c>
      <c r="C5" s="18" t="s">
        <v>692</v>
      </c>
      <c r="D5" s="18" t="s">
        <v>1449</v>
      </c>
      <c r="E5" s="18" t="s">
        <v>375</v>
      </c>
      <c r="F5" s="18" t="s">
        <v>374</v>
      </c>
      <c r="G5" s="18"/>
      <c r="H5" s="18" t="s">
        <v>693</v>
      </c>
      <c r="I5" s="18"/>
      <c r="J5" s="18"/>
      <c r="K5" s="18"/>
    </row>
    <row r="6" spans="1:14" x14ac:dyDescent="0.35">
      <c r="A6" s="18" t="s">
        <v>135</v>
      </c>
      <c r="B6" s="18" t="s">
        <v>135</v>
      </c>
      <c r="C6" s="18" t="s">
        <v>595</v>
      </c>
      <c r="D6" s="18" t="s">
        <v>1397</v>
      </c>
      <c r="E6" s="18" t="s">
        <v>375</v>
      </c>
      <c r="F6" s="18" t="s">
        <v>374</v>
      </c>
      <c r="G6" s="18"/>
      <c r="H6" s="18" t="s">
        <v>177</v>
      </c>
      <c r="I6" s="18" t="s">
        <v>727</v>
      </c>
      <c r="J6" s="18"/>
      <c r="K6" s="18"/>
    </row>
    <row r="7" spans="1:14" x14ac:dyDescent="0.35">
      <c r="A7" t="s">
        <v>779</v>
      </c>
      <c r="B7" t="s">
        <v>242</v>
      </c>
      <c r="C7" t="s">
        <v>243</v>
      </c>
      <c r="D7" t="s">
        <v>1141</v>
      </c>
      <c r="E7" t="s">
        <v>233</v>
      </c>
      <c r="F7" t="s">
        <v>10</v>
      </c>
      <c r="G7" t="s">
        <v>245</v>
      </c>
      <c r="H7" t="s">
        <v>244</v>
      </c>
      <c r="I7" t="s">
        <v>778</v>
      </c>
      <c r="J7" s="22" t="s">
        <v>2043</v>
      </c>
      <c r="K7" t="s">
        <v>707</v>
      </c>
      <c r="M7" t="s">
        <v>2236</v>
      </c>
      <c r="N7" t="s">
        <v>2237</v>
      </c>
    </row>
    <row r="8" spans="1:14" x14ac:dyDescent="0.35">
      <c r="A8" t="s">
        <v>718</v>
      </c>
      <c r="B8" t="s">
        <v>246</v>
      </c>
      <c r="C8" t="s">
        <v>247</v>
      </c>
      <c r="D8" t="s">
        <v>1350</v>
      </c>
      <c r="E8" t="s">
        <v>233</v>
      </c>
      <c r="F8" t="s">
        <v>10</v>
      </c>
      <c r="G8" t="s">
        <v>249</v>
      </c>
      <c r="H8" t="s">
        <v>248</v>
      </c>
      <c r="I8" t="s">
        <v>1055</v>
      </c>
      <c r="J8" t="s">
        <v>1062</v>
      </c>
      <c r="K8" t="s">
        <v>707</v>
      </c>
      <c r="M8" t="s">
        <v>2289</v>
      </c>
    </row>
    <row r="9" spans="1:14" x14ac:dyDescent="0.35">
      <c r="A9" t="s">
        <v>718</v>
      </c>
      <c r="B9" t="s">
        <v>250</v>
      </c>
      <c r="C9" t="s">
        <v>251</v>
      </c>
      <c r="D9" t="s">
        <v>1352</v>
      </c>
      <c r="E9" t="s">
        <v>233</v>
      </c>
      <c r="F9" t="s">
        <v>10</v>
      </c>
      <c r="G9" t="s">
        <v>249</v>
      </c>
      <c r="H9" t="s">
        <v>252</v>
      </c>
      <c r="I9" t="s">
        <v>1058</v>
      </c>
      <c r="J9" t="s">
        <v>1062</v>
      </c>
      <c r="K9" t="s">
        <v>707</v>
      </c>
      <c r="M9" t="s">
        <v>2293</v>
      </c>
    </row>
    <row r="10" spans="1:14" x14ac:dyDescent="0.35">
      <c r="A10" t="s">
        <v>780</v>
      </c>
      <c r="B10" t="s">
        <v>253</v>
      </c>
      <c r="C10" t="s">
        <v>254</v>
      </c>
      <c r="D10" t="s">
        <v>1144</v>
      </c>
      <c r="E10" t="s">
        <v>233</v>
      </c>
      <c r="F10" t="s">
        <v>10</v>
      </c>
      <c r="G10" t="s">
        <v>255</v>
      </c>
      <c r="H10" t="s">
        <v>244</v>
      </c>
      <c r="I10" s="2" t="s">
        <v>782</v>
      </c>
      <c r="J10" s="2"/>
      <c r="K10" t="s">
        <v>707</v>
      </c>
      <c r="M10" t="s">
        <v>783</v>
      </c>
    </row>
    <row r="11" spans="1:14" x14ac:dyDescent="0.35">
      <c r="A11" t="s">
        <v>14</v>
      </c>
      <c r="B11" t="s">
        <v>14</v>
      </c>
      <c r="C11" t="s">
        <v>15</v>
      </c>
      <c r="D11" t="s">
        <v>1131</v>
      </c>
      <c r="E11" t="s">
        <v>11</v>
      </c>
      <c r="F11" t="s">
        <v>10</v>
      </c>
      <c r="G11" t="s">
        <v>17</v>
      </c>
      <c r="H11" t="s">
        <v>16</v>
      </c>
      <c r="I11" s="2" t="s">
        <v>768</v>
      </c>
      <c r="J11" s="2" t="s">
        <v>1501</v>
      </c>
      <c r="K11" s="2" t="s">
        <v>1500</v>
      </c>
      <c r="M11" t="s">
        <v>2230</v>
      </c>
      <c r="N11" t="s">
        <v>14</v>
      </c>
    </row>
    <row r="12" spans="1:14" x14ac:dyDescent="0.35">
      <c r="A12" t="s">
        <v>155</v>
      </c>
      <c r="B12" t="s">
        <v>256</v>
      </c>
      <c r="C12" t="s">
        <v>257</v>
      </c>
      <c r="D12" t="s">
        <v>1158</v>
      </c>
      <c r="E12" t="s">
        <v>233</v>
      </c>
      <c r="F12" t="s">
        <v>10</v>
      </c>
      <c r="G12" t="s">
        <v>258</v>
      </c>
      <c r="H12" t="s">
        <v>244</v>
      </c>
      <c r="I12" t="s">
        <v>769</v>
      </c>
      <c r="K12" t="s">
        <v>707</v>
      </c>
    </row>
    <row r="13" spans="1:14" x14ac:dyDescent="0.35">
      <c r="A13" t="s">
        <v>718</v>
      </c>
      <c r="B13" t="s">
        <v>246</v>
      </c>
      <c r="C13" t="s">
        <v>259</v>
      </c>
      <c r="D13" t="s">
        <v>1349</v>
      </c>
      <c r="E13" t="s">
        <v>233</v>
      </c>
      <c r="F13" t="s">
        <v>10</v>
      </c>
      <c r="G13" t="s">
        <v>249</v>
      </c>
      <c r="H13" t="s">
        <v>260</v>
      </c>
      <c r="I13" t="s">
        <v>1055</v>
      </c>
      <c r="J13" t="s">
        <v>1062</v>
      </c>
      <c r="K13" t="s">
        <v>707</v>
      </c>
      <c r="M13" t="s">
        <v>2289</v>
      </c>
    </row>
    <row r="14" spans="1:14" x14ac:dyDescent="0.35">
      <c r="A14" s="18" t="s">
        <v>897</v>
      </c>
      <c r="B14" s="18" t="s">
        <v>507</v>
      </c>
      <c r="C14" s="18" t="s">
        <v>508</v>
      </c>
      <c r="D14" s="18" t="s">
        <v>1367</v>
      </c>
      <c r="E14" s="18" t="s">
        <v>375</v>
      </c>
      <c r="F14" s="18" t="s">
        <v>374</v>
      </c>
      <c r="G14" s="18"/>
      <c r="H14" s="18" t="s">
        <v>509</v>
      </c>
      <c r="I14" s="18"/>
      <c r="J14" s="18"/>
      <c r="K14" s="18"/>
    </row>
    <row r="15" spans="1:14" x14ac:dyDescent="0.35">
      <c r="A15" s="18"/>
      <c r="B15" s="18" t="s">
        <v>551</v>
      </c>
      <c r="C15" s="18" t="s">
        <v>552</v>
      </c>
      <c r="D15" s="18" t="s">
        <v>1143</v>
      </c>
      <c r="E15" s="18" t="s">
        <v>375</v>
      </c>
      <c r="F15" s="18" t="s">
        <v>374</v>
      </c>
      <c r="G15" s="18"/>
      <c r="H15" s="18" t="s">
        <v>553</v>
      </c>
      <c r="I15" s="18"/>
      <c r="J15" s="18"/>
      <c r="K15" s="18"/>
    </row>
    <row r="16" spans="1:14" x14ac:dyDescent="0.35">
      <c r="A16" t="s">
        <v>261</v>
      </c>
      <c r="B16" t="s">
        <v>261</v>
      </c>
      <c r="C16" t="s">
        <v>262</v>
      </c>
      <c r="D16" t="s">
        <v>1137</v>
      </c>
      <c r="E16" t="s">
        <v>233</v>
      </c>
      <c r="F16" t="s">
        <v>10</v>
      </c>
      <c r="G16" t="s">
        <v>249</v>
      </c>
      <c r="H16" t="s">
        <v>248</v>
      </c>
      <c r="I16" t="s">
        <v>738</v>
      </c>
      <c r="J16" t="s">
        <v>2038</v>
      </c>
      <c r="K16" t="s">
        <v>707</v>
      </c>
      <c r="M16" t="s">
        <v>2234</v>
      </c>
      <c r="N16" t="s">
        <v>261</v>
      </c>
    </row>
    <row r="17" spans="1:14" x14ac:dyDescent="0.35">
      <c r="A17" s="18" t="s">
        <v>496</v>
      </c>
      <c r="B17" s="18" t="s">
        <v>496</v>
      </c>
      <c r="C17" s="18" t="s">
        <v>497</v>
      </c>
      <c r="D17" s="18" t="s">
        <v>1209</v>
      </c>
      <c r="E17" s="18" t="s">
        <v>375</v>
      </c>
      <c r="F17" s="18" t="s">
        <v>374</v>
      </c>
      <c r="G17" s="18"/>
      <c r="H17" s="18" t="s">
        <v>498</v>
      </c>
      <c r="I17" s="18"/>
      <c r="J17" s="18"/>
      <c r="K17" s="18"/>
    </row>
    <row r="18" spans="1:14" x14ac:dyDescent="0.35">
      <c r="A18" s="18" t="s">
        <v>869</v>
      </c>
      <c r="B18" s="18" t="s">
        <v>546</v>
      </c>
      <c r="C18" s="18" t="s">
        <v>547</v>
      </c>
      <c r="D18" s="18" t="s">
        <v>1300</v>
      </c>
      <c r="E18" s="18" t="s">
        <v>375</v>
      </c>
      <c r="F18" s="18" t="s">
        <v>374</v>
      </c>
      <c r="G18" s="18"/>
      <c r="H18" s="18" t="s">
        <v>548</v>
      </c>
      <c r="I18" s="18"/>
      <c r="J18" s="18"/>
      <c r="K18" s="18"/>
    </row>
    <row r="19" spans="1:14" x14ac:dyDescent="0.35">
      <c r="A19" s="18" t="s">
        <v>386</v>
      </c>
      <c r="B19" s="18" t="s">
        <v>386</v>
      </c>
      <c r="C19" s="18" t="s">
        <v>387</v>
      </c>
      <c r="D19" s="18" t="s">
        <v>1211</v>
      </c>
      <c r="E19" s="18" t="s">
        <v>375</v>
      </c>
      <c r="F19" s="18" t="s">
        <v>374</v>
      </c>
      <c r="G19" s="18"/>
      <c r="H19" s="18" t="s">
        <v>388</v>
      </c>
      <c r="I19" s="18"/>
      <c r="J19" s="18"/>
      <c r="K19" s="18"/>
    </row>
    <row r="20" spans="1:14" x14ac:dyDescent="0.35">
      <c r="A20" t="s">
        <v>720</v>
      </c>
      <c r="B20" t="s">
        <v>263</v>
      </c>
      <c r="C20" t="s">
        <v>264</v>
      </c>
      <c r="D20" t="s">
        <v>1167</v>
      </c>
      <c r="E20" t="s">
        <v>233</v>
      </c>
      <c r="F20" t="s">
        <v>10</v>
      </c>
      <c r="G20" t="s">
        <v>266</v>
      </c>
      <c r="H20" t="s">
        <v>265</v>
      </c>
      <c r="I20" t="s">
        <v>789</v>
      </c>
      <c r="J20" t="s">
        <v>2056</v>
      </c>
      <c r="K20" t="s">
        <v>707</v>
      </c>
      <c r="M20" t="s">
        <v>2243</v>
      </c>
      <c r="N20" t="s">
        <v>2244</v>
      </c>
    </row>
    <row r="21" spans="1:14" x14ac:dyDescent="0.35">
      <c r="A21" t="s">
        <v>720</v>
      </c>
      <c r="B21" t="s">
        <v>205</v>
      </c>
      <c r="C21" t="s">
        <v>206</v>
      </c>
      <c r="D21" t="s">
        <v>1193</v>
      </c>
      <c r="E21" t="s">
        <v>11</v>
      </c>
      <c r="F21" t="s">
        <v>10</v>
      </c>
      <c r="G21" t="s">
        <v>13</v>
      </c>
      <c r="H21" t="s">
        <v>207</v>
      </c>
      <c r="I21" t="s">
        <v>720</v>
      </c>
      <c r="J21" t="s">
        <v>720</v>
      </c>
      <c r="K21" t="s">
        <v>720</v>
      </c>
      <c r="M21" t="s">
        <v>2070</v>
      </c>
      <c r="N21" t="s">
        <v>2070</v>
      </c>
    </row>
    <row r="22" spans="1:14" ht="29" x14ac:dyDescent="0.35">
      <c r="A22" t="s">
        <v>740</v>
      </c>
      <c r="B22" t="s">
        <v>267</v>
      </c>
      <c r="C22" t="s">
        <v>268</v>
      </c>
      <c r="D22" t="s">
        <v>1140</v>
      </c>
      <c r="E22" t="s">
        <v>233</v>
      </c>
      <c r="F22" t="s">
        <v>10</v>
      </c>
      <c r="G22" t="s">
        <v>249</v>
      </c>
      <c r="H22" t="s">
        <v>248</v>
      </c>
      <c r="I22" t="s">
        <v>738</v>
      </c>
      <c r="J22" s="30" t="s">
        <v>2041</v>
      </c>
      <c r="K22" t="s">
        <v>707</v>
      </c>
      <c r="M22" t="s">
        <v>2235</v>
      </c>
      <c r="N22" t="s">
        <v>261</v>
      </c>
    </row>
    <row r="23" spans="1:14" x14ac:dyDescent="0.35">
      <c r="A23" s="18" t="s">
        <v>543</v>
      </c>
      <c r="B23" s="18" t="s">
        <v>543</v>
      </c>
      <c r="C23" s="18" t="s">
        <v>544</v>
      </c>
      <c r="D23" s="18" t="s">
        <v>1214</v>
      </c>
      <c r="E23" s="18" t="s">
        <v>375</v>
      </c>
      <c r="F23" s="18" t="s">
        <v>374</v>
      </c>
      <c r="G23" s="18"/>
      <c r="H23" s="18" t="s">
        <v>545</v>
      </c>
      <c r="I23" s="18"/>
      <c r="J23" s="18"/>
      <c r="K23" s="18"/>
    </row>
    <row r="24" spans="1:14" x14ac:dyDescent="0.35">
      <c r="A24" t="s">
        <v>269</v>
      </c>
      <c r="B24" t="s">
        <v>269</v>
      </c>
      <c r="C24" t="s">
        <v>270</v>
      </c>
      <c r="D24" t="s">
        <v>1221</v>
      </c>
      <c r="E24" t="s">
        <v>233</v>
      </c>
      <c r="F24" t="s">
        <v>10</v>
      </c>
      <c r="G24" t="s">
        <v>249</v>
      </c>
      <c r="H24" t="s">
        <v>271</v>
      </c>
      <c r="I24" s="3" t="s">
        <v>945</v>
      </c>
      <c r="J24" s="3" t="s">
        <v>944</v>
      </c>
      <c r="K24" t="s">
        <v>707</v>
      </c>
    </row>
    <row r="25" spans="1:14" x14ac:dyDescent="0.35">
      <c r="A25" t="s">
        <v>756</v>
      </c>
      <c r="B25" t="s">
        <v>46</v>
      </c>
      <c r="C25" t="s">
        <v>47</v>
      </c>
      <c r="D25" t="s">
        <v>1339</v>
      </c>
      <c r="E25" t="s">
        <v>11</v>
      </c>
      <c r="F25" t="s">
        <v>10</v>
      </c>
      <c r="G25" t="s">
        <v>13</v>
      </c>
      <c r="H25" t="s">
        <v>16</v>
      </c>
      <c r="I25" s="2" t="s">
        <v>763</v>
      </c>
      <c r="J25" s="2" t="s">
        <v>1044</v>
      </c>
      <c r="K25" s="2" t="s">
        <v>1043</v>
      </c>
      <c r="L25" t="s">
        <v>2274</v>
      </c>
      <c r="M25" t="s">
        <v>2275</v>
      </c>
    </row>
    <row r="26" spans="1:14" x14ac:dyDescent="0.35">
      <c r="A26" s="18" t="s">
        <v>905</v>
      </c>
      <c r="B26" s="18" t="s">
        <v>413</v>
      </c>
      <c r="C26" s="18" t="s">
        <v>414</v>
      </c>
      <c r="D26" s="18" t="s">
        <v>1388</v>
      </c>
      <c r="E26" s="18" t="s">
        <v>375</v>
      </c>
      <c r="F26" s="18" t="s">
        <v>374</v>
      </c>
      <c r="G26" s="18"/>
      <c r="H26" s="18" t="s">
        <v>415</v>
      </c>
      <c r="I26" s="18"/>
      <c r="J26" s="18"/>
      <c r="K26" s="18"/>
    </row>
    <row r="27" spans="1:14" x14ac:dyDescent="0.35">
      <c r="A27" s="18" t="s">
        <v>469</v>
      </c>
      <c r="B27" s="18" t="s">
        <v>469</v>
      </c>
      <c r="C27" s="18" t="s">
        <v>470</v>
      </c>
      <c r="D27" s="18" t="s">
        <v>1330</v>
      </c>
      <c r="E27" s="18" t="s">
        <v>375</v>
      </c>
      <c r="F27" s="18" t="s">
        <v>374</v>
      </c>
      <c r="G27" s="18"/>
      <c r="H27" s="18" t="s">
        <v>468</v>
      </c>
      <c r="I27" s="18"/>
      <c r="J27" s="18"/>
      <c r="K27" s="18"/>
    </row>
    <row r="28" spans="1:14" x14ac:dyDescent="0.35">
      <c r="A28" s="18" t="s">
        <v>489</v>
      </c>
      <c r="B28" s="18" t="s">
        <v>489</v>
      </c>
      <c r="C28" s="18" t="s">
        <v>490</v>
      </c>
      <c r="D28" s="18" t="s">
        <v>1383</v>
      </c>
      <c r="E28" s="18" t="s">
        <v>375</v>
      </c>
      <c r="F28" s="18" t="s">
        <v>374</v>
      </c>
      <c r="G28" s="18"/>
      <c r="H28" s="18" t="s">
        <v>491</v>
      </c>
      <c r="I28" s="18"/>
      <c r="J28" s="18"/>
      <c r="K28" s="18"/>
    </row>
    <row r="29" spans="1:14" x14ac:dyDescent="0.35">
      <c r="A29" s="18" t="s">
        <v>489</v>
      </c>
      <c r="B29" s="18" t="s">
        <v>489</v>
      </c>
      <c r="C29" s="18" t="s">
        <v>492</v>
      </c>
      <c r="D29" s="18" t="s">
        <v>1384</v>
      </c>
      <c r="E29" s="18" t="s">
        <v>375</v>
      </c>
      <c r="F29" s="18" t="s">
        <v>374</v>
      </c>
      <c r="G29" s="18"/>
      <c r="H29" s="18" t="s">
        <v>491</v>
      </c>
      <c r="I29" s="18"/>
      <c r="J29" s="18"/>
      <c r="K29" s="18"/>
    </row>
    <row r="30" spans="1:14" x14ac:dyDescent="0.35">
      <c r="A30" t="s">
        <v>208</v>
      </c>
      <c r="B30" t="s">
        <v>208</v>
      </c>
      <c r="C30" t="s">
        <v>272</v>
      </c>
      <c r="D30" t="s">
        <v>1179</v>
      </c>
      <c r="E30" t="s">
        <v>233</v>
      </c>
      <c r="F30" t="s">
        <v>10</v>
      </c>
      <c r="G30" t="s">
        <v>274</v>
      </c>
      <c r="H30" t="s">
        <v>273</v>
      </c>
      <c r="I30" t="s">
        <v>770</v>
      </c>
      <c r="J30" t="s">
        <v>1531</v>
      </c>
      <c r="K30" t="s">
        <v>707</v>
      </c>
    </row>
    <row r="31" spans="1:14" x14ac:dyDescent="0.35">
      <c r="A31" t="s">
        <v>795</v>
      </c>
      <c r="B31" t="s">
        <v>161</v>
      </c>
      <c r="C31" t="s">
        <v>162</v>
      </c>
      <c r="D31" t="s">
        <v>1192</v>
      </c>
      <c r="E31" t="s">
        <v>11</v>
      </c>
      <c r="F31" t="s">
        <v>10</v>
      </c>
      <c r="G31" t="s">
        <v>34</v>
      </c>
      <c r="H31" t="s">
        <v>157</v>
      </c>
      <c r="I31" t="s">
        <v>794</v>
      </c>
      <c r="J31" t="s">
        <v>2067</v>
      </c>
      <c r="K31" s="22" t="s">
        <v>2068</v>
      </c>
      <c r="M31" t="s">
        <v>2253</v>
      </c>
      <c r="N31" t="s">
        <v>2254</v>
      </c>
    </row>
    <row r="32" spans="1:14" x14ac:dyDescent="0.35">
      <c r="A32" s="18" t="s">
        <v>499</v>
      </c>
      <c r="B32" s="18" t="s">
        <v>499</v>
      </c>
      <c r="C32" s="18" t="s">
        <v>500</v>
      </c>
      <c r="D32" s="18" t="s">
        <v>1293</v>
      </c>
      <c r="E32" s="18" t="s">
        <v>375</v>
      </c>
      <c r="F32" s="18" t="s">
        <v>374</v>
      </c>
      <c r="G32" s="18"/>
      <c r="H32" s="18" t="s">
        <v>498</v>
      </c>
      <c r="I32" s="18"/>
      <c r="J32" s="18"/>
      <c r="K32" s="18"/>
    </row>
    <row r="33" spans="1:14" x14ac:dyDescent="0.35">
      <c r="A33" t="s">
        <v>39</v>
      </c>
      <c r="B33" t="s">
        <v>39</v>
      </c>
      <c r="C33" t="s">
        <v>40</v>
      </c>
      <c r="D33" t="s">
        <v>1320</v>
      </c>
      <c r="E33" t="s">
        <v>11</v>
      </c>
      <c r="F33" t="s">
        <v>10</v>
      </c>
      <c r="G33" t="s">
        <v>17</v>
      </c>
      <c r="H33" t="s">
        <v>16</v>
      </c>
      <c r="I33" t="s">
        <v>1030</v>
      </c>
      <c r="J33" t="s">
        <v>1026</v>
      </c>
      <c r="K33" t="s">
        <v>1029</v>
      </c>
      <c r="L33" t="s">
        <v>2409</v>
      </c>
      <c r="M33" t="s">
        <v>2412</v>
      </c>
    </row>
    <row r="34" spans="1:14" x14ac:dyDescent="0.35">
      <c r="A34" t="s">
        <v>785</v>
      </c>
      <c r="B34" t="s">
        <v>275</v>
      </c>
      <c r="C34" t="s">
        <v>276</v>
      </c>
      <c r="D34" t="s">
        <v>1161</v>
      </c>
      <c r="E34" t="s">
        <v>233</v>
      </c>
      <c r="F34" t="s">
        <v>10</v>
      </c>
      <c r="G34" t="s">
        <v>274</v>
      </c>
      <c r="H34" t="s">
        <v>64</v>
      </c>
      <c r="I34" t="s">
        <v>786</v>
      </c>
      <c r="K34" t="s">
        <v>707</v>
      </c>
      <c r="M34" t="s">
        <v>2240</v>
      </c>
      <c r="N34" t="s">
        <v>2241</v>
      </c>
    </row>
    <row r="35" spans="1:14" x14ac:dyDescent="0.35">
      <c r="A35" t="s">
        <v>39</v>
      </c>
      <c r="B35" t="s">
        <v>39</v>
      </c>
      <c r="C35" t="s">
        <v>77</v>
      </c>
      <c r="D35" t="s">
        <v>1323</v>
      </c>
      <c r="E35" t="s">
        <v>11</v>
      </c>
      <c r="F35" t="s">
        <v>10</v>
      </c>
      <c r="G35" t="s">
        <v>13</v>
      </c>
      <c r="H35" t="s">
        <v>64</v>
      </c>
      <c r="I35" t="s">
        <v>1030</v>
      </c>
      <c r="K35" s="22" t="s">
        <v>1035</v>
      </c>
      <c r="M35" t="s">
        <v>2270</v>
      </c>
    </row>
    <row r="36" spans="1:14" x14ac:dyDescent="0.35">
      <c r="A36" s="18"/>
      <c r="B36" s="18" t="s">
        <v>686</v>
      </c>
      <c r="C36" s="18" t="s">
        <v>687</v>
      </c>
      <c r="D36" s="18" t="s">
        <v>1171</v>
      </c>
      <c r="E36" s="18" t="s">
        <v>375</v>
      </c>
      <c r="F36" s="18" t="s">
        <v>374</v>
      </c>
      <c r="G36" s="18"/>
      <c r="H36" s="18" t="s">
        <v>688</v>
      </c>
      <c r="I36" s="18"/>
      <c r="J36" s="18"/>
      <c r="K36" s="18"/>
    </row>
    <row r="37" spans="1:14" x14ac:dyDescent="0.35">
      <c r="A37" s="18" t="s">
        <v>886</v>
      </c>
      <c r="B37" s="18" t="s">
        <v>676</v>
      </c>
      <c r="C37" s="18" t="s">
        <v>677</v>
      </c>
      <c r="D37" s="18" t="s">
        <v>1335</v>
      </c>
      <c r="E37" s="18" t="s">
        <v>375</v>
      </c>
      <c r="F37" s="18" t="s">
        <v>374</v>
      </c>
      <c r="G37" s="18"/>
      <c r="H37" s="18" t="s">
        <v>678</v>
      </c>
      <c r="I37" s="18"/>
      <c r="J37" s="18"/>
      <c r="K37" s="18"/>
    </row>
    <row r="38" spans="1:14" x14ac:dyDescent="0.35">
      <c r="A38" t="s">
        <v>714</v>
      </c>
      <c r="B38" t="s">
        <v>281</v>
      </c>
      <c r="C38" t="s">
        <v>282</v>
      </c>
      <c r="D38" t="s">
        <v>1243</v>
      </c>
      <c r="E38" t="s">
        <v>233</v>
      </c>
      <c r="F38" t="s">
        <v>10</v>
      </c>
      <c r="G38" t="s">
        <v>255</v>
      </c>
      <c r="H38" t="s">
        <v>244</v>
      </c>
      <c r="I38" t="s">
        <v>951</v>
      </c>
      <c r="J38" t="s">
        <v>707</v>
      </c>
      <c r="K38" t="s">
        <v>707</v>
      </c>
    </row>
    <row r="39" spans="1:14" x14ac:dyDescent="0.35">
      <c r="A39" t="s">
        <v>715</v>
      </c>
      <c r="B39" t="s">
        <v>142</v>
      </c>
      <c r="C39" t="s">
        <v>283</v>
      </c>
      <c r="D39" t="s">
        <v>1252</v>
      </c>
      <c r="E39" t="s">
        <v>233</v>
      </c>
      <c r="F39" t="s">
        <v>10</v>
      </c>
      <c r="G39" t="s">
        <v>274</v>
      </c>
      <c r="H39" t="s">
        <v>284</v>
      </c>
      <c r="I39" t="s">
        <v>962</v>
      </c>
      <c r="J39" t="s">
        <v>967</v>
      </c>
      <c r="K39" t="s">
        <v>707</v>
      </c>
      <c r="M39" t="s">
        <v>2285</v>
      </c>
      <c r="N39" t="s">
        <v>142</v>
      </c>
    </row>
    <row r="40" spans="1:14" x14ac:dyDescent="0.35">
      <c r="A40" t="s">
        <v>14</v>
      </c>
      <c r="B40" t="s">
        <v>14</v>
      </c>
      <c r="C40" t="s">
        <v>65</v>
      </c>
      <c r="D40" t="s">
        <v>1125</v>
      </c>
      <c r="E40" t="s">
        <v>11</v>
      </c>
      <c r="F40" t="s">
        <v>10</v>
      </c>
      <c r="G40" t="s">
        <v>13</v>
      </c>
      <c r="H40" t="s">
        <v>64</v>
      </c>
      <c r="I40" s="2" t="s">
        <v>768</v>
      </c>
      <c r="J40" s="2" t="s">
        <v>1506</v>
      </c>
      <c r="K40" s="2" t="s">
        <v>1507</v>
      </c>
      <c r="M40" t="s">
        <v>2230</v>
      </c>
      <c r="N40" t="s">
        <v>2231</v>
      </c>
    </row>
    <row r="41" spans="1:14" x14ac:dyDescent="0.35">
      <c r="A41" s="18" t="s">
        <v>408</v>
      </c>
      <c r="B41" s="18" t="s">
        <v>408</v>
      </c>
      <c r="C41" s="18" t="s">
        <v>409</v>
      </c>
      <c r="D41" s="18" t="s">
        <v>1258</v>
      </c>
      <c r="E41" s="18" t="s">
        <v>375</v>
      </c>
      <c r="F41" s="18" t="s">
        <v>374</v>
      </c>
      <c r="G41" s="18"/>
      <c r="H41" s="18" t="s">
        <v>410</v>
      </c>
      <c r="I41" s="18"/>
      <c r="J41" s="18"/>
      <c r="K41" s="18"/>
    </row>
    <row r="42" spans="1:14" x14ac:dyDescent="0.35">
      <c r="A42" t="s">
        <v>861</v>
      </c>
      <c r="B42" t="s">
        <v>163</v>
      </c>
      <c r="C42" t="s">
        <v>164</v>
      </c>
      <c r="D42" t="s">
        <v>1282</v>
      </c>
      <c r="E42" t="s">
        <v>11</v>
      </c>
      <c r="F42" t="s">
        <v>10</v>
      </c>
      <c r="G42" t="s">
        <v>19</v>
      </c>
      <c r="H42" t="s">
        <v>157</v>
      </c>
      <c r="I42" s="22" t="s">
        <v>995</v>
      </c>
      <c r="J42" s="2" t="s">
        <v>1064</v>
      </c>
      <c r="K42" s="22" t="s">
        <v>996</v>
      </c>
      <c r="M42" t="s">
        <v>2291</v>
      </c>
    </row>
    <row r="43" spans="1:14" x14ac:dyDescent="0.35">
      <c r="A43" t="s">
        <v>8</v>
      </c>
      <c r="B43" t="s">
        <v>8</v>
      </c>
      <c r="C43" t="s">
        <v>72</v>
      </c>
      <c r="D43" t="s">
        <v>1263</v>
      </c>
      <c r="E43" t="s">
        <v>11</v>
      </c>
      <c r="F43" t="s">
        <v>10</v>
      </c>
      <c r="G43" t="s">
        <v>13</v>
      </c>
      <c r="H43" t="s">
        <v>64</v>
      </c>
      <c r="I43" t="s">
        <v>722</v>
      </c>
      <c r="J43" t="s">
        <v>973</v>
      </c>
      <c r="K43" t="s">
        <v>975</v>
      </c>
      <c r="M43" t="s">
        <v>2260</v>
      </c>
      <c r="N43" t="s">
        <v>8</v>
      </c>
    </row>
    <row r="44" spans="1:14" x14ac:dyDescent="0.35">
      <c r="A44" s="18" t="s">
        <v>395</v>
      </c>
      <c r="B44" s="18" t="s">
        <v>395</v>
      </c>
      <c r="C44" s="18" t="s">
        <v>396</v>
      </c>
      <c r="D44" s="18" t="s">
        <v>1441</v>
      </c>
      <c r="E44" s="18" t="s">
        <v>375</v>
      </c>
      <c r="F44" s="18" t="s">
        <v>374</v>
      </c>
      <c r="G44" s="18"/>
      <c r="H44" s="18" t="s">
        <v>397</v>
      </c>
      <c r="I44" s="18"/>
      <c r="J44" s="18"/>
      <c r="K44" s="18"/>
    </row>
    <row r="45" spans="1:14" x14ac:dyDescent="0.35">
      <c r="A45" t="s">
        <v>715</v>
      </c>
      <c r="B45" t="s">
        <v>142</v>
      </c>
      <c r="C45" t="s">
        <v>285</v>
      </c>
      <c r="D45" t="s">
        <v>1250</v>
      </c>
      <c r="E45" t="s">
        <v>233</v>
      </c>
      <c r="F45" t="s">
        <v>10</v>
      </c>
      <c r="G45" t="s">
        <v>274</v>
      </c>
      <c r="H45" t="s">
        <v>286</v>
      </c>
      <c r="I45" t="s">
        <v>962</v>
      </c>
      <c r="J45" t="s">
        <v>966</v>
      </c>
      <c r="K45" t="s">
        <v>707</v>
      </c>
      <c r="M45" t="s">
        <v>2285</v>
      </c>
      <c r="N45" t="s">
        <v>142</v>
      </c>
    </row>
    <row r="46" spans="1:14" x14ac:dyDescent="0.35">
      <c r="A46" t="s">
        <v>208</v>
      </c>
      <c r="B46" t="s">
        <v>208</v>
      </c>
      <c r="C46" t="s">
        <v>209</v>
      </c>
      <c r="D46" t="s">
        <v>1175</v>
      </c>
      <c r="E46" t="s">
        <v>11</v>
      </c>
      <c r="F46" t="s">
        <v>10</v>
      </c>
      <c r="G46" t="s">
        <v>44</v>
      </c>
      <c r="H46" t="s">
        <v>210</v>
      </c>
      <c r="I46" t="s">
        <v>770</v>
      </c>
      <c r="J46" t="s">
        <v>1528</v>
      </c>
      <c r="K46" t="s">
        <v>829</v>
      </c>
      <c r="M46" t="s">
        <v>2401</v>
      </c>
      <c r="N46" t="s">
        <v>2247</v>
      </c>
    </row>
    <row r="47" spans="1:14" x14ac:dyDescent="0.35">
      <c r="A47" t="s">
        <v>719</v>
      </c>
      <c r="B47" t="s">
        <v>178</v>
      </c>
      <c r="C47" t="s">
        <v>190</v>
      </c>
      <c r="D47" t="s">
        <v>1420</v>
      </c>
      <c r="E47" t="s">
        <v>11</v>
      </c>
      <c r="F47" t="s">
        <v>10</v>
      </c>
      <c r="G47" t="s">
        <v>21</v>
      </c>
      <c r="H47" t="s">
        <v>189</v>
      </c>
      <c r="I47" t="s">
        <v>1472</v>
      </c>
      <c r="J47" t="s">
        <v>1475</v>
      </c>
      <c r="K47" t="s">
        <v>1476</v>
      </c>
      <c r="L47" t="s">
        <v>2281</v>
      </c>
    </row>
    <row r="48" spans="1:14" x14ac:dyDescent="0.35">
      <c r="A48" t="s">
        <v>719</v>
      </c>
      <c r="B48" t="s">
        <v>178</v>
      </c>
      <c r="C48" t="s">
        <v>191</v>
      </c>
      <c r="D48" t="s">
        <v>1423</v>
      </c>
      <c r="E48" t="s">
        <v>11</v>
      </c>
      <c r="F48" t="s">
        <v>10</v>
      </c>
      <c r="G48" t="s">
        <v>44</v>
      </c>
      <c r="H48" t="s">
        <v>189</v>
      </c>
      <c r="I48" t="s">
        <v>1472</v>
      </c>
      <c r="J48" t="s">
        <v>1475</v>
      </c>
      <c r="K48" s="22" t="s">
        <v>1476</v>
      </c>
      <c r="L48" t="s">
        <v>2416</v>
      </c>
      <c r="M48" t="s">
        <v>2415</v>
      </c>
      <c r="N48" t="s">
        <v>719</v>
      </c>
    </row>
    <row r="49" spans="1:14" x14ac:dyDescent="0.35">
      <c r="A49" t="s">
        <v>155</v>
      </c>
      <c r="B49" t="s">
        <v>287</v>
      </c>
      <c r="C49" t="s">
        <v>288</v>
      </c>
      <c r="D49" t="s">
        <v>1155</v>
      </c>
      <c r="E49" t="s">
        <v>233</v>
      </c>
      <c r="F49" t="s">
        <v>10</v>
      </c>
      <c r="G49" t="s">
        <v>255</v>
      </c>
      <c r="H49" t="s">
        <v>244</v>
      </c>
      <c r="I49" t="s">
        <v>812</v>
      </c>
      <c r="K49" t="s">
        <v>707</v>
      </c>
    </row>
    <row r="50" spans="1:14" x14ac:dyDescent="0.35">
      <c r="A50" t="s">
        <v>155</v>
      </c>
      <c r="B50" t="s">
        <v>287</v>
      </c>
      <c r="C50" t="s">
        <v>289</v>
      </c>
      <c r="D50" t="s">
        <v>1156</v>
      </c>
      <c r="E50" t="s">
        <v>233</v>
      </c>
      <c r="F50" t="s">
        <v>10</v>
      </c>
      <c r="G50" t="s">
        <v>255</v>
      </c>
      <c r="H50" t="s">
        <v>244</v>
      </c>
      <c r="I50" t="s">
        <v>812</v>
      </c>
      <c r="K50" t="s">
        <v>707</v>
      </c>
    </row>
    <row r="51" spans="1:14" x14ac:dyDescent="0.35">
      <c r="A51" t="s">
        <v>719</v>
      </c>
      <c r="B51" t="s">
        <v>178</v>
      </c>
      <c r="C51" t="s">
        <v>192</v>
      </c>
      <c r="D51" t="s">
        <v>1421</v>
      </c>
      <c r="E51" t="s">
        <v>11</v>
      </c>
      <c r="F51" t="s">
        <v>10</v>
      </c>
      <c r="G51" t="s">
        <v>44</v>
      </c>
      <c r="H51" t="s">
        <v>189</v>
      </c>
      <c r="I51" t="s">
        <v>1472</v>
      </c>
      <c r="J51" t="s">
        <v>1475</v>
      </c>
      <c r="K51" t="s">
        <v>1476</v>
      </c>
      <c r="L51" t="s">
        <v>2416</v>
      </c>
      <c r="M51" t="s">
        <v>2415</v>
      </c>
    </row>
    <row r="52" spans="1:14" x14ac:dyDescent="0.35">
      <c r="A52" t="s">
        <v>719</v>
      </c>
      <c r="B52" t="s">
        <v>178</v>
      </c>
      <c r="C52" t="s">
        <v>192</v>
      </c>
      <c r="D52" t="s">
        <v>1427</v>
      </c>
      <c r="E52" t="s">
        <v>233</v>
      </c>
      <c r="F52" t="s">
        <v>10</v>
      </c>
      <c r="G52" t="s">
        <v>44</v>
      </c>
      <c r="H52" t="s">
        <v>291</v>
      </c>
      <c r="I52" t="s">
        <v>1472</v>
      </c>
      <c r="J52" t="s">
        <v>1475</v>
      </c>
      <c r="K52" t="s">
        <v>707</v>
      </c>
      <c r="L52" t="s">
        <v>2281</v>
      </c>
    </row>
    <row r="53" spans="1:14" x14ac:dyDescent="0.35">
      <c r="A53" t="s">
        <v>717</v>
      </c>
      <c r="B53" t="s">
        <v>79</v>
      </c>
      <c r="C53" t="s">
        <v>132</v>
      </c>
      <c r="D53" t="s">
        <v>1270</v>
      </c>
      <c r="E53" t="s">
        <v>11</v>
      </c>
      <c r="F53" t="s">
        <v>10</v>
      </c>
      <c r="G53" t="s">
        <v>21</v>
      </c>
      <c r="H53" t="s">
        <v>130</v>
      </c>
      <c r="I53" t="s">
        <v>980</v>
      </c>
      <c r="J53" t="s">
        <v>707</v>
      </c>
      <c r="K53" t="s">
        <v>984</v>
      </c>
      <c r="M53" t="s">
        <v>2405</v>
      </c>
      <c r="N53" t="s">
        <v>2407</v>
      </c>
    </row>
    <row r="54" spans="1:14" x14ac:dyDescent="0.35">
      <c r="A54" s="18" t="s">
        <v>650</v>
      </c>
      <c r="B54" s="18" t="s">
        <v>650</v>
      </c>
      <c r="C54" s="18" t="s">
        <v>651</v>
      </c>
      <c r="D54" s="18" t="s">
        <v>1279</v>
      </c>
      <c r="E54" s="18" t="s">
        <v>375</v>
      </c>
      <c r="F54" s="18" t="s">
        <v>374</v>
      </c>
      <c r="G54" s="18"/>
      <c r="H54" s="18" t="s">
        <v>652</v>
      </c>
      <c r="I54" s="18"/>
      <c r="J54" s="18"/>
      <c r="K54" s="18"/>
    </row>
    <row r="55" spans="1:14" x14ac:dyDescent="0.35">
      <c r="A55" s="18"/>
      <c r="B55" s="18" t="s">
        <v>592</v>
      </c>
      <c r="C55" s="18" t="s">
        <v>593</v>
      </c>
      <c r="D55" s="18" t="s">
        <v>1180</v>
      </c>
      <c r="E55" s="18" t="s">
        <v>375</v>
      </c>
      <c r="F55" s="18" t="s">
        <v>374</v>
      </c>
      <c r="G55" s="18"/>
      <c r="H55" s="18" t="s">
        <v>594</v>
      </c>
      <c r="I55" s="18"/>
      <c r="J55" s="18"/>
      <c r="K55" s="18"/>
      <c r="L55" t="s">
        <v>707</v>
      </c>
      <c r="M55" t="s">
        <v>2249</v>
      </c>
      <c r="N55" t="s">
        <v>2247</v>
      </c>
    </row>
    <row r="56" spans="1:14" x14ac:dyDescent="0.35">
      <c r="A56" s="18" t="s">
        <v>867</v>
      </c>
      <c r="B56" s="18" t="s">
        <v>571</v>
      </c>
      <c r="C56" s="18" t="s">
        <v>572</v>
      </c>
      <c r="D56" s="18" t="s">
        <v>1295</v>
      </c>
      <c r="E56" s="18" t="s">
        <v>375</v>
      </c>
      <c r="F56" s="18" t="s">
        <v>374</v>
      </c>
      <c r="G56" s="18"/>
      <c r="H56" s="18" t="s">
        <v>573</v>
      </c>
      <c r="I56" s="18"/>
      <c r="J56" s="18"/>
      <c r="K56" s="18"/>
    </row>
    <row r="57" spans="1:14" x14ac:dyDescent="0.35">
      <c r="A57" t="s">
        <v>719</v>
      </c>
      <c r="B57" t="s">
        <v>178</v>
      </c>
      <c r="C57" t="s">
        <v>193</v>
      </c>
      <c r="D57" t="s">
        <v>1422</v>
      </c>
      <c r="E57" t="s">
        <v>11</v>
      </c>
      <c r="F57" t="s">
        <v>10</v>
      </c>
      <c r="G57" t="s">
        <v>44</v>
      </c>
      <c r="H57" t="s">
        <v>189</v>
      </c>
      <c r="I57" t="s">
        <v>1472</v>
      </c>
      <c r="J57" t="s">
        <v>1475</v>
      </c>
      <c r="K57" s="22" t="s">
        <v>1476</v>
      </c>
      <c r="L57" t="s">
        <v>2416</v>
      </c>
      <c r="M57" t="s">
        <v>2415</v>
      </c>
    </row>
    <row r="58" spans="1:14" x14ac:dyDescent="0.35">
      <c r="A58" s="18" t="s">
        <v>880</v>
      </c>
      <c r="B58" s="18" t="s">
        <v>596</v>
      </c>
      <c r="C58" s="18" t="s">
        <v>597</v>
      </c>
      <c r="D58" s="18" t="s">
        <v>1328</v>
      </c>
      <c r="E58" s="18" t="s">
        <v>375</v>
      </c>
      <c r="F58" s="18" t="s">
        <v>374</v>
      </c>
      <c r="G58" s="18"/>
      <c r="H58" s="18" t="s">
        <v>598</v>
      </c>
      <c r="I58" s="18"/>
      <c r="J58" s="18"/>
      <c r="K58" s="18"/>
    </row>
    <row r="59" spans="1:14" x14ac:dyDescent="0.35">
      <c r="A59" s="18" t="s">
        <v>850</v>
      </c>
      <c r="B59" s="18" t="s">
        <v>558</v>
      </c>
      <c r="C59" s="18" t="s">
        <v>559</v>
      </c>
      <c r="D59" s="18" t="s">
        <v>1235</v>
      </c>
      <c r="E59" s="18" t="s">
        <v>375</v>
      </c>
      <c r="F59" s="18" t="s">
        <v>374</v>
      </c>
      <c r="G59" s="18"/>
      <c r="H59" s="18" t="s">
        <v>560</v>
      </c>
      <c r="I59" s="18"/>
      <c r="J59" s="18"/>
      <c r="K59" s="18"/>
    </row>
    <row r="60" spans="1:14" x14ac:dyDescent="0.35">
      <c r="A60" s="18" t="s">
        <v>845</v>
      </c>
      <c r="B60" s="18" t="s">
        <v>458</v>
      </c>
      <c r="C60" s="18" t="s">
        <v>459</v>
      </c>
      <c r="D60" s="18" t="s">
        <v>1227</v>
      </c>
      <c r="E60" s="18" t="s">
        <v>375</v>
      </c>
      <c r="F60" s="18" t="s">
        <v>374</v>
      </c>
      <c r="G60" s="18"/>
      <c r="H60" s="18" t="s">
        <v>460</v>
      </c>
      <c r="I60" s="18"/>
      <c r="J60" s="18"/>
      <c r="K60" s="18"/>
    </row>
    <row r="61" spans="1:14" x14ac:dyDescent="0.35">
      <c r="A61" t="s">
        <v>261</v>
      </c>
      <c r="B61" t="s">
        <v>261</v>
      </c>
      <c r="C61" t="s">
        <v>293</v>
      </c>
      <c r="D61" t="s">
        <v>1138</v>
      </c>
      <c r="E61" t="s">
        <v>233</v>
      </c>
      <c r="F61" t="s">
        <v>10</v>
      </c>
      <c r="G61" t="s">
        <v>249</v>
      </c>
      <c r="H61" t="s">
        <v>252</v>
      </c>
      <c r="I61" t="s">
        <v>738</v>
      </c>
      <c r="J61" t="s">
        <v>2038</v>
      </c>
      <c r="K61" t="s">
        <v>707</v>
      </c>
      <c r="M61" t="s">
        <v>2234</v>
      </c>
      <c r="N61" t="s">
        <v>261</v>
      </c>
    </row>
    <row r="62" spans="1:14" x14ac:dyDescent="0.35">
      <c r="A62" t="s">
        <v>14</v>
      </c>
      <c r="B62" t="s">
        <v>14</v>
      </c>
      <c r="C62" t="s">
        <v>18</v>
      </c>
      <c r="D62" t="s">
        <v>1127</v>
      </c>
      <c r="E62" t="s">
        <v>11</v>
      </c>
      <c r="F62" t="s">
        <v>10</v>
      </c>
      <c r="G62" t="s">
        <v>19</v>
      </c>
      <c r="H62" t="s">
        <v>16</v>
      </c>
      <c r="I62" s="2" t="s">
        <v>768</v>
      </c>
      <c r="J62" s="2" t="s">
        <v>1502</v>
      </c>
      <c r="K62" s="2" t="s">
        <v>1503</v>
      </c>
      <c r="M62" t="s">
        <v>2230</v>
      </c>
      <c r="N62" t="s">
        <v>14</v>
      </c>
    </row>
    <row r="63" spans="1:14" x14ac:dyDescent="0.35">
      <c r="A63" t="s">
        <v>718</v>
      </c>
      <c r="B63" t="s">
        <v>151</v>
      </c>
      <c r="C63" t="s">
        <v>152</v>
      </c>
      <c r="D63" t="s">
        <v>1354</v>
      </c>
      <c r="E63" t="s">
        <v>11</v>
      </c>
      <c r="F63" t="s">
        <v>10</v>
      </c>
      <c r="G63" t="s">
        <v>148</v>
      </c>
      <c r="H63" t="s">
        <v>147</v>
      </c>
      <c r="I63" t="s">
        <v>1055</v>
      </c>
      <c r="J63" t="s">
        <v>1059</v>
      </c>
      <c r="K63" t="s">
        <v>1060</v>
      </c>
      <c r="M63" t="s">
        <v>2292</v>
      </c>
    </row>
    <row r="64" spans="1:14" x14ac:dyDescent="0.35">
      <c r="A64" s="18" t="s">
        <v>875</v>
      </c>
      <c r="B64" s="18" t="s">
        <v>537</v>
      </c>
      <c r="C64" s="18" t="s">
        <v>538</v>
      </c>
      <c r="D64" s="18" t="s">
        <v>1307</v>
      </c>
      <c r="E64" s="18" t="s">
        <v>375</v>
      </c>
      <c r="F64" s="18" t="s">
        <v>374</v>
      </c>
      <c r="G64" s="18"/>
      <c r="H64" s="18" t="s">
        <v>536</v>
      </c>
      <c r="I64" s="18"/>
      <c r="J64" s="18"/>
      <c r="K64" s="18"/>
    </row>
    <row r="65" spans="1:14" x14ac:dyDescent="0.35">
      <c r="A65" t="s">
        <v>167</v>
      </c>
      <c r="B65" t="s">
        <v>167</v>
      </c>
      <c r="C65" t="s">
        <v>168</v>
      </c>
      <c r="D65" t="s">
        <v>1398</v>
      </c>
      <c r="E65" t="s">
        <v>11</v>
      </c>
      <c r="F65" t="s">
        <v>10</v>
      </c>
      <c r="G65" t="s">
        <v>34</v>
      </c>
      <c r="H65" t="s">
        <v>157</v>
      </c>
      <c r="I65" t="s">
        <v>1100</v>
      </c>
      <c r="J65" t="s">
        <v>707</v>
      </c>
      <c r="K65" s="22" t="s">
        <v>1101</v>
      </c>
      <c r="M65" t="s">
        <v>2379</v>
      </c>
    </row>
    <row r="66" spans="1:14" x14ac:dyDescent="0.35">
      <c r="A66" t="s">
        <v>167</v>
      </c>
      <c r="B66" t="s">
        <v>167</v>
      </c>
      <c r="C66" t="s">
        <v>169</v>
      </c>
      <c r="D66" t="s">
        <v>1399</v>
      </c>
      <c r="E66" t="s">
        <v>11</v>
      </c>
      <c r="F66" t="s">
        <v>10</v>
      </c>
      <c r="G66" t="s">
        <v>34</v>
      </c>
      <c r="H66" t="s">
        <v>157</v>
      </c>
      <c r="I66" t="s">
        <v>1100</v>
      </c>
      <c r="M66" t="s">
        <v>2379</v>
      </c>
    </row>
    <row r="67" spans="1:14" x14ac:dyDescent="0.35">
      <c r="A67" s="18" t="s">
        <v>564</v>
      </c>
      <c r="B67" s="18" t="s">
        <v>564</v>
      </c>
      <c r="C67" s="18" t="s">
        <v>565</v>
      </c>
      <c r="D67" s="18" t="s">
        <v>1297</v>
      </c>
      <c r="E67" s="18" t="s">
        <v>375</v>
      </c>
      <c r="F67" s="18" t="s">
        <v>374</v>
      </c>
      <c r="G67" s="18"/>
      <c r="H67" s="18" t="s">
        <v>566</v>
      </c>
      <c r="I67" s="18"/>
      <c r="J67" s="18"/>
      <c r="K67" s="18"/>
    </row>
    <row r="68" spans="1:14" x14ac:dyDescent="0.35">
      <c r="A68" t="s">
        <v>56</v>
      </c>
      <c r="B68" t="s">
        <v>56</v>
      </c>
      <c r="C68" t="s">
        <v>57</v>
      </c>
      <c r="D68" t="s">
        <v>1431</v>
      </c>
      <c r="E68" t="s">
        <v>11</v>
      </c>
      <c r="F68" t="s">
        <v>10</v>
      </c>
      <c r="G68" t="s">
        <v>19</v>
      </c>
      <c r="H68" t="s">
        <v>16</v>
      </c>
      <c r="I68" s="22" t="s">
        <v>1111</v>
      </c>
      <c r="K68" t="s">
        <v>1112</v>
      </c>
      <c r="L68" t="s">
        <v>2282</v>
      </c>
      <c r="M68" t="s">
        <v>720</v>
      </c>
      <c r="N68" t="s">
        <v>720</v>
      </c>
    </row>
    <row r="69" spans="1:14" x14ac:dyDescent="0.35">
      <c r="A69" t="s">
        <v>730</v>
      </c>
      <c r="B69" t="s">
        <v>58</v>
      </c>
      <c r="C69" t="s">
        <v>59</v>
      </c>
      <c r="D69" t="s">
        <v>1439</v>
      </c>
      <c r="E69" t="s">
        <v>11</v>
      </c>
      <c r="F69" t="s">
        <v>10</v>
      </c>
      <c r="G69" t="s">
        <v>13</v>
      </c>
      <c r="H69" t="s">
        <v>16</v>
      </c>
      <c r="I69" t="s">
        <v>729</v>
      </c>
      <c r="J69" t="s">
        <v>1487</v>
      </c>
      <c r="K69" t="s">
        <v>1489</v>
      </c>
      <c r="L69" t="s">
        <v>2549</v>
      </c>
      <c r="M69" t="s">
        <v>2283</v>
      </c>
    </row>
    <row r="70" spans="1:14" x14ac:dyDescent="0.35">
      <c r="A70" s="18" t="s">
        <v>578</v>
      </c>
      <c r="B70" s="18" t="s">
        <v>578</v>
      </c>
      <c r="C70" s="18" t="s">
        <v>579</v>
      </c>
      <c r="D70" s="18" t="s">
        <v>1447</v>
      </c>
      <c r="E70" s="18" t="s">
        <v>375</v>
      </c>
      <c r="F70" s="18" t="s">
        <v>374</v>
      </c>
      <c r="G70" s="18"/>
      <c r="H70" s="18" t="s">
        <v>580</v>
      </c>
      <c r="I70" s="18"/>
      <c r="J70" s="18"/>
      <c r="K70" s="18"/>
    </row>
    <row r="71" spans="1:14" x14ac:dyDescent="0.35">
      <c r="A71" s="18" t="s">
        <v>452</v>
      </c>
      <c r="B71" s="18" t="s">
        <v>452</v>
      </c>
      <c r="C71" s="18" t="s">
        <v>453</v>
      </c>
      <c r="D71" s="18" t="s">
        <v>1288</v>
      </c>
      <c r="E71" s="18" t="s">
        <v>375</v>
      </c>
      <c r="F71" s="18" t="s">
        <v>374</v>
      </c>
      <c r="G71" s="18"/>
      <c r="H71" s="18" t="s">
        <v>454</v>
      </c>
      <c r="I71" s="18"/>
      <c r="J71" s="18"/>
      <c r="K71" s="18"/>
    </row>
    <row r="72" spans="1:14" ht="29" x14ac:dyDescent="0.35">
      <c r="A72" t="s">
        <v>145</v>
      </c>
      <c r="B72" t="s">
        <v>145</v>
      </c>
      <c r="C72" t="s">
        <v>146</v>
      </c>
      <c r="D72" t="s">
        <v>1172</v>
      </c>
      <c r="E72" t="s">
        <v>11</v>
      </c>
      <c r="F72" t="s">
        <v>10</v>
      </c>
      <c r="G72" t="s">
        <v>148</v>
      </c>
      <c r="H72" t="s">
        <v>147</v>
      </c>
      <c r="I72" s="17" t="s">
        <v>1527</v>
      </c>
      <c r="J72" s="17" t="s">
        <v>2058</v>
      </c>
      <c r="K72" s="17" t="s">
        <v>828</v>
      </c>
      <c r="M72" t="s">
        <v>2245</v>
      </c>
      <c r="N72" t="s">
        <v>2245</v>
      </c>
    </row>
    <row r="73" spans="1:14" x14ac:dyDescent="0.35">
      <c r="A73" s="18" t="s">
        <v>839</v>
      </c>
      <c r="B73" s="18" t="s">
        <v>628</v>
      </c>
      <c r="C73" s="18" t="s">
        <v>629</v>
      </c>
      <c r="D73" s="18" t="s">
        <v>1195</v>
      </c>
      <c r="E73" s="18" t="s">
        <v>375</v>
      </c>
      <c r="F73" s="18" t="s">
        <v>374</v>
      </c>
      <c r="G73" s="18"/>
      <c r="H73" s="18" t="s">
        <v>627</v>
      </c>
      <c r="I73" s="18"/>
      <c r="J73" s="18"/>
      <c r="K73" s="18"/>
    </row>
    <row r="74" spans="1:14" x14ac:dyDescent="0.35">
      <c r="A74" t="s">
        <v>39</v>
      </c>
      <c r="B74" t="s">
        <v>39</v>
      </c>
      <c r="C74" t="s">
        <v>41</v>
      </c>
      <c r="D74" t="s">
        <v>1316</v>
      </c>
      <c r="E74" t="s">
        <v>11</v>
      </c>
      <c r="F74" t="s">
        <v>10</v>
      </c>
      <c r="G74" t="s">
        <v>13</v>
      </c>
      <c r="H74" t="s">
        <v>16</v>
      </c>
      <c r="I74" t="s">
        <v>1030</v>
      </c>
      <c r="J74" s="2"/>
      <c r="K74" t="s">
        <v>1031</v>
      </c>
      <c r="L74" t="s">
        <v>1033</v>
      </c>
      <c r="M74" t="s">
        <v>2410</v>
      </c>
    </row>
    <row r="75" spans="1:14" x14ac:dyDescent="0.35">
      <c r="A75" t="s">
        <v>855</v>
      </c>
      <c r="B75" t="s">
        <v>32</v>
      </c>
      <c r="C75" t="s">
        <v>33</v>
      </c>
      <c r="D75" t="s">
        <v>1257</v>
      </c>
      <c r="E75" t="s">
        <v>11</v>
      </c>
      <c r="F75" t="s">
        <v>10</v>
      </c>
      <c r="G75" t="s">
        <v>34</v>
      </c>
      <c r="H75" t="s">
        <v>16</v>
      </c>
      <c r="I75" t="s">
        <v>955</v>
      </c>
      <c r="J75" t="s">
        <v>956</v>
      </c>
      <c r="K75" t="s">
        <v>957</v>
      </c>
      <c r="M75" t="s">
        <v>2404</v>
      </c>
      <c r="N75" t="s">
        <v>2406</v>
      </c>
    </row>
    <row r="76" spans="1:14" x14ac:dyDescent="0.35">
      <c r="A76" t="s">
        <v>797</v>
      </c>
      <c r="B76" t="s">
        <v>294</v>
      </c>
      <c r="C76" t="s">
        <v>295</v>
      </c>
      <c r="D76" t="s">
        <v>1212</v>
      </c>
      <c r="E76" t="s">
        <v>233</v>
      </c>
      <c r="F76" t="s">
        <v>10</v>
      </c>
      <c r="G76" t="s">
        <v>249</v>
      </c>
      <c r="H76" t="s">
        <v>296</v>
      </c>
      <c r="I76" s="3" t="s">
        <v>937</v>
      </c>
      <c r="J76" s="30" t="s">
        <v>936</v>
      </c>
      <c r="K76" t="s">
        <v>707</v>
      </c>
    </row>
    <row r="77" spans="1:14" x14ac:dyDescent="0.35">
      <c r="A77" s="18" t="s">
        <v>740</v>
      </c>
      <c r="B77" s="18" t="s">
        <v>372</v>
      </c>
      <c r="C77" s="18" t="s">
        <v>373</v>
      </c>
      <c r="D77" s="18" t="s">
        <v>1139</v>
      </c>
      <c r="E77" s="18" t="s">
        <v>375</v>
      </c>
      <c r="F77" s="18" t="s">
        <v>374</v>
      </c>
      <c r="G77" s="18"/>
      <c r="H77" s="18" t="s">
        <v>376</v>
      </c>
      <c r="I77" s="18"/>
      <c r="J77" s="18"/>
      <c r="K77" s="18"/>
    </row>
    <row r="78" spans="1:14" x14ac:dyDescent="0.35">
      <c r="A78" s="18" t="s">
        <v>446</v>
      </c>
      <c r="B78" s="18" t="s">
        <v>446</v>
      </c>
      <c r="C78" s="18" t="s">
        <v>447</v>
      </c>
      <c r="D78" s="18" t="s">
        <v>1374</v>
      </c>
      <c r="E78" s="18" t="s">
        <v>375</v>
      </c>
      <c r="F78" s="18" t="s">
        <v>374</v>
      </c>
      <c r="G78" s="18"/>
      <c r="H78" s="18" t="s">
        <v>448</v>
      </c>
      <c r="I78" s="18"/>
      <c r="J78" s="18"/>
      <c r="K78" s="18"/>
    </row>
    <row r="79" spans="1:14" x14ac:dyDescent="0.35">
      <c r="A79" t="s">
        <v>716</v>
      </c>
      <c r="B79" t="s">
        <v>297</v>
      </c>
      <c r="C79" t="s">
        <v>298</v>
      </c>
      <c r="D79" t="s">
        <v>1216</v>
      </c>
      <c r="E79" t="s">
        <v>233</v>
      </c>
      <c r="F79" t="s">
        <v>10</v>
      </c>
      <c r="G79" t="s">
        <v>255</v>
      </c>
      <c r="H79" t="s">
        <v>244</v>
      </c>
      <c r="I79" t="s">
        <v>943</v>
      </c>
      <c r="J79" t="s">
        <v>2301</v>
      </c>
      <c r="K79" t="s">
        <v>707</v>
      </c>
      <c r="M79" t="s">
        <v>2303</v>
      </c>
      <c r="N79" t="s">
        <v>716</v>
      </c>
    </row>
    <row r="80" spans="1:14" x14ac:dyDescent="0.35">
      <c r="A80" s="18"/>
      <c r="B80" s="18" t="s">
        <v>584</v>
      </c>
      <c r="C80" s="18" t="s">
        <v>585</v>
      </c>
      <c r="D80" s="18" t="s">
        <v>1187</v>
      </c>
      <c r="E80" s="18" t="s">
        <v>375</v>
      </c>
      <c r="F80" s="18" t="s">
        <v>374</v>
      </c>
      <c r="G80" s="18"/>
      <c r="H80" s="18" t="s">
        <v>586</v>
      </c>
      <c r="I80" s="18"/>
      <c r="J80" s="18"/>
      <c r="K80" s="18"/>
    </row>
    <row r="81" spans="1:14" x14ac:dyDescent="0.35">
      <c r="A81" t="s">
        <v>155</v>
      </c>
      <c r="B81" t="s">
        <v>155</v>
      </c>
      <c r="C81" t="s">
        <v>156</v>
      </c>
      <c r="D81" t="s">
        <v>1153</v>
      </c>
      <c r="E81" t="s">
        <v>11</v>
      </c>
      <c r="F81" t="s">
        <v>10</v>
      </c>
      <c r="G81" t="s">
        <v>34</v>
      </c>
      <c r="H81" t="s">
        <v>157</v>
      </c>
      <c r="I81" t="s">
        <v>811</v>
      </c>
      <c r="J81" t="s">
        <v>2424</v>
      </c>
      <c r="K81" s="22" t="s">
        <v>816</v>
      </c>
      <c r="M81" t="s">
        <v>2398</v>
      </c>
      <c r="N81" t="s">
        <v>2399</v>
      </c>
    </row>
    <row r="82" spans="1:14" x14ac:dyDescent="0.35">
      <c r="A82" s="18" t="s">
        <v>382</v>
      </c>
      <c r="B82" s="18" t="s">
        <v>382</v>
      </c>
      <c r="C82" s="18" t="s">
        <v>383</v>
      </c>
      <c r="D82" s="18" t="s">
        <v>1232</v>
      </c>
      <c r="E82" s="18" t="s">
        <v>375</v>
      </c>
      <c r="F82" s="18" t="s">
        <v>374</v>
      </c>
      <c r="G82" s="18"/>
      <c r="H82" s="18" t="s">
        <v>384</v>
      </c>
      <c r="I82" s="18"/>
      <c r="J82" s="18"/>
      <c r="K82" s="18"/>
    </row>
    <row r="83" spans="1:14" x14ac:dyDescent="0.35">
      <c r="A83" t="s">
        <v>872</v>
      </c>
      <c r="B83" t="s">
        <v>37</v>
      </c>
      <c r="C83" t="s">
        <v>38</v>
      </c>
      <c r="D83" t="s">
        <v>1304</v>
      </c>
      <c r="E83" t="s">
        <v>11</v>
      </c>
      <c r="F83" t="s">
        <v>10</v>
      </c>
      <c r="G83" t="s">
        <v>23</v>
      </c>
      <c r="H83" t="s">
        <v>16</v>
      </c>
      <c r="I83" t="s">
        <v>1013</v>
      </c>
      <c r="J83" s="22" t="s">
        <v>1014</v>
      </c>
      <c r="K83" s="22" t="s">
        <v>1015</v>
      </c>
      <c r="M83" t="s">
        <v>2353</v>
      </c>
    </row>
    <row r="84" spans="1:14" x14ac:dyDescent="0.35">
      <c r="A84" t="s">
        <v>715</v>
      </c>
      <c r="B84" t="s">
        <v>142</v>
      </c>
      <c r="C84" t="s">
        <v>195</v>
      </c>
      <c r="D84" t="s">
        <v>1247</v>
      </c>
      <c r="E84" t="s">
        <v>11</v>
      </c>
      <c r="F84" t="s">
        <v>10</v>
      </c>
      <c r="G84" t="s">
        <v>13</v>
      </c>
      <c r="H84" t="s">
        <v>196</v>
      </c>
      <c r="I84" t="s">
        <v>962</v>
      </c>
      <c r="J84" t="s">
        <v>963</v>
      </c>
      <c r="K84" s="22" t="s">
        <v>964</v>
      </c>
      <c r="M84" t="s">
        <v>2285</v>
      </c>
      <c r="N84" t="s">
        <v>142</v>
      </c>
    </row>
    <row r="85" spans="1:14" x14ac:dyDescent="0.35">
      <c r="A85" s="18" t="s">
        <v>908</v>
      </c>
      <c r="B85" s="18" t="s">
        <v>449</v>
      </c>
      <c r="C85" s="18" t="s">
        <v>450</v>
      </c>
      <c r="D85" s="18" t="s">
        <v>1414</v>
      </c>
      <c r="E85" s="18" t="s">
        <v>375</v>
      </c>
      <c r="F85" s="18" t="s">
        <v>374</v>
      </c>
      <c r="G85" s="18"/>
      <c r="H85" s="18" t="s">
        <v>451</v>
      </c>
      <c r="I85" s="18"/>
      <c r="J85" s="18"/>
      <c r="K85" s="18"/>
    </row>
    <row r="86" spans="1:14" x14ac:dyDescent="0.35">
      <c r="A86" t="s">
        <v>754</v>
      </c>
      <c r="B86" t="s">
        <v>149</v>
      </c>
      <c r="C86" t="s">
        <v>150</v>
      </c>
      <c r="D86" t="s">
        <v>1204</v>
      </c>
      <c r="E86" t="s">
        <v>11</v>
      </c>
      <c r="F86" t="s">
        <v>10</v>
      </c>
      <c r="G86" t="s">
        <v>98</v>
      </c>
      <c r="H86" t="s">
        <v>147</v>
      </c>
      <c r="I86" t="s">
        <v>930</v>
      </c>
      <c r="J86" t="s">
        <v>757</v>
      </c>
      <c r="K86" t="s">
        <v>929</v>
      </c>
      <c r="M86" t="s">
        <v>2255</v>
      </c>
      <c r="N86" t="s">
        <v>2256</v>
      </c>
    </row>
    <row r="87" spans="1:14" x14ac:dyDescent="0.35">
      <c r="A87" s="18" t="s">
        <v>39</v>
      </c>
      <c r="B87" s="18" t="s">
        <v>400</v>
      </c>
      <c r="C87" s="18" t="s">
        <v>401</v>
      </c>
      <c r="D87" s="18" t="s">
        <v>1325</v>
      </c>
      <c r="E87" s="18" t="s">
        <v>375</v>
      </c>
      <c r="F87" s="18" t="s">
        <v>374</v>
      </c>
      <c r="G87" s="18"/>
      <c r="H87" s="18" t="s">
        <v>130</v>
      </c>
      <c r="I87" s="18" t="s">
        <v>1038</v>
      </c>
      <c r="J87" s="18" t="s">
        <v>1038</v>
      </c>
      <c r="K87" s="18"/>
      <c r="L87" t="s">
        <v>2272</v>
      </c>
      <c r="M87" t="s">
        <v>2273</v>
      </c>
    </row>
    <row r="88" spans="1:14" x14ac:dyDescent="0.35">
      <c r="A88" t="s">
        <v>719</v>
      </c>
      <c r="B88" t="s">
        <v>178</v>
      </c>
      <c r="C88" t="s">
        <v>194</v>
      </c>
      <c r="D88" t="s">
        <v>1419</v>
      </c>
      <c r="E88" t="s">
        <v>11</v>
      </c>
      <c r="F88" t="s">
        <v>10</v>
      </c>
      <c r="G88" t="s">
        <v>23</v>
      </c>
      <c r="H88" t="s">
        <v>189</v>
      </c>
      <c r="I88" t="s">
        <v>1472</v>
      </c>
      <c r="J88" t="s">
        <v>1475</v>
      </c>
      <c r="K88" t="s">
        <v>1476</v>
      </c>
      <c r="L88" t="s">
        <v>2416</v>
      </c>
      <c r="M88" t="s">
        <v>2415</v>
      </c>
    </row>
    <row r="89" spans="1:14" x14ac:dyDescent="0.35">
      <c r="A89" t="s">
        <v>715</v>
      </c>
      <c r="B89" t="s">
        <v>142</v>
      </c>
      <c r="C89" t="s">
        <v>301</v>
      </c>
      <c r="D89" t="s">
        <v>1251</v>
      </c>
      <c r="E89" t="s">
        <v>233</v>
      </c>
      <c r="F89" t="s">
        <v>10</v>
      </c>
      <c r="G89" t="s">
        <v>303</v>
      </c>
      <c r="H89" t="s">
        <v>302</v>
      </c>
      <c r="I89" t="s">
        <v>962</v>
      </c>
      <c r="J89" s="22" t="s">
        <v>2107</v>
      </c>
      <c r="K89" t="s">
        <v>707</v>
      </c>
      <c r="M89" t="s">
        <v>2285</v>
      </c>
      <c r="N89" t="s">
        <v>142</v>
      </c>
    </row>
    <row r="90" spans="1:14" x14ac:dyDescent="0.35">
      <c r="A90" s="18" t="s">
        <v>892</v>
      </c>
      <c r="B90" s="18" t="s">
        <v>510</v>
      </c>
      <c r="C90" s="18" t="s">
        <v>511</v>
      </c>
      <c r="D90" s="18" t="s">
        <v>1359</v>
      </c>
      <c r="E90" s="18" t="s">
        <v>375</v>
      </c>
      <c r="F90" s="18" t="s">
        <v>374</v>
      </c>
      <c r="G90" s="18"/>
      <c r="H90" s="18" t="s">
        <v>509</v>
      </c>
      <c r="I90" s="18"/>
      <c r="J90" s="18"/>
      <c r="K90" s="18"/>
    </row>
    <row r="91" spans="1:14" x14ac:dyDescent="0.35">
      <c r="A91" t="s">
        <v>135</v>
      </c>
      <c r="B91" t="s">
        <v>135</v>
      </c>
      <c r="C91" t="s">
        <v>136</v>
      </c>
      <c r="D91" t="s">
        <v>1395</v>
      </c>
      <c r="E91" t="s">
        <v>11</v>
      </c>
      <c r="F91" t="s">
        <v>10</v>
      </c>
      <c r="G91" t="s">
        <v>19</v>
      </c>
      <c r="H91" t="s">
        <v>137</v>
      </c>
      <c r="I91" s="2" t="s">
        <v>727</v>
      </c>
      <c r="J91" s="22" t="s">
        <v>1461</v>
      </c>
      <c r="K91" s="22" t="s">
        <v>1460</v>
      </c>
      <c r="M91" t="s">
        <v>2386</v>
      </c>
    </row>
    <row r="92" spans="1:14" x14ac:dyDescent="0.35">
      <c r="A92" s="18" t="s">
        <v>39</v>
      </c>
      <c r="B92" s="18" t="s">
        <v>39</v>
      </c>
      <c r="C92" s="18" t="s">
        <v>402</v>
      </c>
      <c r="D92" s="18" t="s">
        <v>1324</v>
      </c>
      <c r="E92" s="18" t="s">
        <v>375</v>
      </c>
      <c r="F92" s="18" t="s">
        <v>374</v>
      </c>
      <c r="G92" s="18"/>
      <c r="H92" s="18" t="s">
        <v>130</v>
      </c>
      <c r="I92" s="18"/>
      <c r="J92" s="19"/>
      <c r="K92" s="18"/>
      <c r="M92" t="s">
        <v>2270</v>
      </c>
    </row>
    <row r="93" spans="1:14" x14ac:dyDescent="0.35">
      <c r="A93" s="18"/>
      <c r="B93" s="18" t="s">
        <v>430</v>
      </c>
      <c r="C93" s="18" t="s">
        <v>431</v>
      </c>
      <c r="D93" s="18" t="s">
        <v>1189</v>
      </c>
      <c r="E93" s="18" t="s">
        <v>375</v>
      </c>
      <c r="F93" s="18" t="s">
        <v>374</v>
      </c>
      <c r="G93" s="18"/>
      <c r="H93" s="18" t="s">
        <v>81</v>
      </c>
      <c r="I93" s="18"/>
      <c r="J93" s="18"/>
      <c r="K93" s="18"/>
    </row>
    <row r="94" spans="1:14" x14ac:dyDescent="0.35">
      <c r="A94" t="s">
        <v>14</v>
      </c>
      <c r="B94" t="s">
        <v>14</v>
      </c>
      <c r="C94" t="s">
        <v>66</v>
      </c>
      <c r="D94" t="s">
        <v>1124</v>
      </c>
      <c r="E94" t="s">
        <v>11</v>
      </c>
      <c r="F94" t="s">
        <v>10</v>
      </c>
      <c r="G94" t="s">
        <v>13</v>
      </c>
      <c r="H94" t="s">
        <v>64</v>
      </c>
      <c r="I94" s="2" t="s">
        <v>768</v>
      </c>
      <c r="J94" s="2" t="s">
        <v>1508</v>
      </c>
      <c r="K94" s="2" t="s">
        <v>1509</v>
      </c>
      <c r="M94" t="s">
        <v>2230</v>
      </c>
      <c r="N94" t="s">
        <v>14</v>
      </c>
    </row>
    <row r="95" spans="1:14" x14ac:dyDescent="0.35">
      <c r="A95" t="s">
        <v>718</v>
      </c>
      <c r="B95" t="s">
        <v>246</v>
      </c>
      <c r="C95" t="s">
        <v>304</v>
      </c>
      <c r="D95" t="s">
        <v>1346</v>
      </c>
      <c r="E95" t="s">
        <v>233</v>
      </c>
      <c r="F95" t="s">
        <v>10</v>
      </c>
      <c r="G95" t="s">
        <v>249</v>
      </c>
      <c r="H95" t="s">
        <v>248</v>
      </c>
      <c r="I95" t="s">
        <v>1055</v>
      </c>
      <c r="J95" t="s">
        <v>1062</v>
      </c>
      <c r="K95" t="s">
        <v>707</v>
      </c>
      <c r="M95" t="s">
        <v>2289</v>
      </c>
    </row>
    <row r="96" spans="1:14" x14ac:dyDescent="0.35">
      <c r="A96" s="18" t="s">
        <v>390</v>
      </c>
      <c r="B96" s="18" t="s">
        <v>390</v>
      </c>
      <c r="C96" s="18" t="s">
        <v>391</v>
      </c>
      <c r="D96" s="18" t="s">
        <v>1376</v>
      </c>
      <c r="E96" s="18" t="s">
        <v>375</v>
      </c>
      <c r="F96" s="18" t="s">
        <v>374</v>
      </c>
      <c r="G96" s="18"/>
      <c r="H96" s="18" t="s">
        <v>389</v>
      </c>
      <c r="I96" s="18"/>
      <c r="J96" s="18"/>
      <c r="K96" s="18"/>
    </row>
    <row r="97" spans="1:14" x14ac:dyDescent="0.35">
      <c r="A97" t="s">
        <v>903</v>
      </c>
      <c r="B97" t="s">
        <v>306</v>
      </c>
      <c r="C97" t="s">
        <v>307</v>
      </c>
      <c r="D97" t="s">
        <v>1380</v>
      </c>
      <c r="E97" t="s">
        <v>233</v>
      </c>
      <c r="F97" t="s">
        <v>10</v>
      </c>
      <c r="G97" t="s">
        <v>245</v>
      </c>
      <c r="H97" t="s">
        <v>244</v>
      </c>
      <c r="I97" t="s">
        <v>1097</v>
      </c>
      <c r="J97" t="s">
        <v>1098</v>
      </c>
      <c r="K97" t="s">
        <v>707</v>
      </c>
    </row>
    <row r="98" spans="1:14" x14ac:dyDescent="0.35">
      <c r="A98" t="s">
        <v>27</v>
      </c>
      <c r="B98" t="s">
        <v>27</v>
      </c>
      <c r="C98" t="s">
        <v>28</v>
      </c>
      <c r="D98" t="s">
        <v>1166</v>
      </c>
      <c r="E98" t="s">
        <v>11</v>
      </c>
      <c r="F98" t="s">
        <v>10</v>
      </c>
      <c r="G98" t="s">
        <v>23</v>
      </c>
      <c r="H98" t="s">
        <v>16</v>
      </c>
      <c r="I98" s="2" t="s">
        <v>751</v>
      </c>
      <c r="J98" t="s">
        <v>1525</v>
      </c>
      <c r="K98" t="s">
        <v>1524</v>
      </c>
      <c r="M98" t="s">
        <v>2400</v>
      </c>
      <c r="N98" t="s">
        <v>27</v>
      </c>
    </row>
    <row r="99" spans="1:14" x14ac:dyDescent="0.35">
      <c r="A99" s="18" t="s">
        <v>421</v>
      </c>
      <c r="B99" s="18" t="s">
        <v>421</v>
      </c>
      <c r="C99" s="18" t="s">
        <v>422</v>
      </c>
      <c r="D99" s="18" t="s">
        <v>1309</v>
      </c>
      <c r="E99" s="18" t="s">
        <v>375</v>
      </c>
      <c r="F99" s="18" t="s">
        <v>374</v>
      </c>
      <c r="G99" s="18"/>
      <c r="H99" s="18" t="s">
        <v>423</v>
      </c>
      <c r="I99" s="18"/>
      <c r="J99" s="18"/>
      <c r="K99" s="18"/>
    </row>
    <row r="100" spans="1:14" x14ac:dyDescent="0.35">
      <c r="A100" t="s">
        <v>101</v>
      </c>
      <c r="B100" t="s">
        <v>101</v>
      </c>
      <c r="C100" t="s">
        <v>126</v>
      </c>
      <c r="D100" t="s">
        <v>1400</v>
      </c>
      <c r="E100" t="s">
        <v>11</v>
      </c>
      <c r="F100" t="s">
        <v>10</v>
      </c>
      <c r="G100" t="s">
        <v>34</v>
      </c>
      <c r="H100" t="s">
        <v>127</v>
      </c>
      <c r="I100" t="s">
        <v>1466</v>
      </c>
      <c r="J100" t="s">
        <v>712</v>
      </c>
      <c r="K100" s="22" t="s">
        <v>1471</v>
      </c>
      <c r="M100" t="s">
        <v>2280</v>
      </c>
    </row>
    <row r="101" spans="1:14" x14ac:dyDescent="0.35">
      <c r="A101" t="s">
        <v>39</v>
      </c>
      <c r="B101" t="s">
        <v>39</v>
      </c>
      <c r="C101" t="s">
        <v>42</v>
      </c>
      <c r="D101" t="s">
        <v>1319</v>
      </c>
      <c r="E101" t="s">
        <v>11</v>
      </c>
      <c r="F101" t="s">
        <v>10</v>
      </c>
      <c r="G101" t="s">
        <v>13</v>
      </c>
      <c r="H101" t="s">
        <v>16</v>
      </c>
      <c r="I101" t="s">
        <v>1030</v>
      </c>
      <c r="J101" s="2" t="s">
        <v>1026</v>
      </c>
      <c r="K101" t="s">
        <v>1032</v>
      </c>
      <c r="L101" t="s">
        <v>2409</v>
      </c>
      <c r="M101" t="s">
        <v>2412</v>
      </c>
    </row>
    <row r="102" spans="1:14" x14ac:dyDescent="0.35">
      <c r="A102" s="18" t="s">
        <v>840</v>
      </c>
      <c r="B102" s="18" t="s">
        <v>704</v>
      </c>
      <c r="C102" s="18" t="s">
        <v>216</v>
      </c>
      <c r="D102" s="18" t="s">
        <v>1203</v>
      </c>
      <c r="E102" s="18" t="s">
        <v>375</v>
      </c>
      <c r="F102" s="18" t="s">
        <v>374</v>
      </c>
      <c r="G102" s="18"/>
      <c r="H102" s="18" t="s">
        <v>705</v>
      </c>
      <c r="I102" s="18"/>
      <c r="J102" s="18"/>
      <c r="K102" s="18"/>
    </row>
    <row r="103" spans="1:14" x14ac:dyDescent="0.35">
      <c r="A103" t="s">
        <v>715</v>
      </c>
      <c r="B103" t="s">
        <v>142</v>
      </c>
      <c r="C103" t="s">
        <v>308</v>
      </c>
      <c r="D103" t="s">
        <v>1253</v>
      </c>
      <c r="E103" t="s">
        <v>233</v>
      </c>
      <c r="F103" t="s">
        <v>10</v>
      </c>
      <c r="G103" t="s">
        <v>249</v>
      </c>
      <c r="H103" t="s">
        <v>309</v>
      </c>
      <c r="I103" t="s">
        <v>962</v>
      </c>
      <c r="J103" s="22" t="s">
        <v>2108</v>
      </c>
      <c r="K103" t="s">
        <v>707</v>
      </c>
      <c r="M103" t="s">
        <v>2285</v>
      </c>
      <c r="N103" t="s">
        <v>142</v>
      </c>
    </row>
    <row r="104" spans="1:14" x14ac:dyDescent="0.35">
      <c r="A104" s="18" t="s">
        <v>659</v>
      </c>
      <c r="B104" s="18" t="s">
        <v>659</v>
      </c>
      <c r="C104" s="18" t="s">
        <v>660</v>
      </c>
      <c r="D104" s="18" t="s">
        <v>1417</v>
      </c>
      <c r="E104" s="18" t="s">
        <v>375</v>
      </c>
      <c r="F104" s="18" t="s">
        <v>374</v>
      </c>
      <c r="G104" s="18"/>
      <c r="H104" s="18" t="s">
        <v>210</v>
      </c>
      <c r="I104" s="18"/>
      <c r="J104" s="18"/>
      <c r="K104" s="18"/>
    </row>
    <row r="105" spans="1:14" x14ac:dyDescent="0.35">
      <c r="A105" t="s">
        <v>39</v>
      </c>
      <c r="B105" t="s">
        <v>39</v>
      </c>
      <c r="C105" t="s">
        <v>43</v>
      </c>
      <c r="D105" t="s">
        <v>1317</v>
      </c>
      <c r="E105" t="s">
        <v>11</v>
      </c>
      <c r="F105" t="s">
        <v>10</v>
      </c>
      <c r="G105" t="s">
        <v>34</v>
      </c>
      <c r="H105" t="s">
        <v>16</v>
      </c>
      <c r="I105" t="s">
        <v>1030</v>
      </c>
      <c r="J105" t="s">
        <v>1026</v>
      </c>
      <c r="K105" t="s">
        <v>2152</v>
      </c>
      <c r="L105" t="s">
        <v>1033</v>
      </c>
      <c r="M105" t="s">
        <v>2270</v>
      </c>
    </row>
    <row r="106" spans="1:14" x14ac:dyDescent="0.35">
      <c r="A106" s="18" t="s">
        <v>898</v>
      </c>
      <c r="B106" s="18" t="s">
        <v>435</v>
      </c>
      <c r="C106" s="18" t="s">
        <v>436</v>
      </c>
      <c r="D106" s="18" t="s">
        <v>1368</v>
      </c>
      <c r="E106" s="18" t="s">
        <v>375</v>
      </c>
      <c r="F106" s="18" t="s">
        <v>374</v>
      </c>
      <c r="G106" s="18"/>
      <c r="H106" s="18" t="s">
        <v>437</v>
      </c>
      <c r="I106" s="18"/>
      <c r="J106" s="18"/>
      <c r="K106" s="18"/>
    </row>
    <row r="107" spans="1:14" x14ac:dyDescent="0.35">
      <c r="A107" t="s">
        <v>736</v>
      </c>
      <c r="B107" t="s">
        <v>24</v>
      </c>
      <c r="C107" t="s">
        <v>25</v>
      </c>
      <c r="D107" t="s">
        <v>1136</v>
      </c>
      <c r="E107" t="s">
        <v>11</v>
      </c>
      <c r="F107" t="s">
        <v>10</v>
      </c>
      <c r="G107" t="s">
        <v>13</v>
      </c>
      <c r="H107" t="s">
        <v>16</v>
      </c>
      <c r="I107" t="s">
        <v>737</v>
      </c>
      <c r="J107" s="2" t="s">
        <v>1518</v>
      </c>
      <c r="K107" s="2" t="s">
        <v>1520</v>
      </c>
      <c r="M107" t="s">
        <v>2233</v>
      </c>
      <c r="N107" t="s">
        <v>736</v>
      </c>
    </row>
    <row r="108" spans="1:14" x14ac:dyDescent="0.35">
      <c r="A108" t="s">
        <v>311</v>
      </c>
      <c r="B108" t="s">
        <v>311</v>
      </c>
      <c r="C108" t="s">
        <v>312</v>
      </c>
      <c r="D108" t="s">
        <v>1266</v>
      </c>
      <c r="E108" t="s">
        <v>233</v>
      </c>
      <c r="F108" t="s">
        <v>10</v>
      </c>
      <c r="G108" t="s">
        <v>255</v>
      </c>
      <c r="H108" t="s">
        <v>244</v>
      </c>
      <c r="I108" t="s">
        <v>978</v>
      </c>
      <c r="J108" t="s">
        <v>977</v>
      </c>
      <c r="K108" t="s">
        <v>2326</v>
      </c>
      <c r="M108" t="s">
        <v>2325</v>
      </c>
    </row>
    <row r="109" spans="1:14" x14ac:dyDescent="0.35">
      <c r="A109" s="18" t="s">
        <v>421</v>
      </c>
      <c r="B109" s="18" t="s">
        <v>421</v>
      </c>
      <c r="C109" s="18" t="s">
        <v>679</v>
      </c>
      <c r="D109" s="18" t="s">
        <v>1310</v>
      </c>
      <c r="E109" s="18" t="s">
        <v>375</v>
      </c>
      <c r="F109" s="18" t="s">
        <v>374</v>
      </c>
      <c r="G109" s="18"/>
      <c r="H109" s="18" t="s">
        <v>680</v>
      </c>
      <c r="I109" s="18"/>
      <c r="J109" s="18"/>
      <c r="K109" s="18"/>
      <c r="L109" t="s">
        <v>2268</v>
      </c>
    </row>
    <row r="110" spans="1:14" x14ac:dyDescent="0.35">
      <c r="A110" s="18"/>
      <c r="B110" s="18" t="s">
        <v>512</v>
      </c>
      <c r="C110" s="18" t="s">
        <v>513</v>
      </c>
      <c r="D110" s="18" t="s">
        <v>1142</v>
      </c>
      <c r="E110" s="18" t="s">
        <v>375</v>
      </c>
      <c r="F110" s="18" t="s">
        <v>374</v>
      </c>
      <c r="G110" s="18"/>
      <c r="H110" s="18" t="s">
        <v>509</v>
      </c>
      <c r="I110" s="18"/>
      <c r="J110" s="18"/>
      <c r="K110" s="18"/>
    </row>
    <row r="111" spans="1:14" x14ac:dyDescent="0.35">
      <c r="A111" s="18" t="s">
        <v>793</v>
      </c>
      <c r="B111" s="18" t="s">
        <v>128</v>
      </c>
      <c r="C111" s="18" t="s">
        <v>403</v>
      </c>
      <c r="D111" s="18" t="s">
        <v>1191</v>
      </c>
      <c r="E111" s="18" t="s">
        <v>375</v>
      </c>
      <c r="F111" s="18" t="s">
        <v>374</v>
      </c>
      <c r="G111" s="18"/>
      <c r="H111" s="18" t="s">
        <v>130</v>
      </c>
      <c r="I111" s="18" t="s">
        <v>743</v>
      </c>
      <c r="J111" s="20"/>
      <c r="K111" s="20"/>
    </row>
    <row r="112" spans="1:14" x14ac:dyDescent="0.35">
      <c r="A112" s="18" t="s">
        <v>906</v>
      </c>
      <c r="B112" s="18" t="s">
        <v>567</v>
      </c>
      <c r="C112" s="18" t="s">
        <v>568</v>
      </c>
      <c r="D112" s="18" t="s">
        <v>1394</v>
      </c>
      <c r="E112" s="18" t="s">
        <v>375</v>
      </c>
      <c r="F112" s="18" t="s">
        <v>374</v>
      </c>
      <c r="G112" s="18"/>
      <c r="H112" s="18" t="s">
        <v>183</v>
      </c>
      <c r="I112" s="18"/>
      <c r="J112" s="18"/>
      <c r="K112" s="18"/>
    </row>
    <row r="113" spans="1:14" x14ac:dyDescent="0.35">
      <c r="A113" t="s">
        <v>8</v>
      </c>
      <c r="B113" t="s">
        <v>8</v>
      </c>
      <c r="C113" t="s">
        <v>9</v>
      </c>
      <c r="D113" t="s">
        <v>1264</v>
      </c>
      <c r="E113" t="s">
        <v>11</v>
      </c>
      <c r="F113" t="s">
        <v>10</v>
      </c>
      <c r="G113" t="s">
        <v>23</v>
      </c>
      <c r="H113" t="s">
        <v>12</v>
      </c>
      <c r="I113" s="2" t="s">
        <v>722</v>
      </c>
      <c r="J113" t="s">
        <v>972</v>
      </c>
      <c r="K113" s="22" t="s">
        <v>971</v>
      </c>
      <c r="M113" t="s">
        <v>2260</v>
      </c>
      <c r="N113" t="s">
        <v>8</v>
      </c>
    </row>
    <row r="114" spans="1:14" x14ac:dyDescent="0.35">
      <c r="A114" t="s">
        <v>208</v>
      </c>
      <c r="B114" t="s">
        <v>208</v>
      </c>
      <c r="C114" t="s">
        <v>211</v>
      </c>
      <c r="D114" t="s">
        <v>1177</v>
      </c>
      <c r="E114" t="s">
        <v>11</v>
      </c>
      <c r="F114" t="s">
        <v>10</v>
      </c>
      <c r="G114" t="s">
        <v>21</v>
      </c>
      <c r="H114" t="s">
        <v>210</v>
      </c>
      <c r="I114" s="2" t="s">
        <v>770</v>
      </c>
      <c r="J114" t="s">
        <v>1530</v>
      </c>
      <c r="K114" t="s">
        <v>830</v>
      </c>
      <c r="L114" t="s">
        <v>707</v>
      </c>
      <c r="M114" t="s">
        <v>2403</v>
      </c>
      <c r="N114" t="s">
        <v>2247</v>
      </c>
    </row>
    <row r="115" spans="1:14" x14ac:dyDescent="0.35">
      <c r="A115" t="s">
        <v>715</v>
      </c>
      <c r="B115" t="s">
        <v>142</v>
      </c>
      <c r="C115" t="s">
        <v>143</v>
      </c>
      <c r="D115" t="s">
        <v>1249</v>
      </c>
      <c r="E115" t="s">
        <v>11</v>
      </c>
      <c r="F115" t="s">
        <v>10</v>
      </c>
      <c r="G115" t="s">
        <v>44</v>
      </c>
      <c r="H115" t="s">
        <v>144</v>
      </c>
      <c r="I115" t="s">
        <v>962</v>
      </c>
      <c r="J115" t="s">
        <v>960</v>
      </c>
      <c r="K115" s="22" t="s">
        <v>961</v>
      </c>
      <c r="M115" t="s">
        <v>2285</v>
      </c>
      <c r="N115" t="s">
        <v>142</v>
      </c>
    </row>
    <row r="116" spans="1:14" x14ac:dyDescent="0.35">
      <c r="A116" t="s">
        <v>730</v>
      </c>
      <c r="B116" t="s">
        <v>58</v>
      </c>
      <c r="C116" t="s">
        <v>60</v>
      </c>
      <c r="D116" t="s">
        <v>1437</v>
      </c>
      <c r="E116" t="s">
        <v>11</v>
      </c>
      <c r="F116" t="s">
        <v>10</v>
      </c>
      <c r="G116" t="s">
        <v>19</v>
      </c>
      <c r="H116" t="s">
        <v>16</v>
      </c>
      <c r="I116" s="2" t="s">
        <v>729</v>
      </c>
      <c r="J116" t="s">
        <v>1488</v>
      </c>
      <c r="K116" t="s">
        <v>1490</v>
      </c>
      <c r="M116" t="s">
        <v>2283</v>
      </c>
    </row>
    <row r="117" spans="1:14" x14ac:dyDescent="0.35">
      <c r="A117" s="18" t="s">
        <v>857</v>
      </c>
      <c r="B117" s="18" t="s">
        <v>501</v>
      </c>
      <c r="C117" s="18" t="s">
        <v>502</v>
      </c>
      <c r="D117" s="18" t="s">
        <v>1261</v>
      </c>
      <c r="E117" s="18" t="s">
        <v>375</v>
      </c>
      <c r="F117" s="18" t="s">
        <v>374</v>
      </c>
      <c r="G117" s="18"/>
      <c r="H117" s="18" t="s">
        <v>498</v>
      </c>
      <c r="I117" s="18"/>
      <c r="J117" s="18"/>
      <c r="K117" s="18"/>
    </row>
    <row r="118" spans="1:14" x14ac:dyDescent="0.35">
      <c r="A118" t="s">
        <v>863</v>
      </c>
      <c r="B118" t="s">
        <v>313</v>
      </c>
      <c r="C118" t="s">
        <v>314</v>
      </c>
      <c r="D118" t="s">
        <v>1287</v>
      </c>
      <c r="E118" t="s">
        <v>233</v>
      </c>
      <c r="F118" t="s">
        <v>10</v>
      </c>
      <c r="G118" t="s">
        <v>1002</v>
      </c>
      <c r="H118" t="s">
        <v>707</v>
      </c>
      <c r="I118" t="s">
        <v>1001</v>
      </c>
      <c r="J118" t="s">
        <v>707</v>
      </c>
      <c r="K118" t="s">
        <v>707</v>
      </c>
    </row>
    <row r="119" spans="1:14" x14ac:dyDescent="0.35">
      <c r="A119" t="s">
        <v>718</v>
      </c>
      <c r="B119" t="s">
        <v>246</v>
      </c>
      <c r="C119" t="s">
        <v>315</v>
      </c>
      <c r="D119" t="s">
        <v>1351</v>
      </c>
      <c r="E119" t="s">
        <v>233</v>
      </c>
      <c r="F119" t="s">
        <v>10</v>
      </c>
      <c r="G119" t="s">
        <v>249</v>
      </c>
      <c r="H119" t="s">
        <v>248</v>
      </c>
      <c r="I119" t="s">
        <v>1055</v>
      </c>
      <c r="J119" t="s">
        <v>1063</v>
      </c>
      <c r="K119" t="s">
        <v>707</v>
      </c>
      <c r="M119" t="s">
        <v>2289</v>
      </c>
    </row>
    <row r="120" spans="1:14" x14ac:dyDescent="0.35">
      <c r="A120" s="18" t="s">
        <v>443</v>
      </c>
      <c r="B120" s="18" t="s">
        <v>443</v>
      </c>
      <c r="C120" s="18" t="s">
        <v>444</v>
      </c>
      <c r="D120" s="18" t="s">
        <v>1208</v>
      </c>
      <c r="E120" s="18" t="s">
        <v>375</v>
      </c>
      <c r="F120" s="18" t="s">
        <v>374</v>
      </c>
      <c r="G120" s="18"/>
      <c r="H120" s="18" t="s">
        <v>445</v>
      </c>
      <c r="I120" s="18"/>
      <c r="J120" s="18"/>
      <c r="K120" s="18"/>
    </row>
    <row r="121" spans="1:14" x14ac:dyDescent="0.35">
      <c r="A121" s="18" t="s">
        <v>893</v>
      </c>
      <c r="B121" s="18" t="s">
        <v>455</v>
      </c>
      <c r="C121" s="18" t="s">
        <v>456</v>
      </c>
      <c r="D121" s="18" t="s">
        <v>1360</v>
      </c>
      <c r="E121" s="18" t="s">
        <v>375</v>
      </c>
      <c r="F121" s="18" t="s">
        <v>374</v>
      </c>
      <c r="G121" s="18"/>
      <c r="H121" s="18" t="s">
        <v>457</v>
      </c>
      <c r="I121" s="18"/>
      <c r="J121" s="18"/>
      <c r="K121" s="18"/>
    </row>
    <row r="122" spans="1:14" x14ac:dyDescent="0.35">
      <c r="A122" s="18" t="s">
        <v>898</v>
      </c>
      <c r="B122" s="18" t="s">
        <v>435</v>
      </c>
      <c r="C122" s="18" t="s">
        <v>438</v>
      </c>
      <c r="D122" s="18" t="s">
        <v>1369</v>
      </c>
      <c r="E122" s="18" t="s">
        <v>375</v>
      </c>
      <c r="F122" s="18" t="s">
        <v>374</v>
      </c>
      <c r="G122" s="18"/>
      <c r="H122" s="18" t="s">
        <v>439</v>
      </c>
      <c r="I122" s="18"/>
      <c r="J122" s="18"/>
      <c r="K122" s="18"/>
    </row>
    <row r="123" spans="1:14" x14ac:dyDescent="0.35">
      <c r="A123" s="18"/>
      <c r="B123" s="18" t="s">
        <v>689</v>
      </c>
      <c r="C123" s="18" t="s">
        <v>690</v>
      </c>
      <c r="D123" s="18" t="s">
        <v>1170</v>
      </c>
      <c r="E123" s="18" t="s">
        <v>375</v>
      </c>
      <c r="F123" s="18" t="s">
        <v>374</v>
      </c>
      <c r="G123" s="18"/>
      <c r="H123" s="18" t="s">
        <v>688</v>
      </c>
      <c r="I123" s="18"/>
      <c r="J123" s="18"/>
      <c r="K123" s="18"/>
    </row>
    <row r="124" spans="1:14" x14ac:dyDescent="0.35">
      <c r="A124" s="18" t="s">
        <v>864</v>
      </c>
      <c r="B124" s="18" t="s">
        <v>426</v>
      </c>
      <c r="C124" s="18" t="s">
        <v>427</v>
      </c>
      <c r="D124" s="18" t="s">
        <v>1289</v>
      </c>
      <c r="E124" s="18" t="s">
        <v>375</v>
      </c>
      <c r="F124" s="18" t="s">
        <v>374</v>
      </c>
      <c r="G124" s="18"/>
      <c r="H124" s="18" t="s">
        <v>428</v>
      </c>
      <c r="I124" s="18"/>
      <c r="J124" s="18"/>
      <c r="K124" s="18"/>
    </row>
    <row r="125" spans="1:14" x14ac:dyDescent="0.35">
      <c r="A125" s="18" t="s">
        <v>883</v>
      </c>
      <c r="B125" s="18" t="s">
        <v>404</v>
      </c>
      <c r="C125" s="18" t="s">
        <v>405</v>
      </c>
      <c r="D125" s="18" t="s">
        <v>1332</v>
      </c>
      <c r="E125" s="18" t="s">
        <v>375</v>
      </c>
      <c r="F125" s="18" t="s">
        <v>374</v>
      </c>
      <c r="G125" s="18"/>
      <c r="H125" s="18" t="s">
        <v>130</v>
      </c>
      <c r="I125" s="18"/>
      <c r="J125" s="18"/>
      <c r="K125" s="18"/>
    </row>
    <row r="126" spans="1:14" x14ac:dyDescent="0.35">
      <c r="A126" s="18" t="s">
        <v>645</v>
      </c>
      <c r="B126" s="18" t="s">
        <v>645</v>
      </c>
      <c r="C126" s="18" t="s">
        <v>646</v>
      </c>
      <c r="D126" s="18" t="s">
        <v>1375</v>
      </c>
      <c r="E126" s="18" t="s">
        <v>375</v>
      </c>
      <c r="F126" s="18" t="s">
        <v>374</v>
      </c>
      <c r="G126" s="18"/>
      <c r="H126" s="18" t="s">
        <v>647</v>
      </c>
      <c r="I126" s="18"/>
      <c r="J126" s="18"/>
      <c r="K126" s="18"/>
      <c r="L126" t="s">
        <v>2277</v>
      </c>
    </row>
    <row r="127" spans="1:14" x14ac:dyDescent="0.35">
      <c r="A127" s="18" t="s">
        <v>866</v>
      </c>
      <c r="B127" s="18" t="s">
        <v>471</v>
      </c>
      <c r="C127" s="18" t="s">
        <v>472</v>
      </c>
      <c r="D127" s="18" t="s">
        <v>1294</v>
      </c>
      <c r="E127" s="18" t="s">
        <v>375</v>
      </c>
      <c r="F127" s="18" t="s">
        <v>374</v>
      </c>
      <c r="G127" s="18"/>
      <c r="H127" s="18" t="s">
        <v>468</v>
      </c>
      <c r="I127" s="18"/>
      <c r="J127" s="18"/>
      <c r="K127" s="18"/>
    </row>
    <row r="128" spans="1:14" x14ac:dyDescent="0.35">
      <c r="A128" t="s">
        <v>859</v>
      </c>
      <c r="B128" t="s">
        <v>202</v>
      </c>
      <c r="C128" t="s">
        <v>203</v>
      </c>
      <c r="D128" t="s">
        <v>1277</v>
      </c>
      <c r="E128" t="s">
        <v>11</v>
      </c>
      <c r="F128" t="s">
        <v>10</v>
      </c>
      <c r="G128" t="s">
        <v>23</v>
      </c>
      <c r="H128" t="s">
        <v>204</v>
      </c>
      <c r="I128" t="s">
        <v>987</v>
      </c>
      <c r="J128" t="s">
        <v>988</v>
      </c>
      <c r="K128" t="s">
        <v>989</v>
      </c>
      <c r="M128" t="s">
        <v>2262</v>
      </c>
      <c r="N128" t="s">
        <v>859</v>
      </c>
    </row>
    <row r="129" spans="1:14" x14ac:dyDescent="0.35">
      <c r="A129" s="18" t="s">
        <v>910</v>
      </c>
      <c r="B129" s="18" t="s">
        <v>493</v>
      </c>
      <c r="C129" s="18" t="s">
        <v>494</v>
      </c>
      <c r="D129" s="18" t="s">
        <v>1430</v>
      </c>
      <c r="E129" s="18" t="s">
        <v>375</v>
      </c>
      <c r="F129" s="18" t="s">
        <v>374</v>
      </c>
      <c r="G129" s="18"/>
      <c r="H129" s="18" t="s">
        <v>491</v>
      </c>
      <c r="I129" s="18"/>
      <c r="J129" s="18"/>
      <c r="K129" s="18"/>
    </row>
    <row r="130" spans="1:14" x14ac:dyDescent="0.35">
      <c r="A130" s="18" t="s">
        <v>871</v>
      </c>
      <c r="B130" s="18" t="s">
        <v>473</v>
      </c>
      <c r="C130" s="18" t="s">
        <v>474</v>
      </c>
      <c r="D130" s="18" t="s">
        <v>1302</v>
      </c>
      <c r="E130" s="18" t="s">
        <v>375</v>
      </c>
      <c r="F130" s="18" t="s">
        <v>374</v>
      </c>
      <c r="G130" s="18"/>
      <c r="H130" s="18" t="s">
        <v>468</v>
      </c>
      <c r="I130" s="18"/>
      <c r="J130" s="18"/>
      <c r="K130" s="18"/>
    </row>
    <row r="131" spans="1:14" x14ac:dyDescent="0.35">
      <c r="A131" s="18" t="s">
        <v>848</v>
      </c>
      <c r="B131" s="18" t="s">
        <v>479</v>
      </c>
      <c r="C131" s="18" t="s">
        <v>480</v>
      </c>
      <c r="D131" s="18" t="s">
        <v>1230</v>
      </c>
      <c r="E131" s="18" t="s">
        <v>375</v>
      </c>
      <c r="F131" s="18" t="s">
        <v>374</v>
      </c>
      <c r="G131" s="18"/>
      <c r="H131" s="18" t="s">
        <v>468</v>
      </c>
      <c r="I131" s="18"/>
      <c r="J131" s="18"/>
      <c r="K131" s="18"/>
    </row>
    <row r="132" spans="1:14" x14ac:dyDescent="0.35">
      <c r="A132" s="18" t="s">
        <v>874</v>
      </c>
      <c r="B132" s="18" t="s">
        <v>475</v>
      </c>
      <c r="C132" s="18" t="s">
        <v>476</v>
      </c>
      <c r="D132" s="18" t="s">
        <v>1306</v>
      </c>
      <c r="E132" s="18" t="s">
        <v>375</v>
      </c>
      <c r="F132" s="18" t="s">
        <v>374</v>
      </c>
      <c r="G132" s="18"/>
      <c r="H132" s="18" t="s">
        <v>468</v>
      </c>
      <c r="I132" s="18"/>
      <c r="J132" s="18"/>
      <c r="K132" s="18"/>
    </row>
    <row r="133" spans="1:14" x14ac:dyDescent="0.35">
      <c r="A133" t="s">
        <v>718</v>
      </c>
      <c r="B133" t="s">
        <v>151</v>
      </c>
      <c r="C133" t="s">
        <v>170</v>
      </c>
      <c r="D133" t="s">
        <v>1353</v>
      </c>
      <c r="E133" t="s">
        <v>11</v>
      </c>
      <c r="F133" t="s">
        <v>10</v>
      </c>
      <c r="G133" t="s">
        <v>34</v>
      </c>
      <c r="H133" t="s">
        <v>171</v>
      </c>
      <c r="I133" t="s">
        <v>1055</v>
      </c>
      <c r="J133" t="s">
        <v>1065</v>
      </c>
      <c r="K133" t="s">
        <v>1067</v>
      </c>
      <c r="M133" t="s">
        <v>2289</v>
      </c>
    </row>
    <row r="134" spans="1:14" x14ac:dyDescent="0.35">
      <c r="A134" t="s">
        <v>903</v>
      </c>
      <c r="B134" t="s">
        <v>306</v>
      </c>
      <c r="C134" t="s">
        <v>316</v>
      </c>
      <c r="D134" t="s">
        <v>1381</v>
      </c>
      <c r="E134" t="s">
        <v>233</v>
      </c>
      <c r="F134" t="s">
        <v>10</v>
      </c>
      <c r="G134" t="s">
        <v>245</v>
      </c>
      <c r="H134" t="s">
        <v>244</v>
      </c>
      <c r="I134" t="s">
        <v>1097</v>
      </c>
      <c r="J134" t="s">
        <v>1098</v>
      </c>
      <c r="K134" t="s">
        <v>707</v>
      </c>
    </row>
    <row r="135" spans="1:14" x14ac:dyDescent="0.35">
      <c r="A135" t="s">
        <v>717</v>
      </c>
      <c r="B135" t="s">
        <v>79</v>
      </c>
      <c r="C135" t="s">
        <v>89</v>
      </c>
      <c r="D135" t="s">
        <v>1269</v>
      </c>
      <c r="E135" t="s">
        <v>11</v>
      </c>
      <c r="F135" t="s">
        <v>10</v>
      </c>
      <c r="G135" t="s">
        <v>21</v>
      </c>
      <c r="H135" t="s">
        <v>90</v>
      </c>
      <c r="I135" t="s">
        <v>980</v>
      </c>
      <c r="J135" t="s">
        <v>707</v>
      </c>
      <c r="K135" s="22" t="s">
        <v>983</v>
      </c>
      <c r="M135" t="s">
        <v>2405</v>
      </c>
    </row>
    <row r="136" spans="1:14" x14ac:dyDescent="0.35">
      <c r="A136" t="s">
        <v>30</v>
      </c>
      <c r="B136" t="s">
        <v>30</v>
      </c>
      <c r="C136" t="s">
        <v>31</v>
      </c>
      <c r="D136" t="s">
        <v>1210</v>
      </c>
      <c r="E136" t="s">
        <v>11</v>
      </c>
      <c r="F136" t="s">
        <v>10</v>
      </c>
      <c r="G136" t="s">
        <v>13</v>
      </c>
      <c r="H136" t="s">
        <v>16</v>
      </c>
      <c r="I136" t="s">
        <v>758</v>
      </c>
      <c r="J136" t="s">
        <v>934</v>
      </c>
      <c r="K136" t="s">
        <v>933</v>
      </c>
      <c r="M136" t="s">
        <v>2257</v>
      </c>
      <c r="N136" t="s">
        <v>30</v>
      </c>
    </row>
    <row r="137" spans="1:14" x14ac:dyDescent="0.35">
      <c r="A137" t="s">
        <v>14</v>
      </c>
      <c r="B137" t="s">
        <v>14</v>
      </c>
      <c r="C137" t="s">
        <v>91</v>
      </c>
      <c r="D137" t="s">
        <v>1126</v>
      </c>
      <c r="E137" t="s">
        <v>11</v>
      </c>
      <c r="F137" t="s">
        <v>10</v>
      </c>
      <c r="G137" t="s">
        <v>23</v>
      </c>
      <c r="H137" t="s">
        <v>92</v>
      </c>
      <c r="I137" s="2" t="s">
        <v>768</v>
      </c>
      <c r="J137" s="2" t="s">
        <v>1512</v>
      </c>
      <c r="K137" s="2" t="s">
        <v>1513</v>
      </c>
      <c r="M137" t="s">
        <v>2230</v>
      </c>
      <c r="N137" t="s">
        <v>14</v>
      </c>
    </row>
    <row r="138" spans="1:14" x14ac:dyDescent="0.35">
      <c r="A138" t="s">
        <v>718</v>
      </c>
      <c r="B138" t="s">
        <v>246</v>
      </c>
      <c r="C138" t="s">
        <v>317</v>
      </c>
      <c r="D138" t="s">
        <v>1347</v>
      </c>
      <c r="E138" t="s">
        <v>233</v>
      </c>
      <c r="F138" t="s">
        <v>10</v>
      </c>
      <c r="G138" t="s">
        <v>249</v>
      </c>
      <c r="H138" t="s">
        <v>248</v>
      </c>
      <c r="I138" t="s">
        <v>1055</v>
      </c>
      <c r="J138" t="s">
        <v>1062</v>
      </c>
      <c r="K138" t="s">
        <v>707</v>
      </c>
      <c r="M138" t="s">
        <v>2289</v>
      </c>
    </row>
    <row r="139" spans="1:14" x14ac:dyDescent="0.35">
      <c r="A139" s="18" t="s">
        <v>377</v>
      </c>
      <c r="B139" s="18" t="s">
        <v>377</v>
      </c>
      <c r="C139" s="18" t="s">
        <v>378</v>
      </c>
      <c r="D139" s="18" t="s">
        <v>1292</v>
      </c>
      <c r="E139" s="18" t="s">
        <v>375</v>
      </c>
      <c r="F139" s="18" t="s">
        <v>374</v>
      </c>
      <c r="G139" s="18"/>
      <c r="H139" s="18" t="s">
        <v>379</v>
      </c>
      <c r="I139" s="18"/>
      <c r="J139" s="18"/>
      <c r="K139" s="18"/>
    </row>
    <row r="140" spans="1:14" x14ac:dyDescent="0.35">
      <c r="A140" s="18" t="s">
        <v>718</v>
      </c>
      <c r="B140" s="18" t="s">
        <v>151</v>
      </c>
      <c r="C140" s="18" t="s">
        <v>495</v>
      </c>
      <c r="D140" s="18" t="s">
        <v>1356</v>
      </c>
      <c r="E140" s="18" t="s">
        <v>375</v>
      </c>
      <c r="F140" s="18" t="s">
        <v>374</v>
      </c>
      <c r="G140" s="18"/>
      <c r="H140" s="18" t="s">
        <v>174</v>
      </c>
      <c r="I140" s="18" t="s">
        <v>1055</v>
      </c>
      <c r="J140" s="18" t="s">
        <v>1065</v>
      </c>
      <c r="K140" s="18" t="s">
        <v>707</v>
      </c>
    </row>
    <row r="141" spans="1:14" x14ac:dyDescent="0.35">
      <c r="A141" t="s">
        <v>719</v>
      </c>
      <c r="B141" t="s">
        <v>181</v>
      </c>
      <c r="C141" t="s">
        <v>318</v>
      </c>
      <c r="D141" t="s">
        <v>1429</v>
      </c>
      <c r="E141" t="s">
        <v>233</v>
      </c>
      <c r="F141" t="s">
        <v>10</v>
      </c>
      <c r="G141" t="s">
        <v>23</v>
      </c>
      <c r="H141" t="s">
        <v>183</v>
      </c>
      <c r="I141" t="s">
        <v>1472</v>
      </c>
      <c r="J141" t="s">
        <v>1481</v>
      </c>
      <c r="K141" t="s">
        <v>707</v>
      </c>
    </row>
    <row r="142" spans="1:14" x14ac:dyDescent="0.35">
      <c r="A142" s="18" t="s">
        <v>736</v>
      </c>
      <c r="B142" s="18" t="s">
        <v>569</v>
      </c>
      <c r="C142" s="18" t="s">
        <v>570</v>
      </c>
      <c r="D142" s="18" t="s">
        <v>1199</v>
      </c>
      <c r="E142" s="18" t="s">
        <v>375</v>
      </c>
      <c r="F142" s="18" t="s">
        <v>374</v>
      </c>
      <c r="G142" s="18"/>
      <c r="H142" s="18" t="s">
        <v>183</v>
      </c>
      <c r="I142" s="18" t="s">
        <v>1523</v>
      </c>
      <c r="J142" s="19" t="s">
        <v>1522</v>
      </c>
      <c r="K142" s="18" t="s">
        <v>1611</v>
      </c>
    </row>
    <row r="143" spans="1:14" x14ac:dyDescent="0.35">
      <c r="A143" t="s">
        <v>14</v>
      </c>
      <c r="B143" t="s">
        <v>14</v>
      </c>
      <c r="C143" t="s">
        <v>67</v>
      </c>
      <c r="D143" t="s">
        <v>1128</v>
      </c>
      <c r="E143" t="s">
        <v>11</v>
      </c>
      <c r="F143" t="s">
        <v>10</v>
      </c>
      <c r="G143" t="s">
        <v>21</v>
      </c>
      <c r="H143" t="s">
        <v>64</v>
      </c>
      <c r="I143" s="2" t="s">
        <v>768</v>
      </c>
      <c r="J143" s="2" t="s">
        <v>1510</v>
      </c>
      <c r="K143" s="2" t="s">
        <v>1511</v>
      </c>
      <c r="M143" t="s">
        <v>2230</v>
      </c>
      <c r="N143" t="s">
        <v>14</v>
      </c>
    </row>
    <row r="144" spans="1:14" x14ac:dyDescent="0.35">
      <c r="A144" s="18" t="s">
        <v>843</v>
      </c>
      <c r="B144" s="18" t="s">
        <v>654</v>
      </c>
      <c r="C144" s="18" t="s">
        <v>694</v>
      </c>
      <c r="D144" s="18" t="s">
        <v>1225</v>
      </c>
      <c r="E144" s="18" t="s">
        <v>375</v>
      </c>
      <c r="F144" s="18" t="s">
        <v>374</v>
      </c>
      <c r="G144" s="18"/>
      <c r="H144" s="18" t="s">
        <v>693</v>
      </c>
      <c r="I144" s="18"/>
      <c r="J144" s="18"/>
      <c r="K144" s="18"/>
    </row>
    <row r="145" spans="1:14" x14ac:dyDescent="0.35">
      <c r="A145" s="18" t="s">
        <v>843</v>
      </c>
      <c r="B145" s="18" t="s">
        <v>654</v>
      </c>
      <c r="C145" s="18" t="s">
        <v>655</v>
      </c>
      <c r="D145" s="18" t="s">
        <v>1224</v>
      </c>
      <c r="E145" s="18" t="s">
        <v>375</v>
      </c>
      <c r="F145" s="18" t="s">
        <v>374</v>
      </c>
      <c r="G145" s="18"/>
      <c r="H145" s="18" t="s">
        <v>653</v>
      </c>
      <c r="I145" s="18"/>
      <c r="J145" s="18"/>
      <c r="K145" s="18"/>
    </row>
    <row r="146" spans="1:14" x14ac:dyDescent="0.35">
      <c r="A146" t="s">
        <v>784</v>
      </c>
      <c r="B146" t="s">
        <v>68</v>
      </c>
      <c r="C146" t="s">
        <v>69</v>
      </c>
      <c r="D146" t="s">
        <v>1159</v>
      </c>
      <c r="E146" t="s">
        <v>11</v>
      </c>
      <c r="F146" t="s">
        <v>10</v>
      </c>
      <c r="G146" t="s">
        <v>19</v>
      </c>
      <c r="H146" t="s">
        <v>64</v>
      </c>
      <c r="I146" t="s">
        <v>788</v>
      </c>
      <c r="K146" s="22" t="s">
        <v>819</v>
      </c>
      <c r="L146" t="s">
        <v>2238</v>
      </c>
      <c r="M146" t="s">
        <v>2233</v>
      </c>
      <c r="N146" t="s">
        <v>2239</v>
      </c>
    </row>
    <row r="147" spans="1:14" x14ac:dyDescent="0.35">
      <c r="A147" s="18" t="s">
        <v>856</v>
      </c>
      <c r="B147" s="18" t="s">
        <v>581</v>
      </c>
      <c r="C147" s="18" t="s">
        <v>582</v>
      </c>
      <c r="D147" s="18" t="s">
        <v>1260</v>
      </c>
      <c r="E147" s="18" t="s">
        <v>375</v>
      </c>
      <c r="F147" s="18" t="s">
        <v>374</v>
      </c>
      <c r="G147" s="18"/>
      <c r="H147" s="18" t="s">
        <v>583</v>
      </c>
      <c r="I147" s="18"/>
      <c r="J147" s="18"/>
      <c r="K147" s="18"/>
    </row>
    <row r="148" spans="1:14" x14ac:dyDescent="0.35">
      <c r="A148" t="s">
        <v>714</v>
      </c>
      <c r="B148" t="s">
        <v>281</v>
      </c>
      <c r="C148" t="s">
        <v>319</v>
      </c>
      <c r="D148" t="s">
        <v>1244</v>
      </c>
      <c r="E148" t="s">
        <v>233</v>
      </c>
      <c r="F148" t="s">
        <v>10</v>
      </c>
      <c r="G148" t="s">
        <v>255</v>
      </c>
      <c r="H148" t="s">
        <v>244</v>
      </c>
      <c r="I148" t="s">
        <v>951</v>
      </c>
      <c r="J148" t="s">
        <v>707</v>
      </c>
      <c r="K148" t="s">
        <v>707</v>
      </c>
    </row>
    <row r="149" spans="1:14" x14ac:dyDescent="0.35">
      <c r="A149" s="18" t="s">
        <v>554</v>
      </c>
      <c r="B149" s="18" t="s">
        <v>554</v>
      </c>
      <c r="C149" s="18" t="s">
        <v>29</v>
      </c>
      <c r="D149" s="18" t="s">
        <v>1237</v>
      </c>
      <c r="E149" s="18" t="s">
        <v>375</v>
      </c>
      <c r="F149" s="18" t="s">
        <v>374</v>
      </c>
      <c r="G149" s="18"/>
      <c r="H149" s="18" t="s">
        <v>599</v>
      </c>
      <c r="I149" s="18"/>
      <c r="J149" s="18"/>
      <c r="K149" s="18"/>
    </row>
    <row r="150" spans="1:14" x14ac:dyDescent="0.35">
      <c r="A150" s="18" t="s">
        <v>865</v>
      </c>
      <c r="B150" s="18" t="s">
        <v>530</v>
      </c>
      <c r="C150" s="18" t="s">
        <v>531</v>
      </c>
      <c r="D150" s="18" t="s">
        <v>1291</v>
      </c>
      <c r="E150" s="18" t="s">
        <v>375</v>
      </c>
      <c r="F150" s="18" t="s">
        <v>374</v>
      </c>
      <c r="G150" s="18"/>
      <c r="H150" s="18" t="s">
        <v>532</v>
      </c>
      <c r="I150" s="18"/>
      <c r="J150" s="18"/>
      <c r="K150" s="18"/>
    </row>
    <row r="151" spans="1:14" x14ac:dyDescent="0.35">
      <c r="A151" s="18" t="s">
        <v>849</v>
      </c>
      <c r="B151" s="18" t="s">
        <v>603</v>
      </c>
      <c r="C151" s="18" t="s">
        <v>604</v>
      </c>
      <c r="D151" s="18" t="s">
        <v>1234</v>
      </c>
      <c r="E151" s="18" t="s">
        <v>375</v>
      </c>
      <c r="F151" s="18" t="s">
        <v>374</v>
      </c>
      <c r="G151" s="18"/>
      <c r="H151" s="18" t="s">
        <v>605</v>
      </c>
      <c r="I151" s="18"/>
      <c r="J151" s="18"/>
      <c r="K151" s="18"/>
    </row>
    <row r="152" spans="1:14" x14ac:dyDescent="0.35">
      <c r="A152" t="s">
        <v>159</v>
      </c>
      <c r="B152" t="s">
        <v>159</v>
      </c>
      <c r="C152" t="s">
        <v>160</v>
      </c>
      <c r="D152" t="s">
        <v>1165</v>
      </c>
      <c r="E152" t="s">
        <v>11</v>
      </c>
      <c r="F152" t="s">
        <v>10</v>
      </c>
      <c r="G152" t="s">
        <v>34</v>
      </c>
      <c r="H152" t="s">
        <v>157</v>
      </c>
      <c r="I152" s="3" t="s">
        <v>1526</v>
      </c>
      <c r="J152" s="3" t="s">
        <v>821</v>
      </c>
      <c r="K152" s="30" t="s">
        <v>823</v>
      </c>
      <c r="M152" t="s">
        <v>2242</v>
      </c>
      <c r="N152" t="s">
        <v>159</v>
      </c>
    </row>
    <row r="153" spans="1:14" x14ac:dyDescent="0.35">
      <c r="A153" s="18" t="s">
        <v>885</v>
      </c>
      <c r="B153" s="18" t="s">
        <v>477</v>
      </c>
      <c r="C153" s="18" t="s">
        <v>478</v>
      </c>
      <c r="D153" s="18" t="s">
        <v>1334</v>
      </c>
      <c r="E153" s="18" t="s">
        <v>375</v>
      </c>
      <c r="F153" s="18" t="s">
        <v>374</v>
      </c>
      <c r="G153" s="18"/>
      <c r="H153" s="18" t="s">
        <v>468</v>
      </c>
      <c r="I153" s="18"/>
      <c r="J153" s="18"/>
      <c r="K153" s="18"/>
    </row>
    <row r="154" spans="1:14" x14ac:dyDescent="0.35">
      <c r="A154" t="s">
        <v>208</v>
      </c>
      <c r="B154" t="s">
        <v>208</v>
      </c>
      <c r="C154" t="s">
        <v>212</v>
      </c>
      <c r="D154" t="s">
        <v>1176</v>
      </c>
      <c r="E154" t="s">
        <v>11</v>
      </c>
      <c r="F154" t="s">
        <v>10</v>
      </c>
      <c r="G154" t="s">
        <v>44</v>
      </c>
      <c r="H154" t="s">
        <v>210</v>
      </c>
      <c r="I154" t="s">
        <v>770</v>
      </c>
      <c r="J154" t="s">
        <v>1530</v>
      </c>
      <c r="K154" t="s">
        <v>830</v>
      </c>
      <c r="L154" t="s">
        <v>707</v>
      </c>
      <c r="M154" t="s">
        <v>2402</v>
      </c>
      <c r="N154" t="s">
        <v>2247</v>
      </c>
    </row>
    <row r="155" spans="1:14" ht="29" x14ac:dyDescent="0.35">
      <c r="A155" t="s">
        <v>887</v>
      </c>
      <c r="B155" t="s">
        <v>213</v>
      </c>
      <c r="C155" t="s">
        <v>214</v>
      </c>
      <c r="D155" t="s">
        <v>1336</v>
      </c>
      <c r="E155" t="s">
        <v>11</v>
      </c>
      <c r="F155" t="s">
        <v>10</v>
      </c>
      <c r="G155" t="s">
        <v>21</v>
      </c>
      <c r="H155" t="s">
        <v>210</v>
      </c>
      <c r="I155" t="s">
        <v>1040</v>
      </c>
      <c r="J155" s="30" t="s">
        <v>2359</v>
      </c>
      <c r="K155" s="22" t="s">
        <v>1042</v>
      </c>
      <c r="M155" t="s">
        <v>2360</v>
      </c>
      <c r="N155" t="s">
        <v>887</v>
      </c>
    </row>
    <row r="156" spans="1:14" x14ac:dyDescent="0.35">
      <c r="A156" t="s">
        <v>725</v>
      </c>
      <c r="B156" t="s">
        <v>138</v>
      </c>
      <c r="C156" t="s">
        <v>139</v>
      </c>
      <c r="D156" t="s">
        <v>1285</v>
      </c>
      <c r="E156" t="s">
        <v>11</v>
      </c>
      <c r="F156" t="s">
        <v>10</v>
      </c>
      <c r="G156" t="s">
        <v>44</v>
      </c>
      <c r="H156" t="s">
        <v>141</v>
      </c>
      <c r="I156" s="2" t="s">
        <v>724</v>
      </c>
      <c r="J156" t="s">
        <v>2125</v>
      </c>
      <c r="K156" s="22" t="s">
        <v>1000</v>
      </c>
      <c r="L156" t="s">
        <v>2265</v>
      </c>
      <c r="M156" t="s">
        <v>2266</v>
      </c>
    </row>
    <row r="157" spans="1:14" x14ac:dyDescent="0.35">
      <c r="A157" s="18" t="s">
        <v>424</v>
      </c>
      <c r="B157" s="18" t="s">
        <v>424</v>
      </c>
      <c r="C157" s="18" t="s">
        <v>425</v>
      </c>
      <c r="D157" s="18" t="s">
        <v>1231</v>
      </c>
      <c r="E157" s="18" t="s">
        <v>375</v>
      </c>
      <c r="F157" s="18" t="s">
        <v>374</v>
      </c>
      <c r="G157" s="18"/>
      <c r="H157" s="18" t="s">
        <v>423</v>
      </c>
      <c r="I157" s="18"/>
      <c r="J157" s="18"/>
      <c r="K157" s="18"/>
    </row>
    <row r="158" spans="1:14" x14ac:dyDescent="0.35">
      <c r="A158" t="s">
        <v>14</v>
      </c>
      <c r="B158" t="s">
        <v>14</v>
      </c>
      <c r="C158" t="s">
        <v>20</v>
      </c>
      <c r="D158" t="s">
        <v>1130</v>
      </c>
      <c r="E158" t="s">
        <v>11</v>
      </c>
      <c r="F158" t="s">
        <v>10</v>
      </c>
      <c r="G158" t="s">
        <v>19</v>
      </c>
      <c r="H158" t="s">
        <v>16</v>
      </c>
      <c r="I158" s="2" t="s">
        <v>768</v>
      </c>
      <c r="J158" s="2" t="s">
        <v>1501</v>
      </c>
      <c r="K158" s="2" t="s">
        <v>1500</v>
      </c>
      <c r="M158" t="s">
        <v>2230</v>
      </c>
      <c r="N158" t="s">
        <v>14</v>
      </c>
    </row>
    <row r="159" spans="1:14" x14ac:dyDescent="0.35">
      <c r="A159" t="s">
        <v>14</v>
      </c>
      <c r="B159" t="s">
        <v>14</v>
      </c>
      <c r="C159" t="s">
        <v>22</v>
      </c>
      <c r="D159" t="s">
        <v>1129</v>
      </c>
      <c r="E159" t="s">
        <v>11</v>
      </c>
      <c r="F159" t="s">
        <v>10</v>
      </c>
      <c r="G159" t="s">
        <v>13</v>
      </c>
      <c r="H159" t="s">
        <v>16</v>
      </c>
      <c r="I159" s="2" t="s">
        <v>768</v>
      </c>
      <c r="J159" s="2" t="s">
        <v>1505</v>
      </c>
      <c r="K159" s="2" t="s">
        <v>1504</v>
      </c>
      <c r="M159" t="s">
        <v>2230</v>
      </c>
      <c r="N159" t="s">
        <v>14</v>
      </c>
    </row>
    <row r="160" spans="1:14" x14ac:dyDescent="0.35">
      <c r="A160" s="18" t="s">
        <v>661</v>
      </c>
      <c r="B160" s="18" t="s">
        <v>661</v>
      </c>
      <c r="C160" s="18" t="s">
        <v>662</v>
      </c>
      <c r="D160" s="18" t="s">
        <v>1338</v>
      </c>
      <c r="E160" s="18" t="s">
        <v>375</v>
      </c>
      <c r="F160" s="18" t="s">
        <v>374</v>
      </c>
      <c r="G160" s="18"/>
      <c r="H160" s="18" t="s">
        <v>210</v>
      </c>
      <c r="I160" s="18"/>
      <c r="J160" s="18"/>
      <c r="K160" s="18"/>
    </row>
    <row r="161" spans="1:14" x14ac:dyDescent="0.35">
      <c r="A161" s="18" t="s">
        <v>847</v>
      </c>
      <c r="B161" s="18" t="s">
        <v>555</v>
      </c>
      <c r="C161" s="18" t="s">
        <v>556</v>
      </c>
      <c r="D161" s="18" t="s">
        <v>1229</v>
      </c>
      <c r="E161" s="18" t="s">
        <v>375</v>
      </c>
      <c r="F161" s="18" t="s">
        <v>374</v>
      </c>
      <c r="G161" s="18"/>
      <c r="H161" s="18" t="s">
        <v>557</v>
      </c>
      <c r="I161" s="18"/>
      <c r="J161" s="18"/>
      <c r="K161" s="18"/>
    </row>
    <row r="162" spans="1:14" x14ac:dyDescent="0.35">
      <c r="A162" t="s">
        <v>406</v>
      </c>
      <c r="B162" t="s">
        <v>123</v>
      </c>
      <c r="C162" t="s">
        <v>131</v>
      </c>
      <c r="D162" t="s">
        <v>1222</v>
      </c>
      <c r="E162" t="s">
        <v>11</v>
      </c>
      <c r="F162" t="s">
        <v>10</v>
      </c>
      <c r="G162" t="s">
        <v>21</v>
      </c>
      <c r="H162" t="s">
        <v>130</v>
      </c>
      <c r="I162" s="22" t="s">
        <v>947</v>
      </c>
      <c r="J162" s="22" t="s">
        <v>948</v>
      </c>
      <c r="K162" s="22" t="s">
        <v>950</v>
      </c>
      <c r="L162" t="s">
        <v>2523</v>
      </c>
      <c r="M162" t="s">
        <v>2259</v>
      </c>
      <c r="N162" t="s">
        <v>406</v>
      </c>
    </row>
    <row r="163" spans="1:14" x14ac:dyDescent="0.35">
      <c r="A163" t="s">
        <v>133</v>
      </c>
      <c r="B163" t="s">
        <v>133</v>
      </c>
      <c r="C163" t="s">
        <v>134</v>
      </c>
      <c r="D163" t="s">
        <v>1308</v>
      </c>
      <c r="E163" t="s">
        <v>11</v>
      </c>
      <c r="F163" t="s">
        <v>10</v>
      </c>
      <c r="G163" t="s">
        <v>23</v>
      </c>
      <c r="H163" t="s">
        <v>130</v>
      </c>
      <c r="I163" t="s">
        <v>1019</v>
      </c>
      <c r="K163" s="22" t="s">
        <v>1020</v>
      </c>
      <c r="L163" t="s">
        <v>2523</v>
      </c>
      <c r="M163" t="s">
        <v>2358</v>
      </c>
      <c r="N163" t="s">
        <v>133</v>
      </c>
    </row>
    <row r="164" spans="1:14" x14ac:dyDescent="0.35">
      <c r="A164" t="s">
        <v>730</v>
      </c>
      <c r="B164" t="s">
        <v>58</v>
      </c>
      <c r="C164" t="s">
        <v>61</v>
      </c>
      <c r="D164" t="s">
        <v>1438</v>
      </c>
      <c r="E164" t="s">
        <v>11</v>
      </c>
      <c r="F164" t="s">
        <v>10</v>
      </c>
      <c r="G164" t="s">
        <v>34</v>
      </c>
      <c r="H164" t="s">
        <v>16</v>
      </c>
      <c r="I164" t="s">
        <v>729</v>
      </c>
      <c r="J164" t="s">
        <v>720</v>
      </c>
      <c r="K164" t="s">
        <v>1486</v>
      </c>
      <c r="L164" t="s">
        <v>1485</v>
      </c>
      <c r="M164" t="s">
        <v>720</v>
      </c>
      <c r="N164" t="s">
        <v>720</v>
      </c>
    </row>
    <row r="165" spans="1:14" x14ac:dyDescent="0.35">
      <c r="A165" s="18" t="s">
        <v>514</v>
      </c>
      <c r="B165" s="18" t="s">
        <v>514</v>
      </c>
      <c r="C165" s="18" t="s">
        <v>515</v>
      </c>
      <c r="D165" s="18" t="s">
        <v>1365</v>
      </c>
      <c r="E165" s="18" t="s">
        <v>375</v>
      </c>
      <c r="F165" s="18" t="s">
        <v>374</v>
      </c>
      <c r="G165" s="18"/>
      <c r="H165" s="18" t="s">
        <v>509</v>
      </c>
      <c r="I165" s="18"/>
      <c r="J165" s="18"/>
      <c r="K165" s="18"/>
    </row>
    <row r="166" spans="1:14" x14ac:dyDescent="0.35">
      <c r="A166" s="18" t="s">
        <v>912</v>
      </c>
      <c r="B166" s="18" t="s">
        <v>486</v>
      </c>
      <c r="C166" s="18" t="s">
        <v>487</v>
      </c>
      <c r="D166" s="18" t="s">
        <v>1435</v>
      </c>
      <c r="E166" s="18" t="s">
        <v>375</v>
      </c>
      <c r="F166" s="18" t="s">
        <v>374</v>
      </c>
      <c r="G166" s="18"/>
      <c r="H166" s="18" t="s">
        <v>488</v>
      </c>
      <c r="I166" s="18"/>
      <c r="J166" s="18"/>
      <c r="K166" s="18"/>
    </row>
    <row r="167" spans="1:14" x14ac:dyDescent="0.35">
      <c r="A167" t="s">
        <v>155</v>
      </c>
      <c r="B167" t="s">
        <v>155</v>
      </c>
      <c r="C167" t="s">
        <v>158</v>
      </c>
      <c r="D167" t="s">
        <v>1152</v>
      </c>
      <c r="E167" t="s">
        <v>11</v>
      </c>
      <c r="F167" t="s">
        <v>10</v>
      </c>
      <c r="G167" t="s">
        <v>19</v>
      </c>
      <c r="H167" t="s">
        <v>157</v>
      </c>
      <c r="I167" t="s">
        <v>811</v>
      </c>
      <c r="J167" t="s">
        <v>2424</v>
      </c>
      <c r="K167" s="2" t="s">
        <v>815</v>
      </c>
      <c r="M167" t="s">
        <v>2398</v>
      </c>
      <c r="N167" t="s">
        <v>2399</v>
      </c>
    </row>
    <row r="168" spans="1:14" x14ac:dyDescent="0.35">
      <c r="A168" s="18" t="s">
        <v>14</v>
      </c>
      <c r="B168" s="18" t="s">
        <v>14</v>
      </c>
      <c r="C168" s="18" t="s">
        <v>461</v>
      </c>
      <c r="D168" s="18" t="s">
        <v>1134</v>
      </c>
      <c r="E168" s="18" t="s">
        <v>375</v>
      </c>
      <c r="F168" s="18" t="s">
        <v>374</v>
      </c>
      <c r="G168" s="18"/>
      <c r="H168" s="18" t="s">
        <v>462</v>
      </c>
      <c r="I168" s="18" t="s">
        <v>768</v>
      </c>
      <c r="J168" s="18" t="s">
        <v>1512</v>
      </c>
      <c r="K168" s="18" t="s">
        <v>1516</v>
      </c>
      <c r="L168" t="s">
        <v>2232</v>
      </c>
    </row>
    <row r="169" spans="1:14" x14ac:dyDescent="0.35">
      <c r="A169" t="s">
        <v>54</v>
      </c>
      <c r="B169" t="s">
        <v>54</v>
      </c>
      <c r="C169" t="s">
        <v>55</v>
      </c>
      <c r="D169" t="s">
        <v>1379</v>
      </c>
      <c r="E169" t="s">
        <v>11</v>
      </c>
      <c r="F169" t="s">
        <v>10</v>
      </c>
      <c r="G169" t="s">
        <v>19</v>
      </c>
      <c r="H169" t="s">
        <v>16</v>
      </c>
      <c r="I169" t="s">
        <v>1093</v>
      </c>
      <c r="J169" t="s">
        <v>1096</v>
      </c>
      <c r="K169" t="s">
        <v>1095</v>
      </c>
      <c r="L169" t="s">
        <v>2523</v>
      </c>
      <c r="M169" t="s">
        <v>2278</v>
      </c>
    </row>
    <row r="170" spans="1:14" x14ac:dyDescent="0.35">
      <c r="A170" t="s">
        <v>793</v>
      </c>
      <c r="B170" t="s">
        <v>128</v>
      </c>
      <c r="C170" t="s">
        <v>129</v>
      </c>
      <c r="D170" t="s">
        <v>1190</v>
      </c>
      <c r="E170" t="s">
        <v>11</v>
      </c>
      <c r="F170" t="s">
        <v>10</v>
      </c>
      <c r="G170" t="s">
        <v>19</v>
      </c>
      <c r="H170" t="s">
        <v>130</v>
      </c>
      <c r="I170" s="3" t="s">
        <v>743</v>
      </c>
      <c r="J170" t="s">
        <v>744</v>
      </c>
      <c r="K170" s="22" t="s">
        <v>2065</v>
      </c>
      <c r="M170" t="s">
        <v>2251</v>
      </c>
      <c r="N170" t="s">
        <v>2252</v>
      </c>
    </row>
    <row r="171" spans="1:14" x14ac:dyDescent="0.35">
      <c r="A171" t="s">
        <v>82</v>
      </c>
      <c r="B171" t="s">
        <v>82</v>
      </c>
      <c r="C171" t="s">
        <v>83</v>
      </c>
      <c r="D171" t="s">
        <v>1278</v>
      </c>
      <c r="E171" t="s">
        <v>11</v>
      </c>
      <c r="F171" t="s">
        <v>10</v>
      </c>
      <c r="G171" t="s">
        <v>19</v>
      </c>
      <c r="H171" t="s">
        <v>84</v>
      </c>
      <c r="I171" t="s">
        <v>990</v>
      </c>
      <c r="J171" t="s">
        <v>991</v>
      </c>
      <c r="K171" t="s">
        <v>992</v>
      </c>
      <c r="M171" t="s">
        <v>2263</v>
      </c>
      <c r="N171" t="s">
        <v>2264</v>
      </c>
    </row>
    <row r="172" spans="1:14" x14ac:dyDescent="0.35">
      <c r="A172" s="18"/>
      <c r="B172" s="18" t="s">
        <v>700</v>
      </c>
      <c r="C172" s="18" t="s">
        <v>701</v>
      </c>
      <c r="D172" s="18" t="s">
        <v>1181</v>
      </c>
      <c r="E172" s="18" t="s">
        <v>375</v>
      </c>
      <c r="F172" s="18" t="s">
        <v>374</v>
      </c>
      <c r="G172" s="18"/>
      <c r="H172" s="18" t="s">
        <v>699</v>
      </c>
      <c r="I172" s="18"/>
      <c r="J172" s="18"/>
      <c r="K172" s="18"/>
      <c r="L172" t="s">
        <v>707</v>
      </c>
      <c r="M172" t="s">
        <v>2246</v>
      </c>
      <c r="N172" t="s">
        <v>2247</v>
      </c>
    </row>
    <row r="173" spans="1:14" x14ac:dyDescent="0.35">
      <c r="A173" t="s">
        <v>39</v>
      </c>
      <c r="B173" t="s">
        <v>39</v>
      </c>
      <c r="C173" t="s">
        <v>78</v>
      </c>
      <c r="D173" t="s">
        <v>1321</v>
      </c>
      <c r="E173" t="s">
        <v>11</v>
      </c>
      <c r="F173" t="s">
        <v>10</v>
      </c>
      <c r="G173" t="s">
        <v>21</v>
      </c>
      <c r="H173" t="s">
        <v>64</v>
      </c>
      <c r="I173" t="s">
        <v>720</v>
      </c>
      <c r="J173" t="s">
        <v>720</v>
      </c>
      <c r="K173" t="s">
        <v>1036</v>
      </c>
      <c r="L173" t="s">
        <v>1033</v>
      </c>
      <c r="M173" t="s">
        <v>2411</v>
      </c>
    </row>
    <row r="174" spans="1:14" x14ac:dyDescent="0.35">
      <c r="A174" t="s">
        <v>228</v>
      </c>
      <c r="B174" t="s">
        <v>228</v>
      </c>
      <c r="C174" t="s">
        <v>229</v>
      </c>
      <c r="D174" t="s">
        <v>1410</v>
      </c>
      <c r="E174" t="s">
        <v>11</v>
      </c>
      <c r="F174" t="s">
        <v>10</v>
      </c>
      <c r="G174" t="s">
        <v>44</v>
      </c>
      <c r="H174" t="s">
        <v>230</v>
      </c>
      <c r="I174" t="s">
        <v>1106</v>
      </c>
      <c r="K174" t="s">
        <v>1107</v>
      </c>
      <c r="L174" t="s">
        <v>2523</v>
      </c>
      <c r="M174" t="s">
        <v>2391</v>
      </c>
      <c r="N174" t="s">
        <v>2392</v>
      </c>
    </row>
    <row r="175" spans="1:14" x14ac:dyDescent="0.35">
      <c r="A175" s="18"/>
      <c r="B175" s="18" t="s">
        <v>695</v>
      </c>
      <c r="C175" s="18" t="s">
        <v>696</v>
      </c>
      <c r="D175" s="18" t="s">
        <v>1174</v>
      </c>
      <c r="E175" s="18" t="s">
        <v>375</v>
      </c>
      <c r="F175" s="18" t="s">
        <v>374</v>
      </c>
      <c r="G175" s="18"/>
      <c r="H175" s="18" t="s">
        <v>693</v>
      </c>
      <c r="I175" s="18"/>
      <c r="J175" s="18"/>
      <c r="K175" s="18"/>
    </row>
    <row r="176" spans="1:14" x14ac:dyDescent="0.35">
      <c r="A176" s="18" t="s">
        <v>741</v>
      </c>
      <c r="B176" s="18" t="s">
        <v>516</v>
      </c>
      <c r="C176" s="18" t="s">
        <v>643</v>
      </c>
      <c r="D176" s="18" t="s">
        <v>1164</v>
      </c>
      <c r="E176" s="18" t="s">
        <v>375</v>
      </c>
      <c r="F176" s="18" t="s">
        <v>374</v>
      </c>
      <c r="G176" s="18"/>
      <c r="H176" s="18" t="s">
        <v>644</v>
      </c>
      <c r="I176" s="18" t="s">
        <v>742</v>
      </c>
      <c r="J176" s="18"/>
      <c r="K176" s="18"/>
    </row>
    <row r="177" spans="1:14" x14ac:dyDescent="0.35">
      <c r="A177" s="18" t="s">
        <v>911</v>
      </c>
      <c r="B177" s="18" t="s">
        <v>630</v>
      </c>
      <c r="C177" s="18" t="s">
        <v>631</v>
      </c>
      <c r="D177" s="18" t="s">
        <v>1433</v>
      </c>
      <c r="E177" s="18" t="s">
        <v>375</v>
      </c>
      <c r="F177" s="18" t="s">
        <v>374</v>
      </c>
      <c r="G177" s="18"/>
      <c r="H177" s="18" t="s">
        <v>627</v>
      </c>
      <c r="I177" s="18"/>
      <c r="J177" s="18"/>
      <c r="K177" s="18"/>
    </row>
    <row r="178" spans="1:14" x14ac:dyDescent="0.35">
      <c r="A178" s="18" t="s">
        <v>876</v>
      </c>
      <c r="B178" s="18" t="s">
        <v>520</v>
      </c>
      <c r="C178" s="18" t="s">
        <v>528</v>
      </c>
      <c r="D178" s="18" t="s">
        <v>1312</v>
      </c>
      <c r="E178" s="18" t="s">
        <v>375</v>
      </c>
      <c r="F178" s="18" t="s">
        <v>374</v>
      </c>
      <c r="G178" s="18"/>
      <c r="H178" s="18" t="s">
        <v>529</v>
      </c>
      <c r="I178" s="18"/>
      <c r="J178" s="18"/>
      <c r="K178" s="18"/>
    </row>
    <row r="179" spans="1:14" x14ac:dyDescent="0.35">
      <c r="A179" t="s">
        <v>755</v>
      </c>
      <c r="B179" t="s">
        <v>75</v>
      </c>
      <c r="C179" t="s">
        <v>85</v>
      </c>
      <c r="D179" t="s">
        <v>1315</v>
      </c>
      <c r="E179" t="s">
        <v>11</v>
      </c>
      <c r="F179" t="s">
        <v>10</v>
      </c>
      <c r="G179" t="s">
        <v>23</v>
      </c>
      <c r="H179" t="s">
        <v>84</v>
      </c>
      <c r="I179" s="2" t="s">
        <v>762</v>
      </c>
      <c r="J179" t="s">
        <v>1022</v>
      </c>
      <c r="K179" t="s">
        <v>1024</v>
      </c>
      <c r="M179" t="s">
        <v>2269</v>
      </c>
    </row>
    <row r="180" spans="1:14" x14ac:dyDescent="0.35">
      <c r="A180" t="s">
        <v>717</v>
      </c>
      <c r="B180" t="s">
        <v>79</v>
      </c>
      <c r="C180" t="s">
        <v>80</v>
      </c>
      <c r="D180" t="s">
        <v>1268</v>
      </c>
      <c r="E180" t="s">
        <v>11</v>
      </c>
      <c r="F180" t="s">
        <v>10</v>
      </c>
      <c r="G180" t="s">
        <v>19</v>
      </c>
      <c r="H180" t="s">
        <v>81</v>
      </c>
      <c r="I180" s="2" t="s">
        <v>980</v>
      </c>
      <c r="J180" t="s">
        <v>707</v>
      </c>
      <c r="K180" t="s">
        <v>983</v>
      </c>
      <c r="M180" t="s">
        <v>2405</v>
      </c>
    </row>
    <row r="181" spans="1:14" x14ac:dyDescent="0.35">
      <c r="A181" t="s">
        <v>715</v>
      </c>
      <c r="B181" t="s">
        <v>142</v>
      </c>
      <c r="C181" t="s">
        <v>184</v>
      </c>
      <c r="D181" t="s">
        <v>1246</v>
      </c>
      <c r="E181" t="s">
        <v>11</v>
      </c>
      <c r="F181" t="s">
        <v>10</v>
      </c>
      <c r="G181" t="s">
        <v>13</v>
      </c>
      <c r="H181" t="s">
        <v>185</v>
      </c>
      <c r="I181" t="s">
        <v>962</v>
      </c>
      <c r="J181" t="s">
        <v>963</v>
      </c>
      <c r="K181" t="s">
        <v>964</v>
      </c>
      <c r="M181" t="s">
        <v>2285</v>
      </c>
      <c r="N181" t="s">
        <v>142</v>
      </c>
    </row>
    <row r="182" spans="1:14" x14ac:dyDescent="0.35">
      <c r="A182" s="18" t="s">
        <v>879</v>
      </c>
      <c r="B182" s="18" t="s">
        <v>589</v>
      </c>
      <c r="C182" s="18" t="s">
        <v>590</v>
      </c>
      <c r="D182" s="18" t="s">
        <v>1327</v>
      </c>
      <c r="E182" s="18" t="s">
        <v>375</v>
      </c>
      <c r="F182" s="18" t="s">
        <v>374</v>
      </c>
      <c r="G182" s="18"/>
      <c r="H182" s="18" t="s">
        <v>591</v>
      </c>
      <c r="I182" s="18"/>
      <c r="J182" s="18"/>
      <c r="K182" s="18"/>
    </row>
    <row r="183" spans="1:14" x14ac:dyDescent="0.35">
      <c r="A183" s="18" t="s">
        <v>382</v>
      </c>
      <c r="B183" s="18" t="s">
        <v>382</v>
      </c>
      <c r="C183" s="18" t="s">
        <v>385</v>
      </c>
      <c r="D183" s="18" t="s">
        <v>1233</v>
      </c>
      <c r="E183" s="18" t="s">
        <v>375</v>
      </c>
      <c r="F183" s="18" t="s">
        <v>374</v>
      </c>
      <c r="G183" s="18"/>
      <c r="H183" s="18" t="s">
        <v>384</v>
      </c>
      <c r="I183" s="18"/>
      <c r="J183" s="18"/>
      <c r="K183" s="18"/>
    </row>
    <row r="184" spans="1:14" x14ac:dyDescent="0.35">
      <c r="A184" t="s">
        <v>868</v>
      </c>
      <c r="B184" t="s">
        <v>175</v>
      </c>
      <c r="C184" t="s">
        <v>176</v>
      </c>
      <c r="D184" t="s">
        <v>1299</v>
      </c>
      <c r="E184" t="s">
        <v>11</v>
      </c>
      <c r="F184" t="s">
        <v>10</v>
      </c>
      <c r="G184" t="s">
        <v>13</v>
      </c>
      <c r="H184" t="s">
        <v>177</v>
      </c>
      <c r="I184" t="s">
        <v>1003</v>
      </c>
      <c r="J184" t="s">
        <v>1005</v>
      </c>
      <c r="K184" t="s">
        <v>1006</v>
      </c>
      <c r="M184" t="s">
        <v>2408</v>
      </c>
      <c r="N184" t="s">
        <v>2338</v>
      </c>
    </row>
    <row r="185" spans="1:14" x14ac:dyDescent="0.35">
      <c r="A185" t="s">
        <v>325</v>
      </c>
      <c r="B185" t="s">
        <v>325</v>
      </c>
      <c r="C185" t="s">
        <v>326</v>
      </c>
      <c r="D185" t="s">
        <v>1298</v>
      </c>
      <c r="E185" t="s">
        <v>233</v>
      </c>
      <c r="F185" t="s">
        <v>10</v>
      </c>
      <c r="G185" t="s">
        <v>2554</v>
      </c>
      <c r="H185" t="s">
        <v>327</v>
      </c>
      <c r="I185" t="s">
        <v>1003</v>
      </c>
      <c r="J185" s="22" t="s">
        <v>1005</v>
      </c>
      <c r="K185" s="22" t="s">
        <v>1006</v>
      </c>
      <c r="M185" t="s">
        <v>2339</v>
      </c>
      <c r="N185" t="s">
        <v>2338</v>
      </c>
    </row>
    <row r="186" spans="1:14" x14ac:dyDescent="0.35">
      <c r="A186" t="s">
        <v>896</v>
      </c>
      <c r="B186" t="s">
        <v>172</v>
      </c>
      <c r="C186" t="s">
        <v>173</v>
      </c>
      <c r="D186" t="s">
        <v>1366</v>
      </c>
      <c r="E186" t="s">
        <v>11</v>
      </c>
      <c r="F186" t="s">
        <v>10</v>
      </c>
      <c r="G186" t="s">
        <v>17</v>
      </c>
      <c r="H186" t="s">
        <v>174</v>
      </c>
      <c r="I186" s="22" t="s">
        <v>1078</v>
      </c>
      <c r="J186" s="22" t="s">
        <v>2364</v>
      </c>
      <c r="K186" t="s">
        <v>1080</v>
      </c>
      <c r="M186" t="s">
        <v>2365</v>
      </c>
    </row>
    <row r="187" spans="1:14" x14ac:dyDescent="0.35">
      <c r="A187" s="18" t="s">
        <v>882</v>
      </c>
      <c r="B187" s="18" t="s">
        <v>392</v>
      </c>
      <c r="C187" s="18" t="s">
        <v>393</v>
      </c>
      <c r="D187" s="18" t="s">
        <v>1331</v>
      </c>
      <c r="E187" s="18" t="s">
        <v>375</v>
      </c>
      <c r="F187" s="18" t="s">
        <v>374</v>
      </c>
      <c r="G187" s="18"/>
      <c r="H187" s="18" t="s">
        <v>394</v>
      </c>
      <c r="I187" s="18"/>
      <c r="J187" s="18"/>
      <c r="K187" s="18"/>
    </row>
    <row r="188" spans="1:14" x14ac:dyDescent="0.35">
      <c r="A188" t="s">
        <v>406</v>
      </c>
      <c r="B188" t="s">
        <v>123</v>
      </c>
      <c r="C188" t="s">
        <v>124</v>
      </c>
      <c r="D188" t="s">
        <v>1223</v>
      </c>
      <c r="E188" t="s">
        <v>11</v>
      </c>
      <c r="F188" t="s">
        <v>10</v>
      </c>
      <c r="G188" t="s">
        <v>44</v>
      </c>
      <c r="H188" t="s">
        <v>125</v>
      </c>
      <c r="I188" s="22" t="s">
        <v>947</v>
      </c>
      <c r="J188" s="22" t="s">
        <v>949</v>
      </c>
      <c r="L188" t="s">
        <v>2523</v>
      </c>
      <c r="M188" t="s">
        <v>2259</v>
      </c>
      <c r="N188" t="s">
        <v>406</v>
      </c>
    </row>
    <row r="189" spans="1:14" x14ac:dyDescent="0.35">
      <c r="A189" t="s">
        <v>753</v>
      </c>
      <c r="B189" t="s">
        <v>197</v>
      </c>
      <c r="C189" t="s">
        <v>198</v>
      </c>
      <c r="D189" t="s">
        <v>1188</v>
      </c>
      <c r="E189" t="s">
        <v>11</v>
      </c>
      <c r="F189" t="s">
        <v>10</v>
      </c>
      <c r="G189" t="s">
        <v>23</v>
      </c>
      <c r="H189" t="s">
        <v>199</v>
      </c>
      <c r="I189" s="2" t="s">
        <v>752</v>
      </c>
      <c r="J189" t="s">
        <v>707</v>
      </c>
      <c r="K189" s="22" t="s">
        <v>835</v>
      </c>
      <c r="M189" t="s">
        <v>2250</v>
      </c>
      <c r="N189" t="s">
        <v>753</v>
      </c>
    </row>
    <row r="190" spans="1:14" x14ac:dyDescent="0.35">
      <c r="A190" s="18" t="s">
        <v>715</v>
      </c>
      <c r="B190" s="18" t="s">
        <v>142</v>
      </c>
      <c r="C190" s="18" t="s">
        <v>574</v>
      </c>
      <c r="D190" s="18" t="s">
        <v>1255</v>
      </c>
      <c r="E190" s="18" t="s">
        <v>375</v>
      </c>
      <c r="F190" s="18" t="s">
        <v>374</v>
      </c>
      <c r="G190" s="18"/>
      <c r="H190" s="18" t="s">
        <v>575</v>
      </c>
      <c r="I190" s="18"/>
      <c r="J190" s="18"/>
      <c r="K190" s="18" t="s">
        <v>707</v>
      </c>
      <c r="M190" t="s">
        <v>2285</v>
      </c>
      <c r="N190" t="s">
        <v>142</v>
      </c>
    </row>
    <row r="191" spans="1:14" x14ac:dyDescent="0.35">
      <c r="A191" s="18" t="s">
        <v>380</v>
      </c>
      <c r="B191" s="18" t="s">
        <v>380</v>
      </c>
      <c r="C191" s="18" t="s">
        <v>381</v>
      </c>
      <c r="D191" s="18" t="s">
        <v>1290</v>
      </c>
      <c r="E191" s="18" t="s">
        <v>375</v>
      </c>
      <c r="F191" s="18" t="s">
        <v>374</v>
      </c>
      <c r="G191" s="18"/>
      <c r="H191" s="18" t="s">
        <v>379</v>
      </c>
      <c r="I191" s="18"/>
      <c r="J191" s="18"/>
      <c r="K191" s="18"/>
    </row>
    <row r="192" spans="1:14" x14ac:dyDescent="0.35">
      <c r="A192" s="18" t="s">
        <v>904</v>
      </c>
      <c r="B192" s="18" t="s">
        <v>398</v>
      </c>
      <c r="C192" s="18" t="s">
        <v>399</v>
      </c>
      <c r="D192" s="18" t="s">
        <v>1387</v>
      </c>
      <c r="E192" s="18" t="s">
        <v>375</v>
      </c>
      <c r="F192" s="18" t="s">
        <v>374</v>
      </c>
      <c r="G192" s="18"/>
      <c r="H192" s="18" t="s">
        <v>397</v>
      </c>
      <c r="I192" s="18"/>
      <c r="J192" s="18"/>
      <c r="K192" s="18"/>
    </row>
    <row r="193" spans="1:14" x14ac:dyDescent="0.35">
      <c r="A193" t="s">
        <v>328</v>
      </c>
      <c r="B193" t="s">
        <v>328</v>
      </c>
      <c r="C193" t="s">
        <v>329</v>
      </c>
      <c r="D193" t="s">
        <v>1362</v>
      </c>
      <c r="E193" t="s">
        <v>233</v>
      </c>
      <c r="F193" t="s">
        <v>10</v>
      </c>
      <c r="G193" t="s">
        <v>274</v>
      </c>
      <c r="H193" t="s">
        <v>64</v>
      </c>
      <c r="I193" t="s">
        <v>1075</v>
      </c>
      <c r="J193" t="s">
        <v>1076</v>
      </c>
      <c r="K193" t="s">
        <v>707</v>
      </c>
    </row>
    <row r="194" spans="1:14" x14ac:dyDescent="0.35">
      <c r="A194" t="s">
        <v>330</v>
      </c>
      <c r="B194" t="s">
        <v>330</v>
      </c>
      <c r="C194" t="s">
        <v>331</v>
      </c>
      <c r="D194" t="s">
        <v>1303</v>
      </c>
      <c r="E194" t="s">
        <v>233</v>
      </c>
      <c r="F194" t="s">
        <v>10</v>
      </c>
      <c r="G194" t="s">
        <v>274</v>
      </c>
      <c r="H194" t="s">
        <v>332</v>
      </c>
      <c r="I194" t="s">
        <v>2352</v>
      </c>
      <c r="J194" t="s">
        <v>707</v>
      </c>
      <c r="K194" t="s">
        <v>707</v>
      </c>
      <c r="M194" t="s">
        <v>709</v>
      </c>
      <c r="N194" t="s">
        <v>709</v>
      </c>
    </row>
    <row r="195" spans="1:14" x14ac:dyDescent="0.35">
      <c r="A195" s="18" t="s">
        <v>851</v>
      </c>
      <c r="B195" s="18" t="s">
        <v>525</v>
      </c>
      <c r="C195" s="18" t="s">
        <v>526</v>
      </c>
      <c r="D195" s="18" t="s">
        <v>1236</v>
      </c>
      <c r="E195" s="18" t="s">
        <v>375</v>
      </c>
      <c r="F195" s="18" t="s">
        <v>374</v>
      </c>
      <c r="G195" s="18"/>
      <c r="H195" s="18" t="s">
        <v>527</v>
      </c>
      <c r="I195" s="18"/>
      <c r="J195" s="18"/>
      <c r="K195" s="18"/>
    </row>
    <row r="196" spans="1:14" x14ac:dyDescent="0.35">
      <c r="A196" s="18" t="s">
        <v>846</v>
      </c>
      <c r="B196" s="18" t="s">
        <v>663</v>
      </c>
      <c r="C196" s="18" t="s">
        <v>664</v>
      </c>
      <c r="D196" s="18" t="s">
        <v>1228</v>
      </c>
      <c r="E196" s="18" t="s">
        <v>375</v>
      </c>
      <c r="F196" s="18" t="s">
        <v>374</v>
      </c>
      <c r="G196" s="18"/>
      <c r="H196" s="18" t="s">
        <v>210</v>
      </c>
      <c r="I196" s="18"/>
      <c r="J196" s="18"/>
      <c r="K196" s="18"/>
    </row>
    <row r="197" spans="1:14" x14ac:dyDescent="0.35">
      <c r="A197" s="18" t="s">
        <v>888</v>
      </c>
      <c r="B197" s="18" t="s">
        <v>681</v>
      </c>
      <c r="C197" s="18" t="s">
        <v>682</v>
      </c>
      <c r="D197" s="18" t="s">
        <v>1337</v>
      </c>
      <c r="E197" s="18" t="s">
        <v>375</v>
      </c>
      <c r="F197" s="18" t="s">
        <v>374</v>
      </c>
      <c r="G197" s="18"/>
      <c r="H197" s="18" t="s">
        <v>683</v>
      </c>
      <c r="I197" s="18"/>
      <c r="J197" s="18"/>
      <c r="K197" s="18"/>
    </row>
    <row r="198" spans="1:14" x14ac:dyDescent="0.35">
      <c r="A198" t="s">
        <v>870</v>
      </c>
      <c r="B198" t="s">
        <v>35</v>
      </c>
      <c r="C198" t="s">
        <v>36</v>
      </c>
      <c r="D198" t="s">
        <v>1301</v>
      </c>
      <c r="E198" t="s">
        <v>11</v>
      </c>
      <c r="F198" t="s">
        <v>10</v>
      </c>
      <c r="G198" t="s">
        <v>19</v>
      </c>
      <c r="H198" t="s">
        <v>16</v>
      </c>
      <c r="I198" t="s">
        <v>1007</v>
      </c>
      <c r="J198" s="22" t="s">
        <v>1008</v>
      </c>
      <c r="K198" s="22" t="s">
        <v>1009</v>
      </c>
      <c r="L198" t="s">
        <v>2523</v>
      </c>
      <c r="M198" t="s">
        <v>2351</v>
      </c>
    </row>
    <row r="199" spans="1:14" x14ac:dyDescent="0.35">
      <c r="A199" t="s">
        <v>39</v>
      </c>
      <c r="B199" t="s">
        <v>39</v>
      </c>
      <c r="C199" t="s">
        <v>45</v>
      </c>
      <c r="D199" t="s">
        <v>1318</v>
      </c>
      <c r="E199" t="s">
        <v>11</v>
      </c>
      <c r="F199" t="s">
        <v>10</v>
      </c>
      <c r="G199" t="s">
        <v>44</v>
      </c>
      <c r="H199" t="s">
        <v>16</v>
      </c>
      <c r="I199" t="s">
        <v>1030</v>
      </c>
      <c r="J199" t="s">
        <v>1026</v>
      </c>
      <c r="K199" t="s">
        <v>1034</v>
      </c>
      <c r="L199" t="s">
        <v>2409</v>
      </c>
      <c r="M199" t="s">
        <v>2412</v>
      </c>
    </row>
    <row r="200" spans="1:14" x14ac:dyDescent="0.35">
      <c r="A200" t="s">
        <v>719</v>
      </c>
      <c r="B200" t="s">
        <v>178</v>
      </c>
      <c r="C200" t="s">
        <v>333</v>
      </c>
      <c r="D200" t="s">
        <v>1426</v>
      </c>
      <c r="E200" t="s">
        <v>233</v>
      </c>
      <c r="F200" t="s">
        <v>10</v>
      </c>
      <c r="G200" t="s">
        <v>44</v>
      </c>
      <c r="H200" t="s">
        <v>334</v>
      </c>
      <c r="I200" t="s">
        <v>1472</v>
      </c>
      <c r="J200" t="s">
        <v>1474</v>
      </c>
      <c r="K200" t="s">
        <v>707</v>
      </c>
    </row>
    <row r="201" spans="1:14" x14ac:dyDescent="0.35">
      <c r="A201" t="s">
        <v>208</v>
      </c>
      <c r="B201" t="s">
        <v>208</v>
      </c>
      <c r="C201" t="s">
        <v>335</v>
      </c>
      <c r="D201" t="s">
        <v>1178</v>
      </c>
      <c r="E201" t="s">
        <v>233</v>
      </c>
      <c r="F201" t="s">
        <v>10</v>
      </c>
      <c r="G201" t="s">
        <v>337</v>
      </c>
      <c r="H201" t="s">
        <v>336</v>
      </c>
      <c r="I201" t="s">
        <v>770</v>
      </c>
      <c r="J201" t="s">
        <v>1532</v>
      </c>
      <c r="K201" t="s">
        <v>707</v>
      </c>
      <c r="L201" t="s">
        <v>707</v>
      </c>
      <c r="M201" t="s">
        <v>2248</v>
      </c>
      <c r="N201" t="s">
        <v>2247</v>
      </c>
    </row>
    <row r="202" spans="1:14" x14ac:dyDescent="0.35">
      <c r="A202" t="s">
        <v>155</v>
      </c>
      <c r="B202" t="s">
        <v>338</v>
      </c>
      <c r="C202" t="s">
        <v>339</v>
      </c>
      <c r="D202" t="s">
        <v>1157</v>
      </c>
      <c r="E202" t="s">
        <v>233</v>
      </c>
      <c r="F202" t="s">
        <v>10</v>
      </c>
      <c r="G202" t="s">
        <v>341</v>
      </c>
      <c r="H202" t="s">
        <v>340</v>
      </c>
      <c r="I202" t="s">
        <v>769</v>
      </c>
      <c r="J202" t="s">
        <v>2424</v>
      </c>
      <c r="K202" t="s">
        <v>707</v>
      </c>
    </row>
    <row r="203" spans="1:14" x14ac:dyDescent="0.35">
      <c r="A203" s="18" t="s">
        <v>884</v>
      </c>
      <c r="B203" s="18" t="s">
        <v>697</v>
      </c>
      <c r="C203" s="18" t="s">
        <v>698</v>
      </c>
      <c r="D203" s="18" t="s">
        <v>1333</v>
      </c>
      <c r="E203" s="18" t="s">
        <v>375</v>
      </c>
      <c r="F203" s="18" t="s">
        <v>374</v>
      </c>
      <c r="G203" s="18"/>
      <c r="H203" s="18" t="s">
        <v>693</v>
      </c>
      <c r="I203" s="18"/>
      <c r="J203" s="18"/>
      <c r="K203" s="18"/>
    </row>
    <row r="204" spans="1:14" x14ac:dyDescent="0.35">
      <c r="A204" s="18"/>
      <c r="B204" s="18" t="s">
        <v>503</v>
      </c>
      <c r="C204" s="18" t="s">
        <v>504</v>
      </c>
      <c r="D204" s="18" t="s">
        <v>1160</v>
      </c>
      <c r="E204" s="18" t="s">
        <v>375</v>
      </c>
      <c r="F204" s="18" t="s">
        <v>374</v>
      </c>
      <c r="G204" s="18"/>
      <c r="H204" s="18" t="s">
        <v>498</v>
      </c>
      <c r="I204" s="18"/>
      <c r="J204" s="18"/>
      <c r="K204" s="18"/>
    </row>
    <row r="205" spans="1:14" x14ac:dyDescent="0.35">
      <c r="A205" s="18" t="s">
        <v>8</v>
      </c>
      <c r="B205" s="18" t="s">
        <v>8</v>
      </c>
      <c r="C205" s="18" t="s">
        <v>463</v>
      </c>
      <c r="D205" s="18" t="s">
        <v>1265</v>
      </c>
      <c r="E205" s="18" t="s">
        <v>375</v>
      </c>
      <c r="F205" s="18" t="s">
        <v>374</v>
      </c>
      <c r="G205" s="18"/>
      <c r="H205" s="18" t="s">
        <v>462</v>
      </c>
      <c r="I205" s="18" t="s">
        <v>722</v>
      </c>
      <c r="J205" s="18" t="s">
        <v>974</v>
      </c>
      <c r="K205" s="18" t="s">
        <v>976</v>
      </c>
    </row>
    <row r="206" spans="1:14" x14ac:dyDescent="0.35">
      <c r="A206" t="s">
        <v>715</v>
      </c>
      <c r="B206" t="s">
        <v>142</v>
      </c>
      <c r="C206" t="s">
        <v>200</v>
      </c>
      <c r="D206" t="s">
        <v>1245</v>
      </c>
      <c r="E206" t="s">
        <v>11</v>
      </c>
      <c r="F206" t="s">
        <v>10</v>
      </c>
      <c r="G206" t="s">
        <v>21</v>
      </c>
      <c r="H206" t="s">
        <v>201</v>
      </c>
      <c r="I206" t="s">
        <v>962</v>
      </c>
      <c r="J206" t="s">
        <v>968</v>
      </c>
      <c r="K206" s="22" t="s">
        <v>969</v>
      </c>
      <c r="M206" t="s">
        <v>2285</v>
      </c>
      <c r="N206" t="s">
        <v>142</v>
      </c>
    </row>
    <row r="207" spans="1:14" x14ac:dyDescent="0.35">
      <c r="A207" s="18" t="s">
        <v>717</v>
      </c>
      <c r="B207" s="18" t="s">
        <v>79</v>
      </c>
      <c r="C207" s="18" t="s">
        <v>411</v>
      </c>
      <c r="D207" s="18" t="s">
        <v>1271</v>
      </c>
      <c r="E207" s="18" t="s">
        <v>375</v>
      </c>
      <c r="F207" s="18" t="s">
        <v>374</v>
      </c>
      <c r="G207" s="18"/>
      <c r="H207" s="18" t="s">
        <v>412</v>
      </c>
      <c r="I207" s="18" t="s">
        <v>980</v>
      </c>
      <c r="J207" s="18" t="s">
        <v>707</v>
      </c>
      <c r="K207" s="18"/>
    </row>
    <row r="208" spans="1:14" x14ac:dyDescent="0.35">
      <c r="A208" s="18" t="s">
        <v>505</v>
      </c>
      <c r="B208" s="18" t="s">
        <v>505</v>
      </c>
      <c r="C208" s="18" t="s">
        <v>506</v>
      </c>
      <c r="D208" s="18" t="s">
        <v>1434</v>
      </c>
      <c r="E208" s="18" t="s">
        <v>375</v>
      </c>
      <c r="F208" s="18" t="s">
        <v>374</v>
      </c>
      <c r="G208" s="18"/>
      <c r="H208" s="18" t="s">
        <v>498</v>
      </c>
      <c r="I208" s="18"/>
      <c r="J208" s="18"/>
      <c r="K208" s="18"/>
    </row>
    <row r="209" spans="1:14" x14ac:dyDescent="0.35">
      <c r="A209" t="s">
        <v>755</v>
      </c>
      <c r="B209" t="s">
        <v>75</v>
      </c>
      <c r="C209" t="s">
        <v>76</v>
      </c>
      <c r="D209" t="s">
        <v>1314</v>
      </c>
      <c r="E209" t="s">
        <v>11</v>
      </c>
      <c r="F209" t="s">
        <v>10</v>
      </c>
      <c r="G209" t="s">
        <v>13</v>
      </c>
      <c r="H209" t="s">
        <v>64</v>
      </c>
      <c r="I209" t="s">
        <v>762</v>
      </c>
      <c r="J209" t="s">
        <v>1021</v>
      </c>
      <c r="K209" t="s">
        <v>1023</v>
      </c>
      <c r="M209" t="s">
        <v>2269</v>
      </c>
    </row>
    <row r="210" spans="1:14" x14ac:dyDescent="0.35">
      <c r="A210" s="18" t="s">
        <v>634</v>
      </c>
      <c r="B210" s="18" t="s">
        <v>634</v>
      </c>
      <c r="C210" s="18" t="s">
        <v>635</v>
      </c>
      <c r="D210" s="18" t="s">
        <v>1416</v>
      </c>
      <c r="E210" s="18" t="s">
        <v>375</v>
      </c>
      <c r="F210" s="18" t="s">
        <v>374</v>
      </c>
      <c r="G210" s="18"/>
      <c r="H210" s="18" t="s">
        <v>627</v>
      </c>
      <c r="I210" s="18"/>
      <c r="J210" s="18"/>
      <c r="K210" s="18"/>
    </row>
    <row r="211" spans="1:14" x14ac:dyDescent="0.35">
      <c r="A211" s="18" t="s">
        <v>632</v>
      </c>
      <c r="B211" s="18" t="s">
        <v>632</v>
      </c>
      <c r="C211" s="18" t="s">
        <v>633</v>
      </c>
      <c r="D211" s="18" t="s">
        <v>1364</v>
      </c>
      <c r="E211" s="18" t="s">
        <v>375</v>
      </c>
      <c r="F211" s="18" t="s">
        <v>374</v>
      </c>
      <c r="G211" s="18"/>
      <c r="H211" s="18" t="s">
        <v>627</v>
      </c>
      <c r="I211" s="18"/>
      <c r="J211" s="18"/>
      <c r="K211" s="18"/>
    </row>
    <row r="212" spans="1:14" x14ac:dyDescent="0.35">
      <c r="A212" s="18" t="s">
        <v>913</v>
      </c>
      <c r="B212" s="18" t="s">
        <v>539</v>
      </c>
      <c r="C212" s="18" t="s">
        <v>540</v>
      </c>
      <c r="D212" s="18" t="s">
        <v>1440</v>
      </c>
      <c r="E212" s="18" t="s">
        <v>375</v>
      </c>
      <c r="F212" s="18" t="s">
        <v>374</v>
      </c>
      <c r="G212" s="18"/>
      <c r="H212" s="18" t="s">
        <v>536</v>
      </c>
      <c r="I212" s="18"/>
      <c r="J212" s="18"/>
      <c r="K212" s="18"/>
    </row>
    <row r="213" spans="1:14" x14ac:dyDescent="0.35">
      <c r="A213" t="s">
        <v>39</v>
      </c>
      <c r="B213" t="s">
        <v>39</v>
      </c>
      <c r="C213" t="s">
        <v>86</v>
      </c>
      <c r="D213" t="s">
        <v>1322</v>
      </c>
      <c r="E213" t="s">
        <v>11</v>
      </c>
      <c r="F213" t="s">
        <v>10</v>
      </c>
      <c r="G213" t="s">
        <v>19</v>
      </c>
      <c r="H213" t="s">
        <v>84</v>
      </c>
      <c r="I213" t="s">
        <v>1030</v>
      </c>
      <c r="J213" t="s">
        <v>1027</v>
      </c>
      <c r="K213" s="22" t="s">
        <v>1037</v>
      </c>
      <c r="M213" t="s">
        <v>2271</v>
      </c>
    </row>
    <row r="214" spans="1:14" x14ac:dyDescent="0.35">
      <c r="A214" t="s">
        <v>798</v>
      </c>
      <c r="B214" t="s">
        <v>70</v>
      </c>
      <c r="C214" t="s">
        <v>71</v>
      </c>
      <c r="D214" t="s">
        <v>1215</v>
      </c>
      <c r="E214" t="s">
        <v>11</v>
      </c>
      <c r="F214" t="s">
        <v>10</v>
      </c>
      <c r="G214" t="s">
        <v>13</v>
      </c>
      <c r="H214" t="s">
        <v>64</v>
      </c>
      <c r="I214" t="s">
        <v>800</v>
      </c>
      <c r="J214" t="s">
        <v>940</v>
      </c>
      <c r="K214" t="s">
        <v>941</v>
      </c>
      <c r="M214" t="s">
        <v>2258</v>
      </c>
      <c r="N214" t="s">
        <v>30</v>
      </c>
    </row>
    <row r="215" spans="1:14" x14ac:dyDescent="0.35">
      <c r="A215" s="18" t="s">
        <v>853</v>
      </c>
      <c r="B215" s="18" t="s">
        <v>636</v>
      </c>
      <c r="C215" s="18" t="s">
        <v>637</v>
      </c>
      <c r="D215" s="18" t="s">
        <v>1239</v>
      </c>
      <c r="E215" s="18" t="s">
        <v>375</v>
      </c>
      <c r="F215" s="18" t="s">
        <v>374</v>
      </c>
      <c r="G215" s="18"/>
      <c r="H215" s="18" t="s">
        <v>627</v>
      </c>
      <c r="I215" s="18"/>
      <c r="J215" s="18"/>
      <c r="K215" s="18"/>
    </row>
    <row r="216" spans="1:14" ht="29" x14ac:dyDescent="0.35">
      <c r="A216" t="s">
        <v>153</v>
      </c>
      <c r="B216" t="s">
        <v>153</v>
      </c>
      <c r="C216" t="s">
        <v>154</v>
      </c>
      <c r="D216" t="s">
        <v>1382</v>
      </c>
      <c r="E216" t="s">
        <v>11</v>
      </c>
      <c r="F216" t="s">
        <v>10</v>
      </c>
      <c r="G216" t="s">
        <v>23</v>
      </c>
      <c r="H216" t="s">
        <v>147</v>
      </c>
      <c r="I216" s="3" t="s">
        <v>1452</v>
      </c>
      <c r="J216" s="30" t="s">
        <v>1451</v>
      </c>
      <c r="K216" s="17" t="s">
        <v>1450</v>
      </c>
      <c r="L216" t="s">
        <v>2523</v>
      </c>
      <c r="M216" t="s">
        <v>2279</v>
      </c>
    </row>
    <row r="217" spans="1:14" x14ac:dyDescent="0.35">
      <c r="A217" s="18" t="s">
        <v>894</v>
      </c>
      <c r="B217" s="18" t="s">
        <v>440</v>
      </c>
      <c r="C217" s="18" t="s">
        <v>441</v>
      </c>
      <c r="D217" s="18" t="s">
        <v>1361</v>
      </c>
      <c r="E217" s="18" t="s">
        <v>375</v>
      </c>
      <c r="F217" s="18" t="s">
        <v>374</v>
      </c>
      <c r="G217" s="18"/>
      <c r="H217" s="18" t="s">
        <v>442</v>
      </c>
      <c r="I217" s="18"/>
      <c r="J217" s="18"/>
      <c r="K217" s="18"/>
    </row>
    <row r="218" spans="1:14" x14ac:dyDescent="0.35">
      <c r="A218" t="s">
        <v>718</v>
      </c>
      <c r="B218" t="s">
        <v>151</v>
      </c>
      <c r="C218" t="s">
        <v>345</v>
      </c>
      <c r="D218" t="s">
        <v>1355</v>
      </c>
      <c r="E218" t="s">
        <v>233</v>
      </c>
      <c r="F218" t="s">
        <v>10</v>
      </c>
      <c r="G218" t="s">
        <v>255</v>
      </c>
      <c r="H218" t="s">
        <v>346</v>
      </c>
      <c r="I218" t="s">
        <v>1055</v>
      </c>
      <c r="J218" t="s">
        <v>1065</v>
      </c>
      <c r="M218" t="s">
        <v>2289</v>
      </c>
    </row>
    <row r="219" spans="1:14" x14ac:dyDescent="0.35">
      <c r="A219" s="18" t="s">
        <v>877</v>
      </c>
      <c r="B219" s="18" t="s">
        <v>600</v>
      </c>
      <c r="C219" s="18" t="s">
        <v>601</v>
      </c>
      <c r="D219" s="18" t="s">
        <v>1313</v>
      </c>
      <c r="E219" s="18" t="s">
        <v>375</v>
      </c>
      <c r="F219" s="18" t="s">
        <v>374</v>
      </c>
      <c r="G219" s="18"/>
      <c r="H219" s="18" t="s">
        <v>602</v>
      </c>
      <c r="I219" s="18"/>
      <c r="J219" s="18"/>
      <c r="K219" s="18"/>
    </row>
    <row r="220" spans="1:14" x14ac:dyDescent="0.35">
      <c r="A220" s="18" t="s">
        <v>878</v>
      </c>
      <c r="B220" s="18" t="s">
        <v>665</v>
      </c>
      <c r="C220" s="18" t="s">
        <v>666</v>
      </c>
      <c r="D220" s="18" t="s">
        <v>1326</v>
      </c>
      <c r="E220" s="18" t="s">
        <v>375</v>
      </c>
      <c r="F220" s="18" t="s">
        <v>374</v>
      </c>
      <c r="G220" s="18"/>
      <c r="H220" s="18" t="s">
        <v>210</v>
      </c>
      <c r="I220" s="18"/>
      <c r="J220" s="18"/>
      <c r="K220" s="18"/>
    </row>
    <row r="221" spans="1:14" x14ac:dyDescent="0.35">
      <c r="A221" s="18" t="s">
        <v>522</v>
      </c>
      <c r="B221" s="18" t="s">
        <v>522</v>
      </c>
      <c r="C221" s="18" t="s">
        <v>523</v>
      </c>
      <c r="D221" s="18" t="s">
        <v>1200</v>
      </c>
      <c r="E221" s="18" t="s">
        <v>375</v>
      </c>
      <c r="F221" s="18" t="s">
        <v>374</v>
      </c>
      <c r="G221" s="18"/>
      <c r="H221" s="18" t="s">
        <v>524</v>
      </c>
      <c r="I221" s="18"/>
      <c r="J221" s="18"/>
      <c r="K221" s="18"/>
    </row>
    <row r="222" spans="1:14" x14ac:dyDescent="0.35">
      <c r="A222" t="s">
        <v>902</v>
      </c>
      <c r="B222" t="s">
        <v>51</v>
      </c>
      <c r="C222" t="s">
        <v>52</v>
      </c>
      <c r="D222" t="s">
        <v>1377</v>
      </c>
      <c r="E222" t="s">
        <v>11</v>
      </c>
      <c r="F222" t="s">
        <v>10</v>
      </c>
      <c r="G222" t="s">
        <v>44</v>
      </c>
      <c r="H222" t="s">
        <v>16</v>
      </c>
      <c r="I222" t="s">
        <v>1089</v>
      </c>
      <c r="J222" t="s">
        <v>1090</v>
      </c>
      <c r="K222" t="s">
        <v>1092</v>
      </c>
      <c r="M222" t="s">
        <v>2413</v>
      </c>
    </row>
    <row r="223" spans="1:14" x14ac:dyDescent="0.35">
      <c r="A223" s="18" t="s">
        <v>670</v>
      </c>
      <c r="B223" s="18" t="s">
        <v>670</v>
      </c>
      <c r="C223" s="18" t="s">
        <v>671</v>
      </c>
      <c r="D223" s="18" t="s">
        <v>1201</v>
      </c>
      <c r="E223" s="18" t="s">
        <v>375</v>
      </c>
      <c r="F223" s="18" t="s">
        <v>374</v>
      </c>
      <c r="G223" s="18"/>
      <c r="H223" s="18" t="s">
        <v>672</v>
      </c>
      <c r="I223" s="18"/>
      <c r="J223" s="18"/>
      <c r="K223" s="18"/>
      <c r="M223" t="s">
        <v>2233</v>
      </c>
    </row>
    <row r="224" spans="1:14" x14ac:dyDescent="0.35">
      <c r="A224" s="18" t="s">
        <v>718</v>
      </c>
      <c r="B224" s="18" t="s">
        <v>151</v>
      </c>
      <c r="C224" s="18" t="s">
        <v>648</v>
      </c>
      <c r="D224" s="18" t="s">
        <v>1357</v>
      </c>
      <c r="E224" s="18" t="s">
        <v>375</v>
      </c>
      <c r="F224" s="18" t="s">
        <v>374</v>
      </c>
      <c r="G224" s="18"/>
      <c r="H224" s="18" t="s">
        <v>649</v>
      </c>
      <c r="I224" s="18" t="s">
        <v>1055</v>
      </c>
      <c r="J224" s="18" t="s">
        <v>1065</v>
      </c>
      <c r="K224" s="18"/>
    </row>
    <row r="225" spans="1:14" x14ac:dyDescent="0.35">
      <c r="A225" s="18" t="s">
        <v>101</v>
      </c>
      <c r="B225" s="18" t="s">
        <v>101</v>
      </c>
      <c r="C225" s="18" t="s">
        <v>416</v>
      </c>
      <c r="D225" s="18" t="s">
        <v>1406</v>
      </c>
      <c r="E225" s="18" t="s">
        <v>375</v>
      </c>
      <c r="F225" s="18" t="s">
        <v>374</v>
      </c>
      <c r="G225" s="18"/>
      <c r="H225" s="18" t="s">
        <v>417</v>
      </c>
      <c r="I225" s="18"/>
      <c r="J225" s="19" t="s">
        <v>711</v>
      </c>
      <c r="K225" s="18" t="s">
        <v>707</v>
      </c>
    </row>
    <row r="226" spans="1:14" x14ac:dyDescent="0.35">
      <c r="A226" t="s">
        <v>761</v>
      </c>
      <c r="B226" t="s">
        <v>165</v>
      </c>
      <c r="C226" t="s">
        <v>166</v>
      </c>
      <c r="D226" t="s">
        <v>1392</v>
      </c>
      <c r="E226" t="s">
        <v>11</v>
      </c>
      <c r="F226" t="s">
        <v>10</v>
      </c>
      <c r="G226" t="s">
        <v>19</v>
      </c>
      <c r="H226" t="s">
        <v>157</v>
      </c>
      <c r="I226" s="22" t="s">
        <v>767</v>
      </c>
      <c r="J226" s="22" t="s">
        <v>2380</v>
      </c>
      <c r="K226" s="22" t="s">
        <v>1459</v>
      </c>
      <c r="M226" t="s">
        <v>2414</v>
      </c>
    </row>
    <row r="227" spans="1:14" x14ac:dyDescent="0.35">
      <c r="A227" s="18" t="s">
        <v>761</v>
      </c>
      <c r="B227" s="18" t="s">
        <v>165</v>
      </c>
      <c r="C227" s="18" t="s">
        <v>541</v>
      </c>
      <c r="D227" s="18" t="s">
        <v>1393</v>
      </c>
      <c r="E227" s="18" t="s">
        <v>375</v>
      </c>
      <c r="F227" s="18" t="s">
        <v>374</v>
      </c>
      <c r="G227" s="18"/>
      <c r="H227" s="18" t="s">
        <v>542</v>
      </c>
      <c r="I227" s="18" t="s">
        <v>767</v>
      </c>
      <c r="J227" s="18"/>
      <c r="K227" s="18"/>
    </row>
    <row r="228" spans="1:14" x14ac:dyDescent="0.35">
      <c r="A228" t="s">
        <v>902</v>
      </c>
      <c r="B228" t="s">
        <v>51</v>
      </c>
      <c r="C228" t="s">
        <v>53</v>
      </c>
      <c r="D228" t="s">
        <v>1378</v>
      </c>
      <c r="E228" t="s">
        <v>11</v>
      </c>
      <c r="F228" t="s">
        <v>10</v>
      </c>
      <c r="G228" t="s">
        <v>21</v>
      </c>
      <c r="H228" t="s">
        <v>16</v>
      </c>
      <c r="I228" t="s">
        <v>1089</v>
      </c>
      <c r="J228" t="s">
        <v>1090</v>
      </c>
      <c r="K228" t="s">
        <v>1092</v>
      </c>
      <c r="M228" t="s">
        <v>2413</v>
      </c>
    </row>
    <row r="229" spans="1:14" x14ac:dyDescent="0.35">
      <c r="A229" t="s">
        <v>714</v>
      </c>
      <c r="B229" t="s">
        <v>350</v>
      </c>
      <c r="C229" t="s">
        <v>351</v>
      </c>
      <c r="D229" t="s">
        <v>1241</v>
      </c>
      <c r="E229" t="s">
        <v>233</v>
      </c>
      <c r="F229" t="s">
        <v>10</v>
      </c>
      <c r="G229" t="s">
        <v>2554</v>
      </c>
      <c r="H229" t="s">
        <v>1544</v>
      </c>
      <c r="I229" t="s">
        <v>951</v>
      </c>
      <c r="J229" t="s">
        <v>707</v>
      </c>
      <c r="K229" t="s">
        <v>707</v>
      </c>
    </row>
    <row r="230" spans="1:14" x14ac:dyDescent="0.35">
      <c r="A230" s="18" t="s">
        <v>899</v>
      </c>
      <c r="B230" s="18" t="s">
        <v>684</v>
      </c>
      <c r="C230" s="18" t="s">
        <v>685</v>
      </c>
      <c r="D230" s="18" t="s">
        <v>1370</v>
      </c>
      <c r="E230" s="18" t="s">
        <v>375</v>
      </c>
      <c r="F230" s="18" t="s">
        <v>374</v>
      </c>
      <c r="G230" s="18"/>
      <c r="H230" s="18" t="s">
        <v>683</v>
      </c>
      <c r="I230" s="18"/>
      <c r="J230" s="18"/>
      <c r="K230" s="18"/>
    </row>
    <row r="231" spans="1:14" x14ac:dyDescent="0.35">
      <c r="A231" s="18" t="s">
        <v>741</v>
      </c>
      <c r="B231" s="18" t="s">
        <v>516</v>
      </c>
      <c r="C231" s="18" t="s">
        <v>517</v>
      </c>
      <c r="D231" s="18" t="s">
        <v>1163</v>
      </c>
      <c r="E231" s="18" t="s">
        <v>375</v>
      </c>
      <c r="F231" s="18" t="s">
        <v>374</v>
      </c>
      <c r="G231" s="18"/>
      <c r="H231" s="18" t="s">
        <v>509</v>
      </c>
      <c r="I231" s="18" t="s">
        <v>742</v>
      </c>
      <c r="J231" s="18"/>
      <c r="K231" s="18"/>
    </row>
    <row r="232" spans="1:14" x14ac:dyDescent="0.35">
      <c r="A232" s="18" t="s">
        <v>518</v>
      </c>
      <c r="B232" s="18" t="s">
        <v>518</v>
      </c>
      <c r="C232" s="18" t="s">
        <v>519</v>
      </c>
      <c r="D232" s="18" t="s">
        <v>1259</v>
      </c>
      <c r="E232" s="18" t="s">
        <v>375</v>
      </c>
      <c r="F232" s="18" t="s">
        <v>374</v>
      </c>
      <c r="G232" s="18"/>
      <c r="H232" s="18" t="s">
        <v>509</v>
      </c>
      <c r="I232" s="18"/>
      <c r="J232" s="18"/>
      <c r="K232" s="18"/>
    </row>
    <row r="233" spans="1:14" x14ac:dyDescent="0.35">
      <c r="A233" s="18" t="s">
        <v>867</v>
      </c>
      <c r="B233" s="18" t="s">
        <v>571</v>
      </c>
      <c r="C233" s="18" t="s">
        <v>587</v>
      </c>
      <c r="D233" s="18" t="s">
        <v>1296</v>
      </c>
      <c r="E233" s="18" t="s">
        <v>375</v>
      </c>
      <c r="F233" s="18" t="s">
        <v>374</v>
      </c>
      <c r="G233" s="18"/>
      <c r="H233" s="18" t="s">
        <v>588</v>
      </c>
      <c r="I233" s="18"/>
      <c r="J233" s="18"/>
      <c r="K233" s="18"/>
    </row>
    <row r="234" spans="1:14" x14ac:dyDescent="0.35">
      <c r="A234" s="18" t="s">
        <v>533</v>
      </c>
      <c r="B234" s="18" t="s">
        <v>533</v>
      </c>
      <c r="C234" s="18" t="s">
        <v>534</v>
      </c>
      <c r="D234" s="18" t="s">
        <v>1432</v>
      </c>
      <c r="E234" s="18" t="s">
        <v>375</v>
      </c>
      <c r="F234" s="18" t="s">
        <v>374</v>
      </c>
      <c r="G234" s="18"/>
      <c r="H234" s="18" t="s">
        <v>535</v>
      </c>
      <c r="I234" s="18"/>
      <c r="J234" s="18"/>
      <c r="K234" s="18"/>
    </row>
    <row r="235" spans="1:14" x14ac:dyDescent="0.35">
      <c r="A235" s="18" t="s">
        <v>881</v>
      </c>
      <c r="B235" s="18" t="s">
        <v>657</v>
      </c>
      <c r="C235" s="18" t="s">
        <v>658</v>
      </c>
      <c r="D235" s="18" t="s">
        <v>1329</v>
      </c>
      <c r="E235" s="18" t="s">
        <v>375</v>
      </c>
      <c r="F235" s="18" t="s">
        <v>374</v>
      </c>
      <c r="G235" s="18"/>
      <c r="H235" s="18" t="s">
        <v>656</v>
      </c>
      <c r="I235" s="18"/>
      <c r="J235" s="18"/>
      <c r="K235" s="18"/>
    </row>
    <row r="236" spans="1:14" x14ac:dyDescent="0.35">
      <c r="A236" t="s">
        <v>774</v>
      </c>
      <c r="B236" t="s">
        <v>62</v>
      </c>
      <c r="C236" t="s">
        <v>63</v>
      </c>
      <c r="D236" t="s">
        <v>1122</v>
      </c>
      <c r="E236" t="s">
        <v>11</v>
      </c>
      <c r="F236" t="s">
        <v>10</v>
      </c>
      <c r="G236" t="s">
        <v>21</v>
      </c>
      <c r="H236" t="s">
        <v>64</v>
      </c>
      <c r="I236" s="22" t="s">
        <v>775</v>
      </c>
      <c r="J236" t="s">
        <v>2032</v>
      </c>
      <c r="K236" t="s">
        <v>2033</v>
      </c>
      <c r="M236" t="s">
        <v>2229</v>
      </c>
      <c r="N236" t="s">
        <v>774</v>
      </c>
    </row>
    <row r="237" spans="1:14" x14ac:dyDescent="0.35">
      <c r="A237" t="s">
        <v>354</v>
      </c>
      <c r="B237" t="s">
        <v>354</v>
      </c>
      <c r="C237" t="s">
        <v>355</v>
      </c>
      <c r="D237" t="s">
        <v>1389</v>
      </c>
      <c r="E237" t="s">
        <v>233</v>
      </c>
      <c r="F237" t="s">
        <v>10</v>
      </c>
      <c r="G237" t="s">
        <v>255</v>
      </c>
      <c r="H237" t="s">
        <v>244</v>
      </c>
      <c r="I237" t="s">
        <v>1104</v>
      </c>
      <c r="J237" t="s">
        <v>1103</v>
      </c>
      <c r="K237" t="s">
        <v>707</v>
      </c>
      <c r="M237" t="s">
        <v>2377</v>
      </c>
    </row>
    <row r="238" spans="1:14" x14ac:dyDescent="0.35">
      <c r="A238" t="s">
        <v>717</v>
      </c>
      <c r="B238" t="s">
        <v>79</v>
      </c>
      <c r="C238" t="s">
        <v>87</v>
      </c>
      <c r="D238" t="s">
        <v>1267</v>
      </c>
      <c r="E238" t="s">
        <v>11</v>
      </c>
      <c r="F238" t="s">
        <v>10</v>
      </c>
      <c r="G238" t="s">
        <v>44</v>
      </c>
      <c r="H238" t="s">
        <v>88</v>
      </c>
      <c r="I238" t="s">
        <v>980</v>
      </c>
      <c r="J238" t="s">
        <v>707</v>
      </c>
      <c r="K238" t="s">
        <v>983</v>
      </c>
      <c r="M238" t="s">
        <v>2405</v>
      </c>
    </row>
    <row r="239" spans="1:14" x14ac:dyDescent="0.35">
      <c r="A239" s="18" t="s">
        <v>907</v>
      </c>
      <c r="B239" s="18" t="s">
        <v>640</v>
      </c>
      <c r="C239" s="18" t="s">
        <v>641</v>
      </c>
      <c r="D239" s="18" t="s">
        <v>1409</v>
      </c>
      <c r="E239" s="18" t="s">
        <v>375</v>
      </c>
      <c r="F239" s="18" t="s">
        <v>374</v>
      </c>
      <c r="G239" s="18"/>
      <c r="H239" s="18" t="s">
        <v>642</v>
      </c>
      <c r="I239" s="18"/>
      <c r="J239" s="18"/>
      <c r="K239" s="18"/>
    </row>
    <row r="240" spans="1:14" x14ac:dyDescent="0.35">
      <c r="A240" t="s">
        <v>715</v>
      </c>
      <c r="B240" t="s">
        <v>142</v>
      </c>
      <c r="C240" t="s">
        <v>188</v>
      </c>
      <c r="D240" t="s">
        <v>1248</v>
      </c>
      <c r="E240" t="s">
        <v>11</v>
      </c>
      <c r="F240" t="s">
        <v>10</v>
      </c>
      <c r="G240" t="s">
        <v>44</v>
      </c>
      <c r="H240" t="s">
        <v>189</v>
      </c>
      <c r="I240" t="s">
        <v>962</v>
      </c>
      <c r="J240" t="s">
        <v>963</v>
      </c>
      <c r="K240" t="s">
        <v>964</v>
      </c>
      <c r="M240" t="s">
        <v>2285</v>
      </c>
      <c r="N240" t="s">
        <v>142</v>
      </c>
    </row>
    <row r="241" spans="1:14" x14ac:dyDescent="0.35">
      <c r="A241" t="s">
        <v>715</v>
      </c>
      <c r="B241" t="s">
        <v>142</v>
      </c>
      <c r="C241" t="s">
        <v>140</v>
      </c>
      <c r="D241" t="s">
        <v>1254</v>
      </c>
      <c r="E241" t="s">
        <v>233</v>
      </c>
      <c r="F241" t="s">
        <v>10</v>
      </c>
      <c r="G241" t="s">
        <v>357</v>
      </c>
      <c r="H241" t="s">
        <v>356</v>
      </c>
      <c r="I241" t="s">
        <v>962</v>
      </c>
      <c r="J241" t="s">
        <v>963</v>
      </c>
      <c r="K241" s="22" t="s">
        <v>964</v>
      </c>
      <c r="M241" t="s">
        <v>2285</v>
      </c>
      <c r="N241" t="s">
        <v>142</v>
      </c>
    </row>
    <row r="242" spans="1:14" x14ac:dyDescent="0.35">
      <c r="A242" t="s">
        <v>900</v>
      </c>
      <c r="B242" t="s">
        <v>49</v>
      </c>
      <c r="C242" t="s">
        <v>50</v>
      </c>
      <c r="D242" t="s">
        <v>1372</v>
      </c>
      <c r="E242" t="s">
        <v>11</v>
      </c>
      <c r="F242" t="s">
        <v>10</v>
      </c>
      <c r="G242" t="s">
        <v>13</v>
      </c>
      <c r="H242" t="s">
        <v>16</v>
      </c>
      <c r="I242" t="s">
        <v>1084</v>
      </c>
      <c r="J242" t="s">
        <v>1086</v>
      </c>
      <c r="K242" t="s">
        <v>1083</v>
      </c>
      <c r="L242" t="s">
        <v>2523</v>
      </c>
      <c r="M242" t="s">
        <v>2276</v>
      </c>
    </row>
    <row r="243" spans="1:14" x14ac:dyDescent="0.35">
      <c r="A243" s="18" t="s">
        <v>674</v>
      </c>
      <c r="B243" s="18" t="s">
        <v>674</v>
      </c>
      <c r="C243" s="18" t="s">
        <v>675</v>
      </c>
      <c r="D243" s="18" t="s">
        <v>1436</v>
      </c>
      <c r="E243" s="18" t="s">
        <v>375</v>
      </c>
      <c r="F243" s="18" t="s">
        <v>374</v>
      </c>
      <c r="G243" s="18"/>
      <c r="H243" s="18" t="s">
        <v>673</v>
      </c>
      <c r="I243" s="18"/>
      <c r="J243" s="18"/>
      <c r="K243" s="18"/>
    </row>
    <row r="244" spans="1:14" x14ac:dyDescent="0.35">
      <c r="A244" s="18" t="s">
        <v>717</v>
      </c>
      <c r="B244" s="18" t="s">
        <v>79</v>
      </c>
      <c r="C244" s="18" t="s">
        <v>465</v>
      </c>
      <c r="D244" s="18" t="s">
        <v>1273</v>
      </c>
      <c r="E244" s="18" t="s">
        <v>375</v>
      </c>
      <c r="F244" s="18" t="s">
        <v>374</v>
      </c>
      <c r="G244" s="18"/>
      <c r="H244" s="18" t="s">
        <v>90</v>
      </c>
      <c r="I244" s="18" t="s">
        <v>980</v>
      </c>
      <c r="J244" s="18" t="s">
        <v>707</v>
      </c>
      <c r="K244" s="18"/>
    </row>
    <row r="245" spans="1:14" x14ac:dyDescent="0.35">
      <c r="A245" t="s">
        <v>901</v>
      </c>
      <c r="B245" t="s">
        <v>119</v>
      </c>
      <c r="C245" t="s">
        <v>120</v>
      </c>
      <c r="D245" t="s">
        <v>1373</v>
      </c>
      <c r="E245" t="s">
        <v>11</v>
      </c>
      <c r="F245" t="s">
        <v>10</v>
      </c>
      <c r="G245" t="s">
        <v>122</v>
      </c>
      <c r="H245" t="s">
        <v>121</v>
      </c>
      <c r="I245" t="s">
        <v>1087</v>
      </c>
      <c r="J245" s="22" t="s">
        <v>1087</v>
      </c>
      <c r="K245" t="s">
        <v>1088</v>
      </c>
      <c r="M245" t="s">
        <v>2375</v>
      </c>
      <c r="N245" t="s">
        <v>2374</v>
      </c>
    </row>
    <row r="246" spans="1:14" x14ac:dyDescent="0.35">
      <c r="A246" t="s">
        <v>764</v>
      </c>
      <c r="B246" t="s">
        <v>358</v>
      </c>
      <c r="C246" t="s">
        <v>359</v>
      </c>
      <c r="D246" t="s">
        <v>1371</v>
      </c>
      <c r="E246" t="s">
        <v>233</v>
      </c>
      <c r="F246" t="s">
        <v>10</v>
      </c>
      <c r="G246" t="s">
        <v>274</v>
      </c>
      <c r="H246" t="s">
        <v>360</v>
      </c>
      <c r="I246" s="3" t="s">
        <v>1082</v>
      </c>
      <c r="J246" s="30" t="s">
        <v>2366</v>
      </c>
      <c r="K246" t="s">
        <v>707</v>
      </c>
      <c r="M246" t="s">
        <v>2367</v>
      </c>
    </row>
    <row r="247" spans="1:14" x14ac:dyDescent="0.35">
      <c r="A247" s="18"/>
      <c r="B247" s="18" t="s">
        <v>418</v>
      </c>
      <c r="C247" s="18" t="s">
        <v>419</v>
      </c>
      <c r="D247" s="18" t="s">
        <v>1182</v>
      </c>
      <c r="E247" s="18" t="s">
        <v>375</v>
      </c>
      <c r="F247" s="18" t="s">
        <v>374</v>
      </c>
      <c r="G247" s="18"/>
      <c r="H247" s="18" t="s">
        <v>420</v>
      </c>
      <c r="I247" s="18"/>
      <c r="J247" s="18"/>
      <c r="K247" s="18"/>
    </row>
    <row r="248" spans="1:14" x14ac:dyDescent="0.35">
      <c r="A248" t="s">
        <v>719</v>
      </c>
      <c r="B248" t="s">
        <v>178</v>
      </c>
      <c r="C248" t="s">
        <v>179</v>
      </c>
      <c r="D248" t="s">
        <v>1425</v>
      </c>
      <c r="E248" t="s">
        <v>11</v>
      </c>
      <c r="F248" t="s">
        <v>10</v>
      </c>
      <c r="G248" t="s">
        <v>292</v>
      </c>
      <c r="H248" t="s">
        <v>180</v>
      </c>
      <c r="I248" t="s">
        <v>1472</v>
      </c>
      <c r="J248" t="s">
        <v>1478</v>
      </c>
      <c r="K248" t="s">
        <v>1477</v>
      </c>
      <c r="L248" t="s">
        <v>2416</v>
      </c>
      <c r="M248" t="s">
        <v>2415</v>
      </c>
    </row>
    <row r="249" spans="1:14" x14ac:dyDescent="0.35">
      <c r="A249" s="18" t="s">
        <v>838</v>
      </c>
      <c r="B249" s="18" t="s">
        <v>606</v>
      </c>
      <c r="C249" s="18" t="s">
        <v>607</v>
      </c>
      <c r="D249" s="18" t="s">
        <v>1194</v>
      </c>
      <c r="E249" s="18" t="s">
        <v>375</v>
      </c>
      <c r="F249" s="18" t="s">
        <v>374</v>
      </c>
      <c r="G249" s="18"/>
      <c r="H249" s="18" t="s">
        <v>608</v>
      </c>
      <c r="I249" s="18"/>
      <c r="J249" s="18"/>
      <c r="K249" s="18"/>
    </row>
    <row r="250" spans="1:14" x14ac:dyDescent="0.35">
      <c r="A250" t="s">
        <v>756</v>
      </c>
      <c r="B250" t="s">
        <v>46</v>
      </c>
      <c r="C250" t="s">
        <v>48</v>
      </c>
      <c r="D250" t="s">
        <v>1340</v>
      </c>
      <c r="E250" t="s">
        <v>11</v>
      </c>
      <c r="F250" t="s">
        <v>10</v>
      </c>
      <c r="G250" t="s">
        <v>44</v>
      </c>
      <c r="H250" t="s">
        <v>16</v>
      </c>
      <c r="I250" t="s">
        <v>763</v>
      </c>
      <c r="J250" s="2" t="s">
        <v>1044</v>
      </c>
      <c r="K250" s="2" t="s">
        <v>1046</v>
      </c>
      <c r="L250" t="s">
        <v>2274</v>
      </c>
      <c r="M250" t="s">
        <v>2275</v>
      </c>
    </row>
    <row r="251" spans="1:14" x14ac:dyDescent="0.35">
      <c r="A251" t="s">
        <v>719</v>
      </c>
      <c r="B251" t="s">
        <v>178</v>
      </c>
      <c r="C251" t="s">
        <v>186</v>
      </c>
      <c r="D251" t="s">
        <v>1424</v>
      </c>
      <c r="E251" t="s">
        <v>11</v>
      </c>
      <c r="F251" t="s">
        <v>10</v>
      </c>
      <c r="G251" t="s">
        <v>274</v>
      </c>
      <c r="H251" t="s">
        <v>187</v>
      </c>
      <c r="I251" t="s">
        <v>1472</v>
      </c>
      <c r="K251" t="s">
        <v>1479</v>
      </c>
      <c r="L251" t="s">
        <v>2416</v>
      </c>
      <c r="M251" t="s">
        <v>2415</v>
      </c>
    </row>
    <row r="252" spans="1:14" x14ac:dyDescent="0.35">
      <c r="A252" s="18" t="s">
        <v>717</v>
      </c>
      <c r="B252" s="18" t="s">
        <v>79</v>
      </c>
      <c r="C252" s="18" t="s">
        <v>466</v>
      </c>
      <c r="D252" s="18" t="s">
        <v>1274</v>
      </c>
      <c r="E252" s="18" t="s">
        <v>375</v>
      </c>
      <c r="F252" s="18" t="s">
        <v>374</v>
      </c>
      <c r="G252" s="18"/>
      <c r="H252" s="18" t="s">
        <v>90</v>
      </c>
      <c r="I252" s="18" t="s">
        <v>980</v>
      </c>
      <c r="J252" s="18" t="s">
        <v>707</v>
      </c>
      <c r="K252" s="18"/>
    </row>
    <row r="253" spans="1:14" x14ac:dyDescent="0.35">
      <c r="A253" t="s">
        <v>101</v>
      </c>
      <c r="B253" t="s">
        <v>101</v>
      </c>
      <c r="C253" t="s">
        <v>361</v>
      </c>
      <c r="D253" t="s">
        <v>1405</v>
      </c>
      <c r="E253" t="s">
        <v>233</v>
      </c>
      <c r="F253" t="s">
        <v>10</v>
      </c>
      <c r="G253" t="s">
        <v>292</v>
      </c>
      <c r="H253" t="s">
        <v>362</v>
      </c>
      <c r="I253" t="s">
        <v>1466</v>
      </c>
    </row>
    <row r="254" spans="1:14" x14ac:dyDescent="0.35">
      <c r="A254" s="18" t="s">
        <v>433</v>
      </c>
      <c r="B254" s="18" t="s">
        <v>433</v>
      </c>
      <c r="C254" s="18" t="s">
        <v>434</v>
      </c>
      <c r="D254" s="18" t="s">
        <v>1415</v>
      </c>
      <c r="E254" s="18" t="s">
        <v>375</v>
      </c>
      <c r="F254" s="18" t="s">
        <v>374</v>
      </c>
      <c r="G254" s="18"/>
      <c r="H254" s="18" t="s">
        <v>84</v>
      </c>
      <c r="I254" s="18"/>
      <c r="J254" s="18"/>
      <c r="K254" s="18"/>
    </row>
    <row r="255" spans="1:14" x14ac:dyDescent="0.35">
      <c r="A255" s="18" t="s">
        <v>858</v>
      </c>
      <c r="B255" s="18" t="s">
        <v>561</v>
      </c>
      <c r="C255" s="18" t="s">
        <v>562</v>
      </c>
      <c r="D255" s="18" t="s">
        <v>1262</v>
      </c>
      <c r="E255" s="18" t="s">
        <v>375</v>
      </c>
      <c r="F255" s="18" t="s">
        <v>374</v>
      </c>
      <c r="G255" s="18"/>
      <c r="H255" s="18" t="s">
        <v>563</v>
      </c>
      <c r="I255" s="18"/>
      <c r="J255" s="18"/>
      <c r="K255" s="18"/>
    </row>
    <row r="256" spans="1:14" x14ac:dyDescent="0.35">
      <c r="A256" s="18" t="s">
        <v>14</v>
      </c>
      <c r="B256" s="18" t="s">
        <v>14</v>
      </c>
      <c r="C256" s="18" t="s">
        <v>432</v>
      </c>
      <c r="D256" s="18" t="s">
        <v>1133</v>
      </c>
      <c r="E256" s="18" t="s">
        <v>375</v>
      </c>
      <c r="F256" s="18" t="s">
        <v>374</v>
      </c>
      <c r="G256" s="18"/>
      <c r="H256" s="18" t="s">
        <v>81</v>
      </c>
      <c r="I256" s="18" t="s">
        <v>768</v>
      </c>
      <c r="J256" s="18" t="s">
        <v>1512</v>
      </c>
      <c r="K256" s="18"/>
    </row>
    <row r="257" spans="1:14" x14ac:dyDescent="0.35">
      <c r="A257" t="s">
        <v>718</v>
      </c>
      <c r="B257" t="s">
        <v>246</v>
      </c>
      <c r="C257" t="s">
        <v>363</v>
      </c>
      <c r="D257" t="s">
        <v>1348</v>
      </c>
      <c r="E257" t="s">
        <v>233</v>
      </c>
      <c r="F257" t="s">
        <v>10</v>
      </c>
      <c r="G257" t="s">
        <v>274</v>
      </c>
      <c r="H257" t="s">
        <v>364</v>
      </c>
      <c r="I257" t="s">
        <v>1055</v>
      </c>
      <c r="J257" t="s">
        <v>1062</v>
      </c>
      <c r="K257" t="s">
        <v>707</v>
      </c>
      <c r="M257" t="s">
        <v>2289</v>
      </c>
    </row>
    <row r="258" spans="1:14" x14ac:dyDescent="0.35">
      <c r="A258" s="18" t="s">
        <v>725</v>
      </c>
      <c r="B258" s="18" t="s">
        <v>138</v>
      </c>
      <c r="C258" s="18" t="s">
        <v>576</v>
      </c>
      <c r="D258" s="18" t="s">
        <v>1286</v>
      </c>
      <c r="E258" s="18" t="s">
        <v>375</v>
      </c>
      <c r="F258" s="18" t="s">
        <v>374</v>
      </c>
      <c r="G258" s="18"/>
      <c r="H258" s="18" t="s">
        <v>577</v>
      </c>
      <c r="I258" s="18" t="s">
        <v>724</v>
      </c>
      <c r="J258" s="18"/>
      <c r="K258" s="18"/>
      <c r="M258" t="s">
        <v>2267</v>
      </c>
    </row>
    <row r="259" spans="1:14" x14ac:dyDescent="0.35">
      <c r="A259" t="s">
        <v>719</v>
      </c>
      <c r="B259" t="s">
        <v>181</v>
      </c>
      <c r="C259" t="s">
        <v>182</v>
      </c>
      <c r="D259" t="s">
        <v>1428</v>
      </c>
      <c r="E259" t="s">
        <v>11</v>
      </c>
      <c r="F259" t="s">
        <v>10</v>
      </c>
      <c r="G259" t="s">
        <v>274</v>
      </c>
      <c r="H259" t="s">
        <v>183</v>
      </c>
      <c r="I259" t="s">
        <v>1472</v>
      </c>
      <c r="J259" t="s">
        <v>1482</v>
      </c>
      <c r="K259" s="22" t="s">
        <v>1483</v>
      </c>
      <c r="L259" t="s">
        <v>2416</v>
      </c>
      <c r="M259" t="s">
        <v>2415</v>
      </c>
    </row>
    <row r="260" spans="1:14" x14ac:dyDescent="0.35">
      <c r="A260" s="18" t="s">
        <v>842</v>
      </c>
      <c r="B260" s="18" t="s">
        <v>667</v>
      </c>
      <c r="C260" s="18" t="s">
        <v>668</v>
      </c>
      <c r="D260" s="18" t="s">
        <v>1206</v>
      </c>
      <c r="E260" s="18" t="s">
        <v>375</v>
      </c>
      <c r="F260" s="18" t="s">
        <v>374</v>
      </c>
      <c r="G260" s="18"/>
      <c r="H260" s="18" t="s">
        <v>210</v>
      </c>
      <c r="I260" s="18"/>
      <c r="J260" s="18"/>
      <c r="K260" s="18"/>
    </row>
    <row r="261" spans="1:14" x14ac:dyDescent="0.35">
      <c r="A261" t="s">
        <v>909</v>
      </c>
      <c r="B261" t="s">
        <v>367</v>
      </c>
      <c r="C261" t="s">
        <v>368</v>
      </c>
      <c r="D261" t="s">
        <v>1418</v>
      </c>
      <c r="E261" t="s">
        <v>233</v>
      </c>
      <c r="F261" t="s">
        <v>10</v>
      </c>
      <c r="G261" t="s">
        <v>255</v>
      </c>
      <c r="H261" t="s">
        <v>244</v>
      </c>
      <c r="I261" t="s">
        <v>1110</v>
      </c>
      <c r="J261" t="s">
        <v>2394</v>
      </c>
      <c r="K261" t="s">
        <v>707</v>
      </c>
    </row>
    <row r="262" spans="1:14" x14ac:dyDescent="0.35">
      <c r="A262" t="s">
        <v>73</v>
      </c>
      <c r="B262" t="s">
        <v>73</v>
      </c>
      <c r="C262" t="s">
        <v>74</v>
      </c>
      <c r="D262" t="s">
        <v>1276</v>
      </c>
      <c r="E262" t="s">
        <v>11</v>
      </c>
      <c r="F262" t="s">
        <v>10</v>
      </c>
      <c r="G262" t="s">
        <v>13</v>
      </c>
      <c r="H262" t="s">
        <v>64</v>
      </c>
      <c r="I262" s="2" t="s">
        <v>759</v>
      </c>
      <c r="J262" s="22" t="s">
        <v>985</v>
      </c>
      <c r="K262" s="22" t="s">
        <v>986</v>
      </c>
      <c r="M262" t="s">
        <v>2261</v>
      </c>
      <c r="N262" t="s">
        <v>73</v>
      </c>
    </row>
    <row r="263" spans="1:14" x14ac:dyDescent="0.35">
      <c r="A263" s="18" t="s">
        <v>876</v>
      </c>
      <c r="B263" s="18" t="s">
        <v>520</v>
      </c>
      <c r="C263" s="18" t="s">
        <v>521</v>
      </c>
      <c r="D263" s="18" t="s">
        <v>1311</v>
      </c>
      <c r="E263" s="18" t="s">
        <v>375</v>
      </c>
      <c r="F263" s="18" t="s">
        <v>374</v>
      </c>
      <c r="G263" s="18"/>
      <c r="H263" s="18" t="s">
        <v>509</v>
      </c>
      <c r="I263" s="18"/>
      <c r="J263" s="18"/>
      <c r="K263" s="18"/>
    </row>
    <row r="264" spans="1:14" x14ac:dyDescent="0.35">
      <c r="A264" s="18" t="s">
        <v>842</v>
      </c>
      <c r="B264" s="18" t="s">
        <v>667</v>
      </c>
      <c r="C264" s="18" t="s">
        <v>669</v>
      </c>
      <c r="D264" s="18" t="s">
        <v>1207</v>
      </c>
      <c r="E264" s="18" t="s">
        <v>375</v>
      </c>
      <c r="F264" s="18" t="s">
        <v>374</v>
      </c>
      <c r="G264" s="18"/>
      <c r="H264" s="18" t="s">
        <v>210</v>
      </c>
      <c r="I264" s="18"/>
      <c r="J264" s="18"/>
      <c r="K264" s="18"/>
    </row>
    <row r="265" spans="1:14" x14ac:dyDescent="0.35">
      <c r="A265" t="s">
        <v>714</v>
      </c>
      <c r="B265" t="s">
        <v>350</v>
      </c>
      <c r="C265" t="s">
        <v>370</v>
      </c>
      <c r="D265" t="s">
        <v>1240</v>
      </c>
      <c r="E265" t="s">
        <v>233</v>
      </c>
      <c r="F265" t="s">
        <v>10</v>
      </c>
      <c r="G265" t="s">
        <v>2554</v>
      </c>
      <c r="H265" t="s">
        <v>1544</v>
      </c>
      <c r="I265" t="s">
        <v>951</v>
      </c>
      <c r="J265" t="s">
        <v>2323</v>
      </c>
      <c r="K265" t="s">
        <v>707</v>
      </c>
    </row>
    <row r="266" spans="1:14" x14ac:dyDescent="0.35">
      <c r="A266" t="s">
        <v>714</v>
      </c>
      <c r="B266" t="s">
        <v>281</v>
      </c>
      <c r="C266" t="s">
        <v>371</v>
      </c>
      <c r="D266" t="s">
        <v>1242</v>
      </c>
      <c r="E266" t="s">
        <v>233</v>
      </c>
      <c r="F266" t="s">
        <v>10</v>
      </c>
      <c r="G266" t="s">
        <v>255</v>
      </c>
      <c r="H266" t="s">
        <v>244</v>
      </c>
      <c r="I266" t="s">
        <v>951</v>
      </c>
      <c r="J266" t="s">
        <v>2319</v>
      </c>
      <c r="K266" t="s">
        <v>2319</v>
      </c>
      <c r="M266" t="s">
        <v>2320</v>
      </c>
      <c r="N266" t="s">
        <v>714</v>
      </c>
    </row>
    <row r="267" spans="1:14" x14ac:dyDescent="0.35">
      <c r="A267" s="18" t="s">
        <v>841</v>
      </c>
      <c r="B267" s="18" t="s">
        <v>638</v>
      </c>
      <c r="C267" s="18" t="s">
        <v>639</v>
      </c>
      <c r="D267" s="18" t="s">
        <v>1205</v>
      </c>
      <c r="E267" s="18" t="s">
        <v>375</v>
      </c>
      <c r="F267" s="18" t="s">
        <v>374</v>
      </c>
      <c r="G267" s="18"/>
      <c r="H267" s="18" t="s">
        <v>627</v>
      </c>
      <c r="I267" s="18"/>
      <c r="J267" s="18"/>
      <c r="K267" s="18"/>
    </row>
    <row r="268" spans="1:14" x14ac:dyDescent="0.35">
      <c r="A268" s="18" t="s">
        <v>717</v>
      </c>
      <c r="B268" s="18" t="s">
        <v>79</v>
      </c>
      <c r="C268" s="18" t="s">
        <v>467</v>
      </c>
      <c r="D268" s="18" t="s">
        <v>1275</v>
      </c>
      <c r="E268" s="18" t="s">
        <v>375</v>
      </c>
      <c r="F268" s="18" t="s">
        <v>374</v>
      </c>
      <c r="G268" s="18"/>
      <c r="H268" s="18" t="s">
        <v>90</v>
      </c>
      <c r="I268" s="18" t="s">
        <v>980</v>
      </c>
      <c r="J268" s="18" t="s">
        <v>707</v>
      </c>
      <c r="K268" s="18"/>
    </row>
    <row r="269" spans="1:14" x14ac:dyDescent="0.35">
      <c r="A269" s="18"/>
      <c r="B269" s="18" t="s">
        <v>549</v>
      </c>
      <c r="C269" s="18" t="s">
        <v>550</v>
      </c>
      <c r="D269" s="18" t="s">
        <v>1183</v>
      </c>
      <c r="E269" s="18" t="s">
        <v>375</v>
      </c>
      <c r="F269" s="18" t="s">
        <v>374</v>
      </c>
      <c r="G269" s="18"/>
      <c r="H269" s="18" t="s">
        <v>548</v>
      </c>
      <c r="I269" s="18"/>
      <c r="J269" s="18"/>
      <c r="K269" s="18"/>
    </row>
    <row r="270" spans="1:14" x14ac:dyDescent="0.35">
      <c r="A270" s="18" t="s">
        <v>135</v>
      </c>
      <c r="B270" s="18" t="s">
        <v>135</v>
      </c>
      <c r="C270" s="18" t="s">
        <v>407</v>
      </c>
      <c r="D270" s="18" t="s">
        <v>1396</v>
      </c>
      <c r="E270" s="18" t="s">
        <v>375</v>
      </c>
      <c r="F270" s="18" t="s">
        <v>374</v>
      </c>
      <c r="G270" s="18"/>
      <c r="H270" s="18" t="s">
        <v>130</v>
      </c>
      <c r="I270" s="18" t="s">
        <v>727</v>
      </c>
      <c r="J270" s="18" t="s">
        <v>1463</v>
      </c>
      <c r="K270" s="18" t="s">
        <v>1465</v>
      </c>
    </row>
    <row r="271" spans="1:14" x14ac:dyDescent="0.35">
      <c r="A271" t="s">
        <v>736</v>
      </c>
      <c r="B271" t="s">
        <v>24</v>
      </c>
      <c r="C271" t="s">
        <v>26</v>
      </c>
      <c r="D271" t="s">
        <v>1135</v>
      </c>
      <c r="E271" t="s">
        <v>11</v>
      </c>
      <c r="F271" t="s">
        <v>10</v>
      </c>
      <c r="G271" t="s">
        <v>13</v>
      </c>
      <c r="H271" t="s">
        <v>16</v>
      </c>
      <c r="I271" s="2" t="s">
        <v>737</v>
      </c>
      <c r="J271" s="2" t="s">
        <v>1519</v>
      </c>
      <c r="K271" s="2" t="s">
        <v>1521</v>
      </c>
      <c r="M271" t="s">
        <v>2233</v>
      </c>
      <c r="N271" t="s">
        <v>736</v>
      </c>
    </row>
  </sheetData>
  <autoFilter ref="A1:N271" xr:uid="{7E4C8D16-7BD3-496E-9247-CD37329760C3}">
    <sortState xmlns:xlrd2="http://schemas.microsoft.com/office/spreadsheetml/2017/richdata2" ref="A2:N271">
      <sortCondition ref="C1:C271"/>
    </sortState>
  </autoFilter>
  <hyperlinks>
    <hyperlink ref="I271" r:id="rId1" xr:uid="{0DB1E5DE-FB2B-4484-BEBA-3CF2869853E2}"/>
    <hyperlink ref="I10" r:id="rId2" xr:uid="{E2C3FA79-9405-41FE-B01E-6DBD1E954658}"/>
    <hyperlink ref="I170" r:id="rId3" xr:uid="{03EB38DF-68F2-4111-BE93-4EED3038BFE5}"/>
    <hyperlink ref="I76" r:id="rId4" xr:uid="{49D70CE9-22FC-417F-9CE9-4FBF4A3DD87E}"/>
    <hyperlink ref="I24" r:id="rId5" xr:uid="{5B783CB7-C712-4506-B442-9BB8FCE28503}"/>
    <hyperlink ref="J24" r:id="rId6" xr:uid="{52213470-0FD0-4423-AAF5-9C689D166B5C}"/>
    <hyperlink ref="I113" r:id="rId7" xr:uid="{3E9481BF-182F-4DBB-A83D-FAE01E5B77CA}"/>
    <hyperlink ref="I180" r:id="rId8" xr:uid="{BB43FC4F-FAA9-4CCB-BDC7-675ED7A3ADD4}"/>
    <hyperlink ref="I262" r:id="rId9" xr:uid="{73EC05A3-BFD6-49EE-8D2C-5B3BBB2A4753}"/>
    <hyperlink ref="I156" r:id="rId10" xr:uid="{DF04854D-A978-4668-B0BD-08CEBEA12639}"/>
    <hyperlink ref="I179" r:id="rId11" xr:uid="{63256FC5-1751-4057-9246-4C3AE8616C81}"/>
    <hyperlink ref="I25" r:id="rId12" xr:uid="{7F94A592-701F-4568-9365-4EDDC5A13CE2}"/>
    <hyperlink ref="J42" r:id="rId13" xr:uid="{D085C76A-328D-4F48-9769-AA3CD5555A05}"/>
    <hyperlink ref="I246" r:id="rId14" xr:uid="{626796BE-0430-475B-84D2-183F7EE0D520}"/>
    <hyperlink ref="I216" r:id="rId15" xr:uid="{188502D8-3DF8-4A15-B602-9264C8C67605}"/>
    <hyperlink ref="I91" r:id="rId16" xr:uid="{1425B913-1543-40C9-A8BD-8E43C5D00671}"/>
    <hyperlink ref="I116" r:id="rId17" xr:uid="{7EFC576F-C251-43E3-B273-1DF20BC76644}"/>
    <hyperlink ref="I11" r:id="rId18" xr:uid="{9E1684D8-3D92-447F-AD39-0D57B2868CAE}"/>
    <hyperlink ref="I98" r:id="rId19" xr:uid="{49C35E49-4555-4001-90BB-40DF55F2B1CF}"/>
    <hyperlink ref="J152" r:id="rId20" xr:uid="{05A069CE-61CC-40ED-9CC8-3DAC479F8F99}"/>
    <hyperlink ref="I114" r:id="rId21" xr:uid="{3D2903A1-1962-43DF-A48F-EDA6DD775418}"/>
    <hyperlink ref="I189" r:id="rId22" xr:uid="{DB515C51-AA0A-4D21-98AB-96BD1C113457}"/>
    <hyperlink ref="J4" r:id="rId23" xr:uid="{12916197-BFBB-4CCF-9C3E-7963BA6E0D50}"/>
    <hyperlink ref="I5:I11" r:id="rId24" display="https://agnicoeagle.com/Home/default.aspx" xr:uid="{C7A41042-F53A-4FF6-AD63-76CCB01F0A70}"/>
    <hyperlink ref="K4" r:id="rId25" xr:uid="{F6851CEA-5426-441F-A559-97E092FDCA3E}"/>
    <hyperlink ref="J101" r:id="rId26" xr:uid="{8B967478-275B-4F0A-8E9A-EAE21FCECD79}"/>
    <hyperlink ref="K107" r:id="rId27" xr:uid="{D511AC2F-7490-4F0A-9926-68BE84E26377}"/>
    <hyperlink ref="K271" r:id="rId28" xr:uid="{77BD67D3-9FD7-4923-86B2-6DFF024455E7}"/>
    <hyperlink ref="J142" r:id="rId29" xr:uid="{473F7EA0-8CC1-4B19-A678-0C95490EF41E}"/>
    <hyperlink ref="J107" r:id="rId30" xr:uid="{321F6F37-2466-4FEB-80E6-55B4285761E6}"/>
    <hyperlink ref="J271" r:id="rId31" xr:uid="{9F3C2968-C018-4706-94E6-EFF3DA3D19CD}"/>
    <hyperlink ref="J25" r:id="rId32" xr:uid="{5B3A8151-180E-48AB-9E2A-9AFAEB82245A}"/>
    <hyperlink ref="J250" r:id="rId33" xr:uid="{BEBC0540-5ADE-4042-B7A9-524584829D75}"/>
    <hyperlink ref="K25" r:id="rId34" xr:uid="{7AD860B2-15C8-4EEF-B5AD-A922DA6C65B6}"/>
    <hyperlink ref="K250" r:id="rId35" xr:uid="{0641DC58-5BA1-4B87-B8BA-F3B3A5EC5E4C}"/>
    <hyperlink ref="J225" r:id="rId36" xr:uid="{B8746C40-FA52-4769-8256-C93FE96CE971}"/>
    <hyperlink ref="K158" r:id="rId37" xr:uid="{4AC02843-396B-42AE-8D21-A71B402BBD17}"/>
    <hyperlink ref="K137" r:id="rId38" xr:uid="{D2DBD438-0BD0-4D5C-9AAC-63A7F18F9937}"/>
    <hyperlink ref="K94" r:id="rId39" xr:uid="{F8FE0134-0FC2-45A8-B9E9-586533015EAB}"/>
    <hyperlink ref="K159" r:id="rId40" xr:uid="{82D02619-F9C4-4AE7-8F44-FB7B5768B457}"/>
    <hyperlink ref="K11" r:id="rId41" xr:uid="{BBEFF217-FC35-4B7F-9D51-48A05ECF46E0}"/>
    <hyperlink ref="K62" r:id="rId42" xr:uid="{9CA3F30E-54C2-446F-8D00-EC8E8602F84C}"/>
    <hyperlink ref="K40" r:id="rId43" xr:uid="{0D6213AD-9818-488A-951B-84381D44E4B4}"/>
    <hyperlink ref="K143" r:id="rId44" xr:uid="{635759F5-2D4C-4809-8995-05AF3D354D28}"/>
    <hyperlink ref="J62" r:id="rId45" xr:uid="{F9DB686C-1482-469E-99D0-D65DC97E7692}"/>
    <hyperlink ref="J158" r:id="rId46" xr:uid="{7C99DF16-3315-4495-A919-3668FFE0C24E}"/>
    <hyperlink ref="J137" r:id="rId47" xr:uid="{8DB280F1-D735-4803-8DB1-3F1944B0F707}"/>
    <hyperlink ref="J143" r:id="rId48" xr:uid="{4AA81A17-21CA-44B8-9912-6838F13BCD66}"/>
    <hyperlink ref="J159" r:id="rId49" xr:uid="{D1105409-65E2-48E9-B295-1F06229C6E0F}"/>
    <hyperlink ref="J40" r:id="rId50" xr:uid="{907181AF-597A-460E-8977-B3B7089C83DD}"/>
    <hyperlink ref="J11" r:id="rId51" xr:uid="{3E92329F-B914-4BBF-871D-EF6C4F3B7912}"/>
    <hyperlink ref="J94" r:id="rId52" xr:uid="{35EB22CA-D25B-4E3E-B388-758782F7116B}"/>
    <hyperlink ref="J22" r:id="rId53" display="https://www.riotinto.com/en/operations/canada/saguenay" xr:uid="{39E8A9A4-4813-4E76-954B-AD7DBD6FE3E8}"/>
    <hyperlink ref="K167" r:id="rId54" xr:uid="{030D6847-E562-4F14-A0B4-E56D7647F34C}"/>
    <hyperlink ref="K156" r:id="rId55" xr:uid="{53D60C50-49BD-4D6E-BC55-C359BF9A83EB}"/>
    <hyperlink ref="J198" r:id="rId56" xr:uid="{F772F8EE-C2BD-45BD-9090-8733B656810E}"/>
    <hyperlink ref="K84" r:id="rId57" xr:uid="{935A6F3C-A195-4BCF-9FDA-2191DA708F1B}"/>
    <hyperlink ref="I236" r:id="rId58" xr:uid="{E65668FC-C7DC-4A60-B3DD-876C53D05C06}"/>
    <hyperlink ref="K146" r:id="rId59" xr:uid="{A41BBAEF-99AE-4C22-8EF2-0E365ED4EFA1}"/>
    <hyperlink ref="I162" r:id="rId60" xr:uid="{26D2071B-5330-469D-96F7-EAA3F1781A7C}"/>
    <hyperlink ref="I188" r:id="rId61" xr:uid="{7002CB97-B5C4-4976-8A48-F744882EC2AA}"/>
    <hyperlink ref="J162" r:id="rId62" xr:uid="{D4BA15D5-2CCF-487B-8011-4E03572F5654}"/>
    <hyperlink ref="J188" r:id="rId63" xr:uid="{E25739DE-E264-4A33-AB2C-D69EC3B8FBC9}"/>
    <hyperlink ref="K162" r:id="rId64" xr:uid="{1EE34AC1-C1D2-44EF-8755-424B50C76750}"/>
    <hyperlink ref="K262" r:id="rId65" xr:uid="{FCE4E657-C709-4CA5-A90C-AB6CFB96C07F}"/>
    <hyperlink ref="J262" r:id="rId66" xr:uid="{4E0EB4C1-EEE2-49F4-9A16-6131974AADA8}"/>
    <hyperlink ref="K213" r:id="rId67" xr:uid="{C765CE8E-1E85-4A59-90C7-E33703ACDEC5}"/>
    <hyperlink ref="J216" r:id="rId68" xr:uid="{4E97303A-FEA7-40D7-8F1D-C0273D44322F}"/>
    <hyperlink ref="J7" r:id="rId69" location="cite_note-autoref_12-21" xr:uid="{BB7BE49F-A544-489A-9FE5-D09CA07DD7F2}"/>
    <hyperlink ref="K189" r:id="rId70" xr:uid="{31D12BE6-B2A7-4B2E-A3A8-B19084B8B6FE}"/>
    <hyperlink ref="K42" r:id="rId71" xr:uid="{93E33DCD-1273-44B5-B3D9-B2C239220731}"/>
    <hyperlink ref="I42" r:id="rId72" xr:uid="{0A069CD1-1BDA-4EA9-ACD9-91514F732DE8}"/>
    <hyperlink ref="J185" r:id="rId73" xr:uid="{2CD0CEE2-1551-4CE4-B758-541F254A70FB}"/>
    <hyperlink ref="K185" r:id="rId74" xr:uid="{E4430FE7-20ED-4ADA-91D3-A2C91F70F181}"/>
    <hyperlink ref="K198" r:id="rId75" xr:uid="{7C82C0E7-65E9-41B1-BC3C-7CA9C85366F2}"/>
    <hyperlink ref="J83" r:id="rId76" xr:uid="{F7361410-A07F-423D-A87F-968053DF31B7}"/>
    <hyperlink ref="K83" r:id="rId77" xr:uid="{36DEFDE4-D37A-4C65-A797-602C8DF5F549}"/>
    <hyperlink ref="K163" r:id="rId78" xr:uid="{CD7C928E-F41E-4F79-B4CE-DB45FD1ADA0F}"/>
    <hyperlink ref="J155" r:id="rId79" display="https://www.orano.group/canada/en/our-uranium-expertise/mining-and-milling" xr:uid="{7574D300-FF13-4A7A-97DE-6D91F2ED40E8}"/>
    <hyperlink ref="K155" r:id="rId80" xr:uid="{CFCACD42-44CE-40F6-9D86-EE93922AA911}"/>
    <hyperlink ref="I186" r:id="rId81" xr:uid="{C4CABC89-56B5-42BF-885D-DF0830C852E4}"/>
    <hyperlink ref="J186" r:id="rId82" xr:uid="{BC1DB61B-E09C-40FE-8B9D-9C885DA38896}"/>
    <hyperlink ref="J246" r:id="rId83" xr:uid="{C899FF19-A2BB-49C2-8BFC-4D0DABEC6273}"/>
    <hyperlink ref="J245" r:id="rId84" xr:uid="{FD03A4FD-FA3D-41E6-AD63-B83FB28263E8}"/>
    <hyperlink ref="K226" r:id="rId85" xr:uid="{0CFFD280-A125-409F-8002-1204C1658950}"/>
    <hyperlink ref="I226" r:id="rId86" xr:uid="{B8EE4C5B-414E-41FD-B995-BDDDDA28C166}"/>
    <hyperlink ref="J226" r:id="rId87" xr:uid="{1A29A588-F771-47DB-B3BE-4E25BACDB97D}"/>
    <hyperlink ref="K91" r:id="rId88" display="https://miningdataonline.com/property/1663/Yellowhead-Project.aspx" xr:uid="{4D9EC110-E633-4AA1-9D23-47B6F6DB2434}"/>
    <hyperlink ref="J91" r:id="rId89" display="https://www.tasekomines.com/properties/yellowhead-project/" xr:uid="{3438D852-0004-45A5-9E0B-D3B2FA28DF56}"/>
    <hyperlink ref="K65" r:id="rId90" xr:uid="{DEF8C97C-B218-48DB-B6E0-42FF1DEB2EFC}"/>
    <hyperlink ref="I68" r:id="rId91" xr:uid="{CA2B921B-D30A-497D-A378-9A1341777391}"/>
    <hyperlink ref="J76" r:id="rId92" xr:uid="{B9A6468B-4D6C-45DF-A5B4-FEC15D6351ED}"/>
    <hyperlink ref="K81" r:id="rId93" xr:uid="{4ABB506D-E006-49DE-8CC7-45C64C86ECBE}"/>
    <hyperlink ref="J103" r:id="rId94" xr:uid="{917265AF-9D63-44D0-B5EA-B1BE6D81365B}"/>
    <hyperlink ref="J89" r:id="rId95" xr:uid="{D3AC3C0B-6429-46DF-B8F3-DD644DC1EB4A}"/>
    <hyperlink ref="K57" r:id="rId96" xr:uid="{3744EAED-E2CF-43E4-8592-B6FB721A53A6}"/>
    <hyperlink ref="K31" r:id="rId97" xr:uid="{A48143C9-40E7-4922-8AFE-C4CD2DD4642F}"/>
    <hyperlink ref="K152" r:id="rId98" xr:uid="{C8C4D72D-7413-4AF0-A81D-77C165DC6C88}"/>
    <hyperlink ref="K35" r:id="rId99" xr:uid="{24655C52-0072-4EAA-907D-4B16F6BD1663}"/>
    <hyperlink ref="K113" r:id="rId100" xr:uid="{13E8DCA6-C817-464D-A274-859D79809184}"/>
    <hyperlink ref="K115" r:id="rId101" xr:uid="{3CAF5095-CA51-4805-85CB-3614A84E2113}"/>
    <hyperlink ref="K135" r:id="rId102" xr:uid="{A2787B16-8A6D-42E2-904B-F6F274239358}"/>
    <hyperlink ref="K206" r:id="rId103" xr:uid="{8BD981EC-131C-4665-A360-71783538DE0E}"/>
    <hyperlink ref="K241" r:id="rId104" xr:uid="{CB70187F-BDDB-4E99-9409-3387469B595D}"/>
    <hyperlink ref="K259" r:id="rId105" xr:uid="{528940C2-F7BB-420F-9123-79066C7D8AA0}"/>
    <hyperlink ref="K48" r:id="rId106" xr:uid="{C5974635-ACBE-4BD8-A509-E222E76A893F}"/>
    <hyperlink ref="K100" r:id="rId107" xr:uid="{A98AC1C4-1A2B-456E-87BA-F041EF9353B0}"/>
    <hyperlink ref="K170" r:id="rId108" xr:uid="{5489A8E1-E214-4893-9A46-56355FFF095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190BF-FAE6-43C5-A8B6-7E5198DE0C9A}">
  <dimension ref="A1:P91"/>
  <sheetViews>
    <sheetView workbookViewId="0">
      <selection activeCell="E88" sqref="E88:E91"/>
    </sheetView>
  </sheetViews>
  <sheetFormatPr baseColWidth="10" defaultColWidth="8.7265625" defaultRowHeight="14.5" x14ac:dyDescent="0.35"/>
  <cols>
    <col min="1" max="1" width="6.90625" bestFit="1" customWidth="1"/>
    <col min="2" max="2" width="16" bestFit="1" customWidth="1"/>
    <col min="3" max="3" width="27.81640625" bestFit="1" customWidth="1"/>
    <col min="4" max="4" width="20" bestFit="1" customWidth="1"/>
    <col min="5" max="5" width="17.90625" bestFit="1" customWidth="1"/>
    <col min="6" max="6" width="17.453125" bestFit="1" customWidth="1"/>
    <col min="7" max="7" width="13.54296875" bestFit="1" customWidth="1"/>
    <col min="8" max="8" width="22.36328125" bestFit="1" customWidth="1"/>
    <col min="9" max="9" width="31.453125" bestFit="1" customWidth="1"/>
    <col min="10" max="10" width="29.1796875" bestFit="1" customWidth="1"/>
    <col min="11" max="11" width="11.6328125" bestFit="1" customWidth="1"/>
    <col min="12" max="12" width="63" bestFit="1" customWidth="1"/>
    <col min="13" max="13" width="6.36328125" bestFit="1" customWidth="1"/>
    <col min="14" max="14" width="12.453125" bestFit="1" customWidth="1"/>
    <col min="15" max="15" width="20.1796875" bestFit="1" customWidth="1"/>
    <col min="16" max="16" width="151.90625" bestFit="1" customWidth="1"/>
  </cols>
  <sheetData>
    <row r="1" spans="1:16" x14ac:dyDescent="0.35">
      <c r="A1" s="6" t="s">
        <v>1538</v>
      </c>
      <c r="B1" s="6" t="s">
        <v>1553</v>
      </c>
      <c r="C1" s="7" t="s">
        <v>0</v>
      </c>
      <c r="D1" s="6" t="s">
        <v>1653</v>
      </c>
      <c r="E1" s="6" t="s">
        <v>2</v>
      </c>
      <c r="F1" s="6" t="s">
        <v>2030</v>
      </c>
      <c r="G1" s="6" t="s">
        <v>2028</v>
      </c>
      <c r="H1" s="36" t="s">
        <v>4</v>
      </c>
      <c r="I1" s="36" t="s">
        <v>6</v>
      </c>
      <c r="J1" s="6" t="s">
        <v>1540</v>
      </c>
      <c r="K1" s="6" t="s">
        <v>3003</v>
      </c>
      <c r="L1" s="6" t="s">
        <v>3008</v>
      </c>
      <c r="M1" s="6" t="s">
        <v>1542</v>
      </c>
      <c r="N1" s="9" t="s">
        <v>2505</v>
      </c>
      <c r="O1" s="6" t="s">
        <v>7</v>
      </c>
      <c r="P1" s="6" t="s">
        <v>1543</v>
      </c>
    </row>
    <row r="2" spans="1:16" x14ac:dyDescent="0.35">
      <c r="A2">
        <v>2023</v>
      </c>
      <c r="B2" t="s">
        <v>772</v>
      </c>
      <c r="C2" t="s">
        <v>14</v>
      </c>
      <c r="D2" t="s">
        <v>65</v>
      </c>
      <c r="E2" t="s">
        <v>1125</v>
      </c>
      <c r="G2" t="s">
        <v>2034</v>
      </c>
      <c r="H2" s="37" t="s">
        <v>11</v>
      </c>
      <c r="I2" s="37" t="s">
        <v>13</v>
      </c>
      <c r="J2" t="s">
        <v>64</v>
      </c>
      <c r="K2" t="s">
        <v>1748</v>
      </c>
      <c r="L2" t="s">
        <v>1681</v>
      </c>
      <c r="M2" t="s">
        <v>1546</v>
      </c>
      <c r="N2" s="10">
        <v>19597683</v>
      </c>
      <c r="P2" t="s">
        <v>2997</v>
      </c>
    </row>
    <row r="3" spans="1:16" x14ac:dyDescent="0.35">
      <c r="A3">
        <v>2023</v>
      </c>
      <c r="B3" t="s">
        <v>772</v>
      </c>
      <c r="C3" t="s">
        <v>14</v>
      </c>
      <c r="D3" t="s">
        <v>65</v>
      </c>
      <c r="E3" t="s">
        <v>1125</v>
      </c>
      <c r="G3" t="s">
        <v>2034</v>
      </c>
      <c r="H3" s="37" t="s">
        <v>11</v>
      </c>
      <c r="I3" s="37" t="s">
        <v>13</v>
      </c>
      <c r="J3" t="s">
        <v>64</v>
      </c>
      <c r="K3" t="s">
        <v>1748</v>
      </c>
      <c r="L3" t="s">
        <v>1682</v>
      </c>
      <c r="M3" t="s">
        <v>1546</v>
      </c>
      <c r="N3" s="10"/>
      <c r="O3" t="s">
        <v>1685</v>
      </c>
      <c r="P3" t="s">
        <v>2997</v>
      </c>
    </row>
    <row r="4" spans="1:16" x14ac:dyDescent="0.35">
      <c r="A4">
        <v>2023</v>
      </c>
      <c r="B4" t="s">
        <v>772</v>
      </c>
      <c r="C4" t="s">
        <v>14</v>
      </c>
      <c r="D4" t="s">
        <v>65</v>
      </c>
      <c r="E4" t="s">
        <v>1125</v>
      </c>
      <c r="G4" t="s">
        <v>2034</v>
      </c>
      <c r="H4" s="37" t="s">
        <v>11</v>
      </c>
      <c r="I4" s="37" t="s">
        <v>13</v>
      </c>
      <c r="J4" t="s">
        <v>64</v>
      </c>
      <c r="K4" t="s">
        <v>1748</v>
      </c>
      <c r="L4" t="s">
        <v>1683</v>
      </c>
      <c r="M4" t="s">
        <v>1546</v>
      </c>
      <c r="N4" s="10">
        <v>19583538</v>
      </c>
      <c r="P4" t="s">
        <v>2997</v>
      </c>
    </row>
    <row r="5" spans="1:16" x14ac:dyDescent="0.35">
      <c r="A5">
        <v>2023</v>
      </c>
      <c r="B5" t="s">
        <v>772</v>
      </c>
      <c r="C5" t="s">
        <v>14</v>
      </c>
      <c r="D5" t="s">
        <v>65</v>
      </c>
      <c r="E5" t="s">
        <v>1125</v>
      </c>
      <c r="G5" t="s">
        <v>2034</v>
      </c>
      <c r="H5" s="37" t="s">
        <v>11</v>
      </c>
      <c r="I5" s="37" t="s">
        <v>13</v>
      </c>
      <c r="J5" t="s">
        <v>64</v>
      </c>
      <c r="K5" t="s">
        <v>1748</v>
      </c>
      <c r="L5" t="s">
        <v>1684</v>
      </c>
      <c r="M5" t="s">
        <v>1546</v>
      </c>
      <c r="N5" s="10">
        <v>19583538</v>
      </c>
      <c r="P5" t="s">
        <v>2997</v>
      </c>
    </row>
    <row r="6" spans="1:16" ht="14.4" customHeight="1" x14ac:dyDescent="0.35">
      <c r="A6">
        <v>2023</v>
      </c>
      <c r="B6" t="s">
        <v>772</v>
      </c>
      <c r="C6" t="s">
        <v>14</v>
      </c>
      <c r="D6" t="s">
        <v>18</v>
      </c>
      <c r="E6" t="s">
        <v>1127</v>
      </c>
      <c r="G6" t="s">
        <v>2034</v>
      </c>
      <c r="H6" s="37" t="s">
        <v>11</v>
      </c>
      <c r="I6" s="37" t="s">
        <v>19</v>
      </c>
      <c r="J6" t="s">
        <v>16</v>
      </c>
      <c r="K6" t="s">
        <v>1748</v>
      </c>
      <c r="L6" t="s">
        <v>1681</v>
      </c>
      <c r="M6" t="s">
        <v>1546</v>
      </c>
      <c r="N6" s="10">
        <v>110071399</v>
      </c>
      <c r="O6" s="21"/>
      <c r="P6" t="s">
        <v>2997</v>
      </c>
    </row>
    <row r="7" spans="1:16" ht="14.4" customHeight="1" x14ac:dyDescent="0.35">
      <c r="A7">
        <v>2023</v>
      </c>
      <c r="B7" t="s">
        <v>772</v>
      </c>
      <c r="C7" t="s">
        <v>14</v>
      </c>
      <c r="D7" t="s">
        <v>18</v>
      </c>
      <c r="E7" t="s">
        <v>1127</v>
      </c>
      <c r="G7" t="s">
        <v>2034</v>
      </c>
      <c r="H7" s="37" t="s">
        <v>11</v>
      </c>
      <c r="I7" s="37" t="s">
        <v>19</v>
      </c>
      <c r="J7" t="s">
        <v>16</v>
      </c>
      <c r="K7" t="s">
        <v>1748</v>
      </c>
      <c r="L7" t="s">
        <v>1682</v>
      </c>
      <c r="M7" t="s">
        <v>1546</v>
      </c>
      <c r="N7" s="10">
        <v>84640098</v>
      </c>
      <c r="O7" s="21"/>
      <c r="P7" t="s">
        <v>2997</v>
      </c>
    </row>
    <row r="8" spans="1:16" x14ac:dyDescent="0.35">
      <c r="A8">
        <v>2023</v>
      </c>
      <c r="B8" t="s">
        <v>772</v>
      </c>
      <c r="C8" t="s">
        <v>14</v>
      </c>
      <c r="D8" t="s">
        <v>18</v>
      </c>
      <c r="E8" t="s">
        <v>1127</v>
      </c>
      <c r="G8" t="s">
        <v>2034</v>
      </c>
      <c r="H8" s="37" t="s">
        <v>11</v>
      </c>
      <c r="I8" s="37" t="s">
        <v>19</v>
      </c>
      <c r="J8" t="s">
        <v>16</v>
      </c>
      <c r="K8" t="s">
        <v>1748</v>
      </c>
      <c r="L8" t="s">
        <v>1683</v>
      </c>
      <c r="M8" t="s">
        <v>1546</v>
      </c>
      <c r="N8" s="10">
        <v>25430000</v>
      </c>
      <c r="O8" s="21"/>
      <c r="P8" t="s">
        <v>2997</v>
      </c>
    </row>
    <row r="9" spans="1:16" x14ac:dyDescent="0.35">
      <c r="A9">
        <v>2023</v>
      </c>
      <c r="B9" t="s">
        <v>772</v>
      </c>
      <c r="C9" t="s">
        <v>14</v>
      </c>
      <c r="D9" t="s">
        <v>18</v>
      </c>
      <c r="E9" t="s">
        <v>1127</v>
      </c>
      <c r="G9" t="s">
        <v>2034</v>
      </c>
      <c r="H9" s="37" t="s">
        <v>11</v>
      </c>
      <c r="I9" s="37" t="s">
        <v>19</v>
      </c>
      <c r="J9" t="s">
        <v>16</v>
      </c>
      <c r="K9" t="s">
        <v>1748</v>
      </c>
      <c r="L9" t="s">
        <v>1684</v>
      </c>
      <c r="M9" t="s">
        <v>1546</v>
      </c>
      <c r="N9" s="10">
        <v>110070098</v>
      </c>
      <c r="O9" s="21"/>
      <c r="P9" t="s">
        <v>2997</v>
      </c>
    </row>
    <row r="10" spans="1:16" x14ac:dyDescent="0.35">
      <c r="A10">
        <v>2023</v>
      </c>
      <c r="B10" t="s">
        <v>772</v>
      </c>
      <c r="C10" t="s">
        <v>14</v>
      </c>
      <c r="D10" t="s">
        <v>66</v>
      </c>
      <c r="E10" t="s">
        <v>1124</v>
      </c>
      <c r="G10" t="s">
        <v>2034</v>
      </c>
      <c r="H10" s="37" t="s">
        <v>11</v>
      </c>
      <c r="I10" s="37" t="s">
        <v>13</v>
      </c>
      <c r="J10" t="s">
        <v>64</v>
      </c>
      <c r="K10" t="s">
        <v>1748</v>
      </c>
      <c r="L10" t="s">
        <v>1681</v>
      </c>
      <c r="M10" t="s">
        <v>1546</v>
      </c>
      <c r="N10" s="10">
        <v>3268938.1</v>
      </c>
      <c r="O10" s="21"/>
      <c r="P10" t="s">
        <v>2997</v>
      </c>
    </row>
    <row r="11" spans="1:16" x14ac:dyDescent="0.35">
      <c r="A11">
        <v>2023</v>
      </c>
      <c r="B11" t="s">
        <v>772</v>
      </c>
      <c r="C11" t="s">
        <v>14</v>
      </c>
      <c r="D11" t="s">
        <v>66</v>
      </c>
      <c r="E11" t="s">
        <v>1124</v>
      </c>
      <c r="G11" t="s">
        <v>2034</v>
      </c>
      <c r="H11" s="37" t="s">
        <v>11</v>
      </c>
      <c r="I11" s="37" t="s">
        <v>13</v>
      </c>
      <c r="J11" t="s">
        <v>64</v>
      </c>
      <c r="K11" t="s">
        <v>1748</v>
      </c>
      <c r="L11" t="s">
        <v>1682</v>
      </c>
      <c r="M11" t="s">
        <v>1546</v>
      </c>
      <c r="N11" s="10">
        <v>468055</v>
      </c>
      <c r="O11" s="21"/>
      <c r="P11" t="s">
        <v>2997</v>
      </c>
    </row>
    <row r="12" spans="1:16" x14ac:dyDescent="0.35">
      <c r="A12">
        <v>2023</v>
      </c>
      <c r="B12" t="s">
        <v>772</v>
      </c>
      <c r="C12" t="s">
        <v>14</v>
      </c>
      <c r="D12" t="s">
        <v>66</v>
      </c>
      <c r="E12" t="s">
        <v>1124</v>
      </c>
      <c r="G12" t="s">
        <v>2034</v>
      </c>
      <c r="H12" s="37" t="s">
        <v>11</v>
      </c>
      <c r="I12" s="37" t="s">
        <v>13</v>
      </c>
      <c r="J12" t="s">
        <v>64</v>
      </c>
      <c r="K12" t="s">
        <v>1748</v>
      </c>
      <c r="L12" t="s">
        <v>1683</v>
      </c>
      <c r="M12" t="s">
        <v>1546</v>
      </c>
      <c r="N12" s="10">
        <v>2800764</v>
      </c>
      <c r="O12" s="21"/>
      <c r="P12" t="s">
        <v>2997</v>
      </c>
    </row>
    <row r="13" spans="1:16" x14ac:dyDescent="0.35">
      <c r="A13">
        <v>2023</v>
      </c>
      <c r="B13" t="s">
        <v>772</v>
      </c>
      <c r="C13" t="s">
        <v>14</v>
      </c>
      <c r="D13" t="s">
        <v>66</v>
      </c>
      <c r="E13" t="s">
        <v>1124</v>
      </c>
      <c r="G13" t="s">
        <v>2034</v>
      </c>
      <c r="H13" s="37" t="s">
        <v>11</v>
      </c>
      <c r="I13" s="37" t="s">
        <v>13</v>
      </c>
      <c r="J13" t="s">
        <v>64</v>
      </c>
      <c r="K13" t="s">
        <v>1748</v>
      </c>
      <c r="L13" t="s">
        <v>1684</v>
      </c>
      <c r="M13" t="s">
        <v>1546</v>
      </c>
      <c r="N13" s="10">
        <v>3268819</v>
      </c>
      <c r="O13" s="21"/>
      <c r="P13" t="s">
        <v>2997</v>
      </c>
    </row>
    <row r="14" spans="1:16" x14ac:dyDescent="0.35">
      <c r="A14">
        <v>2023</v>
      </c>
      <c r="B14" t="s">
        <v>772</v>
      </c>
      <c r="C14" t="s">
        <v>14</v>
      </c>
      <c r="D14" t="s">
        <v>91</v>
      </c>
      <c r="E14" t="s">
        <v>1126</v>
      </c>
      <c r="G14" t="s">
        <v>2034</v>
      </c>
      <c r="H14" s="37" t="s">
        <v>11</v>
      </c>
      <c r="I14" s="37" t="s">
        <v>23</v>
      </c>
      <c r="J14" t="s">
        <v>92</v>
      </c>
      <c r="K14" t="s">
        <v>1748</v>
      </c>
      <c r="L14" t="s">
        <v>1681</v>
      </c>
      <c r="M14" t="s">
        <v>1546</v>
      </c>
      <c r="N14" s="10">
        <v>3900105.9220000003</v>
      </c>
      <c r="P14" t="s">
        <v>2997</v>
      </c>
    </row>
    <row r="15" spans="1:16" x14ac:dyDescent="0.35">
      <c r="A15">
        <v>2023</v>
      </c>
      <c r="B15" t="s">
        <v>772</v>
      </c>
      <c r="C15" t="s">
        <v>14</v>
      </c>
      <c r="D15" t="s">
        <v>91</v>
      </c>
      <c r="E15" t="s">
        <v>1126</v>
      </c>
      <c r="G15" t="s">
        <v>2034</v>
      </c>
      <c r="H15" s="37" t="s">
        <v>11</v>
      </c>
      <c r="I15" s="37" t="s">
        <v>23</v>
      </c>
      <c r="J15" t="s">
        <v>92</v>
      </c>
      <c r="K15" t="s">
        <v>1748</v>
      </c>
      <c r="L15" t="s">
        <v>1682</v>
      </c>
      <c r="M15" t="s">
        <v>1546</v>
      </c>
      <c r="N15" s="10">
        <v>1192036.2</v>
      </c>
      <c r="P15" t="s">
        <v>2997</v>
      </c>
    </row>
    <row r="16" spans="1:16" x14ac:dyDescent="0.35">
      <c r="A16">
        <v>2023</v>
      </c>
      <c r="B16" t="s">
        <v>772</v>
      </c>
      <c r="C16" t="s">
        <v>14</v>
      </c>
      <c r="D16" t="s">
        <v>91</v>
      </c>
      <c r="E16" t="s">
        <v>1126</v>
      </c>
      <c r="G16" t="s">
        <v>2034</v>
      </c>
      <c r="H16" s="37" t="s">
        <v>11</v>
      </c>
      <c r="I16" s="37" t="s">
        <v>23</v>
      </c>
      <c r="J16" t="s">
        <v>92</v>
      </c>
      <c r="K16" t="s">
        <v>1748</v>
      </c>
      <c r="L16" t="s">
        <v>1683</v>
      </c>
      <c r="M16" t="s">
        <v>1546</v>
      </c>
      <c r="N16" s="10">
        <v>60933565</v>
      </c>
      <c r="P16" t="s">
        <v>2997</v>
      </c>
    </row>
    <row r="17" spans="1:16" x14ac:dyDescent="0.35">
      <c r="A17">
        <v>2023</v>
      </c>
      <c r="B17" t="s">
        <v>772</v>
      </c>
      <c r="C17" t="s">
        <v>14</v>
      </c>
      <c r="D17" t="s">
        <v>91</v>
      </c>
      <c r="E17" t="s">
        <v>1126</v>
      </c>
      <c r="G17" t="s">
        <v>2034</v>
      </c>
      <c r="H17" s="37" t="s">
        <v>11</v>
      </c>
      <c r="I17" s="37" t="s">
        <v>23</v>
      </c>
      <c r="J17" t="s">
        <v>92</v>
      </c>
      <c r="K17" t="s">
        <v>1748</v>
      </c>
      <c r="L17" t="s">
        <v>1684</v>
      </c>
      <c r="M17" t="s">
        <v>1546</v>
      </c>
      <c r="N17" s="10">
        <v>204497986.30199999</v>
      </c>
      <c r="P17" t="s">
        <v>2997</v>
      </c>
    </row>
    <row r="18" spans="1:16" x14ac:dyDescent="0.35">
      <c r="A18">
        <v>2023</v>
      </c>
      <c r="B18" t="s">
        <v>772</v>
      </c>
      <c r="C18" t="s">
        <v>14</v>
      </c>
      <c r="D18" t="s">
        <v>67</v>
      </c>
      <c r="E18" t="s">
        <v>1128</v>
      </c>
      <c r="G18" t="s">
        <v>2034</v>
      </c>
      <c r="H18" s="37" t="s">
        <v>11</v>
      </c>
      <c r="I18" s="37" t="s">
        <v>21</v>
      </c>
      <c r="J18" t="s">
        <v>64</v>
      </c>
      <c r="K18" t="s">
        <v>1748</v>
      </c>
      <c r="L18" t="s">
        <v>1681</v>
      </c>
      <c r="M18" t="s">
        <v>1546</v>
      </c>
      <c r="N18" s="10">
        <v>878017.01</v>
      </c>
      <c r="O18" s="21"/>
      <c r="P18" t="s">
        <v>2997</v>
      </c>
    </row>
    <row r="19" spans="1:16" x14ac:dyDescent="0.35">
      <c r="A19">
        <v>2023</v>
      </c>
      <c r="B19" t="s">
        <v>772</v>
      </c>
      <c r="C19" t="s">
        <v>14</v>
      </c>
      <c r="D19" t="s">
        <v>67</v>
      </c>
      <c r="E19" t="s">
        <v>1128</v>
      </c>
      <c r="G19" t="s">
        <v>2034</v>
      </c>
      <c r="H19" s="37" t="s">
        <v>11</v>
      </c>
      <c r="I19" s="37" t="s">
        <v>21</v>
      </c>
      <c r="J19" t="s">
        <v>64</v>
      </c>
      <c r="K19" t="s">
        <v>1748</v>
      </c>
      <c r="L19" t="s">
        <v>1682</v>
      </c>
      <c r="M19" t="s">
        <v>1546</v>
      </c>
      <c r="N19" s="10">
        <v>552101</v>
      </c>
      <c r="O19" s="21"/>
      <c r="P19" t="s">
        <v>2997</v>
      </c>
    </row>
    <row r="20" spans="1:16" x14ac:dyDescent="0.35">
      <c r="A20">
        <v>2023</v>
      </c>
      <c r="B20" t="s">
        <v>772</v>
      </c>
      <c r="C20" t="s">
        <v>14</v>
      </c>
      <c r="D20" t="s">
        <v>67</v>
      </c>
      <c r="E20" t="s">
        <v>1128</v>
      </c>
      <c r="G20" t="s">
        <v>2034</v>
      </c>
      <c r="H20" s="37" t="s">
        <v>11</v>
      </c>
      <c r="I20" s="37" t="s">
        <v>21</v>
      </c>
      <c r="J20" t="s">
        <v>64</v>
      </c>
      <c r="K20" t="s">
        <v>1748</v>
      </c>
      <c r="L20" t="s">
        <v>1683</v>
      </c>
      <c r="M20" t="s">
        <v>1546</v>
      </c>
      <c r="N20" s="10">
        <v>325845</v>
      </c>
      <c r="O20" s="21"/>
      <c r="P20" t="s">
        <v>2997</v>
      </c>
    </row>
    <row r="21" spans="1:16" x14ac:dyDescent="0.35">
      <c r="A21">
        <v>2023</v>
      </c>
      <c r="B21" t="s">
        <v>772</v>
      </c>
      <c r="C21" t="s">
        <v>14</v>
      </c>
      <c r="D21" t="s">
        <v>67</v>
      </c>
      <c r="E21" t="s">
        <v>1128</v>
      </c>
      <c r="G21" t="s">
        <v>2034</v>
      </c>
      <c r="H21" s="37" t="s">
        <v>11</v>
      </c>
      <c r="I21" s="37" t="s">
        <v>21</v>
      </c>
      <c r="J21" t="s">
        <v>64</v>
      </c>
      <c r="K21" t="s">
        <v>1748</v>
      </c>
      <c r="L21" t="s">
        <v>1684</v>
      </c>
      <c r="M21" t="s">
        <v>1546</v>
      </c>
      <c r="N21" s="10">
        <v>877946</v>
      </c>
      <c r="O21" s="21"/>
      <c r="P21" t="s">
        <v>2997</v>
      </c>
    </row>
    <row r="22" spans="1:16" x14ac:dyDescent="0.35">
      <c r="A22">
        <v>2023</v>
      </c>
      <c r="B22" t="s">
        <v>1537</v>
      </c>
      <c r="C22" t="s">
        <v>14</v>
      </c>
      <c r="D22" t="s">
        <v>20</v>
      </c>
      <c r="F22" t="s">
        <v>1753</v>
      </c>
      <c r="G22" t="s">
        <v>2034</v>
      </c>
      <c r="H22" s="37" t="s">
        <v>11</v>
      </c>
      <c r="I22" s="37" t="s">
        <v>23</v>
      </c>
      <c r="J22" t="s">
        <v>16</v>
      </c>
      <c r="K22" t="s">
        <v>1748</v>
      </c>
      <c r="L22" t="s">
        <v>1681</v>
      </c>
      <c r="M22" t="s">
        <v>1546</v>
      </c>
      <c r="N22" s="10">
        <v>36711918.101999991</v>
      </c>
      <c r="O22" s="21"/>
      <c r="P22" t="s">
        <v>2997</v>
      </c>
    </row>
    <row r="23" spans="1:16" x14ac:dyDescent="0.35">
      <c r="A23">
        <v>2023</v>
      </c>
      <c r="B23" t="s">
        <v>1537</v>
      </c>
      <c r="C23" t="s">
        <v>14</v>
      </c>
      <c r="D23" t="s">
        <v>20</v>
      </c>
      <c r="F23" t="s">
        <v>1753</v>
      </c>
      <c r="G23" t="s">
        <v>2034</v>
      </c>
      <c r="H23" s="37" t="s">
        <v>11</v>
      </c>
      <c r="I23" s="37" t="s">
        <v>23</v>
      </c>
      <c r="J23" t="s">
        <v>16</v>
      </c>
      <c r="K23" t="s">
        <v>1748</v>
      </c>
      <c r="L23" t="s">
        <v>1682</v>
      </c>
      <c r="M23" t="s">
        <v>1546</v>
      </c>
      <c r="N23" s="10">
        <v>32867064.101999987</v>
      </c>
      <c r="O23" s="21"/>
      <c r="P23" t="s">
        <v>2997</v>
      </c>
    </row>
    <row r="24" spans="1:16" x14ac:dyDescent="0.35">
      <c r="A24">
        <v>2023</v>
      </c>
      <c r="B24" t="s">
        <v>1537</v>
      </c>
      <c r="C24" t="s">
        <v>14</v>
      </c>
      <c r="D24" t="s">
        <v>20</v>
      </c>
      <c r="F24" t="s">
        <v>1753</v>
      </c>
      <c r="G24" t="s">
        <v>2034</v>
      </c>
      <c r="H24" s="37" t="s">
        <v>11</v>
      </c>
      <c r="I24" s="37" t="s">
        <v>23</v>
      </c>
      <c r="J24" t="s">
        <v>16</v>
      </c>
      <c r="K24" t="s">
        <v>1748</v>
      </c>
      <c r="L24" t="s">
        <v>1683</v>
      </c>
      <c r="M24" t="s">
        <v>1546</v>
      </c>
      <c r="N24" s="10">
        <v>3842647</v>
      </c>
      <c r="O24" s="21"/>
      <c r="P24" t="s">
        <v>2997</v>
      </c>
    </row>
    <row r="25" spans="1:16" x14ac:dyDescent="0.35">
      <c r="A25">
        <v>2023</v>
      </c>
      <c r="B25" t="s">
        <v>1537</v>
      </c>
      <c r="C25" t="s">
        <v>14</v>
      </c>
      <c r="D25" t="s">
        <v>20</v>
      </c>
      <c r="F25" t="s">
        <v>1753</v>
      </c>
      <c r="G25" t="s">
        <v>2034</v>
      </c>
      <c r="H25" s="37" t="s">
        <v>11</v>
      </c>
      <c r="I25" s="37" t="s">
        <v>23</v>
      </c>
      <c r="J25" t="s">
        <v>16</v>
      </c>
      <c r="K25" t="s">
        <v>1748</v>
      </c>
      <c r="L25" t="s">
        <v>1684</v>
      </c>
      <c r="M25" t="s">
        <v>1546</v>
      </c>
      <c r="N25" s="10">
        <v>36709711.101999983</v>
      </c>
      <c r="O25" s="21"/>
      <c r="P25" t="s">
        <v>2997</v>
      </c>
    </row>
    <row r="26" spans="1:16" x14ac:dyDescent="0.35">
      <c r="A26">
        <v>2023</v>
      </c>
      <c r="B26" t="s">
        <v>772</v>
      </c>
      <c r="C26" t="s">
        <v>14</v>
      </c>
      <c r="D26" t="s">
        <v>22</v>
      </c>
      <c r="E26" t="s">
        <v>1129</v>
      </c>
      <c r="G26" t="s">
        <v>2034</v>
      </c>
      <c r="H26" s="37" t="s">
        <v>11</v>
      </c>
      <c r="I26" s="37" t="s">
        <v>13</v>
      </c>
      <c r="J26" t="s">
        <v>16</v>
      </c>
      <c r="K26" t="s">
        <v>1748</v>
      </c>
      <c r="L26" t="s">
        <v>1681</v>
      </c>
      <c r="M26" t="s">
        <v>1546</v>
      </c>
      <c r="N26" s="10">
        <v>6038878</v>
      </c>
      <c r="O26" s="21"/>
      <c r="P26" t="s">
        <v>2997</v>
      </c>
    </row>
    <row r="27" spans="1:16" x14ac:dyDescent="0.35">
      <c r="A27">
        <v>2023</v>
      </c>
      <c r="B27" t="s">
        <v>772</v>
      </c>
      <c r="C27" t="s">
        <v>14</v>
      </c>
      <c r="D27" t="s">
        <v>22</v>
      </c>
      <c r="E27" t="s">
        <v>1129</v>
      </c>
      <c r="G27" t="s">
        <v>2034</v>
      </c>
      <c r="H27" s="37" t="s">
        <v>11</v>
      </c>
      <c r="I27" s="37" t="s">
        <v>13</v>
      </c>
      <c r="J27" t="s">
        <v>16</v>
      </c>
      <c r="K27" t="s">
        <v>1748</v>
      </c>
      <c r="L27" t="s">
        <v>1682</v>
      </c>
      <c r="M27" t="s">
        <v>1546</v>
      </c>
      <c r="N27" s="10">
        <v>4119386</v>
      </c>
      <c r="O27" s="21"/>
      <c r="P27" t="s">
        <v>2997</v>
      </c>
    </row>
    <row r="28" spans="1:16" x14ac:dyDescent="0.35">
      <c r="A28">
        <v>2023</v>
      </c>
      <c r="B28" t="s">
        <v>772</v>
      </c>
      <c r="C28" t="s">
        <v>14</v>
      </c>
      <c r="D28" t="s">
        <v>22</v>
      </c>
      <c r="E28" t="s">
        <v>1129</v>
      </c>
      <c r="G28" t="s">
        <v>2034</v>
      </c>
      <c r="H28" s="37" t="s">
        <v>11</v>
      </c>
      <c r="I28" s="37" t="s">
        <v>13</v>
      </c>
      <c r="J28" t="s">
        <v>16</v>
      </c>
      <c r="K28" t="s">
        <v>1748</v>
      </c>
      <c r="L28" t="s">
        <v>1683</v>
      </c>
      <c r="M28" t="s">
        <v>1546</v>
      </c>
      <c r="N28" s="10">
        <v>1918143</v>
      </c>
      <c r="O28" s="21"/>
      <c r="P28" t="s">
        <v>2997</v>
      </c>
    </row>
    <row r="29" spans="1:16" x14ac:dyDescent="0.35">
      <c r="A29">
        <v>2023</v>
      </c>
      <c r="B29" t="s">
        <v>772</v>
      </c>
      <c r="C29" t="s">
        <v>14</v>
      </c>
      <c r="D29" t="s">
        <v>22</v>
      </c>
      <c r="E29" t="s">
        <v>1129</v>
      </c>
      <c r="G29" t="s">
        <v>2034</v>
      </c>
      <c r="H29" s="37" t="s">
        <v>11</v>
      </c>
      <c r="I29" s="37" t="s">
        <v>13</v>
      </c>
      <c r="J29" t="s">
        <v>16</v>
      </c>
      <c r="K29" t="s">
        <v>1748</v>
      </c>
      <c r="L29" t="s">
        <v>1684</v>
      </c>
      <c r="M29" t="s">
        <v>1546</v>
      </c>
      <c r="N29" s="10">
        <v>6037529</v>
      </c>
      <c r="O29" s="21"/>
      <c r="P29" t="s">
        <v>2997</v>
      </c>
    </row>
    <row r="30" spans="1:16" x14ac:dyDescent="0.35">
      <c r="A30">
        <v>2023</v>
      </c>
      <c r="B30" t="s">
        <v>772</v>
      </c>
      <c r="C30" t="s">
        <v>736</v>
      </c>
      <c r="D30" t="s">
        <v>25</v>
      </c>
      <c r="E30" t="s">
        <v>1136</v>
      </c>
      <c r="G30" t="s">
        <v>2037</v>
      </c>
      <c r="H30" t="s">
        <v>11</v>
      </c>
      <c r="I30" t="s">
        <v>13</v>
      </c>
      <c r="J30" t="s">
        <v>16</v>
      </c>
      <c r="K30" t="s">
        <v>1748</v>
      </c>
      <c r="L30" t="s">
        <v>1624</v>
      </c>
      <c r="M30" t="s">
        <v>1546</v>
      </c>
      <c r="N30" s="10">
        <v>482598</v>
      </c>
      <c r="P30" t="s">
        <v>1601</v>
      </c>
    </row>
    <row r="31" spans="1:16" x14ac:dyDescent="0.35">
      <c r="A31">
        <v>2023</v>
      </c>
      <c r="B31" t="s">
        <v>772</v>
      </c>
      <c r="C31" t="s">
        <v>736</v>
      </c>
      <c r="D31" t="s">
        <v>25</v>
      </c>
      <c r="E31" t="s">
        <v>1136</v>
      </c>
      <c r="G31" t="s">
        <v>2037</v>
      </c>
      <c r="H31" t="s">
        <v>11</v>
      </c>
      <c r="I31" t="s">
        <v>13</v>
      </c>
      <c r="J31" t="s">
        <v>16</v>
      </c>
      <c r="K31" t="s">
        <v>1748</v>
      </c>
      <c r="L31" t="s">
        <v>1625</v>
      </c>
      <c r="M31" t="s">
        <v>1546</v>
      </c>
      <c r="N31" s="10">
        <v>4300</v>
      </c>
      <c r="P31" t="s">
        <v>1601</v>
      </c>
    </row>
    <row r="32" spans="1:16" x14ac:dyDescent="0.35">
      <c r="A32">
        <v>2023</v>
      </c>
      <c r="B32" t="s">
        <v>772</v>
      </c>
      <c r="C32" t="s">
        <v>736</v>
      </c>
      <c r="D32" t="s">
        <v>25</v>
      </c>
      <c r="E32" t="s">
        <v>1136</v>
      </c>
      <c r="G32" t="s">
        <v>2037</v>
      </c>
      <c r="H32" t="s">
        <v>11</v>
      </c>
      <c r="I32" t="s">
        <v>13</v>
      </c>
      <c r="J32" t="s">
        <v>16</v>
      </c>
      <c r="K32" t="s">
        <v>1748</v>
      </c>
      <c r="L32" t="s">
        <v>1623</v>
      </c>
      <c r="M32" t="s">
        <v>1546</v>
      </c>
      <c r="N32" s="10">
        <v>921606</v>
      </c>
      <c r="P32" t="s">
        <v>1601</v>
      </c>
    </row>
    <row r="33" spans="1:16" x14ac:dyDescent="0.35">
      <c r="A33">
        <v>2023</v>
      </c>
      <c r="B33" t="s">
        <v>772</v>
      </c>
      <c r="C33" t="s">
        <v>736</v>
      </c>
      <c r="D33" t="s">
        <v>25</v>
      </c>
      <c r="E33" t="s">
        <v>1136</v>
      </c>
      <c r="G33" t="s">
        <v>2037</v>
      </c>
      <c r="H33" t="s">
        <v>11</v>
      </c>
      <c r="I33" t="s">
        <v>13</v>
      </c>
      <c r="J33" t="s">
        <v>16</v>
      </c>
      <c r="K33" t="s">
        <v>1748</v>
      </c>
      <c r="L33" t="s">
        <v>1628</v>
      </c>
      <c r="M33" t="s">
        <v>1546</v>
      </c>
      <c r="N33" s="10">
        <v>439008</v>
      </c>
      <c r="P33" t="s">
        <v>1601</v>
      </c>
    </row>
    <row r="34" spans="1:16" x14ac:dyDescent="0.35">
      <c r="A34">
        <v>2023</v>
      </c>
      <c r="B34" t="s">
        <v>772</v>
      </c>
      <c r="C34" t="s">
        <v>736</v>
      </c>
      <c r="D34" t="s">
        <v>26</v>
      </c>
      <c r="E34" t="s">
        <v>1135</v>
      </c>
      <c r="G34" t="s">
        <v>2037</v>
      </c>
      <c r="H34" t="s">
        <v>11</v>
      </c>
      <c r="I34" t="s">
        <v>13</v>
      </c>
      <c r="J34" t="s">
        <v>16</v>
      </c>
      <c r="K34" t="s">
        <v>1748</v>
      </c>
      <c r="L34" t="s">
        <v>1624</v>
      </c>
      <c r="M34" t="s">
        <v>1546</v>
      </c>
      <c r="N34" s="10">
        <v>451287.1</v>
      </c>
      <c r="P34" t="s">
        <v>1601</v>
      </c>
    </row>
    <row r="35" spans="1:16" ht="14.4" customHeight="1" x14ac:dyDescent="0.35">
      <c r="A35">
        <v>2023</v>
      </c>
      <c r="B35" t="s">
        <v>772</v>
      </c>
      <c r="C35" t="s">
        <v>736</v>
      </c>
      <c r="D35" t="s">
        <v>26</v>
      </c>
      <c r="E35" t="s">
        <v>1135</v>
      </c>
      <c r="G35" t="s">
        <v>2037</v>
      </c>
      <c r="H35" t="s">
        <v>11</v>
      </c>
      <c r="I35" t="s">
        <v>13</v>
      </c>
      <c r="J35" t="s">
        <v>16</v>
      </c>
      <c r="K35" t="s">
        <v>1748</v>
      </c>
      <c r="L35" t="s">
        <v>1625</v>
      </c>
      <c r="M35" t="s">
        <v>1546</v>
      </c>
      <c r="N35" s="10">
        <v>1317</v>
      </c>
      <c r="P35" t="s">
        <v>1601</v>
      </c>
    </row>
    <row r="36" spans="1:16" x14ac:dyDescent="0.35">
      <c r="A36">
        <v>2023</v>
      </c>
      <c r="B36" t="s">
        <v>772</v>
      </c>
      <c r="C36" t="s">
        <v>736</v>
      </c>
      <c r="D36" t="s">
        <v>26</v>
      </c>
      <c r="E36" t="s">
        <v>1135</v>
      </c>
      <c r="G36" t="s">
        <v>2037</v>
      </c>
      <c r="H36" t="s">
        <v>11</v>
      </c>
      <c r="I36" t="s">
        <v>13</v>
      </c>
      <c r="J36" t="s">
        <v>16</v>
      </c>
      <c r="K36" t="s">
        <v>1748</v>
      </c>
      <c r="L36" t="s">
        <v>1623</v>
      </c>
      <c r="M36" t="s">
        <v>1546</v>
      </c>
      <c r="N36" s="10">
        <v>3329334.0631360002</v>
      </c>
      <c r="P36" t="s">
        <v>1601</v>
      </c>
    </row>
    <row r="37" spans="1:16" x14ac:dyDescent="0.35">
      <c r="A37">
        <v>2023</v>
      </c>
      <c r="B37" t="s">
        <v>772</v>
      </c>
      <c r="C37" t="s">
        <v>736</v>
      </c>
      <c r="D37" t="s">
        <v>26</v>
      </c>
      <c r="E37" t="s">
        <v>1135</v>
      </c>
      <c r="G37" t="s">
        <v>2037</v>
      </c>
      <c r="H37" t="s">
        <v>11</v>
      </c>
      <c r="I37" t="s">
        <v>13</v>
      </c>
      <c r="J37" t="s">
        <v>16</v>
      </c>
      <c r="K37" t="s">
        <v>1748</v>
      </c>
      <c r="L37" t="s">
        <v>1628</v>
      </c>
      <c r="M37" t="s">
        <v>1546</v>
      </c>
      <c r="N37" s="10">
        <v>2878047</v>
      </c>
      <c r="P37" t="s">
        <v>1601</v>
      </c>
    </row>
    <row r="38" spans="1:16" x14ac:dyDescent="0.35">
      <c r="A38">
        <v>2024</v>
      </c>
      <c r="B38" t="s">
        <v>772</v>
      </c>
      <c r="C38" t="s">
        <v>784</v>
      </c>
      <c r="D38" t="s">
        <v>69</v>
      </c>
      <c r="E38" t="s">
        <v>1159</v>
      </c>
      <c r="G38" t="s">
        <v>2049</v>
      </c>
      <c r="H38" s="37" t="s">
        <v>11</v>
      </c>
      <c r="I38" s="37" t="s">
        <v>19</v>
      </c>
      <c r="J38" t="s">
        <v>16</v>
      </c>
      <c r="K38" t="s">
        <v>1748</v>
      </c>
      <c r="L38" t="s">
        <v>1715</v>
      </c>
      <c r="M38" t="s">
        <v>1546</v>
      </c>
      <c r="N38" s="31">
        <v>6759562</v>
      </c>
      <c r="O38" t="s">
        <v>2952</v>
      </c>
      <c r="P38" t="s">
        <v>1601</v>
      </c>
    </row>
    <row r="39" spans="1:16" x14ac:dyDescent="0.35">
      <c r="A39">
        <v>2023</v>
      </c>
      <c r="B39" t="s">
        <v>772</v>
      </c>
      <c r="C39" t="s">
        <v>27</v>
      </c>
      <c r="D39" t="s">
        <v>28</v>
      </c>
      <c r="E39" t="s">
        <v>1166</v>
      </c>
      <c r="G39" t="s">
        <v>2055</v>
      </c>
      <c r="H39" s="37" t="s">
        <v>11</v>
      </c>
      <c r="I39" s="37" t="s">
        <v>23</v>
      </c>
      <c r="J39" t="s">
        <v>16</v>
      </c>
      <c r="K39" t="s">
        <v>1748</v>
      </c>
      <c r="L39" t="s">
        <v>1832</v>
      </c>
      <c r="M39" t="s">
        <v>1546</v>
      </c>
      <c r="N39" s="31">
        <v>1530006</v>
      </c>
      <c r="O39" t="s">
        <v>2919</v>
      </c>
      <c r="P39" t="s">
        <v>1831</v>
      </c>
    </row>
    <row r="40" spans="1:16" x14ac:dyDescent="0.35">
      <c r="A40">
        <v>2023</v>
      </c>
      <c r="B40" t="s">
        <v>772</v>
      </c>
      <c r="C40" t="s">
        <v>145</v>
      </c>
      <c r="D40" t="s">
        <v>146</v>
      </c>
      <c r="E40" t="s">
        <v>1172</v>
      </c>
      <c r="G40" t="s">
        <v>2057</v>
      </c>
      <c r="H40" s="37" t="s">
        <v>11</v>
      </c>
      <c r="I40" s="37" t="s">
        <v>148</v>
      </c>
      <c r="J40" t="s">
        <v>147</v>
      </c>
      <c r="K40" t="s">
        <v>1748</v>
      </c>
      <c r="L40" t="s">
        <v>1715</v>
      </c>
      <c r="M40" t="s">
        <v>1807</v>
      </c>
      <c r="N40" s="31">
        <v>16.600000000000001</v>
      </c>
      <c r="P40" t="s">
        <v>1810</v>
      </c>
    </row>
    <row r="41" spans="1:16" x14ac:dyDescent="0.35">
      <c r="A41">
        <v>2023</v>
      </c>
      <c r="B41" t="s">
        <v>772</v>
      </c>
      <c r="C41" t="s">
        <v>793</v>
      </c>
      <c r="D41" t="s">
        <v>129</v>
      </c>
      <c r="E41" t="s">
        <v>1190</v>
      </c>
      <c r="G41" t="s">
        <v>2064</v>
      </c>
      <c r="H41" s="37" t="s">
        <v>11</v>
      </c>
      <c r="I41" s="37" t="s">
        <v>19</v>
      </c>
      <c r="J41" t="s">
        <v>130</v>
      </c>
      <c r="K41" t="s">
        <v>1748</v>
      </c>
      <c r="L41" t="s">
        <v>1887</v>
      </c>
      <c r="M41" t="s">
        <v>1546</v>
      </c>
      <c r="N41" s="10">
        <v>23170013</v>
      </c>
      <c r="P41" t="s">
        <v>1885</v>
      </c>
    </row>
    <row r="42" spans="1:16" ht="14.4" customHeight="1" x14ac:dyDescent="0.35">
      <c r="A42">
        <v>2023</v>
      </c>
      <c r="B42" t="s">
        <v>772</v>
      </c>
      <c r="C42" t="s">
        <v>793</v>
      </c>
      <c r="D42" t="s">
        <v>129</v>
      </c>
      <c r="E42" t="s">
        <v>1190</v>
      </c>
      <c r="G42" t="s">
        <v>2064</v>
      </c>
      <c r="H42" s="37" t="s">
        <v>11</v>
      </c>
      <c r="I42" s="37" t="s">
        <v>19</v>
      </c>
      <c r="J42" t="s">
        <v>130</v>
      </c>
      <c r="K42" t="s">
        <v>1748</v>
      </c>
      <c r="L42" t="s">
        <v>3084</v>
      </c>
      <c r="M42" t="s">
        <v>1546</v>
      </c>
      <c r="N42" s="10">
        <v>7261.1</v>
      </c>
      <c r="P42" t="s">
        <v>1885</v>
      </c>
    </row>
    <row r="43" spans="1:16" x14ac:dyDescent="0.35">
      <c r="A43">
        <v>2023</v>
      </c>
      <c r="B43" t="s">
        <v>772</v>
      </c>
      <c r="C43" t="s">
        <v>793</v>
      </c>
      <c r="D43" t="s">
        <v>129</v>
      </c>
      <c r="E43" t="s">
        <v>1190</v>
      </c>
      <c r="G43" t="s">
        <v>2064</v>
      </c>
      <c r="H43" s="37" t="s">
        <v>11</v>
      </c>
      <c r="I43" s="37" t="s">
        <v>19</v>
      </c>
      <c r="J43" t="s">
        <v>130</v>
      </c>
      <c r="K43" t="s">
        <v>1748</v>
      </c>
      <c r="L43" t="s">
        <v>1747</v>
      </c>
      <c r="M43" t="s">
        <v>1546</v>
      </c>
      <c r="N43" s="10">
        <v>28177873</v>
      </c>
      <c r="P43" t="s">
        <v>1885</v>
      </c>
    </row>
    <row r="44" spans="1:16" x14ac:dyDescent="0.35">
      <c r="A44">
        <v>2023</v>
      </c>
      <c r="B44" t="s">
        <v>772</v>
      </c>
      <c r="C44" t="s">
        <v>793</v>
      </c>
      <c r="D44" t="s">
        <v>129</v>
      </c>
      <c r="E44" t="s">
        <v>1190</v>
      </c>
      <c r="G44" t="s">
        <v>2064</v>
      </c>
      <c r="H44" s="37" t="s">
        <v>11</v>
      </c>
      <c r="I44" s="37" t="s">
        <v>19</v>
      </c>
      <c r="J44" t="s">
        <v>130</v>
      </c>
      <c r="K44" t="s">
        <v>1748</v>
      </c>
      <c r="L44" t="s">
        <v>1823</v>
      </c>
      <c r="M44" t="s">
        <v>1546</v>
      </c>
      <c r="N44" s="10">
        <v>592.79</v>
      </c>
      <c r="P44" t="s">
        <v>1885</v>
      </c>
    </row>
    <row r="45" spans="1:16" x14ac:dyDescent="0.35">
      <c r="A45">
        <v>2023</v>
      </c>
      <c r="B45" t="s">
        <v>772</v>
      </c>
      <c r="C45" t="s">
        <v>30</v>
      </c>
      <c r="D45" t="s">
        <v>31</v>
      </c>
      <c r="E45" t="s">
        <v>1210</v>
      </c>
      <c r="G45" t="s">
        <v>2080</v>
      </c>
      <c r="H45" s="37" t="s">
        <v>11</v>
      </c>
      <c r="I45" s="37" t="s">
        <v>13</v>
      </c>
      <c r="J45" t="s">
        <v>16</v>
      </c>
      <c r="K45" t="s">
        <v>1748</v>
      </c>
      <c r="L45" t="s">
        <v>1895</v>
      </c>
      <c r="M45" t="s">
        <v>1546</v>
      </c>
      <c r="N45" s="10">
        <v>232583</v>
      </c>
      <c r="P45" t="s">
        <v>1892</v>
      </c>
    </row>
    <row r="46" spans="1:16" x14ac:dyDescent="0.35">
      <c r="A46">
        <v>2023</v>
      </c>
      <c r="B46" t="s">
        <v>772</v>
      </c>
      <c r="C46" t="s">
        <v>30</v>
      </c>
      <c r="D46" t="s">
        <v>31</v>
      </c>
      <c r="E46" t="s">
        <v>1210</v>
      </c>
      <c r="G46" t="s">
        <v>2080</v>
      </c>
      <c r="H46" s="37" t="s">
        <v>11</v>
      </c>
      <c r="I46" s="37" t="s">
        <v>13</v>
      </c>
      <c r="J46" t="s">
        <v>16</v>
      </c>
      <c r="K46" t="s">
        <v>1748</v>
      </c>
      <c r="L46" t="s">
        <v>1622</v>
      </c>
      <c r="M46" t="s">
        <v>1546</v>
      </c>
      <c r="N46" s="10">
        <v>852679</v>
      </c>
      <c r="P46" t="s">
        <v>1892</v>
      </c>
    </row>
    <row r="47" spans="1:16" x14ac:dyDescent="0.35">
      <c r="A47">
        <v>2023</v>
      </c>
      <c r="B47" t="s">
        <v>772</v>
      </c>
      <c r="C47" t="s">
        <v>30</v>
      </c>
      <c r="D47" t="s">
        <v>31</v>
      </c>
      <c r="E47" t="s">
        <v>1210</v>
      </c>
      <c r="G47" t="s">
        <v>2080</v>
      </c>
      <c r="H47" s="37" t="s">
        <v>11</v>
      </c>
      <c r="I47" s="37" t="s">
        <v>13</v>
      </c>
      <c r="J47" t="s">
        <v>16</v>
      </c>
      <c r="K47" t="s">
        <v>1748</v>
      </c>
      <c r="L47" t="s">
        <v>1896</v>
      </c>
      <c r="M47" t="s">
        <v>1546</v>
      </c>
      <c r="N47" s="10">
        <v>1153</v>
      </c>
      <c r="P47" t="s">
        <v>1892</v>
      </c>
    </row>
    <row r="48" spans="1:16" x14ac:dyDescent="0.35">
      <c r="A48">
        <v>2023</v>
      </c>
      <c r="B48" t="s">
        <v>772</v>
      </c>
      <c r="C48" t="s">
        <v>30</v>
      </c>
      <c r="D48" t="s">
        <v>31</v>
      </c>
      <c r="E48" t="s">
        <v>1210</v>
      </c>
      <c r="G48" t="s">
        <v>2080</v>
      </c>
      <c r="H48" s="37" t="s">
        <v>11</v>
      </c>
      <c r="I48" s="37" t="s">
        <v>13</v>
      </c>
      <c r="J48" t="s">
        <v>16</v>
      </c>
      <c r="K48" t="s">
        <v>1748</v>
      </c>
      <c r="L48" t="s">
        <v>1897</v>
      </c>
      <c r="M48" t="s">
        <v>1546</v>
      </c>
      <c r="N48" s="10">
        <v>1406</v>
      </c>
      <c r="P48" t="s">
        <v>1892</v>
      </c>
    </row>
    <row r="49" spans="1:16" x14ac:dyDescent="0.35">
      <c r="A49">
        <v>2024</v>
      </c>
      <c r="B49" t="s">
        <v>772</v>
      </c>
      <c r="C49" t="s">
        <v>798</v>
      </c>
      <c r="D49" t="s">
        <v>71</v>
      </c>
      <c r="E49" t="s">
        <v>1215</v>
      </c>
      <c r="G49" t="s">
        <v>2085</v>
      </c>
      <c r="H49" s="37" t="s">
        <v>11</v>
      </c>
      <c r="I49" s="37" t="s">
        <v>13</v>
      </c>
      <c r="J49" t="s">
        <v>64</v>
      </c>
      <c r="K49" t="s">
        <v>1748</v>
      </c>
      <c r="L49" t="s">
        <v>1822</v>
      </c>
      <c r="M49" s="10" t="s">
        <v>1546</v>
      </c>
      <c r="N49" s="10">
        <v>8877.1664999999994</v>
      </c>
      <c r="P49" t="s">
        <v>1829</v>
      </c>
    </row>
    <row r="50" spans="1:16" x14ac:dyDescent="0.35">
      <c r="A50">
        <v>2024</v>
      </c>
      <c r="B50" t="s">
        <v>772</v>
      </c>
      <c r="C50" t="s">
        <v>798</v>
      </c>
      <c r="D50" t="s">
        <v>71</v>
      </c>
      <c r="E50" t="s">
        <v>1215</v>
      </c>
      <c r="G50" t="s">
        <v>2085</v>
      </c>
      <c r="H50" s="37" t="s">
        <v>11</v>
      </c>
      <c r="I50" s="37" t="s">
        <v>13</v>
      </c>
      <c r="J50" t="s">
        <v>64</v>
      </c>
      <c r="K50" t="s">
        <v>1748</v>
      </c>
      <c r="L50" t="s">
        <v>1823</v>
      </c>
      <c r="M50" s="10" t="s">
        <v>1546</v>
      </c>
      <c r="N50" s="10">
        <v>622.02440707999995</v>
      </c>
      <c r="P50" t="s">
        <v>1829</v>
      </c>
    </row>
    <row r="51" spans="1:16" ht="14.4" customHeight="1" x14ac:dyDescent="0.35">
      <c r="A51">
        <v>2024</v>
      </c>
      <c r="B51" t="s">
        <v>772</v>
      </c>
      <c r="C51" t="s">
        <v>798</v>
      </c>
      <c r="D51" t="s">
        <v>71</v>
      </c>
      <c r="E51" t="s">
        <v>1215</v>
      </c>
      <c r="G51" t="s">
        <v>2085</v>
      </c>
      <c r="H51" s="37" t="s">
        <v>11</v>
      </c>
      <c r="I51" s="37" t="s">
        <v>13</v>
      </c>
      <c r="J51" t="s">
        <v>64</v>
      </c>
      <c r="K51" t="s">
        <v>1748</v>
      </c>
      <c r="L51" t="s">
        <v>1681</v>
      </c>
      <c r="M51" s="10" t="s">
        <v>1546</v>
      </c>
      <c r="N51" s="10">
        <v>9499.1909070799993</v>
      </c>
      <c r="P51" t="s">
        <v>1829</v>
      </c>
    </row>
    <row r="52" spans="1:16" ht="14.4" customHeight="1" x14ac:dyDescent="0.35">
      <c r="A52">
        <v>2024</v>
      </c>
      <c r="B52" t="s">
        <v>772</v>
      </c>
      <c r="C52" t="s">
        <v>798</v>
      </c>
      <c r="D52" t="s">
        <v>71</v>
      </c>
      <c r="E52" t="s">
        <v>1215</v>
      </c>
      <c r="G52" t="s">
        <v>2085</v>
      </c>
      <c r="H52" s="37" t="s">
        <v>11</v>
      </c>
      <c r="I52" s="37" t="s">
        <v>13</v>
      </c>
      <c r="J52" t="s">
        <v>64</v>
      </c>
      <c r="K52" t="s">
        <v>1748</v>
      </c>
      <c r="L52" t="s">
        <v>1824</v>
      </c>
      <c r="M52" s="10" t="s">
        <v>1546</v>
      </c>
      <c r="N52" s="10">
        <v>993271</v>
      </c>
      <c r="P52" t="s">
        <v>1829</v>
      </c>
    </row>
    <row r="53" spans="1:16" x14ac:dyDescent="0.35">
      <c r="A53">
        <v>2024</v>
      </c>
      <c r="B53" t="s">
        <v>772</v>
      </c>
      <c r="C53" t="s">
        <v>798</v>
      </c>
      <c r="D53" t="s">
        <v>71</v>
      </c>
      <c r="E53" t="s">
        <v>1215</v>
      </c>
      <c r="G53" t="s">
        <v>2085</v>
      </c>
      <c r="H53" s="37" t="s">
        <v>11</v>
      </c>
      <c r="I53" s="37" t="s">
        <v>13</v>
      </c>
      <c r="J53" t="s">
        <v>64</v>
      </c>
      <c r="K53" t="s">
        <v>1748</v>
      </c>
      <c r="L53" t="s">
        <v>1825</v>
      </c>
      <c r="M53" s="10" t="s">
        <v>1546</v>
      </c>
      <c r="N53" s="10">
        <v>9499.1910000000007</v>
      </c>
      <c r="P53" t="s">
        <v>1829</v>
      </c>
    </row>
    <row r="54" spans="1:16" x14ac:dyDescent="0.35">
      <c r="A54">
        <v>2024</v>
      </c>
      <c r="B54" t="s">
        <v>772</v>
      </c>
      <c r="C54" t="s">
        <v>798</v>
      </c>
      <c r="D54" t="s">
        <v>71</v>
      </c>
      <c r="E54" t="s">
        <v>1215</v>
      </c>
      <c r="G54" t="s">
        <v>2085</v>
      </c>
      <c r="H54" s="37" t="s">
        <v>11</v>
      </c>
      <c r="I54" s="37" t="s">
        <v>13</v>
      </c>
      <c r="J54" t="s">
        <v>1776</v>
      </c>
      <c r="K54" t="s">
        <v>1748</v>
      </c>
      <c r="L54" t="s">
        <v>1715</v>
      </c>
      <c r="M54" t="s">
        <v>1546</v>
      </c>
      <c r="N54" s="31">
        <v>993271</v>
      </c>
      <c r="P54" t="s">
        <v>1829</v>
      </c>
    </row>
    <row r="55" spans="1:16" x14ac:dyDescent="0.35">
      <c r="A55">
        <v>2024</v>
      </c>
      <c r="B55" t="s">
        <v>772</v>
      </c>
      <c r="C55" t="s">
        <v>855</v>
      </c>
      <c r="D55" t="s">
        <v>33</v>
      </c>
      <c r="E55" t="s">
        <v>1257</v>
      </c>
      <c r="G55" t="s">
        <v>2109</v>
      </c>
      <c r="H55" s="37" t="s">
        <v>11</v>
      </c>
      <c r="I55" s="37" t="s">
        <v>13</v>
      </c>
      <c r="J55" t="s">
        <v>16</v>
      </c>
      <c r="K55" t="s">
        <v>1748</v>
      </c>
      <c r="L55" t="s">
        <v>1715</v>
      </c>
      <c r="M55" t="s">
        <v>1546</v>
      </c>
      <c r="N55" s="31">
        <v>1623010</v>
      </c>
      <c r="P55" t="s">
        <v>2943</v>
      </c>
    </row>
    <row r="56" spans="1:16" x14ac:dyDescent="0.35">
      <c r="A56">
        <v>2023</v>
      </c>
      <c r="B56" t="s">
        <v>772</v>
      </c>
      <c r="C56" t="s">
        <v>73</v>
      </c>
      <c r="D56" t="s">
        <v>74</v>
      </c>
      <c r="E56" t="s">
        <v>1276</v>
      </c>
      <c r="G56" t="s">
        <v>2118</v>
      </c>
      <c r="H56" s="37" t="s">
        <v>11</v>
      </c>
      <c r="I56" s="37" t="s">
        <v>13</v>
      </c>
      <c r="J56" t="s">
        <v>64</v>
      </c>
      <c r="K56" t="s">
        <v>1748</v>
      </c>
      <c r="L56" t="s">
        <v>1928</v>
      </c>
      <c r="M56" t="s">
        <v>1546</v>
      </c>
      <c r="N56" s="10">
        <v>2423604</v>
      </c>
      <c r="P56" t="s">
        <v>1916</v>
      </c>
    </row>
    <row r="57" spans="1:16" x14ac:dyDescent="0.35">
      <c r="A57">
        <v>2023</v>
      </c>
      <c r="B57" t="s">
        <v>772</v>
      </c>
      <c r="C57" t="s">
        <v>73</v>
      </c>
      <c r="D57" t="s">
        <v>74</v>
      </c>
      <c r="E57" t="s">
        <v>1276</v>
      </c>
      <c r="G57" t="s">
        <v>2118</v>
      </c>
      <c r="H57" s="37" t="s">
        <v>11</v>
      </c>
      <c r="I57" s="37" t="s">
        <v>13</v>
      </c>
      <c r="J57" t="s">
        <v>64</v>
      </c>
      <c r="K57" t="s">
        <v>1748</v>
      </c>
      <c r="L57" t="s">
        <v>1929</v>
      </c>
      <c r="M57" t="s">
        <v>1546</v>
      </c>
      <c r="N57" s="10">
        <v>927386</v>
      </c>
      <c r="P57" t="s">
        <v>1916</v>
      </c>
    </row>
    <row r="58" spans="1:16" x14ac:dyDescent="0.35">
      <c r="A58">
        <v>2023</v>
      </c>
      <c r="B58" t="s">
        <v>772</v>
      </c>
      <c r="C58" t="s">
        <v>73</v>
      </c>
      <c r="D58" t="s">
        <v>74</v>
      </c>
      <c r="E58" t="s">
        <v>1276</v>
      </c>
      <c r="G58" t="s">
        <v>2118</v>
      </c>
      <c r="H58" s="37" t="s">
        <v>11</v>
      </c>
      <c r="I58" s="37" t="s">
        <v>13</v>
      </c>
      <c r="J58" t="s">
        <v>64</v>
      </c>
      <c r="K58" t="s">
        <v>1748</v>
      </c>
      <c r="L58" t="s">
        <v>3179</v>
      </c>
      <c r="M58" t="s">
        <v>1546</v>
      </c>
      <c r="N58" s="10">
        <v>10095</v>
      </c>
      <c r="P58" t="s">
        <v>1916</v>
      </c>
    </row>
    <row r="59" spans="1:16" x14ac:dyDescent="0.35">
      <c r="A59">
        <v>2023</v>
      </c>
      <c r="B59" t="s">
        <v>772</v>
      </c>
      <c r="C59" t="s">
        <v>73</v>
      </c>
      <c r="D59" t="s">
        <v>74</v>
      </c>
      <c r="E59" t="s">
        <v>1276</v>
      </c>
      <c r="G59" t="s">
        <v>2118</v>
      </c>
      <c r="H59" s="37" t="s">
        <v>11</v>
      </c>
      <c r="I59" s="37" t="s">
        <v>13</v>
      </c>
      <c r="J59" t="s">
        <v>64</v>
      </c>
      <c r="K59" t="s">
        <v>1748</v>
      </c>
      <c r="L59" t="s">
        <v>1930</v>
      </c>
      <c r="M59" t="s">
        <v>1546</v>
      </c>
      <c r="N59" s="10">
        <v>1185440</v>
      </c>
      <c r="P59" t="s">
        <v>1916</v>
      </c>
    </row>
    <row r="60" spans="1:16" x14ac:dyDescent="0.35">
      <c r="A60">
        <v>2023</v>
      </c>
      <c r="B60" t="s">
        <v>772</v>
      </c>
      <c r="C60" t="s">
        <v>755</v>
      </c>
      <c r="D60" t="s">
        <v>85</v>
      </c>
      <c r="E60" t="s">
        <v>1315</v>
      </c>
      <c r="G60" t="s">
        <v>2150</v>
      </c>
      <c r="H60" t="s">
        <v>11</v>
      </c>
      <c r="I60" t="s">
        <v>23</v>
      </c>
      <c r="J60" t="s">
        <v>84</v>
      </c>
      <c r="K60" t="s">
        <v>1748</v>
      </c>
      <c r="L60" t="s">
        <v>1681</v>
      </c>
      <c r="M60" t="s">
        <v>1546</v>
      </c>
      <c r="N60" s="10">
        <v>1230.6189999999999</v>
      </c>
      <c r="P60" t="s">
        <v>1869</v>
      </c>
    </row>
    <row r="61" spans="1:16" x14ac:dyDescent="0.35">
      <c r="A61">
        <v>2023</v>
      </c>
      <c r="B61" t="s">
        <v>772</v>
      </c>
      <c r="C61" t="s">
        <v>755</v>
      </c>
      <c r="D61" t="s">
        <v>85</v>
      </c>
      <c r="E61" t="s">
        <v>1315</v>
      </c>
      <c r="G61" t="s">
        <v>2150</v>
      </c>
      <c r="H61" t="s">
        <v>11</v>
      </c>
      <c r="I61" t="s">
        <v>23</v>
      </c>
      <c r="J61" t="s">
        <v>84</v>
      </c>
      <c r="K61" t="s">
        <v>1748</v>
      </c>
      <c r="L61" t="s">
        <v>1747</v>
      </c>
      <c r="M61" t="s">
        <v>1546</v>
      </c>
      <c r="N61" s="10">
        <v>2970929</v>
      </c>
      <c r="P61" t="s">
        <v>1869</v>
      </c>
    </row>
    <row r="62" spans="1:16" x14ac:dyDescent="0.35">
      <c r="A62">
        <v>2023</v>
      </c>
      <c r="B62" t="s">
        <v>772</v>
      </c>
      <c r="C62" t="s">
        <v>755</v>
      </c>
      <c r="D62" t="s">
        <v>85</v>
      </c>
      <c r="E62" t="s">
        <v>1315</v>
      </c>
      <c r="G62" t="s">
        <v>2150</v>
      </c>
      <c r="H62" t="s">
        <v>11</v>
      </c>
      <c r="I62" t="s">
        <v>23</v>
      </c>
      <c r="J62" t="s">
        <v>84</v>
      </c>
      <c r="K62" t="s">
        <v>1748</v>
      </c>
      <c r="L62" t="s">
        <v>1624</v>
      </c>
      <c r="M62" t="s">
        <v>1546</v>
      </c>
      <c r="N62" s="10">
        <v>573564</v>
      </c>
      <c r="P62" t="s">
        <v>1869</v>
      </c>
    </row>
    <row r="63" spans="1:16" x14ac:dyDescent="0.35">
      <c r="A63">
        <v>2023</v>
      </c>
      <c r="B63" t="s">
        <v>772</v>
      </c>
      <c r="C63" t="s">
        <v>755</v>
      </c>
      <c r="D63" t="s">
        <v>85</v>
      </c>
      <c r="E63" t="s">
        <v>1315</v>
      </c>
      <c r="G63" t="s">
        <v>2150</v>
      </c>
      <c r="H63" t="s">
        <v>11</v>
      </c>
      <c r="I63" t="s">
        <v>23</v>
      </c>
      <c r="J63" t="s">
        <v>1776</v>
      </c>
      <c r="K63" t="s">
        <v>1748</v>
      </c>
      <c r="L63" t="s">
        <v>1715</v>
      </c>
      <c r="M63" t="s">
        <v>1566</v>
      </c>
      <c r="N63" s="31">
        <v>574</v>
      </c>
      <c r="P63" t="s">
        <v>1714</v>
      </c>
    </row>
    <row r="64" spans="1:16" x14ac:dyDescent="0.35">
      <c r="A64">
        <v>2023</v>
      </c>
      <c r="B64" t="s">
        <v>772</v>
      </c>
      <c r="C64" t="s">
        <v>755</v>
      </c>
      <c r="D64" t="s">
        <v>76</v>
      </c>
      <c r="E64" t="s">
        <v>1314</v>
      </c>
      <c r="G64" t="s">
        <v>2150</v>
      </c>
      <c r="H64" t="s">
        <v>11</v>
      </c>
      <c r="I64" t="s">
        <v>13</v>
      </c>
      <c r="J64" t="s">
        <v>64</v>
      </c>
      <c r="K64" t="s">
        <v>1748</v>
      </c>
      <c r="L64" t="s">
        <v>1681</v>
      </c>
      <c r="M64" t="s">
        <v>1546</v>
      </c>
      <c r="N64" s="10">
        <v>2158.62</v>
      </c>
      <c r="P64" t="s">
        <v>1869</v>
      </c>
    </row>
    <row r="65" spans="1:16" ht="14.4" customHeight="1" x14ac:dyDescent="0.35">
      <c r="A65">
        <v>2023</v>
      </c>
      <c r="B65" t="s">
        <v>772</v>
      </c>
      <c r="C65" t="s">
        <v>755</v>
      </c>
      <c r="D65" t="s">
        <v>76</v>
      </c>
      <c r="E65" t="s">
        <v>1314</v>
      </c>
      <c r="G65" t="s">
        <v>2150</v>
      </c>
      <c r="H65" t="s">
        <v>11</v>
      </c>
      <c r="I65" t="s">
        <v>13</v>
      </c>
      <c r="J65" t="s">
        <v>64</v>
      </c>
      <c r="K65" t="s">
        <v>1748</v>
      </c>
      <c r="L65" t="s">
        <v>1747</v>
      </c>
      <c r="M65" t="s">
        <v>1546</v>
      </c>
      <c r="N65" s="10">
        <v>8764782</v>
      </c>
      <c r="P65" t="s">
        <v>1869</v>
      </c>
    </row>
    <row r="66" spans="1:16" x14ac:dyDescent="0.35">
      <c r="A66">
        <v>2023</v>
      </c>
      <c r="B66" t="s">
        <v>772</v>
      </c>
      <c r="C66" t="s">
        <v>755</v>
      </c>
      <c r="D66" t="s">
        <v>76</v>
      </c>
      <c r="E66" t="s">
        <v>1314</v>
      </c>
      <c r="G66" t="s">
        <v>2150</v>
      </c>
      <c r="H66" t="s">
        <v>11</v>
      </c>
      <c r="I66" t="s">
        <v>13</v>
      </c>
      <c r="J66" t="s">
        <v>64</v>
      </c>
      <c r="K66" t="s">
        <v>1748</v>
      </c>
      <c r="L66" t="s">
        <v>1624</v>
      </c>
      <c r="M66" t="s">
        <v>1546</v>
      </c>
      <c r="N66" s="10">
        <v>30433778</v>
      </c>
      <c r="P66" t="s">
        <v>1869</v>
      </c>
    </row>
    <row r="67" spans="1:16" x14ac:dyDescent="0.35">
      <c r="A67">
        <v>2023</v>
      </c>
      <c r="B67" t="s">
        <v>772</v>
      </c>
      <c r="C67" t="s">
        <v>755</v>
      </c>
      <c r="D67" t="s">
        <v>76</v>
      </c>
      <c r="E67" t="s">
        <v>1314</v>
      </c>
      <c r="G67" t="s">
        <v>2150</v>
      </c>
      <c r="H67" t="s">
        <v>11</v>
      </c>
      <c r="I67" t="s">
        <v>13</v>
      </c>
      <c r="J67" t="s">
        <v>1776</v>
      </c>
      <c r="K67" t="s">
        <v>1748</v>
      </c>
      <c r="L67" t="s">
        <v>1715</v>
      </c>
      <c r="M67" t="s">
        <v>1566</v>
      </c>
      <c r="N67" s="31">
        <v>31553</v>
      </c>
      <c r="P67" t="s">
        <v>1714</v>
      </c>
    </row>
    <row r="68" spans="1:16" x14ac:dyDescent="0.35">
      <c r="A68">
        <v>2023</v>
      </c>
      <c r="B68" t="s">
        <v>772</v>
      </c>
      <c r="C68" t="s">
        <v>39</v>
      </c>
      <c r="D68" t="s">
        <v>41</v>
      </c>
      <c r="E68" t="s">
        <v>1316</v>
      </c>
      <c r="G68" t="s">
        <v>2151</v>
      </c>
      <c r="H68" t="s">
        <v>11</v>
      </c>
      <c r="I68" t="s">
        <v>13</v>
      </c>
      <c r="J68" t="s">
        <v>16</v>
      </c>
      <c r="K68" t="s">
        <v>1748</v>
      </c>
      <c r="L68" s="27" t="s">
        <v>1747</v>
      </c>
      <c r="M68" t="s">
        <v>1546</v>
      </c>
      <c r="N68" s="10">
        <v>1660564</v>
      </c>
      <c r="P68" t="s">
        <v>1870</v>
      </c>
    </row>
    <row r="69" spans="1:16" x14ac:dyDescent="0.35">
      <c r="A69">
        <v>2023</v>
      </c>
      <c r="B69" t="s">
        <v>772</v>
      </c>
      <c r="C69" t="s">
        <v>39</v>
      </c>
      <c r="D69" t="s">
        <v>41</v>
      </c>
      <c r="E69" t="s">
        <v>1316</v>
      </c>
      <c r="G69" t="s">
        <v>2151</v>
      </c>
      <c r="H69" t="s">
        <v>11</v>
      </c>
      <c r="I69" t="s">
        <v>13</v>
      </c>
      <c r="J69" t="s">
        <v>16</v>
      </c>
      <c r="K69" t="s">
        <v>1748</v>
      </c>
      <c r="L69" s="27" t="s">
        <v>1624</v>
      </c>
      <c r="M69" t="s">
        <v>1546</v>
      </c>
      <c r="N69" s="10">
        <v>600794</v>
      </c>
      <c r="P69" t="s">
        <v>1870</v>
      </c>
    </row>
    <row r="70" spans="1:16" x14ac:dyDescent="0.35">
      <c r="A70">
        <v>2023</v>
      </c>
      <c r="B70" t="s">
        <v>772</v>
      </c>
      <c r="C70" t="s">
        <v>39</v>
      </c>
      <c r="D70" t="s">
        <v>78</v>
      </c>
      <c r="E70" t="s">
        <v>1321</v>
      </c>
      <c r="G70" t="s">
        <v>2151</v>
      </c>
      <c r="H70" t="s">
        <v>11</v>
      </c>
      <c r="I70" t="s">
        <v>21</v>
      </c>
      <c r="J70" t="s">
        <v>64</v>
      </c>
      <c r="K70" t="s">
        <v>1748</v>
      </c>
      <c r="L70" s="27" t="s">
        <v>1747</v>
      </c>
      <c r="M70" t="s">
        <v>1546</v>
      </c>
      <c r="N70" s="10">
        <v>1028185</v>
      </c>
      <c r="P70" t="s">
        <v>1870</v>
      </c>
    </row>
    <row r="71" spans="1:16" x14ac:dyDescent="0.35">
      <c r="A71">
        <v>2023</v>
      </c>
      <c r="B71" t="s">
        <v>772</v>
      </c>
      <c r="C71" t="s">
        <v>39</v>
      </c>
      <c r="D71" t="s">
        <v>78</v>
      </c>
      <c r="E71" t="s">
        <v>1321</v>
      </c>
      <c r="G71" t="s">
        <v>2151</v>
      </c>
      <c r="H71" t="s">
        <v>11</v>
      </c>
      <c r="I71" t="s">
        <v>21</v>
      </c>
      <c r="J71" t="s">
        <v>64</v>
      </c>
      <c r="K71" t="s">
        <v>1748</v>
      </c>
      <c r="L71" s="27" t="s">
        <v>1624</v>
      </c>
      <c r="M71" t="s">
        <v>1546</v>
      </c>
      <c r="N71" s="10">
        <v>701214</v>
      </c>
      <c r="P71" t="s">
        <v>1870</v>
      </c>
    </row>
    <row r="72" spans="1:16" x14ac:dyDescent="0.35">
      <c r="A72">
        <v>2023</v>
      </c>
      <c r="B72" t="s">
        <v>1537</v>
      </c>
      <c r="C72" t="s">
        <v>39</v>
      </c>
      <c r="D72" t="s">
        <v>1587</v>
      </c>
      <c r="F72" t="s">
        <v>1754</v>
      </c>
      <c r="G72" t="s">
        <v>2151</v>
      </c>
      <c r="H72" t="s">
        <v>11</v>
      </c>
      <c r="I72" t="s">
        <v>17</v>
      </c>
      <c r="J72" t="s">
        <v>16</v>
      </c>
      <c r="K72" t="s">
        <v>1748</v>
      </c>
      <c r="L72" s="27" t="s">
        <v>1747</v>
      </c>
      <c r="M72" t="s">
        <v>1546</v>
      </c>
      <c r="N72" s="10">
        <v>2911165</v>
      </c>
      <c r="P72" t="s">
        <v>1870</v>
      </c>
    </row>
    <row r="73" spans="1:16" x14ac:dyDescent="0.35">
      <c r="A73">
        <v>2023</v>
      </c>
      <c r="B73" t="s">
        <v>1537</v>
      </c>
      <c r="C73" t="s">
        <v>39</v>
      </c>
      <c r="D73" t="s">
        <v>1587</v>
      </c>
      <c r="F73" t="s">
        <v>1754</v>
      </c>
      <c r="G73" t="s">
        <v>2151</v>
      </c>
      <c r="H73" t="s">
        <v>11</v>
      </c>
      <c r="I73" t="s">
        <v>17</v>
      </c>
      <c r="J73" t="s">
        <v>16</v>
      </c>
      <c r="K73" t="s">
        <v>1748</v>
      </c>
      <c r="L73" s="27" t="s">
        <v>1624</v>
      </c>
      <c r="M73" t="s">
        <v>1546</v>
      </c>
      <c r="N73" s="10">
        <v>4629650</v>
      </c>
      <c r="P73" t="s">
        <v>1870</v>
      </c>
    </row>
    <row r="74" spans="1:16" x14ac:dyDescent="0.35">
      <c r="A74">
        <v>2023</v>
      </c>
      <c r="B74" t="s">
        <v>1537</v>
      </c>
      <c r="C74" t="s">
        <v>756</v>
      </c>
      <c r="D74" t="s">
        <v>1536</v>
      </c>
      <c r="F74" t="s">
        <v>1755</v>
      </c>
      <c r="G74" t="s">
        <v>2166</v>
      </c>
      <c r="H74" s="37" t="s">
        <v>11</v>
      </c>
      <c r="I74" s="37" t="s">
        <v>13</v>
      </c>
      <c r="J74" t="s">
        <v>16</v>
      </c>
      <c r="K74" t="s">
        <v>1748</v>
      </c>
      <c r="L74" t="s">
        <v>1640</v>
      </c>
      <c r="M74" t="s">
        <v>1641</v>
      </c>
      <c r="N74" s="10">
        <v>24.1</v>
      </c>
      <c r="P74" t="s">
        <v>1871</v>
      </c>
    </row>
    <row r="75" spans="1:16" x14ac:dyDescent="0.35">
      <c r="A75">
        <v>2023</v>
      </c>
      <c r="B75" t="s">
        <v>1537</v>
      </c>
      <c r="C75" t="s">
        <v>756</v>
      </c>
      <c r="D75" t="s">
        <v>1536</v>
      </c>
      <c r="F75" t="s">
        <v>1755</v>
      </c>
      <c r="G75" t="s">
        <v>2166</v>
      </c>
      <c r="H75" s="37" t="s">
        <v>11</v>
      </c>
      <c r="I75" s="37" t="s">
        <v>13</v>
      </c>
      <c r="J75" t="s">
        <v>16</v>
      </c>
      <c r="K75" t="s">
        <v>1748</v>
      </c>
      <c r="L75" t="s">
        <v>1642</v>
      </c>
      <c r="M75" t="s">
        <v>1641</v>
      </c>
      <c r="N75" s="10">
        <v>13.8</v>
      </c>
      <c r="P75" t="s">
        <v>1871</v>
      </c>
    </row>
    <row r="76" spans="1:16" x14ac:dyDescent="0.35">
      <c r="A76">
        <v>2023</v>
      </c>
      <c r="B76" t="s">
        <v>1537</v>
      </c>
      <c r="C76" t="s">
        <v>756</v>
      </c>
      <c r="D76" t="s">
        <v>1536</v>
      </c>
      <c r="F76" t="s">
        <v>1755</v>
      </c>
      <c r="G76" t="s">
        <v>2166</v>
      </c>
      <c r="H76" s="37" t="s">
        <v>11</v>
      </c>
      <c r="I76" s="37" t="s">
        <v>13</v>
      </c>
      <c r="J76" t="s">
        <v>16</v>
      </c>
      <c r="K76" t="s">
        <v>1748</v>
      </c>
      <c r="L76" t="s">
        <v>1644</v>
      </c>
      <c r="M76" t="s">
        <v>1643</v>
      </c>
      <c r="N76" s="10">
        <v>1573733.1</v>
      </c>
      <c r="P76" t="s">
        <v>1871</v>
      </c>
    </row>
    <row r="77" spans="1:16" x14ac:dyDescent="0.35">
      <c r="A77">
        <v>2023</v>
      </c>
      <c r="B77" t="s">
        <v>1537</v>
      </c>
      <c r="C77" t="s">
        <v>756</v>
      </c>
      <c r="D77" t="s">
        <v>1536</v>
      </c>
      <c r="F77" t="s">
        <v>1755</v>
      </c>
      <c r="G77" t="s">
        <v>2166</v>
      </c>
      <c r="H77" s="37" t="s">
        <v>11</v>
      </c>
      <c r="I77" s="37" t="s">
        <v>13</v>
      </c>
      <c r="J77" t="s">
        <v>16</v>
      </c>
      <c r="K77" t="s">
        <v>1748</v>
      </c>
      <c r="L77" t="s">
        <v>1645</v>
      </c>
      <c r="M77" t="s">
        <v>1643</v>
      </c>
      <c r="N77" s="10">
        <v>401350</v>
      </c>
      <c r="P77" t="s">
        <v>1871</v>
      </c>
    </row>
    <row r="78" spans="1:16" x14ac:dyDescent="0.35">
      <c r="A78">
        <v>2023</v>
      </c>
      <c r="B78" t="s">
        <v>1537</v>
      </c>
      <c r="C78" t="s">
        <v>756</v>
      </c>
      <c r="D78" t="s">
        <v>1536</v>
      </c>
      <c r="F78" t="s">
        <v>1755</v>
      </c>
      <c r="G78" t="s">
        <v>2166</v>
      </c>
      <c r="H78" s="37" t="s">
        <v>11</v>
      </c>
      <c r="I78" s="37" t="s">
        <v>13</v>
      </c>
      <c r="J78" t="s">
        <v>16</v>
      </c>
      <c r="K78" t="s">
        <v>1748</v>
      </c>
      <c r="L78" t="s">
        <v>1646</v>
      </c>
      <c r="M78" t="s">
        <v>1546</v>
      </c>
      <c r="N78" s="10">
        <v>103803</v>
      </c>
      <c r="P78" t="s">
        <v>1871</v>
      </c>
    </row>
    <row r="79" spans="1:16" x14ac:dyDescent="0.35">
      <c r="A79">
        <v>2023</v>
      </c>
      <c r="B79" t="s">
        <v>1537</v>
      </c>
      <c r="C79" t="s">
        <v>756</v>
      </c>
      <c r="D79" t="s">
        <v>1536</v>
      </c>
      <c r="F79" t="s">
        <v>1755</v>
      </c>
      <c r="G79" t="s">
        <v>2166</v>
      </c>
      <c r="H79" s="37" t="s">
        <v>11</v>
      </c>
      <c r="I79" s="37" t="s">
        <v>13</v>
      </c>
      <c r="J79" t="s">
        <v>16</v>
      </c>
      <c r="K79" t="s">
        <v>1748</v>
      </c>
      <c r="L79" t="s">
        <v>1647</v>
      </c>
      <c r="M79" t="s">
        <v>1546</v>
      </c>
      <c r="N79" s="10">
        <v>573800</v>
      </c>
      <c r="P79" t="s">
        <v>1871</v>
      </c>
    </row>
    <row r="80" spans="1:16" x14ac:dyDescent="0.35">
      <c r="A80">
        <v>2023</v>
      </c>
      <c r="B80" t="s">
        <v>1537</v>
      </c>
      <c r="C80" t="s">
        <v>902</v>
      </c>
      <c r="D80" t="s">
        <v>1951</v>
      </c>
      <c r="F80" t="s">
        <v>1950</v>
      </c>
      <c r="G80" t="s">
        <v>2187</v>
      </c>
      <c r="H80" s="37" t="s">
        <v>11</v>
      </c>
      <c r="I80" s="37" t="s">
        <v>44</v>
      </c>
      <c r="J80" t="s">
        <v>16</v>
      </c>
      <c r="K80" t="s">
        <v>1748</v>
      </c>
      <c r="L80" t="s">
        <v>1952</v>
      </c>
      <c r="M80" t="s">
        <v>1546</v>
      </c>
      <c r="N80" s="10">
        <v>318053</v>
      </c>
      <c r="P80" t="s">
        <v>1892</v>
      </c>
    </row>
    <row r="81" spans="1:16" x14ac:dyDescent="0.35">
      <c r="A81">
        <v>2023</v>
      </c>
      <c r="B81" t="s">
        <v>1537</v>
      </c>
      <c r="C81" t="s">
        <v>902</v>
      </c>
      <c r="D81" t="s">
        <v>1951</v>
      </c>
      <c r="F81" t="s">
        <v>1950</v>
      </c>
      <c r="G81" t="s">
        <v>2187</v>
      </c>
      <c r="H81" s="37" t="s">
        <v>11</v>
      </c>
      <c r="I81" s="37" t="s">
        <v>44</v>
      </c>
      <c r="J81" t="s">
        <v>16</v>
      </c>
      <c r="K81" t="s">
        <v>1748</v>
      </c>
      <c r="L81" t="s">
        <v>1832</v>
      </c>
      <c r="M81" t="s">
        <v>1546</v>
      </c>
      <c r="N81" s="10">
        <v>307070</v>
      </c>
      <c r="P81" t="s">
        <v>1892</v>
      </c>
    </row>
    <row r="82" spans="1:16" x14ac:dyDescent="0.35">
      <c r="A82">
        <v>2023</v>
      </c>
      <c r="B82" t="s">
        <v>1537</v>
      </c>
      <c r="C82" t="s">
        <v>902</v>
      </c>
      <c r="D82" t="s">
        <v>1951</v>
      </c>
      <c r="F82" t="s">
        <v>1950</v>
      </c>
      <c r="G82" t="s">
        <v>2187</v>
      </c>
      <c r="H82" s="37" t="s">
        <v>11</v>
      </c>
      <c r="I82" s="37" t="s">
        <v>44</v>
      </c>
      <c r="J82" t="s">
        <v>16</v>
      </c>
      <c r="K82" t="s">
        <v>1748</v>
      </c>
      <c r="L82" t="s">
        <v>1953</v>
      </c>
      <c r="M82" t="s">
        <v>1546</v>
      </c>
      <c r="N82" s="10">
        <v>307070</v>
      </c>
      <c r="P82" t="s">
        <v>1892</v>
      </c>
    </row>
    <row r="83" spans="1:16" x14ac:dyDescent="0.35">
      <c r="A83">
        <v>2023</v>
      </c>
      <c r="B83" t="s">
        <v>1537</v>
      </c>
      <c r="C83" t="s">
        <v>902</v>
      </c>
      <c r="D83" t="s">
        <v>1951</v>
      </c>
      <c r="F83" t="s">
        <v>1950</v>
      </c>
      <c r="G83" t="s">
        <v>2187</v>
      </c>
      <c r="H83" s="37" t="s">
        <v>11</v>
      </c>
      <c r="I83" s="37" t="s">
        <v>44</v>
      </c>
      <c r="J83" t="s">
        <v>16</v>
      </c>
      <c r="K83" t="s">
        <v>1748</v>
      </c>
      <c r="L83" t="s">
        <v>1761</v>
      </c>
      <c r="M83" t="s">
        <v>1546</v>
      </c>
      <c r="N83" s="10">
        <v>84</v>
      </c>
      <c r="P83" t="s">
        <v>1892</v>
      </c>
    </row>
    <row r="84" spans="1:16" x14ac:dyDescent="0.35">
      <c r="A84">
        <v>2023</v>
      </c>
      <c r="B84" t="s">
        <v>772</v>
      </c>
      <c r="C84" t="s">
        <v>135</v>
      </c>
      <c r="D84" t="s">
        <v>136</v>
      </c>
      <c r="E84" t="s">
        <v>1395</v>
      </c>
      <c r="G84" t="s">
        <v>2200</v>
      </c>
      <c r="H84" s="37" t="s">
        <v>11</v>
      </c>
      <c r="I84" s="37" t="s">
        <v>19</v>
      </c>
      <c r="J84" t="s">
        <v>137</v>
      </c>
      <c r="K84" t="s">
        <v>1748</v>
      </c>
      <c r="L84" t="s">
        <v>1622</v>
      </c>
      <c r="M84" t="s">
        <v>1546</v>
      </c>
      <c r="N84" s="10">
        <v>27122843</v>
      </c>
      <c r="P84" t="s">
        <v>1892</v>
      </c>
    </row>
    <row r="85" spans="1:16" x14ac:dyDescent="0.35">
      <c r="A85">
        <v>2023</v>
      </c>
      <c r="B85" t="s">
        <v>772</v>
      </c>
      <c r="C85" t="s">
        <v>135</v>
      </c>
      <c r="D85" t="s">
        <v>136</v>
      </c>
      <c r="E85" t="s">
        <v>1395</v>
      </c>
      <c r="G85" t="s">
        <v>2200</v>
      </c>
      <c r="H85" s="37" t="s">
        <v>11</v>
      </c>
      <c r="I85" s="37" t="s">
        <v>19</v>
      </c>
      <c r="J85" t="s">
        <v>137</v>
      </c>
      <c r="K85" t="s">
        <v>1748</v>
      </c>
      <c r="L85" t="s">
        <v>1711</v>
      </c>
      <c r="M85" t="s">
        <v>1546</v>
      </c>
      <c r="N85" s="10">
        <v>44910851</v>
      </c>
      <c r="P85" t="s">
        <v>1892</v>
      </c>
    </row>
    <row r="86" spans="1:16" x14ac:dyDescent="0.35">
      <c r="A86">
        <v>2023</v>
      </c>
      <c r="B86" t="s">
        <v>772</v>
      </c>
      <c r="C86" t="s">
        <v>730</v>
      </c>
      <c r="D86" t="s">
        <v>59</v>
      </c>
      <c r="E86" t="s">
        <v>1439</v>
      </c>
      <c r="G86" t="s">
        <v>2220</v>
      </c>
      <c r="H86" s="37" t="s">
        <v>11</v>
      </c>
      <c r="I86" s="37" t="s">
        <v>13</v>
      </c>
      <c r="J86" t="s">
        <v>16</v>
      </c>
      <c r="K86" t="s">
        <v>1748</v>
      </c>
      <c r="L86" t="s">
        <v>1711</v>
      </c>
      <c r="M86" t="s">
        <v>1546</v>
      </c>
      <c r="N86" s="10">
        <v>144569</v>
      </c>
      <c r="P86" t="s">
        <v>1872</v>
      </c>
    </row>
    <row r="87" spans="1:16" x14ac:dyDescent="0.35">
      <c r="A87">
        <v>2023</v>
      </c>
      <c r="B87" t="s">
        <v>772</v>
      </c>
      <c r="C87" t="s">
        <v>730</v>
      </c>
      <c r="D87" t="s">
        <v>59</v>
      </c>
      <c r="E87" t="s">
        <v>1439</v>
      </c>
      <c r="G87" t="s">
        <v>2220</v>
      </c>
      <c r="H87" s="37" t="s">
        <v>11</v>
      </c>
      <c r="I87" s="37" t="s">
        <v>13</v>
      </c>
      <c r="J87" t="s">
        <v>16</v>
      </c>
      <c r="K87" t="s">
        <v>1748</v>
      </c>
      <c r="L87" t="s">
        <v>1731</v>
      </c>
      <c r="M87" t="s">
        <v>1546</v>
      </c>
      <c r="N87" s="10">
        <v>225768</v>
      </c>
      <c r="P87" t="s">
        <v>1872</v>
      </c>
    </row>
    <row r="88" spans="1:16" x14ac:dyDescent="0.35">
      <c r="A88">
        <v>2023</v>
      </c>
      <c r="B88" t="s">
        <v>772</v>
      </c>
      <c r="C88" t="s">
        <v>730</v>
      </c>
      <c r="D88" t="s">
        <v>59</v>
      </c>
      <c r="E88" t="s">
        <v>1439</v>
      </c>
      <c r="G88" t="s">
        <v>2220</v>
      </c>
      <c r="H88" s="37" t="s">
        <v>11</v>
      </c>
      <c r="I88" s="37" t="s">
        <v>13</v>
      </c>
      <c r="J88" t="s">
        <v>16</v>
      </c>
      <c r="K88" t="s">
        <v>1748</v>
      </c>
      <c r="L88" t="s">
        <v>1697</v>
      </c>
      <c r="M88" t="s">
        <v>1546</v>
      </c>
      <c r="N88" s="10">
        <v>1486</v>
      </c>
      <c r="P88" t="s">
        <v>1872</v>
      </c>
    </row>
    <row r="89" spans="1:16" x14ac:dyDescent="0.35">
      <c r="A89">
        <v>2023</v>
      </c>
      <c r="B89" t="s">
        <v>772</v>
      </c>
      <c r="C89" t="s">
        <v>730</v>
      </c>
      <c r="D89" t="s">
        <v>60</v>
      </c>
      <c r="E89" t="s">
        <v>1437</v>
      </c>
      <c r="G89" t="s">
        <v>2220</v>
      </c>
      <c r="H89" s="37" t="s">
        <v>11</v>
      </c>
      <c r="I89" s="37" t="s">
        <v>19</v>
      </c>
      <c r="J89" t="s">
        <v>16</v>
      </c>
      <c r="K89" t="s">
        <v>1748</v>
      </c>
      <c r="L89" t="s">
        <v>1711</v>
      </c>
      <c r="M89" t="s">
        <v>1546</v>
      </c>
      <c r="N89" s="10">
        <v>162150</v>
      </c>
      <c r="P89" t="s">
        <v>1872</v>
      </c>
    </row>
    <row r="90" spans="1:16" x14ac:dyDescent="0.35">
      <c r="A90">
        <v>2023</v>
      </c>
      <c r="B90" t="s">
        <v>772</v>
      </c>
      <c r="C90" t="s">
        <v>730</v>
      </c>
      <c r="D90" t="s">
        <v>60</v>
      </c>
      <c r="E90" t="s">
        <v>1437</v>
      </c>
      <c r="G90" t="s">
        <v>2220</v>
      </c>
      <c r="H90" s="37" t="s">
        <v>11</v>
      </c>
      <c r="I90" s="37" t="s">
        <v>19</v>
      </c>
      <c r="J90" t="s">
        <v>16</v>
      </c>
      <c r="K90" t="s">
        <v>1748</v>
      </c>
      <c r="L90" t="s">
        <v>1731</v>
      </c>
      <c r="M90" t="s">
        <v>1546</v>
      </c>
      <c r="N90" s="10">
        <v>198644</v>
      </c>
      <c r="P90" t="s">
        <v>1872</v>
      </c>
    </row>
    <row r="91" spans="1:16" x14ac:dyDescent="0.35">
      <c r="A91">
        <v>2023</v>
      </c>
      <c r="B91" t="s">
        <v>772</v>
      </c>
      <c r="C91" t="s">
        <v>730</v>
      </c>
      <c r="D91" t="s">
        <v>60</v>
      </c>
      <c r="E91" t="s">
        <v>1437</v>
      </c>
      <c r="G91" t="s">
        <v>2220</v>
      </c>
      <c r="H91" s="37" t="s">
        <v>11</v>
      </c>
      <c r="I91" s="37" t="s">
        <v>19</v>
      </c>
      <c r="J91" t="s">
        <v>16</v>
      </c>
      <c r="K91" t="s">
        <v>1748</v>
      </c>
      <c r="L91" t="s">
        <v>1697</v>
      </c>
      <c r="M91" t="s">
        <v>1546</v>
      </c>
      <c r="N91" s="10">
        <v>749</v>
      </c>
      <c r="P91" t="s">
        <v>1872</v>
      </c>
    </row>
  </sheetData>
  <autoFilter ref="A1:P91" xr:uid="{153190BF-FAE6-43C5-A8B6-7E5198DE0C9A}">
    <sortState xmlns:xlrd2="http://schemas.microsoft.com/office/spreadsheetml/2017/richdata2" ref="A2:P91">
      <sortCondition ref="C1:C91"/>
    </sortState>
  </autoFilter>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5A778-F666-4D25-9615-BD5BD598548E}">
  <dimension ref="A1:T316"/>
  <sheetViews>
    <sheetView topLeftCell="P1" zoomScaleNormal="100" workbookViewId="0">
      <selection activeCell="S308" sqref="S308"/>
    </sheetView>
  </sheetViews>
  <sheetFormatPr baseColWidth="10" defaultColWidth="8.7265625" defaultRowHeight="14.5" x14ac:dyDescent="0.35"/>
  <cols>
    <col min="2" max="2" width="17" bestFit="1" customWidth="1"/>
    <col min="3" max="3" width="31.08984375" bestFit="1" customWidth="1"/>
    <col min="4" max="4" width="21.08984375" bestFit="1" customWidth="1"/>
    <col min="5" max="5" width="18.1796875" bestFit="1" customWidth="1"/>
    <col min="6" max="7" width="18.81640625" customWidth="1"/>
    <col min="8" max="8" width="24.1796875" style="37" bestFit="1" customWidth="1"/>
    <col min="9" max="9" width="31.453125" style="37" bestFit="1" customWidth="1"/>
    <col min="10" max="10" width="83.36328125" bestFit="1" customWidth="1"/>
    <col min="11" max="11" width="21.6328125" bestFit="1" customWidth="1"/>
    <col min="12" max="12" width="21.6328125" customWidth="1"/>
    <col min="13" max="13" width="18.90625" bestFit="1" customWidth="1"/>
    <col min="14" max="14" width="36.81640625" bestFit="1" customWidth="1"/>
    <col min="15" max="15" width="36.81640625" customWidth="1"/>
    <col min="16" max="16" width="66.6328125" bestFit="1" customWidth="1"/>
    <col min="17" max="17" width="16.54296875" bestFit="1" customWidth="1"/>
    <col min="18" max="18" width="23.6328125" style="10" bestFit="1" customWidth="1"/>
    <col min="19" max="19" width="121.08984375" bestFit="1" customWidth="1"/>
    <col min="20" max="20" width="56.453125" bestFit="1" customWidth="1"/>
  </cols>
  <sheetData>
    <row r="1" spans="1:20" x14ac:dyDescent="0.35">
      <c r="A1" s="6" t="s">
        <v>1538</v>
      </c>
      <c r="B1" s="6" t="s">
        <v>1553</v>
      </c>
      <c r="C1" s="7" t="s">
        <v>0</v>
      </c>
      <c r="D1" s="6" t="s">
        <v>1653</v>
      </c>
      <c r="E1" s="6" t="s">
        <v>2</v>
      </c>
      <c r="F1" s="6" t="s">
        <v>2030</v>
      </c>
      <c r="G1" s="6" t="s">
        <v>2028</v>
      </c>
      <c r="H1" s="36" t="s">
        <v>4</v>
      </c>
      <c r="I1" s="36" t="s">
        <v>6</v>
      </c>
      <c r="J1" s="6" t="s">
        <v>1540</v>
      </c>
      <c r="K1" s="6" t="s">
        <v>3063</v>
      </c>
      <c r="L1" s="6" t="s">
        <v>3093</v>
      </c>
      <c r="M1" s="6" t="s">
        <v>3092</v>
      </c>
      <c r="N1" s="6" t="s">
        <v>3004</v>
      </c>
      <c r="O1" s="6" t="s">
        <v>3081</v>
      </c>
      <c r="P1" s="6" t="s">
        <v>3008</v>
      </c>
      <c r="Q1" s="6" t="s">
        <v>1542</v>
      </c>
      <c r="R1" s="9" t="s">
        <v>2505</v>
      </c>
      <c r="S1" s="6" t="s">
        <v>7</v>
      </c>
      <c r="T1" s="6" t="s">
        <v>1543</v>
      </c>
    </row>
    <row r="2" spans="1:20" x14ac:dyDescent="0.35">
      <c r="A2">
        <v>2023</v>
      </c>
      <c r="B2" t="s">
        <v>772</v>
      </c>
      <c r="C2" t="s">
        <v>14</v>
      </c>
      <c r="D2" t="s">
        <v>65</v>
      </c>
      <c r="E2" t="s">
        <v>1125</v>
      </c>
      <c r="G2" t="s">
        <v>2034</v>
      </c>
      <c r="H2" s="37" t="s">
        <v>11</v>
      </c>
      <c r="I2" s="37" t="s">
        <v>13</v>
      </c>
      <c r="J2" t="s">
        <v>64</v>
      </c>
      <c r="K2" t="s">
        <v>3007</v>
      </c>
      <c r="L2" t="s">
        <v>3094</v>
      </c>
      <c r="M2" t="s">
        <v>3083</v>
      </c>
      <c r="N2" t="s">
        <v>1636</v>
      </c>
      <c r="O2" s="39" t="s">
        <v>3087</v>
      </c>
      <c r="P2" t="s">
        <v>707</v>
      </c>
      <c r="Q2" t="s">
        <v>1546</v>
      </c>
      <c r="R2" s="10">
        <v>4802</v>
      </c>
      <c r="S2" s="21" t="s">
        <v>1675</v>
      </c>
      <c r="T2" t="s">
        <v>2997</v>
      </c>
    </row>
    <row r="3" spans="1:20" x14ac:dyDescent="0.35">
      <c r="A3">
        <v>2023</v>
      </c>
      <c r="B3" t="s">
        <v>772</v>
      </c>
      <c r="C3" t="s">
        <v>14</v>
      </c>
      <c r="D3" t="s">
        <v>65</v>
      </c>
      <c r="E3" t="s">
        <v>1125</v>
      </c>
      <c r="G3" t="s">
        <v>2034</v>
      </c>
      <c r="H3" s="37" t="s">
        <v>11</v>
      </c>
      <c r="I3" s="37" t="s">
        <v>13</v>
      </c>
      <c r="J3" t="s">
        <v>64</v>
      </c>
      <c r="K3" t="s">
        <v>3007</v>
      </c>
      <c r="L3" t="s">
        <v>3094</v>
      </c>
      <c r="M3" t="s">
        <v>3083</v>
      </c>
      <c r="N3" t="s">
        <v>1637</v>
      </c>
      <c r="O3" s="39" t="s">
        <v>3091</v>
      </c>
      <c r="P3" t="s">
        <v>707</v>
      </c>
      <c r="Q3" t="s">
        <v>1546</v>
      </c>
      <c r="R3" s="10">
        <v>315</v>
      </c>
      <c r="S3" s="21" t="s">
        <v>1675</v>
      </c>
      <c r="T3" t="s">
        <v>2997</v>
      </c>
    </row>
    <row r="4" spans="1:20" x14ac:dyDescent="0.35">
      <c r="A4">
        <v>2023</v>
      </c>
      <c r="B4" t="s">
        <v>772</v>
      </c>
      <c r="C4" t="s">
        <v>14</v>
      </c>
      <c r="D4" t="s">
        <v>65</v>
      </c>
      <c r="E4" t="s">
        <v>1125</v>
      </c>
      <c r="G4" t="s">
        <v>2034</v>
      </c>
      <c r="H4" s="37" t="s">
        <v>11</v>
      </c>
      <c r="I4" s="37" t="s">
        <v>13</v>
      </c>
      <c r="J4" t="s">
        <v>64</v>
      </c>
      <c r="K4" t="s">
        <v>3006</v>
      </c>
      <c r="L4" t="s">
        <v>3096</v>
      </c>
      <c r="M4" t="s">
        <v>3083</v>
      </c>
      <c r="N4" t="s">
        <v>3006</v>
      </c>
      <c r="O4" s="39" t="s">
        <v>3086</v>
      </c>
      <c r="P4" t="s">
        <v>1616</v>
      </c>
      <c r="Q4" t="s">
        <v>1638</v>
      </c>
      <c r="R4" s="10">
        <v>12904502</v>
      </c>
      <c r="S4" t="s">
        <v>1616</v>
      </c>
      <c r="T4" t="s">
        <v>2997</v>
      </c>
    </row>
    <row r="5" spans="1:20" x14ac:dyDescent="0.35">
      <c r="A5">
        <v>2023</v>
      </c>
      <c r="B5" t="s">
        <v>772</v>
      </c>
      <c r="C5" t="s">
        <v>14</v>
      </c>
      <c r="D5" t="s">
        <v>65</v>
      </c>
      <c r="E5" t="s">
        <v>1125</v>
      </c>
      <c r="G5" t="s">
        <v>2034</v>
      </c>
      <c r="H5" s="37" t="s">
        <v>11</v>
      </c>
      <c r="I5" s="37" t="s">
        <v>13</v>
      </c>
      <c r="J5" t="s">
        <v>64</v>
      </c>
      <c r="K5" t="s">
        <v>3006</v>
      </c>
      <c r="L5" t="s">
        <v>3096</v>
      </c>
      <c r="M5" t="s">
        <v>3083</v>
      </c>
      <c r="N5" t="s">
        <v>3006</v>
      </c>
      <c r="O5" s="39" t="s">
        <v>3086</v>
      </c>
      <c r="P5" t="s">
        <v>1676</v>
      </c>
      <c r="Q5" t="s">
        <v>1638</v>
      </c>
      <c r="R5" s="10">
        <v>635385</v>
      </c>
      <c r="S5" t="s">
        <v>1676</v>
      </c>
      <c r="T5" t="s">
        <v>2997</v>
      </c>
    </row>
    <row r="6" spans="1:20" x14ac:dyDescent="0.35">
      <c r="A6">
        <v>2023</v>
      </c>
      <c r="B6" t="s">
        <v>772</v>
      </c>
      <c r="C6" t="s">
        <v>14</v>
      </c>
      <c r="D6" t="s">
        <v>65</v>
      </c>
      <c r="E6" t="s">
        <v>1125</v>
      </c>
      <c r="G6" t="s">
        <v>2034</v>
      </c>
      <c r="H6" s="37" t="s">
        <v>11</v>
      </c>
      <c r="I6" s="37" t="s">
        <v>13</v>
      </c>
      <c r="J6" t="s">
        <v>64</v>
      </c>
      <c r="K6" t="s">
        <v>3006</v>
      </c>
      <c r="L6" t="s">
        <v>3098</v>
      </c>
      <c r="M6" t="s">
        <v>3083</v>
      </c>
      <c r="N6" t="s">
        <v>3006</v>
      </c>
      <c r="O6" s="39" t="s">
        <v>3086</v>
      </c>
      <c r="P6" t="s">
        <v>1639</v>
      </c>
      <c r="Q6" t="s">
        <v>1638</v>
      </c>
      <c r="R6" s="10">
        <v>12929907</v>
      </c>
      <c r="S6" t="s">
        <v>1639</v>
      </c>
      <c r="T6" t="s">
        <v>2997</v>
      </c>
    </row>
    <row r="7" spans="1:20" x14ac:dyDescent="0.35">
      <c r="A7">
        <v>2023</v>
      </c>
      <c r="B7" t="s">
        <v>772</v>
      </c>
      <c r="C7" t="s">
        <v>14</v>
      </c>
      <c r="D7" t="s">
        <v>65</v>
      </c>
      <c r="E7" t="s">
        <v>1125</v>
      </c>
      <c r="G7" t="s">
        <v>2034</v>
      </c>
      <c r="H7" s="37" t="s">
        <v>11</v>
      </c>
      <c r="I7" s="37" t="s">
        <v>13</v>
      </c>
      <c r="J7" t="s">
        <v>64</v>
      </c>
      <c r="K7" t="s">
        <v>3006</v>
      </c>
      <c r="L7" t="s">
        <v>3097</v>
      </c>
      <c r="M7" t="s">
        <v>3083</v>
      </c>
      <c r="N7" t="s">
        <v>3006</v>
      </c>
      <c r="O7" s="39" t="s">
        <v>3086</v>
      </c>
      <c r="P7" t="s">
        <v>1680</v>
      </c>
      <c r="Q7" t="s">
        <v>1638</v>
      </c>
      <c r="R7" s="10">
        <v>7468148</v>
      </c>
      <c r="S7" t="s">
        <v>1680</v>
      </c>
      <c r="T7" t="s">
        <v>2997</v>
      </c>
    </row>
    <row r="8" spans="1:20" x14ac:dyDescent="0.35">
      <c r="A8">
        <v>2023</v>
      </c>
      <c r="B8" t="s">
        <v>772</v>
      </c>
      <c r="C8" t="s">
        <v>14</v>
      </c>
      <c r="D8" t="s">
        <v>65</v>
      </c>
      <c r="E8" t="s">
        <v>1125</v>
      </c>
      <c r="G8" t="s">
        <v>2034</v>
      </c>
      <c r="H8" s="37" t="s">
        <v>11</v>
      </c>
      <c r="I8" s="37" t="s">
        <v>13</v>
      </c>
      <c r="J8" t="s">
        <v>64</v>
      </c>
      <c r="K8" t="s">
        <v>3005</v>
      </c>
      <c r="L8" t="s">
        <v>3095</v>
      </c>
      <c r="O8" s="39"/>
      <c r="P8" t="s">
        <v>1686</v>
      </c>
      <c r="Q8" t="s">
        <v>1629</v>
      </c>
      <c r="R8" s="10">
        <v>2445</v>
      </c>
      <c r="S8" t="s">
        <v>1686</v>
      </c>
      <c r="T8" t="s">
        <v>2997</v>
      </c>
    </row>
    <row r="9" spans="1:20" x14ac:dyDescent="0.35">
      <c r="A9">
        <v>2023</v>
      </c>
      <c r="B9" t="s">
        <v>772</v>
      </c>
      <c r="C9" t="s">
        <v>14</v>
      </c>
      <c r="D9" t="s">
        <v>65</v>
      </c>
      <c r="E9" t="s">
        <v>1125</v>
      </c>
      <c r="G9" t="s">
        <v>2034</v>
      </c>
      <c r="H9" s="37" t="s">
        <v>11</v>
      </c>
      <c r="I9" s="37" t="s">
        <v>13</v>
      </c>
      <c r="J9" t="s">
        <v>64</v>
      </c>
      <c r="K9" t="s">
        <v>3005</v>
      </c>
      <c r="L9" t="s">
        <v>3095</v>
      </c>
      <c r="O9" s="39"/>
      <c r="P9" t="s">
        <v>1687</v>
      </c>
      <c r="Q9" t="s">
        <v>1629</v>
      </c>
      <c r="R9" s="10">
        <v>2074</v>
      </c>
      <c r="S9" t="s">
        <v>1687</v>
      </c>
      <c r="T9" t="s">
        <v>2997</v>
      </c>
    </row>
    <row r="10" spans="1:20" x14ac:dyDescent="0.35">
      <c r="A10">
        <v>2023</v>
      </c>
      <c r="B10" t="s">
        <v>772</v>
      </c>
      <c r="C10" t="s">
        <v>14</v>
      </c>
      <c r="D10" t="s">
        <v>65</v>
      </c>
      <c r="E10" t="s">
        <v>1125</v>
      </c>
      <c r="G10" t="s">
        <v>2034</v>
      </c>
      <c r="H10" s="37" t="s">
        <v>11</v>
      </c>
      <c r="I10" s="37" t="s">
        <v>13</v>
      </c>
      <c r="J10" t="s">
        <v>64</v>
      </c>
      <c r="K10" t="s">
        <v>3005</v>
      </c>
      <c r="L10" t="s">
        <v>3095</v>
      </c>
      <c r="O10" s="39"/>
      <c r="P10" t="s">
        <v>1688</v>
      </c>
      <c r="Q10" t="s">
        <v>1629</v>
      </c>
      <c r="R10" s="10">
        <v>371</v>
      </c>
      <c r="S10" t="s">
        <v>1688</v>
      </c>
      <c r="T10" t="s">
        <v>2997</v>
      </c>
    </row>
    <row r="11" spans="1:20" x14ac:dyDescent="0.35">
      <c r="A11">
        <v>2023</v>
      </c>
      <c r="B11" t="s">
        <v>772</v>
      </c>
      <c r="C11" t="s">
        <v>14</v>
      </c>
      <c r="D11" t="s">
        <v>18</v>
      </c>
      <c r="E11" t="s">
        <v>1127</v>
      </c>
      <c r="G11" t="s">
        <v>2034</v>
      </c>
      <c r="H11" s="37" t="s">
        <v>11</v>
      </c>
      <c r="I11" s="37" t="s">
        <v>19</v>
      </c>
      <c r="J11" t="s">
        <v>16</v>
      </c>
      <c r="K11" t="s">
        <v>3007</v>
      </c>
      <c r="L11" t="s">
        <v>3094</v>
      </c>
      <c r="M11" t="s">
        <v>3083</v>
      </c>
      <c r="N11" t="s">
        <v>1636</v>
      </c>
      <c r="O11" s="39" t="s">
        <v>3087</v>
      </c>
      <c r="P11" t="s">
        <v>707</v>
      </c>
      <c r="Q11" t="s">
        <v>1546</v>
      </c>
      <c r="R11" s="10">
        <v>7414</v>
      </c>
      <c r="S11" s="21" t="s">
        <v>1675</v>
      </c>
      <c r="T11" t="s">
        <v>2997</v>
      </c>
    </row>
    <row r="12" spans="1:20" x14ac:dyDescent="0.35">
      <c r="A12">
        <v>2023</v>
      </c>
      <c r="B12" t="s">
        <v>772</v>
      </c>
      <c r="C12" t="s">
        <v>14</v>
      </c>
      <c r="D12" t="s">
        <v>18</v>
      </c>
      <c r="E12" t="s">
        <v>1127</v>
      </c>
      <c r="G12" t="s">
        <v>2034</v>
      </c>
      <c r="H12" s="37" t="s">
        <v>11</v>
      </c>
      <c r="I12" s="37" t="s">
        <v>19</v>
      </c>
      <c r="J12" t="s">
        <v>16</v>
      </c>
      <c r="K12" t="s">
        <v>3007</v>
      </c>
      <c r="L12" t="s">
        <v>3094</v>
      </c>
      <c r="M12" t="s">
        <v>3083</v>
      </c>
      <c r="N12" t="s">
        <v>1637</v>
      </c>
      <c r="O12" s="39" t="s">
        <v>3091</v>
      </c>
      <c r="P12" t="s">
        <v>707</v>
      </c>
      <c r="Q12" t="s">
        <v>1546</v>
      </c>
      <c r="R12" s="10">
        <v>486</v>
      </c>
      <c r="S12" s="21" t="s">
        <v>1675</v>
      </c>
      <c r="T12" t="s">
        <v>2997</v>
      </c>
    </row>
    <row r="13" spans="1:20" x14ac:dyDescent="0.35">
      <c r="A13">
        <v>2023</v>
      </c>
      <c r="B13" t="s">
        <v>772</v>
      </c>
      <c r="C13" t="s">
        <v>14</v>
      </c>
      <c r="D13" t="s">
        <v>18</v>
      </c>
      <c r="E13" t="s">
        <v>1127</v>
      </c>
      <c r="G13" t="s">
        <v>2034</v>
      </c>
      <c r="H13" s="37" t="s">
        <v>11</v>
      </c>
      <c r="I13" s="37" t="s">
        <v>19</v>
      </c>
      <c r="J13" t="s">
        <v>16</v>
      </c>
      <c r="K13" t="s">
        <v>3006</v>
      </c>
      <c r="L13" t="s">
        <v>3096</v>
      </c>
      <c r="M13" t="s">
        <v>3083</v>
      </c>
      <c r="N13" t="s">
        <v>3006</v>
      </c>
      <c r="O13" s="39" t="s">
        <v>3086</v>
      </c>
      <c r="P13" t="s">
        <v>1616</v>
      </c>
      <c r="Q13" t="s">
        <v>1638</v>
      </c>
      <c r="R13" s="10">
        <v>595540</v>
      </c>
      <c r="S13" t="s">
        <v>1616</v>
      </c>
      <c r="T13" t="s">
        <v>2997</v>
      </c>
    </row>
    <row r="14" spans="1:20" x14ac:dyDescent="0.35">
      <c r="A14">
        <v>2023</v>
      </c>
      <c r="B14" t="s">
        <v>772</v>
      </c>
      <c r="C14" t="s">
        <v>14</v>
      </c>
      <c r="D14" t="s">
        <v>18</v>
      </c>
      <c r="E14" t="s">
        <v>1127</v>
      </c>
      <c r="G14" t="s">
        <v>2034</v>
      </c>
      <c r="H14" s="37" t="s">
        <v>11</v>
      </c>
      <c r="I14" s="37" t="s">
        <v>19</v>
      </c>
      <c r="J14" t="s">
        <v>16</v>
      </c>
      <c r="K14" t="s">
        <v>3006</v>
      </c>
      <c r="L14" t="s">
        <v>3096</v>
      </c>
      <c r="M14" t="s">
        <v>3083</v>
      </c>
      <c r="N14" t="s">
        <v>3006</v>
      </c>
      <c r="O14" s="39" t="s">
        <v>3086</v>
      </c>
      <c r="P14" t="s">
        <v>1676</v>
      </c>
      <c r="Q14" t="s">
        <v>1638</v>
      </c>
      <c r="R14" s="10">
        <v>595540</v>
      </c>
      <c r="S14" t="s">
        <v>1676</v>
      </c>
      <c r="T14" t="s">
        <v>2997</v>
      </c>
    </row>
    <row r="15" spans="1:20" x14ac:dyDescent="0.35">
      <c r="A15">
        <v>2023</v>
      </c>
      <c r="B15" t="s">
        <v>772</v>
      </c>
      <c r="C15" t="s">
        <v>14</v>
      </c>
      <c r="D15" t="s">
        <v>18</v>
      </c>
      <c r="E15" t="s">
        <v>1127</v>
      </c>
      <c r="G15" t="s">
        <v>2034</v>
      </c>
      <c r="H15" s="37" t="s">
        <v>11</v>
      </c>
      <c r="I15" s="37" t="s">
        <v>19</v>
      </c>
      <c r="J15" t="s">
        <v>16</v>
      </c>
      <c r="K15" t="s">
        <v>3006</v>
      </c>
      <c r="L15" t="s">
        <v>3098</v>
      </c>
      <c r="M15" t="s">
        <v>3083</v>
      </c>
      <c r="N15" t="s">
        <v>3006</v>
      </c>
      <c r="O15" s="39" t="s">
        <v>3086</v>
      </c>
      <c r="P15" t="s">
        <v>1639</v>
      </c>
      <c r="Q15" t="s">
        <v>1638</v>
      </c>
      <c r="R15" s="10">
        <v>6298809</v>
      </c>
      <c r="S15" t="s">
        <v>1639</v>
      </c>
      <c r="T15" t="s">
        <v>2997</v>
      </c>
    </row>
    <row r="16" spans="1:20" x14ac:dyDescent="0.35">
      <c r="A16">
        <v>2023</v>
      </c>
      <c r="B16" t="s">
        <v>772</v>
      </c>
      <c r="C16" t="s">
        <v>14</v>
      </c>
      <c r="D16" t="s">
        <v>18</v>
      </c>
      <c r="E16" t="s">
        <v>1127</v>
      </c>
      <c r="G16" t="s">
        <v>2034</v>
      </c>
      <c r="H16" s="37" t="s">
        <v>11</v>
      </c>
      <c r="I16" s="37" t="s">
        <v>19</v>
      </c>
      <c r="J16" t="s">
        <v>16</v>
      </c>
      <c r="K16" t="s">
        <v>3006</v>
      </c>
      <c r="L16" t="s">
        <v>3097</v>
      </c>
      <c r="M16" t="s">
        <v>3083</v>
      </c>
      <c r="N16" t="s">
        <v>3006</v>
      </c>
      <c r="O16" s="39" t="s">
        <v>3086</v>
      </c>
      <c r="P16" t="s">
        <v>1680</v>
      </c>
      <c r="Q16" t="s">
        <v>1638</v>
      </c>
      <c r="R16" s="10">
        <v>4374352</v>
      </c>
      <c r="S16" t="s">
        <v>1680</v>
      </c>
      <c r="T16" t="s">
        <v>2997</v>
      </c>
    </row>
    <row r="17" spans="1:20" x14ac:dyDescent="0.35">
      <c r="A17">
        <v>2023</v>
      </c>
      <c r="B17" t="s">
        <v>772</v>
      </c>
      <c r="C17" t="s">
        <v>14</v>
      </c>
      <c r="D17" t="s">
        <v>18</v>
      </c>
      <c r="E17" t="s">
        <v>1127</v>
      </c>
      <c r="G17" t="s">
        <v>2034</v>
      </c>
      <c r="H17" s="37" t="s">
        <v>11</v>
      </c>
      <c r="I17" s="37" t="s">
        <v>19</v>
      </c>
      <c r="J17" t="s">
        <v>16</v>
      </c>
      <c r="K17" t="s">
        <v>3005</v>
      </c>
      <c r="L17" t="s">
        <v>3095</v>
      </c>
      <c r="O17" s="39"/>
      <c r="P17" t="s">
        <v>1686</v>
      </c>
      <c r="Q17" t="s">
        <v>1629</v>
      </c>
      <c r="R17" s="10">
        <v>64093</v>
      </c>
      <c r="S17" t="s">
        <v>1686</v>
      </c>
      <c r="T17" t="s">
        <v>2997</v>
      </c>
    </row>
    <row r="18" spans="1:20" x14ac:dyDescent="0.35">
      <c r="A18">
        <v>2023</v>
      </c>
      <c r="B18" t="s">
        <v>772</v>
      </c>
      <c r="C18" t="s">
        <v>14</v>
      </c>
      <c r="D18" t="s">
        <v>18</v>
      </c>
      <c r="E18" t="s">
        <v>1127</v>
      </c>
      <c r="G18" t="s">
        <v>2034</v>
      </c>
      <c r="H18" s="37" t="s">
        <v>11</v>
      </c>
      <c r="I18" s="37" t="s">
        <v>19</v>
      </c>
      <c r="J18" t="s">
        <v>16</v>
      </c>
      <c r="K18" t="s">
        <v>3005</v>
      </c>
      <c r="L18" t="s">
        <v>3095</v>
      </c>
      <c r="O18" s="39"/>
      <c r="P18" t="s">
        <v>1687</v>
      </c>
      <c r="Q18" t="s">
        <v>1629</v>
      </c>
      <c r="R18" s="10">
        <v>3399</v>
      </c>
      <c r="S18" t="s">
        <v>1687</v>
      </c>
      <c r="T18" t="s">
        <v>2997</v>
      </c>
    </row>
    <row r="19" spans="1:20" x14ac:dyDescent="0.35">
      <c r="A19">
        <v>2023</v>
      </c>
      <c r="B19" t="s">
        <v>772</v>
      </c>
      <c r="C19" t="s">
        <v>14</v>
      </c>
      <c r="D19" t="s">
        <v>18</v>
      </c>
      <c r="E19" t="s">
        <v>1127</v>
      </c>
      <c r="G19" t="s">
        <v>2034</v>
      </c>
      <c r="H19" s="37" t="s">
        <v>11</v>
      </c>
      <c r="I19" s="37" t="s">
        <v>19</v>
      </c>
      <c r="J19" t="s">
        <v>16</v>
      </c>
      <c r="K19" t="s">
        <v>3005</v>
      </c>
      <c r="L19" t="s">
        <v>3095</v>
      </c>
      <c r="O19" s="39"/>
      <c r="P19" t="s">
        <v>1688</v>
      </c>
      <c r="Q19" t="s">
        <v>1629</v>
      </c>
      <c r="R19" s="10">
        <v>60694</v>
      </c>
      <c r="S19" t="s">
        <v>1688</v>
      </c>
      <c r="T19" t="s">
        <v>2997</v>
      </c>
    </row>
    <row r="20" spans="1:20" x14ac:dyDescent="0.35">
      <c r="A20">
        <v>2023</v>
      </c>
      <c r="B20" t="s">
        <v>772</v>
      </c>
      <c r="C20" t="s">
        <v>14</v>
      </c>
      <c r="D20" t="s">
        <v>66</v>
      </c>
      <c r="E20" t="s">
        <v>1124</v>
      </c>
      <c r="G20" t="s">
        <v>2034</v>
      </c>
      <c r="H20" s="37" t="s">
        <v>11</v>
      </c>
      <c r="I20" s="37" t="s">
        <v>13</v>
      </c>
      <c r="J20" t="s">
        <v>64</v>
      </c>
      <c r="K20" t="s">
        <v>3007</v>
      </c>
      <c r="L20" t="s">
        <v>3094</v>
      </c>
      <c r="M20" t="s">
        <v>3083</v>
      </c>
      <c r="N20" t="s">
        <v>1636</v>
      </c>
      <c r="O20" s="39" t="s">
        <v>3087</v>
      </c>
      <c r="P20" t="s">
        <v>707</v>
      </c>
      <c r="Q20" t="s">
        <v>1546</v>
      </c>
      <c r="R20" s="10">
        <v>4</v>
      </c>
      <c r="S20" s="21" t="s">
        <v>1675</v>
      </c>
      <c r="T20" t="s">
        <v>2997</v>
      </c>
    </row>
    <row r="21" spans="1:20" x14ac:dyDescent="0.35">
      <c r="A21">
        <v>2023</v>
      </c>
      <c r="B21" t="s">
        <v>772</v>
      </c>
      <c r="C21" t="s">
        <v>14</v>
      </c>
      <c r="D21" t="s">
        <v>66</v>
      </c>
      <c r="E21" t="s">
        <v>1124</v>
      </c>
      <c r="G21" t="s">
        <v>2034</v>
      </c>
      <c r="H21" s="37" t="s">
        <v>11</v>
      </c>
      <c r="I21" s="37" t="s">
        <v>13</v>
      </c>
      <c r="J21" t="s">
        <v>64</v>
      </c>
      <c r="K21" t="s">
        <v>3007</v>
      </c>
      <c r="L21" t="s">
        <v>3094</v>
      </c>
      <c r="M21" t="s">
        <v>3083</v>
      </c>
      <c r="N21" t="s">
        <v>1637</v>
      </c>
      <c r="O21" s="39" t="s">
        <v>3091</v>
      </c>
      <c r="P21" t="s">
        <v>707</v>
      </c>
      <c r="Q21" t="s">
        <v>1546</v>
      </c>
      <c r="R21" s="10">
        <v>38</v>
      </c>
      <c r="S21" s="21" t="s">
        <v>1675</v>
      </c>
      <c r="T21" t="s">
        <v>2997</v>
      </c>
    </row>
    <row r="22" spans="1:20" x14ac:dyDescent="0.35">
      <c r="A22">
        <v>2023</v>
      </c>
      <c r="B22" t="s">
        <v>772</v>
      </c>
      <c r="C22" t="s">
        <v>14</v>
      </c>
      <c r="D22" t="s">
        <v>66</v>
      </c>
      <c r="E22" t="s">
        <v>1124</v>
      </c>
      <c r="G22" t="s">
        <v>2034</v>
      </c>
      <c r="H22" s="37" t="s">
        <v>11</v>
      </c>
      <c r="I22" s="37" t="s">
        <v>13</v>
      </c>
      <c r="J22" t="s">
        <v>64</v>
      </c>
      <c r="K22" t="s">
        <v>3006</v>
      </c>
      <c r="L22" t="s">
        <v>3096</v>
      </c>
      <c r="M22" t="s">
        <v>3083</v>
      </c>
      <c r="N22" t="s">
        <v>3006</v>
      </c>
      <c r="O22" s="39" t="s">
        <v>3086</v>
      </c>
      <c r="P22" t="s">
        <v>1616</v>
      </c>
      <c r="Q22" t="s">
        <v>1638</v>
      </c>
      <c r="R22" s="10">
        <v>1823142.8</v>
      </c>
      <c r="S22" t="s">
        <v>1616</v>
      </c>
      <c r="T22" t="s">
        <v>2997</v>
      </c>
    </row>
    <row r="23" spans="1:20" x14ac:dyDescent="0.35">
      <c r="A23">
        <v>2023</v>
      </c>
      <c r="B23" t="s">
        <v>772</v>
      </c>
      <c r="C23" t="s">
        <v>14</v>
      </c>
      <c r="D23" t="s">
        <v>66</v>
      </c>
      <c r="E23" t="s">
        <v>1124</v>
      </c>
      <c r="G23" t="s">
        <v>2034</v>
      </c>
      <c r="H23" s="37" t="s">
        <v>11</v>
      </c>
      <c r="I23" s="37" t="s">
        <v>13</v>
      </c>
      <c r="J23" t="s">
        <v>64</v>
      </c>
      <c r="K23" t="s">
        <v>3006</v>
      </c>
      <c r="L23" t="s">
        <v>3096</v>
      </c>
      <c r="M23" t="s">
        <v>3083</v>
      </c>
      <c r="N23" t="s">
        <v>3006</v>
      </c>
      <c r="O23" s="39" t="s">
        <v>3086</v>
      </c>
      <c r="P23" t="s">
        <v>1676</v>
      </c>
      <c r="Q23" t="s">
        <v>1638</v>
      </c>
      <c r="R23" s="10">
        <v>1823142.8</v>
      </c>
      <c r="S23" t="s">
        <v>1676</v>
      </c>
      <c r="T23" t="s">
        <v>2997</v>
      </c>
    </row>
    <row r="24" spans="1:20" x14ac:dyDescent="0.35">
      <c r="A24">
        <v>2023</v>
      </c>
      <c r="B24" t="s">
        <v>772</v>
      </c>
      <c r="C24" t="s">
        <v>14</v>
      </c>
      <c r="D24" t="s">
        <v>66</v>
      </c>
      <c r="E24" t="s">
        <v>1124</v>
      </c>
      <c r="G24" t="s">
        <v>2034</v>
      </c>
      <c r="H24" s="37" t="s">
        <v>11</v>
      </c>
      <c r="I24" s="37" t="s">
        <v>13</v>
      </c>
      <c r="J24" t="s">
        <v>64</v>
      </c>
      <c r="K24" t="s">
        <v>3006</v>
      </c>
      <c r="L24" t="s">
        <v>3098</v>
      </c>
      <c r="M24" t="s">
        <v>3083</v>
      </c>
      <c r="N24" t="s">
        <v>3006</v>
      </c>
      <c r="O24" s="39" t="s">
        <v>3086</v>
      </c>
      <c r="P24" t="s">
        <v>1639</v>
      </c>
      <c r="Q24" t="s">
        <v>1638</v>
      </c>
      <c r="R24" s="10">
        <v>762807.59999999963</v>
      </c>
      <c r="S24" t="s">
        <v>1639</v>
      </c>
      <c r="T24" t="s">
        <v>2997</v>
      </c>
    </row>
    <row r="25" spans="1:20" x14ac:dyDescent="0.35">
      <c r="A25">
        <v>2023</v>
      </c>
      <c r="B25" t="s">
        <v>772</v>
      </c>
      <c r="C25" t="s">
        <v>14</v>
      </c>
      <c r="D25" t="s">
        <v>66</v>
      </c>
      <c r="E25" t="s">
        <v>1124</v>
      </c>
      <c r="G25" t="s">
        <v>2034</v>
      </c>
      <c r="H25" s="37" t="s">
        <v>11</v>
      </c>
      <c r="I25" s="37" t="s">
        <v>13</v>
      </c>
      <c r="J25" t="s">
        <v>64</v>
      </c>
      <c r="K25" t="s">
        <v>3006</v>
      </c>
      <c r="L25" t="s">
        <v>3097</v>
      </c>
      <c r="M25" t="s">
        <v>3083</v>
      </c>
      <c r="N25" t="s">
        <v>3006</v>
      </c>
      <c r="O25" s="39" t="s">
        <v>3086</v>
      </c>
      <c r="P25" t="s">
        <v>1680</v>
      </c>
      <c r="Q25" t="s">
        <v>1638</v>
      </c>
      <c r="R25" s="10">
        <v>4366105</v>
      </c>
      <c r="S25" t="s">
        <v>1680</v>
      </c>
      <c r="T25" t="s">
        <v>2997</v>
      </c>
    </row>
    <row r="26" spans="1:20" x14ac:dyDescent="0.35">
      <c r="A26">
        <v>2023</v>
      </c>
      <c r="B26" t="s">
        <v>772</v>
      </c>
      <c r="C26" t="s">
        <v>14</v>
      </c>
      <c r="D26" t="s">
        <v>66</v>
      </c>
      <c r="E26" t="s">
        <v>1124</v>
      </c>
      <c r="G26" t="s">
        <v>2034</v>
      </c>
      <c r="H26" s="37" t="s">
        <v>11</v>
      </c>
      <c r="I26" s="37" t="s">
        <v>13</v>
      </c>
      <c r="J26" t="s">
        <v>64</v>
      </c>
      <c r="K26" t="s">
        <v>3005</v>
      </c>
      <c r="L26" t="s">
        <v>3095</v>
      </c>
      <c r="O26" s="39"/>
      <c r="P26" t="s">
        <v>1686</v>
      </c>
      <c r="Q26" t="s">
        <v>1629</v>
      </c>
      <c r="R26" s="10">
        <v>519</v>
      </c>
      <c r="S26" t="s">
        <v>1686</v>
      </c>
      <c r="T26" t="s">
        <v>2997</v>
      </c>
    </row>
    <row r="27" spans="1:20" x14ac:dyDescent="0.35">
      <c r="A27">
        <v>2023</v>
      </c>
      <c r="B27" t="s">
        <v>772</v>
      </c>
      <c r="C27" t="s">
        <v>14</v>
      </c>
      <c r="D27" t="s">
        <v>66</v>
      </c>
      <c r="E27" t="s">
        <v>1124</v>
      </c>
      <c r="G27" t="s">
        <v>2034</v>
      </c>
      <c r="H27" s="37" t="s">
        <v>11</v>
      </c>
      <c r="I27" s="37" t="s">
        <v>13</v>
      </c>
      <c r="J27" t="s">
        <v>64</v>
      </c>
      <c r="K27" t="s">
        <v>3005</v>
      </c>
      <c r="L27" t="s">
        <v>3095</v>
      </c>
      <c r="O27" s="39"/>
      <c r="P27" t="s">
        <v>1687</v>
      </c>
      <c r="Q27" t="s">
        <v>1629</v>
      </c>
      <c r="R27" s="10">
        <v>330</v>
      </c>
      <c r="S27" t="s">
        <v>1687</v>
      </c>
      <c r="T27" t="s">
        <v>2997</v>
      </c>
    </row>
    <row r="28" spans="1:20" x14ac:dyDescent="0.35">
      <c r="A28">
        <v>2023</v>
      </c>
      <c r="B28" t="s">
        <v>772</v>
      </c>
      <c r="C28" t="s">
        <v>14</v>
      </c>
      <c r="D28" t="s">
        <v>66</v>
      </c>
      <c r="E28" t="s">
        <v>1124</v>
      </c>
      <c r="G28" t="s">
        <v>2034</v>
      </c>
      <c r="H28" s="37" t="s">
        <v>11</v>
      </c>
      <c r="I28" s="37" t="s">
        <v>13</v>
      </c>
      <c r="J28" t="s">
        <v>64</v>
      </c>
      <c r="K28" t="s">
        <v>3005</v>
      </c>
      <c r="L28" t="s">
        <v>3095</v>
      </c>
      <c r="O28" s="39"/>
      <c r="P28" t="s">
        <v>1688</v>
      </c>
      <c r="Q28" t="s">
        <v>1629</v>
      </c>
      <c r="R28" s="10">
        <v>189</v>
      </c>
      <c r="S28" t="s">
        <v>1688</v>
      </c>
      <c r="T28" t="s">
        <v>2997</v>
      </c>
    </row>
    <row r="29" spans="1:20" x14ac:dyDescent="0.35">
      <c r="A29">
        <v>2023</v>
      </c>
      <c r="B29" t="s">
        <v>772</v>
      </c>
      <c r="C29" t="s">
        <v>14</v>
      </c>
      <c r="D29" t="s">
        <v>91</v>
      </c>
      <c r="E29" t="s">
        <v>1126</v>
      </c>
      <c r="G29" t="s">
        <v>2034</v>
      </c>
      <c r="H29" s="37" t="s">
        <v>11</v>
      </c>
      <c r="I29" s="37" t="s">
        <v>23</v>
      </c>
      <c r="J29" t="s">
        <v>92</v>
      </c>
      <c r="K29" t="s">
        <v>3007</v>
      </c>
      <c r="L29" t="s">
        <v>3094</v>
      </c>
      <c r="M29" t="s">
        <v>3083</v>
      </c>
      <c r="N29" t="s">
        <v>1636</v>
      </c>
      <c r="O29" s="39" t="s">
        <v>3087</v>
      </c>
      <c r="P29" t="s">
        <v>707</v>
      </c>
      <c r="Q29" t="s">
        <v>1546</v>
      </c>
      <c r="R29" s="10">
        <v>75</v>
      </c>
      <c r="S29" s="21" t="s">
        <v>1675</v>
      </c>
      <c r="T29" t="s">
        <v>2997</v>
      </c>
    </row>
    <row r="30" spans="1:20" x14ac:dyDescent="0.35">
      <c r="A30">
        <v>2023</v>
      </c>
      <c r="B30" t="s">
        <v>772</v>
      </c>
      <c r="C30" t="s">
        <v>14</v>
      </c>
      <c r="D30" t="s">
        <v>91</v>
      </c>
      <c r="E30" t="s">
        <v>1126</v>
      </c>
      <c r="G30" t="s">
        <v>2034</v>
      </c>
      <c r="H30" s="37" t="s">
        <v>11</v>
      </c>
      <c r="I30" s="37" t="s">
        <v>23</v>
      </c>
      <c r="J30" t="s">
        <v>92</v>
      </c>
      <c r="K30" t="s">
        <v>3007</v>
      </c>
      <c r="L30" t="s">
        <v>3094</v>
      </c>
      <c r="M30" t="s">
        <v>3083</v>
      </c>
      <c r="N30" t="s">
        <v>1637</v>
      </c>
      <c r="O30" s="39" t="s">
        <v>3091</v>
      </c>
      <c r="P30" t="s">
        <v>707</v>
      </c>
      <c r="Q30" t="s">
        <v>1546</v>
      </c>
      <c r="R30" s="10">
        <v>48</v>
      </c>
      <c r="S30" s="21" t="s">
        <v>1675</v>
      </c>
      <c r="T30" t="s">
        <v>2997</v>
      </c>
    </row>
    <row r="31" spans="1:20" x14ac:dyDescent="0.35">
      <c r="A31">
        <v>2023</v>
      </c>
      <c r="B31" t="s">
        <v>772</v>
      </c>
      <c r="C31" t="s">
        <v>14</v>
      </c>
      <c r="D31" t="s">
        <v>91</v>
      </c>
      <c r="E31" t="s">
        <v>1126</v>
      </c>
      <c r="G31" t="s">
        <v>2034</v>
      </c>
      <c r="H31" s="37" t="s">
        <v>11</v>
      </c>
      <c r="I31" s="37" t="s">
        <v>23</v>
      </c>
      <c r="J31" t="s">
        <v>92</v>
      </c>
      <c r="K31" t="s">
        <v>3006</v>
      </c>
      <c r="L31" t="s">
        <v>3096</v>
      </c>
      <c r="M31" t="s">
        <v>3083</v>
      </c>
      <c r="N31" t="s">
        <v>3006</v>
      </c>
      <c r="O31" s="39" t="s">
        <v>3086</v>
      </c>
      <c r="P31" t="s">
        <v>1616</v>
      </c>
      <c r="Q31" t="s">
        <v>1638</v>
      </c>
      <c r="R31" s="10">
        <v>1486950</v>
      </c>
      <c r="S31" t="s">
        <v>1616</v>
      </c>
      <c r="T31" t="s">
        <v>2997</v>
      </c>
    </row>
    <row r="32" spans="1:20" x14ac:dyDescent="0.35">
      <c r="A32">
        <v>2023</v>
      </c>
      <c r="B32" t="s">
        <v>772</v>
      </c>
      <c r="C32" t="s">
        <v>14</v>
      </c>
      <c r="D32" t="s">
        <v>91</v>
      </c>
      <c r="E32" t="s">
        <v>1126</v>
      </c>
      <c r="G32" t="s">
        <v>2034</v>
      </c>
      <c r="H32" s="37" t="s">
        <v>11</v>
      </c>
      <c r="I32" s="37" t="s">
        <v>23</v>
      </c>
      <c r="J32" t="s">
        <v>92</v>
      </c>
      <c r="K32" t="s">
        <v>3006</v>
      </c>
      <c r="L32" t="s">
        <v>3096</v>
      </c>
      <c r="M32" t="s">
        <v>3083</v>
      </c>
      <c r="N32" t="s">
        <v>3006</v>
      </c>
      <c r="O32" s="39" t="s">
        <v>3086</v>
      </c>
      <c r="P32" t="s">
        <v>1676</v>
      </c>
      <c r="Q32" t="s">
        <v>1638</v>
      </c>
      <c r="R32" s="10">
        <v>1486950</v>
      </c>
      <c r="S32" t="s">
        <v>1676</v>
      </c>
      <c r="T32" t="s">
        <v>2997</v>
      </c>
    </row>
    <row r="33" spans="1:20" x14ac:dyDescent="0.35">
      <c r="A33">
        <v>2023</v>
      </c>
      <c r="B33" t="s">
        <v>772</v>
      </c>
      <c r="C33" t="s">
        <v>14</v>
      </c>
      <c r="D33" t="s">
        <v>91</v>
      </c>
      <c r="E33" t="s">
        <v>1126</v>
      </c>
      <c r="G33" t="s">
        <v>2034</v>
      </c>
      <c r="H33" s="37" t="s">
        <v>11</v>
      </c>
      <c r="I33" s="37" t="s">
        <v>23</v>
      </c>
      <c r="J33" t="s">
        <v>92</v>
      </c>
      <c r="K33" t="s">
        <v>3006</v>
      </c>
      <c r="L33" t="s">
        <v>3098</v>
      </c>
      <c r="M33" t="s">
        <v>3083</v>
      </c>
      <c r="N33" t="s">
        <v>3006</v>
      </c>
      <c r="O33" s="39" t="s">
        <v>3086</v>
      </c>
      <c r="P33" t="s">
        <v>1639</v>
      </c>
      <c r="Q33" t="s">
        <v>1638</v>
      </c>
      <c r="R33" s="10">
        <v>1014537.0500000003</v>
      </c>
      <c r="S33" t="s">
        <v>1639</v>
      </c>
      <c r="T33" t="s">
        <v>2997</v>
      </c>
    </row>
    <row r="34" spans="1:20" x14ac:dyDescent="0.35">
      <c r="A34">
        <v>2023</v>
      </c>
      <c r="B34" t="s">
        <v>772</v>
      </c>
      <c r="C34" t="s">
        <v>14</v>
      </c>
      <c r="D34" t="s">
        <v>91</v>
      </c>
      <c r="E34" t="s">
        <v>1126</v>
      </c>
      <c r="G34" t="s">
        <v>2034</v>
      </c>
      <c r="H34" s="37" t="s">
        <v>11</v>
      </c>
      <c r="I34" s="37" t="s">
        <v>23</v>
      </c>
      <c r="J34" t="s">
        <v>92</v>
      </c>
      <c r="K34" t="s">
        <v>3006</v>
      </c>
      <c r="L34" t="s">
        <v>3097</v>
      </c>
      <c r="M34" t="s">
        <v>3083</v>
      </c>
      <c r="N34" t="s">
        <v>3006</v>
      </c>
      <c r="O34" s="39" t="s">
        <v>3086</v>
      </c>
      <c r="P34" t="s">
        <v>1680</v>
      </c>
      <c r="Q34" t="s">
        <v>1638</v>
      </c>
      <c r="R34" s="10">
        <v>4118213.9</v>
      </c>
      <c r="S34" t="s">
        <v>1680</v>
      </c>
      <c r="T34" t="s">
        <v>2997</v>
      </c>
    </row>
    <row r="35" spans="1:20" x14ac:dyDescent="0.35">
      <c r="A35">
        <v>2023</v>
      </c>
      <c r="B35" t="s">
        <v>772</v>
      </c>
      <c r="C35" t="s">
        <v>14</v>
      </c>
      <c r="D35" t="s">
        <v>91</v>
      </c>
      <c r="E35" t="s">
        <v>1126</v>
      </c>
      <c r="G35" t="s">
        <v>2034</v>
      </c>
      <c r="H35" s="37" t="s">
        <v>11</v>
      </c>
      <c r="I35" s="37" t="s">
        <v>23</v>
      </c>
      <c r="J35" t="s">
        <v>92</v>
      </c>
      <c r="K35" t="s">
        <v>3005</v>
      </c>
      <c r="L35" t="s">
        <v>3095</v>
      </c>
      <c r="O35" s="39"/>
      <c r="P35" t="s">
        <v>1686</v>
      </c>
      <c r="Q35" t="s">
        <v>1629</v>
      </c>
      <c r="R35" s="10">
        <v>1367</v>
      </c>
      <c r="S35" t="s">
        <v>1686</v>
      </c>
      <c r="T35" t="s">
        <v>2997</v>
      </c>
    </row>
    <row r="36" spans="1:20" x14ac:dyDescent="0.35">
      <c r="A36">
        <v>2023</v>
      </c>
      <c r="B36" t="s">
        <v>772</v>
      </c>
      <c r="C36" t="s">
        <v>14</v>
      </c>
      <c r="D36" t="s">
        <v>91</v>
      </c>
      <c r="E36" t="s">
        <v>1126</v>
      </c>
      <c r="G36" t="s">
        <v>2034</v>
      </c>
      <c r="H36" s="37" t="s">
        <v>11</v>
      </c>
      <c r="I36" s="37" t="s">
        <v>23</v>
      </c>
      <c r="J36" t="s">
        <v>92</v>
      </c>
      <c r="K36" t="s">
        <v>3005</v>
      </c>
      <c r="L36" t="s">
        <v>3095</v>
      </c>
      <c r="O36" s="39"/>
      <c r="P36" t="s">
        <v>1687</v>
      </c>
      <c r="Q36" t="s">
        <v>1629</v>
      </c>
      <c r="R36" s="10">
        <v>608</v>
      </c>
      <c r="S36" t="s">
        <v>1687</v>
      </c>
      <c r="T36" t="s">
        <v>2997</v>
      </c>
    </row>
    <row r="37" spans="1:20" x14ac:dyDescent="0.35">
      <c r="A37">
        <v>2023</v>
      </c>
      <c r="B37" t="s">
        <v>772</v>
      </c>
      <c r="C37" t="s">
        <v>14</v>
      </c>
      <c r="D37" t="s">
        <v>91</v>
      </c>
      <c r="E37" t="s">
        <v>1126</v>
      </c>
      <c r="G37" t="s">
        <v>2034</v>
      </c>
      <c r="H37" s="37" t="s">
        <v>11</v>
      </c>
      <c r="I37" s="37" t="s">
        <v>23</v>
      </c>
      <c r="J37" t="s">
        <v>92</v>
      </c>
      <c r="K37" t="s">
        <v>3005</v>
      </c>
      <c r="L37" t="s">
        <v>3095</v>
      </c>
      <c r="O37" s="39"/>
      <c r="P37" t="s">
        <v>1688</v>
      </c>
      <c r="Q37" t="s">
        <v>1629</v>
      </c>
      <c r="R37" s="10">
        <v>759</v>
      </c>
      <c r="S37" t="s">
        <v>1688</v>
      </c>
      <c r="T37" t="s">
        <v>2997</v>
      </c>
    </row>
    <row r="38" spans="1:20" x14ac:dyDescent="0.35">
      <c r="A38">
        <v>2023</v>
      </c>
      <c r="B38" t="s">
        <v>772</v>
      </c>
      <c r="C38" t="s">
        <v>14</v>
      </c>
      <c r="D38" t="s">
        <v>67</v>
      </c>
      <c r="E38" t="s">
        <v>1128</v>
      </c>
      <c r="G38" t="s">
        <v>2034</v>
      </c>
      <c r="H38" s="37" t="s">
        <v>11</v>
      </c>
      <c r="I38" s="37" t="s">
        <v>21</v>
      </c>
      <c r="J38" t="s">
        <v>64</v>
      </c>
      <c r="K38" t="s">
        <v>3007</v>
      </c>
      <c r="L38" t="s">
        <v>3094</v>
      </c>
      <c r="M38" t="s">
        <v>3083</v>
      </c>
      <c r="N38" t="s">
        <v>1636</v>
      </c>
      <c r="O38" s="39" t="s">
        <v>3087</v>
      </c>
      <c r="P38" t="s">
        <v>707</v>
      </c>
      <c r="Q38" t="s">
        <v>1546</v>
      </c>
      <c r="R38" s="10">
        <v>188</v>
      </c>
      <c r="S38" s="21" t="s">
        <v>1675</v>
      </c>
      <c r="T38" t="s">
        <v>2997</v>
      </c>
    </row>
    <row r="39" spans="1:20" x14ac:dyDescent="0.35">
      <c r="A39">
        <v>2023</v>
      </c>
      <c r="B39" t="s">
        <v>772</v>
      </c>
      <c r="C39" t="s">
        <v>14</v>
      </c>
      <c r="D39" t="s">
        <v>67</v>
      </c>
      <c r="E39" t="s">
        <v>1128</v>
      </c>
      <c r="G39" t="s">
        <v>2034</v>
      </c>
      <c r="H39" s="37" t="s">
        <v>11</v>
      </c>
      <c r="I39" s="37" t="s">
        <v>21</v>
      </c>
      <c r="J39" t="s">
        <v>64</v>
      </c>
      <c r="K39" t="s">
        <v>3007</v>
      </c>
      <c r="L39" t="s">
        <v>3094</v>
      </c>
      <c r="M39" t="s">
        <v>3083</v>
      </c>
      <c r="N39" t="s">
        <v>1637</v>
      </c>
      <c r="O39" s="39" t="s">
        <v>3091</v>
      </c>
      <c r="P39" t="s">
        <v>707</v>
      </c>
      <c r="Q39" t="s">
        <v>1546</v>
      </c>
      <c r="R39" s="10">
        <v>12</v>
      </c>
      <c r="S39" s="21" t="s">
        <v>1675</v>
      </c>
      <c r="T39" t="s">
        <v>2997</v>
      </c>
    </row>
    <row r="40" spans="1:20" x14ac:dyDescent="0.35">
      <c r="A40">
        <v>2023</v>
      </c>
      <c r="B40" t="s">
        <v>772</v>
      </c>
      <c r="C40" t="s">
        <v>14</v>
      </c>
      <c r="D40" t="s">
        <v>67</v>
      </c>
      <c r="E40" t="s">
        <v>1128</v>
      </c>
      <c r="G40" t="s">
        <v>2034</v>
      </c>
      <c r="H40" s="37" t="s">
        <v>11</v>
      </c>
      <c r="I40" s="37" t="s">
        <v>21</v>
      </c>
      <c r="J40" t="s">
        <v>64</v>
      </c>
      <c r="K40" t="s">
        <v>3006</v>
      </c>
      <c r="L40" t="s">
        <v>3096</v>
      </c>
      <c r="M40" t="s">
        <v>3083</v>
      </c>
      <c r="N40" t="s">
        <v>3006</v>
      </c>
      <c r="O40" s="39" t="s">
        <v>3086</v>
      </c>
      <c r="P40" t="s">
        <v>1616</v>
      </c>
      <c r="Q40" t="s">
        <v>1638</v>
      </c>
      <c r="R40" s="10">
        <v>193004</v>
      </c>
      <c r="S40" t="s">
        <v>1616</v>
      </c>
      <c r="T40" t="s">
        <v>2997</v>
      </c>
    </row>
    <row r="41" spans="1:20" x14ac:dyDescent="0.35">
      <c r="A41">
        <v>2023</v>
      </c>
      <c r="B41" t="s">
        <v>772</v>
      </c>
      <c r="C41" t="s">
        <v>14</v>
      </c>
      <c r="D41" t="s">
        <v>67</v>
      </c>
      <c r="E41" t="s">
        <v>1128</v>
      </c>
      <c r="G41" t="s">
        <v>2034</v>
      </c>
      <c r="H41" s="37" t="s">
        <v>11</v>
      </c>
      <c r="I41" s="37" t="s">
        <v>21</v>
      </c>
      <c r="J41" t="s">
        <v>64</v>
      </c>
      <c r="K41" t="s">
        <v>3006</v>
      </c>
      <c r="L41" t="s">
        <v>3096</v>
      </c>
      <c r="M41" t="s">
        <v>3083</v>
      </c>
      <c r="N41" t="s">
        <v>3006</v>
      </c>
      <c r="O41" s="39" t="s">
        <v>3086</v>
      </c>
      <c r="P41" t="s">
        <v>1676</v>
      </c>
      <c r="Q41" t="s">
        <v>1638</v>
      </c>
      <c r="R41" s="10">
        <v>193004</v>
      </c>
      <c r="S41" t="s">
        <v>1676</v>
      </c>
      <c r="T41" t="s">
        <v>2997</v>
      </c>
    </row>
    <row r="42" spans="1:20" x14ac:dyDescent="0.35">
      <c r="A42">
        <v>2023</v>
      </c>
      <c r="B42" t="s">
        <v>772</v>
      </c>
      <c r="C42" t="s">
        <v>14</v>
      </c>
      <c r="D42" t="s">
        <v>67</v>
      </c>
      <c r="E42" t="s">
        <v>1128</v>
      </c>
      <c r="G42" t="s">
        <v>2034</v>
      </c>
      <c r="H42" s="37" t="s">
        <v>11</v>
      </c>
      <c r="I42" s="37" t="s">
        <v>21</v>
      </c>
      <c r="J42" t="s">
        <v>64</v>
      </c>
      <c r="K42" t="s">
        <v>3006</v>
      </c>
      <c r="L42" t="s">
        <v>3098</v>
      </c>
      <c r="M42" t="s">
        <v>3083</v>
      </c>
      <c r="N42" t="s">
        <v>3006</v>
      </c>
      <c r="O42" s="39" t="s">
        <v>3086</v>
      </c>
      <c r="P42" t="s">
        <v>1639</v>
      </c>
      <c r="Q42" t="s">
        <v>1638</v>
      </c>
      <c r="R42" s="10">
        <v>3069283</v>
      </c>
      <c r="S42" t="s">
        <v>1639</v>
      </c>
      <c r="T42" t="s">
        <v>2997</v>
      </c>
    </row>
    <row r="43" spans="1:20" x14ac:dyDescent="0.35">
      <c r="A43">
        <v>2023</v>
      </c>
      <c r="B43" t="s">
        <v>772</v>
      </c>
      <c r="C43" t="s">
        <v>14</v>
      </c>
      <c r="D43" t="s">
        <v>67</v>
      </c>
      <c r="E43" t="s">
        <v>1128</v>
      </c>
      <c r="G43" t="s">
        <v>2034</v>
      </c>
      <c r="H43" s="37" t="s">
        <v>11</v>
      </c>
      <c r="I43" s="37" t="s">
        <v>21</v>
      </c>
      <c r="J43" t="s">
        <v>64</v>
      </c>
      <c r="K43" t="s">
        <v>3006</v>
      </c>
      <c r="L43" t="s">
        <v>3097</v>
      </c>
      <c r="M43" t="s">
        <v>3083</v>
      </c>
      <c r="N43" t="s">
        <v>3006</v>
      </c>
      <c r="O43" s="39" t="s">
        <v>3086</v>
      </c>
      <c r="P43" t="s">
        <v>1680</v>
      </c>
      <c r="Q43" t="s">
        <v>1638</v>
      </c>
      <c r="R43" s="10">
        <v>3803986</v>
      </c>
      <c r="S43" t="s">
        <v>1680</v>
      </c>
      <c r="T43" t="s">
        <v>2997</v>
      </c>
    </row>
    <row r="44" spans="1:20" x14ac:dyDescent="0.35">
      <c r="A44">
        <v>2023</v>
      </c>
      <c r="B44" t="s">
        <v>772</v>
      </c>
      <c r="C44" t="s">
        <v>14</v>
      </c>
      <c r="D44" t="s">
        <v>67</v>
      </c>
      <c r="E44" t="s">
        <v>1128</v>
      </c>
      <c r="G44" t="s">
        <v>2034</v>
      </c>
      <c r="H44" s="37" t="s">
        <v>11</v>
      </c>
      <c r="I44" s="37" t="s">
        <v>21</v>
      </c>
      <c r="J44" t="s">
        <v>64</v>
      </c>
      <c r="K44" t="s">
        <v>3005</v>
      </c>
      <c r="L44" t="s">
        <v>3095</v>
      </c>
      <c r="O44" s="39"/>
      <c r="P44" t="s">
        <v>1686</v>
      </c>
      <c r="Q44" t="s">
        <v>1629</v>
      </c>
      <c r="R44" s="10">
        <v>4039</v>
      </c>
      <c r="S44" t="s">
        <v>1686</v>
      </c>
      <c r="T44" t="s">
        <v>2997</v>
      </c>
    </row>
    <row r="45" spans="1:20" x14ac:dyDescent="0.35">
      <c r="A45">
        <v>2023</v>
      </c>
      <c r="B45" t="s">
        <v>772</v>
      </c>
      <c r="C45" t="s">
        <v>14</v>
      </c>
      <c r="D45" t="s">
        <v>67</v>
      </c>
      <c r="E45" t="s">
        <v>1128</v>
      </c>
      <c r="G45" t="s">
        <v>2034</v>
      </c>
      <c r="H45" s="37" t="s">
        <v>11</v>
      </c>
      <c r="I45" s="37" t="s">
        <v>21</v>
      </c>
      <c r="J45" t="s">
        <v>64</v>
      </c>
      <c r="K45" t="s">
        <v>3005</v>
      </c>
      <c r="L45" t="s">
        <v>3095</v>
      </c>
      <c r="O45" s="39"/>
      <c r="P45" t="s">
        <v>1687</v>
      </c>
      <c r="Q45" t="s">
        <v>1629</v>
      </c>
      <c r="R45" s="10">
        <v>410</v>
      </c>
      <c r="S45" t="s">
        <v>1687</v>
      </c>
      <c r="T45" t="s">
        <v>2997</v>
      </c>
    </row>
    <row r="46" spans="1:20" x14ac:dyDescent="0.35">
      <c r="A46">
        <v>2023</v>
      </c>
      <c r="B46" t="s">
        <v>772</v>
      </c>
      <c r="C46" t="s">
        <v>14</v>
      </c>
      <c r="D46" t="s">
        <v>67</v>
      </c>
      <c r="E46" t="s">
        <v>1128</v>
      </c>
      <c r="G46" t="s">
        <v>2034</v>
      </c>
      <c r="H46" s="37" t="s">
        <v>11</v>
      </c>
      <c r="I46" s="37" t="s">
        <v>21</v>
      </c>
      <c r="J46" t="s">
        <v>64</v>
      </c>
      <c r="K46" t="s">
        <v>3005</v>
      </c>
      <c r="L46" t="s">
        <v>3095</v>
      </c>
      <c r="O46" s="39"/>
      <c r="P46" t="s">
        <v>1688</v>
      </c>
      <c r="Q46" t="s">
        <v>1629</v>
      </c>
      <c r="R46" s="10">
        <v>3629</v>
      </c>
      <c r="S46" t="s">
        <v>1688</v>
      </c>
      <c r="T46" t="s">
        <v>2997</v>
      </c>
    </row>
    <row r="47" spans="1:20" x14ac:dyDescent="0.35">
      <c r="A47">
        <v>2023</v>
      </c>
      <c r="B47" t="s">
        <v>1537</v>
      </c>
      <c r="C47" t="s">
        <v>14</v>
      </c>
      <c r="D47" t="s">
        <v>20</v>
      </c>
      <c r="F47" t="s">
        <v>1753</v>
      </c>
      <c r="G47" t="s">
        <v>2034</v>
      </c>
      <c r="H47" s="37" t="s">
        <v>11</v>
      </c>
      <c r="I47" s="37" t="s">
        <v>23</v>
      </c>
      <c r="J47" t="s">
        <v>16</v>
      </c>
      <c r="K47" t="s">
        <v>3007</v>
      </c>
      <c r="L47" t="s">
        <v>3094</v>
      </c>
      <c r="M47" t="s">
        <v>3083</v>
      </c>
      <c r="N47" t="s">
        <v>1636</v>
      </c>
      <c r="O47" s="39" t="s">
        <v>3087</v>
      </c>
      <c r="P47" t="s">
        <v>707</v>
      </c>
      <c r="Q47" t="s">
        <v>1546</v>
      </c>
      <c r="R47" s="10">
        <v>6726</v>
      </c>
      <c r="S47" s="21" t="s">
        <v>1675</v>
      </c>
      <c r="T47" t="s">
        <v>2997</v>
      </c>
    </row>
    <row r="48" spans="1:20" x14ac:dyDescent="0.35">
      <c r="A48">
        <v>2023</v>
      </c>
      <c r="B48" t="s">
        <v>1537</v>
      </c>
      <c r="C48" t="s">
        <v>14</v>
      </c>
      <c r="D48" t="s">
        <v>20</v>
      </c>
      <c r="F48" t="s">
        <v>1753</v>
      </c>
      <c r="G48" t="s">
        <v>2034</v>
      </c>
      <c r="H48" s="37" t="s">
        <v>11</v>
      </c>
      <c r="I48" s="37" t="s">
        <v>23</v>
      </c>
      <c r="J48" t="s">
        <v>16</v>
      </c>
      <c r="K48" t="s">
        <v>3007</v>
      </c>
      <c r="L48" t="s">
        <v>3094</v>
      </c>
      <c r="M48" t="s">
        <v>3083</v>
      </c>
      <c r="N48" t="s">
        <v>1637</v>
      </c>
      <c r="O48" s="39" t="s">
        <v>3091</v>
      </c>
      <c r="P48" t="s">
        <v>707</v>
      </c>
      <c r="Q48" t="s">
        <v>1546</v>
      </c>
      <c r="R48" s="10">
        <v>442</v>
      </c>
      <c r="S48" s="21" t="s">
        <v>1675</v>
      </c>
      <c r="T48" t="s">
        <v>2997</v>
      </c>
    </row>
    <row r="49" spans="1:20" x14ac:dyDescent="0.35">
      <c r="A49">
        <v>2023</v>
      </c>
      <c r="B49" t="s">
        <v>1537</v>
      </c>
      <c r="C49" t="s">
        <v>14</v>
      </c>
      <c r="D49" t="s">
        <v>20</v>
      </c>
      <c r="F49" t="s">
        <v>1753</v>
      </c>
      <c r="G49" t="s">
        <v>2034</v>
      </c>
      <c r="H49" s="37" t="s">
        <v>11</v>
      </c>
      <c r="I49" s="37" t="s">
        <v>23</v>
      </c>
      <c r="J49" t="s">
        <v>16</v>
      </c>
      <c r="K49" t="s">
        <v>3006</v>
      </c>
      <c r="L49" t="s">
        <v>3096</v>
      </c>
      <c r="M49" t="s">
        <v>3083</v>
      </c>
      <c r="N49" t="s">
        <v>3006</v>
      </c>
      <c r="O49" s="39" t="s">
        <v>3086</v>
      </c>
      <c r="P49" t="s">
        <v>1616</v>
      </c>
      <c r="Q49" t="s">
        <v>1638</v>
      </c>
      <c r="R49" s="10">
        <v>968789</v>
      </c>
      <c r="S49" t="s">
        <v>1616</v>
      </c>
      <c r="T49" t="s">
        <v>2997</v>
      </c>
    </row>
    <row r="50" spans="1:20" x14ac:dyDescent="0.35">
      <c r="A50">
        <v>2023</v>
      </c>
      <c r="B50" t="s">
        <v>1537</v>
      </c>
      <c r="C50" t="s">
        <v>14</v>
      </c>
      <c r="D50" t="s">
        <v>20</v>
      </c>
      <c r="F50" t="s">
        <v>1753</v>
      </c>
      <c r="G50" t="s">
        <v>2034</v>
      </c>
      <c r="H50" s="37" t="s">
        <v>11</v>
      </c>
      <c r="I50" s="37" t="s">
        <v>23</v>
      </c>
      <c r="J50" t="s">
        <v>16</v>
      </c>
      <c r="K50" t="s">
        <v>3006</v>
      </c>
      <c r="L50" t="s">
        <v>3096</v>
      </c>
      <c r="M50" t="s">
        <v>3083</v>
      </c>
      <c r="N50" t="s">
        <v>3006</v>
      </c>
      <c r="O50" s="39" t="s">
        <v>3086</v>
      </c>
      <c r="P50" t="s">
        <v>1676</v>
      </c>
      <c r="Q50" t="s">
        <v>1638</v>
      </c>
      <c r="R50" s="10">
        <v>968789</v>
      </c>
      <c r="S50" t="s">
        <v>1676</v>
      </c>
      <c r="T50" t="s">
        <v>2997</v>
      </c>
    </row>
    <row r="51" spans="1:20" x14ac:dyDescent="0.35">
      <c r="A51">
        <v>2023</v>
      </c>
      <c r="B51" t="s">
        <v>1537</v>
      </c>
      <c r="C51" t="s">
        <v>14</v>
      </c>
      <c r="D51" t="s">
        <v>20</v>
      </c>
      <c r="F51" t="s">
        <v>1753</v>
      </c>
      <c r="G51" t="s">
        <v>2034</v>
      </c>
      <c r="H51" s="37" t="s">
        <v>11</v>
      </c>
      <c r="I51" s="37" t="s">
        <v>23</v>
      </c>
      <c r="J51" t="s">
        <v>16</v>
      </c>
      <c r="K51" t="s">
        <v>3006</v>
      </c>
      <c r="L51" t="s">
        <v>3098</v>
      </c>
      <c r="M51" t="s">
        <v>3083</v>
      </c>
      <c r="N51" t="s">
        <v>3006</v>
      </c>
      <c r="O51" s="39" t="s">
        <v>3086</v>
      </c>
      <c r="P51" t="s">
        <v>1639</v>
      </c>
      <c r="Q51" t="s">
        <v>1638</v>
      </c>
      <c r="R51" s="10">
        <v>1400259</v>
      </c>
      <c r="S51" t="s">
        <v>1639</v>
      </c>
      <c r="T51" t="s">
        <v>2997</v>
      </c>
    </row>
    <row r="52" spans="1:20" x14ac:dyDescent="0.35">
      <c r="A52">
        <v>2023</v>
      </c>
      <c r="B52" t="s">
        <v>1537</v>
      </c>
      <c r="C52" t="s">
        <v>14</v>
      </c>
      <c r="D52" t="s">
        <v>20</v>
      </c>
      <c r="F52" t="s">
        <v>1753</v>
      </c>
      <c r="G52" t="s">
        <v>2034</v>
      </c>
      <c r="H52" s="37" t="s">
        <v>11</v>
      </c>
      <c r="I52" s="37" t="s">
        <v>23</v>
      </c>
      <c r="J52" t="s">
        <v>16</v>
      </c>
      <c r="K52" t="s">
        <v>3006</v>
      </c>
      <c r="L52" t="s">
        <v>3097</v>
      </c>
      <c r="M52" t="s">
        <v>3083</v>
      </c>
      <c r="N52" t="s">
        <v>3006</v>
      </c>
      <c r="O52" s="39" t="s">
        <v>3086</v>
      </c>
      <c r="P52" t="s">
        <v>1680</v>
      </c>
      <c r="Q52" t="s">
        <v>1638</v>
      </c>
      <c r="R52" s="10">
        <v>1993390</v>
      </c>
      <c r="S52" t="s">
        <v>1680</v>
      </c>
      <c r="T52" t="s">
        <v>2997</v>
      </c>
    </row>
    <row r="53" spans="1:20" x14ac:dyDescent="0.35">
      <c r="A53">
        <v>2023</v>
      </c>
      <c r="B53" t="s">
        <v>1537</v>
      </c>
      <c r="C53" t="s">
        <v>14</v>
      </c>
      <c r="D53" t="s">
        <v>20</v>
      </c>
      <c r="F53" t="s">
        <v>1753</v>
      </c>
      <c r="G53" t="s">
        <v>2034</v>
      </c>
      <c r="H53" s="37" t="s">
        <v>11</v>
      </c>
      <c r="I53" s="37" t="s">
        <v>23</v>
      </c>
      <c r="J53" t="s">
        <v>16</v>
      </c>
      <c r="K53" t="s">
        <v>3005</v>
      </c>
      <c r="L53" t="s">
        <v>3095</v>
      </c>
      <c r="O53" s="39"/>
      <c r="P53" t="s">
        <v>1686</v>
      </c>
      <c r="Q53" t="s">
        <v>1629</v>
      </c>
      <c r="R53" s="10">
        <v>3595.51</v>
      </c>
      <c r="S53" t="s">
        <v>1686</v>
      </c>
      <c r="T53" t="s">
        <v>2997</v>
      </c>
    </row>
    <row r="54" spans="1:20" x14ac:dyDescent="0.35">
      <c r="A54">
        <v>2023</v>
      </c>
      <c r="B54" t="s">
        <v>1537</v>
      </c>
      <c r="C54" t="s">
        <v>14</v>
      </c>
      <c r="D54" t="s">
        <v>20</v>
      </c>
      <c r="F54" t="s">
        <v>1753</v>
      </c>
      <c r="G54" t="s">
        <v>2034</v>
      </c>
      <c r="H54" s="37" t="s">
        <v>11</v>
      </c>
      <c r="I54" s="37" t="s">
        <v>23</v>
      </c>
      <c r="J54" t="s">
        <v>16</v>
      </c>
      <c r="K54" t="s">
        <v>3005</v>
      </c>
      <c r="L54" t="s">
        <v>3095</v>
      </c>
      <c r="O54" s="39"/>
      <c r="P54" t="s">
        <v>1687</v>
      </c>
      <c r="Q54" t="s">
        <v>1629</v>
      </c>
      <c r="R54" s="10">
        <v>2252.0700000000002</v>
      </c>
      <c r="S54" t="s">
        <v>1687</v>
      </c>
      <c r="T54" t="s">
        <v>2997</v>
      </c>
    </row>
    <row r="55" spans="1:20" x14ac:dyDescent="0.35">
      <c r="A55">
        <v>2023</v>
      </c>
      <c r="B55" t="s">
        <v>1537</v>
      </c>
      <c r="C55" t="s">
        <v>14</v>
      </c>
      <c r="D55" t="s">
        <v>20</v>
      </c>
      <c r="F55" t="s">
        <v>1753</v>
      </c>
      <c r="G55" t="s">
        <v>2034</v>
      </c>
      <c r="H55" s="37" t="s">
        <v>11</v>
      </c>
      <c r="I55" s="37" t="s">
        <v>23</v>
      </c>
      <c r="J55" t="s">
        <v>16</v>
      </c>
      <c r="K55" t="s">
        <v>3005</v>
      </c>
      <c r="L55" t="s">
        <v>3095</v>
      </c>
      <c r="O55" s="39"/>
      <c r="P55" t="s">
        <v>1688</v>
      </c>
      <c r="Q55" t="s">
        <v>1629</v>
      </c>
      <c r="R55" s="10">
        <v>1343.44</v>
      </c>
      <c r="S55" t="s">
        <v>1688</v>
      </c>
      <c r="T55" t="s">
        <v>2997</v>
      </c>
    </row>
    <row r="56" spans="1:20" x14ac:dyDescent="0.35">
      <c r="A56">
        <v>2023</v>
      </c>
      <c r="B56" t="s">
        <v>772</v>
      </c>
      <c r="C56" t="s">
        <v>14</v>
      </c>
      <c r="D56" t="s">
        <v>22</v>
      </c>
      <c r="E56" t="s">
        <v>1129</v>
      </c>
      <c r="G56" t="s">
        <v>2034</v>
      </c>
      <c r="H56" s="37" t="s">
        <v>11</v>
      </c>
      <c r="I56" s="37" t="s">
        <v>13</v>
      </c>
      <c r="J56" t="s">
        <v>16</v>
      </c>
      <c r="K56" t="s">
        <v>3007</v>
      </c>
      <c r="L56" t="s">
        <v>3094</v>
      </c>
      <c r="M56" t="s">
        <v>3083</v>
      </c>
      <c r="N56" t="s">
        <v>1636</v>
      </c>
      <c r="O56" s="39" t="s">
        <v>3087</v>
      </c>
      <c r="P56" t="s">
        <v>707</v>
      </c>
      <c r="Q56" t="s">
        <v>1546</v>
      </c>
      <c r="R56" s="10">
        <v>3625</v>
      </c>
      <c r="S56" s="21" t="s">
        <v>1675</v>
      </c>
      <c r="T56" t="s">
        <v>2997</v>
      </c>
    </row>
    <row r="57" spans="1:20" x14ac:dyDescent="0.35">
      <c r="A57">
        <v>2023</v>
      </c>
      <c r="B57" t="s">
        <v>772</v>
      </c>
      <c r="C57" t="s">
        <v>14</v>
      </c>
      <c r="D57" t="s">
        <v>22</v>
      </c>
      <c r="E57" t="s">
        <v>1129</v>
      </c>
      <c r="G57" t="s">
        <v>2034</v>
      </c>
      <c r="H57" s="37" t="s">
        <v>11</v>
      </c>
      <c r="I57" s="37" t="s">
        <v>13</v>
      </c>
      <c r="J57" t="s">
        <v>16</v>
      </c>
      <c r="K57" t="s">
        <v>3007</v>
      </c>
      <c r="L57" t="s">
        <v>3094</v>
      </c>
      <c r="M57" t="s">
        <v>3083</v>
      </c>
      <c r="N57" t="s">
        <v>1637</v>
      </c>
      <c r="O57" s="39" t="s">
        <v>3091</v>
      </c>
      <c r="P57" t="s">
        <v>707</v>
      </c>
      <c r="Q57" t="s">
        <v>1546</v>
      </c>
      <c r="R57" s="10">
        <v>238</v>
      </c>
      <c r="S57" s="21" t="s">
        <v>1675</v>
      </c>
      <c r="T57" t="s">
        <v>2997</v>
      </c>
    </row>
    <row r="58" spans="1:20" x14ac:dyDescent="0.35">
      <c r="A58">
        <v>2023</v>
      </c>
      <c r="B58" t="s">
        <v>772</v>
      </c>
      <c r="C58" t="s">
        <v>14</v>
      </c>
      <c r="D58" t="s">
        <v>22</v>
      </c>
      <c r="E58" t="s">
        <v>1129</v>
      </c>
      <c r="G58" t="s">
        <v>2034</v>
      </c>
      <c r="H58" s="37" t="s">
        <v>11</v>
      </c>
      <c r="I58" s="37" t="s">
        <v>13</v>
      </c>
      <c r="J58" t="s">
        <v>16</v>
      </c>
      <c r="K58" t="s">
        <v>3006</v>
      </c>
      <c r="L58" t="s">
        <v>3096</v>
      </c>
      <c r="M58" t="s">
        <v>3083</v>
      </c>
      <c r="N58" t="s">
        <v>3006</v>
      </c>
      <c r="O58" s="39" t="s">
        <v>3086</v>
      </c>
      <c r="P58" t="s">
        <v>1616</v>
      </c>
      <c r="Q58" t="s">
        <v>1638</v>
      </c>
      <c r="R58" s="10">
        <v>525400</v>
      </c>
      <c r="S58" t="s">
        <v>1616</v>
      </c>
      <c r="T58" t="s">
        <v>2997</v>
      </c>
    </row>
    <row r="59" spans="1:20" x14ac:dyDescent="0.35">
      <c r="A59">
        <v>2023</v>
      </c>
      <c r="B59" t="s">
        <v>772</v>
      </c>
      <c r="C59" t="s">
        <v>14</v>
      </c>
      <c r="D59" t="s">
        <v>22</v>
      </c>
      <c r="E59" t="s">
        <v>1129</v>
      </c>
      <c r="G59" t="s">
        <v>2034</v>
      </c>
      <c r="H59" s="37" t="s">
        <v>11</v>
      </c>
      <c r="I59" s="37" t="s">
        <v>13</v>
      </c>
      <c r="J59" t="s">
        <v>16</v>
      </c>
      <c r="K59" t="s">
        <v>3006</v>
      </c>
      <c r="L59" t="s">
        <v>3096</v>
      </c>
      <c r="M59" t="s">
        <v>3083</v>
      </c>
      <c r="N59" t="s">
        <v>3006</v>
      </c>
      <c r="O59" s="39" t="s">
        <v>3086</v>
      </c>
      <c r="P59" t="s">
        <v>1676</v>
      </c>
      <c r="Q59" t="s">
        <v>1638</v>
      </c>
      <c r="R59" s="10">
        <v>525400</v>
      </c>
      <c r="S59" t="s">
        <v>1676</v>
      </c>
      <c r="T59" t="s">
        <v>2997</v>
      </c>
    </row>
    <row r="60" spans="1:20" x14ac:dyDescent="0.35">
      <c r="A60">
        <v>2023</v>
      </c>
      <c r="B60" t="s">
        <v>772</v>
      </c>
      <c r="C60" t="s">
        <v>14</v>
      </c>
      <c r="D60" t="s">
        <v>22</v>
      </c>
      <c r="E60" t="s">
        <v>1129</v>
      </c>
      <c r="G60" t="s">
        <v>2034</v>
      </c>
      <c r="H60" s="37" t="s">
        <v>11</v>
      </c>
      <c r="I60" s="37" t="s">
        <v>13</v>
      </c>
      <c r="J60" t="s">
        <v>16</v>
      </c>
      <c r="K60" t="s">
        <v>3006</v>
      </c>
      <c r="L60" t="s">
        <v>3098</v>
      </c>
      <c r="M60" t="s">
        <v>3083</v>
      </c>
      <c r="N60" t="s">
        <v>3006</v>
      </c>
      <c r="O60" s="39" t="s">
        <v>3086</v>
      </c>
      <c r="P60" t="s">
        <v>1639</v>
      </c>
      <c r="Q60" t="s">
        <v>1638</v>
      </c>
      <c r="R60" s="10">
        <v>454993</v>
      </c>
      <c r="S60" t="s">
        <v>1639</v>
      </c>
      <c r="T60" t="s">
        <v>2997</v>
      </c>
    </row>
    <row r="61" spans="1:20" x14ac:dyDescent="0.35">
      <c r="A61">
        <v>2023</v>
      </c>
      <c r="B61" t="s">
        <v>772</v>
      </c>
      <c r="C61" t="s">
        <v>14</v>
      </c>
      <c r="D61" t="s">
        <v>22</v>
      </c>
      <c r="E61" t="s">
        <v>1129</v>
      </c>
      <c r="G61" t="s">
        <v>2034</v>
      </c>
      <c r="H61" s="37" t="s">
        <v>11</v>
      </c>
      <c r="I61" s="37" t="s">
        <v>13</v>
      </c>
      <c r="J61" t="s">
        <v>16</v>
      </c>
      <c r="K61" t="s">
        <v>3006</v>
      </c>
      <c r="L61" t="s">
        <v>3097</v>
      </c>
      <c r="M61" t="s">
        <v>3083</v>
      </c>
      <c r="N61" t="s">
        <v>3006</v>
      </c>
      <c r="O61" s="39" t="s">
        <v>3086</v>
      </c>
      <c r="P61" t="s">
        <v>1680</v>
      </c>
      <c r="Q61" t="s">
        <v>1638</v>
      </c>
      <c r="R61" s="10">
        <v>419380</v>
      </c>
      <c r="S61" t="s">
        <v>1680</v>
      </c>
      <c r="T61" t="s">
        <v>2997</v>
      </c>
    </row>
    <row r="62" spans="1:20" x14ac:dyDescent="0.35">
      <c r="A62">
        <v>2023</v>
      </c>
      <c r="B62" t="s">
        <v>772</v>
      </c>
      <c r="C62" t="s">
        <v>14</v>
      </c>
      <c r="D62" t="s">
        <v>22</v>
      </c>
      <c r="E62" t="s">
        <v>1129</v>
      </c>
      <c r="G62" t="s">
        <v>2034</v>
      </c>
      <c r="H62" s="37" t="s">
        <v>11</v>
      </c>
      <c r="I62" s="37" t="s">
        <v>13</v>
      </c>
      <c r="J62" t="s">
        <v>16</v>
      </c>
      <c r="K62" t="s">
        <v>3005</v>
      </c>
      <c r="L62" t="s">
        <v>3095</v>
      </c>
      <c r="O62" s="39"/>
      <c r="P62" t="s">
        <v>1686</v>
      </c>
      <c r="Q62" t="s">
        <v>1629</v>
      </c>
      <c r="R62" s="10">
        <v>906.75</v>
      </c>
      <c r="S62" t="s">
        <v>1686</v>
      </c>
      <c r="T62" t="s">
        <v>2997</v>
      </c>
    </row>
    <row r="63" spans="1:20" x14ac:dyDescent="0.35">
      <c r="A63">
        <v>2023</v>
      </c>
      <c r="B63" t="s">
        <v>772</v>
      </c>
      <c r="C63" t="s">
        <v>14</v>
      </c>
      <c r="D63" t="s">
        <v>22</v>
      </c>
      <c r="E63" t="s">
        <v>1129</v>
      </c>
      <c r="G63" t="s">
        <v>2034</v>
      </c>
      <c r="H63" s="37" t="s">
        <v>11</v>
      </c>
      <c r="I63" s="37" t="s">
        <v>13</v>
      </c>
      <c r="J63" t="s">
        <v>16</v>
      </c>
      <c r="K63" t="s">
        <v>3005</v>
      </c>
      <c r="L63" t="s">
        <v>3095</v>
      </c>
      <c r="O63" s="39"/>
      <c r="P63" t="s">
        <v>1687</v>
      </c>
      <c r="Q63" t="s">
        <v>1629</v>
      </c>
      <c r="R63" s="10">
        <v>633</v>
      </c>
      <c r="S63" t="s">
        <v>1687</v>
      </c>
      <c r="T63" t="s">
        <v>2997</v>
      </c>
    </row>
    <row r="64" spans="1:20" x14ac:dyDescent="0.35">
      <c r="A64">
        <v>2023</v>
      </c>
      <c r="B64" t="s">
        <v>772</v>
      </c>
      <c r="C64" t="s">
        <v>14</v>
      </c>
      <c r="D64" t="s">
        <v>22</v>
      </c>
      <c r="E64" t="s">
        <v>1129</v>
      </c>
      <c r="G64" t="s">
        <v>2034</v>
      </c>
      <c r="H64" s="37" t="s">
        <v>11</v>
      </c>
      <c r="I64" s="37" t="s">
        <v>13</v>
      </c>
      <c r="J64" t="s">
        <v>16</v>
      </c>
      <c r="K64" t="s">
        <v>3005</v>
      </c>
      <c r="L64" t="s">
        <v>3095</v>
      </c>
      <c r="O64" s="39"/>
      <c r="P64" t="s">
        <v>1688</v>
      </c>
      <c r="Q64" t="s">
        <v>1629</v>
      </c>
      <c r="R64" s="10">
        <v>273.75</v>
      </c>
      <c r="S64" t="s">
        <v>1688</v>
      </c>
      <c r="T64" t="s">
        <v>2997</v>
      </c>
    </row>
    <row r="65" spans="1:20" x14ac:dyDescent="0.35">
      <c r="A65">
        <v>2023</v>
      </c>
      <c r="B65" t="s">
        <v>772</v>
      </c>
      <c r="C65" t="s">
        <v>736</v>
      </c>
      <c r="D65" t="s">
        <v>25</v>
      </c>
      <c r="E65" t="s">
        <v>1136</v>
      </c>
      <c r="G65" t="s">
        <v>2037</v>
      </c>
      <c r="H65" s="37" t="s">
        <v>11</v>
      </c>
      <c r="I65" s="37" t="s">
        <v>13</v>
      </c>
      <c r="J65" t="s">
        <v>16</v>
      </c>
      <c r="K65" t="s">
        <v>3007</v>
      </c>
      <c r="L65" t="s">
        <v>3094</v>
      </c>
      <c r="M65" t="s">
        <v>3082</v>
      </c>
      <c r="N65" t="s">
        <v>3009</v>
      </c>
      <c r="O65" s="39" t="s">
        <v>3075</v>
      </c>
      <c r="P65" t="s">
        <v>1605</v>
      </c>
      <c r="Q65" t="s">
        <v>1635</v>
      </c>
      <c r="R65" s="10">
        <v>1504</v>
      </c>
      <c r="S65" t="s">
        <v>3226</v>
      </c>
      <c r="T65" t="s">
        <v>1601</v>
      </c>
    </row>
    <row r="66" spans="1:20" x14ac:dyDescent="0.35">
      <c r="A66">
        <v>2023</v>
      </c>
      <c r="B66" t="s">
        <v>772</v>
      </c>
      <c r="C66" t="s">
        <v>736</v>
      </c>
      <c r="D66" t="s">
        <v>25</v>
      </c>
      <c r="E66" t="s">
        <v>1136</v>
      </c>
      <c r="G66" t="s">
        <v>2037</v>
      </c>
      <c r="H66" s="37" t="s">
        <v>11</v>
      </c>
      <c r="I66" s="37" t="s">
        <v>13</v>
      </c>
      <c r="J66" t="s">
        <v>16</v>
      </c>
      <c r="K66" t="s">
        <v>3007</v>
      </c>
      <c r="L66" t="s">
        <v>3094</v>
      </c>
      <c r="M66" t="s">
        <v>3082</v>
      </c>
      <c r="N66" t="s">
        <v>3010</v>
      </c>
      <c r="O66" s="39" t="s">
        <v>3076</v>
      </c>
      <c r="P66" t="s">
        <v>1605</v>
      </c>
      <c r="Q66" t="s">
        <v>1635</v>
      </c>
      <c r="R66" s="10">
        <v>74</v>
      </c>
      <c r="S66" t="s">
        <v>1605</v>
      </c>
      <c r="T66" t="s">
        <v>1601</v>
      </c>
    </row>
    <row r="67" spans="1:20" x14ac:dyDescent="0.35">
      <c r="A67">
        <v>2023</v>
      </c>
      <c r="B67" t="s">
        <v>772</v>
      </c>
      <c r="C67" t="s">
        <v>736</v>
      </c>
      <c r="D67" t="s">
        <v>25</v>
      </c>
      <c r="E67" t="s">
        <v>1136</v>
      </c>
      <c r="G67" t="s">
        <v>2037</v>
      </c>
      <c r="H67" s="37" t="s">
        <v>11</v>
      </c>
      <c r="I67" s="37" t="s">
        <v>13</v>
      </c>
      <c r="J67" t="s">
        <v>16</v>
      </c>
      <c r="K67" t="s">
        <v>3007</v>
      </c>
      <c r="L67" t="s">
        <v>3094</v>
      </c>
      <c r="M67" t="s">
        <v>3082</v>
      </c>
      <c r="N67" t="s">
        <v>3194</v>
      </c>
      <c r="O67" s="39" t="s">
        <v>3068</v>
      </c>
      <c r="P67" t="s">
        <v>707</v>
      </c>
      <c r="Q67" t="s">
        <v>1546</v>
      </c>
      <c r="R67" s="10">
        <v>322.2</v>
      </c>
      <c r="T67" t="s">
        <v>1601</v>
      </c>
    </row>
    <row r="68" spans="1:20" x14ac:dyDescent="0.35">
      <c r="A68">
        <v>2023</v>
      </c>
      <c r="B68" t="s">
        <v>772</v>
      </c>
      <c r="C68" t="s">
        <v>736</v>
      </c>
      <c r="D68" t="s">
        <v>25</v>
      </c>
      <c r="E68" t="s">
        <v>1136</v>
      </c>
      <c r="G68" t="s">
        <v>2037</v>
      </c>
      <c r="H68" s="37" t="s">
        <v>11</v>
      </c>
      <c r="I68" s="37" t="s">
        <v>13</v>
      </c>
      <c r="J68" t="s">
        <v>16</v>
      </c>
      <c r="K68" t="s">
        <v>3007</v>
      </c>
      <c r="L68" t="s">
        <v>3094</v>
      </c>
      <c r="M68" t="s">
        <v>3082</v>
      </c>
      <c r="N68" t="s">
        <v>3009</v>
      </c>
      <c r="O68" s="39" t="s">
        <v>3075</v>
      </c>
      <c r="P68" t="s">
        <v>1605</v>
      </c>
      <c r="Q68" t="s">
        <v>1635</v>
      </c>
      <c r="R68" s="10">
        <v>19879</v>
      </c>
      <c r="S68" t="s">
        <v>1605</v>
      </c>
      <c r="T68" t="s">
        <v>1601</v>
      </c>
    </row>
    <row r="69" spans="1:20" x14ac:dyDescent="0.35">
      <c r="A69">
        <v>2023</v>
      </c>
      <c r="B69" t="s">
        <v>772</v>
      </c>
      <c r="C69" t="s">
        <v>736</v>
      </c>
      <c r="D69" t="s">
        <v>25</v>
      </c>
      <c r="E69" t="s">
        <v>1136</v>
      </c>
      <c r="G69" t="s">
        <v>2037</v>
      </c>
      <c r="H69" s="37" t="s">
        <v>11</v>
      </c>
      <c r="I69" s="37" t="s">
        <v>13</v>
      </c>
      <c r="J69" t="s">
        <v>16</v>
      </c>
      <c r="K69" t="s">
        <v>3007</v>
      </c>
      <c r="L69" t="s">
        <v>3094</v>
      </c>
      <c r="M69" t="s">
        <v>3083</v>
      </c>
      <c r="N69" t="s">
        <v>3066</v>
      </c>
      <c r="O69" s="39" t="s">
        <v>3085</v>
      </c>
      <c r="P69" t="s">
        <v>1605</v>
      </c>
      <c r="Q69" t="s">
        <v>1635</v>
      </c>
      <c r="R69" s="10">
        <v>20111</v>
      </c>
      <c r="S69" t="s">
        <v>1605</v>
      </c>
      <c r="T69" t="s">
        <v>1601</v>
      </c>
    </row>
    <row r="70" spans="1:20" x14ac:dyDescent="0.35">
      <c r="A70">
        <v>2023</v>
      </c>
      <c r="B70" t="s">
        <v>772</v>
      </c>
      <c r="C70" t="s">
        <v>736</v>
      </c>
      <c r="D70" t="s">
        <v>25</v>
      </c>
      <c r="E70" t="s">
        <v>1136</v>
      </c>
      <c r="G70" t="s">
        <v>2037</v>
      </c>
      <c r="H70" s="37" t="s">
        <v>11</v>
      </c>
      <c r="I70" s="37" t="s">
        <v>13</v>
      </c>
      <c r="J70" t="s">
        <v>16</v>
      </c>
      <c r="K70" t="s">
        <v>3007</v>
      </c>
      <c r="L70" t="s">
        <v>3094</v>
      </c>
      <c r="M70" t="s">
        <v>3083</v>
      </c>
      <c r="N70" t="s">
        <v>3066</v>
      </c>
      <c r="O70" s="39" t="s">
        <v>3085</v>
      </c>
      <c r="P70" t="s">
        <v>1606</v>
      </c>
      <c r="Q70" t="s">
        <v>1635</v>
      </c>
      <c r="R70" s="10">
        <v>2785</v>
      </c>
      <c r="S70" t="s">
        <v>1606</v>
      </c>
      <c r="T70" t="s">
        <v>1601</v>
      </c>
    </row>
    <row r="71" spans="1:20" x14ac:dyDescent="0.35">
      <c r="A71">
        <v>2023</v>
      </c>
      <c r="B71" t="s">
        <v>772</v>
      </c>
      <c r="C71" t="s">
        <v>736</v>
      </c>
      <c r="D71" t="s">
        <v>25</v>
      </c>
      <c r="E71" t="s">
        <v>1136</v>
      </c>
      <c r="G71" t="s">
        <v>2037</v>
      </c>
      <c r="H71" s="37" t="s">
        <v>11</v>
      </c>
      <c r="I71" s="37" t="s">
        <v>13</v>
      </c>
      <c r="J71" t="s">
        <v>16</v>
      </c>
      <c r="K71" t="s">
        <v>3007</v>
      </c>
      <c r="L71" t="s">
        <v>3094</v>
      </c>
      <c r="M71" t="s">
        <v>3083</v>
      </c>
      <c r="N71" t="s">
        <v>3066</v>
      </c>
      <c r="O71" s="39" t="s">
        <v>3085</v>
      </c>
      <c r="P71" t="s">
        <v>1607</v>
      </c>
      <c r="Q71" t="s">
        <v>1635</v>
      </c>
      <c r="R71" s="10">
        <v>72766</v>
      </c>
      <c r="S71" t="s">
        <v>1607</v>
      </c>
      <c r="T71" t="s">
        <v>1601</v>
      </c>
    </row>
    <row r="72" spans="1:20" x14ac:dyDescent="0.35">
      <c r="A72">
        <v>2023</v>
      </c>
      <c r="B72" t="s">
        <v>772</v>
      </c>
      <c r="C72" t="s">
        <v>736</v>
      </c>
      <c r="D72" t="s">
        <v>25</v>
      </c>
      <c r="E72" t="s">
        <v>1136</v>
      </c>
      <c r="G72" t="s">
        <v>2037</v>
      </c>
      <c r="H72" s="37" t="s">
        <v>11</v>
      </c>
      <c r="I72" s="37" t="s">
        <v>13</v>
      </c>
      <c r="J72" t="s">
        <v>16</v>
      </c>
      <c r="K72" t="s">
        <v>3007</v>
      </c>
      <c r="L72" t="s">
        <v>3094</v>
      </c>
      <c r="M72" t="s">
        <v>3082</v>
      </c>
      <c r="N72" t="s">
        <v>3191</v>
      </c>
      <c r="O72" s="39" t="s">
        <v>3069</v>
      </c>
      <c r="P72" t="s">
        <v>707</v>
      </c>
      <c r="Q72" t="s">
        <v>1546</v>
      </c>
      <c r="R72" s="10">
        <v>3.3257557699805198E-4</v>
      </c>
      <c r="T72" t="s">
        <v>1601</v>
      </c>
    </row>
    <row r="73" spans="1:20" x14ac:dyDescent="0.35">
      <c r="A73">
        <v>2023</v>
      </c>
      <c r="B73" t="s">
        <v>772</v>
      </c>
      <c r="C73" t="s">
        <v>736</v>
      </c>
      <c r="D73" t="s">
        <v>25</v>
      </c>
      <c r="E73" t="s">
        <v>1136</v>
      </c>
      <c r="G73" t="s">
        <v>2037</v>
      </c>
      <c r="H73" s="37" t="s">
        <v>11</v>
      </c>
      <c r="I73" s="37" t="s">
        <v>13</v>
      </c>
      <c r="J73" t="s">
        <v>16</v>
      </c>
      <c r="K73" t="s">
        <v>3007</v>
      </c>
      <c r="L73" t="s">
        <v>3094</v>
      </c>
      <c r="M73" t="s">
        <v>3082</v>
      </c>
      <c r="N73" t="s">
        <v>3190</v>
      </c>
      <c r="O73" s="39" t="s">
        <v>3071</v>
      </c>
      <c r="P73" t="s">
        <v>707</v>
      </c>
      <c r="Q73" t="s">
        <v>1546</v>
      </c>
      <c r="R73" s="10">
        <v>1.90290400308735E-5</v>
      </c>
      <c r="T73" t="s">
        <v>1601</v>
      </c>
    </row>
    <row r="74" spans="1:20" x14ac:dyDescent="0.35">
      <c r="A74">
        <v>2023</v>
      </c>
      <c r="B74" t="s">
        <v>772</v>
      </c>
      <c r="C74" t="s">
        <v>736</v>
      </c>
      <c r="D74" t="s">
        <v>25</v>
      </c>
      <c r="E74" t="s">
        <v>1136</v>
      </c>
      <c r="G74" t="s">
        <v>2037</v>
      </c>
      <c r="H74" s="37" t="s">
        <v>11</v>
      </c>
      <c r="I74" s="37" t="s">
        <v>13</v>
      </c>
      <c r="J74" t="s">
        <v>16</v>
      </c>
      <c r="K74" t="s">
        <v>3007</v>
      </c>
      <c r="L74" t="s">
        <v>3094</v>
      </c>
      <c r="M74" t="s">
        <v>3082</v>
      </c>
      <c r="N74" t="s">
        <v>3011</v>
      </c>
      <c r="O74" s="39" t="s">
        <v>3074</v>
      </c>
      <c r="P74" t="s">
        <v>1605</v>
      </c>
      <c r="Q74" t="s">
        <v>1635</v>
      </c>
      <c r="R74" s="10">
        <v>127</v>
      </c>
      <c r="S74" t="s">
        <v>1605</v>
      </c>
      <c r="T74" t="s">
        <v>1601</v>
      </c>
    </row>
    <row r="75" spans="1:20" x14ac:dyDescent="0.35">
      <c r="A75">
        <v>2023</v>
      </c>
      <c r="B75" t="s">
        <v>772</v>
      </c>
      <c r="C75" t="s">
        <v>736</v>
      </c>
      <c r="D75" t="s">
        <v>25</v>
      </c>
      <c r="E75" t="s">
        <v>1136</v>
      </c>
      <c r="G75" t="s">
        <v>2037</v>
      </c>
      <c r="H75" s="37" t="s">
        <v>11</v>
      </c>
      <c r="I75" s="37" t="s">
        <v>13</v>
      </c>
      <c r="J75" t="s">
        <v>16</v>
      </c>
      <c r="K75" t="s">
        <v>3007</v>
      </c>
      <c r="L75" t="s">
        <v>3094</v>
      </c>
      <c r="M75" t="s">
        <v>3083</v>
      </c>
      <c r="N75" t="s">
        <v>1636</v>
      </c>
      <c r="O75" s="39" t="s">
        <v>3087</v>
      </c>
      <c r="P75" t="s">
        <v>707</v>
      </c>
      <c r="Q75" t="s">
        <v>1546</v>
      </c>
      <c r="R75" s="10">
        <v>440.2</v>
      </c>
      <c r="T75" t="s">
        <v>1601</v>
      </c>
    </row>
    <row r="76" spans="1:20" x14ac:dyDescent="0.35">
      <c r="A76">
        <v>2023</v>
      </c>
      <c r="B76" t="s">
        <v>772</v>
      </c>
      <c r="C76" t="s">
        <v>736</v>
      </c>
      <c r="D76" t="s">
        <v>25</v>
      </c>
      <c r="E76" t="s">
        <v>1136</v>
      </c>
      <c r="G76" t="s">
        <v>2037</v>
      </c>
      <c r="H76" s="37" t="s">
        <v>11</v>
      </c>
      <c r="I76" s="37" t="s">
        <v>13</v>
      </c>
      <c r="J76" t="s">
        <v>16</v>
      </c>
      <c r="K76" t="s">
        <v>3007</v>
      </c>
      <c r="L76" t="s">
        <v>3094</v>
      </c>
      <c r="M76" t="s">
        <v>3083</v>
      </c>
      <c r="N76" t="s">
        <v>3193</v>
      </c>
      <c r="O76" s="39" t="s">
        <v>3102</v>
      </c>
      <c r="P76" t="s">
        <v>707</v>
      </c>
      <c r="Q76" t="s">
        <v>1546</v>
      </c>
      <c r="R76" s="10">
        <v>83.19</v>
      </c>
      <c r="T76" t="s">
        <v>1601</v>
      </c>
    </row>
    <row r="77" spans="1:20" x14ac:dyDescent="0.35">
      <c r="A77">
        <v>2023</v>
      </c>
      <c r="B77" t="s">
        <v>772</v>
      </c>
      <c r="C77" t="s">
        <v>736</v>
      </c>
      <c r="D77" t="s">
        <v>25</v>
      </c>
      <c r="E77" t="s">
        <v>1136</v>
      </c>
      <c r="G77" t="s">
        <v>2037</v>
      </c>
      <c r="H77" s="37" t="s">
        <v>11</v>
      </c>
      <c r="I77" s="37" t="s">
        <v>13</v>
      </c>
      <c r="J77" t="s">
        <v>16</v>
      </c>
      <c r="K77" t="s">
        <v>3007</v>
      </c>
      <c r="L77" t="s">
        <v>3094</v>
      </c>
      <c r="M77" t="s">
        <v>3083</v>
      </c>
      <c r="N77" t="s">
        <v>3012</v>
      </c>
      <c r="O77" s="39" t="s">
        <v>3089</v>
      </c>
      <c r="P77" t="s">
        <v>1605</v>
      </c>
      <c r="Q77" t="s">
        <v>1635</v>
      </c>
      <c r="R77" s="10">
        <v>31</v>
      </c>
      <c r="S77" t="s">
        <v>1605</v>
      </c>
      <c r="T77" t="s">
        <v>1601</v>
      </c>
    </row>
    <row r="78" spans="1:20" x14ac:dyDescent="0.35">
      <c r="A78">
        <v>2023</v>
      </c>
      <c r="B78" t="s">
        <v>772</v>
      </c>
      <c r="C78" t="s">
        <v>736</v>
      </c>
      <c r="D78" t="s">
        <v>25</v>
      </c>
      <c r="E78" t="s">
        <v>1136</v>
      </c>
      <c r="G78" t="s">
        <v>2037</v>
      </c>
      <c r="H78" s="37" t="s">
        <v>11</v>
      </c>
      <c r="I78" s="37" t="s">
        <v>13</v>
      </c>
      <c r="J78" t="s">
        <v>16</v>
      </c>
      <c r="K78" t="s">
        <v>3007</v>
      </c>
      <c r="L78" t="s">
        <v>3094</v>
      </c>
      <c r="M78" t="s">
        <v>3083</v>
      </c>
      <c r="N78" t="s">
        <v>3103</v>
      </c>
      <c r="O78" s="39" t="s">
        <v>3104</v>
      </c>
      <c r="P78" t="s">
        <v>707</v>
      </c>
      <c r="Q78" t="s">
        <v>1546</v>
      </c>
      <c r="R78" s="10">
        <v>61.61</v>
      </c>
      <c r="T78" t="s">
        <v>1601</v>
      </c>
    </row>
    <row r="79" spans="1:20" x14ac:dyDescent="0.35">
      <c r="A79">
        <v>2023</v>
      </c>
      <c r="B79" t="s">
        <v>772</v>
      </c>
      <c r="C79" t="s">
        <v>736</v>
      </c>
      <c r="D79" t="s">
        <v>25</v>
      </c>
      <c r="E79" t="s">
        <v>1136</v>
      </c>
      <c r="G79" t="s">
        <v>2037</v>
      </c>
      <c r="H79" s="37" t="s">
        <v>11</v>
      </c>
      <c r="I79" s="37" t="s">
        <v>13</v>
      </c>
      <c r="J79" t="s">
        <v>16</v>
      </c>
      <c r="K79" t="s">
        <v>3007</v>
      </c>
      <c r="L79" t="s">
        <v>3094</v>
      </c>
      <c r="M79" t="s">
        <v>3083</v>
      </c>
      <c r="N79" t="s">
        <v>3013</v>
      </c>
      <c r="O79" s="39" t="s">
        <v>3090</v>
      </c>
      <c r="P79" t="s">
        <v>707</v>
      </c>
      <c r="Q79" t="s">
        <v>1546</v>
      </c>
      <c r="R79" s="10">
        <v>0.41799999999999998</v>
      </c>
      <c r="T79" t="s">
        <v>1601</v>
      </c>
    </row>
    <row r="80" spans="1:20" x14ac:dyDescent="0.35">
      <c r="A80">
        <v>2023</v>
      </c>
      <c r="B80" t="s">
        <v>772</v>
      </c>
      <c r="C80" t="s">
        <v>736</v>
      </c>
      <c r="D80" t="s">
        <v>25</v>
      </c>
      <c r="E80" t="s">
        <v>1136</v>
      </c>
      <c r="G80" t="s">
        <v>2037</v>
      </c>
      <c r="H80" s="37" t="s">
        <v>11</v>
      </c>
      <c r="I80" s="37" t="s">
        <v>13</v>
      </c>
      <c r="J80" t="s">
        <v>16</v>
      </c>
      <c r="K80" t="s">
        <v>3007</v>
      </c>
      <c r="L80" t="s">
        <v>3094</v>
      </c>
      <c r="M80" t="s">
        <v>3083</v>
      </c>
      <c r="N80" t="s">
        <v>1637</v>
      </c>
      <c r="O80" s="39" t="s">
        <v>3091</v>
      </c>
      <c r="P80" t="s">
        <v>707</v>
      </c>
      <c r="Q80" t="s">
        <v>1546</v>
      </c>
      <c r="R80" s="10">
        <v>0.66</v>
      </c>
      <c r="T80" t="s">
        <v>1601</v>
      </c>
    </row>
    <row r="81" spans="1:20" x14ac:dyDescent="0.35">
      <c r="A81">
        <v>2023</v>
      </c>
      <c r="B81" t="s">
        <v>772</v>
      </c>
      <c r="C81" t="s">
        <v>736</v>
      </c>
      <c r="D81" t="s">
        <v>25</v>
      </c>
      <c r="E81" t="s">
        <v>1136</v>
      </c>
      <c r="G81" t="s">
        <v>2037</v>
      </c>
      <c r="H81" s="37" t="s">
        <v>11</v>
      </c>
      <c r="I81" s="37" t="s">
        <v>13</v>
      </c>
      <c r="J81" t="s">
        <v>16</v>
      </c>
      <c r="K81" t="s">
        <v>3007</v>
      </c>
      <c r="L81" t="s">
        <v>3094</v>
      </c>
      <c r="M81" t="s">
        <v>3083</v>
      </c>
      <c r="N81" t="s">
        <v>3188</v>
      </c>
      <c r="O81" s="39" t="s">
        <v>3073</v>
      </c>
      <c r="P81" t="s">
        <v>707</v>
      </c>
      <c r="Q81" t="s">
        <v>1546</v>
      </c>
      <c r="R81" s="10">
        <v>8.5</v>
      </c>
      <c r="T81" t="s">
        <v>1601</v>
      </c>
    </row>
    <row r="82" spans="1:20" x14ac:dyDescent="0.35">
      <c r="A82">
        <v>2023</v>
      </c>
      <c r="B82" t="s">
        <v>772</v>
      </c>
      <c r="C82" t="s">
        <v>736</v>
      </c>
      <c r="D82" t="s">
        <v>25</v>
      </c>
      <c r="E82" t="s">
        <v>1136</v>
      </c>
      <c r="G82" t="s">
        <v>2037</v>
      </c>
      <c r="H82" s="37" t="s">
        <v>11</v>
      </c>
      <c r="I82" s="37" t="s">
        <v>13</v>
      </c>
      <c r="J82" t="s">
        <v>16</v>
      </c>
      <c r="K82" t="s">
        <v>3006</v>
      </c>
      <c r="L82" t="s">
        <v>3096</v>
      </c>
      <c r="M82" t="s">
        <v>3083</v>
      </c>
      <c r="N82" t="s">
        <v>3006</v>
      </c>
      <c r="O82" s="39" t="s">
        <v>3086</v>
      </c>
      <c r="P82" t="s">
        <v>1616</v>
      </c>
      <c r="Q82" t="s">
        <v>1617</v>
      </c>
      <c r="R82" s="10">
        <v>944.3</v>
      </c>
      <c r="S82" t="s">
        <v>1616</v>
      </c>
      <c r="T82" t="s">
        <v>1601</v>
      </c>
    </row>
    <row r="83" spans="1:20" x14ac:dyDescent="0.35">
      <c r="A83">
        <v>2023</v>
      </c>
      <c r="B83" t="s">
        <v>772</v>
      </c>
      <c r="C83" t="s">
        <v>736</v>
      </c>
      <c r="D83" t="s">
        <v>25</v>
      </c>
      <c r="E83" t="s">
        <v>1136</v>
      </c>
      <c r="G83" t="s">
        <v>2037</v>
      </c>
      <c r="H83" s="37" t="s">
        <v>11</v>
      </c>
      <c r="I83" s="37" t="s">
        <v>13</v>
      </c>
      <c r="J83" t="s">
        <v>16</v>
      </c>
      <c r="K83" t="s">
        <v>3006</v>
      </c>
      <c r="L83" t="s">
        <v>3097</v>
      </c>
      <c r="M83" t="s">
        <v>3083</v>
      </c>
      <c r="N83" t="s">
        <v>3006</v>
      </c>
      <c r="O83" s="39" t="s">
        <v>3086</v>
      </c>
      <c r="P83" t="s">
        <v>1618</v>
      </c>
      <c r="Q83" t="s">
        <v>1617</v>
      </c>
      <c r="R83" s="10">
        <v>1428.9</v>
      </c>
      <c r="S83" t="s">
        <v>1618</v>
      </c>
      <c r="T83" t="s">
        <v>1601</v>
      </c>
    </row>
    <row r="84" spans="1:20" x14ac:dyDescent="0.35">
      <c r="A84">
        <v>2023</v>
      </c>
      <c r="B84" t="s">
        <v>772</v>
      </c>
      <c r="C84" t="s">
        <v>736</v>
      </c>
      <c r="D84" t="s">
        <v>25</v>
      </c>
      <c r="E84" t="s">
        <v>1136</v>
      </c>
      <c r="G84" t="s">
        <v>2037</v>
      </c>
      <c r="H84" s="37" t="s">
        <v>11</v>
      </c>
      <c r="I84" s="37" t="s">
        <v>13</v>
      </c>
      <c r="J84" t="s">
        <v>16</v>
      </c>
      <c r="K84" t="s">
        <v>3006</v>
      </c>
      <c r="L84" t="s">
        <v>3098</v>
      </c>
      <c r="M84" t="s">
        <v>3083</v>
      </c>
      <c r="N84" t="s">
        <v>3006</v>
      </c>
      <c r="O84" s="39" t="s">
        <v>3086</v>
      </c>
      <c r="P84" t="s">
        <v>1639</v>
      </c>
      <c r="Q84" t="s">
        <v>1617</v>
      </c>
      <c r="R84" s="10">
        <v>-484.6</v>
      </c>
      <c r="S84" t="s">
        <v>1639</v>
      </c>
      <c r="T84" t="s">
        <v>1601</v>
      </c>
    </row>
    <row r="85" spans="1:20" x14ac:dyDescent="0.35">
      <c r="A85">
        <v>2023</v>
      </c>
      <c r="B85" t="s">
        <v>772</v>
      </c>
      <c r="C85" t="s">
        <v>736</v>
      </c>
      <c r="D85" t="s">
        <v>25</v>
      </c>
      <c r="E85" t="s">
        <v>1136</v>
      </c>
      <c r="G85" t="s">
        <v>2037</v>
      </c>
      <c r="H85" s="37" t="s">
        <v>11</v>
      </c>
      <c r="I85" s="37" t="s">
        <v>13</v>
      </c>
      <c r="J85" t="s">
        <v>16</v>
      </c>
      <c r="K85" t="s">
        <v>3005</v>
      </c>
      <c r="L85" t="s">
        <v>3095</v>
      </c>
      <c r="O85" s="39"/>
      <c r="P85" t="s">
        <v>1626</v>
      </c>
      <c r="Q85" t="s">
        <v>1629</v>
      </c>
      <c r="R85" s="10">
        <v>1375</v>
      </c>
      <c r="S85" t="s">
        <v>1626</v>
      </c>
      <c r="T85" t="s">
        <v>1601</v>
      </c>
    </row>
    <row r="86" spans="1:20" x14ac:dyDescent="0.35">
      <c r="A86">
        <v>2023</v>
      </c>
      <c r="B86" t="s">
        <v>772</v>
      </c>
      <c r="C86" t="s">
        <v>736</v>
      </c>
      <c r="D86" t="s">
        <v>25</v>
      </c>
      <c r="E86" t="s">
        <v>1136</v>
      </c>
      <c r="G86" t="s">
        <v>2037</v>
      </c>
      <c r="H86" s="37" t="s">
        <v>11</v>
      </c>
      <c r="I86" s="37" t="s">
        <v>13</v>
      </c>
      <c r="J86" t="s">
        <v>16</v>
      </c>
      <c r="K86" t="s">
        <v>3005</v>
      </c>
      <c r="L86" t="s">
        <v>3095</v>
      </c>
      <c r="O86" s="39"/>
      <c r="P86" t="s">
        <v>1627</v>
      </c>
      <c r="Q86" t="s">
        <v>1629</v>
      </c>
      <c r="R86" s="10">
        <v>235</v>
      </c>
      <c r="S86" t="s">
        <v>1627</v>
      </c>
      <c r="T86" t="s">
        <v>1601</v>
      </c>
    </row>
    <row r="87" spans="1:20" x14ac:dyDescent="0.35">
      <c r="A87">
        <v>2023</v>
      </c>
      <c r="B87" t="s">
        <v>772</v>
      </c>
      <c r="C87" t="s">
        <v>736</v>
      </c>
      <c r="D87" t="s">
        <v>26</v>
      </c>
      <c r="E87" t="s">
        <v>1135</v>
      </c>
      <c r="G87" t="s">
        <v>2037</v>
      </c>
      <c r="H87" s="37" t="s">
        <v>11</v>
      </c>
      <c r="I87" s="37" t="s">
        <v>13</v>
      </c>
      <c r="J87" t="s">
        <v>16</v>
      </c>
      <c r="K87" t="s">
        <v>3007</v>
      </c>
      <c r="L87" t="s">
        <v>3094</v>
      </c>
      <c r="M87" t="s">
        <v>3082</v>
      </c>
      <c r="N87" t="s">
        <v>3009</v>
      </c>
      <c r="O87" s="39" t="s">
        <v>3075</v>
      </c>
      <c r="P87" t="s">
        <v>1605</v>
      </c>
      <c r="Q87" t="s">
        <v>1635</v>
      </c>
      <c r="R87" s="10">
        <v>596</v>
      </c>
      <c r="S87" t="s">
        <v>3226</v>
      </c>
      <c r="T87" t="s">
        <v>1601</v>
      </c>
    </row>
    <row r="88" spans="1:20" x14ac:dyDescent="0.35">
      <c r="A88">
        <v>2023</v>
      </c>
      <c r="B88" t="s">
        <v>772</v>
      </c>
      <c r="C88" t="s">
        <v>736</v>
      </c>
      <c r="D88" t="s">
        <v>26</v>
      </c>
      <c r="E88" t="s">
        <v>1135</v>
      </c>
      <c r="G88" t="s">
        <v>2037</v>
      </c>
      <c r="H88" s="37" t="s">
        <v>11</v>
      </c>
      <c r="I88" s="37" t="s">
        <v>13</v>
      </c>
      <c r="J88" t="s">
        <v>16</v>
      </c>
      <c r="K88" t="s">
        <v>3007</v>
      </c>
      <c r="L88" t="s">
        <v>3094</v>
      </c>
      <c r="M88" t="s">
        <v>3082</v>
      </c>
      <c r="N88" t="s">
        <v>3010</v>
      </c>
      <c r="O88" s="39" t="s">
        <v>3076</v>
      </c>
      <c r="P88" t="s">
        <v>1605</v>
      </c>
      <c r="Q88" t="s">
        <v>1635</v>
      </c>
      <c r="R88" s="10">
        <v>23</v>
      </c>
      <c r="S88" t="s">
        <v>1605</v>
      </c>
      <c r="T88" t="s">
        <v>1601</v>
      </c>
    </row>
    <row r="89" spans="1:20" x14ac:dyDescent="0.35">
      <c r="A89">
        <v>2023</v>
      </c>
      <c r="B89" t="s">
        <v>772</v>
      </c>
      <c r="C89" t="s">
        <v>736</v>
      </c>
      <c r="D89" t="s">
        <v>26</v>
      </c>
      <c r="E89" t="s">
        <v>1135</v>
      </c>
      <c r="G89" t="s">
        <v>2037</v>
      </c>
      <c r="H89" s="37" t="s">
        <v>11</v>
      </c>
      <c r="I89" s="37" t="s">
        <v>13</v>
      </c>
      <c r="J89" t="s">
        <v>16</v>
      </c>
      <c r="K89" t="s">
        <v>3007</v>
      </c>
      <c r="L89" t="s">
        <v>3094</v>
      </c>
      <c r="M89" t="s">
        <v>3082</v>
      </c>
      <c r="N89" t="s">
        <v>3194</v>
      </c>
      <c r="O89" s="39" t="s">
        <v>3068</v>
      </c>
      <c r="P89" t="s">
        <v>707</v>
      </c>
      <c r="Q89" t="s">
        <v>1546</v>
      </c>
      <c r="R89" s="10">
        <v>187.6</v>
      </c>
      <c r="T89" t="s">
        <v>1601</v>
      </c>
    </row>
    <row r="90" spans="1:20" x14ac:dyDescent="0.35">
      <c r="A90">
        <v>2023</v>
      </c>
      <c r="B90" t="s">
        <v>772</v>
      </c>
      <c r="C90" t="s">
        <v>736</v>
      </c>
      <c r="D90" t="s">
        <v>26</v>
      </c>
      <c r="E90" t="s">
        <v>1135</v>
      </c>
      <c r="G90" t="s">
        <v>2037</v>
      </c>
      <c r="H90" s="37" t="s">
        <v>11</v>
      </c>
      <c r="I90" s="37" t="s">
        <v>13</v>
      </c>
      <c r="J90" t="s">
        <v>16</v>
      </c>
      <c r="K90" t="s">
        <v>3007</v>
      </c>
      <c r="L90" t="s">
        <v>3094</v>
      </c>
      <c r="M90" t="s">
        <v>3082</v>
      </c>
      <c r="N90" t="s">
        <v>3009</v>
      </c>
      <c r="O90" s="39" t="s">
        <v>3075</v>
      </c>
      <c r="P90" t="s">
        <v>1605</v>
      </c>
      <c r="Q90" t="s">
        <v>1635</v>
      </c>
      <c r="R90" s="10">
        <v>21538</v>
      </c>
      <c r="S90" t="s">
        <v>1605</v>
      </c>
      <c r="T90" t="s">
        <v>1601</v>
      </c>
    </row>
    <row r="91" spans="1:20" x14ac:dyDescent="0.35">
      <c r="A91">
        <v>2023</v>
      </c>
      <c r="B91" t="s">
        <v>772</v>
      </c>
      <c r="C91" t="s">
        <v>736</v>
      </c>
      <c r="D91" t="s">
        <v>26</v>
      </c>
      <c r="E91" t="s">
        <v>1135</v>
      </c>
      <c r="G91" t="s">
        <v>2037</v>
      </c>
      <c r="H91" s="37" t="s">
        <v>11</v>
      </c>
      <c r="I91" s="37" t="s">
        <v>13</v>
      </c>
      <c r="J91" t="s">
        <v>16</v>
      </c>
      <c r="K91" t="s">
        <v>3007</v>
      </c>
      <c r="L91" t="s">
        <v>3094</v>
      </c>
      <c r="M91" t="s">
        <v>3083</v>
      </c>
      <c r="N91" t="s">
        <v>3066</v>
      </c>
      <c r="O91" s="39" t="s">
        <v>3085</v>
      </c>
      <c r="P91" t="s">
        <v>1605</v>
      </c>
      <c r="Q91" t="s">
        <v>1635</v>
      </c>
      <c r="R91" s="10">
        <v>21634</v>
      </c>
      <c r="S91" t="s">
        <v>1605</v>
      </c>
      <c r="T91" t="s">
        <v>1601</v>
      </c>
    </row>
    <row r="92" spans="1:20" x14ac:dyDescent="0.35">
      <c r="A92">
        <v>2023</v>
      </c>
      <c r="B92" t="s">
        <v>772</v>
      </c>
      <c r="C92" t="s">
        <v>736</v>
      </c>
      <c r="D92" t="s">
        <v>26</v>
      </c>
      <c r="E92" t="s">
        <v>1135</v>
      </c>
      <c r="G92" t="s">
        <v>2037</v>
      </c>
      <c r="H92" s="37" t="s">
        <v>11</v>
      </c>
      <c r="I92" s="37" t="s">
        <v>13</v>
      </c>
      <c r="J92" t="s">
        <v>16</v>
      </c>
      <c r="K92" t="s">
        <v>3007</v>
      </c>
      <c r="L92" t="s">
        <v>3094</v>
      </c>
      <c r="M92" t="s">
        <v>3083</v>
      </c>
      <c r="N92" t="s">
        <v>3066</v>
      </c>
      <c r="O92" s="39" t="s">
        <v>3085</v>
      </c>
      <c r="P92" t="s">
        <v>1606</v>
      </c>
      <c r="Q92" t="s">
        <v>1635</v>
      </c>
      <c r="R92" s="10">
        <v>8006</v>
      </c>
      <c r="S92" t="s">
        <v>1606</v>
      </c>
      <c r="T92" t="s">
        <v>1601</v>
      </c>
    </row>
    <row r="93" spans="1:20" x14ac:dyDescent="0.35">
      <c r="A93">
        <v>2023</v>
      </c>
      <c r="B93" t="s">
        <v>772</v>
      </c>
      <c r="C93" t="s">
        <v>736</v>
      </c>
      <c r="D93" t="s">
        <v>26</v>
      </c>
      <c r="E93" t="s">
        <v>1135</v>
      </c>
      <c r="G93" t="s">
        <v>2037</v>
      </c>
      <c r="H93" s="37" t="s">
        <v>11</v>
      </c>
      <c r="I93" s="37" t="s">
        <v>13</v>
      </c>
      <c r="J93" t="s">
        <v>16</v>
      </c>
      <c r="K93" t="s">
        <v>3007</v>
      </c>
      <c r="L93" t="s">
        <v>3094</v>
      </c>
      <c r="M93" t="s">
        <v>3083</v>
      </c>
      <c r="N93" t="s">
        <v>3066</v>
      </c>
      <c r="O93" s="39" t="s">
        <v>3085</v>
      </c>
      <c r="P93" t="s">
        <v>1607</v>
      </c>
      <c r="Q93" t="s">
        <v>1635</v>
      </c>
      <c r="R93" s="10">
        <v>98564</v>
      </c>
      <c r="S93" t="s">
        <v>1607</v>
      </c>
      <c r="T93" t="s">
        <v>1601</v>
      </c>
    </row>
    <row r="94" spans="1:20" x14ac:dyDescent="0.35">
      <c r="A94">
        <v>2023</v>
      </c>
      <c r="B94" t="s">
        <v>772</v>
      </c>
      <c r="C94" t="s">
        <v>736</v>
      </c>
      <c r="D94" t="s">
        <v>26</v>
      </c>
      <c r="E94" t="s">
        <v>1135</v>
      </c>
      <c r="G94" t="s">
        <v>2037</v>
      </c>
      <c r="H94" s="37" t="s">
        <v>11</v>
      </c>
      <c r="I94" s="37" t="s">
        <v>13</v>
      </c>
      <c r="J94" t="s">
        <v>16</v>
      </c>
      <c r="K94" t="s">
        <v>3007</v>
      </c>
      <c r="L94" t="s">
        <v>3094</v>
      </c>
      <c r="M94" t="s">
        <v>3082</v>
      </c>
      <c r="N94" t="s">
        <v>3011</v>
      </c>
      <c r="O94" s="39" t="s">
        <v>3074</v>
      </c>
      <c r="P94" t="s">
        <v>1605</v>
      </c>
      <c r="Q94" t="s">
        <v>1635</v>
      </c>
      <c r="R94" s="10">
        <v>73</v>
      </c>
      <c r="S94" t="s">
        <v>1605</v>
      </c>
      <c r="T94" t="s">
        <v>1601</v>
      </c>
    </row>
    <row r="95" spans="1:20" x14ac:dyDescent="0.35">
      <c r="A95">
        <v>2023</v>
      </c>
      <c r="B95" t="s">
        <v>772</v>
      </c>
      <c r="C95" t="s">
        <v>736</v>
      </c>
      <c r="D95" t="s">
        <v>26</v>
      </c>
      <c r="E95" t="s">
        <v>1135</v>
      </c>
      <c r="G95" t="s">
        <v>2037</v>
      </c>
      <c r="H95" s="37" t="s">
        <v>11</v>
      </c>
      <c r="I95" s="37" t="s">
        <v>13</v>
      </c>
      <c r="J95" t="s">
        <v>16</v>
      </c>
      <c r="K95" t="s">
        <v>3007</v>
      </c>
      <c r="L95" t="s">
        <v>3094</v>
      </c>
      <c r="M95" t="s">
        <v>3083</v>
      </c>
      <c r="N95" t="s">
        <v>1636</v>
      </c>
      <c r="O95" s="39" t="s">
        <v>3087</v>
      </c>
      <c r="P95" t="s">
        <v>707</v>
      </c>
      <c r="Q95" t="s">
        <v>1546</v>
      </c>
      <c r="R95" s="10">
        <v>28.103000000000002</v>
      </c>
      <c r="T95" t="s">
        <v>1601</v>
      </c>
    </row>
    <row r="96" spans="1:20" x14ac:dyDescent="0.35">
      <c r="A96">
        <v>2023</v>
      </c>
      <c r="B96" t="s">
        <v>772</v>
      </c>
      <c r="C96" t="s">
        <v>736</v>
      </c>
      <c r="D96" t="s">
        <v>26</v>
      </c>
      <c r="E96" t="s">
        <v>1135</v>
      </c>
      <c r="G96" t="s">
        <v>2037</v>
      </c>
      <c r="H96" s="37" t="s">
        <v>11</v>
      </c>
      <c r="I96" s="37" t="s">
        <v>13</v>
      </c>
      <c r="J96" t="s">
        <v>16</v>
      </c>
      <c r="K96" t="s">
        <v>3007</v>
      </c>
      <c r="L96" t="s">
        <v>3094</v>
      </c>
      <c r="M96" t="s">
        <v>3083</v>
      </c>
      <c r="N96" t="s">
        <v>3193</v>
      </c>
      <c r="O96" s="39" t="s">
        <v>3102</v>
      </c>
      <c r="P96" t="s">
        <v>707</v>
      </c>
      <c r="Q96" t="s">
        <v>1546</v>
      </c>
      <c r="R96" s="10">
        <v>8.6</v>
      </c>
      <c r="T96" t="s">
        <v>1601</v>
      </c>
    </row>
    <row r="97" spans="1:20" x14ac:dyDescent="0.35">
      <c r="A97">
        <v>2023</v>
      </c>
      <c r="B97" t="s">
        <v>772</v>
      </c>
      <c r="C97" t="s">
        <v>736</v>
      </c>
      <c r="D97" t="s">
        <v>26</v>
      </c>
      <c r="E97" t="s">
        <v>1135</v>
      </c>
      <c r="G97" t="s">
        <v>2037</v>
      </c>
      <c r="H97" s="37" t="s">
        <v>11</v>
      </c>
      <c r="I97" s="37" t="s">
        <v>13</v>
      </c>
      <c r="J97" t="s">
        <v>16</v>
      </c>
      <c r="K97" t="s">
        <v>3007</v>
      </c>
      <c r="L97" t="s">
        <v>3094</v>
      </c>
      <c r="M97" t="s">
        <v>3083</v>
      </c>
      <c r="N97" t="s">
        <v>3103</v>
      </c>
      <c r="O97" s="39" t="s">
        <v>3104</v>
      </c>
      <c r="P97" t="s">
        <v>707</v>
      </c>
      <c r="Q97" t="s">
        <v>1546</v>
      </c>
      <c r="R97" s="10">
        <v>2.6</v>
      </c>
      <c r="T97" t="s">
        <v>1601</v>
      </c>
    </row>
    <row r="98" spans="1:20" x14ac:dyDescent="0.35">
      <c r="A98">
        <v>2023</v>
      </c>
      <c r="B98" t="s">
        <v>772</v>
      </c>
      <c r="C98" t="s">
        <v>736</v>
      </c>
      <c r="D98" t="s">
        <v>26</v>
      </c>
      <c r="E98" t="s">
        <v>1135</v>
      </c>
      <c r="G98" t="s">
        <v>2037</v>
      </c>
      <c r="H98" s="37" t="s">
        <v>11</v>
      </c>
      <c r="I98" s="37" t="s">
        <v>13</v>
      </c>
      <c r="J98" t="s">
        <v>16</v>
      </c>
      <c r="K98" t="s">
        <v>3007</v>
      </c>
      <c r="L98" t="s">
        <v>3094</v>
      </c>
      <c r="M98" t="s">
        <v>3083</v>
      </c>
      <c r="N98" t="s">
        <v>3013</v>
      </c>
      <c r="O98" s="39" t="s">
        <v>3090</v>
      </c>
      <c r="P98" t="s">
        <v>707</v>
      </c>
      <c r="Q98" t="s">
        <v>1546</v>
      </c>
      <c r="R98" s="10">
        <v>38.54224</v>
      </c>
      <c r="T98" t="s">
        <v>1601</v>
      </c>
    </row>
    <row r="99" spans="1:20" x14ac:dyDescent="0.35">
      <c r="A99">
        <v>2023</v>
      </c>
      <c r="B99" t="s">
        <v>772</v>
      </c>
      <c r="C99" t="s">
        <v>736</v>
      </c>
      <c r="D99" t="s">
        <v>26</v>
      </c>
      <c r="E99" t="s">
        <v>1135</v>
      </c>
      <c r="G99" t="s">
        <v>2037</v>
      </c>
      <c r="H99" s="37" t="s">
        <v>11</v>
      </c>
      <c r="I99" s="37" t="s">
        <v>13</v>
      </c>
      <c r="J99" t="s">
        <v>16</v>
      </c>
      <c r="K99" t="s">
        <v>3007</v>
      </c>
      <c r="L99" t="s">
        <v>3094</v>
      </c>
      <c r="M99" t="s">
        <v>3083</v>
      </c>
      <c r="N99" t="s">
        <v>1637</v>
      </c>
      <c r="O99" s="39" t="s">
        <v>3091</v>
      </c>
      <c r="P99" t="s">
        <v>707</v>
      </c>
      <c r="Q99" t="s">
        <v>1546</v>
      </c>
      <c r="R99" s="10">
        <v>0.24299999999999999</v>
      </c>
      <c r="T99" t="s">
        <v>1601</v>
      </c>
    </row>
    <row r="100" spans="1:20" x14ac:dyDescent="0.35">
      <c r="A100">
        <v>2023</v>
      </c>
      <c r="B100" t="s">
        <v>772</v>
      </c>
      <c r="C100" t="s">
        <v>736</v>
      </c>
      <c r="D100" t="s">
        <v>26</v>
      </c>
      <c r="E100" t="s">
        <v>1135</v>
      </c>
      <c r="G100" t="s">
        <v>2037</v>
      </c>
      <c r="H100" s="37" t="s">
        <v>11</v>
      </c>
      <c r="I100" s="37" t="s">
        <v>13</v>
      </c>
      <c r="J100" t="s">
        <v>16</v>
      </c>
      <c r="K100" t="s">
        <v>3007</v>
      </c>
      <c r="L100" t="s">
        <v>3094</v>
      </c>
      <c r="M100" t="s">
        <v>3083</v>
      </c>
      <c r="N100" t="s">
        <v>3188</v>
      </c>
      <c r="O100" s="39" t="s">
        <v>3073</v>
      </c>
      <c r="P100" t="s">
        <v>707</v>
      </c>
      <c r="Q100" t="s">
        <v>1546</v>
      </c>
      <c r="R100" s="10">
        <v>31.552</v>
      </c>
      <c r="T100" t="s">
        <v>1601</v>
      </c>
    </row>
    <row r="101" spans="1:20" x14ac:dyDescent="0.35">
      <c r="A101">
        <v>2023</v>
      </c>
      <c r="B101" t="s">
        <v>772</v>
      </c>
      <c r="C101" t="s">
        <v>736</v>
      </c>
      <c r="D101" t="s">
        <v>26</v>
      </c>
      <c r="E101" t="s">
        <v>1135</v>
      </c>
      <c r="G101" t="s">
        <v>2037</v>
      </c>
      <c r="H101" s="37" t="s">
        <v>11</v>
      </c>
      <c r="I101" s="37" t="s">
        <v>13</v>
      </c>
      <c r="J101" t="s">
        <v>16</v>
      </c>
      <c r="K101" t="s">
        <v>3006</v>
      </c>
      <c r="L101" t="s">
        <v>3096</v>
      </c>
      <c r="M101" t="s">
        <v>3083</v>
      </c>
      <c r="N101" t="s">
        <v>3006</v>
      </c>
      <c r="O101" s="39" t="s">
        <v>3086</v>
      </c>
      <c r="P101" t="s">
        <v>1616</v>
      </c>
      <c r="Q101" t="s">
        <v>1617</v>
      </c>
      <c r="R101" s="10">
        <v>2879.3</v>
      </c>
      <c r="S101" t="s">
        <v>1616</v>
      </c>
      <c r="T101" t="s">
        <v>1601</v>
      </c>
    </row>
    <row r="102" spans="1:20" x14ac:dyDescent="0.35">
      <c r="A102">
        <v>2023</v>
      </c>
      <c r="B102" t="s">
        <v>772</v>
      </c>
      <c r="C102" t="s">
        <v>736</v>
      </c>
      <c r="D102" t="s">
        <v>26</v>
      </c>
      <c r="E102" t="s">
        <v>1135</v>
      </c>
      <c r="G102" t="s">
        <v>2037</v>
      </c>
      <c r="H102" s="37" t="s">
        <v>11</v>
      </c>
      <c r="I102" s="37" t="s">
        <v>13</v>
      </c>
      <c r="J102" t="s">
        <v>16</v>
      </c>
      <c r="K102" t="s">
        <v>3006</v>
      </c>
      <c r="L102" t="s">
        <v>3097</v>
      </c>
      <c r="M102" t="s">
        <v>3083</v>
      </c>
      <c r="N102" t="s">
        <v>3006</v>
      </c>
      <c r="O102" s="39" t="s">
        <v>3086</v>
      </c>
      <c r="P102" t="s">
        <v>1618</v>
      </c>
      <c r="Q102" t="s">
        <v>1617</v>
      </c>
      <c r="R102" s="10">
        <v>1088.5</v>
      </c>
      <c r="S102" t="s">
        <v>1618</v>
      </c>
      <c r="T102" t="s">
        <v>1601</v>
      </c>
    </row>
    <row r="103" spans="1:20" x14ac:dyDescent="0.35">
      <c r="A103">
        <v>2023</v>
      </c>
      <c r="B103" t="s">
        <v>772</v>
      </c>
      <c r="C103" t="s">
        <v>736</v>
      </c>
      <c r="D103" t="s">
        <v>26</v>
      </c>
      <c r="E103" t="s">
        <v>1135</v>
      </c>
      <c r="G103" t="s">
        <v>2037</v>
      </c>
      <c r="H103" s="37" t="s">
        <v>11</v>
      </c>
      <c r="I103" s="37" t="s">
        <v>13</v>
      </c>
      <c r="J103" t="s">
        <v>16</v>
      </c>
      <c r="K103" t="s">
        <v>3006</v>
      </c>
      <c r="L103" t="s">
        <v>3098</v>
      </c>
      <c r="M103" t="s">
        <v>3083</v>
      </c>
      <c r="N103" t="s">
        <v>3006</v>
      </c>
      <c r="O103" s="39" t="s">
        <v>3086</v>
      </c>
      <c r="P103" t="s">
        <v>1619</v>
      </c>
      <c r="Q103" t="s">
        <v>1617</v>
      </c>
      <c r="R103" s="10">
        <v>1790.81</v>
      </c>
      <c r="S103" t="s">
        <v>1619</v>
      </c>
      <c r="T103" t="s">
        <v>1601</v>
      </c>
    </row>
    <row r="104" spans="1:20" x14ac:dyDescent="0.35">
      <c r="A104">
        <v>2023</v>
      </c>
      <c r="B104" t="s">
        <v>772</v>
      </c>
      <c r="C104" t="s">
        <v>736</v>
      </c>
      <c r="D104" t="s">
        <v>26</v>
      </c>
      <c r="E104" t="s">
        <v>1135</v>
      </c>
      <c r="G104" t="s">
        <v>2037</v>
      </c>
      <c r="H104" s="37" t="s">
        <v>11</v>
      </c>
      <c r="I104" s="37" t="s">
        <v>13</v>
      </c>
      <c r="J104" t="s">
        <v>16</v>
      </c>
      <c r="K104" t="s">
        <v>3005</v>
      </c>
      <c r="L104" t="s">
        <v>3095</v>
      </c>
      <c r="O104" s="39"/>
      <c r="P104" t="s">
        <v>1626</v>
      </c>
      <c r="Q104" t="s">
        <v>1629</v>
      </c>
      <c r="R104" s="10">
        <v>1413</v>
      </c>
      <c r="S104" t="s">
        <v>1626</v>
      </c>
      <c r="T104" t="s">
        <v>1601</v>
      </c>
    </row>
    <row r="105" spans="1:20" x14ac:dyDescent="0.35">
      <c r="A105">
        <v>2023</v>
      </c>
      <c r="B105" t="s">
        <v>772</v>
      </c>
      <c r="C105" t="s">
        <v>736</v>
      </c>
      <c r="D105" t="s">
        <v>26</v>
      </c>
      <c r="E105" t="s">
        <v>1135</v>
      </c>
      <c r="G105" t="s">
        <v>2037</v>
      </c>
      <c r="H105" s="37" t="s">
        <v>11</v>
      </c>
      <c r="I105" s="37" t="s">
        <v>13</v>
      </c>
      <c r="J105" t="s">
        <v>16</v>
      </c>
      <c r="K105" t="s">
        <v>3005</v>
      </c>
      <c r="L105" t="s">
        <v>3095</v>
      </c>
      <c r="O105" s="39"/>
      <c r="P105" t="s">
        <v>1627</v>
      </c>
      <c r="Q105" t="s">
        <v>1629</v>
      </c>
      <c r="R105" s="10">
        <v>432</v>
      </c>
      <c r="S105" t="s">
        <v>1627</v>
      </c>
      <c r="T105" t="s">
        <v>1601</v>
      </c>
    </row>
    <row r="106" spans="1:20" x14ac:dyDescent="0.35">
      <c r="A106">
        <v>2023</v>
      </c>
      <c r="B106" t="s">
        <v>772</v>
      </c>
      <c r="C106" t="s">
        <v>159</v>
      </c>
      <c r="D106" t="s">
        <v>160</v>
      </c>
      <c r="E106" t="s">
        <v>1165</v>
      </c>
      <c r="G106" t="s">
        <v>2053</v>
      </c>
      <c r="H106" s="37" t="s">
        <v>11</v>
      </c>
      <c r="I106" s="37" t="s">
        <v>34</v>
      </c>
      <c r="J106" t="s">
        <v>157</v>
      </c>
      <c r="K106" t="s">
        <v>3007</v>
      </c>
      <c r="L106" t="s">
        <v>3094</v>
      </c>
      <c r="M106" t="s">
        <v>3083</v>
      </c>
      <c r="N106" t="s">
        <v>3066</v>
      </c>
      <c r="O106" s="39" t="s">
        <v>3085</v>
      </c>
      <c r="P106" t="s">
        <v>1879</v>
      </c>
      <c r="Q106" t="s">
        <v>1635</v>
      </c>
      <c r="R106" s="10">
        <v>168888</v>
      </c>
      <c r="S106" t="s">
        <v>1605</v>
      </c>
      <c r="T106" t="s">
        <v>1880</v>
      </c>
    </row>
    <row r="107" spans="1:20" x14ac:dyDescent="0.35">
      <c r="A107">
        <v>2023</v>
      </c>
      <c r="B107" t="s">
        <v>772</v>
      </c>
      <c r="C107" t="s">
        <v>159</v>
      </c>
      <c r="D107" t="s">
        <v>160</v>
      </c>
      <c r="E107" t="s">
        <v>1165</v>
      </c>
      <c r="G107" t="s">
        <v>2053</v>
      </c>
      <c r="H107" s="37" t="s">
        <v>11</v>
      </c>
      <c r="I107" s="37" t="s">
        <v>34</v>
      </c>
      <c r="J107" t="s">
        <v>157</v>
      </c>
      <c r="K107" t="s">
        <v>3007</v>
      </c>
      <c r="L107" t="s">
        <v>3094</v>
      </c>
      <c r="M107" t="s">
        <v>3083</v>
      </c>
      <c r="N107" t="s">
        <v>1636</v>
      </c>
      <c r="O107" s="39" t="s">
        <v>3087</v>
      </c>
      <c r="P107" t="s">
        <v>707</v>
      </c>
      <c r="Q107" t="s">
        <v>1546</v>
      </c>
      <c r="R107" s="10">
        <v>3702</v>
      </c>
      <c r="T107" t="s">
        <v>1880</v>
      </c>
    </row>
    <row r="108" spans="1:20" x14ac:dyDescent="0.35">
      <c r="A108">
        <v>2023</v>
      </c>
      <c r="B108" t="s">
        <v>772</v>
      </c>
      <c r="C108" t="s">
        <v>159</v>
      </c>
      <c r="D108" t="s">
        <v>160</v>
      </c>
      <c r="E108" t="s">
        <v>1165</v>
      </c>
      <c r="G108" t="s">
        <v>2053</v>
      </c>
      <c r="H108" s="37" t="s">
        <v>11</v>
      </c>
      <c r="I108" s="37" t="s">
        <v>34</v>
      </c>
      <c r="J108" t="s">
        <v>157</v>
      </c>
      <c r="K108" t="s">
        <v>3007</v>
      </c>
      <c r="L108" t="s">
        <v>3094</v>
      </c>
      <c r="M108" t="s">
        <v>3082</v>
      </c>
      <c r="N108" t="s">
        <v>1650</v>
      </c>
      <c r="O108" s="39">
        <v>2025884</v>
      </c>
      <c r="P108" t="s">
        <v>707</v>
      </c>
      <c r="Q108" t="s">
        <v>1546</v>
      </c>
      <c r="R108" s="10">
        <v>13</v>
      </c>
      <c r="T108" t="s">
        <v>1880</v>
      </c>
    </row>
    <row r="109" spans="1:20" x14ac:dyDescent="0.35">
      <c r="A109">
        <v>2023</v>
      </c>
      <c r="B109" t="s">
        <v>772</v>
      </c>
      <c r="C109" t="s">
        <v>159</v>
      </c>
      <c r="D109" t="s">
        <v>160</v>
      </c>
      <c r="E109" t="s">
        <v>1165</v>
      </c>
      <c r="G109" t="s">
        <v>2053</v>
      </c>
      <c r="H109" s="37" t="s">
        <v>11</v>
      </c>
      <c r="I109" s="37" t="s">
        <v>34</v>
      </c>
      <c r="J109" t="s">
        <v>157</v>
      </c>
      <c r="K109" t="s">
        <v>3005</v>
      </c>
      <c r="L109" t="s">
        <v>3095</v>
      </c>
      <c r="O109" s="39"/>
      <c r="P109" t="s">
        <v>1881</v>
      </c>
      <c r="Q109" t="s">
        <v>1629</v>
      </c>
      <c r="R109" s="10">
        <v>613</v>
      </c>
      <c r="S109" t="s">
        <v>1881</v>
      </c>
      <c r="T109" t="s">
        <v>1880</v>
      </c>
    </row>
    <row r="110" spans="1:20" x14ac:dyDescent="0.35">
      <c r="A110">
        <v>2023</v>
      </c>
      <c r="B110" t="s">
        <v>772</v>
      </c>
      <c r="C110" t="s">
        <v>27</v>
      </c>
      <c r="D110" t="s">
        <v>28</v>
      </c>
      <c r="E110" t="s">
        <v>1166</v>
      </c>
      <c r="G110" t="s">
        <v>2055</v>
      </c>
      <c r="H110" s="37" t="s">
        <v>11</v>
      </c>
      <c r="I110" s="37" t="s">
        <v>23</v>
      </c>
      <c r="J110" t="s">
        <v>16</v>
      </c>
      <c r="K110" t="s">
        <v>3007</v>
      </c>
      <c r="L110" t="s">
        <v>3094</v>
      </c>
      <c r="M110" t="s">
        <v>3083</v>
      </c>
      <c r="N110" t="s">
        <v>3066</v>
      </c>
      <c r="O110" s="39" t="s">
        <v>3085</v>
      </c>
      <c r="P110" t="s">
        <v>1605</v>
      </c>
      <c r="Q110" s="10" t="s">
        <v>1635</v>
      </c>
      <c r="R110">
        <v>20000</v>
      </c>
      <c r="S110" t="s">
        <v>1605</v>
      </c>
      <c r="T110" t="s">
        <v>1830</v>
      </c>
    </row>
    <row r="111" spans="1:20" x14ac:dyDescent="0.35">
      <c r="A111">
        <v>2023</v>
      </c>
      <c r="B111" t="s">
        <v>772</v>
      </c>
      <c r="C111" t="s">
        <v>27</v>
      </c>
      <c r="D111" t="s">
        <v>28</v>
      </c>
      <c r="E111" t="s">
        <v>1166</v>
      </c>
      <c r="G111" t="s">
        <v>2055</v>
      </c>
      <c r="H111" s="37" t="s">
        <v>11</v>
      </c>
      <c r="I111" s="37" t="s">
        <v>23</v>
      </c>
      <c r="J111" t="s">
        <v>16</v>
      </c>
      <c r="K111" t="s">
        <v>3007</v>
      </c>
      <c r="L111" t="s">
        <v>3094</v>
      </c>
      <c r="M111" t="s">
        <v>3083</v>
      </c>
      <c r="N111" t="s">
        <v>3066</v>
      </c>
      <c r="O111" s="39" t="s">
        <v>3085</v>
      </c>
      <c r="P111" t="s">
        <v>1606</v>
      </c>
      <c r="Q111" s="10" t="s">
        <v>1635</v>
      </c>
      <c r="R111">
        <v>5000</v>
      </c>
      <c r="S111" t="s">
        <v>1606</v>
      </c>
      <c r="T111" t="s">
        <v>1830</v>
      </c>
    </row>
    <row r="112" spans="1:20" x14ac:dyDescent="0.35">
      <c r="A112">
        <v>2023</v>
      </c>
      <c r="B112" t="s">
        <v>772</v>
      </c>
      <c r="C112" t="s">
        <v>27</v>
      </c>
      <c r="D112" t="s">
        <v>28</v>
      </c>
      <c r="E112" t="s">
        <v>1166</v>
      </c>
      <c r="G112" t="s">
        <v>2055</v>
      </c>
      <c r="H112" s="37" t="s">
        <v>11</v>
      </c>
      <c r="I112" s="37" t="s">
        <v>23</v>
      </c>
      <c r="J112" t="s">
        <v>16</v>
      </c>
      <c r="K112" t="s">
        <v>3006</v>
      </c>
      <c r="L112" t="s">
        <v>3096</v>
      </c>
      <c r="M112" t="s">
        <v>3083</v>
      </c>
      <c r="N112" t="s">
        <v>3006</v>
      </c>
      <c r="O112" s="39" t="s">
        <v>3086</v>
      </c>
      <c r="P112" t="s">
        <v>1833</v>
      </c>
      <c r="Q112" s="10" t="s">
        <v>1638</v>
      </c>
      <c r="R112" s="10">
        <v>3343</v>
      </c>
      <c r="S112" t="s">
        <v>1833</v>
      </c>
      <c r="T112" t="s">
        <v>1830</v>
      </c>
    </row>
    <row r="113" spans="1:20" x14ac:dyDescent="0.35">
      <c r="A113">
        <v>2023</v>
      </c>
      <c r="B113" t="s">
        <v>772</v>
      </c>
      <c r="C113" t="s">
        <v>27</v>
      </c>
      <c r="D113" t="s">
        <v>28</v>
      </c>
      <c r="E113" t="s">
        <v>1166</v>
      </c>
      <c r="G113" t="s">
        <v>2055</v>
      </c>
      <c r="H113" s="37" t="s">
        <v>11</v>
      </c>
      <c r="I113" s="37" t="s">
        <v>23</v>
      </c>
      <c r="J113" t="s">
        <v>16</v>
      </c>
      <c r="K113" t="s">
        <v>3006</v>
      </c>
      <c r="L113" t="s">
        <v>3097</v>
      </c>
      <c r="M113" t="s">
        <v>3083</v>
      </c>
      <c r="N113" t="s">
        <v>3006</v>
      </c>
      <c r="O113" s="39" t="s">
        <v>3086</v>
      </c>
      <c r="P113" t="s">
        <v>1834</v>
      </c>
      <c r="Q113" s="10" t="s">
        <v>1638</v>
      </c>
      <c r="R113" s="10">
        <v>2145</v>
      </c>
      <c r="S113" t="s">
        <v>1834</v>
      </c>
      <c r="T113" t="s">
        <v>1830</v>
      </c>
    </row>
    <row r="114" spans="1:20" x14ac:dyDescent="0.35">
      <c r="A114">
        <v>2023</v>
      </c>
      <c r="B114" t="s">
        <v>772</v>
      </c>
      <c r="C114" t="s">
        <v>27</v>
      </c>
      <c r="D114" t="s">
        <v>28</v>
      </c>
      <c r="E114" t="s">
        <v>1166</v>
      </c>
      <c r="G114" t="s">
        <v>2055</v>
      </c>
      <c r="H114" s="37" t="s">
        <v>11</v>
      </c>
      <c r="I114" s="37" t="s">
        <v>23</v>
      </c>
      <c r="J114" t="s">
        <v>16</v>
      </c>
      <c r="K114" t="s">
        <v>3006</v>
      </c>
      <c r="L114" t="s">
        <v>3098</v>
      </c>
      <c r="M114" t="s">
        <v>3083</v>
      </c>
      <c r="N114" t="s">
        <v>3006</v>
      </c>
      <c r="O114" s="39" t="s">
        <v>3086</v>
      </c>
      <c r="P114" t="s">
        <v>1619</v>
      </c>
      <c r="Q114" s="10" t="s">
        <v>1638</v>
      </c>
      <c r="R114" s="10">
        <v>39664</v>
      </c>
      <c r="S114" t="s">
        <v>1619</v>
      </c>
      <c r="T114" t="s">
        <v>1830</v>
      </c>
    </row>
    <row r="115" spans="1:20" x14ac:dyDescent="0.35">
      <c r="A115">
        <v>2023</v>
      </c>
      <c r="B115" t="s">
        <v>772</v>
      </c>
      <c r="C115" t="s">
        <v>197</v>
      </c>
      <c r="D115" t="s">
        <v>198</v>
      </c>
      <c r="E115" t="s">
        <v>1188</v>
      </c>
      <c r="G115" t="s">
        <v>2062</v>
      </c>
      <c r="H115" s="37" t="s">
        <v>11</v>
      </c>
      <c r="I115" s="37" t="s">
        <v>23</v>
      </c>
      <c r="J115" t="s">
        <v>199</v>
      </c>
      <c r="K115" t="s">
        <v>3007</v>
      </c>
      <c r="L115" t="s">
        <v>3094</v>
      </c>
      <c r="M115" t="s">
        <v>3083</v>
      </c>
      <c r="N115" t="s">
        <v>3066</v>
      </c>
      <c r="O115" s="39" t="s">
        <v>3085</v>
      </c>
      <c r="P115" t="s">
        <v>1995</v>
      </c>
      <c r="Q115" t="s">
        <v>1635</v>
      </c>
      <c r="R115" s="10">
        <v>107000</v>
      </c>
      <c r="S115" t="s">
        <v>1995</v>
      </c>
      <c r="T115" t="s">
        <v>2006</v>
      </c>
    </row>
    <row r="116" spans="1:20" x14ac:dyDescent="0.35">
      <c r="A116">
        <v>2023</v>
      </c>
      <c r="B116" t="s">
        <v>772</v>
      </c>
      <c r="C116" t="s">
        <v>197</v>
      </c>
      <c r="D116" t="s">
        <v>198</v>
      </c>
      <c r="E116" t="s">
        <v>1188</v>
      </c>
      <c r="G116" t="s">
        <v>2062</v>
      </c>
      <c r="H116" s="37" t="s">
        <v>11</v>
      </c>
      <c r="I116" s="37" t="s">
        <v>23</v>
      </c>
      <c r="J116" t="s">
        <v>199</v>
      </c>
      <c r="K116" t="s">
        <v>3007</v>
      </c>
      <c r="L116" t="s">
        <v>3094</v>
      </c>
      <c r="M116" t="s">
        <v>3083</v>
      </c>
      <c r="N116" t="s">
        <v>3066</v>
      </c>
      <c r="O116" s="39" t="s">
        <v>3085</v>
      </c>
      <c r="P116" t="s">
        <v>1996</v>
      </c>
      <c r="Q116" t="s">
        <v>1635</v>
      </c>
      <c r="R116" s="10">
        <v>23</v>
      </c>
      <c r="S116" t="s">
        <v>1996</v>
      </c>
      <c r="T116" t="s">
        <v>2006</v>
      </c>
    </row>
    <row r="117" spans="1:20" x14ac:dyDescent="0.35">
      <c r="A117">
        <v>2023</v>
      </c>
      <c r="B117" t="s">
        <v>772</v>
      </c>
      <c r="C117" t="s">
        <v>197</v>
      </c>
      <c r="D117" t="s">
        <v>198</v>
      </c>
      <c r="E117" t="s">
        <v>1188</v>
      </c>
      <c r="G117" t="s">
        <v>2062</v>
      </c>
      <c r="H117" s="37" t="s">
        <v>11</v>
      </c>
      <c r="I117" s="37" t="s">
        <v>23</v>
      </c>
      <c r="J117" t="s">
        <v>199</v>
      </c>
      <c r="K117" t="s">
        <v>3007</v>
      </c>
      <c r="L117" t="s">
        <v>3094</v>
      </c>
      <c r="M117" t="s">
        <v>3083</v>
      </c>
      <c r="N117" t="s">
        <v>3066</v>
      </c>
      <c r="O117" s="39" t="s">
        <v>3085</v>
      </c>
      <c r="P117" t="s">
        <v>1998</v>
      </c>
      <c r="Q117" t="s">
        <v>1635</v>
      </c>
      <c r="R117" s="10">
        <v>40900</v>
      </c>
      <c r="S117" t="s">
        <v>1998</v>
      </c>
      <c r="T117" t="s">
        <v>2006</v>
      </c>
    </row>
    <row r="118" spans="1:20" x14ac:dyDescent="0.35">
      <c r="A118">
        <v>2023</v>
      </c>
      <c r="B118" t="s">
        <v>772</v>
      </c>
      <c r="C118" t="s">
        <v>197</v>
      </c>
      <c r="D118" t="s">
        <v>198</v>
      </c>
      <c r="E118" t="s">
        <v>1188</v>
      </c>
      <c r="G118" t="s">
        <v>2062</v>
      </c>
      <c r="H118" s="37" t="s">
        <v>11</v>
      </c>
      <c r="I118" s="37" t="s">
        <v>23</v>
      </c>
      <c r="J118" t="s">
        <v>199</v>
      </c>
      <c r="K118" t="s">
        <v>3007</v>
      </c>
      <c r="L118" t="s">
        <v>3094</v>
      </c>
      <c r="M118" t="s">
        <v>3083</v>
      </c>
      <c r="N118" t="s">
        <v>3066</v>
      </c>
      <c r="O118" s="39" t="s">
        <v>3085</v>
      </c>
      <c r="P118" t="s">
        <v>1997</v>
      </c>
      <c r="Q118" t="s">
        <v>1635</v>
      </c>
      <c r="R118" s="10">
        <v>16104</v>
      </c>
      <c r="S118" t="s">
        <v>1997</v>
      </c>
      <c r="T118" t="s">
        <v>2006</v>
      </c>
    </row>
    <row r="119" spans="1:20" x14ac:dyDescent="0.35">
      <c r="A119">
        <v>2023</v>
      </c>
      <c r="B119" t="s">
        <v>772</v>
      </c>
      <c r="C119" t="s">
        <v>197</v>
      </c>
      <c r="D119" t="s">
        <v>198</v>
      </c>
      <c r="E119" t="s">
        <v>1188</v>
      </c>
      <c r="G119" t="s">
        <v>2062</v>
      </c>
      <c r="H119" s="37" t="s">
        <v>11</v>
      </c>
      <c r="I119" s="37" t="s">
        <v>23</v>
      </c>
      <c r="J119" t="s">
        <v>199</v>
      </c>
      <c r="K119" t="s">
        <v>3007</v>
      </c>
      <c r="L119" t="s">
        <v>3094</v>
      </c>
      <c r="M119" t="s">
        <v>3083</v>
      </c>
      <c r="N119" t="s">
        <v>3066</v>
      </c>
      <c r="O119" s="39" t="s">
        <v>3085</v>
      </c>
      <c r="P119" t="s">
        <v>1999</v>
      </c>
      <c r="Q119" t="s">
        <v>1635</v>
      </c>
      <c r="R119" s="10">
        <v>79822</v>
      </c>
      <c r="S119" t="s">
        <v>1999</v>
      </c>
      <c r="T119" t="s">
        <v>2006</v>
      </c>
    </row>
    <row r="120" spans="1:20" x14ac:dyDescent="0.35">
      <c r="A120">
        <v>2023</v>
      </c>
      <c r="B120" t="s">
        <v>772</v>
      </c>
      <c r="C120" t="s">
        <v>197</v>
      </c>
      <c r="D120" t="s">
        <v>198</v>
      </c>
      <c r="E120" t="s">
        <v>1188</v>
      </c>
      <c r="G120" t="s">
        <v>2062</v>
      </c>
      <c r="H120" s="37" t="s">
        <v>11</v>
      </c>
      <c r="I120" s="37" t="s">
        <v>23</v>
      </c>
      <c r="J120" t="s">
        <v>199</v>
      </c>
      <c r="K120" t="s">
        <v>3007</v>
      </c>
      <c r="L120" t="s">
        <v>3094</v>
      </c>
      <c r="M120" t="s">
        <v>3083</v>
      </c>
      <c r="N120" t="s">
        <v>3066</v>
      </c>
      <c r="O120" s="39" t="s">
        <v>3085</v>
      </c>
      <c r="P120" t="s">
        <v>2000</v>
      </c>
      <c r="Q120" t="s">
        <v>1635</v>
      </c>
      <c r="R120" s="10">
        <v>17132</v>
      </c>
      <c r="S120" t="s">
        <v>2000</v>
      </c>
      <c r="T120" t="s">
        <v>2006</v>
      </c>
    </row>
    <row r="121" spans="1:20" x14ac:dyDescent="0.35">
      <c r="A121">
        <v>2023</v>
      </c>
      <c r="B121" t="s">
        <v>772</v>
      </c>
      <c r="C121" t="s">
        <v>197</v>
      </c>
      <c r="D121" t="s">
        <v>198</v>
      </c>
      <c r="E121" t="s">
        <v>1188</v>
      </c>
      <c r="G121" t="s">
        <v>2062</v>
      </c>
      <c r="H121" s="37" t="s">
        <v>11</v>
      </c>
      <c r="I121" s="37" t="s">
        <v>23</v>
      </c>
      <c r="J121" t="s">
        <v>199</v>
      </c>
      <c r="K121" t="s">
        <v>3007</v>
      </c>
      <c r="L121" t="s">
        <v>3094</v>
      </c>
      <c r="M121" t="s">
        <v>3083</v>
      </c>
      <c r="N121" t="s">
        <v>3066</v>
      </c>
      <c r="O121" s="39" t="s">
        <v>3085</v>
      </c>
      <c r="P121" t="s">
        <v>2001</v>
      </c>
      <c r="Q121" t="s">
        <v>1635</v>
      </c>
      <c r="R121" s="10">
        <v>32755</v>
      </c>
      <c r="S121" t="s">
        <v>2001</v>
      </c>
      <c r="T121" t="s">
        <v>2006</v>
      </c>
    </row>
    <row r="122" spans="1:20" x14ac:dyDescent="0.35">
      <c r="A122">
        <v>2023</v>
      </c>
      <c r="B122" t="s">
        <v>772</v>
      </c>
      <c r="C122" t="s">
        <v>197</v>
      </c>
      <c r="D122" t="s">
        <v>198</v>
      </c>
      <c r="E122" t="s">
        <v>1188</v>
      </c>
      <c r="G122" t="s">
        <v>2062</v>
      </c>
      <c r="H122" s="37" t="s">
        <v>11</v>
      </c>
      <c r="I122" s="37" t="s">
        <v>23</v>
      </c>
      <c r="J122" t="s">
        <v>199</v>
      </c>
      <c r="K122" t="s">
        <v>3007</v>
      </c>
      <c r="L122" t="s">
        <v>3094</v>
      </c>
      <c r="M122" t="s">
        <v>3083</v>
      </c>
      <c r="N122" t="s">
        <v>3066</v>
      </c>
      <c r="O122" s="39" t="s">
        <v>3085</v>
      </c>
      <c r="P122" t="s">
        <v>2002</v>
      </c>
      <c r="Q122" t="s">
        <v>1635</v>
      </c>
      <c r="R122" s="10">
        <v>704</v>
      </c>
      <c r="S122" t="s">
        <v>2002</v>
      </c>
      <c r="T122" t="s">
        <v>2006</v>
      </c>
    </row>
    <row r="123" spans="1:20" x14ac:dyDescent="0.35">
      <c r="A123">
        <v>2023</v>
      </c>
      <c r="B123" t="s">
        <v>772</v>
      </c>
      <c r="C123" t="s">
        <v>197</v>
      </c>
      <c r="D123" t="s">
        <v>198</v>
      </c>
      <c r="E123" t="s">
        <v>1188</v>
      </c>
      <c r="G123" t="s">
        <v>2062</v>
      </c>
      <c r="H123" s="37" t="s">
        <v>11</v>
      </c>
      <c r="I123" s="37" t="s">
        <v>23</v>
      </c>
      <c r="J123" t="s">
        <v>199</v>
      </c>
      <c r="K123" t="s">
        <v>3007</v>
      </c>
      <c r="L123" t="s">
        <v>3094</v>
      </c>
      <c r="M123" t="s">
        <v>3083</v>
      </c>
      <c r="N123" t="s">
        <v>3066</v>
      </c>
      <c r="O123" s="39" t="s">
        <v>3085</v>
      </c>
      <c r="P123" t="s">
        <v>2003</v>
      </c>
      <c r="Q123" t="s">
        <v>1635</v>
      </c>
      <c r="R123" s="10">
        <v>61</v>
      </c>
      <c r="S123" t="s">
        <v>2003</v>
      </c>
      <c r="T123" t="s">
        <v>2006</v>
      </c>
    </row>
    <row r="124" spans="1:20" x14ac:dyDescent="0.35">
      <c r="A124">
        <v>2023</v>
      </c>
      <c r="B124" t="s">
        <v>772</v>
      </c>
      <c r="C124" t="s">
        <v>793</v>
      </c>
      <c r="D124" t="s">
        <v>129</v>
      </c>
      <c r="E124" t="s">
        <v>1190</v>
      </c>
      <c r="G124" t="s">
        <v>2064</v>
      </c>
      <c r="H124" s="37" t="s">
        <v>11</v>
      </c>
      <c r="I124" s="37" t="s">
        <v>19</v>
      </c>
      <c r="J124" t="s">
        <v>130</v>
      </c>
      <c r="K124" t="s">
        <v>3007</v>
      </c>
      <c r="L124" t="s">
        <v>3094</v>
      </c>
      <c r="M124" t="s">
        <v>3082</v>
      </c>
      <c r="N124" t="s">
        <v>3194</v>
      </c>
      <c r="O124" s="39" t="s">
        <v>3068</v>
      </c>
      <c r="P124" t="s">
        <v>707</v>
      </c>
      <c r="Q124" t="s">
        <v>1546</v>
      </c>
      <c r="R124" s="10">
        <v>150.43</v>
      </c>
      <c r="T124" t="s">
        <v>1885</v>
      </c>
    </row>
    <row r="125" spans="1:20" x14ac:dyDescent="0.35">
      <c r="A125">
        <v>2023</v>
      </c>
      <c r="B125" t="s">
        <v>772</v>
      </c>
      <c r="C125" t="s">
        <v>793</v>
      </c>
      <c r="D125" t="s">
        <v>129</v>
      </c>
      <c r="E125" t="s">
        <v>1190</v>
      </c>
      <c r="G125" t="s">
        <v>2064</v>
      </c>
      <c r="H125" s="37" t="s">
        <v>11</v>
      </c>
      <c r="I125" s="37" t="s">
        <v>19</v>
      </c>
      <c r="J125" t="s">
        <v>130</v>
      </c>
      <c r="K125" t="s">
        <v>3007</v>
      </c>
      <c r="L125" t="s">
        <v>3094</v>
      </c>
      <c r="M125" t="s">
        <v>3083</v>
      </c>
      <c r="N125" t="s">
        <v>3066</v>
      </c>
      <c r="O125" s="39" t="s">
        <v>3085</v>
      </c>
      <c r="P125" t="s">
        <v>1605</v>
      </c>
      <c r="Q125" t="s">
        <v>1635</v>
      </c>
      <c r="R125" s="10">
        <v>72492</v>
      </c>
      <c r="S125" t="s">
        <v>1605</v>
      </c>
      <c r="T125" t="s">
        <v>1885</v>
      </c>
    </row>
    <row r="126" spans="1:20" x14ac:dyDescent="0.35">
      <c r="A126">
        <v>2023</v>
      </c>
      <c r="B126" t="s">
        <v>772</v>
      </c>
      <c r="C126" t="s">
        <v>793</v>
      </c>
      <c r="D126" t="s">
        <v>129</v>
      </c>
      <c r="E126" t="s">
        <v>1190</v>
      </c>
      <c r="G126" t="s">
        <v>2064</v>
      </c>
      <c r="H126" s="37" t="s">
        <v>11</v>
      </c>
      <c r="I126" s="37" t="s">
        <v>19</v>
      </c>
      <c r="J126" t="s">
        <v>130</v>
      </c>
      <c r="K126" t="s">
        <v>3007</v>
      </c>
      <c r="L126" t="s">
        <v>3094</v>
      </c>
      <c r="M126" t="s">
        <v>3083</v>
      </c>
      <c r="N126" t="s">
        <v>3066</v>
      </c>
      <c r="O126" s="39" t="s">
        <v>3085</v>
      </c>
      <c r="P126" t="s">
        <v>1606</v>
      </c>
      <c r="Q126" t="s">
        <v>1635</v>
      </c>
      <c r="R126" s="10">
        <v>7075</v>
      </c>
      <c r="S126" t="s">
        <v>1606</v>
      </c>
      <c r="T126" t="s">
        <v>1885</v>
      </c>
    </row>
    <row r="127" spans="1:20" x14ac:dyDescent="0.35">
      <c r="A127">
        <v>2023</v>
      </c>
      <c r="B127" t="s">
        <v>772</v>
      </c>
      <c r="C127" t="s">
        <v>793</v>
      </c>
      <c r="D127" t="s">
        <v>129</v>
      </c>
      <c r="E127" t="s">
        <v>1190</v>
      </c>
      <c r="G127" t="s">
        <v>2064</v>
      </c>
      <c r="H127" s="37" t="s">
        <v>11</v>
      </c>
      <c r="I127" s="37" t="s">
        <v>19</v>
      </c>
      <c r="J127" t="s">
        <v>130</v>
      </c>
      <c r="K127" t="s">
        <v>3007</v>
      </c>
      <c r="L127" t="s">
        <v>3094</v>
      </c>
      <c r="M127" t="s">
        <v>3083</v>
      </c>
      <c r="N127" t="s">
        <v>1636</v>
      </c>
      <c r="O127" s="39" t="s">
        <v>3087</v>
      </c>
      <c r="P127" t="s">
        <v>707</v>
      </c>
      <c r="Q127" t="s">
        <v>1546</v>
      </c>
      <c r="R127" s="10">
        <v>61</v>
      </c>
      <c r="T127" t="s">
        <v>1885</v>
      </c>
    </row>
    <row r="128" spans="1:20" x14ac:dyDescent="0.35">
      <c r="A128">
        <v>2023</v>
      </c>
      <c r="B128" t="s">
        <v>772</v>
      </c>
      <c r="C128" t="s">
        <v>793</v>
      </c>
      <c r="D128" t="s">
        <v>129</v>
      </c>
      <c r="E128" t="s">
        <v>1190</v>
      </c>
      <c r="G128" t="s">
        <v>2064</v>
      </c>
      <c r="H128" s="37" t="s">
        <v>11</v>
      </c>
      <c r="I128" s="37" t="s">
        <v>19</v>
      </c>
      <c r="J128" t="s">
        <v>130</v>
      </c>
      <c r="K128" t="s">
        <v>3007</v>
      </c>
      <c r="L128" t="s">
        <v>3094</v>
      </c>
      <c r="M128" t="s">
        <v>3083</v>
      </c>
      <c r="N128" t="s">
        <v>3193</v>
      </c>
      <c r="O128" s="39" t="s">
        <v>3102</v>
      </c>
      <c r="P128" t="s">
        <v>707</v>
      </c>
      <c r="Q128" t="s">
        <v>1546</v>
      </c>
      <c r="R128" s="10">
        <v>2368.41</v>
      </c>
      <c r="T128" t="s">
        <v>1885</v>
      </c>
    </row>
    <row r="129" spans="1:20" x14ac:dyDescent="0.35">
      <c r="A129">
        <v>2023</v>
      </c>
      <c r="B129" t="s">
        <v>772</v>
      </c>
      <c r="C129" t="s">
        <v>793</v>
      </c>
      <c r="D129" t="s">
        <v>129</v>
      </c>
      <c r="E129" t="s">
        <v>1190</v>
      </c>
      <c r="G129" t="s">
        <v>2064</v>
      </c>
      <c r="H129" s="37" t="s">
        <v>11</v>
      </c>
      <c r="I129" s="37" t="s">
        <v>19</v>
      </c>
      <c r="J129" t="s">
        <v>130</v>
      </c>
      <c r="K129" t="s">
        <v>3007</v>
      </c>
      <c r="L129" t="s">
        <v>3094</v>
      </c>
      <c r="M129" t="s">
        <v>3083</v>
      </c>
      <c r="N129" t="s">
        <v>3103</v>
      </c>
      <c r="O129" s="39" t="s">
        <v>3104</v>
      </c>
      <c r="P129" t="s">
        <v>707</v>
      </c>
      <c r="Q129" t="s">
        <v>1546</v>
      </c>
      <c r="R129" s="10">
        <v>42.96</v>
      </c>
      <c r="T129" t="s">
        <v>1885</v>
      </c>
    </row>
    <row r="130" spans="1:20" x14ac:dyDescent="0.35">
      <c r="A130">
        <v>2023</v>
      </c>
      <c r="B130" t="s">
        <v>772</v>
      </c>
      <c r="C130" t="s">
        <v>793</v>
      </c>
      <c r="D130" t="s">
        <v>129</v>
      </c>
      <c r="E130" t="s">
        <v>1190</v>
      </c>
      <c r="G130" t="s">
        <v>2064</v>
      </c>
      <c r="H130" s="37" t="s">
        <v>11</v>
      </c>
      <c r="I130" s="37" t="s">
        <v>19</v>
      </c>
      <c r="J130" t="s">
        <v>130</v>
      </c>
      <c r="K130" t="s">
        <v>3006</v>
      </c>
      <c r="L130" t="s">
        <v>3096</v>
      </c>
      <c r="M130" t="s">
        <v>3083</v>
      </c>
      <c r="N130" t="s">
        <v>3006</v>
      </c>
      <c r="O130" s="39" t="s">
        <v>3086</v>
      </c>
      <c r="P130" t="s">
        <v>1749</v>
      </c>
      <c r="Q130" t="s">
        <v>1886</v>
      </c>
      <c r="R130" s="10">
        <v>8.11</v>
      </c>
      <c r="S130" t="s">
        <v>1749</v>
      </c>
      <c r="T130" t="s">
        <v>1885</v>
      </c>
    </row>
    <row r="131" spans="1:20" x14ac:dyDescent="0.35">
      <c r="A131">
        <v>2023</v>
      </c>
      <c r="B131" t="s">
        <v>772</v>
      </c>
      <c r="C131" t="s">
        <v>793</v>
      </c>
      <c r="D131" t="s">
        <v>129</v>
      </c>
      <c r="E131" t="s">
        <v>1190</v>
      </c>
      <c r="G131" t="s">
        <v>2064</v>
      </c>
      <c r="H131" s="37" t="s">
        <v>11</v>
      </c>
      <c r="I131" s="37" t="s">
        <v>19</v>
      </c>
      <c r="J131" t="s">
        <v>130</v>
      </c>
      <c r="K131" t="s">
        <v>3006</v>
      </c>
      <c r="L131" t="s">
        <v>3098</v>
      </c>
      <c r="M131" t="s">
        <v>3083</v>
      </c>
      <c r="N131" t="s">
        <v>3006</v>
      </c>
      <c r="O131" s="39" t="s">
        <v>3086</v>
      </c>
      <c r="P131" t="s">
        <v>1750</v>
      </c>
      <c r="Q131" t="s">
        <v>1886</v>
      </c>
      <c r="R131" s="10">
        <v>9.11</v>
      </c>
      <c r="S131" t="s">
        <v>1750</v>
      </c>
      <c r="T131" t="s">
        <v>1885</v>
      </c>
    </row>
    <row r="132" spans="1:20" x14ac:dyDescent="0.35">
      <c r="A132">
        <v>2023</v>
      </c>
      <c r="B132" t="s">
        <v>772</v>
      </c>
      <c r="C132" t="s">
        <v>30</v>
      </c>
      <c r="D132" t="s">
        <v>31</v>
      </c>
      <c r="E132" t="s">
        <v>1210</v>
      </c>
      <c r="G132" t="s">
        <v>2080</v>
      </c>
      <c r="H132" s="37" t="s">
        <v>11</v>
      </c>
      <c r="I132" s="37" t="s">
        <v>13</v>
      </c>
      <c r="J132" t="s">
        <v>16</v>
      </c>
      <c r="K132" t="s">
        <v>3007</v>
      </c>
      <c r="L132" t="s">
        <v>3094</v>
      </c>
      <c r="M132" t="s">
        <v>3083</v>
      </c>
      <c r="N132" t="s">
        <v>3066</v>
      </c>
      <c r="O132" s="39" t="s">
        <v>3085</v>
      </c>
      <c r="P132" t="s">
        <v>1605</v>
      </c>
      <c r="Q132" t="s">
        <v>1635</v>
      </c>
      <c r="R132" s="10">
        <v>18188</v>
      </c>
      <c r="S132" t="s">
        <v>1605</v>
      </c>
      <c r="T132" t="s">
        <v>1892</v>
      </c>
    </row>
    <row r="133" spans="1:20" x14ac:dyDescent="0.35">
      <c r="A133">
        <v>2023</v>
      </c>
      <c r="B133" t="s">
        <v>772</v>
      </c>
      <c r="C133" t="s">
        <v>30</v>
      </c>
      <c r="D133" t="s">
        <v>31</v>
      </c>
      <c r="E133" t="s">
        <v>1210</v>
      </c>
      <c r="G133" t="s">
        <v>2080</v>
      </c>
      <c r="H133" s="37" t="s">
        <v>11</v>
      </c>
      <c r="I133" s="37" t="s">
        <v>13</v>
      </c>
      <c r="J133" t="s">
        <v>16</v>
      </c>
      <c r="K133" t="s">
        <v>3007</v>
      </c>
      <c r="L133" t="s">
        <v>3094</v>
      </c>
      <c r="M133" t="s">
        <v>3083</v>
      </c>
      <c r="N133" t="s">
        <v>3066</v>
      </c>
      <c r="O133" s="39" t="s">
        <v>3085</v>
      </c>
      <c r="P133" t="s">
        <v>1606</v>
      </c>
      <c r="Q133" t="s">
        <v>1635</v>
      </c>
      <c r="R133" s="10">
        <v>100</v>
      </c>
      <c r="S133" t="s">
        <v>1606</v>
      </c>
      <c r="T133" t="s">
        <v>1892</v>
      </c>
    </row>
    <row r="134" spans="1:20" x14ac:dyDescent="0.35">
      <c r="A134">
        <v>2023</v>
      </c>
      <c r="B134" t="s">
        <v>772</v>
      </c>
      <c r="C134" t="s">
        <v>30</v>
      </c>
      <c r="D134" t="s">
        <v>31</v>
      </c>
      <c r="E134" t="s">
        <v>1210</v>
      </c>
      <c r="G134" t="s">
        <v>2080</v>
      </c>
      <c r="H134" s="37" t="s">
        <v>11</v>
      </c>
      <c r="I134" s="37" t="s">
        <v>13</v>
      </c>
      <c r="J134" t="s">
        <v>16</v>
      </c>
      <c r="K134" t="s">
        <v>3006</v>
      </c>
      <c r="L134" t="s">
        <v>3096</v>
      </c>
      <c r="M134" t="s">
        <v>3083</v>
      </c>
      <c r="N134" t="s">
        <v>3006</v>
      </c>
      <c r="O134" s="39" t="s">
        <v>3086</v>
      </c>
      <c r="P134" t="s">
        <v>1616</v>
      </c>
      <c r="Q134" t="s">
        <v>1788</v>
      </c>
      <c r="R134" s="10">
        <v>3499</v>
      </c>
      <c r="S134" t="s">
        <v>1616</v>
      </c>
      <c r="T134" t="s">
        <v>1892</v>
      </c>
    </row>
    <row r="135" spans="1:20" x14ac:dyDescent="0.35">
      <c r="A135">
        <v>2023</v>
      </c>
      <c r="B135" t="s">
        <v>772</v>
      </c>
      <c r="C135" t="s">
        <v>30</v>
      </c>
      <c r="D135" t="s">
        <v>31</v>
      </c>
      <c r="E135" t="s">
        <v>1210</v>
      </c>
      <c r="G135" t="s">
        <v>2080</v>
      </c>
      <c r="H135" s="37" t="s">
        <v>11</v>
      </c>
      <c r="I135" s="37" t="s">
        <v>13</v>
      </c>
      <c r="J135" t="s">
        <v>16</v>
      </c>
      <c r="K135" t="s">
        <v>3006</v>
      </c>
      <c r="L135" t="s">
        <v>3098</v>
      </c>
      <c r="M135" t="s">
        <v>3083</v>
      </c>
      <c r="N135" t="s">
        <v>3006</v>
      </c>
      <c r="O135" s="39" t="s">
        <v>3086</v>
      </c>
      <c r="P135" t="s">
        <v>1639</v>
      </c>
      <c r="Q135" t="s">
        <v>1788</v>
      </c>
      <c r="R135" s="10">
        <v>1088</v>
      </c>
      <c r="S135" t="s">
        <v>1639</v>
      </c>
      <c r="T135" t="s">
        <v>1892</v>
      </c>
    </row>
    <row r="136" spans="1:20" x14ac:dyDescent="0.35">
      <c r="A136">
        <v>2023</v>
      </c>
      <c r="B136" t="s">
        <v>772</v>
      </c>
      <c r="C136" t="s">
        <v>30</v>
      </c>
      <c r="D136" t="s">
        <v>31</v>
      </c>
      <c r="E136" t="s">
        <v>1210</v>
      </c>
      <c r="G136" t="s">
        <v>2080</v>
      </c>
      <c r="H136" s="37" t="s">
        <v>11</v>
      </c>
      <c r="I136" s="37" t="s">
        <v>13</v>
      </c>
      <c r="J136" t="s">
        <v>16</v>
      </c>
      <c r="K136" t="s">
        <v>3006</v>
      </c>
      <c r="L136" t="s">
        <v>3097</v>
      </c>
      <c r="M136" t="s">
        <v>3083</v>
      </c>
      <c r="N136" t="s">
        <v>3006</v>
      </c>
      <c r="O136" s="39" t="s">
        <v>3086</v>
      </c>
      <c r="P136" t="s">
        <v>1898</v>
      </c>
      <c r="Q136" t="s">
        <v>1788</v>
      </c>
      <c r="R136" s="10">
        <v>2411</v>
      </c>
      <c r="S136" t="s">
        <v>1898</v>
      </c>
      <c r="T136" t="s">
        <v>1892</v>
      </c>
    </row>
    <row r="137" spans="1:20" x14ac:dyDescent="0.35">
      <c r="A137">
        <v>2023</v>
      </c>
      <c r="B137" t="s">
        <v>772</v>
      </c>
      <c r="C137" t="s">
        <v>30</v>
      </c>
      <c r="D137" t="s">
        <v>31</v>
      </c>
      <c r="E137" t="s">
        <v>1210</v>
      </c>
      <c r="G137" t="s">
        <v>2080</v>
      </c>
      <c r="H137" s="37" t="s">
        <v>11</v>
      </c>
      <c r="I137" s="37" t="s">
        <v>13</v>
      </c>
      <c r="J137" t="s">
        <v>16</v>
      </c>
      <c r="K137" t="s">
        <v>3005</v>
      </c>
      <c r="L137" t="s">
        <v>3095</v>
      </c>
      <c r="O137" s="39"/>
      <c r="P137" t="s">
        <v>1712</v>
      </c>
      <c r="Q137" t="s">
        <v>1629</v>
      </c>
      <c r="R137" s="10">
        <v>277.60000000000002</v>
      </c>
      <c r="S137" t="s">
        <v>1712</v>
      </c>
      <c r="T137" t="s">
        <v>1892</v>
      </c>
    </row>
    <row r="138" spans="1:20" x14ac:dyDescent="0.35">
      <c r="A138">
        <v>2024</v>
      </c>
      <c r="B138" t="s">
        <v>772</v>
      </c>
      <c r="C138" t="s">
        <v>798</v>
      </c>
      <c r="D138" t="s">
        <v>71</v>
      </c>
      <c r="E138" t="s">
        <v>1215</v>
      </c>
      <c r="G138" t="s">
        <v>2085</v>
      </c>
      <c r="H138" s="37" t="s">
        <v>11</v>
      </c>
      <c r="I138" s="37" t="s">
        <v>13</v>
      </c>
      <c r="J138" t="s">
        <v>64</v>
      </c>
      <c r="K138" t="s">
        <v>3007</v>
      </c>
      <c r="L138" t="s">
        <v>3094</v>
      </c>
      <c r="M138" t="s">
        <v>3082</v>
      </c>
      <c r="N138" t="s">
        <v>3194</v>
      </c>
      <c r="O138" s="39" t="s">
        <v>3068</v>
      </c>
      <c r="P138" t="s">
        <v>707</v>
      </c>
      <c r="Q138" s="10" t="s">
        <v>1546</v>
      </c>
      <c r="R138" s="10">
        <v>1079.77</v>
      </c>
      <c r="T138" t="s">
        <v>1829</v>
      </c>
    </row>
    <row r="139" spans="1:20" x14ac:dyDescent="0.35">
      <c r="A139">
        <v>2024</v>
      </c>
      <c r="B139" t="s">
        <v>772</v>
      </c>
      <c r="C139" t="s">
        <v>798</v>
      </c>
      <c r="D139" t="s">
        <v>71</v>
      </c>
      <c r="E139" t="s">
        <v>1215</v>
      </c>
      <c r="G139" t="s">
        <v>2085</v>
      </c>
      <c r="H139" s="37" t="s">
        <v>11</v>
      </c>
      <c r="I139" s="37" t="s">
        <v>13</v>
      </c>
      <c r="J139" t="s">
        <v>64</v>
      </c>
      <c r="K139" t="s">
        <v>3007</v>
      </c>
      <c r="L139" t="s">
        <v>3094</v>
      </c>
      <c r="M139" t="s">
        <v>3083</v>
      </c>
      <c r="N139" t="s">
        <v>3066</v>
      </c>
      <c r="O139" s="39" t="s">
        <v>3085</v>
      </c>
      <c r="P139" t="s">
        <v>1605</v>
      </c>
      <c r="Q139" s="10" t="s">
        <v>1635</v>
      </c>
      <c r="R139" s="10">
        <v>25750.747165017401</v>
      </c>
      <c r="S139" t="s">
        <v>1605</v>
      </c>
      <c r="T139" t="s">
        <v>1829</v>
      </c>
    </row>
    <row r="140" spans="1:20" x14ac:dyDescent="0.35">
      <c r="A140">
        <v>2024</v>
      </c>
      <c r="B140" t="s">
        <v>772</v>
      </c>
      <c r="C140" t="s">
        <v>798</v>
      </c>
      <c r="D140" t="s">
        <v>71</v>
      </c>
      <c r="E140" t="s">
        <v>1215</v>
      </c>
      <c r="G140" t="s">
        <v>2085</v>
      </c>
      <c r="H140" s="37" t="s">
        <v>11</v>
      </c>
      <c r="I140" s="37" t="s">
        <v>13</v>
      </c>
      <c r="J140" t="s">
        <v>64</v>
      </c>
      <c r="K140" t="s">
        <v>3007</v>
      </c>
      <c r="L140" t="s">
        <v>3094</v>
      </c>
      <c r="M140" t="s">
        <v>3083</v>
      </c>
      <c r="N140" t="s">
        <v>3066</v>
      </c>
      <c r="O140" s="39" t="s">
        <v>3085</v>
      </c>
      <c r="P140" t="s">
        <v>1606</v>
      </c>
      <c r="Q140" s="10" t="s">
        <v>1635</v>
      </c>
      <c r="R140" s="10">
        <v>7448.9593307550003</v>
      </c>
      <c r="S140" t="s">
        <v>1606</v>
      </c>
      <c r="T140" t="s">
        <v>1829</v>
      </c>
    </row>
    <row r="141" spans="1:20" x14ac:dyDescent="0.35">
      <c r="A141">
        <v>2024</v>
      </c>
      <c r="B141" t="s">
        <v>772</v>
      </c>
      <c r="C141" t="s">
        <v>798</v>
      </c>
      <c r="D141" t="s">
        <v>71</v>
      </c>
      <c r="E141" t="s">
        <v>1215</v>
      </c>
      <c r="G141" t="s">
        <v>2085</v>
      </c>
      <c r="H141" s="37" t="s">
        <v>11</v>
      </c>
      <c r="I141" s="37" t="s">
        <v>13</v>
      </c>
      <c r="J141" t="s">
        <v>64</v>
      </c>
      <c r="K141" t="s">
        <v>3007</v>
      </c>
      <c r="L141" t="s">
        <v>3094</v>
      </c>
      <c r="M141" t="s">
        <v>3082</v>
      </c>
      <c r="N141" t="s">
        <v>3191</v>
      </c>
      <c r="O141" s="39" t="s">
        <v>3069</v>
      </c>
      <c r="P141" t="s">
        <v>707</v>
      </c>
      <c r="Q141" s="10" t="s">
        <v>1546</v>
      </c>
      <c r="R141" s="10">
        <v>2.0605599999999998E-2</v>
      </c>
      <c r="T141" t="s">
        <v>1829</v>
      </c>
    </row>
    <row r="142" spans="1:20" x14ac:dyDescent="0.35">
      <c r="A142">
        <v>2024</v>
      </c>
      <c r="B142" t="s">
        <v>772</v>
      </c>
      <c r="C142" t="s">
        <v>798</v>
      </c>
      <c r="D142" t="s">
        <v>71</v>
      </c>
      <c r="E142" t="s">
        <v>1215</v>
      </c>
      <c r="G142" t="s">
        <v>2085</v>
      </c>
      <c r="H142" s="37" t="s">
        <v>11</v>
      </c>
      <c r="I142" s="37" t="s">
        <v>13</v>
      </c>
      <c r="J142" t="s">
        <v>64</v>
      </c>
      <c r="K142" t="s">
        <v>3007</v>
      </c>
      <c r="L142" t="s">
        <v>3094</v>
      </c>
      <c r="M142" t="s">
        <v>3082</v>
      </c>
      <c r="N142" t="s">
        <v>3190</v>
      </c>
      <c r="O142" s="39" t="s">
        <v>3071</v>
      </c>
      <c r="P142" t="s">
        <v>707</v>
      </c>
      <c r="Q142" s="10" t="s">
        <v>1546</v>
      </c>
      <c r="R142" s="10">
        <v>1.3560000000000001E-2</v>
      </c>
      <c r="T142" t="s">
        <v>1829</v>
      </c>
    </row>
    <row r="143" spans="1:20" x14ac:dyDescent="0.35">
      <c r="A143">
        <v>2024</v>
      </c>
      <c r="B143" t="s">
        <v>772</v>
      </c>
      <c r="C143" t="s">
        <v>798</v>
      </c>
      <c r="D143" t="s">
        <v>71</v>
      </c>
      <c r="E143" t="s">
        <v>1215</v>
      </c>
      <c r="G143" t="s">
        <v>2085</v>
      </c>
      <c r="H143" s="37" t="s">
        <v>11</v>
      </c>
      <c r="I143" s="37" t="s">
        <v>13</v>
      </c>
      <c r="J143" t="s">
        <v>64</v>
      </c>
      <c r="K143" t="s">
        <v>3007</v>
      </c>
      <c r="L143" t="s">
        <v>3094</v>
      </c>
      <c r="M143" t="s">
        <v>3083</v>
      </c>
      <c r="N143" t="s">
        <v>1636</v>
      </c>
      <c r="O143" s="39" t="s">
        <v>3087</v>
      </c>
      <c r="P143" t="s">
        <v>707</v>
      </c>
      <c r="Q143" s="10" t="s">
        <v>1546</v>
      </c>
      <c r="R143" s="10">
        <v>17.687999999999999</v>
      </c>
      <c r="T143" t="s">
        <v>1829</v>
      </c>
    </row>
    <row r="144" spans="1:20" x14ac:dyDescent="0.35">
      <c r="A144">
        <v>2024</v>
      </c>
      <c r="B144" t="s">
        <v>772</v>
      </c>
      <c r="C144" t="s">
        <v>798</v>
      </c>
      <c r="D144" t="s">
        <v>71</v>
      </c>
      <c r="E144" t="s">
        <v>1215</v>
      </c>
      <c r="G144" t="s">
        <v>2085</v>
      </c>
      <c r="H144" s="37" t="s">
        <v>11</v>
      </c>
      <c r="I144" s="37" t="s">
        <v>13</v>
      </c>
      <c r="J144" t="s">
        <v>64</v>
      </c>
      <c r="K144" t="s">
        <v>3007</v>
      </c>
      <c r="L144" t="s">
        <v>3094</v>
      </c>
      <c r="M144" t="s">
        <v>3083</v>
      </c>
      <c r="N144" t="s">
        <v>3193</v>
      </c>
      <c r="O144" s="39" t="s">
        <v>3102</v>
      </c>
      <c r="P144" t="s">
        <v>707</v>
      </c>
      <c r="Q144" s="10" t="s">
        <v>1546</v>
      </c>
      <c r="R144" s="10">
        <v>126.5</v>
      </c>
      <c r="T144" t="s">
        <v>1829</v>
      </c>
    </row>
    <row r="145" spans="1:20" x14ac:dyDescent="0.35">
      <c r="A145">
        <v>2024</v>
      </c>
      <c r="B145" t="s">
        <v>772</v>
      </c>
      <c r="C145" t="s">
        <v>798</v>
      </c>
      <c r="D145" t="s">
        <v>71</v>
      </c>
      <c r="E145" t="s">
        <v>1215</v>
      </c>
      <c r="G145" t="s">
        <v>2085</v>
      </c>
      <c r="H145" s="37" t="s">
        <v>11</v>
      </c>
      <c r="I145" s="37" t="s">
        <v>13</v>
      </c>
      <c r="J145" t="s">
        <v>64</v>
      </c>
      <c r="K145" t="s">
        <v>3007</v>
      </c>
      <c r="L145" t="s">
        <v>3094</v>
      </c>
      <c r="M145" t="s">
        <v>3083</v>
      </c>
      <c r="N145" t="s">
        <v>3103</v>
      </c>
      <c r="O145" s="39" t="s">
        <v>3104</v>
      </c>
      <c r="P145" t="s">
        <v>707</v>
      </c>
      <c r="Q145" s="10" t="s">
        <v>1546</v>
      </c>
      <c r="R145" s="10">
        <v>112.97</v>
      </c>
      <c r="T145" t="s">
        <v>1829</v>
      </c>
    </row>
    <row r="146" spans="1:20" x14ac:dyDescent="0.35">
      <c r="A146">
        <v>2024</v>
      </c>
      <c r="B146" t="s">
        <v>772</v>
      </c>
      <c r="C146" t="s">
        <v>798</v>
      </c>
      <c r="D146" t="s">
        <v>71</v>
      </c>
      <c r="E146" t="s">
        <v>1215</v>
      </c>
      <c r="G146" t="s">
        <v>2085</v>
      </c>
      <c r="H146" s="37" t="s">
        <v>11</v>
      </c>
      <c r="I146" s="37" t="s">
        <v>13</v>
      </c>
      <c r="J146" t="s">
        <v>64</v>
      </c>
      <c r="K146" t="s">
        <v>3007</v>
      </c>
      <c r="L146" t="s">
        <v>3094</v>
      </c>
      <c r="M146" t="s">
        <v>3083</v>
      </c>
      <c r="N146" t="s">
        <v>1637</v>
      </c>
      <c r="O146" s="39" t="s">
        <v>3091</v>
      </c>
      <c r="P146" t="s">
        <v>707</v>
      </c>
      <c r="Q146" s="10" t="s">
        <v>1546</v>
      </c>
      <c r="R146" s="10">
        <v>1.4379999999999999</v>
      </c>
      <c r="T146" t="s">
        <v>1829</v>
      </c>
    </row>
    <row r="147" spans="1:20" x14ac:dyDescent="0.35">
      <c r="A147">
        <v>2024</v>
      </c>
      <c r="B147" t="s">
        <v>772</v>
      </c>
      <c r="C147" t="s">
        <v>798</v>
      </c>
      <c r="D147" t="s">
        <v>71</v>
      </c>
      <c r="E147" t="s">
        <v>1215</v>
      </c>
      <c r="G147" t="s">
        <v>2085</v>
      </c>
      <c r="H147" s="37" t="s">
        <v>11</v>
      </c>
      <c r="I147" s="37" t="s">
        <v>13</v>
      </c>
      <c r="J147" t="s">
        <v>64</v>
      </c>
      <c r="K147" t="s">
        <v>3007</v>
      </c>
      <c r="L147" t="s">
        <v>3094</v>
      </c>
      <c r="M147" t="s">
        <v>3083</v>
      </c>
      <c r="N147" t="s">
        <v>3188</v>
      </c>
      <c r="O147" s="39" t="s">
        <v>3073</v>
      </c>
      <c r="P147" t="s">
        <v>707</v>
      </c>
      <c r="Q147" s="10" t="s">
        <v>1546</v>
      </c>
      <c r="R147" s="10">
        <v>4.7160000000000002</v>
      </c>
      <c r="T147" t="s">
        <v>1829</v>
      </c>
    </row>
    <row r="148" spans="1:20" x14ac:dyDescent="0.35">
      <c r="A148">
        <v>2024</v>
      </c>
      <c r="B148" t="s">
        <v>772</v>
      </c>
      <c r="C148" t="s">
        <v>798</v>
      </c>
      <c r="D148" t="s">
        <v>71</v>
      </c>
      <c r="E148" t="s">
        <v>1215</v>
      </c>
      <c r="G148" t="s">
        <v>2085</v>
      </c>
      <c r="H148" s="37" t="s">
        <v>11</v>
      </c>
      <c r="I148" s="37" t="s">
        <v>13</v>
      </c>
      <c r="J148" t="s">
        <v>64</v>
      </c>
      <c r="K148" t="s">
        <v>3006</v>
      </c>
      <c r="L148" t="s">
        <v>3096</v>
      </c>
      <c r="M148" t="s">
        <v>3083</v>
      </c>
      <c r="N148" t="s">
        <v>3006</v>
      </c>
      <c r="O148" s="39" t="s">
        <v>3086</v>
      </c>
      <c r="P148" t="s">
        <v>1616</v>
      </c>
      <c r="Q148" s="10" t="s">
        <v>1617</v>
      </c>
      <c r="R148" s="10">
        <v>2565</v>
      </c>
      <c r="S148" t="s">
        <v>1616</v>
      </c>
      <c r="T148" t="s">
        <v>1829</v>
      </c>
    </row>
    <row r="149" spans="1:20" x14ac:dyDescent="0.35">
      <c r="A149">
        <v>2024</v>
      </c>
      <c r="B149" t="s">
        <v>772</v>
      </c>
      <c r="C149" t="s">
        <v>798</v>
      </c>
      <c r="D149" t="s">
        <v>71</v>
      </c>
      <c r="E149" t="s">
        <v>1215</v>
      </c>
      <c r="G149" t="s">
        <v>2085</v>
      </c>
      <c r="H149" s="37" t="s">
        <v>11</v>
      </c>
      <c r="I149" s="37" t="s">
        <v>13</v>
      </c>
      <c r="J149" t="s">
        <v>64</v>
      </c>
      <c r="K149" t="s">
        <v>3006</v>
      </c>
      <c r="L149" t="s">
        <v>3098</v>
      </c>
      <c r="M149" t="s">
        <v>3083</v>
      </c>
      <c r="N149" t="s">
        <v>3006</v>
      </c>
      <c r="O149" s="39" t="s">
        <v>3086</v>
      </c>
      <c r="P149" t="s">
        <v>1639</v>
      </c>
      <c r="Q149" s="10" t="s">
        <v>1617</v>
      </c>
      <c r="R149" s="10">
        <v>2565</v>
      </c>
      <c r="S149" t="s">
        <v>1639</v>
      </c>
      <c r="T149" t="s">
        <v>1829</v>
      </c>
    </row>
    <row r="150" spans="1:20" x14ac:dyDescent="0.35">
      <c r="A150">
        <v>2024</v>
      </c>
      <c r="B150" t="s">
        <v>772</v>
      </c>
      <c r="C150" t="s">
        <v>798</v>
      </c>
      <c r="D150" t="s">
        <v>71</v>
      </c>
      <c r="E150" t="s">
        <v>1215</v>
      </c>
      <c r="G150" t="s">
        <v>2085</v>
      </c>
      <c r="H150" s="37" t="s">
        <v>11</v>
      </c>
      <c r="I150" s="37" t="s">
        <v>13</v>
      </c>
      <c r="J150" t="s">
        <v>64</v>
      </c>
      <c r="K150" t="s">
        <v>3006</v>
      </c>
      <c r="L150" t="s">
        <v>3097</v>
      </c>
      <c r="M150" t="s">
        <v>3083</v>
      </c>
      <c r="N150" t="s">
        <v>3006</v>
      </c>
      <c r="O150" s="39" t="s">
        <v>3086</v>
      </c>
      <c r="P150" t="s">
        <v>1789</v>
      </c>
      <c r="Q150" s="10" t="s">
        <v>1820</v>
      </c>
      <c r="R150" s="10">
        <v>1968.4149299999999</v>
      </c>
      <c r="S150" t="s">
        <v>1789</v>
      </c>
      <c r="T150" t="s">
        <v>1829</v>
      </c>
    </row>
    <row r="151" spans="1:20" x14ac:dyDescent="0.35">
      <c r="A151">
        <v>2023</v>
      </c>
      <c r="B151" t="s">
        <v>772</v>
      </c>
      <c r="C151" t="s">
        <v>8</v>
      </c>
      <c r="D151" t="s">
        <v>72</v>
      </c>
      <c r="E151" t="s">
        <v>1263</v>
      </c>
      <c r="G151" t="s">
        <v>1902</v>
      </c>
      <c r="H151" s="37" t="s">
        <v>11</v>
      </c>
      <c r="I151" s="37" t="s">
        <v>21</v>
      </c>
      <c r="J151" t="s">
        <v>130</v>
      </c>
      <c r="K151" t="s">
        <v>3007</v>
      </c>
      <c r="L151" t="s">
        <v>3094</v>
      </c>
      <c r="M151" t="s">
        <v>3083</v>
      </c>
      <c r="N151" t="s">
        <v>3066</v>
      </c>
      <c r="O151" s="39" t="s">
        <v>3085</v>
      </c>
      <c r="P151" t="s">
        <v>1605</v>
      </c>
      <c r="Q151" t="s">
        <v>1635</v>
      </c>
      <c r="R151" s="10">
        <v>33340</v>
      </c>
      <c r="S151" t="s">
        <v>1605</v>
      </c>
      <c r="T151" t="s">
        <v>1911</v>
      </c>
    </row>
    <row r="152" spans="1:20" x14ac:dyDescent="0.35">
      <c r="A152">
        <v>2023</v>
      </c>
      <c r="B152" t="s">
        <v>772</v>
      </c>
      <c r="C152" t="s">
        <v>8</v>
      </c>
      <c r="D152" t="s">
        <v>72</v>
      </c>
      <c r="E152" t="s">
        <v>1263</v>
      </c>
      <c r="G152" t="s">
        <v>1902</v>
      </c>
      <c r="H152" s="37" t="s">
        <v>11</v>
      </c>
      <c r="I152" s="37" t="s">
        <v>21</v>
      </c>
      <c r="J152" t="s">
        <v>130</v>
      </c>
      <c r="K152" t="s">
        <v>3007</v>
      </c>
      <c r="L152" t="s">
        <v>3094</v>
      </c>
      <c r="M152" t="s">
        <v>3083</v>
      </c>
      <c r="N152" t="s">
        <v>3066</v>
      </c>
      <c r="O152" s="39" t="s">
        <v>3085</v>
      </c>
      <c r="P152" t="s">
        <v>1606</v>
      </c>
      <c r="Q152" t="s">
        <v>1635</v>
      </c>
      <c r="R152" s="10">
        <v>179</v>
      </c>
      <c r="S152" t="s">
        <v>1606</v>
      </c>
      <c r="T152" t="s">
        <v>1911</v>
      </c>
    </row>
    <row r="153" spans="1:20" x14ac:dyDescent="0.35">
      <c r="A153">
        <v>2023</v>
      </c>
      <c r="B153" t="s">
        <v>772</v>
      </c>
      <c r="C153" t="s">
        <v>8</v>
      </c>
      <c r="D153" t="s">
        <v>9</v>
      </c>
      <c r="E153" t="s">
        <v>1264</v>
      </c>
      <c r="G153" t="s">
        <v>1902</v>
      </c>
      <c r="H153" s="37" t="s">
        <v>11</v>
      </c>
      <c r="I153" s="37" t="s">
        <v>23</v>
      </c>
      <c r="J153" t="s">
        <v>12</v>
      </c>
      <c r="K153" t="s">
        <v>3007</v>
      </c>
      <c r="L153" t="s">
        <v>3094</v>
      </c>
      <c r="M153" t="s">
        <v>3083</v>
      </c>
      <c r="N153" t="s">
        <v>3066</v>
      </c>
      <c r="O153" s="39" t="s">
        <v>3085</v>
      </c>
      <c r="P153" t="s">
        <v>1605</v>
      </c>
      <c r="Q153" t="s">
        <v>1635</v>
      </c>
      <c r="R153" s="10">
        <v>7271</v>
      </c>
      <c r="S153" t="s">
        <v>1605</v>
      </c>
      <c r="T153" t="s">
        <v>1911</v>
      </c>
    </row>
    <row r="154" spans="1:20" x14ac:dyDescent="0.35">
      <c r="A154">
        <v>2023</v>
      </c>
      <c r="B154" t="s">
        <v>772</v>
      </c>
      <c r="C154" t="s">
        <v>8</v>
      </c>
      <c r="D154" t="s">
        <v>9</v>
      </c>
      <c r="E154" t="s">
        <v>1264</v>
      </c>
      <c r="G154" t="s">
        <v>1902</v>
      </c>
      <c r="H154" s="37" t="s">
        <v>11</v>
      </c>
      <c r="I154" s="37" t="s">
        <v>23</v>
      </c>
      <c r="J154" t="s">
        <v>12</v>
      </c>
      <c r="K154" t="s">
        <v>3007</v>
      </c>
      <c r="L154" t="s">
        <v>3094</v>
      </c>
      <c r="M154" t="s">
        <v>3083</v>
      </c>
      <c r="N154" t="s">
        <v>3066</v>
      </c>
      <c r="O154" s="39" t="s">
        <v>3085</v>
      </c>
      <c r="P154" t="s">
        <v>1606</v>
      </c>
      <c r="Q154" t="s">
        <v>1635</v>
      </c>
      <c r="R154" s="10">
        <v>1408</v>
      </c>
      <c r="S154" t="s">
        <v>1606</v>
      </c>
      <c r="T154" t="s">
        <v>1911</v>
      </c>
    </row>
    <row r="155" spans="1:20" x14ac:dyDescent="0.35">
      <c r="A155">
        <v>2023</v>
      </c>
      <c r="B155" t="s">
        <v>772</v>
      </c>
      <c r="C155" t="s">
        <v>717</v>
      </c>
      <c r="D155" t="s">
        <v>132</v>
      </c>
      <c r="E155" t="s">
        <v>1270</v>
      </c>
      <c r="G155" t="s">
        <v>1853</v>
      </c>
      <c r="H155" s="37" t="s">
        <v>11</v>
      </c>
      <c r="I155" s="37" t="s">
        <v>19</v>
      </c>
      <c r="J155" t="s">
        <v>130</v>
      </c>
      <c r="K155" t="s">
        <v>3007</v>
      </c>
      <c r="L155" t="s">
        <v>3094</v>
      </c>
      <c r="M155" t="s">
        <v>3083</v>
      </c>
      <c r="N155" t="s">
        <v>3066</v>
      </c>
      <c r="O155" s="39" t="s">
        <v>3085</v>
      </c>
      <c r="P155" t="s">
        <v>1605</v>
      </c>
      <c r="Q155" s="10" t="s">
        <v>1786</v>
      </c>
      <c r="R155" s="10">
        <v>67</v>
      </c>
      <c r="S155" t="s">
        <v>1605</v>
      </c>
      <c r="T155" t="s">
        <v>1785</v>
      </c>
    </row>
    <row r="156" spans="1:20" x14ac:dyDescent="0.35">
      <c r="A156">
        <v>2023</v>
      </c>
      <c r="B156" t="s">
        <v>772</v>
      </c>
      <c r="C156" t="s">
        <v>717</v>
      </c>
      <c r="D156" t="s">
        <v>132</v>
      </c>
      <c r="E156" t="s">
        <v>1270</v>
      </c>
      <c r="G156" t="s">
        <v>1853</v>
      </c>
      <c r="H156" s="37" t="s">
        <v>11</v>
      </c>
      <c r="I156" s="37" t="s">
        <v>19</v>
      </c>
      <c r="J156" t="s">
        <v>130</v>
      </c>
      <c r="K156" t="s">
        <v>3007</v>
      </c>
      <c r="L156" t="s">
        <v>3094</v>
      </c>
      <c r="M156" t="s">
        <v>3083</v>
      </c>
      <c r="N156" t="s">
        <v>3066</v>
      </c>
      <c r="O156" s="39" t="s">
        <v>3085</v>
      </c>
      <c r="P156" t="s">
        <v>1606</v>
      </c>
      <c r="Q156" s="10" t="s">
        <v>1786</v>
      </c>
      <c r="R156" s="10">
        <v>8</v>
      </c>
      <c r="S156" t="s">
        <v>1606</v>
      </c>
      <c r="T156" t="s">
        <v>1785</v>
      </c>
    </row>
    <row r="157" spans="1:20" x14ac:dyDescent="0.35">
      <c r="A157">
        <v>2023</v>
      </c>
      <c r="B157" t="s">
        <v>1537</v>
      </c>
      <c r="C157" t="s">
        <v>717</v>
      </c>
      <c r="D157" t="s">
        <v>1782</v>
      </c>
      <c r="F157" t="s">
        <v>1854</v>
      </c>
      <c r="G157" t="s">
        <v>1853</v>
      </c>
      <c r="H157" s="37" t="s">
        <v>11</v>
      </c>
      <c r="I157" s="37" t="s">
        <v>13</v>
      </c>
      <c r="J157" t="s">
        <v>90</v>
      </c>
      <c r="K157" t="s">
        <v>3007</v>
      </c>
      <c r="L157" t="s">
        <v>3094</v>
      </c>
      <c r="M157" t="s">
        <v>3083</v>
      </c>
      <c r="N157" t="s">
        <v>3066</v>
      </c>
      <c r="O157" s="39" t="s">
        <v>3085</v>
      </c>
      <c r="P157" t="s">
        <v>1605</v>
      </c>
      <c r="Q157" s="10" t="s">
        <v>1786</v>
      </c>
      <c r="R157" s="10">
        <v>28</v>
      </c>
      <c r="S157" t="s">
        <v>1605</v>
      </c>
      <c r="T157" t="s">
        <v>1785</v>
      </c>
    </row>
    <row r="158" spans="1:20" x14ac:dyDescent="0.35">
      <c r="A158">
        <v>2023</v>
      </c>
      <c r="B158" t="s">
        <v>1537</v>
      </c>
      <c r="C158" t="s">
        <v>717</v>
      </c>
      <c r="D158" t="s">
        <v>1782</v>
      </c>
      <c r="F158" t="s">
        <v>1854</v>
      </c>
      <c r="G158" t="s">
        <v>1853</v>
      </c>
      <c r="H158" s="37" t="s">
        <v>11</v>
      </c>
      <c r="I158" s="37" t="s">
        <v>13</v>
      </c>
      <c r="J158" t="s">
        <v>90</v>
      </c>
      <c r="K158" t="s">
        <v>3007</v>
      </c>
      <c r="L158" t="s">
        <v>3094</v>
      </c>
      <c r="M158" t="s">
        <v>3083</v>
      </c>
      <c r="N158" t="s">
        <v>3066</v>
      </c>
      <c r="O158" s="39" t="s">
        <v>3085</v>
      </c>
      <c r="P158" t="s">
        <v>1606</v>
      </c>
      <c r="Q158" s="10" t="s">
        <v>1786</v>
      </c>
      <c r="R158" s="10">
        <v>1</v>
      </c>
      <c r="S158" t="s">
        <v>1606</v>
      </c>
      <c r="T158" t="s">
        <v>1785</v>
      </c>
    </row>
    <row r="159" spans="1:20" x14ac:dyDescent="0.35">
      <c r="A159">
        <v>2023</v>
      </c>
      <c r="B159" t="s">
        <v>1537</v>
      </c>
      <c r="C159" t="s">
        <v>717</v>
      </c>
      <c r="D159" t="s">
        <v>1782</v>
      </c>
      <c r="F159" t="s">
        <v>1854</v>
      </c>
      <c r="G159" t="s">
        <v>1853</v>
      </c>
      <c r="H159" s="37" t="s">
        <v>11</v>
      </c>
      <c r="I159" s="37" t="s">
        <v>13</v>
      </c>
      <c r="J159" t="s">
        <v>90</v>
      </c>
      <c r="K159" t="s">
        <v>3007</v>
      </c>
      <c r="L159" t="s">
        <v>3094</v>
      </c>
      <c r="M159" t="s">
        <v>3083</v>
      </c>
      <c r="N159" t="s">
        <v>1787</v>
      </c>
      <c r="O159" s="39" t="s">
        <v>3088</v>
      </c>
      <c r="P159" t="s">
        <v>707</v>
      </c>
      <c r="Q159" s="10" t="s">
        <v>1546</v>
      </c>
      <c r="R159" s="10">
        <v>0.55000000000000004</v>
      </c>
      <c r="T159" t="s">
        <v>1785</v>
      </c>
    </row>
    <row r="160" spans="1:20" x14ac:dyDescent="0.35">
      <c r="A160">
        <v>2023</v>
      </c>
      <c r="B160" t="s">
        <v>1537</v>
      </c>
      <c r="C160" t="s">
        <v>717</v>
      </c>
      <c r="D160" t="s">
        <v>1782</v>
      </c>
      <c r="F160" t="s">
        <v>1854</v>
      </c>
      <c r="G160" t="s">
        <v>1853</v>
      </c>
      <c r="H160" s="37" t="s">
        <v>11</v>
      </c>
      <c r="I160" s="37" t="s">
        <v>13</v>
      </c>
      <c r="J160" t="s">
        <v>90</v>
      </c>
      <c r="K160" t="s">
        <v>3005</v>
      </c>
      <c r="L160" t="s">
        <v>3095</v>
      </c>
      <c r="O160" s="39"/>
      <c r="P160" t="s">
        <v>1793</v>
      </c>
      <c r="Q160" s="10" t="s">
        <v>1629</v>
      </c>
      <c r="R160" s="10">
        <v>594168</v>
      </c>
      <c r="S160" t="s">
        <v>1793</v>
      </c>
      <c r="T160" t="s">
        <v>1785</v>
      </c>
    </row>
    <row r="161" spans="1:20" x14ac:dyDescent="0.35">
      <c r="A161">
        <v>2023</v>
      </c>
      <c r="B161" t="s">
        <v>1537</v>
      </c>
      <c r="C161" t="s">
        <v>717</v>
      </c>
      <c r="D161" t="s">
        <v>1782</v>
      </c>
      <c r="F161" t="s">
        <v>1854</v>
      </c>
      <c r="G161" t="s">
        <v>1853</v>
      </c>
      <c r="H161" s="37" t="s">
        <v>11</v>
      </c>
      <c r="I161" s="37" t="s">
        <v>13</v>
      </c>
      <c r="J161" t="s">
        <v>90</v>
      </c>
      <c r="K161" t="s">
        <v>3005</v>
      </c>
      <c r="L161" t="s">
        <v>3095</v>
      </c>
      <c r="O161" s="39"/>
      <c r="P161" t="s">
        <v>1794</v>
      </c>
      <c r="Q161" s="10" t="s">
        <v>1629</v>
      </c>
      <c r="R161" s="10">
        <v>7829</v>
      </c>
      <c r="S161" t="s">
        <v>1794</v>
      </c>
      <c r="T161" t="s">
        <v>1785</v>
      </c>
    </row>
    <row r="162" spans="1:20" x14ac:dyDescent="0.35">
      <c r="A162">
        <v>2023</v>
      </c>
      <c r="B162" t="s">
        <v>1537</v>
      </c>
      <c r="C162" t="s">
        <v>717</v>
      </c>
      <c r="D162" t="s">
        <v>1782</v>
      </c>
      <c r="F162" t="s">
        <v>1854</v>
      </c>
      <c r="G162" t="s">
        <v>1853</v>
      </c>
      <c r="H162" s="37" t="s">
        <v>11</v>
      </c>
      <c r="I162" s="37" t="s">
        <v>13</v>
      </c>
      <c r="J162" t="s">
        <v>90</v>
      </c>
      <c r="K162" t="s">
        <v>3005</v>
      </c>
      <c r="L162" t="s">
        <v>3095</v>
      </c>
      <c r="O162" s="39"/>
      <c r="P162" t="s">
        <v>1795</v>
      </c>
      <c r="Q162" s="10" t="s">
        <v>1629</v>
      </c>
      <c r="R162" s="10">
        <v>1661</v>
      </c>
      <c r="S162" t="s">
        <v>1795</v>
      </c>
      <c r="T162" t="s">
        <v>1785</v>
      </c>
    </row>
    <row r="163" spans="1:20" x14ac:dyDescent="0.35">
      <c r="A163">
        <v>2023</v>
      </c>
      <c r="B163" t="s">
        <v>772</v>
      </c>
      <c r="C163" t="s">
        <v>73</v>
      </c>
      <c r="D163" t="s">
        <v>74</v>
      </c>
      <c r="E163" t="s">
        <v>1276</v>
      </c>
      <c r="G163" t="s">
        <v>2118</v>
      </c>
      <c r="H163" s="37" t="s">
        <v>11</v>
      </c>
      <c r="I163" s="37" t="s">
        <v>13</v>
      </c>
      <c r="J163" t="s">
        <v>64</v>
      </c>
      <c r="K163" t="s">
        <v>3007</v>
      </c>
      <c r="L163" t="s">
        <v>3094</v>
      </c>
      <c r="M163" t="s">
        <v>3082</v>
      </c>
      <c r="N163" t="s">
        <v>3194</v>
      </c>
      <c r="O163" s="39" t="s">
        <v>3068</v>
      </c>
      <c r="P163" t="s">
        <v>707</v>
      </c>
      <c r="Q163" t="s">
        <v>1695</v>
      </c>
      <c r="R163" s="10">
        <v>2235</v>
      </c>
      <c r="T163" t="s">
        <v>1916</v>
      </c>
    </row>
    <row r="164" spans="1:20" x14ac:dyDescent="0.35">
      <c r="A164">
        <v>2023</v>
      </c>
      <c r="B164" t="s">
        <v>772</v>
      </c>
      <c r="C164" t="s">
        <v>73</v>
      </c>
      <c r="D164" t="s">
        <v>74</v>
      </c>
      <c r="E164" t="s">
        <v>1276</v>
      </c>
      <c r="G164" t="s">
        <v>2118</v>
      </c>
      <c r="H164" s="37" t="s">
        <v>11</v>
      </c>
      <c r="I164" s="37" t="s">
        <v>13</v>
      </c>
      <c r="J164" t="s">
        <v>64</v>
      </c>
      <c r="K164" t="s">
        <v>3007</v>
      </c>
      <c r="L164" t="s">
        <v>3094</v>
      </c>
      <c r="M164" t="s">
        <v>3083</v>
      </c>
      <c r="N164" t="s">
        <v>3066</v>
      </c>
      <c r="O164" s="39" t="s">
        <v>3085</v>
      </c>
      <c r="P164" t="s">
        <v>1605</v>
      </c>
      <c r="Q164" t="s">
        <v>1635</v>
      </c>
      <c r="R164" s="10">
        <v>18521.099999999999</v>
      </c>
      <c r="S164" t="s">
        <v>1605</v>
      </c>
      <c r="T164" t="s">
        <v>1916</v>
      </c>
    </row>
    <row r="165" spans="1:20" x14ac:dyDescent="0.35">
      <c r="A165">
        <v>2023</v>
      </c>
      <c r="B165" t="s">
        <v>772</v>
      </c>
      <c r="C165" t="s">
        <v>73</v>
      </c>
      <c r="D165" t="s">
        <v>74</v>
      </c>
      <c r="E165" t="s">
        <v>1276</v>
      </c>
      <c r="G165" t="s">
        <v>2118</v>
      </c>
      <c r="H165" s="37" t="s">
        <v>11</v>
      </c>
      <c r="I165" s="37" t="s">
        <v>13</v>
      </c>
      <c r="J165" t="s">
        <v>64</v>
      </c>
      <c r="K165" t="s">
        <v>3007</v>
      </c>
      <c r="L165" t="s">
        <v>3094</v>
      </c>
      <c r="M165" t="s">
        <v>3083</v>
      </c>
      <c r="N165" t="s">
        <v>3066</v>
      </c>
      <c r="O165" s="39" t="s">
        <v>3085</v>
      </c>
      <c r="P165" t="s">
        <v>1606</v>
      </c>
      <c r="Q165" t="s">
        <v>1635</v>
      </c>
      <c r="R165" s="10">
        <v>189.9</v>
      </c>
      <c r="S165" t="s">
        <v>1606</v>
      </c>
      <c r="T165" t="s">
        <v>1916</v>
      </c>
    </row>
    <row r="166" spans="1:20" x14ac:dyDescent="0.35">
      <c r="A166">
        <v>2023</v>
      </c>
      <c r="B166" t="s">
        <v>772</v>
      </c>
      <c r="C166" t="s">
        <v>73</v>
      </c>
      <c r="D166" t="s">
        <v>74</v>
      </c>
      <c r="E166" t="s">
        <v>1276</v>
      </c>
      <c r="G166" t="s">
        <v>2118</v>
      </c>
      <c r="H166" s="37" t="s">
        <v>11</v>
      </c>
      <c r="I166" s="37" t="s">
        <v>13</v>
      </c>
      <c r="J166" t="s">
        <v>64</v>
      </c>
      <c r="K166" t="s">
        <v>3007</v>
      </c>
      <c r="L166" t="s">
        <v>3094</v>
      </c>
      <c r="M166" t="s">
        <v>3083</v>
      </c>
      <c r="N166" t="s">
        <v>1636</v>
      </c>
      <c r="O166" s="39" t="s">
        <v>3087</v>
      </c>
      <c r="P166" t="s">
        <v>707</v>
      </c>
      <c r="Q166" t="s">
        <v>1695</v>
      </c>
      <c r="R166" s="10">
        <v>7518</v>
      </c>
      <c r="T166" t="s">
        <v>1916</v>
      </c>
    </row>
    <row r="167" spans="1:20" x14ac:dyDescent="0.35">
      <c r="A167">
        <v>2023</v>
      </c>
      <c r="B167" t="s">
        <v>772</v>
      </c>
      <c r="C167" t="s">
        <v>73</v>
      </c>
      <c r="D167" t="s">
        <v>74</v>
      </c>
      <c r="E167" t="s">
        <v>1276</v>
      </c>
      <c r="G167" t="s">
        <v>2118</v>
      </c>
      <c r="H167" s="37" t="s">
        <v>11</v>
      </c>
      <c r="I167" s="37" t="s">
        <v>13</v>
      </c>
      <c r="J167" t="s">
        <v>64</v>
      </c>
      <c r="K167" t="s">
        <v>3007</v>
      </c>
      <c r="L167" t="s">
        <v>3094</v>
      </c>
      <c r="M167" t="s">
        <v>3083</v>
      </c>
      <c r="N167" t="s">
        <v>3193</v>
      </c>
      <c r="O167" s="39" t="s">
        <v>3102</v>
      </c>
      <c r="P167" t="s">
        <v>707</v>
      </c>
      <c r="Q167" t="s">
        <v>1695</v>
      </c>
      <c r="R167" s="10">
        <v>54561</v>
      </c>
      <c r="T167" t="s">
        <v>1916</v>
      </c>
    </row>
    <row r="168" spans="1:20" x14ac:dyDescent="0.35">
      <c r="A168">
        <v>2023</v>
      </c>
      <c r="B168" t="s">
        <v>772</v>
      </c>
      <c r="C168" t="s">
        <v>73</v>
      </c>
      <c r="D168" t="s">
        <v>74</v>
      </c>
      <c r="E168" t="s">
        <v>1276</v>
      </c>
      <c r="G168" t="s">
        <v>2118</v>
      </c>
      <c r="H168" s="37" t="s">
        <v>11</v>
      </c>
      <c r="I168" s="37" t="s">
        <v>13</v>
      </c>
      <c r="J168" t="s">
        <v>64</v>
      </c>
      <c r="K168" t="s">
        <v>3007</v>
      </c>
      <c r="L168" t="s">
        <v>3094</v>
      </c>
      <c r="M168" t="s">
        <v>3083</v>
      </c>
      <c r="N168" t="s">
        <v>3103</v>
      </c>
      <c r="O168" s="39" t="s">
        <v>3104</v>
      </c>
      <c r="P168" t="s">
        <v>707</v>
      </c>
      <c r="Q168" t="s">
        <v>1695</v>
      </c>
      <c r="R168" s="10">
        <v>5636</v>
      </c>
      <c r="T168" t="s">
        <v>1916</v>
      </c>
    </row>
    <row r="169" spans="1:20" x14ac:dyDescent="0.35">
      <c r="A169">
        <v>2023</v>
      </c>
      <c r="B169" t="s">
        <v>772</v>
      </c>
      <c r="C169" t="s">
        <v>73</v>
      </c>
      <c r="D169" t="s">
        <v>74</v>
      </c>
      <c r="E169" t="s">
        <v>1276</v>
      </c>
      <c r="G169" t="s">
        <v>2118</v>
      </c>
      <c r="H169" s="37" t="s">
        <v>11</v>
      </c>
      <c r="I169" s="37" t="s">
        <v>13</v>
      </c>
      <c r="J169" t="s">
        <v>64</v>
      </c>
      <c r="K169" t="s">
        <v>3007</v>
      </c>
      <c r="L169" t="s">
        <v>3094</v>
      </c>
      <c r="M169" t="s">
        <v>3083</v>
      </c>
      <c r="N169" t="s">
        <v>1637</v>
      </c>
      <c r="O169" s="39" t="s">
        <v>3091</v>
      </c>
      <c r="P169" t="s">
        <v>707</v>
      </c>
      <c r="Q169" t="s">
        <v>1695</v>
      </c>
      <c r="R169" s="10">
        <v>16.3</v>
      </c>
      <c r="T169" t="s">
        <v>1916</v>
      </c>
    </row>
    <row r="170" spans="1:20" x14ac:dyDescent="0.35">
      <c r="A170">
        <v>2023</v>
      </c>
      <c r="B170" t="s">
        <v>772</v>
      </c>
      <c r="C170" t="s">
        <v>73</v>
      </c>
      <c r="D170" t="s">
        <v>74</v>
      </c>
      <c r="E170" t="s">
        <v>1276</v>
      </c>
      <c r="G170" t="s">
        <v>2118</v>
      </c>
      <c r="H170" s="37" t="s">
        <v>11</v>
      </c>
      <c r="I170" s="37" t="s">
        <v>13</v>
      </c>
      <c r="J170" t="s">
        <v>64</v>
      </c>
      <c r="K170" t="s">
        <v>3007</v>
      </c>
      <c r="L170" t="s">
        <v>3094</v>
      </c>
      <c r="M170" t="s">
        <v>3083</v>
      </c>
      <c r="N170" t="s">
        <v>3188</v>
      </c>
      <c r="O170" s="39" t="s">
        <v>3073</v>
      </c>
      <c r="P170" t="s">
        <v>707</v>
      </c>
      <c r="Q170" t="s">
        <v>1695</v>
      </c>
      <c r="R170" s="10">
        <v>152.4</v>
      </c>
      <c r="T170" t="s">
        <v>1916</v>
      </c>
    </row>
    <row r="171" spans="1:20" x14ac:dyDescent="0.35">
      <c r="A171">
        <v>2023</v>
      </c>
      <c r="B171" t="s">
        <v>772</v>
      </c>
      <c r="C171" t="s">
        <v>73</v>
      </c>
      <c r="D171" t="s">
        <v>74</v>
      </c>
      <c r="E171" t="s">
        <v>1276</v>
      </c>
      <c r="G171" t="s">
        <v>2118</v>
      </c>
      <c r="H171" s="37" t="s">
        <v>11</v>
      </c>
      <c r="I171" s="37" t="s">
        <v>13</v>
      </c>
      <c r="J171" t="s">
        <v>64</v>
      </c>
      <c r="K171" t="s">
        <v>3006</v>
      </c>
      <c r="L171" t="s">
        <v>3096</v>
      </c>
      <c r="M171" t="s">
        <v>3083</v>
      </c>
      <c r="N171" t="s">
        <v>3006</v>
      </c>
      <c r="O171" s="39" t="s">
        <v>3086</v>
      </c>
      <c r="P171" t="s">
        <v>1919</v>
      </c>
      <c r="Q171" t="s">
        <v>1617</v>
      </c>
      <c r="R171" s="10">
        <v>5145.1000000000004</v>
      </c>
      <c r="S171" t="s">
        <v>1919</v>
      </c>
      <c r="T171" t="s">
        <v>1916</v>
      </c>
    </row>
    <row r="172" spans="1:20" x14ac:dyDescent="0.35">
      <c r="A172">
        <v>2023</v>
      </c>
      <c r="B172" t="s">
        <v>772</v>
      </c>
      <c r="C172" t="s">
        <v>73</v>
      </c>
      <c r="D172" t="s">
        <v>74</v>
      </c>
      <c r="E172" t="s">
        <v>1276</v>
      </c>
      <c r="G172" t="s">
        <v>2118</v>
      </c>
      <c r="H172" s="37" t="s">
        <v>11</v>
      </c>
      <c r="I172" s="37" t="s">
        <v>13</v>
      </c>
      <c r="J172" t="s">
        <v>64</v>
      </c>
      <c r="K172" t="s">
        <v>3006</v>
      </c>
      <c r="L172" t="s">
        <v>3097</v>
      </c>
      <c r="M172" t="s">
        <v>3083</v>
      </c>
      <c r="N172" t="s">
        <v>3006</v>
      </c>
      <c r="O172" s="39" t="s">
        <v>3086</v>
      </c>
      <c r="P172" t="s">
        <v>1917</v>
      </c>
      <c r="Q172" t="s">
        <v>1617</v>
      </c>
      <c r="R172" s="10">
        <v>6038.8</v>
      </c>
      <c r="S172" t="s">
        <v>1917</v>
      </c>
      <c r="T172" t="s">
        <v>1916</v>
      </c>
    </row>
    <row r="173" spans="1:20" x14ac:dyDescent="0.35">
      <c r="A173">
        <v>2023</v>
      </c>
      <c r="B173" t="s">
        <v>772</v>
      </c>
      <c r="C173" t="s">
        <v>73</v>
      </c>
      <c r="D173" t="s">
        <v>74</v>
      </c>
      <c r="E173" t="s">
        <v>1276</v>
      </c>
      <c r="G173" t="s">
        <v>2118</v>
      </c>
      <c r="H173" s="37" t="s">
        <v>11</v>
      </c>
      <c r="I173" s="37" t="s">
        <v>13</v>
      </c>
      <c r="J173" t="s">
        <v>64</v>
      </c>
      <c r="K173" t="s">
        <v>3006</v>
      </c>
      <c r="L173" t="s">
        <v>3098</v>
      </c>
      <c r="M173" t="s">
        <v>3083</v>
      </c>
      <c r="N173" t="s">
        <v>3006</v>
      </c>
      <c r="O173" s="39" t="s">
        <v>3086</v>
      </c>
      <c r="P173" t="s">
        <v>1918</v>
      </c>
      <c r="Q173" t="s">
        <v>1617</v>
      </c>
      <c r="R173" s="10">
        <v>-893.69999999999982</v>
      </c>
      <c r="S173" t="s">
        <v>1918</v>
      </c>
      <c r="T173" t="s">
        <v>1916</v>
      </c>
    </row>
    <row r="174" spans="1:20" x14ac:dyDescent="0.35">
      <c r="A174">
        <v>2023</v>
      </c>
      <c r="B174" t="s">
        <v>772</v>
      </c>
      <c r="C174" t="s">
        <v>73</v>
      </c>
      <c r="D174" t="s">
        <v>74</v>
      </c>
      <c r="E174" t="s">
        <v>1276</v>
      </c>
      <c r="G174" t="s">
        <v>2118</v>
      </c>
      <c r="H174" s="37" t="s">
        <v>11</v>
      </c>
      <c r="I174" s="37" t="s">
        <v>13</v>
      </c>
      <c r="J174" t="s">
        <v>64</v>
      </c>
      <c r="K174" t="s">
        <v>3005</v>
      </c>
      <c r="L174" t="s">
        <v>3095</v>
      </c>
      <c r="O174" s="39"/>
      <c r="P174" t="s">
        <v>1712</v>
      </c>
      <c r="Q174" t="s">
        <v>1629</v>
      </c>
      <c r="R174" s="10">
        <v>1014.81</v>
      </c>
      <c r="S174" t="s">
        <v>1712</v>
      </c>
      <c r="T174" t="s">
        <v>1916</v>
      </c>
    </row>
    <row r="175" spans="1:20" x14ac:dyDescent="0.35">
      <c r="A175">
        <v>2023</v>
      </c>
      <c r="B175" t="s">
        <v>772</v>
      </c>
      <c r="C175" t="s">
        <v>859</v>
      </c>
      <c r="D175" t="s">
        <v>203</v>
      </c>
      <c r="E175" t="s">
        <v>1277</v>
      </c>
      <c r="G175" t="s">
        <v>2119</v>
      </c>
      <c r="H175" s="37" t="s">
        <v>11</v>
      </c>
      <c r="I175" s="37" t="s">
        <v>23</v>
      </c>
      <c r="J175" t="s">
        <v>204</v>
      </c>
      <c r="K175" t="s">
        <v>3007</v>
      </c>
      <c r="L175" t="s">
        <v>3094</v>
      </c>
      <c r="M175" t="s">
        <v>3083</v>
      </c>
      <c r="N175" t="s">
        <v>3066</v>
      </c>
      <c r="O175" s="39" t="s">
        <v>3085</v>
      </c>
      <c r="P175" t="s">
        <v>1605</v>
      </c>
      <c r="Q175" t="s">
        <v>1635</v>
      </c>
      <c r="R175" s="10">
        <v>59145</v>
      </c>
      <c r="S175" t="s">
        <v>1605</v>
      </c>
      <c r="T175" t="s">
        <v>1935</v>
      </c>
    </row>
    <row r="176" spans="1:20" x14ac:dyDescent="0.35">
      <c r="A176">
        <v>2023</v>
      </c>
      <c r="B176" t="s">
        <v>772</v>
      </c>
      <c r="C176" t="s">
        <v>859</v>
      </c>
      <c r="D176" t="s">
        <v>203</v>
      </c>
      <c r="E176" t="s">
        <v>1277</v>
      </c>
      <c r="G176" t="s">
        <v>2119</v>
      </c>
      <c r="H176" s="37" t="s">
        <v>11</v>
      </c>
      <c r="I176" s="37" t="s">
        <v>23</v>
      </c>
      <c r="J176" t="s">
        <v>204</v>
      </c>
      <c r="K176" t="s">
        <v>3007</v>
      </c>
      <c r="L176" t="s">
        <v>3094</v>
      </c>
      <c r="M176" t="s">
        <v>3083</v>
      </c>
      <c r="N176" t="s">
        <v>3066</v>
      </c>
      <c r="O176" s="39" t="s">
        <v>3085</v>
      </c>
      <c r="P176" t="s">
        <v>1606</v>
      </c>
      <c r="Q176" t="s">
        <v>1635</v>
      </c>
      <c r="R176" s="10">
        <v>13365</v>
      </c>
      <c r="S176" t="s">
        <v>1606</v>
      </c>
      <c r="T176" t="s">
        <v>1935</v>
      </c>
    </row>
    <row r="177" spans="1:20" x14ac:dyDescent="0.35">
      <c r="A177">
        <v>2023</v>
      </c>
      <c r="B177" t="s">
        <v>772</v>
      </c>
      <c r="C177" t="s">
        <v>859</v>
      </c>
      <c r="D177" t="s">
        <v>203</v>
      </c>
      <c r="E177" t="s">
        <v>1277</v>
      </c>
      <c r="G177" t="s">
        <v>2119</v>
      </c>
      <c r="H177" s="37" t="s">
        <v>11</v>
      </c>
      <c r="I177" s="37" t="s">
        <v>23</v>
      </c>
      <c r="J177" t="s">
        <v>204</v>
      </c>
      <c r="K177" t="s">
        <v>3006</v>
      </c>
      <c r="L177" t="s">
        <v>3096</v>
      </c>
      <c r="M177" t="s">
        <v>3083</v>
      </c>
      <c r="N177" t="s">
        <v>3006</v>
      </c>
      <c r="O177" s="39" t="s">
        <v>3086</v>
      </c>
      <c r="P177" t="s">
        <v>1616</v>
      </c>
      <c r="Q177" t="s">
        <v>1617</v>
      </c>
      <c r="R177" s="10">
        <v>2027</v>
      </c>
      <c r="S177" t="s">
        <v>1616</v>
      </c>
      <c r="T177" t="s">
        <v>1935</v>
      </c>
    </row>
    <row r="178" spans="1:20" x14ac:dyDescent="0.35">
      <c r="A178">
        <v>2023</v>
      </c>
      <c r="B178" t="s">
        <v>772</v>
      </c>
      <c r="C178" t="s">
        <v>859</v>
      </c>
      <c r="D178" t="s">
        <v>203</v>
      </c>
      <c r="E178" t="s">
        <v>1277</v>
      </c>
      <c r="G178" t="s">
        <v>2119</v>
      </c>
      <c r="H178" s="37" t="s">
        <v>11</v>
      </c>
      <c r="I178" s="37" t="s">
        <v>23</v>
      </c>
      <c r="J178" t="s">
        <v>204</v>
      </c>
      <c r="K178" t="s">
        <v>3006</v>
      </c>
      <c r="L178" t="s">
        <v>3098</v>
      </c>
      <c r="M178" t="s">
        <v>3083</v>
      </c>
      <c r="N178" t="s">
        <v>3006</v>
      </c>
      <c r="O178" s="39" t="s">
        <v>3086</v>
      </c>
      <c r="P178" t="s">
        <v>1750</v>
      </c>
      <c r="Q178" t="s">
        <v>1617</v>
      </c>
      <c r="R178" s="10">
        <v>8930</v>
      </c>
      <c r="S178" t="s">
        <v>1750</v>
      </c>
      <c r="T178" t="s">
        <v>1935</v>
      </c>
    </row>
    <row r="179" spans="1:20" x14ac:dyDescent="0.35">
      <c r="A179">
        <v>2023</v>
      </c>
      <c r="B179" t="s">
        <v>772</v>
      </c>
      <c r="C179" t="s">
        <v>859</v>
      </c>
      <c r="D179" t="s">
        <v>203</v>
      </c>
      <c r="E179" t="s">
        <v>1277</v>
      </c>
      <c r="G179" t="s">
        <v>2119</v>
      </c>
      <c r="H179" s="37" t="s">
        <v>11</v>
      </c>
      <c r="I179" s="37" t="s">
        <v>23</v>
      </c>
      <c r="J179" t="s">
        <v>204</v>
      </c>
      <c r="K179" t="s">
        <v>3006</v>
      </c>
      <c r="L179" t="s">
        <v>3097</v>
      </c>
      <c r="M179" t="s">
        <v>3083</v>
      </c>
      <c r="N179" t="s">
        <v>3006</v>
      </c>
      <c r="O179" s="39" t="s">
        <v>3086</v>
      </c>
      <c r="P179" t="s">
        <v>1937</v>
      </c>
      <c r="Q179" t="s">
        <v>1617</v>
      </c>
      <c r="R179" s="10">
        <v>1038</v>
      </c>
      <c r="S179" t="s">
        <v>1937</v>
      </c>
      <c r="T179" t="s">
        <v>1935</v>
      </c>
    </row>
    <row r="180" spans="1:20" ht="14.4" customHeight="1" x14ac:dyDescent="0.35">
      <c r="A180">
        <v>2023</v>
      </c>
      <c r="B180" t="s">
        <v>772</v>
      </c>
      <c r="C180" t="s">
        <v>859</v>
      </c>
      <c r="D180" t="s">
        <v>203</v>
      </c>
      <c r="E180" t="s">
        <v>1277</v>
      </c>
      <c r="G180" t="s">
        <v>2119</v>
      </c>
      <c r="H180" s="37" t="s">
        <v>11</v>
      </c>
      <c r="I180" s="37" t="s">
        <v>23</v>
      </c>
      <c r="J180" t="s">
        <v>204</v>
      </c>
      <c r="K180" t="s">
        <v>3005</v>
      </c>
      <c r="L180" t="s">
        <v>3095</v>
      </c>
      <c r="O180" s="39"/>
      <c r="P180" t="s">
        <v>1938</v>
      </c>
      <c r="Q180" t="s">
        <v>1629</v>
      </c>
      <c r="R180" s="10">
        <v>6070</v>
      </c>
      <c r="S180" t="s">
        <v>1938</v>
      </c>
      <c r="T180" t="s">
        <v>1935</v>
      </c>
    </row>
    <row r="181" spans="1:20" ht="14.4" customHeight="1" x14ac:dyDescent="0.35">
      <c r="A181">
        <v>2023</v>
      </c>
      <c r="B181" t="s">
        <v>772</v>
      </c>
      <c r="C181" t="s">
        <v>861</v>
      </c>
      <c r="D181" t="s">
        <v>164</v>
      </c>
      <c r="E181" t="s">
        <v>1282</v>
      </c>
      <c r="G181" t="s">
        <v>2123</v>
      </c>
      <c r="H181" s="37" t="s">
        <v>11</v>
      </c>
      <c r="I181" s="37" t="s">
        <v>19</v>
      </c>
      <c r="J181" t="s">
        <v>157</v>
      </c>
      <c r="K181" t="s">
        <v>3007</v>
      </c>
      <c r="L181" t="s">
        <v>3094</v>
      </c>
      <c r="M181" t="s">
        <v>3083</v>
      </c>
      <c r="N181" t="s">
        <v>3066</v>
      </c>
      <c r="O181" s="39" t="s">
        <v>3085</v>
      </c>
      <c r="P181" t="s">
        <v>1696</v>
      </c>
      <c r="Q181" t="s">
        <v>1635</v>
      </c>
      <c r="R181">
        <f>599+146+118+33</f>
        <v>896</v>
      </c>
      <c r="S181" t="s">
        <v>1696</v>
      </c>
      <c r="T181" t="s">
        <v>1911</v>
      </c>
    </row>
    <row r="182" spans="1:20" x14ac:dyDescent="0.35">
      <c r="A182">
        <v>2023</v>
      </c>
      <c r="B182" t="s">
        <v>772</v>
      </c>
      <c r="C182" t="s">
        <v>755</v>
      </c>
      <c r="D182" t="s">
        <v>85</v>
      </c>
      <c r="E182" t="s">
        <v>1315</v>
      </c>
      <c r="G182" t="s">
        <v>2150</v>
      </c>
      <c r="H182" s="37" t="s">
        <v>11</v>
      </c>
      <c r="I182" s="37" t="s">
        <v>23</v>
      </c>
      <c r="J182" t="s">
        <v>84</v>
      </c>
      <c r="K182" t="s">
        <v>3007</v>
      </c>
      <c r="L182" t="s">
        <v>3094</v>
      </c>
      <c r="M182" t="s">
        <v>3083</v>
      </c>
      <c r="N182" t="s">
        <v>3066</v>
      </c>
      <c r="O182" s="39" t="s">
        <v>3085</v>
      </c>
      <c r="P182" t="s">
        <v>1605</v>
      </c>
      <c r="Q182" t="s">
        <v>1635</v>
      </c>
      <c r="R182" s="10">
        <v>15908.3</v>
      </c>
      <c r="S182" t="s">
        <v>1605</v>
      </c>
      <c r="T182" t="s">
        <v>1869</v>
      </c>
    </row>
    <row r="183" spans="1:20" x14ac:dyDescent="0.35">
      <c r="A183">
        <v>2023</v>
      </c>
      <c r="B183" t="s">
        <v>772</v>
      </c>
      <c r="C183" t="s">
        <v>755</v>
      </c>
      <c r="D183" t="s">
        <v>85</v>
      </c>
      <c r="E183" t="s">
        <v>1315</v>
      </c>
      <c r="G183" t="s">
        <v>2150</v>
      </c>
      <c r="H183" s="37" t="s">
        <v>11</v>
      </c>
      <c r="I183" s="37" t="s">
        <v>23</v>
      </c>
      <c r="J183" t="s">
        <v>84</v>
      </c>
      <c r="K183" t="s">
        <v>3007</v>
      </c>
      <c r="L183" t="s">
        <v>3094</v>
      </c>
      <c r="M183" t="s">
        <v>3083</v>
      </c>
      <c r="N183" t="s">
        <v>3066</v>
      </c>
      <c r="O183" s="39" t="s">
        <v>3085</v>
      </c>
      <c r="P183" t="s">
        <v>1606</v>
      </c>
      <c r="Q183" t="s">
        <v>1635</v>
      </c>
      <c r="R183" s="10">
        <v>2326.6999999999998</v>
      </c>
      <c r="S183" t="s">
        <v>1606</v>
      </c>
      <c r="T183" t="s">
        <v>1869</v>
      </c>
    </row>
    <row r="184" spans="1:20" x14ac:dyDescent="0.35">
      <c r="A184">
        <v>2023</v>
      </c>
      <c r="B184" t="s">
        <v>772</v>
      </c>
      <c r="C184" t="s">
        <v>755</v>
      </c>
      <c r="D184" t="s">
        <v>85</v>
      </c>
      <c r="E184" t="s">
        <v>1315</v>
      </c>
      <c r="G184" t="s">
        <v>2150</v>
      </c>
      <c r="H184" s="37" t="s">
        <v>11</v>
      </c>
      <c r="I184" s="37" t="s">
        <v>23</v>
      </c>
      <c r="J184" t="s">
        <v>84</v>
      </c>
      <c r="K184" t="s">
        <v>3006</v>
      </c>
      <c r="L184" t="s">
        <v>3096</v>
      </c>
      <c r="M184" t="s">
        <v>3083</v>
      </c>
      <c r="N184" t="s">
        <v>3006</v>
      </c>
      <c r="O184" s="39" t="s">
        <v>3086</v>
      </c>
      <c r="P184" t="s">
        <v>1689</v>
      </c>
      <c r="Q184" t="s">
        <v>1617</v>
      </c>
      <c r="R184" s="10">
        <v>1534.5519999999999</v>
      </c>
      <c r="S184" t="s">
        <v>1689</v>
      </c>
      <c r="T184" t="s">
        <v>1869</v>
      </c>
    </row>
    <row r="185" spans="1:20" x14ac:dyDescent="0.35">
      <c r="A185">
        <v>2023</v>
      </c>
      <c r="B185" t="s">
        <v>772</v>
      </c>
      <c r="C185" t="s">
        <v>755</v>
      </c>
      <c r="D185" t="s">
        <v>85</v>
      </c>
      <c r="E185" t="s">
        <v>1315</v>
      </c>
      <c r="G185" t="s">
        <v>2150</v>
      </c>
      <c r="H185" s="37" t="s">
        <v>11</v>
      </c>
      <c r="I185" s="37" t="s">
        <v>23</v>
      </c>
      <c r="J185" t="s">
        <v>84</v>
      </c>
      <c r="K185" t="s">
        <v>3006</v>
      </c>
      <c r="L185" t="s">
        <v>3097</v>
      </c>
      <c r="M185" t="s">
        <v>3083</v>
      </c>
      <c r="N185" t="s">
        <v>3006</v>
      </c>
      <c r="O185" s="39" t="s">
        <v>3086</v>
      </c>
      <c r="P185" t="s">
        <v>1690</v>
      </c>
      <c r="Q185" t="s">
        <v>1617</v>
      </c>
      <c r="R185" s="10">
        <v>0</v>
      </c>
      <c r="S185" t="s">
        <v>1690</v>
      </c>
      <c r="T185" t="s">
        <v>1869</v>
      </c>
    </row>
    <row r="186" spans="1:20" x14ac:dyDescent="0.35">
      <c r="A186">
        <v>2023</v>
      </c>
      <c r="B186" t="s">
        <v>772</v>
      </c>
      <c r="C186" t="s">
        <v>755</v>
      </c>
      <c r="D186" t="s">
        <v>85</v>
      </c>
      <c r="E186" t="s">
        <v>1315</v>
      </c>
      <c r="G186" t="s">
        <v>2150</v>
      </c>
      <c r="H186" s="37" t="s">
        <v>11</v>
      </c>
      <c r="I186" s="37" t="s">
        <v>23</v>
      </c>
      <c r="J186" t="s">
        <v>84</v>
      </c>
      <c r="K186" t="s">
        <v>3006</v>
      </c>
      <c r="L186" t="s">
        <v>3098</v>
      </c>
      <c r="M186" t="s">
        <v>3083</v>
      </c>
      <c r="N186" t="s">
        <v>3006</v>
      </c>
      <c r="O186" s="39" t="s">
        <v>3086</v>
      </c>
      <c r="P186" t="s">
        <v>1691</v>
      </c>
      <c r="Q186" t="s">
        <v>1617</v>
      </c>
      <c r="R186" s="10">
        <v>3111.3199999999997</v>
      </c>
      <c r="S186" t="s">
        <v>1691</v>
      </c>
      <c r="T186" t="s">
        <v>1869</v>
      </c>
    </row>
    <row r="187" spans="1:20" x14ac:dyDescent="0.35">
      <c r="A187">
        <v>2023</v>
      </c>
      <c r="B187" t="s">
        <v>772</v>
      </c>
      <c r="C187" t="s">
        <v>755</v>
      </c>
      <c r="D187" t="s">
        <v>85</v>
      </c>
      <c r="E187" t="s">
        <v>1315</v>
      </c>
      <c r="G187" t="s">
        <v>2150</v>
      </c>
      <c r="H187" s="37" t="s">
        <v>11</v>
      </c>
      <c r="I187" s="37" t="s">
        <v>23</v>
      </c>
      <c r="J187" t="s">
        <v>84</v>
      </c>
      <c r="K187" t="s">
        <v>3005</v>
      </c>
      <c r="L187" t="s">
        <v>3095</v>
      </c>
      <c r="O187" s="39"/>
      <c r="P187" t="s">
        <v>1712</v>
      </c>
      <c r="Q187" t="s">
        <v>1629</v>
      </c>
      <c r="R187" s="10">
        <v>377.5</v>
      </c>
      <c r="S187" t="s">
        <v>1712</v>
      </c>
      <c r="T187" t="s">
        <v>1869</v>
      </c>
    </row>
    <row r="188" spans="1:20" x14ac:dyDescent="0.35">
      <c r="A188">
        <v>2023</v>
      </c>
      <c r="B188" t="s">
        <v>772</v>
      </c>
      <c r="C188" t="s">
        <v>755</v>
      </c>
      <c r="D188" t="s">
        <v>76</v>
      </c>
      <c r="E188" t="s">
        <v>1314</v>
      </c>
      <c r="G188" t="s">
        <v>2150</v>
      </c>
      <c r="H188" s="37" t="s">
        <v>11</v>
      </c>
      <c r="I188" s="37" t="s">
        <v>13</v>
      </c>
      <c r="J188" t="s">
        <v>64</v>
      </c>
      <c r="K188" t="s">
        <v>3007</v>
      </c>
      <c r="L188" t="s">
        <v>3094</v>
      </c>
      <c r="M188" t="s">
        <v>3083</v>
      </c>
      <c r="N188" t="s">
        <v>3066</v>
      </c>
      <c r="O188" s="39" t="s">
        <v>3085</v>
      </c>
      <c r="P188" t="s">
        <v>1605</v>
      </c>
      <c r="Q188" t="s">
        <v>1635</v>
      </c>
      <c r="R188" s="10">
        <v>127029</v>
      </c>
      <c r="S188" t="s">
        <v>1605</v>
      </c>
      <c r="T188" t="s">
        <v>1869</v>
      </c>
    </row>
    <row r="189" spans="1:20" x14ac:dyDescent="0.35">
      <c r="A189">
        <v>2023</v>
      </c>
      <c r="B189" t="s">
        <v>772</v>
      </c>
      <c r="C189" t="s">
        <v>755</v>
      </c>
      <c r="D189" t="s">
        <v>76</v>
      </c>
      <c r="E189" t="s">
        <v>1314</v>
      </c>
      <c r="G189" t="s">
        <v>2150</v>
      </c>
      <c r="H189" s="37" t="s">
        <v>11</v>
      </c>
      <c r="I189" s="37" t="s">
        <v>13</v>
      </c>
      <c r="J189" t="s">
        <v>64</v>
      </c>
      <c r="K189" t="s">
        <v>3007</v>
      </c>
      <c r="L189" t="s">
        <v>3094</v>
      </c>
      <c r="M189" t="s">
        <v>3083</v>
      </c>
      <c r="N189" t="s">
        <v>3066</v>
      </c>
      <c r="O189" s="39" t="s">
        <v>3085</v>
      </c>
      <c r="P189" t="s">
        <v>1606</v>
      </c>
      <c r="Q189" t="s">
        <v>1635</v>
      </c>
      <c r="R189" s="10">
        <v>12459</v>
      </c>
      <c r="S189" t="s">
        <v>1606</v>
      </c>
      <c r="T189" t="s">
        <v>1869</v>
      </c>
    </row>
    <row r="190" spans="1:20" x14ac:dyDescent="0.35">
      <c r="A190">
        <v>2023</v>
      </c>
      <c r="B190" t="s">
        <v>772</v>
      </c>
      <c r="C190" t="s">
        <v>755</v>
      </c>
      <c r="D190" t="s">
        <v>76</v>
      </c>
      <c r="E190" t="s">
        <v>1314</v>
      </c>
      <c r="G190" t="s">
        <v>2150</v>
      </c>
      <c r="H190" s="37" t="s">
        <v>11</v>
      </c>
      <c r="I190" s="37" t="s">
        <v>13</v>
      </c>
      <c r="J190" t="s">
        <v>64</v>
      </c>
      <c r="K190" t="s">
        <v>3006</v>
      </c>
      <c r="L190" t="s">
        <v>3096</v>
      </c>
      <c r="M190" t="s">
        <v>3083</v>
      </c>
      <c r="N190" t="s">
        <v>3006</v>
      </c>
      <c r="O190" s="39" t="s">
        <v>3086</v>
      </c>
      <c r="P190" t="s">
        <v>1689</v>
      </c>
      <c r="Q190" t="s">
        <v>1617</v>
      </c>
      <c r="R190" s="10">
        <v>9600.732</v>
      </c>
      <c r="S190" t="s">
        <v>1689</v>
      </c>
      <c r="T190" t="s">
        <v>1869</v>
      </c>
    </row>
    <row r="191" spans="1:20" x14ac:dyDescent="0.35">
      <c r="A191">
        <v>2023</v>
      </c>
      <c r="B191" t="s">
        <v>772</v>
      </c>
      <c r="C191" t="s">
        <v>755</v>
      </c>
      <c r="D191" t="s">
        <v>76</v>
      </c>
      <c r="E191" t="s">
        <v>1314</v>
      </c>
      <c r="G191" t="s">
        <v>2150</v>
      </c>
      <c r="H191" s="37" t="s">
        <v>11</v>
      </c>
      <c r="I191" s="37" t="s">
        <v>13</v>
      </c>
      <c r="J191" t="s">
        <v>64</v>
      </c>
      <c r="K191" t="s">
        <v>3006</v>
      </c>
      <c r="L191" t="s">
        <v>3097</v>
      </c>
      <c r="M191" t="s">
        <v>3083</v>
      </c>
      <c r="N191" t="s">
        <v>3006</v>
      </c>
      <c r="O191" s="39" t="s">
        <v>3086</v>
      </c>
      <c r="P191" t="s">
        <v>1690</v>
      </c>
      <c r="Q191" t="s">
        <v>1617</v>
      </c>
      <c r="R191" s="10">
        <v>4552.5169999999998</v>
      </c>
      <c r="S191" t="s">
        <v>1690</v>
      </c>
      <c r="T191" t="s">
        <v>1869</v>
      </c>
    </row>
    <row r="192" spans="1:20" x14ac:dyDescent="0.35">
      <c r="A192">
        <v>2023</v>
      </c>
      <c r="B192" t="s">
        <v>772</v>
      </c>
      <c r="C192" t="s">
        <v>755</v>
      </c>
      <c r="D192" t="s">
        <v>76</v>
      </c>
      <c r="E192" t="s">
        <v>1314</v>
      </c>
      <c r="G192" t="s">
        <v>2150</v>
      </c>
      <c r="H192" s="37" t="s">
        <v>11</v>
      </c>
      <c r="I192" s="37" t="s">
        <v>13</v>
      </c>
      <c r="J192" t="s">
        <v>64</v>
      </c>
      <c r="K192" t="s">
        <v>3006</v>
      </c>
      <c r="L192" t="s">
        <v>3098</v>
      </c>
      <c r="M192" t="s">
        <v>3083</v>
      </c>
      <c r="N192" t="s">
        <v>3006</v>
      </c>
      <c r="O192" s="39" t="s">
        <v>3086</v>
      </c>
      <c r="P192" t="s">
        <v>1691</v>
      </c>
      <c r="Q192" t="s">
        <v>1617</v>
      </c>
      <c r="R192" s="10">
        <v>6336.7039999999997</v>
      </c>
      <c r="S192" t="s">
        <v>1691</v>
      </c>
      <c r="T192" t="s">
        <v>1869</v>
      </c>
    </row>
    <row r="193" spans="1:20" x14ac:dyDescent="0.35">
      <c r="A193">
        <v>2023</v>
      </c>
      <c r="B193" t="s">
        <v>772</v>
      </c>
      <c r="C193" t="s">
        <v>755</v>
      </c>
      <c r="D193" t="s">
        <v>76</v>
      </c>
      <c r="E193" t="s">
        <v>1314</v>
      </c>
      <c r="G193" t="s">
        <v>2150</v>
      </c>
      <c r="H193" s="37" t="s">
        <v>11</v>
      </c>
      <c r="I193" s="37" t="s">
        <v>13</v>
      </c>
      <c r="J193" t="s">
        <v>64</v>
      </c>
      <c r="K193" t="s">
        <v>3005</v>
      </c>
      <c r="L193" t="s">
        <v>3095</v>
      </c>
      <c r="O193" s="39"/>
      <c r="P193" t="s">
        <v>1712</v>
      </c>
      <c r="Q193" t="s">
        <v>1629</v>
      </c>
      <c r="R193" s="10">
        <v>3019.4</v>
      </c>
      <c r="S193" t="s">
        <v>1712</v>
      </c>
      <c r="T193" t="s">
        <v>1869</v>
      </c>
    </row>
    <row r="194" spans="1:20" x14ac:dyDescent="0.35">
      <c r="A194">
        <v>2023</v>
      </c>
      <c r="B194" t="s">
        <v>772</v>
      </c>
      <c r="C194" t="s">
        <v>39</v>
      </c>
      <c r="D194" t="s">
        <v>77</v>
      </c>
      <c r="E194" t="s">
        <v>1323</v>
      </c>
      <c r="G194" t="s">
        <v>2151</v>
      </c>
      <c r="H194" s="37" t="s">
        <v>11</v>
      </c>
      <c r="I194" s="37" t="s">
        <v>13</v>
      </c>
      <c r="J194" t="s">
        <v>64</v>
      </c>
      <c r="K194" t="s">
        <v>3007</v>
      </c>
      <c r="L194" t="s">
        <v>3094</v>
      </c>
      <c r="M194" t="s">
        <v>3083</v>
      </c>
      <c r="N194" t="s">
        <v>3066</v>
      </c>
      <c r="O194" s="39" t="s">
        <v>3085</v>
      </c>
      <c r="P194" t="s">
        <v>1605</v>
      </c>
      <c r="Q194" t="s">
        <v>1635</v>
      </c>
      <c r="R194" s="10">
        <v>30881.462464386499</v>
      </c>
      <c r="S194" t="s">
        <v>1605</v>
      </c>
      <c r="T194" t="s">
        <v>1870</v>
      </c>
    </row>
    <row r="195" spans="1:20" x14ac:dyDescent="0.35">
      <c r="A195">
        <v>2023</v>
      </c>
      <c r="B195" t="s">
        <v>772</v>
      </c>
      <c r="C195" t="s">
        <v>39</v>
      </c>
      <c r="D195" t="s">
        <v>77</v>
      </c>
      <c r="E195" t="s">
        <v>1323</v>
      </c>
      <c r="G195" t="s">
        <v>2151</v>
      </c>
      <c r="H195" s="37" t="s">
        <v>11</v>
      </c>
      <c r="I195" s="37" t="s">
        <v>13</v>
      </c>
      <c r="J195" t="s">
        <v>64</v>
      </c>
      <c r="K195" t="s">
        <v>3007</v>
      </c>
      <c r="L195" t="s">
        <v>3094</v>
      </c>
      <c r="M195" t="s">
        <v>3083</v>
      </c>
      <c r="N195" t="s">
        <v>3066</v>
      </c>
      <c r="O195" s="39" t="s">
        <v>3085</v>
      </c>
      <c r="P195" t="s">
        <v>1606</v>
      </c>
      <c r="Q195" t="s">
        <v>1635</v>
      </c>
      <c r="R195" s="10">
        <v>1153.8249914</v>
      </c>
      <c r="S195" t="s">
        <v>1606</v>
      </c>
      <c r="T195" t="s">
        <v>1870</v>
      </c>
    </row>
    <row r="196" spans="1:20" x14ac:dyDescent="0.35">
      <c r="A196">
        <v>2023</v>
      </c>
      <c r="B196" t="s">
        <v>772</v>
      </c>
      <c r="C196" t="s">
        <v>39</v>
      </c>
      <c r="D196" t="s">
        <v>77</v>
      </c>
      <c r="E196" t="s">
        <v>1323</v>
      </c>
      <c r="G196" t="s">
        <v>2151</v>
      </c>
      <c r="H196" s="37" t="s">
        <v>11</v>
      </c>
      <c r="I196" s="37" t="s">
        <v>13</v>
      </c>
      <c r="J196" t="s">
        <v>64</v>
      </c>
      <c r="K196" t="s">
        <v>3007</v>
      </c>
      <c r="L196" t="s">
        <v>3094</v>
      </c>
      <c r="M196" t="s">
        <v>3083</v>
      </c>
      <c r="N196" t="s">
        <v>3066</v>
      </c>
      <c r="O196" s="39" t="s">
        <v>3085</v>
      </c>
      <c r="P196" t="s">
        <v>1607</v>
      </c>
      <c r="Q196" t="s">
        <v>1635</v>
      </c>
      <c r="R196" s="10">
        <v>77581.033383311107</v>
      </c>
      <c r="S196" t="s">
        <v>1607</v>
      </c>
      <c r="T196" t="s">
        <v>1870</v>
      </c>
    </row>
    <row r="197" spans="1:20" x14ac:dyDescent="0.35">
      <c r="A197">
        <v>2023</v>
      </c>
      <c r="B197" t="s">
        <v>772</v>
      </c>
      <c r="C197" t="s">
        <v>39</v>
      </c>
      <c r="D197" t="s">
        <v>77</v>
      </c>
      <c r="E197" t="s">
        <v>1323</v>
      </c>
      <c r="G197" t="s">
        <v>2151</v>
      </c>
      <c r="H197" s="37" t="s">
        <v>11</v>
      </c>
      <c r="I197" s="37" t="s">
        <v>13</v>
      </c>
      <c r="J197" t="s">
        <v>64</v>
      </c>
      <c r="K197" t="s">
        <v>3007</v>
      </c>
      <c r="L197" t="s">
        <v>3094</v>
      </c>
      <c r="M197" t="s">
        <v>3083</v>
      </c>
      <c r="N197" t="s">
        <v>3066</v>
      </c>
      <c r="O197" s="39" t="s">
        <v>3085</v>
      </c>
      <c r="P197" t="s">
        <v>1605</v>
      </c>
      <c r="Q197" t="s">
        <v>1635</v>
      </c>
      <c r="R197" s="10">
        <v>3942</v>
      </c>
      <c r="S197" t="s">
        <v>1605</v>
      </c>
      <c r="T197" t="s">
        <v>1870</v>
      </c>
    </row>
    <row r="198" spans="1:20" x14ac:dyDescent="0.35">
      <c r="A198">
        <v>2023</v>
      </c>
      <c r="B198" t="s">
        <v>772</v>
      </c>
      <c r="C198" t="s">
        <v>39</v>
      </c>
      <c r="D198" t="s">
        <v>77</v>
      </c>
      <c r="E198" t="s">
        <v>1323</v>
      </c>
      <c r="G198" t="s">
        <v>2151</v>
      </c>
      <c r="H198" s="37" t="s">
        <v>11</v>
      </c>
      <c r="I198" s="37" t="s">
        <v>13</v>
      </c>
      <c r="J198" t="s">
        <v>64</v>
      </c>
      <c r="K198" t="s">
        <v>3007</v>
      </c>
      <c r="L198" t="s">
        <v>3094</v>
      </c>
      <c r="M198" t="s">
        <v>3083</v>
      </c>
      <c r="N198" t="s">
        <v>3066</v>
      </c>
      <c r="O198" s="39" t="s">
        <v>3085</v>
      </c>
      <c r="P198" t="s">
        <v>1606</v>
      </c>
      <c r="Q198" t="s">
        <v>1635</v>
      </c>
      <c r="R198" s="10">
        <v>304.2</v>
      </c>
      <c r="S198" t="s">
        <v>1606</v>
      </c>
      <c r="T198" t="s">
        <v>1870</v>
      </c>
    </row>
    <row r="199" spans="1:20" x14ac:dyDescent="0.35">
      <c r="A199">
        <v>2023</v>
      </c>
      <c r="B199" t="s">
        <v>772</v>
      </c>
      <c r="C199" t="s">
        <v>39</v>
      </c>
      <c r="D199" t="s">
        <v>77</v>
      </c>
      <c r="E199" t="s">
        <v>1323</v>
      </c>
      <c r="G199" t="s">
        <v>2151</v>
      </c>
      <c r="H199" s="37" t="s">
        <v>11</v>
      </c>
      <c r="I199" s="37" t="s">
        <v>13</v>
      </c>
      <c r="J199" t="s">
        <v>64</v>
      </c>
      <c r="K199" t="s">
        <v>3006</v>
      </c>
      <c r="L199" t="s">
        <v>3096</v>
      </c>
      <c r="M199" t="s">
        <v>3083</v>
      </c>
      <c r="N199" t="s">
        <v>3006</v>
      </c>
      <c r="O199" s="39" t="s">
        <v>3086</v>
      </c>
      <c r="P199" t="s">
        <v>1616</v>
      </c>
      <c r="Q199" t="s">
        <v>1617</v>
      </c>
      <c r="R199" s="10">
        <v>7</v>
      </c>
      <c r="S199" t="s">
        <v>1616</v>
      </c>
      <c r="T199" t="s">
        <v>1870</v>
      </c>
    </row>
    <row r="200" spans="1:20" x14ac:dyDescent="0.35">
      <c r="A200">
        <v>2023</v>
      </c>
      <c r="B200" t="s">
        <v>772</v>
      </c>
      <c r="C200" t="s">
        <v>39</v>
      </c>
      <c r="D200" t="s">
        <v>41</v>
      </c>
      <c r="E200" t="s">
        <v>1316</v>
      </c>
      <c r="G200" t="s">
        <v>2151</v>
      </c>
      <c r="H200" s="37" t="s">
        <v>11</v>
      </c>
      <c r="I200" s="37" t="s">
        <v>13</v>
      </c>
      <c r="J200" t="s">
        <v>16</v>
      </c>
      <c r="K200" t="s">
        <v>3007</v>
      </c>
      <c r="L200" t="s">
        <v>3094</v>
      </c>
      <c r="M200" t="s">
        <v>3082</v>
      </c>
      <c r="N200" t="s">
        <v>3194</v>
      </c>
      <c r="O200" s="39" t="s">
        <v>3068</v>
      </c>
      <c r="P200" t="s">
        <v>707</v>
      </c>
      <c r="Q200" t="s">
        <v>1546</v>
      </c>
      <c r="R200" s="10">
        <v>159.19999999999999</v>
      </c>
      <c r="T200" t="s">
        <v>1870</v>
      </c>
    </row>
    <row r="201" spans="1:20" x14ac:dyDescent="0.35">
      <c r="A201">
        <v>2023</v>
      </c>
      <c r="B201" t="s">
        <v>772</v>
      </c>
      <c r="C201" t="s">
        <v>39</v>
      </c>
      <c r="D201" t="s">
        <v>41</v>
      </c>
      <c r="E201" t="s">
        <v>1316</v>
      </c>
      <c r="G201" t="s">
        <v>2151</v>
      </c>
      <c r="H201" s="37" t="s">
        <v>11</v>
      </c>
      <c r="I201" s="37" t="s">
        <v>13</v>
      </c>
      <c r="J201" t="s">
        <v>16</v>
      </c>
      <c r="K201" t="s">
        <v>3007</v>
      </c>
      <c r="L201" t="s">
        <v>3094</v>
      </c>
      <c r="M201" t="s">
        <v>3083</v>
      </c>
      <c r="N201" t="s">
        <v>3066</v>
      </c>
      <c r="O201" s="39" t="s">
        <v>3085</v>
      </c>
      <c r="P201" t="s">
        <v>1605</v>
      </c>
      <c r="Q201" t="s">
        <v>1635</v>
      </c>
      <c r="R201" s="10">
        <v>39711.867141113798</v>
      </c>
      <c r="S201" t="s">
        <v>1605</v>
      </c>
      <c r="T201" t="s">
        <v>1870</v>
      </c>
    </row>
    <row r="202" spans="1:20" x14ac:dyDescent="0.35">
      <c r="A202">
        <v>2023</v>
      </c>
      <c r="B202" t="s">
        <v>772</v>
      </c>
      <c r="C202" t="s">
        <v>39</v>
      </c>
      <c r="D202" t="s">
        <v>41</v>
      </c>
      <c r="E202" t="s">
        <v>1316</v>
      </c>
      <c r="G202" t="s">
        <v>2151</v>
      </c>
      <c r="H202" s="37" t="s">
        <v>11</v>
      </c>
      <c r="I202" s="37" t="s">
        <v>13</v>
      </c>
      <c r="J202" t="s">
        <v>16</v>
      </c>
      <c r="K202" t="s">
        <v>3007</v>
      </c>
      <c r="L202" t="s">
        <v>3094</v>
      </c>
      <c r="M202" t="s">
        <v>3083</v>
      </c>
      <c r="N202" t="s">
        <v>3066</v>
      </c>
      <c r="O202" s="39" t="s">
        <v>3085</v>
      </c>
      <c r="P202" t="s">
        <v>1606</v>
      </c>
      <c r="Q202" t="s">
        <v>1635</v>
      </c>
      <c r="R202" s="10">
        <v>371.76247934999998</v>
      </c>
      <c r="S202" t="s">
        <v>1606</v>
      </c>
      <c r="T202" t="s">
        <v>1870</v>
      </c>
    </row>
    <row r="203" spans="1:20" x14ac:dyDescent="0.35">
      <c r="A203">
        <v>2023</v>
      </c>
      <c r="B203" t="s">
        <v>772</v>
      </c>
      <c r="C203" t="s">
        <v>39</v>
      </c>
      <c r="D203" t="s">
        <v>41</v>
      </c>
      <c r="E203" t="s">
        <v>1316</v>
      </c>
      <c r="G203" t="s">
        <v>2151</v>
      </c>
      <c r="H203" s="37" t="s">
        <v>11</v>
      </c>
      <c r="I203" s="37" t="s">
        <v>13</v>
      </c>
      <c r="J203" t="s">
        <v>16</v>
      </c>
      <c r="K203" t="s">
        <v>3007</v>
      </c>
      <c r="L203" t="s">
        <v>3094</v>
      </c>
      <c r="M203" t="s">
        <v>3083</v>
      </c>
      <c r="N203" t="s">
        <v>3066</v>
      </c>
      <c r="O203" s="39" t="s">
        <v>3085</v>
      </c>
      <c r="P203" t="s">
        <v>1607</v>
      </c>
      <c r="Q203" t="s">
        <v>1635</v>
      </c>
      <c r="R203" s="10">
        <v>98442.976808040796</v>
      </c>
      <c r="S203" t="s">
        <v>1607</v>
      </c>
      <c r="T203" t="s">
        <v>1870</v>
      </c>
    </row>
    <row r="204" spans="1:20" x14ac:dyDescent="0.35">
      <c r="A204">
        <v>2023</v>
      </c>
      <c r="B204" t="s">
        <v>772</v>
      </c>
      <c r="C204" t="s">
        <v>39</v>
      </c>
      <c r="D204" t="s">
        <v>41</v>
      </c>
      <c r="E204" t="s">
        <v>1316</v>
      </c>
      <c r="G204" t="s">
        <v>2151</v>
      </c>
      <c r="H204" s="37" t="s">
        <v>11</v>
      </c>
      <c r="I204" s="37" t="s">
        <v>13</v>
      </c>
      <c r="J204" t="s">
        <v>16</v>
      </c>
      <c r="K204" t="s">
        <v>3007</v>
      </c>
      <c r="L204" t="s">
        <v>3094</v>
      </c>
      <c r="M204" t="s">
        <v>3083</v>
      </c>
      <c r="N204" t="s">
        <v>1636</v>
      </c>
      <c r="O204" s="39" t="s">
        <v>3087</v>
      </c>
      <c r="P204" t="s">
        <v>707</v>
      </c>
      <c r="Q204" t="s">
        <v>1546</v>
      </c>
      <c r="R204" s="10">
        <v>111.3</v>
      </c>
      <c r="T204" t="s">
        <v>1870</v>
      </c>
    </row>
    <row r="205" spans="1:20" x14ac:dyDescent="0.35">
      <c r="A205">
        <v>2023</v>
      </c>
      <c r="B205" t="s">
        <v>772</v>
      </c>
      <c r="C205" t="s">
        <v>39</v>
      </c>
      <c r="D205" t="s">
        <v>41</v>
      </c>
      <c r="E205" t="s">
        <v>1316</v>
      </c>
      <c r="G205" t="s">
        <v>2151</v>
      </c>
      <c r="H205" s="37" t="s">
        <v>11</v>
      </c>
      <c r="I205" s="37" t="s">
        <v>13</v>
      </c>
      <c r="J205" t="s">
        <v>16</v>
      </c>
      <c r="K205" t="s">
        <v>3007</v>
      </c>
      <c r="L205" t="s">
        <v>3094</v>
      </c>
      <c r="M205" t="s">
        <v>3083</v>
      </c>
      <c r="N205" t="s">
        <v>3193</v>
      </c>
      <c r="O205" s="39" t="s">
        <v>3102</v>
      </c>
      <c r="P205" t="s">
        <v>707</v>
      </c>
      <c r="Q205" t="s">
        <v>1546</v>
      </c>
      <c r="R205" s="10">
        <v>900</v>
      </c>
      <c r="T205" t="s">
        <v>1870</v>
      </c>
    </row>
    <row r="206" spans="1:20" x14ac:dyDescent="0.35">
      <c r="A206">
        <v>2023</v>
      </c>
      <c r="B206" t="s">
        <v>772</v>
      </c>
      <c r="C206" t="s">
        <v>39</v>
      </c>
      <c r="D206" t="s">
        <v>41</v>
      </c>
      <c r="E206" t="s">
        <v>1316</v>
      </c>
      <c r="G206" t="s">
        <v>2151</v>
      </c>
      <c r="H206" s="37" t="s">
        <v>11</v>
      </c>
      <c r="I206" s="37" t="s">
        <v>13</v>
      </c>
      <c r="J206" t="s">
        <v>16</v>
      </c>
      <c r="K206" t="s">
        <v>3007</v>
      </c>
      <c r="L206" t="s">
        <v>3094</v>
      </c>
      <c r="M206" t="s">
        <v>3083</v>
      </c>
      <c r="N206" t="s">
        <v>3103</v>
      </c>
      <c r="O206" s="39" t="s">
        <v>3104</v>
      </c>
      <c r="P206" t="s">
        <v>707</v>
      </c>
      <c r="Q206" t="s">
        <v>1546</v>
      </c>
      <c r="R206" s="10">
        <v>321.7</v>
      </c>
      <c r="T206" t="s">
        <v>1870</v>
      </c>
    </row>
    <row r="207" spans="1:20" x14ac:dyDescent="0.35">
      <c r="A207">
        <v>2023</v>
      </c>
      <c r="B207" t="s">
        <v>772</v>
      </c>
      <c r="C207" t="s">
        <v>39</v>
      </c>
      <c r="D207" t="s">
        <v>41</v>
      </c>
      <c r="E207" t="s">
        <v>1316</v>
      </c>
      <c r="G207" t="s">
        <v>2151</v>
      </c>
      <c r="H207" s="37" t="s">
        <v>11</v>
      </c>
      <c r="I207" s="37" t="s">
        <v>13</v>
      </c>
      <c r="J207" t="s">
        <v>16</v>
      </c>
      <c r="K207" t="s">
        <v>3007</v>
      </c>
      <c r="L207" t="s">
        <v>3094</v>
      </c>
      <c r="M207" t="s">
        <v>3083</v>
      </c>
      <c r="N207" t="s">
        <v>3013</v>
      </c>
      <c r="O207" s="39" t="s">
        <v>3090</v>
      </c>
      <c r="P207" t="s">
        <v>707</v>
      </c>
      <c r="Q207" t="s">
        <v>1546</v>
      </c>
      <c r="R207" s="10">
        <v>1.1000000000000001E-3</v>
      </c>
      <c r="T207" t="s">
        <v>1870</v>
      </c>
    </row>
    <row r="208" spans="1:20" x14ac:dyDescent="0.35">
      <c r="A208">
        <v>2023</v>
      </c>
      <c r="B208" t="s">
        <v>772</v>
      </c>
      <c r="C208" t="s">
        <v>39</v>
      </c>
      <c r="D208" t="s">
        <v>41</v>
      </c>
      <c r="E208" t="s">
        <v>1316</v>
      </c>
      <c r="G208" t="s">
        <v>2151</v>
      </c>
      <c r="H208" s="37" t="s">
        <v>11</v>
      </c>
      <c r="I208" s="37" t="s">
        <v>13</v>
      </c>
      <c r="J208" t="s">
        <v>16</v>
      </c>
      <c r="K208" t="s">
        <v>3007</v>
      </c>
      <c r="L208" t="s">
        <v>3094</v>
      </c>
      <c r="M208" t="s">
        <v>3083</v>
      </c>
      <c r="N208" t="s">
        <v>1637</v>
      </c>
      <c r="O208" s="39" t="s">
        <v>3091</v>
      </c>
      <c r="P208" t="s">
        <v>707</v>
      </c>
      <c r="Q208" t="s">
        <v>1546</v>
      </c>
      <c r="R208" s="25">
        <v>4.8</v>
      </c>
      <c r="T208" t="s">
        <v>1870</v>
      </c>
    </row>
    <row r="209" spans="1:20" x14ac:dyDescent="0.35">
      <c r="A209">
        <v>2023</v>
      </c>
      <c r="B209" t="s">
        <v>772</v>
      </c>
      <c r="C209" t="s">
        <v>39</v>
      </c>
      <c r="D209" t="s">
        <v>41</v>
      </c>
      <c r="E209" t="s">
        <v>1316</v>
      </c>
      <c r="G209" t="s">
        <v>2151</v>
      </c>
      <c r="H209" s="37" t="s">
        <v>11</v>
      </c>
      <c r="I209" s="37" t="s">
        <v>13</v>
      </c>
      <c r="J209" t="s">
        <v>16</v>
      </c>
      <c r="K209" t="s">
        <v>3007</v>
      </c>
      <c r="L209" t="s">
        <v>3094</v>
      </c>
      <c r="M209" t="s">
        <v>3083</v>
      </c>
      <c r="N209" t="s">
        <v>3188</v>
      </c>
      <c r="O209" s="39" t="s">
        <v>3073</v>
      </c>
      <c r="P209" t="s">
        <v>707</v>
      </c>
      <c r="Q209" t="s">
        <v>1546</v>
      </c>
      <c r="R209" s="10">
        <v>2.4</v>
      </c>
      <c r="T209" t="s">
        <v>1870</v>
      </c>
    </row>
    <row r="210" spans="1:20" x14ac:dyDescent="0.35">
      <c r="A210">
        <v>2023</v>
      </c>
      <c r="B210" t="s">
        <v>772</v>
      </c>
      <c r="C210" t="s">
        <v>39</v>
      </c>
      <c r="D210" t="s">
        <v>41</v>
      </c>
      <c r="E210" t="s">
        <v>1316</v>
      </c>
      <c r="G210" t="s">
        <v>2151</v>
      </c>
      <c r="H210" s="37" t="s">
        <v>11</v>
      </c>
      <c r="I210" s="37" t="s">
        <v>13</v>
      </c>
      <c r="J210" t="s">
        <v>16</v>
      </c>
      <c r="K210" t="s">
        <v>3006</v>
      </c>
      <c r="L210" t="s">
        <v>3096</v>
      </c>
      <c r="M210" t="s">
        <v>3083</v>
      </c>
      <c r="N210" t="s">
        <v>3006</v>
      </c>
      <c r="O210" s="39" t="s">
        <v>3086</v>
      </c>
      <c r="P210" s="27" t="s">
        <v>1749</v>
      </c>
      <c r="Q210" t="s">
        <v>1617</v>
      </c>
      <c r="R210" s="10">
        <v>3232.4589999999998</v>
      </c>
      <c r="S210" s="27" t="s">
        <v>1749</v>
      </c>
      <c r="T210" t="s">
        <v>1870</v>
      </c>
    </row>
    <row r="211" spans="1:20" x14ac:dyDescent="0.35">
      <c r="A211">
        <v>2023</v>
      </c>
      <c r="B211" t="s">
        <v>772</v>
      </c>
      <c r="C211" t="s">
        <v>39</v>
      </c>
      <c r="D211" t="s">
        <v>41</v>
      </c>
      <c r="E211" t="s">
        <v>1316</v>
      </c>
      <c r="G211" t="s">
        <v>2151</v>
      </c>
      <c r="H211" s="37" t="s">
        <v>11</v>
      </c>
      <c r="I211" s="37" t="s">
        <v>13</v>
      </c>
      <c r="J211" t="s">
        <v>16</v>
      </c>
      <c r="K211" t="s">
        <v>3006</v>
      </c>
      <c r="L211" t="s">
        <v>3097</v>
      </c>
      <c r="M211" t="s">
        <v>3083</v>
      </c>
      <c r="N211" t="s">
        <v>3006</v>
      </c>
      <c r="O211" s="39" t="s">
        <v>3086</v>
      </c>
      <c r="P211" s="27" t="s">
        <v>1680</v>
      </c>
      <c r="Q211" t="s">
        <v>1617</v>
      </c>
      <c r="R211" s="10">
        <v>2226.0140000000001</v>
      </c>
      <c r="S211" s="27" t="s">
        <v>1680</v>
      </c>
      <c r="T211" t="s">
        <v>1870</v>
      </c>
    </row>
    <row r="212" spans="1:20" x14ac:dyDescent="0.35">
      <c r="A212">
        <v>2023</v>
      </c>
      <c r="B212" t="s">
        <v>772</v>
      </c>
      <c r="C212" t="s">
        <v>39</v>
      </c>
      <c r="D212" t="s">
        <v>41</v>
      </c>
      <c r="E212" t="s">
        <v>1316</v>
      </c>
      <c r="G212" t="s">
        <v>2151</v>
      </c>
      <c r="H212" s="37" t="s">
        <v>11</v>
      </c>
      <c r="I212" s="37" t="s">
        <v>13</v>
      </c>
      <c r="J212" t="s">
        <v>16</v>
      </c>
      <c r="K212" t="s">
        <v>3006</v>
      </c>
      <c r="L212" t="s">
        <v>3098</v>
      </c>
      <c r="M212" t="s">
        <v>3083</v>
      </c>
      <c r="N212" t="s">
        <v>3006</v>
      </c>
      <c r="O212" s="39" t="s">
        <v>3086</v>
      </c>
      <c r="P212" s="27" t="s">
        <v>1750</v>
      </c>
      <c r="Q212" t="s">
        <v>1617</v>
      </c>
      <c r="R212" s="10">
        <v>1006.4450000000001</v>
      </c>
      <c r="S212" s="27" t="s">
        <v>1750</v>
      </c>
      <c r="T212" t="s">
        <v>1870</v>
      </c>
    </row>
    <row r="213" spans="1:20" x14ac:dyDescent="0.35">
      <c r="A213">
        <v>2023</v>
      </c>
      <c r="B213" t="s">
        <v>772</v>
      </c>
      <c r="C213" t="s">
        <v>39</v>
      </c>
      <c r="D213" t="s">
        <v>41</v>
      </c>
      <c r="E213" t="s">
        <v>1316</v>
      </c>
      <c r="G213" t="s">
        <v>2151</v>
      </c>
      <c r="H213" s="37" t="s">
        <v>11</v>
      </c>
      <c r="I213" s="37" t="s">
        <v>13</v>
      </c>
      <c r="J213" t="s">
        <v>16</v>
      </c>
      <c r="K213" t="s">
        <v>3005</v>
      </c>
      <c r="L213" t="s">
        <v>3095</v>
      </c>
      <c r="O213" s="39"/>
      <c r="P213" t="s">
        <v>1738</v>
      </c>
      <c r="Q213" t="s">
        <v>1629</v>
      </c>
      <c r="R213" s="10">
        <v>398.06040000000002</v>
      </c>
      <c r="S213" t="s">
        <v>1738</v>
      </c>
      <c r="T213" t="s">
        <v>1870</v>
      </c>
    </row>
    <row r="214" spans="1:20" ht="15.5" x14ac:dyDescent="0.35">
      <c r="A214">
        <v>2023</v>
      </c>
      <c r="B214" t="s">
        <v>772</v>
      </c>
      <c r="C214" t="s">
        <v>39</v>
      </c>
      <c r="D214" t="s">
        <v>78</v>
      </c>
      <c r="E214" t="s">
        <v>1321</v>
      </c>
      <c r="G214" t="s">
        <v>2151</v>
      </c>
      <c r="H214" s="37" t="s">
        <v>11</v>
      </c>
      <c r="I214" s="37" t="s">
        <v>21</v>
      </c>
      <c r="J214" t="s">
        <v>64</v>
      </c>
      <c r="K214" t="s">
        <v>3007</v>
      </c>
      <c r="L214" t="s">
        <v>3094</v>
      </c>
      <c r="M214" t="s">
        <v>3082</v>
      </c>
      <c r="N214" t="s">
        <v>3189</v>
      </c>
      <c r="O214" s="39" t="s">
        <v>3067</v>
      </c>
      <c r="P214" t="s">
        <v>707</v>
      </c>
      <c r="Q214" t="s">
        <v>1546</v>
      </c>
      <c r="R214" s="24">
        <v>5.6701E-3</v>
      </c>
      <c r="T214" t="s">
        <v>1870</v>
      </c>
    </row>
    <row r="215" spans="1:20" ht="15.5" x14ac:dyDescent="0.35">
      <c r="A215">
        <v>2023</v>
      </c>
      <c r="B215" t="s">
        <v>772</v>
      </c>
      <c r="C215" t="s">
        <v>39</v>
      </c>
      <c r="D215" t="s">
        <v>78</v>
      </c>
      <c r="E215" t="s">
        <v>1321</v>
      </c>
      <c r="G215" t="s">
        <v>2151</v>
      </c>
      <c r="H215" s="37" t="s">
        <v>11</v>
      </c>
      <c r="I215" s="37" t="s">
        <v>21</v>
      </c>
      <c r="J215" t="s">
        <v>64</v>
      </c>
      <c r="K215" t="s">
        <v>3007</v>
      </c>
      <c r="L215" t="s">
        <v>3094</v>
      </c>
      <c r="M215" t="s">
        <v>3082</v>
      </c>
      <c r="N215" t="s">
        <v>3194</v>
      </c>
      <c r="O215" s="39" t="s">
        <v>3068</v>
      </c>
      <c r="P215" t="s">
        <v>707</v>
      </c>
      <c r="Q215" t="s">
        <v>1546</v>
      </c>
      <c r="R215" s="24">
        <v>226.22</v>
      </c>
      <c r="T215" t="s">
        <v>1870</v>
      </c>
    </row>
    <row r="216" spans="1:20" x14ac:dyDescent="0.35">
      <c r="A216">
        <v>2023</v>
      </c>
      <c r="B216" t="s">
        <v>772</v>
      </c>
      <c r="C216" t="s">
        <v>39</v>
      </c>
      <c r="D216" t="s">
        <v>78</v>
      </c>
      <c r="E216" t="s">
        <v>1321</v>
      </c>
      <c r="G216" t="s">
        <v>2151</v>
      </c>
      <c r="H216" s="37" t="s">
        <v>11</v>
      </c>
      <c r="I216" s="37" t="s">
        <v>21</v>
      </c>
      <c r="J216" t="s">
        <v>64</v>
      </c>
      <c r="K216" t="s">
        <v>3007</v>
      </c>
      <c r="L216" t="s">
        <v>3094</v>
      </c>
      <c r="M216" t="s">
        <v>3083</v>
      </c>
      <c r="N216" t="s">
        <v>3066</v>
      </c>
      <c r="O216" s="39" t="s">
        <v>3085</v>
      </c>
      <c r="P216" t="s">
        <v>1605</v>
      </c>
      <c r="Q216" t="s">
        <v>1635</v>
      </c>
      <c r="R216" s="10">
        <v>40394.416907685103</v>
      </c>
      <c r="S216" t="s">
        <v>1605</v>
      </c>
      <c r="T216" t="s">
        <v>1870</v>
      </c>
    </row>
    <row r="217" spans="1:20" x14ac:dyDescent="0.35">
      <c r="A217">
        <v>2023</v>
      </c>
      <c r="B217" t="s">
        <v>772</v>
      </c>
      <c r="C217" t="s">
        <v>39</v>
      </c>
      <c r="D217" t="s">
        <v>78</v>
      </c>
      <c r="E217" t="s">
        <v>1321</v>
      </c>
      <c r="G217" t="s">
        <v>2151</v>
      </c>
      <c r="H217" s="37" t="s">
        <v>11</v>
      </c>
      <c r="I217" s="37" t="s">
        <v>21</v>
      </c>
      <c r="J217" t="s">
        <v>64</v>
      </c>
      <c r="K217" t="s">
        <v>3007</v>
      </c>
      <c r="L217" t="s">
        <v>3094</v>
      </c>
      <c r="M217" t="s">
        <v>3083</v>
      </c>
      <c r="N217" t="s">
        <v>3066</v>
      </c>
      <c r="O217" s="39" t="s">
        <v>3085</v>
      </c>
      <c r="P217" t="s">
        <v>1606</v>
      </c>
      <c r="Q217" t="s">
        <v>1635</v>
      </c>
      <c r="R217" s="10">
        <v>3597.5544</v>
      </c>
      <c r="S217" t="s">
        <v>1606</v>
      </c>
      <c r="T217" t="s">
        <v>1870</v>
      </c>
    </row>
    <row r="218" spans="1:20" x14ac:dyDescent="0.35">
      <c r="A218">
        <v>2023</v>
      </c>
      <c r="B218" t="s">
        <v>772</v>
      </c>
      <c r="C218" t="s">
        <v>39</v>
      </c>
      <c r="D218" t="s">
        <v>78</v>
      </c>
      <c r="E218" t="s">
        <v>1321</v>
      </c>
      <c r="G218" t="s">
        <v>2151</v>
      </c>
      <c r="H218" s="37" t="s">
        <v>11</v>
      </c>
      <c r="I218" s="37" t="s">
        <v>21</v>
      </c>
      <c r="J218" t="s">
        <v>64</v>
      </c>
      <c r="K218" t="s">
        <v>3007</v>
      </c>
      <c r="L218" t="s">
        <v>3094</v>
      </c>
      <c r="M218" t="s">
        <v>3083</v>
      </c>
      <c r="N218" t="s">
        <v>3066</v>
      </c>
      <c r="O218" s="39" t="s">
        <v>3085</v>
      </c>
      <c r="P218" t="s">
        <v>1607</v>
      </c>
      <c r="Q218" t="s">
        <v>1635</v>
      </c>
      <c r="R218" s="10">
        <v>71787.549598278507</v>
      </c>
      <c r="S218" t="s">
        <v>1607</v>
      </c>
      <c r="T218" t="s">
        <v>1870</v>
      </c>
    </row>
    <row r="219" spans="1:20" ht="15.5" x14ac:dyDescent="0.35">
      <c r="A219">
        <v>2023</v>
      </c>
      <c r="B219" t="s">
        <v>772</v>
      </c>
      <c r="C219" t="s">
        <v>39</v>
      </c>
      <c r="D219" t="s">
        <v>78</v>
      </c>
      <c r="E219" t="s">
        <v>1321</v>
      </c>
      <c r="G219" t="s">
        <v>2151</v>
      </c>
      <c r="H219" s="37" t="s">
        <v>11</v>
      </c>
      <c r="I219" s="37" t="s">
        <v>21</v>
      </c>
      <c r="J219" t="s">
        <v>64</v>
      </c>
      <c r="K219" t="s">
        <v>3007</v>
      </c>
      <c r="L219" t="s">
        <v>3094</v>
      </c>
      <c r="M219" t="s">
        <v>3082</v>
      </c>
      <c r="N219" t="s">
        <v>3191</v>
      </c>
      <c r="O219" s="39" t="s">
        <v>3069</v>
      </c>
      <c r="P219" t="s">
        <v>707</v>
      </c>
      <c r="Q219" t="s">
        <v>1546</v>
      </c>
      <c r="R219" s="24">
        <v>8.9913300000000002E-2</v>
      </c>
      <c r="T219" t="s">
        <v>1870</v>
      </c>
    </row>
    <row r="220" spans="1:20" ht="15.5" x14ac:dyDescent="0.35">
      <c r="A220">
        <v>2023</v>
      </c>
      <c r="B220" t="s">
        <v>772</v>
      </c>
      <c r="C220" t="s">
        <v>39</v>
      </c>
      <c r="D220" t="s">
        <v>78</v>
      </c>
      <c r="E220" t="s">
        <v>1321</v>
      </c>
      <c r="G220" t="s">
        <v>2151</v>
      </c>
      <c r="H220" s="37" t="s">
        <v>11</v>
      </c>
      <c r="I220" s="37" t="s">
        <v>21</v>
      </c>
      <c r="J220" t="s">
        <v>64</v>
      </c>
      <c r="K220" t="s">
        <v>3007</v>
      </c>
      <c r="L220" t="s">
        <v>3094</v>
      </c>
      <c r="M220" t="s">
        <v>3082</v>
      </c>
      <c r="N220" t="s">
        <v>3190</v>
      </c>
      <c r="O220" s="39" t="s">
        <v>3071</v>
      </c>
      <c r="P220" t="s">
        <v>707</v>
      </c>
      <c r="Q220" t="s">
        <v>1546</v>
      </c>
      <c r="R220" s="24">
        <v>2.7129999999999998E-4</v>
      </c>
      <c r="T220" t="s">
        <v>1870</v>
      </c>
    </row>
    <row r="221" spans="1:20" ht="15.5" x14ac:dyDescent="0.35">
      <c r="A221">
        <v>2023</v>
      </c>
      <c r="B221" t="s">
        <v>772</v>
      </c>
      <c r="C221" t="s">
        <v>39</v>
      </c>
      <c r="D221" t="s">
        <v>78</v>
      </c>
      <c r="E221" t="s">
        <v>1321</v>
      </c>
      <c r="G221" t="s">
        <v>2151</v>
      </c>
      <c r="H221" s="37" t="s">
        <v>11</v>
      </c>
      <c r="I221" s="37" t="s">
        <v>21</v>
      </c>
      <c r="J221" t="s">
        <v>64</v>
      </c>
      <c r="K221" t="s">
        <v>3007</v>
      </c>
      <c r="L221" t="s">
        <v>3094</v>
      </c>
      <c r="M221" t="s">
        <v>3083</v>
      </c>
      <c r="N221" t="s">
        <v>1636</v>
      </c>
      <c r="O221" s="39" t="s">
        <v>3087</v>
      </c>
      <c r="P221" t="s">
        <v>707</v>
      </c>
      <c r="Q221" t="s">
        <v>1546</v>
      </c>
      <c r="R221" s="24">
        <v>298.29599999999999</v>
      </c>
      <c r="T221" t="s">
        <v>1870</v>
      </c>
    </row>
    <row r="222" spans="1:20" ht="15.5" x14ac:dyDescent="0.35">
      <c r="A222">
        <v>2023</v>
      </c>
      <c r="B222" t="s">
        <v>772</v>
      </c>
      <c r="C222" t="s">
        <v>39</v>
      </c>
      <c r="D222" t="s">
        <v>78</v>
      </c>
      <c r="E222" t="s">
        <v>1321</v>
      </c>
      <c r="G222" t="s">
        <v>2151</v>
      </c>
      <c r="H222" s="37" t="s">
        <v>11</v>
      </c>
      <c r="I222" s="37" t="s">
        <v>21</v>
      </c>
      <c r="J222" t="s">
        <v>64</v>
      </c>
      <c r="K222" t="s">
        <v>3007</v>
      </c>
      <c r="L222" t="s">
        <v>3094</v>
      </c>
      <c r="M222" t="s">
        <v>3083</v>
      </c>
      <c r="N222" t="s">
        <v>3193</v>
      </c>
      <c r="O222" s="39" t="s">
        <v>3102</v>
      </c>
      <c r="P222" t="s">
        <v>707</v>
      </c>
      <c r="Q222" t="s">
        <v>1546</v>
      </c>
      <c r="R222" s="24">
        <v>72.34</v>
      </c>
      <c r="T222" t="s">
        <v>1870</v>
      </c>
    </row>
    <row r="223" spans="1:20" ht="14.4" customHeight="1" x14ac:dyDescent="0.35">
      <c r="A223">
        <v>2023</v>
      </c>
      <c r="B223" t="s">
        <v>772</v>
      </c>
      <c r="C223" t="s">
        <v>39</v>
      </c>
      <c r="D223" t="s">
        <v>78</v>
      </c>
      <c r="E223" t="s">
        <v>1321</v>
      </c>
      <c r="G223" t="s">
        <v>2151</v>
      </c>
      <c r="H223" s="37" t="s">
        <v>11</v>
      </c>
      <c r="I223" s="37" t="s">
        <v>21</v>
      </c>
      <c r="J223" t="s">
        <v>64</v>
      </c>
      <c r="K223" t="s">
        <v>3007</v>
      </c>
      <c r="L223" t="s">
        <v>3094</v>
      </c>
      <c r="M223" t="s">
        <v>3083</v>
      </c>
      <c r="N223" t="s">
        <v>3103</v>
      </c>
      <c r="O223" s="39" t="s">
        <v>3104</v>
      </c>
      <c r="P223" t="s">
        <v>707</v>
      </c>
      <c r="Q223" t="s">
        <v>1546</v>
      </c>
      <c r="R223" s="24">
        <v>36.22</v>
      </c>
      <c r="T223" t="s">
        <v>1870</v>
      </c>
    </row>
    <row r="224" spans="1:20" ht="14.4" customHeight="1" x14ac:dyDescent="0.35">
      <c r="A224">
        <v>2023</v>
      </c>
      <c r="B224" t="s">
        <v>772</v>
      </c>
      <c r="C224" t="s">
        <v>39</v>
      </c>
      <c r="D224" t="s">
        <v>78</v>
      </c>
      <c r="E224" t="s">
        <v>1321</v>
      </c>
      <c r="G224" t="s">
        <v>2151</v>
      </c>
      <c r="H224" s="37" t="s">
        <v>11</v>
      </c>
      <c r="I224" s="37" t="s">
        <v>21</v>
      </c>
      <c r="J224" t="s">
        <v>64</v>
      </c>
      <c r="K224" t="s">
        <v>3007</v>
      </c>
      <c r="L224" t="s">
        <v>3094</v>
      </c>
      <c r="M224" t="s">
        <v>3083</v>
      </c>
      <c r="N224" t="s">
        <v>3192</v>
      </c>
      <c r="O224" s="39" t="s">
        <v>3072</v>
      </c>
      <c r="P224" t="s">
        <v>707</v>
      </c>
      <c r="Q224" t="s">
        <v>1546</v>
      </c>
      <c r="R224" s="24">
        <v>7.1409999999999996E-4</v>
      </c>
      <c r="T224" t="s">
        <v>1870</v>
      </c>
    </row>
    <row r="225" spans="1:20" ht="15.5" x14ac:dyDescent="0.35">
      <c r="A225">
        <v>2023</v>
      </c>
      <c r="B225" t="s">
        <v>772</v>
      </c>
      <c r="C225" t="s">
        <v>39</v>
      </c>
      <c r="D225" t="s">
        <v>78</v>
      </c>
      <c r="E225" t="s">
        <v>1321</v>
      </c>
      <c r="G225" t="s">
        <v>2151</v>
      </c>
      <c r="H225" s="37" t="s">
        <v>11</v>
      </c>
      <c r="I225" s="37" t="s">
        <v>21</v>
      </c>
      <c r="J225" t="s">
        <v>64</v>
      </c>
      <c r="K225" t="s">
        <v>3007</v>
      </c>
      <c r="L225" t="s">
        <v>3094</v>
      </c>
      <c r="M225" t="s">
        <v>3083</v>
      </c>
      <c r="N225" t="s">
        <v>1637</v>
      </c>
      <c r="O225" s="39" t="s">
        <v>3091</v>
      </c>
      <c r="P225" t="s">
        <v>707</v>
      </c>
      <c r="Q225" t="s">
        <v>1546</v>
      </c>
      <c r="R225" s="24">
        <v>1.8779999999999999</v>
      </c>
      <c r="T225" t="s">
        <v>1870</v>
      </c>
    </row>
    <row r="226" spans="1:20" ht="15.5" x14ac:dyDescent="0.35">
      <c r="A226">
        <v>2023</v>
      </c>
      <c r="B226" t="s">
        <v>772</v>
      </c>
      <c r="C226" t="s">
        <v>39</v>
      </c>
      <c r="D226" t="s">
        <v>78</v>
      </c>
      <c r="E226" t="s">
        <v>1321</v>
      </c>
      <c r="G226" t="s">
        <v>2151</v>
      </c>
      <c r="H226" s="37" t="s">
        <v>11</v>
      </c>
      <c r="I226" s="37" t="s">
        <v>21</v>
      </c>
      <c r="J226" t="s">
        <v>64</v>
      </c>
      <c r="K226" t="s">
        <v>3007</v>
      </c>
      <c r="L226" t="s">
        <v>3094</v>
      </c>
      <c r="M226" t="s">
        <v>3083</v>
      </c>
      <c r="N226" t="s">
        <v>3188</v>
      </c>
      <c r="O226" s="39" t="s">
        <v>3073</v>
      </c>
      <c r="P226" t="s">
        <v>707</v>
      </c>
      <c r="Q226" t="s">
        <v>1546</v>
      </c>
      <c r="R226" s="24">
        <v>4.625</v>
      </c>
      <c r="T226" t="s">
        <v>1870</v>
      </c>
    </row>
    <row r="227" spans="1:20" x14ac:dyDescent="0.35">
      <c r="A227">
        <v>2023</v>
      </c>
      <c r="B227" t="s">
        <v>772</v>
      </c>
      <c r="C227" t="s">
        <v>39</v>
      </c>
      <c r="D227" t="s">
        <v>78</v>
      </c>
      <c r="E227" t="s">
        <v>1321</v>
      </c>
      <c r="G227" t="s">
        <v>2151</v>
      </c>
      <c r="H227" s="37" t="s">
        <v>11</v>
      </c>
      <c r="I227" s="37" t="s">
        <v>21</v>
      </c>
      <c r="J227" t="s">
        <v>64</v>
      </c>
      <c r="K227" t="s">
        <v>3006</v>
      </c>
      <c r="L227" t="s">
        <v>3096</v>
      </c>
      <c r="M227" t="s">
        <v>3083</v>
      </c>
      <c r="N227" t="s">
        <v>3006</v>
      </c>
      <c r="O227" s="39" t="s">
        <v>3086</v>
      </c>
      <c r="P227" s="27" t="s">
        <v>1749</v>
      </c>
      <c r="Q227" t="s">
        <v>1617</v>
      </c>
      <c r="R227" s="10">
        <v>1552.3931809999999</v>
      </c>
      <c r="S227" s="27" t="s">
        <v>1749</v>
      </c>
      <c r="T227" t="s">
        <v>1870</v>
      </c>
    </row>
    <row r="228" spans="1:20" x14ac:dyDescent="0.35">
      <c r="A228">
        <v>2023</v>
      </c>
      <c r="B228" t="s">
        <v>772</v>
      </c>
      <c r="C228" t="s">
        <v>39</v>
      </c>
      <c r="D228" t="s">
        <v>78</v>
      </c>
      <c r="E228" t="s">
        <v>1321</v>
      </c>
      <c r="G228" t="s">
        <v>2151</v>
      </c>
      <c r="H228" s="37" t="s">
        <v>11</v>
      </c>
      <c r="I228" s="37" t="s">
        <v>21</v>
      </c>
      <c r="J228" t="s">
        <v>64</v>
      </c>
      <c r="K228" t="s">
        <v>3006</v>
      </c>
      <c r="L228" t="s">
        <v>3097</v>
      </c>
      <c r="M228" t="s">
        <v>3083</v>
      </c>
      <c r="N228" t="s">
        <v>3006</v>
      </c>
      <c r="O228" s="39" t="s">
        <v>3086</v>
      </c>
      <c r="P228" s="27" t="s">
        <v>1680</v>
      </c>
      <c r="Q228" t="s">
        <v>1617</v>
      </c>
      <c r="R228" s="10">
        <v>1543.3544999999999</v>
      </c>
      <c r="S228" s="27" t="s">
        <v>1680</v>
      </c>
      <c r="T228" t="s">
        <v>1870</v>
      </c>
    </row>
    <row r="229" spans="1:20" x14ac:dyDescent="0.35">
      <c r="A229">
        <v>2023</v>
      </c>
      <c r="B229" t="s">
        <v>772</v>
      </c>
      <c r="C229" t="s">
        <v>39</v>
      </c>
      <c r="D229" t="s">
        <v>78</v>
      </c>
      <c r="E229" t="s">
        <v>1321</v>
      </c>
      <c r="G229" t="s">
        <v>2151</v>
      </c>
      <c r="H229" s="37" t="s">
        <v>11</v>
      </c>
      <c r="I229" s="37" t="s">
        <v>21</v>
      </c>
      <c r="J229" t="s">
        <v>64</v>
      </c>
      <c r="K229" t="s">
        <v>3006</v>
      </c>
      <c r="L229" t="s">
        <v>3098</v>
      </c>
      <c r="M229" t="s">
        <v>3083</v>
      </c>
      <c r="N229" t="s">
        <v>3006</v>
      </c>
      <c r="O229" s="39" t="s">
        <v>3086</v>
      </c>
      <c r="P229" s="27" t="s">
        <v>1750</v>
      </c>
      <c r="Q229" t="s">
        <v>1617</v>
      </c>
      <c r="R229" s="10">
        <v>562.15918099999999</v>
      </c>
      <c r="S229" s="27" t="s">
        <v>1750</v>
      </c>
      <c r="T229" t="s">
        <v>1870</v>
      </c>
    </row>
    <row r="230" spans="1:20" x14ac:dyDescent="0.35">
      <c r="A230">
        <v>2023</v>
      </c>
      <c r="B230" t="s">
        <v>772</v>
      </c>
      <c r="C230" t="s">
        <v>39</v>
      </c>
      <c r="D230" t="s">
        <v>78</v>
      </c>
      <c r="E230" t="s">
        <v>1321</v>
      </c>
      <c r="G230" t="s">
        <v>2151</v>
      </c>
      <c r="H230" s="37" t="s">
        <v>11</v>
      </c>
      <c r="I230" s="37" t="s">
        <v>21</v>
      </c>
      <c r="J230" t="s">
        <v>64</v>
      </c>
      <c r="K230" t="s">
        <v>3005</v>
      </c>
      <c r="L230" t="s">
        <v>3095</v>
      </c>
      <c r="O230" s="39"/>
      <c r="P230" t="s">
        <v>1738</v>
      </c>
      <c r="Q230" t="s">
        <v>1629</v>
      </c>
      <c r="R230" s="10">
        <v>701.81</v>
      </c>
      <c r="S230" t="s">
        <v>1738</v>
      </c>
      <c r="T230" t="s">
        <v>1870</v>
      </c>
    </row>
    <row r="231" spans="1:20" x14ac:dyDescent="0.35">
      <c r="A231">
        <v>2023</v>
      </c>
      <c r="B231" t="s">
        <v>1537</v>
      </c>
      <c r="C231" t="s">
        <v>39</v>
      </c>
      <c r="D231" t="s">
        <v>1587</v>
      </c>
      <c r="F231" t="s">
        <v>1754</v>
      </c>
      <c r="G231" t="s">
        <v>2151</v>
      </c>
      <c r="H231" s="37" t="s">
        <v>11</v>
      </c>
      <c r="I231" s="37" t="s">
        <v>17</v>
      </c>
      <c r="J231" t="s">
        <v>16</v>
      </c>
      <c r="K231" t="s">
        <v>3007</v>
      </c>
      <c r="L231" t="s">
        <v>3094</v>
      </c>
      <c r="M231" t="s">
        <v>3082</v>
      </c>
      <c r="N231" t="s">
        <v>3189</v>
      </c>
      <c r="O231" s="39" t="s">
        <v>3067</v>
      </c>
      <c r="P231" t="s">
        <v>707</v>
      </c>
      <c r="Q231" t="s">
        <v>1546</v>
      </c>
      <c r="R231" s="26">
        <v>0.03</v>
      </c>
      <c r="T231" t="s">
        <v>1870</v>
      </c>
    </row>
    <row r="232" spans="1:20" x14ac:dyDescent="0.35">
      <c r="A232">
        <v>2023</v>
      </c>
      <c r="B232" t="s">
        <v>1537</v>
      </c>
      <c r="C232" t="s">
        <v>39</v>
      </c>
      <c r="D232" t="s">
        <v>1587</v>
      </c>
      <c r="F232" t="s">
        <v>1754</v>
      </c>
      <c r="G232" t="s">
        <v>2151</v>
      </c>
      <c r="H232" s="37" t="s">
        <v>11</v>
      </c>
      <c r="I232" s="37" t="s">
        <v>17</v>
      </c>
      <c r="J232" t="s">
        <v>16</v>
      </c>
      <c r="K232" t="s">
        <v>3007</v>
      </c>
      <c r="L232" t="s">
        <v>3094</v>
      </c>
      <c r="M232" t="s">
        <v>3082</v>
      </c>
      <c r="N232" t="s">
        <v>3194</v>
      </c>
      <c r="O232" s="39" t="s">
        <v>3068</v>
      </c>
      <c r="P232" t="s">
        <v>707</v>
      </c>
      <c r="Q232" t="s">
        <v>1546</v>
      </c>
      <c r="R232" s="26">
        <v>58.1</v>
      </c>
      <c r="T232" t="s">
        <v>1870</v>
      </c>
    </row>
    <row r="233" spans="1:20" x14ac:dyDescent="0.35">
      <c r="A233">
        <v>2023</v>
      </c>
      <c r="B233" t="s">
        <v>1537</v>
      </c>
      <c r="C233" t="s">
        <v>39</v>
      </c>
      <c r="D233" t="s">
        <v>1587</v>
      </c>
      <c r="F233" t="s">
        <v>1754</v>
      </c>
      <c r="G233" t="s">
        <v>2151</v>
      </c>
      <c r="H233" s="37" t="s">
        <v>11</v>
      </c>
      <c r="I233" s="37" t="s">
        <v>17</v>
      </c>
      <c r="J233" t="s">
        <v>16</v>
      </c>
      <c r="K233" t="s">
        <v>3007</v>
      </c>
      <c r="L233" t="s">
        <v>3094</v>
      </c>
      <c r="M233" t="s">
        <v>3083</v>
      </c>
      <c r="N233" t="s">
        <v>3066</v>
      </c>
      <c r="O233" s="39" t="s">
        <v>3085</v>
      </c>
      <c r="P233" t="s">
        <v>1605</v>
      </c>
      <c r="Q233" t="s">
        <v>1635</v>
      </c>
      <c r="R233" s="10">
        <v>57797.154413883101</v>
      </c>
      <c r="S233" t="s">
        <v>1605</v>
      </c>
      <c r="T233" t="s">
        <v>1870</v>
      </c>
    </row>
    <row r="234" spans="1:20" x14ac:dyDescent="0.35">
      <c r="A234">
        <v>2023</v>
      </c>
      <c r="B234" t="s">
        <v>1537</v>
      </c>
      <c r="C234" t="s">
        <v>39</v>
      </c>
      <c r="D234" t="s">
        <v>1587</v>
      </c>
      <c r="F234" t="s">
        <v>1754</v>
      </c>
      <c r="G234" t="s">
        <v>2151</v>
      </c>
      <c r="H234" s="37" t="s">
        <v>11</v>
      </c>
      <c r="I234" s="37" t="s">
        <v>17</v>
      </c>
      <c r="J234" t="s">
        <v>16</v>
      </c>
      <c r="K234" t="s">
        <v>3007</v>
      </c>
      <c r="L234" t="s">
        <v>3094</v>
      </c>
      <c r="M234" t="s">
        <v>3083</v>
      </c>
      <c r="N234" t="s">
        <v>3066</v>
      </c>
      <c r="O234" s="39" t="s">
        <v>3085</v>
      </c>
      <c r="P234" t="s">
        <v>1606</v>
      </c>
      <c r="Q234" t="s">
        <v>1635</v>
      </c>
      <c r="R234" s="10">
        <v>5107.9907999999996</v>
      </c>
      <c r="S234" t="s">
        <v>1606</v>
      </c>
      <c r="T234" t="s">
        <v>1870</v>
      </c>
    </row>
    <row r="235" spans="1:20" x14ac:dyDescent="0.35">
      <c r="A235">
        <v>2023</v>
      </c>
      <c r="B235" t="s">
        <v>1537</v>
      </c>
      <c r="C235" t="s">
        <v>39</v>
      </c>
      <c r="D235" t="s">
        <v>1587</v>
      </c>
      <c r="F235" t="s">
        <v>1754</v>
      </c>
      <c r="G235" t="s">
        <v>2151</v>
      </c>
      <c r="H235" s="37" t="s">
        <v>11</v>
      </c>
      <c r="I235" s="37" t="s">
        <v>17</v>
      </c>
      <c r="J235" t="s">
        <v>16</v>
      </c>
      <c r="K235" t="s">
        <v>3007</v>
      </c>
      <c r="L235" t="s">
        <v>3094</v>
      </c>
      <c r="M235" t="s">
        <v>3083</v>
      </c>
      <c r="N235" t="s">
        <v>3066</v>
      </c>
      <c r="O235" s="39" t="s">
        <v>3085</v>
      </c>
      <c r="P235" t="s">
        <v>1607</v>
      </c>
      <c r="Q235" t="s">
        <v>1635</v>
      </c>
      <c r="R235" s="10">
        <v>112774.455094777</v>
      </c>
      <c r="S235" t="s">
        <v>1607</v>
      </c>
      <c r="T235" t="s">
        <v>1870</v>
      </c>
    </row>
    <row r="236" spans="1:20" x14ac:dyDescent="0.35">
      <c r="A236">
        <v>2023</v>
      </c>
      <c r="B236" t="s">
        <v>1537</v>
      </c>
      <c r="C236" t="s">
        <v>39</v>
      </c>
      <c r="D236" t="s">
        <v>1587</v>
      </c>
      <c r="F236" t="s">
        <v>1754</v>
      </c>
      <c r="G236" t="s">
        <v>2151</v>
      </c>
      <c r="H236" s="37" t="s">
        <v>11</v>
      </c>
      <c r="I236" s="37" t="s">
        <v>17</v>
      </c>
      <c r="J236" t="s">
        <v>16</v>
      </c>
      <c r="K236" t="s">
        <v>3007</v>
      </c>
      <c r="L236" t="s">
        <v>3094</v>
      </c>
      <c r="M236" t="s">
        <v>3082</v>
      </c>
      <c r="N236" t="s">
        <v>3191</v>
      </c>
      <c r="O236" s="39" t="s">
        <v>3069</v>
      </c>
      <c r="P236" t="s">
        <v>707</v>
      </c>
      <c r="Q236" t="s">
        <v>1546</v>
      </c>
      <c r="R236" s="26">
        <v>0.06</v>
      </c>
      <c r="T236" t="s">
        <v>1870</v>
      </c>
    </row>
    <row r="237" spans="1:20" x14ac:dyDescent="0.35">
      <c r="A237">
        <v>2023</v>
      </c>
      <c r="B237" t="s">
        <v>1537</v>
      </c>
      <c r="C237" t="s">
        <v>39</v>
      </c>
      <c r="D237" t="s">
        <v>1587</v>
      </c>
      <c r="F237" t="s">
        <v>1754</v>
      </c>
      <c r="G237" t="s">
        <v>2151</v>
      </c>
      <c r="H237" s="37" t="s">
        <v>11</v>
      </c>
      <c r="I237" s="37" t="s">
        <v>17</v>
      </c>
      <c r="J237" t="s">
        <v>16</v>
      </c>
      <c r="K237" t="s">
        <v>3007</v>
      </c>
      <c r="L237" t="s">
        <v>3094</v>
      </c>
      <c r="M237" t="s">
        <v>3082</v>
      </c>
      <c r="N237" t="s">
        <v>3190</v>
      </c>
      <c r="O237" s="39" t="s">
        <v>3071</v>
      </c>
      <c r="P237" t="s">
        <v>707</v>
      </c>
      <c r="Q237" t="s">
        <v>1546</v>
      </c>
      <c r="R237" s="26">
        <v>0.09</v>
      </c>
      <c r="T237" t="s">
        <v>1870</v>
      </c>
    </row>
    <row r="238" spans="1:20" x14ac:dyDescent="0.35">
      <c r="A238">
        <v>2023</v>
      </c>
      <c r="B238" t="s">
        <v>1537</v>
      </c>
      <c r="C238" t="s">
        <v>39</v>
      </c>
      <c r="D238" t="s">
        <v>1587</v>
      </c>
      <c r="F238" t="s">
        <v>1754</v>
      </c>
      <c r="G238" t="s">
        <v>2151</v>
      </c>
      <c r="H238" s="37" t="s">
        <v>11</v>
      </c>
      <c r="I238" s="37" t="s">
        <v>17</v>
      </c>
      <c r="J238" t="s">
        <v>16</v>
      </c>
      <c r="K238" t="s">
        <v>3007</v>
      </c>
      <c r="L238" t="s">
        <v>3094</v>
      </c>
      <c r="M238" t="s">
        <v>3083</v>
      </c>
      <c r="N238" t="s">
        <v>1636</v>
      </c>
      <c r="O238" s="39" t="s">
        <v>3087</v>
      </c>
      <c r="P238" t="s">
        <v>707</v>
      </c>
      <c r="Q238" t="s">
        <v>1546</v>
      </c>
      <c r="R238" s="26">
        <v>113.09</v>
      </c>
      <c r="T238" t="s">
        <v>1870</v>
      </c>
    </row>
    <row r="239" spans="1:20" x14ac:dyDescent="0.35">
      <c r="A239">
        <v>2023</v>
      </c>
      <c r="B239" t="s">
        <v>1537</v>
      </c>
      <c r="C239" t="s">
        <v>39</v>
      </c>
      <c r="D239" t="s">
        <v>1587</v>
      </c>
      <c r="F239" t="s">
        <v>1754</v>
      </c>
      <c r="G239" t="s">
        <v>2151</v>
      </c>
      <c r="H239" s="37" t="s">
        <v>11</v>
      </c>
      <c r="I239" s="37" t="s">
        <v>17</v>
      </c>
      <c r="J239" t="s">
        <v>16</v>
      </c>
      <c r="K239" t="s">
        <v>3007</v>
      </c>
      <c r="L239" t="s">
        <v>3094</v>
      </c>
      <c r="M239" t="s">
        <v>3083</v>
      </c>
      <c r="N239" t="s">
        <v>3193</v>
      </c>
      <c r="O239" s="39" t="s">
        <v>3102</v>
      </c>
      <c r="P239" t="s">
        <v>707</v>
      </c>
      <c r="Q239" t="s">
        <v>1546</v>
      </c>
      <c r="R239" s="26">
        <v>25.99</v>
      </c>
      <c r="T239" t="s">
        <v>1870</v>
      </c>
    </row>
    <row r="240" spans="1:20" x14ac:dyDescent="0.35">
      <c r="A240">
        <v>2023</v>
      </c>
      <c r="B240" t="s">
        <v>1537</v>
      </c>
      <c r="C240" t="s">
        <v>39</v>
      </c>
      <c r="D240" t="s">
        <v>1587</v>
      </c>
      <c r="F240" t="s">
        <v>1754</v>
      </c>
      <c r="G240" t="s">
        <v>2151</v>
      </c>
      <c r="H240" s="37" t="s">
        <v>11</v>
      </c>
      <c r="I240" s="37" t="s">
        <v>17</v>
      </c>
      <c r="J240" t="s">
        <v>16</v>
      </c>
      <c r="K240" t="s">
        <v>3007</v>
      </c>
      <c r="L240" t="s">
        <v>3094</v>
      </c>
      <c r="M240" t="s">
        <v>3083</v>
      </c>
      <c r="N240" t="s">
        <v>3103</v>
      </c>
      <c r="O240" s="39" t="s">
        <v>3104</v>
      </c>
      <c r="P240" t="s">
        <v>707</v>
      </c>
      <c r="Q240" t="s">
        <v>1546</v>
      </c>
      <c r="R240" s="26">
        <v>13.74</v>
      </c>
      <c r="T240" t="s">
        <v>1870</v>
      </c>
    </row>
    <row r="241" spans="1:20" x14ac:dyDescent="0.35">
      <c r="A241">
        <v>2023</v>
      </c>
      <c r="B241" t="s">
        <v>1537</v>
      </c>
      <c r="C241" t="s">
        <v>39</v>
      </c>
      <c r="D241" t="s">
        <v>1587</v>
      </c>
      <c r="F241" t="s">
        <v>1754</v>
      </c>
      <c r="G241" t="s">
        <v>2151</v>
      </c>
      <c r="H241" s="37" t="s">
        <v>11</v>
      </c>
      <c r="I241" s="37" t="s">
        <v>17</v>
      </c>
      <c r="J241" t="s">
        <v>16</v>
      </c>
      <c r="K241" t="s">
        <v>3007</v>
      </c>
      <c r="L241" t="s">
        <v>3094</v>
      </c>
      <c r="M241" t="s">
        <v>3083</v>
      </c>
      <c r="N241" t="s">
        <v>1637</v>
      </c>
      <c r="O241" s="39" t="s">
        <v>3091</v>
      </c>
      <c r="P241" t="s">
        <v>707</v>
      </c>
      <c r="Q241" t="s">
        <v>1546</v>
      </c>
      <c r="R241" s="26">
        <v>0.44</v>
      </c>
      <c r="T241" t="s">
        <v>1870</v>
      </c>
    </row>
    <row r="242" spans="1:20" x14ac:dyDescent="0.35">
      <c r="A242">
        <v>2023</v>
      </c>
      <c r="B242" t="s">
        <v>1537</v>
      </c>
      <c r="C242" t="s">
        <v>39</v>
      </c>
      <c r="D242" t="s">
        <v>1587</v>
      </c>
      <c r="F242" t="s">
        <v>1754</v>
      </c>
      <c r="G242" t="s">
        <v>2151</v>
      </c>
      <c r="H242" s="37" t="s">
        <v>11</v>
      </c>
      <c r="I242" s="37" t="s">
        <v>17</v>
      </c>
      <c r="J242" t="s">
        <v>16</v>
      </c>
      <c r="K242" t="s">
        <v>3006</v>
      </c>
      <c r="L242" t="s">
        <v>3096</v>
      </c>
      <c r="M242" t="s">
        <v>3083</v>
      </c>
      <c r="N242" t="s">
        <v>3006</v>
      </c>
      <c r="O242" s="39" t="s">
        <v>3086</v>
      </c>
      <c r="P242" s="27" t="s">
        <v>1749</v>
      </c>
      <c r="Q242" t="s">
        <v>1617</v>
      </c>
      <c r="R242" s="10">
        <v>5314.0829729999996</v>
      </c>
      <c r="S242" s="27" t="s">
        <v>1749</v>
      </c>
      <c r="T242" t="s">
        <v>1870</v>
      </c>
    </row>
    <row r="243" spans="1:20" x14ac:dyDescent="0.35">
      <c r="A243">
        <v>2023</v>
      </c>
      <c r="B243" t="s">
        <v>1537</v>
      </c>
      <c r="C243" t="s">
        <v>39</v>
      </c>
      <c r="D243" t="s">
        <v>1587</v>
      </c>
      <c r="F243" t="s">
        <v>1754</v>
      </c>
      <c r="G243" t="s">
        <v>2151</v>
      </c>
      <c r="H243" s="37" t="s">
        <v>11</v>
      </c>
      <c r="I243" s="37" t="s">
        <v>17</v>
      </c>
      <c r="J243" t="s">
        <v>16</v>
      </c>
      <c r="K243" t="s">
        <v>3006</v>
      </c>
      <c r="L243" t="s">
        <v>3097</v>
      </c>
      <c r="M243" t="s">
        <v>3083</v>
      </c>
      <c r="N243" t="s">
        <v>3006</v>
      </c>
      <c r="O243" s="39" t="s">
        <v>3086</v>
      </c>
      <c r="P243" s="27" t="s">
        <v>1680</v>
      </c>
      <c r="Q243" t="s">
        <v>1617</v>
      </c>
      <c r="R243" s="10">
        <v>9170.5809000000008</v>
      </c>
      <c r="S243" s="27" t="s">
        <v>1680</v>
      </c>
      <c r="T243" t="s">
        <v>1870</v>
      </c>
    </row>
    <row r="244" spans="1:20" x14ac:dyDescent="0.35">
      <c r="A244">
        <v>2023</v>
      </c>
      <c r="B244" t="s">
        <v>1537</v>
      </c>
      <c r="C244" t="s">
        <v>39</v>
      </c>
      <c r="D244" t="s">
        <v>1587</v>
      </c>
      <c r="F244" t="s">
        <v>1754</v>
      </c>
      <c r="G244" t="s">
        <v>2151</v>
      </c>
      <c r="H244" s="37" t="s">
        <v>11</v>
      </c>
      <c r="I244" s="37" t="s">
        <v>17</v>
      </c>
      <c r="J244" t="s">
        <v>16</v>
      </c>
      <c r="K244" t="s">
        <v>3006</v>
      </c>
      <c r="L244" t="s">
        <v>3098</v>
      </c>
      <c r="M244" t="s">
        <v>3083</v>
      </c>
      <c r="N244" t="s">
        <v>3006</v>
      </c>
      <c r="O244" s="39" t="s">
        <v>3086</v>
      </c>
      <c r="P244" s="27" t="s">
        <v>1750</v>
      </c>
      <c r="Q244" t="s">
        <v>1617</v>
      </c>
      <c r="R244" s="10">
        <v>4907.8186729999998</v>
      </c>
      <c r="S244" s="27" t="s">
        <v>1750</v>
      </c>
      <c r="T244" t="s">
        <v>1870</v>
      </c>
    </row>
    <row r="245" spans="1:20" x14ac:dyDescent="0.35">
      <c r="A245">
        <v>2023</v>
      </c>
      <c r="B245" t="s">
        <v>1537</v>
      </c>
      <c r="C245" t="s">
        <v>39</v>
      </c>
      <c r="D245" t="s">
        <v>1587</v>
      </c>
      <c r="F245" t="s">
        <v>1754</v>
      </c>
      <c r="G245" t="s">
        <v>2151</v>
      </c>
      <c r="H245" s="37" t="s">
        <v>11</v>
      </c>
      <c r="I245" s="37" t="s">
        <v>17</v>
      </c>
      <c r="J245" t="s">
        <v>16</v>
      </c>
      <c r="K245" t="s">
        <v>3005</v>
      </c>
      <c r="L245" t="s">
        <v>3095</v>
      </c>
      <c r="O245" s="39"/>
      <c r="P245" t="s">
        <v>1738</v>
      </c>
      <c r="Q245" t="s">
        <v>1629</v>
      </c>
      <c r="R245" s="10">
        <v>2784.23</v>
      </c>
      <c r="S245" t="s">
        <v>1738</v>
      </c>
      <c r="T245" t="s">
        <v>1870</v>
      </c>
    </row>
    <row r="246" spans="1:20" x14ac:dyDescent="0.35">
      <c r="A246">
        <v>2023</v>
      </c>
      <c r="B246" t="s">
        <v>772</v>
      </c>
      <c r="C246" t="s">
        <v>39</v>
      </c>
      <c r="D246" t="s">
        <v>86</v>
      </c>
      <c r="E246" t="s">
        <v>1322</v>
      </c>
      <c r="G246" t="s">
        <v>2151</v>
      </c>
      <c r="H246" s="37" t="s">
        <v>11</v>
      </c>
      <c r="I246" s="37" t="s">
        <v>19</v>
      </c>
      <c r="J246" t="s">
        <v>84</v>
      </c>
      <c r="K246" t="s">
        <v>3007</v>
      </c>
      <c r="L246" t="s">
        <v>3094</v>
      </c>
      <c r="M246" t="s">
        <v>3083</v>
      </c>
      <c r="N246" t="s">
        <v>3066</v>
      </c>
      <c r="O246" s="39" t="s">
        <v>3085</v>
      </c>
      <c r="P246" t="s">
        <v>1605</v>
      </c>
      <c r="Q246" t="s">
        <v>1635</v>
      </c>
      <c r="R246" s="10">
        <v>112383.583535172</v>
      </c>
      <c r="S246" t="s">
        <v>1605</v>
      </c>
      <c r="T246" t="s">
        <v>1870</v>
      </c>
    </row>
    <row r="247" spans="1:20" x14ac:dyDescent="0.35">
      <c r="A247">
        <v>2023</v>
      </c>
      <c r="B247" t="s">
        <v>772</v>
      </c>
      <c r="C247" t="s">
        <v>39</v>
      </c>
      <c r="D247" t="s">
        <v>86</v>
      </c>
      <c r="E247" t="s">
        <v>1322</v>
      </c>
      <c r="G247" t="s">
        <v>2151</v>
      </c>
      <c r="H247" s="37" t="s">
        <v>11</v>
      </c>
      <c r="I247" s="37" t="s">
        <v>19</v>
      </c>
      <c r="J247" t="s">
        <v>84</v>
      </c>
      <c r="K247" t="s">
        <v>3007</v>
      </c>
      <c r="L247" t="s">
        <v>3094</v>
      </c>
      <c r="M247" t="s">
        <v>3083</v>
      </c>
      <c r="N247" t="s">
        <v>3066</v>
      </c>
      <c r="O247" s="39" t="s">
        <v>3085</v>
      </c>
      <c r="P247" t="s">
        <v>1606</v>
      </c>
      <c r="Q247" t="s">
        <v>1635</v>
      </c>
      <c r="R247" s="10">
        <v>2584.5738038</v>
      </c>
      <c r="S247" t="s">
        <v>1606</v>
      </c>
      <c r="T247" t="s">
        <v>1870</v>
      </c>
    </row>
    <row r="248" spans="1:20" x14ac:dyDescent="0.35">
      <c r="A248">
        <v>2023</v>
      </c>
      <c r="B248" t="s">
        <v>772</v>
      </c>
      <c r="C248" t="s">
        <v>39</v>
      </c>
      <c r="D248" t="s">
        <v>86</v>
      </c>
      <c r="E248" t="s">
        <v>1322</v>
      </c>
      <c r="G248" t="s">
        <v>2151</v>
      </c>
      <c r="H248" s="37" t="s">
        <v>11</v>
      </c>
      <c r="I248" s="37" t="s">
        <v>19</v>
      </c>
      <c r="J248" t="s">
        <v>84</v>
      </c>
      <c r="K248" t="s">
        <v>3007</v>
      </c>
      <c r="L248" t="s">
        <v>3094</v>
      </c>
      <c r="M248" t="s">
        <v>3083</v>
      </c>
      <c r="N248" t="s">
        <v>3066</v>
      </c>
      <c r="O248" s="39" t="s">
        <v>3085</v>
      </c>
      <c r="P248" t="s">
        <v>1607</v>
      </c>
      <c r="Q248" t="s">
        <v>1635</v>
      </c>
      <c r="R248" s="10">
        <v>226738.87675832701</v>
      </c>
      <c r="S248" t="s">
        <v>1607</v>
      </c>
      <c r="T248" t="s">
        <v>1870</v>
      </c>
    </row>
    <row r="249" spans="1:20" x14ac:dyDescent="0.35">
      <c r="A249">
        <v>2023</v>
      </c>
      <c r="B249" t="s">
        <v>772</v>
      </c>
      <c r="C249" t="s">
        <v>39</v>
      </c>
      <c r="D249" t="s">
        <v>86</v>
      </c>
      <c r="E249" t="s">
        <v>1322</v>
      </c>
      <c r="G249" t="s">
        <v>2151</v>
      </c>
      <c r="H249" s="37" t="s">
        <v>11</v>
      </c>
      <c r="I249" s="37" t="s">
        <v>19</v>
      </c>
      <c r="J249" t="s">
        <v>84</v>
      </c>
      <c r="K249" t="s">
        <v>3007</v>
      </c>
      <c r="L249" t="s">
        <v>3094</v>
      </c>
      <c r="M249" t="s">
        <v>3083</v>
      </c>
      <c r="N249" t="s">
        <v>3066</v>
      </c>
      <c r="O249" s="39" t="s">
        <v>3085</v>
      </c>
      <c r="P249" t="s">
        <v>1605</v>
      </c>
      <c r="Q249" t="s">
        <v>1635</v>
      </c>
      <c r="R249" s="10">
        <v>14182.7</v>
      </c>
      <c r="S249" t="s">
        <v>1605</v>
      </c>
      <c r="T249" t="s">
        <v>1870</v>
      </c>
    </row>
    <row r="250" spans="1:20" x14ac:dyDescent="0.35">
      <c r="A250">
        <v>2023</v>
      </c>
      <c r="B250" t="s">
        <v>772</v>
      </c>
      <c r="C250" t="s">
        <v>39</v>
      </c>
      <c r="D250" t="s">
        <v>86</v>
      </c>
      <c r="E250" t="s">
        <v>1322</v>
      </c>
      <c r="G250" t="s">
        <v>2151</v>
      </c>
      <c r="H250" s="37" t="s">
        <v>11</v>
      </c>
      <c r="I250" s="37" t="s">
        <v>19</v>
      </c>
      <c r="J250" t="s">
        <v>84</v>
      </c>
      <c r="K250" t="s">
        <v>3007</v>
      </c>
      <c r="L250" t="s">
        <v>3094</v>
      </c>
      <c r="M250" t="s">
        <v>3083</v>
      </c>
      <c r="N250" t="s">
        <v>3066</v>
      </c>
      <c r="O250" s="39" t="s">
        <v>3085</v>
      </c>
      <c r="P250" t="s">
        <v>1606</v>
      </c>
      <c r="Q250" t="s">
        <v>1635</v>
      </c>
      <c r="R250" s="10">
        <v>672.1</v>
      </c>
      <c r="S250" t="s">
        <v>1606</v>
      </c>
      <c r="T250" t="s">
        <v>1870</v>
      </c>
    </row>
    <row r="251" spans="1:20" x14ac:dyDescent="0.35">
      <c r="A251">
        <v>2023</v>
      </c>
      <c r="B251" t="s">
        <v>772</v>
      </c>
      <c r="C251" t="s">
        <v>39</v>
      </c>
      <c r="D251" t="s">
        <v>86</v>
      </c>
      <c r="E251" t="s">
        <v>1322</v>
      </c>
      <c r="G251" t="s">
        <v>2151</v>
      </c>
      <c r="H251" s="37" t="s">
        <v>11</v>
      </c>
      <c r="I251" s="37" t="s">
        <v>19</v>
      </c>
      <c r="J251" t="s">
        <v>84</v>
      </c>
      <c r="K251" t="s">
        <v>3006</v>
      </c>
      <c r="L251" t="s">
        <v>3096</v>
      </c>
      <c r="M251" t="s">
        <v>3083</v>
      </c>
      <c r="N251" t="s">
        <v>3006</v>
      </c>
      <c r="O251" s="39" t="s">
        <v>3086</v>
      </c>
      <c r="P251" t="s">
        <v>1616</v>
      </c>
      <c r="Q251" t="s">
        <v>1617</v>
      </c>
      <c r="R251" s="10">
        <v>1042</v>
      </c>
      <c r="S251" t="s">
        <v>1616</v>
      </c>
      <c r="T251" t="s">
        <v>1870</v>
      </c>
    </row>
    <row r="252" spans="1:20" x14ac:dyDescent="0.35">
      <c r="A252">
        <v>2023</v>
      </c>
      <c r="B252" t="s">
        <v>1537</v>
      </c>
      <c r="C252" t="s">
        <v>756</v>
      </c>
      <c r="D252" t="s">
        <v>1536</v>
      </c>
      <c r="F252" t="s">
        <v>1755</v>
      </c>
      <c r="G252" t="s">
        <v>2166</v>
      </c>
      <c r="H252" s="37" t="s">
        <v>11</v>
      </c>
      <c r="I252" s="37" t="s">
        <v>13</v>
      </c>
      <c r="J252" t="s">
        <v>16</v>
      </c>
      <c r="K252" t="s">
        <v>3007</v>
      </c>
      <c r="L252" t="s">
        <v>3094</v>
      </c>
      <c r="M252" t="s">
        <v>3082</v>
      </c>
      <c r="N252" t="s">
        <v>3194</v>
      </c>
      <c r="O252" s="39" t="s">
        <v>3068</v>
      </c>
      <c r="P252" t="s">
        <v>707</v>
      </c>
      <c r="Q252" t="s">
        <v>1546</v>
      </c>
      <c r="R252" s="10">
        <v>162.21032723366181</v>
      </c>
      <c r="T252" t="s">
        <v>1871</v>
      </c>
    </row>
    <row r="253" spans="1:20" x14ac:dyDescent="0.35">
      <c r="A253">
        <v>2023</v>
      </c>
      <c r="B253" t="s">
        <v>1537</v>
      </c>
      <c r="C253" t="s">
        <v>756</v>
      </c>
      <c r="D253" t="s">
        <v>1536</v>
      </c>
      <c r="F253" t="s">
        <v>1755</v>
      </c>
      <c r="G253" t="s">
        <v>2166</v>
      </c>
      <c r="H253" s="37" t="s">
        <v>11</v>
      </c>
      <c r="I253" s="37" t="s">
        <v>13</v>
      </c>
      <c r="J253" t="s">
        <v>16</v>
      </c>
      <c r="K253" t="s">
        <v>3007</v>
      </c>
      <c r="L253" t="s">
        <v>3094</v>
      </c>
      <c r="M253" t="s">
        <v>3083</v>
      </c>
      <c r="N253" t="s">
        <v>3066</v>
      </c>
      <c r="O253" s="39" t="s">
        <v>3085</v>
      </c>
      <c r="P253" t="s">
        <v>1605</v>
      </c>
      <c r="Q253" t="s">
        <v>1635</v>
      </c>
      <c r="R253" s="10">
        <v>35617.369225595001</v>
      </c>
      <c r="S253" t="s">
        <v>1605</v>
      </c>
      <c r="T253" t="s">
        <v>1871</v>
      </c>
    </row>
    <row r="254" spans="1:20" x14ac:dyDescent="0.35">
      <c r="A254">
        <v>2023</v>
      </c>
      <c r="B254" t="s">
        <v>1537</v>
      </c>
      <c r="C254" t="s">
        <v>756</v>
      </c>
      <c r="D254" t="s">
        <v>1536</v>
      </c>
      <c r="F254" t="s">
        <v>1755</v>
      </c>
      <c r="G254" t="s">
        <v>2166</v>
      </c>
      <c r="H254" s="37" t="s">
        <v>11</v>
      </c>
      <c r="I254" s="37" t="s">
        <v>13</v>
      </c>
      <c r="J254" t="s">
        <v>16</v>
      </c>
      <c r="K254" t="s">
        <v>3007</v>
      </c>
      <c r="L254" t="s">
        <v>3094</v>
      </c>
      <c r="M254" t="s">
        <v>3083</v>
      </c>
      <c r="N254" t="s">
        <v>3066</v>
      </c>
      <c r="O254" s="39" t="s">
        <v>3085</v>
      </c>
      <c r="P254" t="s">
        <v>1606</v>
      </c>
      <c r="Q254" t="s">
        <v>1635</v>
      </c>
      <c r="R254" s="10">
        <v>5536.701</v>
      </c>
      <c r="S254" t="s">
        <v>1606</v>
      </c>
      <c r="T254" t="s">
        <v>1871</v>
      </c>
    </row>
    <row r="255" spans="1:20" x14ac:dyDescent="0.35">
      <c r="A255">
        <v>2023</v>
      </c>
      <c r="B255" t="s">
        <v>1537</v>
      </c>
      <c r="C255" t="s">
        <v>756</v>
      </c>
      <c r="D255" t="s">
        <v>1536</v>
      </c>
      <c r="F255" t="s">
        <v>1755</v>
      </c>
      <c r="G255" t="s">
        <v>2166</v>
      </c>
      <c r="H255" s="37" t="s">
        <v>11</v>
      </c>
      <c r="I255" s="37" t="s">
        <v>13</v>
      </c>
      <c r="J255" t="s">
        <v>16</v>
      </c>
      <c r="K255" t="s">
        <v>3007</v>
      </c>
      <c r="L255" t="s">
        <v>3094</v>
      </c>
      <c r="M255" t="s">
        <v>3083</v>
      </c>
      <c r="N255" t="s">
        <v>1636</v>
      </c>
      <c r="O255" s="39" t="s">
        <v>3087</v>
      </c>
      <c r="P255" t="s">
        <v>707</v>
      </c>
      <c r="Q255" t="s">
        <v>1546</v>
      </c>
      <c r="R255" s="10">
        <v>319.19231890732357</v>
      </c>
      <c r="T255" t="s">
        <v>1871</v>
      </c>
    </row>
    <row r="256" spans="1:20" x14ac:dyDescent="0.35">
      <c r="A256">
        <v>2023</v>
      </c>
      <c r="B256" t="s">
        <v>1537</v>
      </c>
      <c r="C256" t="s">
        <v>756</v>
      </c>
      <c r="D256" t="s">
        <v>1536</v>
      </c>
      <c r="F256" t="s">
        <v>1755</v>
      </c>
      <c r="G256" t="s">
        <v>2166</v>
      </c>
      <c r="H256" s="37" t="s">
        <v>11</v>
      </c>
      <c r="I256" s="37" t="s">
        <v>13</v>
      </c>
      <c r="J256" t="s">
        <v>16</v>
      </c>
      <c r="K256" t="s">
        <v>3007</v>
      </c>
      <c r="L256" t="s">
        <v>3094</v>
      </c>
      <c r="M256" t="s">
        <v>3083</v>
      </c>
      <c r="N256" t="s">
        <v>3193</v>
      </c>
      <c r="O256" s="39" t="s">
        <v>3102</v>
      </c>
      <c r="P256" t="s">
        <v>707</v>
      </c>
      <c r="Q256" t="s">
        <v>1546</v>
      </c>
      <c r="R256" s="10">
        <v>50.803300388615952</v>
      </c>
      <c r="T256" t="s">
        <v>1871</v>
      </c>
    </row>
    <row r="257" spans="1:20" x14ac:dyDescent="0.35">
      <c r="A257">
        <v>2023</v>
      </c>
      <c r="B257" t="s">
        <v>1537</v>
      </c>
      <c r="C257" t="s">
        <v>756</v>
      </c>
      <c r="D257" t="s">
        <v>1536</v>
      </c>
      <c r="F257" t="s">
        <v>1755</v>
      </c>
      <c r="G257" t="s">
        <v>2166</v>
      </c>
      <c r="H257" s="37" t="s">
        <v>11</v>
      </c>
      <c r="I257" s="37" t="s">
        <v>13</v>
      </c>
      <c r="J257" t="s">
        <v>16</v>
      </c>
      <c r="K257" t="s">
        <v>3007</v>
      </c>
      <c r="L257" t="s">
        <v>3094</v>
      </c>
      <c r="M257" t="s">
        <v>3083</v>
      </c>
      <c r="N257" t="s">
        <v>1637</v>
      </c>
      <c r="O257" s="39" t="s">
        <v>3091</v>
      </c>
      <c r="P257" t="s">
        <v>707</v>
      </c>
      <c r="Q257" t="s">
        <v>1546</v>
      </c>
      <c r="R257" s="10">
        <v>47.442164741802024</v>
      </c>
      <c r="T257" t="s">
        <v>1871</v>
      </c>
    </row>
    <row r="258" spans="1:20" x14ac:dyDescent="0.35">
      <c r="A258">
        <v>2023</v>
      </c>
      <c r="B258" t="s">
        <v>1537</v>
      </c>
      <c r="C258" t="s">
        <v>756</v>
      </c>
      <c r="D258" t="s">
        <v>1536</v>
      </c>
      <c r="F258" t="s">
        <v>1755</v>
      </c>
      <c r="G258" t="s">
        <v>2166</v>
      </c>
      <c r="H258" s="37" t="s">
        <v>11</v>
      </c>
      <c r="I258" s="37" t="s">
        <v>13</v>
      </c>
      <c r="J258" t="s">
        <v>16</v>
      </c>
      <c r="K258" t="s">
        <v>3007</v>
      </c>
      <c r="L258" t="s">
        <v>3094</v>
      </c>
      <c r="M258" t="s">
        <v>3083</v>
      </c>
      <c r="N258" t="s">
        <v>3188</v>
      </c>
      <c r="O258" s="39" t="s">
        <v>3073</v>
      </c>
      <c r="P258" t="s">
        <v>707</v>
      </c>
      <c r="Q258" t="s">
        <v>1546</v>
      </c>
      <c r="R258" s="10">
        <v>60.86381506924382</v>
      </c>
      <c r="T258" t="s">
        <v>1871</v>
      </c>
    </row>
    <row r="259" spans="1:20" x14ac:dyDescent="0.35">
      <c r="A259">
        <v>2023</v>
      </c>
      <c r="B259" t="s">
        <v>1537</v>
      </c>
      <c r="C259" t="s">
        <v>756</v>
      </c>
      <c r="D259" t="s">
        <v>1536</v>
      </c>
      <c r="F259" t="s">
        <v>1755</v>
      </c>
      <c r="G259" t="s">
        <v>2166</v>
      </c>
      <c r="H259" s="37" t="s">
        <v>11</v>
      </c>
      <c r="I259" s="37" t="s">
        <v>13</v>
      </c>
      <c r="J259" t="s">
        <v>16</v>
      </c>
      <c r="K259" t="s">
        <v>3006</v>
      </c>
      <c r="L259" t="s">
        <v>3096</v>
      </c>
      <c r="M259" t="s">
        <v>3083</v>
      </c>
      <c r="N259" t="s">
        <v>3006</v>
      </c>
      <c r="O259" s="39" t="s">
        <v>3086</v>
      </c>
      <c r="P259" t="s">
        <v>1616</v>
      </c>
      <c r="Q259" t="s">
        <v>1638</v>
      </c>
      <c r="R259" s="10">
        <v>974971.40334801702</v>
      </c>
      <c r="S259" t="s">
        <v>1616</v>
      </c>
      <c r="T259" t="s">
        <v>1871</v>
      </c>
    </row>
    <row r="260" spans="1:20" x14ac:dyDescent="0.35">
      <c r="A260">
        <v>2023</v>
      </c>
      <c r="B260" t="s">
        <v>1537</v>
      </c>
      <c r="C260" t="s">
        <v>756</v>
      </c>
      <c r="D260" t="s">
        <v>1536</v>
      </c>
      <c r="F260" t="s">
        <v>1755</v>
      </c>
      <c r="G260" t="s">
        <v>2166</v>
      </c>
      <c r="H260" s="37" t="s">
        <v>11</v>
      </c>
      <c r="I260" s="37" t="s">
        <v>13</v>
      </c>
      <c r="J260" t="s">
        <v>16</v>
      </c>
      <c r="K260" t="s">
        <v>3006</v>
      </c>
      <c r="L260" t="s">
        <v>3097</v>
      </c>
      <c r="M260" t="s">
        <v>3083</v>
      </c>
      <c r="N260" t="s">
        <v>3006</v>
      </c>
      <c r="O260" s="39" t="s">
        <v>3086</v>
      </c>
      <c r="P260" t="s">
        <v>1618</v>
      </c>
      <c r="Q260" t="s">
        <v>1638</v>
      </c>
      <c r="R260" s="10">
        <v>1743711.5</v>
      </c>
      <c r="S260" t="s">
        <v>1618</v>
      </c>
      <c r="T260" t="s">
        <v>1871</v>
      </c>
    </row>
    <row r="261" spans="1:20" x14ac:dyDescent="0.35">
      <c r="A261">
        <v>2023</v>
      </c>
      <c r="B261" t="s">
        <v>1537</v>
      </c>
      <c r="C261" t="s">
        <v>756</v>
      </c>
      <c r="D261" t="s">
        <v>1536</v>
      </c>
      <c r="F261" t="s">
        <v>1755</v>
      </c>
      <c r="G261" t="s">
        <v>2166</v>
      </c>
      <c r="H261" s="37" t="s">
        <v>11</v>
      </c>
      <c r="I261" s="37" t="s">
        <v>13</v>
      </c>
      <c r="J261" t="s">
        <v>16</v>
      </c>
      <c r="K261" t="s">
        <v>3006</v>
      </c>
      <c r="L261" t="s">
        <v>3098</v>
      </c>
      <c r="M261" t="s">
        <v>3083</v>
      </c>
      <c r="N261" t="s">
        <v>3006</v>
      </c>
      <c r="O261" s="39" t="s">
        <v>3086</v>
      </c>
      <c r="P261" t="s">
        <v>1639</v>
      </c>
      <c r="Q261" t="s">
        <v>1638</v>
      </c>
      <c r="R261" s="10">
        <v>749557.37969801703</v>
      </c>
      <c r="S261" t="s">
        <v>1639</v>
      </c>
      <c r="T261" t="s">
        <v>1871</v>
      </c>
    </row>
    <row r="262" spans="1:20" x14ac:dyDescent="0.35">
      <c r="A262">
        <v>2023</v>
      </c>
      <c r="B262" t="s">
        <v>1537</v>
      </c>
      <c r="C262" t="s">
        <v>756</v>
      </c>
      <c r="D262" t="s">
        <v>1536</v>
      </c>
      <c r="F262" t="s">
        <v>1755</v>
      </c>
      <c r="G262" t="s">
        <v>2166</v>
      </c>
      <c r="H262" s="37" t="s">
        <v>11</v>
      </c>
      <c r="I262" s="37" t="s">
        <v>13</v>
      </c>
      <c r="J262" t="s">
        <v>16</v>
      </c>
      <c r="K262" t="s">
        <v>3005</v>
      </c>
      <c r="L262" t="s">
        <v>3095</v>
      </c>
      <c r="O262" s="39"/>
      <c r="P262" t="s">
        <v>1627</v>
      </c>
      <c r="Q262" t="s">
        <v>1629</v>
      </c>
      <c r="R262" s="10">
        <v>370</v>
      </c>
      <c r="S262" t="s">
        <v>1627</v>
      </c>
      <c r="T262" t="s">
        <v>1871</v>
      </c>
    </row>
    <row r="263" spans="1:20" x14ac:dyDescent="0.35">
      <c r="A263">
        <v>2023</v>
      </c>
      <c r="B263" t="s">
        <v>1537</v>
      </c>
      <c r="C263" t="s">
        <v>902</v>
      </c>
      <c r="D263" t="s">
        <v>1951</v>
      </c>
      <c r="F263" t="s">
        <v>1950</v>
      </c>
      <c r="G263" t="s">
        <v>2187</v>
      </c>
      <c r="H263" s="37" t="s">
        <v>11</v>
      </c>
      <c r="I263" s="37" t="s">
        <v>44</v>
      </c>
      <c r="J263" t="s">
        <v>16</v>
      </c>
      <c r="K263" t="s">
        <v>3007</v>
      </c>
      <c r="L263" t="s">
        <v>3094</v>
      </c>
      <c r="M263" t="s">
        <v>3083</v>
      </c>
      <c r="N263" t="s">
        <v>3066</v>
      </c>
      <c r="O263" s="39" t="s">
        <v>3085</v>
      </c>
      <c r="P263" t="s">
        <v>1605</v>
      </c>
      <c r="Q263" t="s">
        <v>1635</v>
      </c>
      <c r="R263" s="10">
        <v>14002</v>
      </c>
      <c r="S263" t="s">
        <v>1605</v>
      </c>
      <c r="T263" t="s">
        <v>1892</v>
      </c>
    </row>
    <row r="264" spans="1:20" x14ac:dyDescent="0.35">
      <c r="A264">
        <v>2023</v>
      </c>
      <c r="B264" t="s">
        <v>1537</v>
      </c>
      <c r="C264" t="s">
        <v>902</v>
      </c>
      <c r="D264" t="s">
        <v>1951</v>
      </c>
      <c r="F264" t="s">
        <v>1950</v>
      </c>
      <c r="G264" t="s">
        <v>2187</v>
      </c>
      <c r="H264" s="37" t="s">
        <v>11</v>
      </c>
      <c r="I264" s="37" t="s">
        <v>44</v>
      </c>
      <c r="J264" t="s">
        <v>16</v>
      </c>
      <c r="K264" t="s">
        <v>3007</v>
      </c>
      <c r="L264" t="s">
        <v>3094</v>
      </c>
      <c r="M264" t="s">
        <v>3083</v>
      </c>
      <c r="N264" t="s">
        <v>3066</v>
      </c>
      <c r="O264" s="39" t="s">
        <v>3085</v>
      </c>
      <c r="P264" t="s">
        <v>1606</v>
      </c>
      <c r="Q264" t="s">
        <v>1635</v>
      </c>
      <c r="R264" s="10">
        <v>30057</v>
      </c>
      <c r="S264" t="s">
        <v>1606</v>
      </c>
      <c r="T264" t="s">
        <v>1892</v>
      </c>
    </row>
    <row r="265" spans="1:20" x14ac:dyDescent="0.35">
      <c r="A265">
        <v>2023</v>
      </c>
      <c r="B265" t="s">
        <v>1537</v>
      </c>
      <c r="C265" t="s">
        <v>902</v>
      </c>
      <c r="D265" t="s">
        <v>1951</v>
      </c>
      <c r="F265" t="s">
        <v>1950</v>
      </c>
      <c r="G265" t="s">
        <v>2187</v>
      </c>
      <c r="H265" s="37" t="s">
        <v>11</v>
      </c>
      <c r="I265" s="37" t="s">
        <v>44</v>
      </c>
      <c r="J265" t="s">
        <v>16</v>
      </c>
      <c r="K265" t="s">
        <v>3006</v>
      </c>
      <c r="L265" t="s">
        <v>3096</v>
      </c>
      <c r="M265" t="s">
        <v>3083</v>
      </c>
      <c r="N265" t="s">
        <v>3006</v>
      </c>
      <c r="O265" s="39" t="s">
        <v>3086</v>
      </c>
      <c r="P265" t="s">
        <v>1757</v>
      </c>
      <c r="Q265" t="s">
        <v>1638</v>
      </c>
      <c r="R265">
        <f>119936+63182</f>
        <v>183118</v>
      </c>
      <c r="S265" t="s">
        <v>1757</v>
      </c>
      <c r="T265" t="s">
        <v>1892</v>
      </c>
    </row>
    <row r="266" spans="1:20" x14ac:dyDescent="0.35">
      <c r="A266">
        <v>2023</v>
      </c>
      <c r="B266" t="s">
        <v>1537</v>
      </c>
      <c r="C266" t="s">
        <v>902</v>
      </c>
      <c r="D266" t="s">
        <v>1951</v>
      </c>
      <c r="F266" t="s">
        <v>1950</v>
      </c>
      <c r="G266" t="s">
        <v>2187</v>
      </c>
      <c r="H266" s="37" t="s">
        <v>11</v>
      </c>
      <c r="I266" s="37" t="s">
        <v>44</v>
      </c>
      <c r="J266" t="s">
        <v>16</v>
      </c>
      <c r="K266" t="s">
        <v>3006</v>
      </c>
      <c r="L266" t="s">
        <v>3097</v>
      </c>
      <c r="M266" t="s">
        <v>3083</v>
      </c>
      <c r="N266" t="s">
        <v>3006</v>
      </c>
      <c r="O266" s="39" t="s">
        <v>3086</v>
      </c>
      <c r="P266" t="s">
        <v>1680</v>
      </c>
      <c r="Q266" t="s">
        <v>1638</v>
      </c>
      <c r="R266" s="10">
        <v>25131</v>
      </c>
      <c r="S266" t="s">
        <v>1680</v>
      </c>
      <c r="T266" t="s">
        <v>1892</v>
      </c>
    </row>
    <row r="267" spans="1:20" x14ac:dyDescent="0.35">
      <c r="A267">
        <v>2023</v>
      </c>
      <c r="B267" t="s">
        <v>1537</v>
      </c>
      <c r="C267" t="s">
        <v>902</v>
      </c>
      <c r="D267" t="s">
        <v>1951</v>
      </c>
      <c r="F267" t="s">
        <v>1950</v>
      </c>
      <c r="G267" t="s">
        <v>2187</v>
      </c>
      <c r="H267" s="37" t="s">
        <v>11</v>
      </c>
      <c r="I267" s="37" t="s">
        <v>44</v>
      </c>
      <c r="J267" t="s">
        <v>16</v>
      </c>
      <c r="K267" t="s">
        <v>3006</v>
      </c>
      <c r="L267" t="s">
        <v>3098</v>
      </c>
      <c r="M267" t="s">
        <v>3083</v>
      </c>
      <c r="N267" t="s">
        <v>3006</v>
      </c>
      <c r="O267" s="39" t="s">
        <v>3086</v>
      </c>
      <c r="P267" t="s">
        <v>1639</v>
      </c>
      <c r="Q267" t="s">
        <v>1638</v>
      </c>
      <c r="R267" s="10">
        <v>147624</v>
      </c>
      <c r="S267" t="s">
        <v>1639</v>
      </c>
      <c r="T267" t="s">
        <v>1892</v>
      </c>
    </row>
    <row r="268" spans="1:20" x14ac:dyDescent="0.35">
      <c r="A268">
        <v>2023</v>
      </c>
      <c r="B268" t="s">
        <v>772</v>
      </c>
      <c r="C268" t="s">
        <v>165</v>
      </c>
      <c r="D268" t="s">
        <v>166</v>
      </c>
      <c r="E268" t="s">
        <v>1392</v>
      </c>
      <c r="G268" t="s">
        <v>2198</v>
      </c>
      <c r="H268" s="37" t="s">
        <v>11</v>
      </c>
      <c r="I268" s="37" t="s">
        <v>19</v>
      </c>
      <c r="J268" t="s">
        <v>157</v>
      </c>
      <c r="K268" t="s">
        <v>3007</v>
      </c>
      <c r="L268" t="s">
        <v>3094</v>
      </c>
      <c r="M268" t="s">
        <v>3083</v>
      </c>
      <c r="N268" t="s">
        <v>3066</v>
      </c>
      <c r="O268" s="39" t="s">
        <v>3085</v>
      </c>
      <c r="P268" t="s">
        <v>1605</v>
      </c>
      <c r="Q268" t="s">
        <v>1635</v>
      </c>
      <c r="R268" s="10">
        <f>70244+31390+1077+858</f>
        <v>103569</v>
      </c>
      <c r="S268" t="s">
        <v>1605</v>
      </c>
      <c r="T268" t="s">
        <v>1935</v>
      </c>
    </row>
    <row r="269" spans="1:20" x14ac:dyDescent="0.35">
      <c r="A269">
        <v>2023</v>
      </c>
      <c r="B269" t="s">
        <v>772</v>
      </c>
      <c r="C269" t="s">
        <v>165</v>
      </c>
      <c r="D269" t="s">
        <v>166</v>
      </c>
      <c r="E269" t="s">
        <v>1392</v>
      </c>
      <c r="G269" t="s">
        <v>2198</v>
      </c>
      <c r="H269" s="37" t="s">
        <v>11</v>
      </c>
      <c r="I269" s="37" t="s">
        <v>19</v>
      </c>
      <c r="J269" t="s">
        <v>157</v>
      </c>
      <c r="K269" t="s">
        <v>3007</v>
      </c>
      <c r="L269" t="s">
        <v>3094</v>
      </c>
      <c r="M269" t="s">
        <v>3083</v>
      </c>
      <c r="N269" t="s">
        <v>3066</v>
      </c>
      <c r="O269" s="39" t="s">
        <v>3085</v>
      </c>
      <c r="P269" t="s">
        <v>2381</v>
      </c>
      <c r="Q269" t="s">
        <v>1635</v>
      </c>
      <c r="R269" s="10">
        <v>70244</v>
      </c>
      <c r="S269" t="s">
        <v>2381</v>
      </c>
      <c r="T269" t="s">
        <v>1935</v>
      </c>
    </row>
    <row r="270" spans="1:20" x14ac:dyDescent="0.35">
      <c r="A270">
        <v>2023</v>
      </c>
      <c r="B270" t="s">
        <v>772</v>
      </c>
      <c r="C270" t="s">
        <v>165</v>
      </c>
      <c r="D270" t="s">
        <v>166</v>
      </c>
      <c r="E270" t="s">
        <v>1392</v>
      </c>
      <c r="G270" t="s">
        <v>2198</v>
      </c>
      <c r="H270" s="37" t="s">
        <v>11</v>
      </c>
      <c r="I270" s="37" t="s">
        <v>19</v>
      </c>
      <c r="J270" t="s">
        <v>157</v>
      </c>
      <c r="K270" t="s">
        <v>3007</v>
      </c>
      <c r="L270" t="s">
        <v>3094</v>
      </c>
      <c r="M270" t="s">
        <v>3083</v>
      </c>
      <c r="N270" t="s">
        <v>3066</v>
      </c>
      <c r="O270" s="39" t="s">
        <v>3085</v>
      </c>
      <c r="P270" t="s">
        <v>2382</v>
      </c>
      <c r="Q270" t="s">
        <v>1635</v>
      </c>
      <c r="R270" s="10">
        <v>31390</v>
      </c>
      <c r="S270" t="s">
        <v>2382</v>
      </c>
      <c r="T270" t="s">
        <v>1935</v>
      </c>
    </row>
    <row r="271" spans="1:20" x14ac:dyDescent="0.35">
      <c r="A271">
        <v>2023</v>
      </c>
      <c r="B271" t="s">
        <v>772</v>
      </c>
      <c r="C271" t="s">
        <v>165</v>
      </c>
      <c r="D271" t="s">
        <v>166</v>
      </c>
      <c r="E271" t="s">
        <v>1392</v>
      </c>
      <c r="G271" t="s">
        <v>2198</v>
      </c>
      <c r="H271" s="37" t="s">
        <v>11</v>
      </c>
      <c r="I271" s="37" t="s">
        <v>19</v>
      </c>
      <c r="J271" t="s">
        <v>157</v>
      </c>
      <c r="K271" t="s">
        <v>3007</v>
      </c>
      <c r="L271" t="s">
        <v>3094</v>
      </c>
      <c r="M271" t="s">
        <v>3083</v>
      </c>
      <c r="N271" t="s">
        <v>3066</v>
      </c>
      <c r="O271" s="39" t="s">
        <v>3085</v>
      </c>
      <c r="P271" t="s">
        <v>2383</v>
      </c>
      <c r="Q271" t="s">
        <v>1635</v>
      </c>
      <c r="R271" s="10">
        <v>1077</v>
      </c>
      <c r="S271" t="s">
        <v>2383</v>
      </c>
      <c r="T271" t="s">
        <v>1935</v>
      </c>
    </row>
    <row r="272" spans="1:20" x14ac:dyDescent="0.35">
      <c r="A272">
        <v>2023</v>
      </c>
      <c r="B272" t="s">
        <v>772</v>
      </c>
      <c r="C272" t="s">
        <v>165</v>
      </c>
      <c r="D272" t="s">
        <v>166</v>
      </c>
      <c r="E272" t="s">
        <v>1392</v>
      </c>
      <c r="G272" t="s">
        <v>2198</v>
      </c>
      <c r="H272" s="37" t="s">
        <v>11</v>
      </c>
      <c r="I272" s="37" t="s">
        <v>19</v>
      </c>
      <c r="J272" t="s">
        <v>157</v>
      </c>
      <c r="K272" t="s">
        <v>3007</v>
      </c>
      <c r="L272" t="s">
        <v>3094</v>
      </c>
      <c r="M272" t="s">
        <v>3083</v>
      </c>
      <c r="N272" t="s">
        <v>3066</v>
      </c>
      <c r="O272" s="39" t="s">
        <v>3085</v>
      </c>
      <c r="P272" t="s">
        <v>2384</v>
      </c>
      <c r="Q272" t="s">
        <v>1635</v>
      </c>
      <c r="R272" s="10">
        <v>858</v>
      </c>
      <c r="S272" t="s">
        <v>2384</v>
      </c>
      <c r="T272" t="s">
        <v>1935</v>
      </c>
    </row>
    <row r="273" spans="1:20" x14ac:dyDescent="0.35">
      <c r="A273">
        <v>2023</v>
      </c>
      <c r="B273" t="s">
        <v>772</v>
      </c>
      <c r="C273" t="s">
        <v>165</v>
      </c>
      <c r="D273" t="s">
        <v>166</v>
      </c>
      <c r="E273" t="s">
        <v>1392</v>
      </c>
      <c r="G273" t="s">
        <v>2198</v>
      </c>
      <c r="H273" s="37" t="s">
        <v>11</v>
      </c>
      <c r="I273" s="37" t="s">
        <v>19</v>
      </c>
      <c r="J273" t="s">
        <v>157</v>
      </c>
      <c r="K273" t="s">
        <v>3007</v>
      </c>
      <c r="L273" t="s">
        <v>3094</v>
      </c>
      <c r="M273" t="s">
        <v>3083</v>
      </c>
      <c r="N273" t="s">
        <v>3066</v>
      </c>
      <c r="O273" s="39" t="s">
        <v>3085</v>
      </c>
      <c r="P273" t="s">
        <v>1606</v>
      </c>
      <c r="Q273" t="s">
        <v>1635</v>
      </c>
      <c r="R273" s="10">
        <v>5821</v>
      </c>
      <c r="S273" t="s">
        <v>1606</v>
      </c>
      <c r="T273" t="s">
        <v>1935</v>
      </c>
    </row>
    <row r="274" spans="1:20" x14ac:dyDescent="0.35">
      <c r="A274">
        <v>2023</v>
      </c>
      <c r="B274" t="s">
        <v>772</v>
      </c>
      <c r="C274" t="s">
        <v>135</v>
      </c>
      <c r="D274" t="s">
        <v>136</v>
      </c>
      <c r="E274" t="s">
        <v>1395</v>
      </c>
      <c r="G274" t="s">
        <v>2200</v>
      </c>
      <c r="H274" s="37" t="s">
        <v>11</v>
      </c>
      <c r="I274" s="37" t="s">
        <v>19</v>
      </c>
      <c r="J274" t="s">
        <v>137</v>
      </c>
      <c r="K274" t="s">
        <v>3006</v>
      </c>
      <c r="L274" t="s">
        <v>3096</v>
      </c>
      <c r="M274" t="s">
        <v>3083</v>
      </c>
      <c r="N274" t="s">
        <v>3006</v>
      </c>
      <c r="O274" s="39" t="s">
        <v>3086</v>
      </c>
      <c r="P274" t="s">
        <v>1906</v>
      </c>
      <c r="Q274" t="s">
        <v>1788</v>
      </c>
      <c r="R274" s="10">
        <v>141</v>
      </c>
      <c r="S274" t="s">
        <v>1906</v>
      </c>
      <c r="T274" t="s">
        <v>1892</v>
      </c>
    </row>
    <row r="275" spans="1:20" x14ac:dyDescent="0.35">
      <c r="A275">
        <v>2023</v>
      </c>
      <c r="B275" t="s">
        <v>772</v>
      </c>
      <c r="C275" t="s">
        <v>135</v>
      </c>
      <c r="D275" t="s">
        <v>136</v>
      </c>
      <c r="E275" t="s">
        <v>1395</v>
      </c>
      <c r="G275" t="s">
        <v>2200</v>
      </c>
      <c r="H275" s="37" t="s">
        <v>11</v>
      </c>
      <c r="I275" s="37" t="s">
        <v>19</v>
      </c>
      <c r="J275" t="s">
        <v>137</v>
      </c>
      <c r="K275" t="s">
        <v>3006</v>
      </c>
      <c r="L275" t="s">
        <v>3098</v>
      </c>
      <c r="M275" t="s">
        <v>3083</v>
      </c>
      <c r="N275" t="s">
        <v>3006</v>
      </c>
      <c r="O275" s="39" t="s">
        <v>3086</v>
      </c>
      <c r="P275" t="s">
        <v>2388</v>
      </c>
      <c r="Q275" t="s">
        <v>1788</v>
      </c>
      <c r="R275" s="10">
        <v>6140</v>
      </c>
      <c r="S275" t="s">
        <v>2388</v>
      </c>
      <c r="T275" t="s">
        <v>1892</v>
      </c>
    </row>
    <row r="276" spans="1:20" x14ac:dyDescent="0.35">
      <c r="A276">
        <v>2023</v>
      </c>
      <c r="B276" t="s">
        <v>772</v>
      </c>
      <c r="C276" t="s">
        <v>101</v>
      </c>
      <c r="D276" t="s">
        <v>126</v>
      </c>
      <c r="E276" t="s">
        <v>1400</v>
      </c>
      <c r="G276" t="s">
        <v>1850</v>
      </c>
      <c r="H276" s="37" t="s">
        <v>11</v>
      </c>
      <c r="I276" s="37" t="s">
        <v>34</v>
      </c>
      <c r="J276" t="s">
        <v>127</v>
      </c>
      <c r="K276" t="s">
        <v>3007</v>
      </c>
      <c r="L276" t="s">
        <v>3094</v>
      </c>
      <c r="M276" t="s">
        <v>3082</v>
      </c>
      <c r="N276" t="s">
        <v>3194</v>
      </c>
      <c r="O276" s="39" t="s">
        <v>3068</v>
      </c>
      <c r="P276" t="s">
        <v>707</v>
      </c>
      <c r="Q276" t="s">
        <v>1546</v>
      </c>
      <c r="R276" s="10">
        <v>707.8</v>
      </c>
      <c r="T276" t="s">
        <v>1848</v>
      </c>
    </row>
    <row r="277" spans="1:20" x14ac:dyDescent="0.35">
      <c r="A277">
        <v>2023</v>
      </c>
      <c r="B277" t="s">
        <v>772</v>
      </c>
      <c r="C277" t="s">
        <v>101</v>
      </c>
      <c r="D277" t="s">
        <v>126</v>
      </c>
      <c r="E277" t="s">
        <v>1400</v>
      </c>
      <c r="G277" t="s">
        <v>1850</v>
      </c>
      <c r="H277" s="37" t="s">
        <v>11</v>
      </c>
      <c r="I277" s="37" t="s">
        <v>34</v>
      </c>
      <c r="J277" t="s">
        <v>127</v>
      </c>
      <c r="K277" t="s">
        <v>3007</v>
      </c>
      <c r="L277" t="s">
        <v>3094</v>
      </c>
      <c r="M277" t="s">
        <v>3082</v>
      </c>
      <c r="N277" t="s">
        <v>1651</v>
      </c>
      <c r="O277" s="39" t="s">
        <v>3078</v>
      </c>
      <c r="P277" t="s">
        <v>707</v>
      </c>
      <c r="Q277" t="s">
        <v>1546</v>
      </c>
      <c r="R277" s="10">
        <v>175.6</v>
      </c>
      <c r="T277" t="s">
        <v>1848</v>
      </c>
    </row>
    <row r="278" spans="1:20" x14ac:dyDescent="0.35">
      <c r="A278">
        <v>2023</v>
      </c>
      <c r="B278" t="s">
        <v>772</v>
      </c>
      <c r="C278" t="s">
        <v>101</v>
      </c>
      <c r="D278" t="s">
        <v>126</v>
      </c>
      <c r="E278" t="s">
        <v>1400</v>
      </c>
      <c r="G278" t="s">
        <v>1850</v>
      </c>
      <c r="H278" s="37" t="s">
        <v>11</v>
      </c>
      <c r="I278" s="37" t="s">
        <v>34</v>
      </c>
      <c r="J278" t="s">
        <v>127</v>
      </c>
      <c r="K278" t="s">
        <v>3007</v>
      </c>
      <c r="L278" t="s">
        <v>3094</v>
      </c>
      <c r="M278" t="s">
        <v>3082</v>
      </c>
      <c r="N278" t="s">
        <v>1650</v>
      </c>
      <c r="O278" s="39">
        <v>2025884</v>
      </c>
      <c r="P278" t="s">
        <v>707</v>
      </c>
      <c r="Q278" t="s">
        <v>1546</v>
      </c>
      <c r="R278" s="10">
        <v>1.7010000000000001</v>
      </c>
      <c r="T278" t="s">
        <v>1848</v>
      </c>
    </row>
    <row r="279" spans="1:20" x14ac:dyDescent="0.35">
      <c r="A279">
        <v>2023</v>
      </c>
      <c r="B279" t="s">
        <v>772</v>
      </c>
      <c r="C279" t="s">
        <v>101</v>
      </c>
      <c r="D279" t="s">
        <v>126</v>
      </c>
      <c r="E279" t="s">
        <v>1400</v>
      </c>
      <c r="G279" t="s">
        <v>1850</v>
      </c>
      <c r="H279" s="37" t="s">
        <v>11</v>
      </c>
      <c r="I279" s="37" t="s">
        <v>34</v>
      </c>
      <c r="J279" t="s">
        <v>127</v>
      </c>
      <c r="K279" t="s">
        <v>3007</v>
      </c>
      <c r="L279" t="s">
        <v>3094</v>
      </c>
      <c r="M279" t="s">
        <v>3083</v>
      </c>
      <c r="N279" t="s">
        <v>3099</v>
      </c>
      <c r="O279" s="39" t="s">
        <v>3100</v>
      </c>
      <c r="P279" t="s">
        <v>707</v>
      </c>
      <c r="Q279" t="s">
        <v>1546</v>
      </c>
      <c r="R279" s="10">
        <v>7.74</v>
      </c>
      <c r="T279" t="s">
        <v>1848</v>
      </c>
    </row>
    <row r="280" spans="1:20" x14ac:dyDescent="0.35">
      <c r="A280">
        <v>2023</v>
      </c>
      <c r="B280" t="s">
        <v>772</v>
      </c>
      <c r="C280" t="s">
        <v>101</v>
      </c>
      <c r="D280" t="s">
        <v>126</v>
      </c>
      <c r="E280" t="s">
        <v>1400</v>
      </c>
      <c r="G280" t="s">
        <v>1850</v>
      </c>
      <c r="H280" s="37" t="s">
        <v>11</v>
      </c>
      <c r="I280" s="37" t="s">
        <v>34</v>
      </c>
      <c r="J280" t="s">
        <v>127</v>
      </c>
      <c r="K280" t="s">
        <v>3007</v>
      </c>
      <c r="L280" t="s">
        <v>3094</v>
      </c>
      <c r="M280" t="s">
        <v>3083</v>
      </c>
      <c r="N280" t="s">
        <v>3188</v>
      </c>
      <c r="O280" s="39" t="s">
        <v>3073</v>
      </c>
      <c r="P280" t="s">
        <v>707</v>
      </c>
      <c r="Q280" t="s">
        <v>1546</v>
      </c>
      <c r="R280" s="10">
        <v>45.9</v>
      </c>
      <c r="T280" t="s">
        <v>1848</v>
      </c>
    </row>
    <row r="281" spans="1:20" x14ac:dyDescent="0.35">
      <c r="A281">
        <v>2023</v>
      </c>
      <c r="B281" t="s">
        <v>772</v>
      </c>
      <c r="C281" t="s">
        <v>101</v>
      </c>
      <c r="D281" t="s">
        <v>126</v>
      </c>
      <c r="E281" t="s">
        <v>1400</v>
      </c>
      <c r="G281" t="s">
        <v>1850</v>
      </c>
      <c r="H281" s="37" t="s">
        <v>11</v>
      </c>
      <c r="I281" s="37" t="s">
        <v>34</v>
      </c>
      <c r="J281" t="s">
        <v>127</v>
      </c>
      <c r="K281" t="s">
        <v>3006</v>
      </c>
      <c r="L281" t="s">
        <v>3096</v>
      </c>
      <c r="M281" t="s">
        <v>3083</v>
      </c>
      <c r="N281" t="s">
        <v>3006</v>
      </c>
      <c r="O281" s="39" t="s">
        <v>3086</v>
      </c>
      <c r="P281" t="s">
        <v>1689</v>
      </c>
      <c r="Q281" t="s">
        <v>1617</v>
      </c>
      <c r="R281" s="10">
        <v>17062.697499999998</v>
      </c>
      <c r="S281" t="s">
        <v>1689</v>
      </c>
      <c r="T281" t="s">
        <v>1848</v>
      </c>
    </row>
    <row r="282" spans="1:20" x14ac:dyDescent="0.35">
      <c r="A282">
        <v>2023</v>
      </c>
      <c r="B282" t="s">
        <v>772</v>
      </c>
      <c r="C282" t="s">
        <v>101</v>
      </c>
      <c r="D282" t="s">
        <v>126</v>
      </c>
      <c r="E282" t="s">
        <v>1400</v>
      </c>
      <c r="G282" t="s">
        <v>1850</v>
      </c>
      <c r="H282" s="37" t="s">
        <v>11</v>
      </c>
      <c r="I282" s="37" t="s">
        <v>34</v>
      </c>
      <c r="J282" t="s">
        <v>127</v>
      </c>
      <c r="K282" t="s">
        <v>3006</v>
      </c>
      <c r="L282" t="s">
        <v>3097</v>
      </c>
      <c r="M282" t="s">
        <v>3083</v>
      </c>
      <c r="N282" t="s">
        <v>3006</v>
      </c>
      <c r="O282" s="39" t="s">
        <v>3086</v>
      </c>
      <c r="P282" t="s">
        <v>1690</v>
      </c>
      <c r="Q282" t="s">
        <v>1617</v>
      </c>
      <c r="R282" s="10">
        <v>1986.9308999999998</v>
      </c>
      <c r="S282" t="s">
        <v>1690</v>
      </c>
      <c r="T282" t="s">
        <v>1848</v>
      </c>
    </row>
    <row r="283" spans="1:20" x14ac:dyDescent="0.35">
      <c r="A283">
        <v>2023</v>
      </c>
      <c r="B283" t="s">
        <v>772</v>
      </c>
      <c r="C283" t="s">
        <v>101</v>
      </c>
      <c r="D283" t="s">
        <v>126</v>
      </c>
      <c r="E283" t="s">
        <v>1400</v>
      </c>
      <c r="G283" t="s">
        <v>1850</v>
      </c>
      <c r="H283" s="37" t="s">
        <v>11</v>
      </c>
      <c r="I283" s="37" t="s">
        <v>34</v>
      </c>
      <c r="J283" t="s">
        <v>127</v>
      </c>
      <c r="K283" t="s">
        <v>3006</v>
      </c>
      <c r="L283" t="s">
        <v>3098</v>
      </c>
      <c r="M283" t="s">
        <v>3083</v>
      </c>
      <c r="N283" t="s">
        <v>3006</v>
      </c>
      <c r="O283" s="39" t="s">
        <v>3086</v>
      </c>
      <c r="P283" t="s">
        <v>1691</v>
      </c>
      <c r="Q283" t="s">
        <v>1617</v>
      </c>
      <c r="R283" s="10">
        <v>23241.256000000001</v>
      </c>
      <c r="S283" t="s">
        <v>1691</v>
      </c>
      <c r="T283" t="s">
        <v>1848</v>
      </c>
    </row>
    <row r="284" spans="1:20" x14ac:dyDescent="0.35">
      <c r="A284">
        <v>2023</v>
      </c>
      <c r="B284" t="s">
        <v>772</v>
      </c>
      <c r="C284" t="s">
        <v>101</v>
      </c>
      <c r="D284" t="s">
        <v>361</v>
      </c>
      <c r="E284" t="s">
        <v>1405</v>
      </c>
      <c r="G284" t="s">
        <v>1850</v>
      </c>
      <c r="H284" s="37" t="s">
        <v>233</v>
      </c>
      <c r="I284" s="37" t="s">
        <v>292</v>
      </c>
      <c r="J284" t="s">
        <v>362</v>
      </c>
      <c r="K284" t="s">
        <v>3007</v>
      </c>
      <c r="L284" t="s">
        <v>3094</v>
      </c>
      <c r="M284" t="s">
        <v>3082</v>
      </c>
      <c r="N284" t="s">
        <v>3194</v>
      </c>
      <c r="O284" s="39" t="s">
        <v>3068</v>
      </c>
      <c r="P284" t="s">
        <v>707</v>
      </c>
      <c r="Q284" t="s">
        <v>1546</v>
      </c>
      <c r="R284" s="10">
        <v>83.88</v>
      </c>
      <c r="T284" t="s">
        <v>1848</v>
      </c>
    </row>
    <row r="285" spans="1:20" x14ac:dyDescent="0.35">
      <c r="A285">
        <v>2023</v>
      </c>
      <c r="B285" t="s">
        <v>772</v>
      </c>
      <c r="C285" t="s">
        <v>101</v>
      </c>
      <c r="D285" t="s">
        <v>361</v>
      </c>
      <c r="E285" t="s">
        <v>1405</v>
      </c>
      <c r="G285" t="s">
        <v>1850</v>
      </c>
      <c r="H285" s="37" t="s">
        <v>233</v>
      </c>
      <c r="I285" s="37" t="s">
        <v>292</v>
      </c>
      <c r="J285" t="s">
        <v>362</v>
      </c>
      <c r="K285" t="s">
        <v>3007</v>
      </c>
      <c r="L285" t="s">
        <v>3094</v>
      </c>
      <c r="M285" t="s">
        <v>3082</v>
      </c>
      <c r="N285" t="s">
        <v>3190</v>
      </c>
      <c r="O285" s="39" t="s">
        <v>3071</v>
      </c>
      <c r="P285" t="s">
        <v>707</v>
      </c>
      <c r="Q285" t="s">
        <v>1546</v>
      </c>
      <c r="R285" s="10">
        <v>0.26734000000000002</v>
      </c>
      <c r="T285" t="s">
        <v>1848</v>
      </c>
    </row>
    <row r="286" spans="1:20" x14ac:dyDescent="0.35">
      <c r="A286">
        <v>2023</v>
      </c>
      <c r="B286" t="s">
        <v>772</v>
      </c>
      <c r="C286" t="s">
        <v>101</v>
      </c>
      <c r="D286" t="s">
        <v>361</v>
      </c>
      <c r="E286" t="s">
        <v>1405</v>
      </c>
      <c r="G286" t="s">
        <v>1850</v>
      </c>
      <c r="H286" s="37" t="s">
        <v>233</v>
      </c>
      <c r="I286" s="37" t="s">
        <v>292</v>
      </c>
      <c r="J286" t="s">
        <v>362</v>
      </c>
      <c r="K286" t="s">
        <v>3007</v>
      </c>
      <c r="L286" t="s">
        <v>3094</v>
      </c>
      <c r="M286" t="s">
        <v>3082</v>
      </c>
      <c r="N286" t="s">
        <v>1651</v>
      </c>
      <c r="O286" s="39" t="s">
        <v>3078</v>
      </c>
      <c r="P286" t="s">
        <v>707</v>
      </c>
      <c r="Q286" t="s">
        <v>1546</v>
      </c>
      <c r="R286" s="10">
        <v>453.05</v>
      </c>
      <c r="T286" t="s">
        <v>1848</v>
      </c>
    </row>
    <row r="287" spans="1:20" x14ac:dyDescent="0.35">
      <c r="A287">
        <v>2023</v>
      </c>
      <c r="B287" t="s">
        <v>772</v>
      </c>
      <c r="C287" t="s">
        <v>101</v>
      </c>
      <c r="D287" t="s">
        <v>361</v>
      </c>
      <c r="E287" t="s">
        <v>1405</v>
      </c>
      <c r="G287" t="s">
        <v>1850</v>
      </c>
      <c r="H287" s="37" t="s">
        <v>233</v>
      </c>
      <c r="I287" s="37" t="s">
        <v>292</v>
      </c>
      <c r="J287" t="s">
        <v>362</v>
      </c>
      <c r="K287" t="s">
        <v>3007</v>
      </c>
      <c r="L287" t="s">
        <v>3094</v>
      </c>
      <c r="M287" t="s">
        <v>3082</v>
      </c>
      <c r="N287" t="s">
        <v>1650</v>
      </c>
      <c r="O287" s="39">
        <v>2025884</v>
      </c>
      <c r="P287" t="s">
        <v>707</v>
      </c>
      <c r="Q287" t="s">
        <v>1546</v>
      </c>
      <c r="R287" s="10">
        <v>1916.1</v>
      </c>
      <c r="T287" t="s">
        <v>1848</v>
      </c>
    </row>
    <row r="288" spans="1:20" x14ac:dyDescent="0.35">
      <c r="A288">
        <v>2023</v>
      </c>
      <c r="B288" t="s">
        <v>772</v>
      </c>
      <c r="C288" t="s">
        <v>101</v>
      </c>
      <c r="D288" t="s">
        <v>361</v>
      </c>
      <c r="E288" t="s">
        <v>1405</v>
      </c>
      <c r="G288" t="s">
        <v>1850</v>
      </c>
      <c r="H288" s="37" t="s">
        <v>233</v>
      </c>
      <c r="I288" s="37" t="s">
        <v>292</v>
      </c>
      <c r="J288" t="s">
        <v>362</v>
      </c>
      <c r="K288" t="s">
        <v>3007</v>
      </c>
      <c r="L288" t="s">
        <v>3094</v>
      </c>
      <c r="M288" t="s">
        <v>3083</v>
      </c>
      <c r="N288" t="s">
        <v>3099</v>
      </c>
      <c r="O288" s="39" t="s">
        <v>3100</v>
      </c>
      <c r="P288" t="s">
        <v>707</v>
      </c>
      <c r="Q288" t="s">
        <v>1546</v>
      </c>
      <c r="R288" s="10">
        <v>67.37</v>
      </c>
      <c r="T288" t="s">
        <v>1848</v>
      </c>
    </row>
    <row r="289" spans="1:20" x14ac:dyDescent="0.35">
      <c r="A289">
        <v>2023</v>
      </c>
      <c r="B289" t="s">
        <v>772</v>
      </c>
      <c r="C289" t="s">
        <v>101</v>
      </c>
      <c r="D289" t="s">
        <v>361</v>
      </c>
      <c r="E289" t="s">
        <v>1405</v>
      </c>
      <c r="G289" t="s">
        <v>1850</v>
      </c>
      <c r="H289" s="37" t="s">
        <v>233</v>
      </c>
      <c r="I289" s="37" t="s">
        <v>292</v>
      </c>
      <c r="J289" t="s">
        <v>362</v>
      </c>
      <c r="K289" t="s">
        <v>3007</v>
      </c>
      <c r="L289" t="s">
        <v>3094</v>
      </c>
      <c r="M289" t="s">
        <v>3083</v>
      </c>
      <c r="N289" t="s">
        <v>3188</v>
      </c>
      <c r="O289" s="39" t="s">
        <v>3073</v>
      </c>
      <c r="P289" t="s">
        <v>707</v>
      </c>
      <c r="Q289" t="s">
        <v>1546</v>
      </c>
      <c r="R289" s="10">
        <v>12.52</v>
      </c>
      <c r="T289" t="s">
        <v>1848</v>
      </c>
    </row>
    <row r="290" spans="1:20" x14ac:dyDescent="0.35">
      <c r="A290">
        <v>2023</v>
      </c>
      <c r="B290" t="s">
        <v>772</v>
      </c>
      <c r="C290" t="s">
        <v>101</v>
      </c>
      <c r="D290" t="s">
        <v>361</v>
      </c>
      <c r="E290" t="s">
        <v>1405</v>
      </c>
      <c r="G290" t="s">
        <v>1850</v>
      </c>
      <c r="H290" s="37" t="s">
        <v>233</v>
      </c>
      <c r="I290" s="37" t="s">
        <v>292</v>
      </c>
      <c r="J290" t="s">
        <v>362</v>
      </c>
      <c r="K290" t="s">
        <v>3006</v>
      </c>
      <c r="L290" t="s">
        <v>3096</v>
      </c>
      <c r="M290" t="s">
        <v>3083</v>
      </c>
      <c r="N290" t="s">
        <v>3006</v>
      </c>
      <c r="O290" s="39" t="s">
        <v>3086</v>
      </c>
      <c r="P290" t="s">
        <v>1689</v>
      </c>
      <c r="Q290" t="s">
        <v>1617</v>
      </c>
      <c r="R290" s="10">
        <v>73097.570000000007</v>
      </c>
      <c r="S290" t="s">
        <v>1689</v>
      </c>
      <c r="T290" t="s">
        <v>1848</v>
      </c>
    </row>
    <row r="291" spans="1:20" x14ac:dyDescent="0.35">
      <c r="A291">
        <v>2023</v>
      </c>
      <c r="B291" t="s">
        <v>772</v>
      </c>
      <c r="C291" t="s">
        <v>101</v>
      </c>
      <c r="D291" t="s">
        <v>361</v>
      </c>
      <c r="E291" t="s">
        <v>1405</v>
      </c>
      <c r="G291" t="s">
        <v>1850</v>
      </c>
      <c r="H291" s="37" t="s">
        <v>233</v>
      </c>
      <c r="I291" s="37" t="s">
        <v>292</v>
      </c>
      <c r="J291" t="s">
        <v>362</v>
      </c>
      <c r="K291" t="s">
        <v>3006</v>
      </c>
      <c r="L291" t="s">
        <v>3097</v>
      </c>
      <c r="M291" t="s">
        <v>3083</v>
      </c>
      <c r="N291" t="s">
        <v>3006</v>
      </c>
      <c r="O291" s="39" t="s">
        <v>3086</v>
      </c>
      <c r="P291" t="s">
        <v>1690</v>
      </c>
      <c r="Q291" t="s">
        <v>1617</v>
      </c>
      <c r="R291" s="10">
        <v>66314.803</v>
      </c>
      <c r="S291" t="s">
        <v>1690</v>
      </c>
      <c r="T291" t="s">
        <v>1848</v>
      </c>
    </row>
    <row r="292" spans="1:20" x14ac:dyDescent="0.35">
      <c r="A292">
        <v>2023</v>
      </c>
      <c r="B292" t="s">
        <v>772</v>
      </c>
      <c r="C292" t="s">
        <v>101</v>
      </c>
      <c r="D292" t="s">
        <v>361</v>
      </c>
      <c r="E292" t="s">
        <v>1405</v>
      </c>
      <c r="G292" t="s">
        <v>1850</v>
      </c>
      <c r="H292" s="37" t="s">
        <v>233</v>
      </c>
      <c r="I292" s="37" t="s">
        <v>292</v>
      </c>
      <c r="J292" t="s">
        <v>362</v>
      </c>
      <c r="K292" t="s">
        <v>3006</v>
      </c>
      <c r="L292" t="s">
        <v>3098</v>
      </c>
      <c r="M292" t="s">
        <v>3083</v>
      </c>
      <c r="N292" t="s">
        <v>3006</v>
      </c>
      <c r="O292" s="39" t="s">
        <v>3086</v>
      </c>
      <c r="P292" t="s">
        <v>1691</v>
      </c>
      <c r="Q292" t="s">
        <v>1617</v>
      </c>
      <c r="R292" s="10">
        <v>6782.7669999999998</v>
      </c>
      <c r="S292" t="s">
        <v>1691</v>
      </c>
      <c r="T292" t="s">
        <v>1848</v>
      </c>
    </row>
    <row r="293" spans="1:20" x14ac:dyDescent="0.35">
      <c r="A293">
        <v>2023</v>
      </c>
      <c r="B293" t="s">
        <v>772</v>
      </c>
      <c r="C293" t="s">
        <v>730</v>
      </c>
      <c r="D293" t="s">
        <v>59</v>
      </c>
      <c r="E293" t="s">
        <v>1439</v>
      </c>
      <c r="G293" t="s">
        <v>2220</v>
      </c>
      <c r="H293" s="37" t="s">
        <v>11</v>
      </c>
      <c r="I293" s="37" t="s">
        <v>13</v>
      </c>
      <c r="J293" t="s">
        <v>16</v>
      </c>
      <c r="K293" t="s">
        <v>3007</v>
      </c>
      <c r="L293" t="s">
        <v>3094</v>
      </c>
      <c r="M293" t="s">
        <v>3082</v>
      </c>
      <c r="N293" t="s">
        <v>3194</v>
      </c>
      <c r="O293" s="39" t="s">
        <v>3068</v>
      </c>
      <c r="P293" t="s">
        <v>707</v>
      </c>
      <c r="Q293" t="s">
        <v>1546</v>
      </c>
      <c r="R293" s="10">
        <v>18.670000000000002</v>
      </c>
      <c r="T293" t="s">
        <v>1872</v>
      </c>
    </row>
    <row r="294" spans="1:20" x14ac:dyDescent="0.35">
      <c r="A294">
        <v>2023</v>
      </c>
      <c r="B294" t="s">
        <v>772</v>
      </c>
      <c r="C294" t="s">
        <v>730</v>
      </c>
      <c r="D294" t="s">
        <v>59</v>
      </c>
      <c r="E294" t="s">
        <v>1439</v>
      </c>
      <c r="G294" t="s">
        <v>2220</v>
      </c>
      <c r="H294" s="37" t="s">
        <v>11</v>
      </c>
      <c r="I294" s="37" t="s">
        <v>13</v>
      </c>
      <c r="J294" t="s">
        <v>16</v>
      </c>
      <c r="K294" t="s">
        <v>3007</v>
      </c>
      <c r="L294" t="s">
        <v>3094</v>
      </c>
      <c r="M294" t="s">
        <v>3083</v>
      </c>
      <c r="N294" t="s">
        <v>3066</v>
      </c>
      <c r="O294" s="39" t="s">
        <v>3085</v>
      </c>
      <c r="P294" t="s">
        <v>1605</v>
      </c>
      <c r="Q294" t="s">
        <v>1635</v>
      </c>
      <c r="R294" s="10">
        <v>12303</v>
      </c>
      <c r="S294" t="s">
        <v>1605</v>
      </c>
      <c r="T294" t="s">
        <v>1872</v>
      </c>
    </row>
    <row r="295" spans="1:20" x14ac:dyDescent="0.35">
      <c r="A295">
        <v>2023</v>
      </c>
      <c r="B295" t="s">
        <v>772</v>
      </c>
      <c r="C295" t="s">
        <v>730</v>
      </c>
      <c r="D295" t="s">
        <v>59</v>
      </c>
      <c r="E295" t="s">
        <v>1439</v>
      </c>
      <c r="G295" t="s">
        <v>2220</v>
      </c>
      <c r="H295" s="37" t="s">
        <v>11</v>
      </c>
      <c r="I295" s="37" t="s">
        <v>13</v>
      </c>
      <c r="J295" t="s">
        <v>16</v>
      </c>
      <c r="K295" t="s">
        <v>3007</v>
      </c>
      <c r="L295" t="s">
        <v>3094</v>
      </c>
      <c r="M295" t="s">
        <v>3083</v>
      </c>
      <c r="N295" t="s">
        <v>3066</v>
      </c>
      <c r="O295" s="39" t="s">
        <v>3085</v>
      </c>
      <c r="P295" t="s">
        <v>1606</v>
      </c>
      <c r="Q295" t="s">
        <v>1635</v>
      </c>
      <c r="R295" s="10">
        <v>2791</v>
      </c>
      <c r="S295" t="s">
        <v>1606</v>
      </c>
      <c r="T295" t="s">
        <v>1872</v>
      </c>
    </row>
    <row r="296" spans="1:20" x14ac:dyDescent="0.35">
      <c r="A296">
        <v>2023</v>
      </c>
      <c r="B296" t="s">
        <v>772</v>
      </c>
      <c r="C296" t="s">
        <v>730</v>
      </c>
      <c r="D296" t="s">
        <v>59</v>
      </c>
      <c r="E296" t="s">
        <v>1439</v>
      </c>
      <c r="G296" t="s">
        <v>2220</v>
      </c>
      <c r="H296" s="37" t="s">
        <v>11</v>
      </c>
      <c r="I296" s="37" t="s">
        <v>13</v>
      </c>
      <c r="J296" t="s">
        <v>16</v>
      </c>
      <c r="K296" t="s">
        <v>3007</v>
      </c>
      <c r="L296" t="s">
        <v>3094</v>
      </c>
      <c r="M296" t="s">
        <v>3082</v>
      </c>
      <c r="N296" t="s">
        <v>3191</v>
      </c>
      <c r="O296" s="39" t="s">
        <v>3069</v>
      </c>
      <c r="P296" t="s">
        <v>707</v>
      </c>
      <c r="Q296" t="s">
        <v>1695</v>
      </c>
      <c r="R296" s="10">
        <v>0.05</v>
      </c>
      <c r="T296" t="s">
        <v>1872</v>
      </c>
    </row>
    <row r="297" spans="1:20" x14ac:dyDescent="0.35">
      <c r="A297">
        <v>2023</v>
      </c>
      <c r="B297" t="s">
        <v>772</v>
      </c>
      <c r="C297" t="s">
        <v>730</v>
      </c>
      <c r="D297" t="s">
        <v>59</v>
      </c>
      <c r="E297" t="s">
        <v>1439</v>
      </c>
      <c r="G297" t="s">
        <v>2220</v>
      </c>
      <c r="H297" s="37" t="s">
        <v>11</v>
      </c>
      <c r="I297" s="37" t="s">
        <v>13</v>
      </c>
      <c r="J297" t="s">
        <v>16</v>
      </c>
      <c r="K297" t="s">
        <v>3007</v>
      </c>
      <c r="L297" t="s">
        <v>3094</v>
      </c>
      <c r="M297" t="s">
        <v>3082</v>
      </c>
      <c r="N297" t="s">
        <v>3190</v>
      </c>
      <c r="O297" s="39" t="s">
        <v>3071</v>
      </c>
      <c r="P297" t="s">
        <v>707</v>
      </c>
      <c r="Q297" t="s">
        <v>1695</v>
      </c>
      <c r="R297" s="10">
        <v>0</v>
      </c>
      <c r="T297" t="s">
        <v>1872</v>
      </c>
    </row>
    <row r="298" spans="1:20" x14ac:dyDescent="0.35">
      <c r="A298">
        <v>2023</v>
      </c>
      <c r="B298" t="s">
        <v>772</v>
      </c>
      <c r="C298" t="s">
        <v>730</v>
      </c>
      <c r="D298" t="s">
        <v>59</v>
      </c>
      <c r="E298" t="s">
        <v>1439</v>
      </c>
      <c r="G298" t="s">
        <v>2220</v>
      </c>
      <c r="H298" s="37" t="s">
        <v>11</v>
      </c>
      <c r="I298" s="37" t="s">
        <v>13</v>
      </c>
      <c r="J298" t="s">
        <v>16</v>
      </c>
      <c r="K298" t="s">
        <v>3007</v>
      </c>
      <c r="L298" t="s">
        <v>3094</v>
      </c>
      <c r="M298" t="s">
        <v>3082</v>
      </c>
      <c r="N298" t="s">
        <v>1651</v>
      </c>
      <c r="O298" s="39" t="s">
        <v>3078</v>
      </c>
      <c r="P298" t="s">
        <v>707</v>
      </c>
      <c r="Q298" t="s">
        <v>1546</v>
      </c>
      <c r="R298" s="10">
        <v>10.92</v>
      </c>
      <c r="T298" t="s">
        <v>1872</v>
      </c>
    </row>
    <row r="299" spans="1:20" x14ac:dyDescent="0.35">
      <c r="A299">
        <v>2023</v>
      </c>
      <c r="B299" t="s">
        <v>772</v>
      </c>
      <c r="C299" t="s">
        <v>730</v>
      </c>
      <c r="D299" t="s">
        <v>59</v>
      </c>
      <c r="E299" t="s">
        <v>1439</v>
      </c>
      <c r="G299" t="s">
        <v>2220</v>
      </c>
      <c r="H299" s="37" t="s">
        <v>11</v>
      </c>
      <c r="I299" s="37" t="s">
        <v>13</v>
      </c>
      <c r="J299" t="s">
        <v>16</v>
      </c>
      <c r="K299" t="s">
        <v>3007</v>
      </c>
      <c r="L299" t="s">
        <v>3094</v>
      </c>
      <c r="M299" t="s">
        <v>3082</v>
      </c>
      <c r="N299" t="s">
        <v>1650</v>
      </c>
      <c r="O299" s="39">
        <v>2025884</v>
      </c>
      <c r="P299" t="s">
        <v>707</v>
      </c>
      <c r="Q299" t="s">
        <v>1546</v>
      </c>
      <c r="R299" s="10">
        <v>0.61</v>
      </c>
      <c r="T299" t="s">
        <v>1872</v>
      </c>
    </row>
    <row r="300" spans="1:20" x14ac:dyDescent="0.35">
      <c r="A300">
        <v>2023</v>
      </c>
      <c r="B300" t="s">
        <v>772</v>
      </c>
      <c r="C300" t="s">
        <v>730</v>
      </c>
      <c r="D300" t="s">
        <v>59</v>
      </c>
      <c r="E300" t="s">
        <v>1439</v>
      </c>
      <c r="G300" t="s">
        <v>2220</v>
      </c>
      <c r="H300" s="37" t="s">
        <v>11</v>
      </c>
      <c r="I300" s="37" t="s">
        <v>13</v>
      </c>
      <c r="J300" t="s">
        <v>16</v>
      </c>
      <c r="K300" t="s">
        <v>3007</v>
      </c>
      <c r="L300" t="s">
        <v>3094</v>
      </c>
      <c r="M300" t="s">
        <v>3083</v>
      </c>
      <c r="N300" t="s">
        <v>3188</v>
      </c>
      <c r="O300" s="39" t="s">
        <v>3073</v>
      </c>
      <c r="P300" t="s">
        <v>707</v>
      </c>
      <c r="Q300" t="s">
        <v>1546</v>
      </c>
      <c r="R300" s="10">
        <v>0.2</v>
      </c>
      <c r="T300" t="s">
        <v>1872</v>
      </c>
    </row>
    <row r="301" spans="1:20" x14ac:dyDescent="0.35">
      <c r="A301">
        <v>2023</v>
      </c>
      <c r="B301" t="s">
        <v>772</v>
      </c>
      <c r="C301" t="s">
        <v>730</v>
      </c>
      <c r="D301" t="s">
        <v>59</v>
      </c>
      <c r="E301" t="s">
        <v>1439</v>
      </c>
      <c r="G301" t="s">
        <v>2220</v>
      </c>
      <c r="H301" s="37" t="s">
        <v>11</v>
      </c>
      <c r="I301" s="37" t="s">
        <v>13</v>
      </c>
      <c r="J301" t="s">
        <v>16</v>
      </c>
      <c r="K301" t="s">
        <v>3006</v>
      </c>
      <c r="L301" t="s">
        <v>3096</v>
      </c>
      <c r="M301" t="s">
        <v>3083</v>
      </c>
      <c r="N301" t="s">
        <v>3006</v>
      </c>
      <c r="O301" s="39" t="s">
        <v>3086</v>
      </c>
      <c r="P301" t="s">
        <v>1689</v>
      </c>
      <c r="Q301" t="s">
        <v>1638</v>
      </c>
      <c r="R301" s="10">
        <v>518856</v>
      </c>
      <c r="S301" t="s">
        <v>1689</v>
      </c>
      <c r="T301" t="s">
        <v>1872</v>
      </c>
    </row>
    <row r="302" spans="1:20" x14ac:dyDescent="0.35">
      <c r="A302">
        <v>2023</v>
      </c>
      <c r="B302" t="s">
        <v>772</v>
      </c>
      <c r="C302" t="s">
        <v>730</v>
      </c>
      <c r="D302" t="s">
        <v>59</v>
      </c>
      <c r="E302" t="s">
        <v>1439</v>
      </c>
      <c r="G302" t="s">
        <v>2220</v>
      </c>
      <c r="H302" s="37" t="s">
        <v>11</v>
      </c>
      <c r="I302" s="37" t="s">
        <v>13</v>
      </c>
      <c r="J302" t="s">
        <v>16</v>
      </c>
      <c r="K302" t="s">
        <v>3006</v>
      </c>
      <c r="L302" t="s">
        <v>3096</v>
      </c>
      <c r="M302" t="s">
        <v>3083</v>
      </c>
      <c r="N302" t="s">
        <v>3006</v>
      </c>
      <c r="O302" s="39" t="s">
        <v>3086</v>
      </c>
      <c r="P302" t="s">
        <v>1725</v>
      </c>
      <c r="Q302" t="s">
        <v>1638</v>
      </c>
      <c r="R302" s="10">
        <v>518856</v>
      </c>
      <c r="S302" t="s">
        <v>1725</v>
      </c>
      <c r="T302" t="s">
        <v>1872</v>
      </c>
    </row>
    <row r="303" spans="1:20" x14ac:dyDescent="0.35">
      <c r="A303">
        <v>2023</v>
      </c>
      <c r="B303" t="s">
        <v>772</v>
      </c>
      <c r="C303" t="s">
        <v>730</v>
      </c>
      <c r="D303" t="s">
        <v>59</v>
      </c>
      <c r="E303" t="s">
        <v>1439</v>
      </c>
      <c r="G303" t="s">
        <v>2220</v>
      </c>
      <c r="H303" s="37" t="s">
        <v>11</v>
      </c>
      <c r="I303" s="37" t="s">
        <v>13</v>
      </c>
      <c r="J303" t="s">
        <v>16</v>
      </c>
      <c r="K303" t="s">
        <v>3006</v>
      </c>
      <c r="L303" t="s">
        <v>3098</v>
      </c>
      <c r="M303" t="s">
        <v>3083</v>
      </c>
      <c r="N303" t="s">
        <v>3006</v>
      </c>
      <c r="O303" s="39" t="s">
        <v>3086</v>
      </c>
      <c r="P303" t="s">
        <v>1639</v>
      </c>
      <c r="Q303" t="s">
        <v>1638</v>
      </c>
      <c r="R303" s="10">
        <v>29350</v>
      </c>
      <c r="S303" t="s">
        <v>1639</v>
      </c>
      <c r="T303" t="s">
        <v>1872</v>
      </c>
    </row>
    <row r="304" spans="1:20" x14ac:dyDescent="0.35">
      <c r="A304">
        <v>2023</v>
      </c>
      <c r="B304" t="s">
        <v>772</v>
      </c>
      <c r="C304" t="s">
        <v>730</v>
      </c>
      <c r="D304" t="s">
        <v>59</v>
      </c>
      <c r="E304" t="s">
        <v>1439</v>
      </c>
      <c r="G304" t="s">
        <v>2220</v>
      </c>
      <c r="H304" s="37" t="s">
        <v>11</v>
      </c>
      <c r="I304" s="37" t="s">
        <v>13</v>
      </c>
      <c r="J304" t="s">
        <v>16</v>
      </c>
      <c r="K304" t="s">
        <v>3006</v>
      </c>
      <c r="L304" t="s">
        <v>3097</v>
      </c>
      <c r="M304" t="s">
        <v>3083</v>
      </c>
      <c r="N304" t="s">
        <v>3006</v>
      </c>
      <c r="O304" s="39" t="s">
        <v>3086</v>
      </c>
      <c r="P304" t="s">
        <v>1680</v>
      </c>
      <c r="Q304" t="s">
        <v>1638</v>
      </c>
      <c r="R304" s="10">
        <v>324347</v>
      </c>
      <c r="S304" t="s">
        <v>1680</v>
      </c>
      <c r="T304" t="s">
        <v>1872</v>
      </c>
    </row>
    <row r="305" spans="1:20" x14ac:dyDescent="0.35">
      <c r="A305">
        <v>2023</v>
      </c>
      <c r="B305" t="s">
        <v>772</v>
      </c>
      <c r="C305" t="s">
        <v>730</v>
      </c>
      <c r="D305" t="s">
        <v>60</v>
      </c>
      <c r="E305" t="s">
        <v>1437</v>
      </c>
      <c r="G305" t="s">
        <v>2220</v>
      </c>
      <c r="H305" s="37" t="s">
        <v>11</v>
      </c>
      <c r="I305" s="37" t="s">
        <v>19</v>
      </c>
      <c r="J305" t="s">
        <v>16</v>
      </c>
      <c r="K305" t="s">
        <v>3007</v>
      </c>
      <c r="L305" t="s">
        <v>3094</v>
      </c>
      <c r="M305" t="s">
        <v>3082</v>
      </c>
      <c r="N305" t="s">
        <v>3194</v>
      </c>
      <c r="O305" s="39" t="s">
        <v>3068</v>
      </c>
      <c r="P305" t="s">
        <v>707</v>
      </c>
      <c r="Q305" t="s">
        <v>1546</v>
      </c>
      <c r="R305" s="10">
        <v>21.85</v>
      </c>
      <c r="T305" t="s">
        <v>1872</v>
      </c>
    </row>
    <row r="306" spans="1:20" x14ac:dyDescent="0.35">
      <c r="A306">
        <v>2023</v>
      </c>
      <c r="B306" t="s">
        <v>772</v>
      </c>
      <c r="C306" t="s">
        <v>730</v>
      </c>
      <c r="D306" t="s">
        <v>60</v>
      </c>
      <c r="E306" t="s">
        <v>1437</v>
      </c>
      <c r="G306" t="s">
        <v>2220</v>
      </c>
      <c r="H306" s="37" t="s">
        <v>11</v>
      </c>
      <c r="I306" s="37" t="s">
        <v>19</v>
      </c>
      <c r="J306" t="s">
        <v>16</v>
      </c>
      <c r="K306" t="s">
        <v>3007</v>
      </c>
      <c r="L306" t="s">
        <v>3094</v>
      </c>
      <c r="M306" t="s">
        <v>3083</v>
      </c>
      <c r="N306" t="s">
        <v>3066</v>
      </c>
      <c r="O306" s="39" t="s">
        <v>3085</v>
      </c>
      <c r="P306" t="s">
        <v>1605</v>
      </c>
      <c r="Q306" t="s">
        <v>1635</v>
      </c>
      <c r="R306" s="10">
        <v>4109</v>
      </c>
      <c r="S306" t="s">
        <v>1605</v>
      </c>
      <c r="T306" t="s">
        <v>1872</v>
      </c>
    </row>
    <row r="307" spans="1:20" x14ac:dyDescent="0.35">
      <c r="A307">
        <v>2023</v>
      </c>
      <c r="B307" t="s">
        <v>772</v>
      </c>
      <c r="C307" t="s">
        <v>730</v>
      </c>
      <c r="D307" t="s">
        <v>60</v>
      </c>
      <c r="E307" t="s">
        <v>1437</v>
      </c>
      <c r="G307" t="s">
        <v>2220</v>
      </c>
      <c r="H307" s="37" t="s">
        <v>11</v>
      </c>
      <c r="I307" s="37" t="s">
        <v>19</v>
      </c>
      <c r="J307" t="s">
        <v>16</v>
      </c>
      <c r="K307" t="s">
        <v>3007</v>
      </c>
      <c r="L307" t="s">
        <v>3094</v>
      </c>
      <c r="M307" t="s">
        <v>3083</v>
      </c>
      <c r="N307" t="s">
        <v>3066</v>
      </c>
      <c r="O307" s="39" t="s">
        <v>3085</v>
      </c>
      <c r="P307" t="s">
        <v>1606</v>
      </c>
      <c r="Q307" t="s">
        <v>1635</v>
      </c>
      <c r="R307" s="10">
        <v>64</v>
      </c>
      <c r="S307" t="s">
        <v>1606</v>
      </c>
      <c r="T307" t="s">
        <v>1872</v>
      </c>
    </row>
    <row r="308" spans="1:20" x14ac:dyDescent="0.35">
      <c r="A308">
        <v>2023</v>
      </c>
      <c r="B308" t="s">
        <v>772</v>
      </c>
      <c r="C308" t="s">
        <v>730</v>
      </c>
      <c r="D308" t="s">
        <v>60</v>
      </c>
      <c r="E308" t="s">
        <v>1437</v>
      </c>
      <c r="G308" t="s">
        <v>2220</v>
      </c>
      <c r="H308" s="37" t="s">
        <v>11</v>
      </c>
      <c r="I308" s="37" t="s">
        <v>19</v>
      </c>
      <c r="J308" t="s">
        <v>16</v>
      </c>
      <c r="K308" t="s">
        <v>3007</v>
      </c>
      <c r="L308" t="s">
        <v>3094</v>
      </c>
      <c r="M308" t="s">
        <v>3082</v>
      </c>
      <c r="N308" t="s">
        <v>3191</v>
      </c>
      <c r="O308" s="39" t="s">
        <v>3069</v>
      </c>
      <c r="P308" t="s">
        <v>707</v>
      </c>
      <c r="Q308" t="s">
        <v>1695</v>
      </c>
      <c r="R308" s="10">
        <v>6.0999999999999997E-4</v>
      </c>
      <c r="T308" t="s">
        <v>1872</v>
      </c>
    </row>
    <row r="309" spans="1:20" x14ac:dyDescent="0.35">
      <c r="A309">
        <v>2023</v>
      </c>
      <c r="B309" t="s">
        <v>772</v>
      </c>
      <c r="C309" t="s">
        <v>730</v>
      </c>
      <c r="D309" t="s">
        <v>60</v>
      </c>
      <c r="E309" t="s">
        <v>1437</v>
      </c>
      <c r="G309" t="s">
        <v>2220</v>
      </c>
      <c r="H309" s="37" t="s">
        <v>11</v>
      </c>
      <c r="I309" s="37" t="s">
        <v>19</v>
      </c>
      <c r="J309" t="s">
        <v>16</v>
      </c>
      <c r="K309" t="s">
        <v>3007</v>
      </c>
      <c r="L309" t="s">
        <v>3094</v>
      </c>
      <c r="M309" t="s">
        <v>3082</v>
      </c>
      <c r="N309" t="s">
        <v>3190</v>
      </c>
      <c r="O309" s="39" t="s">
        <v>3071</v>
      </c>
      <c r="P309" t="s">
        <v>707</v>
      </c>
      <c r="Q309" t="s">
        <v>1695</v>
      </c>
      <c r="R309" s="10">
        <v>1.4999999999999999E-4</v>
      </c>
      <c r="T309" t="s">
        <v>1872</v>
      </c>
    </row>
    <row r="310" spans="1:20" x14ac:dyDescent="0.35">
      <c r="A310">
        <v>2023</v>
      </c>
      <c r="B310" t="s">
        <v>772</v>
      </c>
      <c r="C310" t="s">
        <v>730</v>
      </c>
      <c r="D310" t="s">
        <v>60</v>
      </c>
      <c r="E310" t="s">
        <v>1437</v>
      </c>
      <c r="G310" t="s">
        <v>2220</v>
      </c>
      <c r="H310" s="37" t="s">
        <v>11</v>
      </c>
      <c r="I310" s="37" t="s">
        <v>19</v>
      </c>
      <c r="J310" t="s">
        <v>16</v>
      </c>
      <c r="K310" t="s">
        <v>3007</v>
      </c>
      <c r="L310" t="s">
        <v>3094</v>
      </c>
      <c r="M310" t="s">
        <v>3082</v>
      </c>
      <c r="N310" t="s">
        <v>1651</v>
      </c>
      <c r="O310" s="39" t="s">
        <v>3078</v>
      </c>
      <c r="P310" t="s">
        <v>707</v>
      </c>
      <c r="Q310" t="s">
        <v>1546</v>
      </c>
      <c r="R310" s="10">
        <v>1.47</v>
      </c>
      <c r="T310" t="s">
        <v>1872</v>
      </c>
    </row>
    <row r="311" spans="1:20" x14ac:dyDescent="0.35">
      <c r="A311">
        <v>2023</v>
      </c>
      <c r="B311" t="s">
        <v>772</v>
      </c>
      <c r="C311" t="s">
        <v>730</v>
      </c>
      <c r="D311" t="s">
        <v>60</v>
      </c>
      <c r="E311" t="s">
        <v>1437</v>
      </c>
      <c r="G311" t="s">
        <v>2220</v>
      </c>
      <c r="H311" s="37" t="s">
        <v>11</v>
      </c>
      <c r="I311" s="37" t="s">
        <v>19</v>
      </c>
      <c r="J311" t="s">
        <v>16</v>
      </c>
      <c r="K311" t="s">
        <v>3007</v>
      </c>
      <c r="L311" t="s">
        <v>3094</v>
      </c>
      <c r="M311" t="s">
        <v>3082</v>
      </c>
      <c r="N311" t="s">
        <v>1650</v>
      </c>
      <c r="O311" s="39">
        <v>2025884</v>
      </c>
      <c r="P311" t="s">
        <v>707</v>
      </c>
      <c r="Q311" t="s">
        <v>1546</v>
      </c>
      <c r="R311" s="10">
        <v>1.1399999999999999</v>
      </c>
      <c r="T311" t="s">
        <v>1872</v>
      </c>
    </row>
    <row r="312" spans="1:20" x14ac:dyDescent="0.35">
      <c r="A312">
        <v>2023</v>
      </c>
      <c r="B312" t="s">
        <v>772</v>
      </c>
      <c r="C312" t="s">
        <v>730</v>
      </c>
      <c r="D312" t="s">
        <v>60</v>
      </c>
      <c r="E312" t="s">
        <v>1437</v>
      </c>
      <c r="G312" t="s">
        <v>2220</v>
      </c>
      <c r="H312" s="37" t="s">
        <v>11</v>
      </c>
      <c r="I312" s="37" t="s">
        <v>19</v>
      </c>
      <c r="J312" t="s">
        <v>16</v>
      </c>
      <c r="K312" t="s">
        <v>3007</v>
      </c>
      <c r="L312" t="s">
        <v>3094</v>
      </c>
      <c r="M312" t="s">
        <v>3083</v>
      </c>
      <c r="N312" t="s">
        <v>3188</v>
      </c>
      <c r="O312" s="39" t="s">
        <v>3073</v>
      </c>
      <c r="P312" t="s">
        <v>707</v>
      </c>
      <c r="Q312" t="s">
        <v>1546</v>
      </c>
      <c r="R312" s="10">
        <v>0.99</v>
      </c>
      <c r="T312" t="s">
        <v>1872</v>
      </c>
    </row>
    <row r="313" spans="1:20" x14ac:dyDescent="0.35">
      <c r="A313">
        <v>2023</v>
      </c>
      <c r="B313" t="s">
        <v>772</v>
      </c>
      <c r="C313" t="s">
        <v>730</v>
      </c>
      <c r="D313" t="s">
        <v>60</v>
      </c>
      <c r="E313" t="s">
        <v>1437</v>
      </c>
      <c r="G313" t="s">
        <v>2220</v>
      </c>
      <c r="H313" s="37" t="s">
        <v>11</v>
      </c>
      <c r="I313" s="37" t="s">
        <v>19</v>
      </c>
      <c r="J313" t="s">
        <v>16</v>
      </c>
      <c r="K313" t="s">
        <v>3006</v>
      </c>
      <c r="L313" t="s">
        <v>3096</v>
      </c>
      <c r="M313" t="s">
        <v>3083</v>
      </c>
      <c r="N313" t="s">
        <v>3006</v>
      </c>
      <c r="O313" s="39" t="s">
        <v>3086</v>
      </c>
      <c r="P313" t="s">
        <v>1689</v>
      </c>
      <c r="Q313" t="s">
        <v>1638</v>
      </c>
      <c r="R313" s="10">
        <v>168115</v>
      </c>
      <c r="S313" t="s">
        <v>1689</v>
      </c>
      <c r="T313" t="s">
        <v>1872</v>
      </c>
    </row>
    <row r="314" spans="1:20" x14ac:dyDescent="0.35">
      <c r="A314">
        <v>2023</v>
      </c>
      <c r="B314" t="s">
        <v>772</v>
      </c>
      <c r="C314" t="s">
        <v>730</v>
      </c>
      <c r="D314" t="s">
        <v>60</v>
      </c>
      <c r="E314" t="s">
        <v>1437</v>
      </c>
      <c r="G314" t="s">
        <v>2220</v>
      </c>
      <c r="H314" s="37" t="s">
        <v>11</v>
      </c>
      <c r="I314" s="37" t="s">
        <v>19</v>
      </c>
      <c r="J314" t="s">
        <v>16</v>
      </c>
      <c r="K314" t="s">
        <v>3006</v>
      </c>
      <c r="L314" t="s">
        <v>3096</v>
      </c>
      <c r="M314" t="s">
        <v>3083</v>
      </c>
      <c r="N314" t="s">
        <v>3006</v>
      </c>
      <c r="O314" s="39" t="s">
        <v>3086</v>
      </c>
      <c r="P314" t="s">
        <v>1725</v>
      </c>
      <c r="Q314" t="s">
        <v>1638</v>
      </c>
      <c r="R314" s="10">
        <v>168115</v>
      </c>
      <c r="S314" t="s">
        <v>1725</v>
      </c>
      <c r="T314" t="s">
        <v>1872</v>
      </c>
    </row>
    <row r="315" spans="1:20" x14ac:dyDescent="0.35">
      <c r="A315">
        <v>2023</v>
      </c>
      <c r="B315" t="s">
        <v>772</v>
      </c>
      <c r="C315" t="s">
        <v>730</v>
      </c>
      <c r="D315" t="s">
        <v>60</v>
      </c>
      <c r="E315" t="s">
        <v>1437</v>
      </c>
      <c r="G315" t="s">
        <v>2220</v>
      </c>
      <c r="H315" s="37" t="s">
        <v>11</v>
      </c>
      <c r="I315" s="37" t="s">
        <v>19</v>
      </c>
      <c r="J315" t="s">
        <v>16</v>
      </c>
      <c r="K315" t="s">
        <v>3006</v>
      </c>
      <c r="L315" t="s">
        <v>3098</v>
      </c>
      <c r="M315" t="s">
        <v>3083</v>
      </c>
      <c r="N315" t="s">
        <v>3006</v>
      </c>
      <c r="O315" s="39" t="s">
        <v>3086</v>
      </c>
      <c r="P315" t="s">
        <v>1639</v>
      </c>
      <c r="Q315" t="s">
        <v>1638</v>
      </c>
      <c r="R315" s="10">
        <v>82144</v>
      </c>
      <c r="S315" t="s">
        <v>1639</v>
      </c>
      <c r="T315" t="s">
        <v>1872</v>
      </c>
    </row>
    <row r="316" spans="1:20" x14ac:dyDescent="0.35">
      <c r="A316">
        <v>2023</v>
      </c>
      <c r="B316" t="s">
        <v>772</v>
      </c>
      <c r="C316" t="s">
        <v>730</v>
      </c>
      <c r="D316" t="s">
        <v>60</v>
      </c>
      <c r="E316" t="s">
        <v>1437</v>
      </c>
      <c r="G316" t="s">
        <v>2220</v>
      </c>
      <c r="H316" s="37" t="s">
        <v>11</v>
      </c>
      <c r="I316" s="37" t="s">
        <v>19</v>
      </c>
      <c r="J316" t="s">
        <v>16</v>
      </c>
      <c r="K316" t="s">
        <v>3006</v>
      </c>
      <c r="L316" t="s">
        <v>3097</v>
      </c>
      <c r="M316" t="s">
        <v>3083</v>
      </c>
      <c r="N316" t="s">
        <v>3006</v>
      </c>
      <c r="O316" s="39" t="s">
        <v>3086</v>
      </c>
      <c r="P316" t="s">
        <v>1680</v>
      </c>
      <c r="Q316" t="s">
        <v>1638</v>
      </c>
      <c r="R316" s="10">
        <v>536420</v>
      </c>
      <c r="S316" t="s">
        <v>1680</v>
      </c>
      <c r="T316" t="s">
        <v>1872</v>
      </c>
    </row>
  </sheetData>
  <autoFilter ref="A1:T1" xr:uid="{0CC5A778-F666-4D25-9615-BD5BD598548E}"/>
  <phoneticPr fontId="3" type="noConversion"/>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AA8D1-3115-4939-9E1F-86DF342CDC4E}">
  <dimension ref="A1:P233"/>
  <sheetViews>
    <sheetView topLeftCell="B1" workbookViewId="0">
      <pane xSplit="5" topLeftCell="K1" activePane="topRight" state="frozen"/>
      <selection activeCell="B1" sqref="B1"/>
      <selection pane="topRight" activeCell="L11" sqref="L11"/>
    </sheetView>
  </sheetViews>
  <sheetFormatPr baseColWidth="10" defaultColWidth="8.7265625" defaultRowHeight="14.5" x14ac:dyDescent="0.35"/>
  <cols>
    <col min="1" max="1" width="6.90625" style="54" bestFit="1" customWidth="1"/>
    <col min="2" max="2" width="32.90625" style="54" bestFit="1" customWidth="1"/>
    <col min="3" max="3" width="28" style="54" bestFit="1" customWidth="1"/>
    <col min="4" max="4" width="20" style="54" bestFit="1" customWidth="1"/>
    <col min="5" max="5" width="17.90625" style="54" bestFit="1" customWidth="1"/>
    <col min="6" max="7" width="17.90625" style="54" customWidth="1"/>
    <col min="8" max="8" width="22.36328125" style="54" bestFit="1" customWidth="1"/>
    <col min="9" max="9" width="31.453125" style="54" bestFit="1" customWidth="1"/>
    <col min="10" max="10" width="29.1796875" style="54" bestFit="1" customWidth="1"/>
    <col min="11" max="11" width="29.1796875" style="54" customWidth="1"/>
    <col min="12" max="12" width="46.1796875" style="54" bestFit="1" customWidth="1"/>
    <col min="13" max="13" width="32.36328125" style="54" bestFit="1" customWidth="1"/>
    <col min="14" max="14" width="12.453125" style="55" bestFit="1" customWidth="1"/>
    <col min="15" max="15" width="48.6328125" style="55" bestFit="1" customWidth="1"/>
    <col min="16" max="16" width="53.81640625" style="54" bestFit="1" customWidth="1"/>
    <col min="17" max="16384" width="8.7265625" style="54"/>
  </cols>
  <sheetData>
    <row r="1" spans="1:16" x14ac:dyDescent="0.35">
      <c r="A1" s="51" t="s">
        <v>1538</v>
      </c>
      <c r="B1" s="51" t="s">
        <v>1553</v>
      </c>
      <c r="C1" s="52" t="s">
        <v>0</v>
      </c>
      <c r="D1" s="51" t="s">
        <v>1653</v>
      </c>
      <c r="E1" s="51" t="s">
        <v>2</v>
      </c>
      <c r="F1" s="51" t="s">
        <v>2030</v>
      </c>
      <c r="G1" s="51" t="s">
        <v>2028</v>
      </c>
      <c r="H1" s="51" t="s">
        <v>4</v>
      </c>
      <c r="I1" s="51" t="s">
        <v>6</v>
      </c>
      <c r="J1" s="51" t="s">
        <v>1540</v>
      </c>
      <c r="K1" s="51" t="s">
        <v>3003</v>
      </c>
      <c r="L1" s="51" t="s">
        <v>3008</v>
      </c>
      <c r="M1" s="51" t="s">
        <v>1542</v>
      </c>
      <c r="N1" s="53" t="s">
        <v>2505</v>
      </c>
      <c r="O1" s="53" t="s">
        <v>7</v>
      </c>
      <c r="P1" s="51" t="s">
        <v>1543</v>
      </c>
    </row>
    <row r="2" spans="1:16" x14ac:dyDescent="0.35">
      <c r="A2" s="54">
        <v>2023</v>
      </c>
      <c r="B2" s="54" t="s">
        <v>772</v>
      </c>
      <c r="C2" s="54" t="s">
        <v>39</v>
      </c>
      <c r="D2" s="54" t="s">
        <v>77</v>
      </c>
      <c r="E2" s="54" t="s">
        <v>1323</v>
      </c>
      <c r="G2" s="54" t="s">
        <v>2151</v>
      </c>
      <c r="H2" s="54" t="s">
        <v>11</v>
      </c>
      <c r="I2" s="54" t="s">
        <v>13</v>
      </c>
      <c r="J2" s="54" t="s">
        <v>64</v>
      </c>
      <c r="K2" s="54" t="s">
        <v>3109</v>
      </c>
      <c r="L2" s="54" t="s">
        <v>3058</v>
      </c>
      <c r="M2" s="54" t="s">
        <v>402</v>
      </c>
      <c r="N2" s="55">
        <v>18.475650647999998</v>
      </c>
      <c r="P2" s="54" t="s">
        <v>1583</v>
      </c>
    </row>
    <row r="3" spans="1:16" x14ac:dyDescent="0.35">
      <c r="A3" s="54">
        <v>2023</v>
      </c>
      <c r="B3" s="54" t="s">
        <v>772</v>
      </c>
      <c r="C3" s="54" t="s">
        <v>39</v>
      </c>
      <c r="D3" s="54" t="s">
        <v>77</v>
      </c>
      <c r="E3" s="54" t="s">
        <v>1323</v>
      </c>
      <c r="G3" s="54" t="s">
        <v>2151</v>
      </c>
      <c r="H3" s="54" t="s">
        <v>11</v>
      </c>
      <c r="I3" s="54" t="s">
        <v>13</v>
      </c>
      <c r="J3" s="54" t="s">
        <v>64</v>
      </c>
      <c r="K3" s="54" t="s">
        <v>3109</v>
      </c>
      <c r="L3" s="54" t="s">
        <v>3060</v>
      </c>
      <c r="M3" s="54" t="s">
        <v>402</v>
      </c>
      <c r="N3" s="55">
        <v>72676.110789600003</v>
      </c>
      <c r="P3" s="54" t="s">
        <v>1583</v>
      </c>
    </row>
    <row r="4" spans="1:16" x14ac:dyDescent="0.35">
      <c r="A4" s="54">
        <v>2023</v>
      </c>
      <c r="B4" s="54" t="s">
        <v>772</v>
      </c>
      <c r="C4" s="54" t="s">
        <v>39</v>
      </c>
      <c r="D4" s="54" t="s">
        <v>77</v>
      </c>
      <c r="E4" s="54" t="s">
        <v>1323</v>
      </c>
      <c r="G4" s="54" t="s">
        <v>2151</v>
      </c>
      <c r="H4" s="54" t="s">
        <v>11</v>
      </c>
      <c r="I4" s="54" t="s">
        <v>13</v>
      </c>
      <c r="J4" s="54" t="s">
        <v>64</v>
      </c>
      <c r="K4" s="54" t="s">
        <v>3109</v>
      </c>
      <c r="L4" s="54" t="s">
        <v>1723</v>
      </c>
      <c r="M4" s="54" t="s">
        <v>402</v>
      </c>
      <c r="N4" s="55">
        <v>287042.44723154203</v>
      </c>
      <c r="P4" s="54" t="s">
        <v>1583</v>
      </c>
    </row>
    <row r="5" spans="1:16" x14ac:dyDescent="0.35">
      <c r="A5" s="54">
        <v>2023</v>
      </c>
      <c r="B5" s="54" t="s">
        <v>772</v>
      </c>
      <c r="C5" s="54" t="s">
        <v>39</v>
      </c>
      <c r="D5" s="54" t="s">
        <v>77</v>
      </c>
      <c r="E5" s="54" t="s">
        <v>1323</v>
      </c>
      <c r="G5" s="54" t="s">
        <v>2151</v>
      </c>
      <c r="H5" s="54" t="s">
        <v>11</v>
      </c>
      <c r="I5" s="54" t="s">
        <v>13</v>
      </c>
      <c r="J5" s="54" t="s">
        <v>64</v>
      </c>
      <c r="K5" s="54" t="s">
        <v>3109</v>
      </c>
      <c r="L5" s="54" t="s">
        <v>1724</v>
      </c>
      <c r="M5" s="54" t="s">
        <v>402</v>
      </c>
      <c r="N5" s="55">
        <v>13568.45</v>
      </c>
      <c r="P5" s="54" t="s">
        <v>1583</v>
      </c>
    </row>
    <row r="6" spans="1:16" x14ac:dyDescent="0.35">
      <c r="A6" s="54">
        <v>2023</v>
      </c>
      <c r="B6" s="54" t="s">
        <v>772</v>
      </c>
      <c r="C6" s="54" t="s">
        <v>39</v>
      </c>
      <c r="D6" s="54" t="s">
        <v>77</v>
      </c>
      <c r="E6" s="54" t="s">
        <v>1323</v>
      </c>
      <c r="G6" s="54" t="s">
        <v>2151</v>
      </c>
      <c r="H6" s="54" t="s">
        <v>11</v>
      </c>
      <c r="I6" s="54" t="s">
        <v>13</v>
      </c>
      <c r="J6" s="54" t="s">
        <v>64</v>
      </c>
      <c r="K6" s="54" t="s">
        <v>3109</v>
      </c>
      <c r="L6" s="54" t="s">
        <v>1717</v>
      </c>
      <c r="M6" s="54" t="s">
        <v>402</v>
      </c>
      <c r="N6" s="55">
        <v>42071.041299999997</v>
      </c>
      <c r="P6" s="54" t="s">
        <v>1583</v>
      </c>
    </row>
    <row r="7" spans="1:16" x14ac:dyDescent="0.35">
      <c r="A7" s="54">
        <v>2023</v>
      </c>
      <c r="B7" s="54" t="s">
        <v>772</v>
      </c>
      <c r="C7" s="54" t="s">
        <v>39</v>
      </c>
      <c r="D7" s="54" t="s">
        <v>77</v>
      </c>
      <c r="E7" s="54" t="s">
        <v>1323</v>
      </c>
      <c r="G7" s="54" t="s">
        <v>2151</v>
      </c>
      <c r="H7" s="54" t="s">
        <v>11</v>
      </c>
      <c r="I7" s="54" t="s">
        <v>13</v>
      </c>
      <c r="J7" s="54" t="s">
        <v>64</v>
      </c>
      <c r="K7" s="54" t="s">
        <v>3109</v>
      </c>
      <c r="L7" s="54" t="s">
        <v>3061</v>
      </c>
      <c r="M7" s="54" t="s">
        <v>402</v>
      </c>
      <c r="N7" s="55">
        <v>2344.0243999999998</v>
      </c>
      <c r="P7" s="54" t="s">
        <v>1583</v>
      </c>
    </row>
    <row r="8" spans="1:16" x14ac:dyDescent="0.35">
      <c r="A8" s="54">
        <v>2023</v>
      </c>
      <c r="B8" s="54" t="s">
        <v>772</v>
      </c>
      <c r="C8" s="54" t="s">
        <v>39</v>
      </c>
      <c r="D8" s="54" t="s">
        <v>77</v>
      </c>
      <c r="E8" s="54" t="s">
        <v>1323</v>
      </c>
      <c r="G8" s="54" t="s">
        <v>2151</v>
      </c>
      <c r="H8" s="54" t="s">
        <v>11</v>
      </c>
      <c r="I8" s="54" t="s">
        <v>13</v>
      </c>
      <c r="J8" s="54" t="s">
        <v>64</v>
      </c>
      <c r="K8" s="54" t="s">
        <v>3109</v>
      </c>
      <c r="L8" s="54" t="s">
        <v>1722</v>
      </c>
      <c r="M8" s="54" t="s">
        <v>402</v>
      </c>
      <c r="N8" s="55">
        <v>569009.58479999995</v>
      </c>
      <c r="P8" s="54" t="s">
        <v>1583</v>
      </c>
    </row>
    <row r="9" spans="1:16" x14ac:dyDescent="0.35">
      <c r="A9" s="54">
        <v>2023</v>
      </c>
      <c r="B9" s="54" t="s">
        <v>772</v>
      </c>
      <c r="C9" s="54" t="s">
        <v>39</v>
      </c>
      <c r="D9" s="54" t="s">
        <v>77</v>
      </c>
      <c r="E9" s="54" t="s">
        <v>1323</v>
      </c>
      <c r="G9" s="54" t="s">
        <v>2151</v>
      </c>
      <c r="H9" s="54" t="s">
        <v>11</v>
      </c>
      <c r="I9" s="54" t="s">
        <v>13</v>
      </c>
      <c r="J9" s="54" t="s">
        <v>64</v>
      </c>
      <c r="K9" s="54" t="s">
        <v>3109</v>
      </c>
      <c r="L9" s="54" t="s">
        <v>1582</v>
      </c>
      <c r="M9" s="54" t="s">
        <v>402</v>
      </c>
      <c r="N9" s="55">
        <v>86225.117395599998</v>
      </c>
      <c r="P9" s="54" t="s">
        <v>1583</v>
      </c>
    </row>
    <row r="10" spans="1:16" x14ac:dyDescent="0.35">
      <c r="A10" s="54">
        <v>2023</v>
      </c>
      <c r="B10" s="54" t="s">
        <v>772</v>
      </c>
      <c r="C10" s="54" t="s">
        <v>14</v>
      </c>
      <c r="D10" s="54" t="s">
        <v>65</v>
      </c>
      <c r="E10" s="54" t="s">
        <v>1125</v>
      </c>
      <c r="G10" s="54" t="s">
        <v>2034</v>
      </c>
      <c r="H10" s="54" t="s">
        <v>11</v>
      </c>
      <c r="I10" s="54" t="s">
        <v>13</v>
      </c>
      <c r="J10" s="54" t="s">
        <v>64</v>
      </c>
      <c r="K10" s="54" t="s">
        <v>3109</v>
      </c>
      <c r="L10" s="54" t="s">
        <v>1722</v>
      </c>
      <c r="M10" s="54" t="s">
        <v>1577</v>
      </c>
      <c r="N10" s="55">
        <v>674524386</v>
      </c>
      <c r="P10" s="54" t="s">
        <v>1547</v>
      </c>
    </row>
    <row r="11" spans="1:16" x14ac:dyDescent="0.35">
      <c r="A11" s="54">
        <v>2023</v>
      </c>
      <c r="B11" s="54" t="s">
        <v>772</v>
      </c>
      <c r="C11" s="54" t="s">
        <v>14</v>
      </c>
      <c r="D11" s="54" t="s">
        <v>65</v>
      </c>
      <c r="E11" s="54" t="s">
        <v>1125</v>
      </c>
      <c r="G11" s="54" t="s">
        <v>2034</v>
      </c>
      <c r="H11" s="54" t="s">
        <v>11</v>
      </c>
      <c r="I11" s="54" t="s">
        <v>13</v>
      </c>
      <c r="J11" s="54" t="s">
        <v>64</v>
      </c>
      <c r="K11" s="54" t="s">
        <v>3109</v>
      </c>
      <c r="L11" s="54" t="s">
        <v>1723</v>
      </c>
      <c r="M11" s="54" t="s">
        <v>402</v>
      </c>
      <c r="N11" s="55">
        <v>2557832</v>
      </c>
      <c r="P11" s="54" t="s">
        <v>1547</v>
      </c>
    </row>
    <row r="12" spans="1:16" x14ac:dyDescent="0.35">
      <c r="A12" s="54">
        <v>2023</v>
      </c>
      <c r="B12" s="54" t="s">
        <v>772</v>
      </c>
      <c r="C12" s="54" t="s">
        <v>14</v>
      </c>
      <c r="D12" s="54" t="s">
        <v>65</v>
      </c>
      <c r="E12" s="54" t="s">
        <v>1125</v>
      </c>
      <c r="G12" s="54" t="s">
        <v>2034</v>
      </c>
      <c r="H12" s="54" t="s">
        <v>11</v>
      </c>
      <c r="I12" s="54" t="s">
        <v>13</v>
      </c>
      <c r="J12" s="54" t="s">
        <v>64</v>
      </c>
      <c r="K12" s="54" t="s">
        <v>3109</v>
      </c>
      <c r="L12" s="54" t="s">
        <v>2009</v>
      </c>
      <c r="M12" s="54" t="s">
        <v>402</v>
      </c>
      <c r="N12" s="55">
        <v>42833</v>
      </c>
      <c r="P12" s="54" t="s">
        <v>1547</v>
      </c>
    </row>
    <row r="13" spans="1:16" x14ac:dyDescent="0.35">
      <c r="A13" s="54">
        <v>2023</v>
      </c>
      <c r="B13" s="54" t="s">
        <v>772</v>
      </c>
      <c r="C13" s="54" t="s">
        <v>14</v>
      </c>
      <c r="D13" s="54" t="s">
        <v>65</v>
      </c>
      <c r="E13" s="54" t="s">
        <v>1125</v>
      </c>
      <c r="G13" s="54" t="s">
        <v>2034</v>
      </c>
      <c r="H13" s="54" t="s">
        <v>11</v>
      </c>
      <c r="I13" s="54" t="s">
        <v>13</v>
      </c>
      <c r="J13" s="54" t="s">
        <v>64</v>
      </c>
      <c r="K13" s="54" t="s">
        <v>3109</v>
      </c>
      <c r="L13" s="54" t="s">
        <v>1718</v>
      </c>
      <c r="M13" s="54" t="s">
        <v>402</v>
      </c>
      <c r="N13" s="55">
        <v>162805</v>
      </c>
      <c r="P13" s="54" t="s">
        <v>1547</v>
      </c>
    </row>
    <row r="14" spans="1:16" x14ac:dyDescent="0.35">
      <c r="A14" s="54">
        <v>2023</v>
      </c>
      <c r="B14" s="54" t="s">
        <v>772</v>
      </c>
      <c r="C14" s="54" t="s">
        <v>14</v>
      </c>
      <c r="D14" s="54" t="s">
        <v>65</v>
      </c>
      <c r="E14" s="54" t="s">
        <v>1125</v>
      </c>
      <c r="G14" s="54" t="s">
        <v>2034</v>
      </c>
      <c r="H14" s="54" t="s">
        <v>11</v>
      </c>
      <c r="I14" s="54" t="s">
        <v>13</v>
      </c>
      <c r="J14" s="54" t="s">
        <v>64</v>
      </c>
      <c r="K14" s="54" t="s">
        <v>3109</v>
      </c>
      <c r="L14" s="54" t="s">
        <v>1717</v>
      </c>
      <c r="M14" s="54" t="s">
        <v>402</v>
      </c>
      <c r="N14" s="55">
        <v>1463.6093699999999</v>
      </c>
      <c r="P14" s="54" t="s">
        <v>1547</v>
      </c>
    </row>
    <row r="15" spans="1:16" x14ac:dyDescent="0.35">
      <c r="A15" s="54">
        <v>2023</v>
      </c>
      <c r="B15" s="54" t="s">
        <v>772</v>
      </c>
      <c r="C15" s="54" t="s">
        <v>861</v>
      </c>
      <c r="D15" s="54" t="s">
        <v>164</v>
      </c>
      <c r="E15" s="54" t="s">
        <v>1282</v>
      </c>
      <c r="G15" s="54" t="s">
        <v>2123</v>
      </c>
      <c r="H15" s="54" t="s">
        <v>11</v>
      </c>
      <c r="I15" s="54" t="s">
        <v>19</v>
      </c>
      <c r="J15" s="54" t="s">
        <v>157</v>
      </c>
      <c r="K15" s="54" t="s">
        <v>3109</v>
      </c>
      <c r="L15" s="54" t="s">
        <v>2337</v>
      </c>
      <c r="M15" s="54" t="s">
        <v>1943</v>
      </c>
      <c r="N15" s="55">
        <v>4145000</v>
      </c>
      <c r="O15" s="55" t="s">
        <v>3056</v>
      </c>
      <c r="P15" s="55" t="s">
        <v>1911</v>
      </c>
    </row>
    <row r="16" spans="1:16" x14ac:dyDescent="0.35">
      <c r="A16" s="54">
        <v>2023</v>
      </c>
      <c r="B16" s="54" t="s">
        <v>772</v>
      </c>
      <c r="C16" s="54" t="s">
        <v>8</v>
      </c>
      <c r="D16" s="54" t="s">
        <v>72</v>
      </c>
      <c r="E16" s="54" t="s">
        <v>1263</v>
      </c>
      <c r="G16" s="54" t="s">
        <v>1902</v>
      </c>
      <c r="H16" s="54" t="s">
        <v>11</v>
      </c>
      <c r="I16" s="54" t="s">
        <v>21</v>
      </c>
      <c r="J16" s="54" t="s">
        <v>130</v>
      </c>
      <c r="K16" s="54" t="s">
        <v>3109</v>
      </c>
      <c r="L16" s="54" t="s">
        <v>1888</v>
      </c>
      <c r="M16" s="54" t="s">
        <v>1904</v>
      </c>
      <c r="N16" s="55">
        <v>2785135</v>
      </c>
      <c r="P16" s="54" t="s">
        <v>1911</v>
      </c>
    </row>
    <row r="17" spans="1:16" x14ac:dyDescent="0.35">
      <c r="A17" s="54">
        <v>2023</v>
      </c>
      <c r="B17" s="54" t="s">
        <v>772</v>
      </c>
      <c r="C17" s="54" t="s">
        <v>8</v>
      </c>
      <c r="D17" s="54" t="s">
        <v>72</v>
      </c>
      <c r="E17" s="54" t="s">
        <v>1263</v>
      </c>
      <c r="G17" s="54" t="s">
        <v>1902</v>
      </c>
      <c r="H17" s="54" t="s">
        <v>11</v>
      </c>
      <c r="I17" s="54" t="s">
        <v>21</v>
      </c>
      <c r="J17" s="54" t="s">
        <v>130</v>
      </c>
      <c r="K17" s="54" t="s">
        <v>3109</v>
      </c>
      <c r="L17" s="54" t="s">
        <v>1909</v>
      </c>
      <c r="M17" s="54" t="s">
        <v>1904</v>
      </c>
      <c r="N17" s="55">
        <v>144321</v>
      </c>
      <c r="P17" s="54" t="s">
        <v>1911</v>
      </c>
    </row>
    <row r="18" spans="1:16" x14ac:dyDescent="0.35">
      <c r="A18" s="54">
        <v>2023</v>
      </c>
      <c r="B18" s="54" t="s">
        <v>772</v>
      </c>
      <c r="C18" s="54" t="s">
        <v>8</v>
      </c>
      <c r="D18" s="54" t="s">
        <v>72</v>
      </c>
      <c r="E18" s="54" t="s">
        <v>1263</v>
      </c>
      <c r="G18" s="54" t="s">
        <v>1902</v>
      </c>
      <c r="H18" s="54" t="s">
        <v>11</v>
      </c>
      <c r="I18" s="54" t="s">
        <v>21</v>
      </c>
      <c r="J18" s="54" t="s">
        <v>130</v>
      </c>
      <c r="K18" s="54" t="s">
        <v>3109</v>
      </c>
      <c r="L18" s="54" t="s">
        <v>1717</v>
      </c>
      <c r="M18" s="54" t="s">
        <v>1904</v>
      </c>
      <c r="N18" s="55">
        <v>494423</v>
      </c>
      <c r="P18" s="54" t="s">
        <v>1911</v>
      </c>
    </row>
    <row r="19" spans="1:16" x14ac:dyDescent="0.35">
      <c r="A19" s="54">
        <v>2023</v>
      </c>
      <c r="B19" s="54" t="s">
        <v>772</v>
      </c>
      <c r="C19" s="54" t="s">
        <v>8</v>
      </c>
      <c r="D19" s="54" t="s">
        <v>72</v>
      </c>
      <c r="E19" s="54" t="s">
        <v>1263</v>
      </c>
      <c r="G19" s="54" t="s">
        <v>1902</v>
      </c>
      <c r="H19" s="54" t="s">
        <v>11</v>
      </c>
      <c r="I19" s="54" t="s">
        <v>21</v>
      </c>
      <c r="J19" s="54" t="s">
        <v>130</v>
      </c>
      <c r="K19" s="54" t="s">
        <v>3110</v>
      </c>
      <c r="L19" s="54" t="s">
        <v>3178</v>
      </c>
      <c r="M19" s="54" t="s">
        <v>1910</v>
      </c>
      <c r="N19" s="55">
        <v>6543598</v>
      </c>
      <c r="O19" s="55" t="s">
        <v>3227</v>
      </c>
      <c r="P19" s="54" t="s">
        <v>1911</v>
      </c>
    </row>
    <row r="20" spans="1:16" x14ac:dyDescent="0.35">
      <c r="A20" s="54">
        <v>2023</v>
      </c>
      <c r="B20" s="54" t="s">
        <v>772</v>
      </c>
      <c r="C20" s="54" t="s">
        <v>8</v>
      </c>
      <c r="D20" s="54" t="s">
        <v>72</v>
      </c>
      <c r="E20" s="54" t="s">
        <v>1263</v>
      </c>
      <c r="G20" s="54" t="s">
        <v>1902</v>
      </c>
      <c r="H20" s="54" t="s">
        <v>11</v>
      </c>
      <c r="I20" s="54" t="s">
        <v>21</v>
      </c>
      <c r="J20" s="54" t="s">
        <v>130</v>
      </c>
      <c r="K20" s="54" t="s">
        <v>3109</v>
      </c>
      <c r="L20" s="54" t="s">
        <v>1932</v>
      </c>
      <c r="M20" s="54" t="s">
        <v>1577</v>
      </c>
      <c r="N20" s="55">
        <v>137676647</v>
      </c>
      <c r="P20" s="54" t="s">
        <v>1911</v>
      </c>
    </row>
    <row r="21" spans="1:16" x14ac:dyDescent="0.35">
      <c r="A21" s="54">
        <v>2023</v>
      </c>
      <c r="B21" s="54" t="s">
        <v>772</v>
      </c>
      <c r="C21" s="54" t="s">
        <v>717</v>
      </c>
      <c r="D21" s="54" t="s">
        <v>132</v>
      </c>
      <c r="E21" s="54" t="s">
        <v>1270</v>
      </c>
      <c r="G21" s="54" t="s">
        <v>1853</v>
      </c>
      <c r="H21" s="54" t="s">
        <v>11</v>
      </c>
      <c r="I21" s="54" t="s">
        <v>21</v>
      </c>
      <c r="J21" s="54" t="s">
        <v>130</v>
      </c>
      <c r="K21" s="54" t="s">
        <v>3109</v>
      </c>
      <c r="L21" s="54" t="s">
        <v>1723</v>
      </c>
      <c r="M21" s="54" t="s">
        <v>1784</v>
      </c>
      <c r="N21" s="55">
        <f>92*0.88</f>
        <v>80.959999999999994</v>
      </c>
      <c r="O21" s="55" t="s">
        <v>3055</v>
      </c>
      <c r="P21" s="54" t="s">
        <v>1785</v>
      </c>
    </row>
    <row r="22" spans="1:16" x14ac:dyDescent="0.35">
      <c r="A22" s="54">
        <v>2023</v>
      </c>
      <c r="B22" s="54" t="s">
        <v>772</v>
      </c>
      <c r="C22" s="54" t="s">
        <v>717</v>
      </c>
      <c r="D22" s="54" t="s">
        <v>132</v>
      </c>
      <c r="E22" s="54" t="s">
        <v>1270</v>
      </c>
      <c r="G22" s="54" t="s">
        <v>1853</v>
      </c>
      <c r="H22" s="54" t="s">
        <v>11</v>
      </c>
      <c r="I22" s="54" t="s">
        <v>21</v>
      </c>
      <c r="J22" s="54" t="s">
        <v>130</v>
      </c>
      <c r="K22" s="54" t="s">
        <v>3109</v>
      </c>
      <c r="L22" s="54" t="s">
        <v>1724</v>
      </c>
      <c r="M22" s="54" t="s">
        <v>1784</v>
      </c>
      <c r="N22" s="55">
        <f>92*0.004</f>
        <v>0.36799999999999999</v>
      </c>
      <c r="O22" s="55" t="s">
        <v>3055</v>
      </c>
      <c r="P22" s="54" t="s">
        <v>1785</v>
      </c>
    </row>
    <row r="23" spans="1:16" x14ac:dyDescent="0.35">
      <c r="A23" s="54">
        <v>2023</v>
      </c>
      <c r="B23" s="54" t="s">
        <v>772</v>
      </c>
      <c r="C23" s="54" t="s">
        <v>717</v>
      </c>
      <c r="D23" s="54" t="s">
        <v>132</v>
      </c>
      <c r="E23" s="54" t="s">
        <v>1270</v>
      </c>
      <c r="G23" s="54" t="s">
        <v>1853</v>
      </c>
      <c r="H23" s="54" t="s">
        <v>11</v>
      </c>
      <c r="I23" s="54" t="s">
        <v>21</v>
      </c>
      <c r="J23" s="54" t="s">
        <v>130</v>
      </c>
      <c r="K23" s="54" t="s">
        <v>3109</v>
      </c>
      <c r="L23" s="54" t="s">
        <v>1717</v>
      </c>
      <c r="M23" s="54" t="s">
        <v>1784</v>
      </c>
      <c r="N23" s="55">
        <f>92*0.11</f>
        <v>10.119999999999999</v>
      </c>
      <c r="O23" s="55" t="s">
        <v>3055</v>
      </c>
      <c r="P23" s="54" t="s">
        <v>1785</v>
      </c>
    </row>
    <row r="24" spans="1:16" x14ac:dyDescent="0.35">
      <c r="A24" s="54">
        <v>2023</v>
      </c>
      <c r="B24" s="54" t="s">
        <v>772</v>
      </c>
      <c r="C24" s="54" t="s">
        <v>717</v>
      </c>
      <c r="D24" s="54" t="s">
        <v>132</v>
      </c>
      <c r="E24" s="54" t="s">
        <v>1270</v>
      </c>
      <c r="G24" s="54" t="s">
        <v>1853</v>
      </c>
      <c r="H24" s="54" t="s">
        <v>11</v>
      </c>
      <c r="I24" s="54" t="s">
        <v>21</v>
      </c>
      <c r="J24" s="54" t="s">
        <v>130</v>
      </c>
      <c r="K24" s="54" t="s">
        <v>3109</v>
      </c>
      <c r="L24" s="54" t="s">
        <v>1576</v>
      </c>
      <c r="M24" s="54" t="s">
        <v>1784</v>
      </c>
      <c r="N24" s="55">
        <v>1968</v>
      </c>
      <c r="P24" s="54" t="s">
        <v>1785</v>
      </c>
    </row>
    <row r="25" spans="1:16" x14ac:dyDescent="0.35">
      <c r="A25" s="54">
        <v>2023</v>
      </c>
      <c r="B25" s="54" t="s">
        <v>772</v>
      </c>
      <c r="C25" s="54" t="s">
        <v>14</v>
      </c>
      <c r="D25" s="54" t="s">
        <v>18</v>
      </c>
      <c r="E25" s="54" t="s">
        <v>1127</v>
      </c>
      <c r="G25" s="54" t="s">
        <v>2034</v>
      </c>
      <c r="H25" s="54" t="s">
        <v>11</v>
      </c>
      <c r="I25" s="54" t="s">
        <v>19</v>
      </c>
      <c r="J25" s="54" t="s">
        <v>16</v>
      </c>
      <c r="K25" s="54" t="s">
        <v>3109</v>
      </c>
      <c r="L25" s="54" t="s">
        <v>1722</v>
      </c>
      <c r="M25" s="54" t="s">
        <v>1577</v>
      </c>
      <c r="N25" s="55">
        <v>830958937</v>
      </c>
      <c r="P25" s="54" t="s">
        <v>1547</v>
      </c>
    </row>
    <row r="26" spans="1:16" x14ac:dyDescent="0.35">
      <c r="A26" s="54">
        <v>2023</v>
      </c>
      <c r="B26" s="54" t="s">
        <v>772</v>
      </c>
      <c r="C26" s="54" t="s">
        <v>14</v>
      </c>
      <c r="D26" s="54" t="s">
        <v>18</v>
      </c>
      <c r="E26" s="54" t="s">
        <v>1127</v>
      </c>
      <c r="G26" s="54" t="s">
        <v>2034</v>
      </c>
      <c r="H26" s="54" t="s">
        <v>11</v>
      </c>
      <c r="I26" s="54" t="s">
        <v>19</v>
      </c>
      <c r="J26" s="54" t="s">
        <v>16</v>
      </c>
      <c r="K26" s="54" t="s">
        <v>3109</v>
      </c>
      <c r="L26" s="54" t="s">
        <v>1723</v>
      </c>
      <c r="M26" s="54" t="s">
        <v>402</v>
      </c>
      <c r="N26" s="55">
        <v>3947008</v>
      </c>
      <c r="P26" s="54" t="s">
        <v>1547</v>
      </c>
    </row>
    <row r="27" spans="1:16" x14ac:dyDescent="0.35">
      <c r="A27" s="54">
        <v>2023</v>
      </c>
      <c r="B27" s="54" t="s">
        <v>772</v>
      </c>
      <c r="C27" s="54" t="s">
        <v>14</v>
      </c>
      <c r="D27" s="54" t="s">
        <v>18</v>
      </c>
      <c r="E27" s="54" t="s">
        <v>1127</v>
      </c>
      <c r="G27" s="54" t="s">
        <v>2034</v>
      </c>
      <c r="H27" s="54" t="s">
        <v>11</v>
      </c>
      <c r="I27" s="54" t="s">
        <v>19</v>
      </c>
      <c r="J27" s="54" t="s">
        <v>16</v>
      </c>
      <c r="K27" s="54" t="s">
        <v>3109</v>
      </c>
      <c r="L27" s="54" t="s">
        <v>1920</v>
      </c>
      <c r="M27" s="54" t="s">
        <v>402</v>
      </c>
      <c r="N27" s="55">
        <v>65074</v>
      </c>
      <c r="P27" s="54" t="s">
        <v>1547</v>
      </c>
    </row>
    <row r="28" spans="1:16" x14ac:dyDescent="0.35">
      <c r="A28" s="54">
        <v>2023</v>
      </c>
      <c r="B28" s="54" t="s">
        <v>772</v>
      </c>
      <c r="C28" s="54" t="s">
        <v>14</v>
      </c>
      <c r="D28" s="54" t="s">
        <v>18</v>
      </c>
      <c r="E28" s="54" t="s">
        <v>1127</v>
      </c>
      <c r="G28" s="54" t="s">
        <v>2034</v>
      </c>
      <c r="H28" s="54" t="s">
        <v>11</v>
      </c>
      <c r="I28" s="54" t="s">
        <v>19</v>
      </c>
      <c r="J28" s="54" t="s">
        <v>16</v>
      </c>
      <c r="K28" s="54" t="s">
        <v>3109</v>
      </c>
      <c r="L28" s="54" t="s">
        <v>2009</v>
      </c>
      <c r="M28" s="54" t="s">
        <v>402</v>
      </c>
      <c r="N28" s="55">
        <v>71904</v>
      </c>
      <c r="P28" s="54" t="s">
        <v>1547</v>
      </c>
    </row>
    <row r="29" spans="1:16" x14ac:dyDescent="0.35">
      <c r="A29" s="54">
        <v>2023</v>
      </c>
      <c r="B29" s="54" t="s">
        <v>772</v>
      </c>
      <c r="C29" s="54" t="s">
        <v>14</v>
      </c>
      <c r="D29" s="54" t="s">
        <v>18</v>
      </c>
      <c r="E29" s="54" t="s">
        <v>1127</v>
      </c>
      <c r="G29" s="54" t="s">
        <v>2034</v>
      </c>
      <c r="H29" s="54" t="s">
        <v>11</v>
      </c>
      <c r="I29" s="54" t="s">
        <v>19</v>
      </c>
      <c r="J29" s="54" t="s">
        <v>16</v>
      </c>
      <c r="K29" s="54" t="s">
        <v>3109</v>
      </c>
      <c r="L29" s="54" t="s">
        <v>1717</v>
      </c>
      <c r="M29" s="54" t="s">
        <v>402</v>
      </c>
      <c r="N29" s="55">
        <v>182468</v>
      </c>
      <c r="P29" s="54" t="s">
        <v>1547</v>
      </c>
    </row>
    <row r="30" spans="1:16" x14ac:dyDescent="0.35">
      <c r="A30" s="54">
        <v>2023</v>
      </c>
      <c r="B30" s="54" t="s">
        <v>772</v>
      </c>
      <c r="C30" s="54" t="s">
        <v>58</v>
      </c>
      <c r="D30" s="54" t="s">
        <v>59</v>
      </c>
      <c r="E30" s="54" t="s">
        <v>1439</v>
      </c>
      <c r="G30" s="54" t="s">
        <v>2220</v>
      </c>
      <c r="H30" s="54" t="s">
        <v>11</v>
      </c>
      <c r="I30" s="54" t="s">
        <v>13</v>
      </c>
      <c r="J30" s="54" t="s">
        <v>16</v>
      </c>
      <c r="K30" s="54" t="s">
        <v>3109</v>
      </c>
      <c r="L30" s="54" t="s">
        <v>1723</v>
      </c>
      <c r="M30" s="54" t="s">
        <v>1719</v>
      </c>
      <c r="N30" s="55">
        <v>2829</v>
      </c>
      <c r="P30" s="54" t="s">
        <v>1634</v>
      </c>
    </row>
    <row r="31" spans="1:16" x14ac:dyDescent="0.35">
      <c r="A31" s="54">
        <v>2023</v>
      </c>
      <c r="B31" s="54" t="s">
        <v>772</v>
      </c>
      <c r="C31" s="54" t="s">
        <v>58</v>
      </c>
      <c r="D31" s="54" t="s">
        <v>59</v>
      </c>
      <c r="E31" s="54" t="s">
        <v>1439</v>
      </c>
      <c r="G31" s="54" t="s">
        <v>2220</v>
      </c>
      <c r="H31" s="54" t="s">
        <v>11</v>
      </c>
      <c r="I31" s="54" t="s">
        <v>13</v>
      </c>
      <c r="J31" s="54" t="s">
        <v>16</v>
      </c>
      <c r="K31" s="54" t="s">
        <v>3110</v>
      </c>
      <c r="L31" s="54" t="s">
        <v>1920</v>
      </c>
      <c r="M31" s="54" t="s">
        <v>1546</v>
      </c>
      <c r="N31" s="55">
        <v>1211</v>
      </c>
      <c r="O31" s="55" t="s">
        <v>3227</v>
      </c>
      <c r="P31" s="54" t="s">
        <v>1634</v>
      </c>
    </row>
    <row r="32" spans="1:16" x14ac:dyDescent="0.35">
      <c r="A32" s="54">
        <v>2023</v>
      </c>
      <c r="B32" s="54" t="s">
        <v>772</v>
      </c>
      <c r="C32" s="54" t="s">
        <v>58</v>
      </c>
      <c r="D32" s="54" t="s">
        <v>59</v>
      </c>
      <c r="E32" s="54" t="s">
        <v>1439</v>
      </c>
      <c r="G32" s="54" t="s">
        <v>2220</v>
      </c>
      <c r="H32" s="54" t="s">
        <v>11</v>
      </c>
      <c r="I32" s="54" t="s">
        <v>13</v>
      </c>
      <c r="J32" s="54" t="s">
        <v>16</v>
      </c>
      <c r="K32" s="54" t="s">
        <v>3109</v>
      </c>
      <c r="L32" s="54" t="s">
        <v>1724</v>
      </c>
      <c r="M32" s="54" t="s">
        <v>1719</v>
      </c>
      <c r="N32" s="55">
        <v>369</v>
      </c>
      <c r="P32" s="54" t="s">
        <v>1634</v>
      </c>
    </row>
    <row r="33" spans="1:16" x14ac:dyDescent="0.35">
      <c r="A33" s="54">
        <v>2023</v>
      </c>
      <c r="B33" s="54" t="s">
        <v>772</v>
      </c>
      <c r="C33" s="54" t="s">
        <v>58</v>
      </c>
      <c r="D33" s="54" t="s">
        <v>59</v>
      </c>
      <c r="E33" s="54" t="s">
        <v>1439</v>
      </c>
      <c r="G33" s="54" t="s">
        <v>2220</v>
      </c>
      <c r="H33" s="54" t="s">
        <v>11</v>
      </c>
      <c r="I33" s="54" t="s">
        <v>13</v>
      </c>
      <c r="J33" s="54" t="s">
        <v>16</v>
      </c>
      <c r="K33" s="54" t="s">
        <v>3109</v>
      </c>
      <c r="L33" s="54" t="s">
        <v>1717</v>
      </c>
      <c r="M33" s="54" t="s">
        <v>1719</v>
      </c>
      <c r="N33" s="55">
        <v>2528</v>
      </c>
      <c r="P33" s="54" t="s">
        <v>1634</v>
      </c>
    </row>
    <row r="34" spans="1:16" x14ac:dyDescent="0.35">
      <c r="A34" s="54">
        <v>2023</v>
      </c>
      <c r="B34" s="54" t="s">
        <v>772</v>
      </c>
      <c r="C34" s="54" t="s">
        <v>58</v>
      </c>
      <c r="D34" s="54" t="s">
        <v>59</v>
      </c>
      <c r="E34" s="54" t="s">
        <v>1439</v>
      </c>
      <c r="G34" s="54" t="s">
        <v>2220</v>
      </c>
      <c r="H34" s="54" t="s">
        <v>11</v>
      </c>
      <c r="I34" s="54" t="s">
        <v>13</v>
      </c>
      <c r="J34" s="54" t="s">
        <v>16</v>
      </c>
      <c r="K34" s="54" t="s">
        <v>3109</v>
      </c>
      <c r="L34" s="54" t="s">
        <v>1582</v>
      </c>
      <c r="M34" s="54" t="s">
        <v>1943</v>
      </c>
      <c r="N34" s="55">
        <f>(1-0.53)*72746</f>
        <v>34190.619999999995</v>
      </c>
      <c r="O34" s="55" t="s">
        <v>3176</v>
      </c>
      <c r="P34" s="54" t="s">
        <v>1634</v>
      </c>
    </row>
    <row r="35" spans="1:16" x14ac:dyDescent="0.35">
      <c r="A35" s="54">
        <v>2023</v>
      </c>
      <c r="B35" s="54" t="s">
        <v>772</v>
      </c>
      <c r="C35" s="54" t="s">
        <v>58</v>
      </c>
      <c r="D35" s="54" t="s">
        <v>59</v>
      </c>
      <c r="E35" s="54" t="s">
        <v>1439</v>
      </c>
      <c r="G35" s="54" t="s">
        <v>2220</v>
      </c>
      <c r="H35" s="54" t="s">
        <v>11</v>
      </c>
      <c r="I35" s="54" t="s">
        <v>13</v>
      </c>
      <c r="J35" s="54" t="s">
        <v>16</v>
      </c>
      <c r="K35" s="54" t="s">
        <v>3109</v>
      </c>
      <c r="L35" s="54" t="s">
        <v>1722</v>
      </c>
      <c r="M35" s="54" t="s">
        <v>1943</v>
      </c>
      <c r="N35" s="55">
        <f>0.53*72746</f>
        <v>38555.380000000005</v>
      </c>
      <c r="O35" s="55" t="s">
        <v>3176</v>
      </c>
      <c r="P35" s="54" t="s">
        <v>1634</v>
      </c>
    </row>
    <row r="36" spans="1:16" x14ac:dyDescent="0.35">
      <c r="A36" s="54">
        <v>2023</v>
      </c>
      <c r="B36" s="54" t="s">
        <v>772</v>
      </c>
      <c r="C36" s="54" t="s">
        <v>39</v>
      </c>
      <c r="D36" s="54" t="s">
        <v>41</v>
      </c>
      <c r="E36" s="54" t="s">
        <v>1316</v>
      </c>
      <c r="G36" s="54" t="s">
        <v>2151</v>
      </c>
      <c r="H36" s="54" t="s">
        <v>11</v>
      </c>
      <c r="I36" s="54" t="s">
        <v>13</v>
      </c>
      <c r="J36" s="54" t="s">
        <v>16</v>
      </c>
      <c r="K36" s="54" t="s">
        <v>3109</v>
      </c>
      <c r="L36" s="54" t="s">
        <v>3060</v>
      </c>
      <c r="M36" s="54" t="s">
        <v>402</v>
      </c>
      <c r="N36" s="55">
        <v>21662.098880000001</v>
      </c>
      <c r="P36" s="54" t="s">
        <v>1583</v>
      </c>
    </row>
    <row r="37" spans="1:16" x14ac:dyDescent="0.35">
      <c r="A37" s="54">
        <v>2023</v>
      </c>
      <c r="B37" s="54" t="s">
        <v>772</v>
      </c>
      <c r="C37" s="54" t="s">
        <v>39</v>
      </c>
      <c r="D37" s="54" t="s">
        <v>41</v>
      </c>
      <c r="E37" s="54" t="s">
        <v>1316</v>
      </c>
      <c r="G37" s="54" t="s">
        <v>2151</v>
      </c>
      <c r="H37" s="54" t="s">
        <v>11</v>
      </c>
      <c r="I37" s="54" t="s">
        <v>13</v>
      </c>
      <c r="J37" s="54" t="s">
        <v>16</v>
      </c>
      <c r="K37" s="54" t="s">
        <v>3110</v>
      </c>
      <c r="L37" s="56" t="s">
        <v>1741</v>
      </c>
      <c r="M37" s="54" t="s">
        <v>1546</v>
      </c>
      <c r="N37" s="54">
        <v>27374</v>
      </c>
      <c r="O37" s="54"/>
      <c r="P37" s="54" t="s">
        <v>1870</v>
      </c>
    </row>
    <row r="38" spans="1:16" x14ac:dyDescent="0.35">
      <c r="A38" s="54">
        <v>2023</v>
      </c>
      <c r="B38" s="54" t="s">
        <v>772</v>
      </c>
      <c r="C38" s="54" t="s">
        <v>39</v>
      </c>
      <c r="D38" s="54" t="s">
        <v>41</v>
      </c>
      <c r="E38" s="54" t="s">
        <v>1316</v>
      </c>
      <c r="G38" s="54" t="s">
        <v>2151</v>
      </c>
      <c r="H38" s="54" t="s">
        <v>11</v>
      </c>
      <c r="I38" s="54" t="s">
        <v>13</v>
      </c>
      <c r="J38" s="54" t="s">
        <v>16</v>
      </c>
      <c r="K38" s="54" t="s">
        <v>3109</v>
      </c>
      <c r="L38" s="54" t="s">
        <v>1723</v>
      </c>
      <c r="M38" s="54" t="s">
        <v>402</v>
      </c>
      <c r="N38" s="55">
        <v>385327.79739999998</v>
      </c>
      <c r="P38" s="54" t="s">
        <v>1583</v>
      </c>
    </row>
    <row r="39" spans="1:16" x14ac:dyDescent="0.35">
      <c r="A39" s="54">
        <v>2023</v>
      </c>
      <c r="B39" s="54" t="s">
        <v>772</v>
      </c>
      <c r="C39" s="54" t="s">
        <v>39</v>
      </c>
      <c r="D39" s="54" t="s">
        <v>41</v>
      </c>
      <c r="E39" s="54" t="s">
        <v>1316</v>
      </c>
      <c r="G39" s="54" t="s">
        <v>2151</v>
      </c>
      <c r="H39" s="54" t="s">
        <v>11</v>
      </c>
      <c r="I39" s="54" t="s">
        <v>13</v>
      </c>
      <c r="J39" s="54" t="s">
        <v>16</v>
      </c>
      <c r="K39" s="54" t="s">
        <v>3109</v>
      </c>
      <c r="L39" s="54" t="s">
        <v>1724</v>
      </c>
      <c r="M39" s="54" t="s">
        <v>402</v>
      </c>
      <c r="N39" s="55">
        <v>10018.117899999999</v>
      </c>
      <c r="P39" s="54" t="s">
        <v>1583</v>
      </c>
    </row>
    <row r="40" spans="1:16" x14ac:dyDescent="0.35">
      <c r="A40" s="54">
        <v>2023</v>
      </c>
      <c r="B40" s="54" t="s">
        <v>772</v>
      </c>
      <c r="C40" s="54" t="s">
        <v>39</v>
      </c>
      <c r="D40" s="54" t="s">
        <v>41</v>
      </c>
      <c r="E40" s="54" t="s">
        <v>1316</v>
      </c>
      <c r="G40" s="54" t="s">
        <v>2151</v>
      </c>
      <c r="H40" s="54" t="s">
        <v>11</v>
      </c>
      <c r="I40" s="54" t="s">
        <v>13</v>
      </c>
      <c r="J40" s="54" t="s">
        <v>16</v>
      </c>
      <c r="K40" s="54" t="s">
        <v>3110</v>
      </c>
      <c r="L40" s="56" t="s">
        <v>1739</v>
      </c>
      <c r="M40" s="54" t="s">
        <v>1546</v>
      </c>
      <c r="N40" s="54">
        <v>3039.9</v>
      </c>
      <c r="O40" s="55" t="s">
        <v>3227</v>
      </c>
      <c r="P40" s="54" t="s">
        <v>1870</v>
      </c>
    </row>
    <row r="41" spans="1:16" x14ac:dyDescent="0.35">
      <c r="A41" s="54">
        <v>2023</v>
      </c>
      <c r="B41" s="54" t="s">
        <v>772</v>
      </c>
      <c r="C41" s="54" t="s">
        <v>39</v>
      </c>
      <c r="D41" s="54" t="s">
        <v>41</v>
      </c>
      <c r="E41" s="54" t="s">
        <v>1316</v>
      </c>
      <c r="G41" s="54" t="s">
        <v>2151</v>
      </c>
      <c r="H41" s="54" t="s">
        <v>11</v>
      </c>
      <c r="I41" s="54" t="s">
        <v>13</v>
      </c>
      <c r="J41" s="54" t="s">
        <v>16</v>
      </c>
      <c r="K41" s="54" t="s">
        <v>3110</v>
      </c>
      <c r="L41" s="56" t="s">
        <v>1701</v>
      </c>
      <c r="M41" s="54" t="s">
        <v>1546</v>
      </c>
      <c r="N41" s="54">
        <v>2229</v>
      </c>
      <c r="O41" s="54"/>
      <c r="P41" s="54" t="s">
        <v>1870</v>
      </c>
    </row>
    <row r="42" spans="1:16" x14ac:dyDescent="0.35">
      <c r="A42" s="54">
        <v>2023</v>
      </c>
      <c r="B42" s="54" t="s">
        <v>772</v>
      </c>
      <c r="C42" s="54" t="s">
        <v>39</v>
      </c>
      <c r="D42" s="54" t="s">
        <v>41</v>
      </c>
      <c r="E42" s="54" t="s">
        <v>1316</v>
      </c>
      <c r="G42" s="54" t="s">
        <v>2151</v>
      </c>
      <c r="H42" s="54" t="s">
        <v>11</v>
      </c>
      <c r="I42" s="54" t="s">
        <v>13</v>
      </c>
      <c r="J42" s="54" t="s">
        <v>16</v>
      </c>
      <c r="K42" s="54" t="s">
        <v>3110</v>
      </c>
      <c r="L42" s="56" t="s">
        <v>1742</v>
      </c>
      <c r="M42" s="54" t="s">
        <v>1719</v>
      </c>
      <c r="N42" s="54">
        <v>380.68700000000001</v>
      </c>
      <c r="O42" s="54"/>
      <c r="P42" s="54" t="s">
        <v>1870</v>
      </c>
    </row>
    <row r="43" spans="1:16" ht="16.5" x14ac:dyDescent="0.45">
      <c r="A43" s="54">
        <v>2023</v>
      </c>
      <c r="B43" s="54" t="s">
        <v>772</v>
      </c>
      <c r="C43" s="54" t="s">
        <v>39</v>
      </c>
      <c r="D43" s="54" t="s">
        <v>41</v>
      </c>
      <c r="E43" s="54" t="s">
        <v>1316</v>
      </c>
      <c r="G43" s="54" t="s">
        <v>2151</v>
      </c>
      <c r="H43" s="54" t="s">
        <v>11</v>
      </c>
      <c r="I43" s="54" t="s">
        <v>13</v>
      </c>
      <c r="J43" s="54" t="s">
        <v>16</v>
      </c>
      <c r="K43" s="54" t="s">
        <v>3110</v>
      </c>
      <c r="L43" s="56" t="s">
        <v>1745</v>
      </c>
      <c r="M43" s="54" t="s">
        <v>1746</v>
      </c>
      <c r="N43" s="54">
        <v>26575</v>
      </c>
      <c r="O43" s="54"/>
      <c r="P43" s="54" t="s">
        <v>1870</v>
      </c>
    </row>
    <row r="44" spans="1:16" x14ac:dyDescent="0.35">
      <c r="A44" s="54">
        <v>2023</v>
      </c>
      <c r="B44" s="54" t="s">
        <v>772</v>
      </c>
      <c r="C44" s="54" t="s">
        <v>39</v>
      </c>
      <c r="D44" s="54" t="s">
        <v>41</v>
      </c>
      <c r="E44" s="54" t="s">
        <v>1316</v>
      </c>
      <c r="G44" s="54" t="s">
        <v>2151</v>
      </c>
      <c r="H44" s="54" t="s">
        <v>11</v>
      </c>
      <c r="I44" s="54" t="s">
        <v>13</v>
      </c>
      <c r="J44" s="54" t="s">
        <v>16</v>
      </c>
      <c r="K44" s="54" t="s">
        <v>3109</v>
      </c>
      <c r="L44" s="54" t="s">
        <v>1717</v>
      </c>
      <c r="M44" s="54" t="s">
        <v>402</v>
      </c>
      <c r="N44" s="55">
        <v>142393.17415000001</v>
      </c>
      <c r="P44" s="54" t="s">
        <v>1583</v>
      </c>
    </row>
    <row r="45" spans="1:16" x14ac:dyDescent="0.35">
      <c r="A45" s="54">
        <v>2023</v>
      </c>
      <c r="B45" s="54" t="s">
        <v>772</v>
      </c>
      <c r="C45" s="54" t="s">
        <v>39</v>
      </c>
      <c r="D45" s="54" t="s">
        <v>41</v>
      </c>
      <c r="E45" s="54" t="s">
        <v>1316</v>
      </c>
      <c r="G45" s="54" t="s">
        <v>2151</v>
      </c>
      <c r="H45" s="54" t="s">
        <v>11</v>
      </c>
      <c r="I45" s="54" t="s">
        <v>13</v>
      </c>
      <c r="J45" s="54" t="s">
        <v>16</v>
      </c>
      <c r="K45" s="54" t="s">
        <v>3110</v>
      </c>
      <c r="L45" s="56" t="s">
        <v>1740</v>
      </c>
      <c r="M45" s="54" t="s">
        <v>1546</v>
      </c>
      <c r="N45" s="54">
        <v>838.8</v>
      </c>
      <c r="O45" s="54"/>
      <c r="P45" s="54" t="s">
        <v>1870</v>
      </c>
    </row>
    <row r="46" spans="1:16" ht="16.5" x14ac:dyDescent="0.45">
      <c r="A46" s="54">
        <v>2023</v>
      </c>
      <c r="B46" s="54" t="s">
        <v>772</v>
      </c>
      <c r="C46" s="54" t="s">
        <v>39</v>
      </c>
      <c r="D46" s="54" t="s">
        <v>41</v>
      </c>
      <c r="E46" s="54" t="s">
        <v>1316</v>
      </c>
      <c r="G46" s="54" t="s">
        <v>2151</v>
      </c>
      <c r="H46" s="54" t="s">
        <v>11</v>
      </c>
      <c r="I46" s="54" t="s">
        <v>13</v>
      </c>
      <c r="J46" s="54" t="s">
        <v>16</v>
      </c>
      <c r="K46" s="54" t="s">
        <v>3110</v>
      </c>
      <c r="L46" s="56" t="s">
        <v>1744</v>
      </c>
      <c r="M46" s="54" t="s">
        <v>1746</v>
      </c>
      <c r="N46" s="54">
        <v>73.959999999999994</v>
      </c>
      <c r="O46" s="54"/>
      <c r="P46" s="54" t="s">
        <v>1870</v>
      </c>
    </row>
    <row r="47" spans="1:16" x14ac:dyDescent="0.35">
      <c r="A47" s="54">
        <v>2023</v>
      </c>
      <c r="B47" s="54" t="s">
        <v>772</v>
      </c>
      <c r="C47" s="54" t="s">
        <v>39</v>
      </c>
      <c r="D47" s="54" t="s">
        <v>41</v>
      </c>
      <c r="E47" s="54" t="s">
        <v>1316</v>
      </c>
      <c r="G47" s="54" t="s">
        <v>2151</v>
      </c>
      <c r="H47" s="54" t="s">
        <v>11</v>
      </c>
      <c r="I47" s="54" t="s">
        <v>13</v>
      </c>
      <c r="J47" s="54" t="s">
        <v>16</v>
      </c>
      <c r="K47" s="54" t="s">
        <v>3110</v>
      </c>
      <c r="L47" s="56" t="s">
        <v>1766</v>
      </c>
      <c r="M47" s="54" t="s">
        <v>1546</v>
      </c>
      <c r="N47" s="54">
        <v>241.25056699628101</v>
      </c>
      <c r="O47" s="54"/>
      <c r="P47" s="54" t="s">
        <v>1870</v>
      </c>
    </row>
    <row r="48" spans="1:16" x14ac:dyDescent="0.35">
      <c r="A48" s="54">
        <v>2023</v>
      </c>
      <c r="B48" s="54" t="s">
        <v>772</v>
      </c>
      <c r="C48" s="54" t="s">
        <v>39</v>
      </c>
      <c r="D48" s="54" t="s">
        <v>41</v>
      </c>
      <c r="E48" s="54" t="s">
        <v>1316</v>
      </c>
      <c r="G48" s="54" t="s">
        <v>2151</v>
      </c>
      <c r="H48" s="54" t="s">
        <v>11</v>
      </c>
      <c r="I48" s="54" t="s">
        <v>13</v>
      </c>
      <c r="J48" s="54" t="s">
        <v>16</v>
      </c>
      <c r="K48" s="54" t="s">
        <v>3109</v>
      </c>
      <c r="L48" s="54" t="s">
        <v>1722</v>
      </c>
      <c r="M48" s="54" t="s">
        <v>402</v>
      </c>
      <c r="N48" s="55">
        <v>892229.95044000004</v>
      </c>
      <c r="P48" s="54" t="s">
        <v>1583</v>
      </c>
    </row>
    <row r="49" spans="1:16" x14ac:dyDescent="0.35">
      <c r="A49" s="54">
        <v>2023</v>
      </c>
      <c r="B49" s="54" t="s">
        <v>772</v>
      </c>
      <c r="C49" s="54" t="s">
        <v>39</v>
      </c>
      <c r="D49" s="54" t="s">
        <v>41</v>
      </c>
      <c r="E49" s="54" t="s">
        <v>1316</v>
      </c>
      <c r="G49" s="54" t="s">
        <v>2151</v>
      </c>
      <c r="H49" s="54" t="s">
        <v>11</v>
      </c>
      <c r="I49" s="54" t="s">
        <v>13</v>
      </c>
      <c r="J49" s="54" t="s">
        <v>16</v>
      </c>
      <c r="K49" s="54" t="s">
        <v>3109</v>
      </c>
      <c r="L49" s="54" t="s">
        <v>1582</v>
      </c>
      <c r="M49" s="54" t="s">
        <v>402</v>
      </c>
      <c r="N49" s="55">
        <v>3531.1068</v>
      </c>
      <c r="P49" s="54" t="s">
        <v>1583</v>
      </c>
    </row>
    <row r="50" spans="1:16" x14ac:dyDescent="0.35">
      <c r="A50" s="54">
        <v>2023</v>
      </c>
      <c r="B50" s="54" t="s">
        <v>772</v>
      </c>
      <c r="C50" s="54" t="s">
        <v>135</v>
      </c>
      <c r="D50" s="54" t="s">
        <v>136</v>
      </c>
      <c r="E50" s="54" t="s">
        <v>1395</v>
      </c>
      <c r="G50" s="54" t="s">
        <v>2200</v>
      </c>
      <c r="H50" s="54" t="s">
        <v>11</v>
      </c>
      <c r="I50" s="54" t="s">
        <v>19</v>
      </c>
      <c r="J50" s="54" t="s">
        <v>137</v>
      </c>
      <c r="K50" s="54" t="s">
        <v>3109</v>
      </c>
      <c r="L50" s="54" t="s">
        <v>1723</v>
      </c>
      <c r="M50" s="54" t="s">
        <v>402</v>
      </c>
      <c r="N50" s="55">
        <v>1683653</v>
      </c>
      <c r="P50" s="54" t="s">
        <v>1892</v>
      </c>
    </row>
    <row r="51" spans="1:16" x14ac:dyDescent="0.35">
      <c r="A51" s="54">
        <v>2023</v>
      </c>
      <c r="B51" s="54" t="s">
        <v>772</v>
      </c>
      <c r="C51" s="54" t="s">
        <v>135</v>
      </c>
      <c r="D51" s="54" t="s">
        <v>136</v>
      </c>
      <c r="E51" s="54" t="s">
        <v>1395</v>
      </c>
      <c r="G51" s="54" t="s">
        <v>2200</v>
      </c>
      <c r="H51" s="54" t="s">
        <v>11</v>
      </c>
      <c r="I51" s="54" t="s">
        <v>19</v>
      </c>
      <c r="J51" s="54" t="s">
        <v>137</v>
      </c>
      <c r="K51" s="54" t="s">
        <v>3109</v>
      </c>
      <c r="L51" s="54" t="s">
        <v>1724</v>
      </c>
      <c r="M51" s="54" t="s">
        <v>402</v>
      </c>
      <c r="N51" s="55">
        <v>38791</v>
      </c>
      <c r="P51" s="54" t="s">
        <v>1892</v>
      </c>
    </row>
    <row r="52" spans="1:16" x14ac:dyDescent="0.35">
      <c r="A52" s="54">
        <v>2023</v>
      </c>
      <c r="B52" s="54" t="s">
        <v>772</v>
      </c>
      <c r="C52" s="54" t="s">
        <v>135</v>
      </c>
      <c r="D52" s="54" t="s">
        <v>136</v>
      </c>
      <c r="E52" s="54" t="s">
        <v>1395</v>
      </c>
      <c r="G52" s="54" t="s">
        <v>2200</v>
      </c>
      <c r="H52" s="54" t="s">
        <v>11</v>
      </c>
      <c r="I52" s="54" t="s">
        <v>19</v>
      </c>
      <c r="J52" s="54" t="s">
        <v>137</v>
      </c>
      <c r="K52" s="54" t="s">
        <v>3109</v>
      </c>
      <c r="L52" s="54" t="s">
        <v>1718</v>
      </c>
      <c r="M52" s="54" t="s">
        <v>402</v>
      </c>
      <c r="N52" s="55">
        <v>186977</v>
      </c>
      <c r="P52" s="54" t="s">
        <v>1892</v>
      </c>
    </row>
    <row r="53" spans="1:16" x14ac:dyDescent="0.35">
      <c r="A53" s="54">
        <v>2023</v>
      </c>
      <c r="B53" s="54" t="s">
        <v>772</v>
      </c>
      <c r="C53" s="54" t="s">
        <v>135</v>
      </c>
      <c r="D53" s="54" t="s">
        <v>136</v>
      </c>
      <c r="E53" s="54" t="s">
        <v>1395</v>
      </c>
      <c r="G53" s="54" t="s">
        <v>2200</v>
      </c>
      <c r="H53" s="54" t="s">
        <v>11</v>
      </c>
      <c r="I53" s="54" t="s">
        <v>19</v>
      </c>
      <c r="J53" s="54" t="s">
        <v>137</v>
      </c>
      <c r="K53" s="54" t="s">
        <v>3109</v>
      </c>
      <c r="L53" s="54" t="s">
        <v>1717</v>
      </c>
      <c r="M53" s="54" t="s">
        <v>402</v>
      </c>
      <c r="N53" s="55">
        <v>453</v>
      </c>
      <c r="P53" s="54" t="s">
        <v>1892</v>
      </c>
    </row>
    <row r="54" spans="1:16" x14ac:dyDescent="0.35">
      <c r="A54" s="54">
        <v>2023</v>
      </c>
      <c r="B54" s="54" t="s">
        <v>772</v>
      </c>
      <c r="C54" s="54" t="s">
        <v>135</v>
      </c>
      <c r="D54" s="54" t="s">
        <v>136</v>
      </c>
      <c r="E54" s="54" t="s">
        <v>1395</v>
      </c>
      <c r="G54" s="54" t="s">
        <v>2200</v>
      </c>
      <c r="H54" s="54" t="s">
        <v>11</v>
      </c>
      <c r="I54" s="54" t="s">
        <v>19</v>
      </c>
      <c r="J54" s="54" t="s">
        <v>137</v>
      </c>
      <c r="K54" s="54" t="s">
        <v>3109</v>
      </c>
      <c r="L54" s="54" t="s">
        <v>1722</v>
      </c>
      <c r="M54" s="54" t="s">
        <v>402</v>
      </c>
      <c r="N54" s="55">
        <v>1695665</v>
      </c>
      <c r="P54" s="54" t="s">
        <v>1892</v>
      </c>
    </row>
    <row r="55" spans="1:16" x14ac:dyDescent="0.35">
      <c r="A55" s="54">
        <v>2023</v>
      </c>
      <c r="B55" s="54" t="s">
        <v>772</v>
      </c>
      <c r="C55" s="54" t="s">
        <v>14</v>
      </c>
      <c r="D55" s="54" t="s">
        <v>66</v>
      </c>
      <c r="E55" s="54" t="s">
        <v>1124</v>
      </c>
      <c r="G55" s="54" t="s">
        <v>2034</v>
      </c>
      <c r="H55" s="54" t="s">
        <v>11</v>
      </c>
      <c r="I55" s="54" t="s">
        <v>13</v>
      </c>
      <c r="J55" s="54" t="s">
        <v>64</v>
      </c>
      <c r="K55" s="54" t="s">
        <v>3109</v>
      </c>
      <c r="L55" s="54" t="s">
        <v>1722</v>
      </c>
      <c r="M55" s="54" t="s">
        <v>1577</v>
      </c>
      <c r="N55" s="55">
        <v>178921745</v>
      </c>
      <c r="P55" s="54" t="s">
        <v>1547</v>
      </c>
    </row>
    <row r="56" spans="1:16" x14ac:dyDescent="0.35">
      <c r="A56" s="54">
        <v>2023</v>
      </c>
      <c r="B56" s="54" t="s">
        <v>772</v>
      </c>
      <c r="C56" s="54" t="s">
        <v>14</v>
      </c>
      <c r="D56" s="54" t="s">
        <v>66</v>
      </c>
      <c r="E56" s="54" t="s">
        <v>1124</v>
      </c>
      <c r="G56" s="54" t="s">
        <v>2034</v>
      </c>
      <c r="H56" s="54" t="s">
        <v>11</v>
      </c>
      <c r="I56" s="54" t="s">
        <v>13</v>
      </c>
      <c r="J56" s="54" t="s">
        <v>64</v>
      </c>
      <c r="K56" s="54" t="s">
        <v>3109</v>
      </c>
      <c r="L56" s="54" t="s">
        <v>1723</v>
      </c>
      <c r="M56" s="54" t="s">
        <v>402</v>
      </c>
      <c r="N56" s="55">
        <v>129455</v>
      </c>
      <c r="P56" s="54" t="s">
        <v>1547</v>
      </c>
    </row>
    <row r="57" spans="1:16" x14ac:dyDescent="0.35">
      <c r="A57" s="54">
        <v>2023</v>
      </c>
      <c r="B57" s="54" t="s">
        <v>772</v>
      </c>
      <c r="C57" s="54" t="s">
        <v>14</v>
      </c>
      <c r="D57" s="54" t="s">
        <v>66</v>
      </c>
      <c r="E57" s="54" t="s">
        <v>1124</v>
      </c>
      <c r="G57" s="54" t="s">
        <v>2034</v>
      </c>
      <c r="H57" s="54" t="s">
        <v>11</v>
      </c>
      <c r="I57" s="54" t="s">
        <v>13</v>
      </c>
      <c r="J57" s="54" t="s">
        <v>64</v>
      </c>
      <c r="K57" s="54" t="s">
        <v>3109</v>
      </c>
      <c r="L57" s="54" t="s">
        <v>1920</v>
      </c>
      <c r="M57" s="54" t="s">
        <v>402</v>
      </c>
      <c r="N57" s="55">
        <v>11047</v>
      </c>
      <c r="P57" s="54" t="s">
        <v>1547</v>
      </c>
    </row>
    <row r="58" spans="1:16" x14ac:dyDescent="0.35">
      <c r="A58" s="54">
        <v>2023</v>
      </c>
      <c r="B58" s="54" t="s">
        <v>772</v>
      </c>
      <c r="C58" s="54" t="s">
        <v>14</v>
      </c>
      <c r="D58" s="54" t="s">
        <v>66</v>
      </c>
      <c r="E58" s="54" t="s">
        <v>1124</v>
      </c>
      <c r="G58" s="54" t="s">
        <v>2034</v>
      </c>
      <c r="H58" s="54" t="s">
        <v>11</v>
      </c>
      <c r="I58" s="54" t="s">
        <v>13</v>
      </c>
      <c r="J58" s="54" t="s">
        <v>64</v>
      </c>
      <c r="K58" s="54" t="s">
        <v>3109</v>
      </c>
      <c r="L58" s="54" t="s">
        <v>2009</v>
      </c>
      <c r="M58" s="54" t="s">
        <v>402</v>
      </c>
      <c r="N58" s="55">
        <v>1347</v>
      </c>
      <c r="P58" s="54" t="s">
        <v>1547</v>
      </c>
    </row>
    <row r="59" spans="1:16" x14ac:dyDescent="0.35">
      <c r="A59" s="54">
        <v>2023</v>
      </c>
      <c r="B59" s="54" t="s">
        <v>772</v>
      </c>
      <c r="C59" s="54" t="s">
        <v>14</v>
      </c>
      <c r="D59" s="54" t="s">
        <v>66</v>
      </c>
      <c r="E59" s="54" t="s">
        <v>1124</v>
      </c>
      <c r="G59" s="54" t="s">
        <v>2034</v>
      </c>
      <c r="H59" s="54" t="s">
        <v>11</v>
      </c>
      <c r="I59" s="54" t="s">
        <v>13</v>
      </c>
      <c r="J59" s="54" t="s">
        <v>64</v>
      </c>
      <c r="K59" s="54" t="s">
        <v>3109</v>
      </c>
      <c r="L59" s="54" t="s">
        <v>1718</v>
      </c>
      <c r="M59" s="54" t="s">
        <v>402</v>
      </c>
      <c r="N59" s="55">
        <v>86234</v>
      </c>
      <c r="P59" s="54" t="s">
        <v>1547</v>
      </c>
    </row>
    <row r="60" spans="1:16" x14ac:dyDescent="0.35">
      <c r="A60" s="54">
        <v>2023</v>
      </c>
      <c r="B60" s="54" t="s">
        <v>772</v>
      </c>
      <c r="C60" s="54" t="s">
        <v>27</v>
      </c>
      <c r="D60" s="54" t="s">
        <v>28</v>
      </c>
      <c r="E60" s="54" t="s">
        <v>1166</v>
      </c>
      <c r="G60" s="54" t="s">
        <v>2055</v>
      </c>
      <c r="H60" s="54" t="s">
        <v>11</v>
      </c>
      <c r="I60" s="54" t="s">
        <v>23</v>
      </c>
      <c r="J60" s="54" t="s">
        <v>16</v>
      </c>
      <c r="K60" s="54" t="s">
        <v>3109</v>
      </c>
      <c r="L60" s="54" t="s">
        <v>1840</v>
      </c>
      <c r="M60" s="54" t="s">
        <v>402</v>
      </c>
      <c r="N60" s="55">
        <v>619000</v>
      </c>
      <c r="P60" s="54" t="s">
        <v>1830</v>
      </c>
    </row>
    <row r="61" spans="1:16" x14ac:dyDescent="0.35">
      <c r="A61" s="54">
        <v>2023</v>
      </c>
      <c r="B61" s="54" t="s">
        <v>772</v>
      </c>
      <c r="C61" s="54" t="s">
        <v>27</v>
      </c>
      <c r="D61" s="54" t="s">
        <v>28</v>
      </c>
      <c r="E61" s="54" t="s">
        <v>1166</v>
      </c>
      <c r="G61" s="54" t="s">
        <v>2055</v>
      </c>
      <c r="H61" s="54" t="s">
        <v>11</v>
      </c>
      <c r="I61" s="54" t="s">
        <v>23</v>
      </c>
      <c r="J61" s="54" t="s">
        <v>16</v>
      </c>
      <c r="K61" s="54" t="s">
        <v>3109</v>
      </c>
      <c r="L61" s="54" t="s">
        <v>3054</v>
      </c>
      <c r="M61" s="54" t="s">
        <v>402</v>
      </c>
      <c r="N61" s="55">
        <v>301000</v>
      </c>
      <c r="P61" s="54" t="s">
        <v>1830</v>
      </c>
    </row>
    <row r="62" spans="1:16" x14ac:dyDescent="0.35">
      <c r="A62" s="54">
        <v>2023</v>
      </c>
      <c r="B62" s="54" t="s">
        <v>772</v>
      </c>
      <c r="C62" s="54" t="s">
        <v>736</v>
      </c>
      <c r="D62" s="54" t="s">
        <v>25</v>
      </c>
      <c r="E62" s="54" t="s">
        <v>1136</v>
      </c>
      <c r="G62" s="54" t="s">
        <v>2037</v>
      </c>
      <c r="H62" s="54" t="s">
        <v>11</v>
      </c>
      <c r="I62" s="54" t="s">
        <v>13</v>
      </c>
      <c r="J62" s="54" t="s">
        <v>16</v>
      </c>
      <c r="K62" s="54" t="s">
        <v>3109</v>
      </c>
      <c r="L62" s="54" t="s">
        <v>1582</v>
      </c>
      <c r="M62" s="54" t="s">
        <v>402</v>
      </c>
      <c r="N62" s="55">
        <v>717</v>
      </c>
      <c r="P62" s="54" t="s">
        <v>1601</v>
      </c>
    </row>
    <row r="63" spans="1:16" x14ac:dyDescent="0.35">
      <c r="A63" s="54">
        <v>2023</v>
      </c>
      <c r="B63" s="54" t="s">
        <v>772</v>
      </c>
      <c r="C63" s="54" t="s">
        <v>736</v>
      </c>
      <c r="D63" s="54" t="s">
        <v>25</v>
      </c>
      <c r="E63" s="54" t="s">
        <v>1136</v>
      </c>
      <c r="G63" s="54" t="s">
        <v>2037</v>
      </c>
      <c r="H63" s="54" t="s">
        <v>11</v>
      </c>
      <c r="I63" s="54" t="s">
        <v>13</v>
      </c>
      <c r="J63" s="54" t="s">
        <v>16</v>
      </c>
      <c r="K63" s="54" t="s">
        <v>3109</v>
      </c>
      <c r="L63" s="54" t="s">
        <v>1722</v>
      </c>
      <c r="M63" s="54" t="s">
        <v>402</v>
      </c>
      <c r="N63" s="55">
        <v>334179</v>
      </c>
      <c r="P63" s="54" t="s">
        <v>1601</v>
      </c>
    </row>
    <row r="64" spans="1:16" x14ac:dyDescent="0.35">
      <c r="A64" s="54">
        <v>2023</v>
      </c>
      <c r="B64" s="54" t="s">
        <v>772</v>
      </c>
      <c r="C64" s="54" t="s">
        <v>736</v>
      </c>
      <c r="D64" s="54" t="s">
        <v>25</v>
      </c>
      <c r="E64" s="54" t="s">
        <v>1136</v>
      </c>
      <c r="G64" s="54" t="s">
        <v>2037</v>
      </c>
      <c r="H64" s="54" t="s">
        <v>11</v>
      </c>
      <c r="I64" s="54" t="s">
        <v>13</v>
      </c>
      <c r="J64" s="54" t="s">
        <v>16</v>
      </c>
      <c r="K64" s="54" t="s">
        <v>3109</v>
      </c>
      <c r="L64" s="54" t="s">
        <v>1723</v>
      </c>
      <c r="M64" s="54" t="s">
        <v>402</v>
      </c>
      <c r="N64" s="55">
        <v>211308</v>
      </c>
      <c r="P64" s="54" t="s">
        <v>1601</v>
      </c>
    </row>
    <row r="65" spans="1:16" x14ac:dyDescent="0.35">
      <c r="A65" s="54">
        <v>2023</v>
      </c>
      <c r="B65" s="54" t="s">
        <v>772</v>
      </c>
      <c r="C65" s="54" t="s">
        <v>736</v>
      </c>
      <c r="D65" s="54" t="s">
        <v>25</v>
      </c>
      <c r="E65" s="54" t="s">
        <v>1136</v>
      </c>
      <c r="G65" s="54" t="s">
        <v>2037</v>
      </c>
      <c r="H65" s="54" t="s">
        <v>11</v>
      </c>
      <c r="I65" s="54" t="s">
        <v>13</v>
      </c>
      <c r="J65" s="54" t="s">
        <v>16</v>
      </c>
      <c r="K65" s="54" t="s">
        <v>3109</v>
      </c>
      <c r="L65" s="54" t="s">
        <v>1724</v>
      </c>
      <c r="M65" s="54" t="s">
        <v>402</v>
      </c>
      <c r="N65" s="55">
        <v>14406</v>
      </c>
      <c r="P65" s="54" t="s">
        <v>1601</v>
      </c>
    </row>
    <row r="66" spans="1:16" x14ac:dyDescent="0.35">
      <c r="A66" s="54">
        <v>2023</v>
      </c>
      <c r="B66" s="54" t="s">
        <v>772</v>
      </c>
      <c r="C66" s="54" t="s">
        <v>736</v>
      </c>
      <c r="D66" s="54" t="s">
        <v>25</v>
      </c>
      <c r="E66" s="54" t="s">
        <v>1136</v>
      </c>
      <c r="G66" s="54" t="s">
        <v>2037</v>
      </c>
      <c r="H66" s="54" t="s">
        <v>11</v>
      </c>
      <c r="I66" s="54" t="s">
        <v>13</v>
      </c>
      <c r="J66" s="54" t="s">
        <v>16</v>
      </c>
      <c r="K66" s="54" t="s">
        <v>3109</v>
      </c>
      <c r="L66" s="54" t="s">
        <v>1717</v>
      </c>
      <c r="M66" s="54" t="s">
        <v>402</v>
      </c>
      <c r="N66" s="55">
        <v>72011</v>
      </c>
      <c r="P66" s="54" t="s">
        <v>1601</v>
      </c>
    </row>
    <row r="67" spans="1:16" x14ac:dyDescent="0.35">
      <c r="A67" s="54">
        <v>2023</v>
      </c>
      <c r="B67" s="54" t="s">
        <v>772</v>
      </c>
      <c r="C67" s="54" t="s">
        <v>736</v>
      </c>
      <c r="D67" s="54" t="s">
        <v>25</v>
      </c>
      <c r="E67" s="54" t="s">
        <v>1136</v>
      </c>
      <c r="G67" s="54" t="s">
        <v>2037</v>
      </c>
      <c r="H67" s="54" t="s">
        <v>11</v>
      </c>
      <c r="I67" s="54" t="s">
        <v>13</v>
      </c>
      <c r="J67" s="54" t="s">
        <v>16</v>
      </c>
      <c r="K67" s="54" t="s">
        <v>3110</v>
      </c>
      <c r="L67" s="54" t="s">
        <v>1620</v>
      </c>
      <c r="M67" s="54" t="s">
        <v>1546</v>
      </c>
      <c r="N67" s="55">
        <v>245</v>
      </c>
      <c r="O67" s="54"/>
      <c r="P67" s="54" t="s">
        <v>1601</v>
      </c>
    </row>
    <row r="68" spans="1:16" x14ac:dyDescent="0.35">
      <c r="A68" s="54">
        <v>2023</v>
      </c>
      <c r="B68" s="54" t="s">
        <v>772</v>
      </c>
      <c r="C68" s="54" t="s">
        <v>736</v>
      </c>
      <c r="D68" s="54" t="s">
        <v>25</v>
      </c>
      <c r="E68" s="54" t="s">
        <v>1136</v>
      </c>
      <c r="G68" s="54" t="s">
        <v>2037</v>
      </c>
      <c r="H68" s="54" t="s">
        <v>11</v>
      </c>
      <c r="I68" s="54" t="s">
        <v>13</v>
      </c>
      <c r="J68" s="54" t="s">
        <v>16</v>
      </c>
      <c r="K68" s="54" t="s">
        <v>3110</v>
      </c>
      <c r="L68" s="54" t="s">
        <v>1621</v>
      </c>
      <c r="M68" s="54" t="s">
        <v>1546</v>
      </c>
      <c r="N68" s="55">
        <v>486.3</v>
      </c>
      <c r="O68" s="54"/>
      <c r="P68" s="54" t="s">
        <v>1601</v>
      </c>
    </row>
    <row r="69" spans="1:16" x14ac:dyDescent="0.35">
      <c r="A69" s="54">
        <v>2023</v>
      </c>
      <c r="B69" s="54" t="s">
        <v>772</v>
      </c>
      <c r="C69" s="54" t="s">
        <v>8</v>
      </c>
      <c r="D69" s="54" t="s">
        <v>9</v>
      </c>
      <c r="E69" s="54" t="s">
        <v>1264</v>
      </c>
      <c r="G69" s="54" t="s">
        <v>1902</v>
      </c>
      <c r="H69" s="54" t="s">
        <v>11</v>
      </c>
      <c r="I69" s="54" t="s">
        <v>23</v>
      </c>
      <c r="J69" s="54" t="s">
        <v>12</v>
      </c>
      <c r="K69" s="54" t="s">
        <v>3109</v>
      </c>
      <c r="L69" s="54" t="s">
        <v>1888</v>
      </c>
      <c r="M69" s="54" t="s">
        <v>1904</v>
      </c>
      <c r="N69" s="55">
        <v>409793</v>
      </c>
      <c r="P69" s="54" t="s">
        <v>1911</v>
      </c>
    </row>
    <row r="70" spans="1:16" x14ac:dyDescent="0.35">
      <c r="A70" s="54">
        <v>2023</v>
      </c>
      <c r="B70" s="54" t="s">
        <v>772</v>
      </c>
      <c r="C70" s="54" t="s">
        <v>8</v>
      </c>
      <c r="D70" s="54" t="s">
        <v>9</v>
      </c>
      <c r="E70" s="54" t="s">
        <v>1264</v>
      </c>
      <c r="G70" s="54" t="s">
        <v>1902</v>
      </c>
      <c r="H70" s="54" t="s">
        <v>11</v>
      </c>
      <c r="I70" s="54" t="s">
        <v>23</v>
      </c>
      <c r="J70" s="54" t="s">
        <v>12</v>
      </c>
      <c r="K70" s="54" t="s">
        <v>3109</v>
      </c>
      <c r="L70" s="54" t="s">
        <v>1909</v>
      </c>
      <c r="M70" s="54" t="s">
        <v>1904</v>
      </c>
      <c r="N70" s="55">
        <v>67158</v>
      </c>
      <c r="P70" s="54" t="s">
        <v>1911</v>
      </c>
    </row>
    <row r="71" spans="1:16" x14ac:dyDescent="0.35">
      <c r="A71" s="54">
        <v>2023</v>
      </c>
      <c r="B71" s="54" t="s">
        <v>772</v>
      </c>
      <c r="C71" s="54" t="s">
        <v>8</v>
      </c>
      <c r="D71" s="54" t="s">
        <v>9</v>
      </c>
      <c r="E71" s="54" t="s">
        <v>1264</v>
      </c>
      <c r="G71" s="54" t="s">
        <v>1902</v>
      </c>
      <c r="H71" s="54" t="s">
        <v>11</v>
      </c>
      <c r="I71" s="54" t="s">
        <v>23</v>
      </c>
      <c r="J71" s="54" t="s">
        <v>12</v>
      </c>
      <c r="K71" s="54" t="s">
        <v>3109</v>
      </c>
      <c r="L71" s="54" t="s">
        <v>1717</v>
      </c>
      <c r="M71" s="54" t="s">
        <v>1904</v>
      </c>
      <c r="N71" s="55">
        <v>422621</v>
      </c>
      <c r="P71" s="54" t="s">
        <v>1911</v>
      </c>
    </row>
    <row r="72" spans="1:16" x14ac:dyDescent="0.35">
      <c r="A72" s="54">
        <v>2023</v>
      </c>
      <c r="B72" s="54" t="s">
        <v>772</v>
      </c>
      <c r="C72" s="54" t="s">
        <v>8</v>
      </c>
      <c r="D72" s="54" t="s">
        <v>9</v>
      </c>
      <c r="E72" s="54" t="s">
        <v>1264</v>
      </c>
      <c r="G72" s="54" t="s">
        <v>1902</v>
      </c>
      <c r="H72" s="54" t="s">
        <v>11</v>
      </c>
      <c r="I72" s="54" t="s">
        <v>23</v>
      </c>
      <c r="J72" s="54" t="s">
        <v>12</v>
      </c>
      <c r="K72" s="54" t="s">
        <v>3110</v>
      </c>
      <c r="L72" s="54" t="s">
        <v>3178</v>
      </c>
      <c r="M72" s="54" t="s">
        <v>1910</v>
      </c>
      <c r="N72" s="55">
        <v>511210</v>
      </c>
      <c r="O72" s="55" t="s">
        <v>3227</v>
      </c>
      <c r="P72" s="54" t="s">
        <v>1911</v>
      </c>
    </row>
    <row r="73" spans="1:16" x14ac:dyDescent="0.35">
      <c r="A73" s="54">
        <v>2023</v>
      </c>
      <c r="B73" s="54" t="s">
        <v>772</v>
      </c>
      <c r="C73" s="54" t="s">
        <v>8</v>
      </c>
      <c r="D73" s="54" t="s">
        <v>9</v>
      </c>
      <c r="E73" s="54" t="s">
        <v>1264</v>
      </c>
      <c r="G73" s="54" t="s">
        <v>1902</v>
      </c>
      <c r="H73" s="54" t="s">
        <v>11</v>
      </c>
      <c r="I73" s="54" t="s">
        <v>23</v>
      </c>
      <c r="J73" s="54" t="s">
        <v>12</v>
      </c>
      <c r="K73" s="54" t="s">
        <v>3109</v>
      </c>
      <c r="L73" s="54" t="s">
        <v>1932</v>
      </c>
      <c r="M73" s="54" t="s">
        <v>1577</v>
      </c>
      <c r="N73" s="55">
        <v>17595388</v>
      </c>
      <c r="P73" s="54" t="s">
        <v>1911</v>
      </c>
    </row>
    <row r="74" spans="1:16" x14ac:dyDescent="0.35">
      <c r="A74" s="54">
        <v>2023</v>
      </c>
      <c r="B74" s="54" t="s">
        <v>772</v>
      </c>
      <c r="C74" s="54" t="s">
        <v>58</v>
      </c>
      <c r="D74" s="54" t="s">
        <v>60</v>
      </c>
      <c r="E74" s="54" t="s">
        <v>1437</v>
      </c>
      <c r="G74" s="54" t="s">
        <v>2220</v>
      </c>
      <c r="H74" s="54" t="s">
        <v>11</v>
      </c>
      <c r="I74" s="54" t="s">
        <v>19</v>
      </c>
      <c r="J74" s="54" t="s">
        <v>16</v>
      </c>
      <c r="K74" s="54" t="s">
        <v>3109</v>
      </c>
      <c r="L74" s="54" t="s">
        <v>1723</v>
      </c>
      <c r="M74" s="54" t="s">
        <v>1719</v>
      </c>
      <c r="N74" s="55">
        <v>1188</v>
      </c>
      <c r="P74" s="54" t="s">
        <v>1634</v>
      </c>
    </row>
    <row r="75" spans="1:16" x14ac:dyDescent="0.35">
      <c r="A75" s="54">
        <v>2023</v>
      </c>
      <c r="B75" s="54" t="s">
        <v>772</v>
      </c>
      <c r="C75" s="54" t="s">
        <v>58</v>
      </c>
      <c r="D75" s="54" t="s">
        <v>60</v>
      </c>
      <c r="E75" s="54" t="s">
        <v>1437</v>
      </c>
      <c r="G75" s="54" t="s">
        <v>2220</v>
      </c>
      <c r="H75" s="54" t="s">
        <v>11</v>
      </c>
      <c r="I75" s="54" t="s">
        <v>19</v>
      </c>
      <c r="J75" s="54" t="s">
        <v>16</v>
      </c>
      <c r="K75" s="54" t="s">
        <v>3110</v>
      </c>
      <c r="L75" s="54" t="s">
        <v>1920</v>
      </c>
      <c r="M75" s="54" t="s">
        <v>1546</v>
      </c>
      <c r="N75" s="55">
        <v>506</v>
      </c>
      <c r="O75" s="55" t="s">
        <v>3227</v>
      </c>
      <c r="P75" s="54" t="s">
        <v>1634</v>
      </c>
    </row>
    <row r="76" spans="1:16" x14ac:dyDescent="0.35">
      <c r="A76" s="54">
        <v>2023</v>
      </c>
      <c r="B76" s="54" t="s">
        <v>772</v>
      </c>
      <c r="C76" s="54" t="s">
        <v>58</v>
      </c>
      <c r="D76" s="54" t="s">
        <v>60</v>
      </c>
      <c r="E76" s="54" t="s">
        <v>1437</v>
      </c>
      <c r="G76" s="54" t="s">
        <v>2220</v>
      </c>
      <c r="H76" s="54" t="s">
        <v>11</v>
      </c>
      <c r="I76" s="54" t="s">
        <v>19</v>
      </c>
      <c r="J76" s="54" t="s">
        <v>16</v>
      </c>
      <c r="K76" s="54" t="s">
        <v>3109</v>
      </c>
      <c r="L76" s="54" t="s">
        <v>1724</v>
      </c>
      <c r="M76" s="54" t="s">
        <v>1719</v>
      </c>
      <c r="N76" s="55">
        <v>36</v>
      </c>
      <c r="P76" s="54" t="s">
        <v>1634</v>
      </c>
    </row>
    <row r="77" spans="1:16" x14ac:dyDescent="0.35">
      <c r="A77" s="54">
        <v>2023</v>
      </c>
      <c r="B77" s="54" t="s">
        <v>772</v>
      </c>
      <c r="C77" s="54" t="s">
        <v>58</v>
      </c>
      <c r="D77" s="54" t="s">
        <v>60</v>
      </c>
      <c r="E77" s="54" t="s">
        <v>1437</v>
      </c>
      <c r="G77" s="54" t="s">
        <v>2220</v>
      </c>
      <c r="H77" s="54" t="s">
        <v>11</v>
      </c>
      <c r="I77" s="54" t="s">
        <v>19</v>
      </c>
      <c r="J77" s="54" t="s">
        <v>16</v>
      </c>
      <c r="K77" s="54" t="s">
        <v>3109</v>
      </c>
      <c r="L77" s="54" t="s">
        <v>1718</v>
      </c>
      <c r="M77" s="54" t="s">
        <v>1719</v>
      </c>
      <c r="N77" s="55">
        <v>1528</v>
      </c>
      <c r="P77" s="54" t="s">
        <v>1634</v>
      </c>
    </row>
    <row r="78" spans="1:16" x14ac:dyDescent="0.35">
      <c r="A78" s="54">
        <v>2023</v>
      </c>
      <c r="B78" s="54" t="s">
        <v>772</v>
      </c>
      <c r="C78" s="54" t="s">
        <v>58</v>
      </c>
      <c r="D78" s="54" t="s">
        <v>60</v>
      </c>
      <c r="E78" s="54" t="s">
        <v>1437</v>
      </c>
      <c r="G78" s="54" t="s">
        <v>2220</v>
      </c>
      <c r="H78" s="54" t="s">
        <v>11</v>
      </c>
      <c r="I78" s="54" t="s">
        <v>19</v>
      </c>
      <c r="J78" s="54" t="s">
        <v>16</v>
      </c>
      <c r="K78" s="54" t="s">
        <v>3109</v>
      </c>
      <c r="L78" s="54" t="s">
        <v>1582</v>
      </c>
      <c r="M78" s="54" t="s">
        <v>1943</v>
      </c>
      <c r="N78" s="55">
        <f>(1-0.75)*42738</f>
        <v>10684.5</v>
      </c>
      <c r="O78" s="55" t="s">
        <v>3176</v>
      </c>
      <c r="P78" s="54" t="s">
        <v>1634</v>
      </c>
    </row>
    <row r="79" spans="1:16" x14ac:dyDescent="0.35">
      <c r="A79" s="54">
        <v>2023</v>
      </c>
      <c r="B79" s="54" t="s">
        <v>772</v>
      </c>
      <c r="C79" s="54" t="s">
        <v>58</v>
      </c>
      <c r="D79" s="54" t="s">
        <v>60</v>
      </c>
      <c r="E79" s="54" t="s">
        <v>1437</v>
      </c>
      <c r="G79" s="54" t="s">
        <v>2220</v>
      </c>
      <c r="H79" s="54" t="s">
        <v>11</v>
      </c>
      <c r="I79" s="54" t="s">
        <v>19</v>
      </c>
      <c r="J79" s="54" t="s">
        <v>16</v>
      </c>
      <c r="K79" s="54" t="s">
        <v>3109</v>
      </c>
      <c r="L79" s="54" t="s">
        <v>1722</v>
      </c>
      <c r="M79" s="54" t="s">
        <v>1943</v>
      </c>
      <c r="N79" s="55">
        <f>0.75*42738</f>
        <v>32053.5</v>
      </c>
      <c r="O79" s="55" t="s">
        <v>3176</v>
      </c>
      <c r="P79" s="54" t="s">
        <v>1634</v>
      </c>
    </row>
    <row r="80" spans="1:16" x14ac:dyDescent="0.35">
      <c r="A80" s="54">
        <v>2023</v>
      </c>
      <c r="B80" s="54" t="s">
        <v>772</v>
      </c>
      <c r="C80" s="54" t="s">
        <v>859</v>
      </c>
      <c r="D80" s="54" t="s">
        <v>203</v>
      </c>
      <c r="E80" s="54" t="s">
        <v>1277</v>
      </c>
      <c r="G80" s="54" t="s">
        <v>2119</v>
      </c>
      <c r="H80" s="54" t="s">
        <v>11</v>
      </c>
      <c r="I80" s="54" t="s">
        <v>23</v>
      </c>
      <c r="J80" s="54" t="s">
        <v>204</v>
      </c>
      <c r="K80" s="54" t="s">
        <v>3109</v>
      </c>
      <c r="L80" s="54" t="s">
        <v>1723</v>
      </c>
      <c r="M80" s="54" t="s">
        <v>1719</v>
      </c>
      <c r="N80" s="55">
        <v>13849</v>
      </c>
      <c r="P80" s="54" t="s">
        <v>1935</v>
      </c>
    </row>
    <row r="81" spans="1:16" x14ac:dyDescent="0.35">
      <c r="A81" s="54">
        <v>2023</v>
      </c>
      <c r="B81" s="54" t="s">
        <v>772</v>
      </c>
      <c r="C81" s="54" t="s">
        <v>859</v>
      </c>
      <c r="D81" s="54" t="s">
        <v>203</v>
      </c>
      <c r="E81" s="54" t="s">
        <v>1277</v>
      </c>
      <c r="G81" s="54" t="s">
        <v>2119</v>
      </c>
      <c r="H81" s="54" t="s">
        <v>11</v>
      </c>
      <c r="I81" s="54" t="s">
        <v>23</v>
      </c>
      <c r="J81" s="54" t="s">
        <v>204</v>
      </c>
      <c r="K81" s="54" t="s">
        <v>3109</v>
      </c>
      <c r="L81" s="54" t="s">
        <v>1933</v>
      </c>
      <c r="M81" s="54" t="s">
        <v>1719</v>
      </c>
      <c r="N81" s="55">
        <v>422</v>
      </c>
      <c r="P81" s="54" t="s">
        <v>1935</v>
      </c>
    </row>
    <row r="82" spans="1:16" x14ac:dyDescent="0.35">
      <c r="A82" s="54">
        <v>2023</v>
      </c>
      <c r="B82" s="54" t="s">
        <v>772</v>
      </c>
      <c r="C82" s="54" t="s">
        <v>859</v>
      </c>
      <c r="D82" s="54" t="s">
        <v>203</v>
      </c>
      <c r="E82" s="54" t="s">
        <v>1277</v>
      </c>
      <c r="G82" s="54" t="s">
        <v>2119</v>
      </c>
      <c r="H82" s="54" t="s">
        <v>11</v>
      </c>
      <c r="I82" s="54" t="s">
        <v>23</v>
      </c>
      <c r="J82" s="54" t="s">
        <v>204</v>
      </c>
      <c r="K82" s="54" t="s">
        <v>3109</v>
      </c>
      <c r="L82" s="54" t="s">
        <v>1932</v>
      </c>
      <c r="M82" s="54" t="s">
        <v>1934</v>
      </c>
      <c r="N82" s="55">
        <v>326</v>
      </c>
      <c r="P82" s="54" t="s">
        <v>1935</v>
      </c>
    </row>
    <row r="83" spans="1:16" x14ac:dyDescent="0.35">
      <c r="A83" s="54">
        <v>2023</v>
      </c>
      <c r="B83" s="54" t="s">
        <v>772</v>
      </c>
      <c r="C83" s="54" t="s">
        <v>30</v>
      </c>
      <c r="D83" s="54" t="s">
        <v>31</v>
      </c>
      <c r="E83" s="54" t="s">
        <v>1210</v>
      </c>
      <c r="G83" s="54" t="s">
        <v>2080</v>
      </c>
      <c r="H83" s="54" t="s">
        <v>11</v>
      </c>
      <c r="I83" s="54" t="s">
        <v>13</v>
      </c>
      <c r="J83" s="54" t="s">
        <v>16</v>
      </c>
      <c r="K83" s="54" t="s">
        <v>3109</v>
      </c>
      <c r="L83" s="54" t="s">
        <v>1722</v>
      </c>
      <c r="M83" s="54" t="s">
        <v>402</v>
      </c>
      <c r="N83" s="55">
        <v>276713</v>
      </c>
      <c r="P83" s="54" t="s">
        <v>1892</v>
      </c>
    </row>
    <row r="84" spans="1:16" x14ac:dyDescent="0.35">
      <c r="A84" s="54">
        <v>2023</v>
      </c>
      <c r="B84" s="54" t="s">
        <v>772</v>
      </c>
      <c r="C84" s="54" t="s">
        <v>30</v>
      </c>
      <c r="D84" s="54" t="s">
        <v>31</v>
      </c>
      <c r="E84" s="54" t="s">
        <v>1210</v>
      </c>
      <c r="G84" s="54" t="s">
        <v>2080</v>
      </c>
      <c r="H84" s="54" t="s">
        <v>11</v>
      </c>
      <c r="I84" s="54" t="s">
        <v>13</v>
      </c>
      <c r="J84" s="54" t="s">
        <v>16</v>
      </c>
      <c r="K84" s="54" t="s">
        <v>3109</v>
      </c>
      <c r="L84" s="54" t="s">
        <v>1888</v>
      </c>
      <c r="M84" s="54" t="s">
        <v>402</v>
      </c>
      <c r="N84" s="55">
        <v>191632</v>
      </c>
      <c r="P84" s="54" t="s">
        <v>1892</v>
      </c>
    </row>
    <row r="85" spans="1:16" x14ac:dyDescent="0.35">
      <c r="A85" s="54">
        <v>2023</v>
      </c>
      <c r="B85" s="54" t="s">
        <v>772</v>
      </c>
      <c r="C85" s="54" t="s">
        <v>30</v>
      </c>
      <c r="D85" s="54" t="s">
        <v>31</v>
      </c>
      <c r="E85" s="54" t="s">
        <v>1210</v>
      </c>
      <c r="G85" s="54" t="s">
        <v>2080</v>
      </c>
      <c r="H85" s="54" t="s">
        <v>11</v>
      </c>
      <c r="I85" s="54" t="s">
        <v>13</v>
      </c>
      <c r="J85" s="54" t="s">
        <v>16</v>
      </c>
      <c r="K85" s="54" t="s">
        <v>3109</v>
      </c>
      <c r="L85" s="54" t="s">
        <v>1889</v>
      </c>
      <c r="M85" s="54" t="s">
        <v>402</v>
      </c>
      <c r="N85" s="55">
        <v>181</v>
      </c>
      <c r="P85" s="54" t="s">
        <v>1892</v>
      </c>
    </row>
    <row r="86" spans="1:16" x14ac:dyDescent="0.35">
      <c r="A86" s="54">
        <v>2023</v>
      </c>
      <c r="B86" s="54" t="s">
        <v>772</v>
      </c>
      <c r="C86" s="54" t="s">
        <v>30</v>
      </c>
      <c r="D86" s="54" t="s">
        <v>31</v>
      </c>
      <c r="E86" s="54" t="s">
        <v>1210</v>
      </c>
      <c r="G86" s="54" t="s">
        <v>2080</v>
      </c>
      <c r="H86" s="54" t="s">
        <v>11</v>
      </c>
      <c r="I86" s="54" t="s">
        <v>13</v>
      </c>
      <c r="J86" s="54" t="s">
        <v>16</v>
      </c>
      <c r="K86" s="54" t="s">
        <v>3109</v>
      </c>
      <c r="L86" s="54" t="s">
        <v>1724</v>
      </c>
      <c r="M86" s="54" t="s">
        <v>402</v>
      </c>
      <c r="N86" s="55">
        <v>3549</v>
      </c>
      <c r="P86" s="54" t="s">
        <v>1892</v>
      </c>
    </row>
    <row r="87" spans="1:16" x14ac:dyDescent="0.35">
      <c r="A87" s="54">
        <v>2023</v>
      </c>
      <c r="B87" s="54" t="s">
        <v>772</v>
      </c>
      <c r="C87" s="54" t="s">
        <v>30</v>
      </c>
      <c r="D87" s="54" t="s">
        <v>31</v>
      </c>
      <c r="E87" s="54" t="s">
        <v>1210</v>
      </c>
      <c r="G87" s="54" t="s">
        <v>2080</v>
      </c>
      <c r="H87" s="54" t="s">
        <v>11</v>
      </c>
      <c r="I87" s="54" t="s">
        <v>13</v>
      </c>
      <c r="J87" s="54" t="s">
        <v>16</v>
      </c>
      <c r="K87" s="54" t="s">
        <v>3109</v>
      </c>
      <c r="L87" s="54" t="s">
        <v>1890</v>
      </c>
      <c r="M87" s="54" t="s">
        <v>402</v>
      </c>
      <c r="N87" s="55">
        <v>45</v>
      </c>
      <c r="P87" s="54" t="s">
        <v>1892</v>
      </c>
    </row>
    <row r="88" spans="1:16" x14ac:dyDescent="0.35">
      <c r="A88" s="54">
        <v>2023</v>
      </c>
      <c r="B88" s="54" t="s">
        <v>772</v>
      </c>
      <c r="C88" s="54" t="s">
        <v>30</v>
      </c>
      <c r="D88" s="54" t="s">
        <v>31</v>
      </c>
      <c r="E88" s="54" t="s">
        <v>1210</v>
      </c>
      <c r="G88" s="54" t="s">
        <v>2080</v>
      </c>
      <c r="H88" s="54" t="s">
        <v>11</v>
      </c>
      <c r="I88" s="54" t="s">
        <v>13</v>
      </c>
      <c r="J88" s="54" t="s">
        <v>16</v>
      </c>
      <c r="K88" s="54" t="s">
        <v>3109</v>
      </c>
      <c r="L88" s="54" t="s">
        <v>1891</v>
      </c>
      <c r="M88" s="54" t="s">
        <v>402</v>
      </c>
      <c r="N88" s="55">
        <v>187</v>
      </c>
      <c r="P88" s="54" t="s">
        <v>1892</v>
      </c>
    </row>
    <row r="89" spans="1:16" x14ac:dyDescent="0.35">
      <c r="A89" s="54">
        <v>2023</v>
      </c>
      <c r="B89" s="54" t="s">
        <v>772</v>
      </c>
      <c r="C89" s="54" t="s">
        <v>30</v>
      </c>
      <c r="D89" s="54" t="s">
        <v>31</v>
      </c>
      <c r="E89" s="54" t="s">
        <v>1210</v>
      </c>
      <c r="G89" s="54" t="s">
        <v>2080</v>
      </c>
      <c r="H89" s="54" t="s">
        <v>11</v>
      </c>
      <c r="I89" s="54" t="s">
        <v>13</v>
      </c>
      <c r="J89" s="54" t="s">
        <v>16</v>
      </c>
      <c r="K89" s="54" t="s">
        <v>3109</v>
      </c>
      <c r="L89" s="54" t="s">
        <v>1718</v>
      </c>
      <c r="M89" s="54" t="s">
        <v>402</v>
      </c>
      <c r="N89" s="55">
        <v>76904</v>
      </c>
      <c r="P89" s="54" t="s">
        <v>1892</v>
      </c>
    </row>
    <row r="90" spans="1:16" x14ac:dyDescent="0.35">
      <c r="A90" s="54">
        <v>2023</v>
      </c>
      <c r="B90" s="54" t="s">
        <v>772</v>
      </c>
      <c r="C90" s="54" t="s">
        <v>14</v>
      </c>
      <c r="D90" s="54" t="s">
        <v>91</v>
      </c>
      <c r="E90" s="54" t="s">
        <v>1126</v>
      </c>
      <c r="G90" s="54" t="s">
        <v>2034</v>
      </c>
      <c r="H90" s="54" t="s">
        <v>11</v>
      </c>
      <c r="I90" s="54" t="s">
        <v>23</v>
      </c>
      <c r="J90" s="54" t="s">
        <v>92</v>
      </c>
      <c r="K90" s="54" t="s">
        <v>3109</v>
      </c>
      <c r="L90" s="54" t="s">
        <v>1722</v>
      </c>
      <c r="M90" s="54" t="s">
        <v>1577</v>
      </c>
      <c r="N90" s="55">
        <v>469220285</v>
      </c>
      <c r="P90" s="54" t="s">
        <v>1547</v>
      </c>
    </row>
    <row r="91" spans="1:16" x14ac:dyDescent="0.35">
      <c r="A91" s="54">
        <v>2023</v>
      </c>
      <c r="B91" s="54" t="s">
        <v>772</v>
      </c>
      <c r="C91" s="54" t="s">
        <v>14</v>
      </c>
      <c r="D91" s="54" t="s">
        <v>91</v>
      </c>
      <c r="E91" s="54" t="s">
        <v>1126</v>
      </c>
      <c r="G91" s="54" t="s">
        <v>2034</v>
      </c>
      <c r="H91" s="54" t="s">
        <v>11</v>
      </c>
      <c r="I91" s="54" t="s">
        <v>23</v>
      </c>
      <c r="J91" s="54" t="s">
        <v>92</v>
      </c>
      <c r="K91" s="54" t="s">
        <v>3109</v>
      </c>
      <c r="L91" s="54" t="s">
        <v>1723</v>
      </c>
      <c r="M91" s="54" t="s">
        <v>402</v>
      </c>
      <c r="N91" s="55">
        <v>391146</v>
      </c>
      <c r="P91" s="54" t="s">
        <v>1547</v>
      </c>
    </row>
    <row r="92" spans="1:16" x14ac:dyDescent="0.35">
      <c r="A92" s="54">
        <v>2023</v>
      </c>
      <c r="B92" s="54" t="s">
        <v>772</v>
      </c>
      <c r="C92" s="54" t="s">
        <v>14</v>
      </c>
      <c r="D92" s="54" t="s">
        <v>91</v>
      </c>
      <c r="E92" s="54" t="s">
        <v>1126</v>
      </c>
      <c r="G92" s="54" t="s">
        <v>2034</v>
      </c>
      <c r="H92" s="54" t="s">
        <v>11</v>
      </c>
      <c r="I92" s="54" t="s">
        <v>23</v>
      </c>
      <c r="J92" s="54" t="s">
        <v>92</v>
      </c>
      <c r="K92" s="54" t="s">
        <v>3109</v>
      </c>
      <c r="L92" s="54" t="s">
        <v>1920</v>
      </c>
      <c r="M92" s="54" t="s">
        <v>402</v>
      </c>
      <c r="N92" s="55">
        <v>6280</v>
      </c>
      <c r="P92" s="54" t="s">
        <v>1547</v>
      </c>
    </row>
    <row r="93" spans="1:16" x14ac:dyDescent="0.35">
      <c r="A93" s="54">
        <v>2023</v>
      </c>
      <c r="B93" s="54" t="s">
        <v>772</v>
      </c>
      <c r="C93" s="54" t="s">
        <v>14</v>
      </c>
      <c r="D93" s="54" t="s">
        <v>91</v>
      </c>
      <c r="E93" s="54" t="s">
        <v>1126</v>
      </c>
      <c r="G93" s="54" t="s">
        <v>2034</v>
      </c>
      <c r="H93" s="54" t="s">
        <v>11</v>
      </c>
      <c r="I93" s="54" t="s">
        <v>23</v>
      </c>
      <c r="J93" s="54" t="s">
        <v>92</v>
      </c>
      <c r="K93" s="54" t="s">
        <v>3109</v>
      </c>
      <c r="L93" s="54" t="s">
        <v>2009</v>
      </c>
      <c r="M93" s="54" t="s">
        <v>402</v>
      </c>
      <c r="N93" s="55">
        <v>8329</v>
      </c>
      <c r="P93" s="54" t="s">
        <v>1547</v>
      </c>
    </row>
    <row r="94" spans="1:16" x14ac:dyDescent="0.35">
      <c r="A94" s="54">
        <v>2023</v>
      </c>
      <c r="B94" s="54" t="s">
        <v>772</v>
      </c>
      <c r="C94" s="54" t="s">
        <v>14</v>
      </c>
      <c r="D94" s="54" t="s">
        <v>91</v>
      </c>
      <c r="E94" s="54" t="s">
        <v>1126</v>
      </c>
      <c r="G94" s="54" t="s">
        <v>2034</v>
      </c>
      <c r="H94" s="54" t="s">
        <v>11</v>
      </c>
      <c r="I94" s="54" t="s">
        <v>23</v>
      </c>
      <c r="J94" s="54" t="s">
        <v>92</v>
      </c>
      <c r="K94" s="54" t="s">
        <v>3109</v>
      </c>
      <c r="L94" s="54" t="s">
        <v>1718</v>
      </c>
      <c r="M94" s="54" t="s">
        <v>402</v>
      </c>
      <c r="N94" s="55">
        <v>297435</v>
      </c>
      <c r="P94" s="54" t="s">
        <v>1547</v>
      </c>
    </row>
    <row r="95" spans="1:16" x14ac:dyDescent="0.35">
      <c r="A95" s="54">
        <v>2023</v>
      </c>
      <c r="B95" s="54" t="s">
        <v>772</v>
      </c>
      <c r="C95" s="54" t="s">
        <v>14</v>
      </c>
      <c r="D95" s="54" t="s">
        <v>67</v>
      </c>
      <c r="E95" s="54" t="s">
        <v>1128</v>
      </c>
      <c r="G95" s="54" t="s">
        <v>2034</v>
      </c>
      <c r="H95" s="54" t="s">
        <v>11</v>
      </c>
      <c r="I95" s="54" t="s">
        <v>21</v>
      </c>
      <c r="J95" s="54" t="s">
        <v>64</v>
      </c>
      <c r="K95" s="54" t="s">
        <v>3109</v>
      </c>
      <c r="L95" s="54" t="s">
        <v>1722</v>
      </c>
      <c r="M95" s="54" t="s">
        <v>1577</v>
      </c>
      <c r="N95" s="55">
        <v>182554670</v>
      </c>
      <c r="P95" s="54" t="s">
        <v>1547</v>
      </c>
    </row>
    <row r="96" spans="1:16" x14ac:dyDescent="0.35">
      <c r="A96" s="54">
        <v>2023</v>
      </c>
      <c r="B96" s="54" t="s">
        <v>772</v>
      </c>
      <c r="C96" s="54" t="s">
        <v>14</v>
      </c>
      <c r="D96" s="54" t="s">
        <v>67</v>
      </c>
      <c r="E96" s="54" t="s">
        <v>1128</v>
      </c>
      <c r="G96" s="54" t="s">
        <v>2034</v>
      </c>
      <c r="H96" s="54" t="s">
        <v>11</v>
      </c>
      <c r="I96" s="54" t="s">
        <v>21</v>
      </c>
      <c r="J96" s="54" t="s">
        <v>64</v>
      </c>
      <c r="K96" s="54" t="s">
        <v>3109</v>
      </c>
      <c r="L96" s="54" t="s">
        <v>1723</v>
      </c>
      <c r="M96" s="54" t="s">
        <v>402</v>
      </c>
      <c r="N96" s="55">
        <v>91423</v>
      </c>
      <c r="P96" s="54" t="s">
        <v>1547</v>
      </c>
    </row>
    <row r="97" spans="1:16" x14ac:dyDescent="0.35">
      <c r="A97" s="54">
        <v>2023</v>
      </c>
      <c r="B97" s="54" t="s">
        <v>772</v>
      </c>
      <c r="C97" s="54" t="s">
        <v>14</v>
      </c>
      <c r="D97" s="54" t="s">
        <v>67</v>
      </c>
      <c r="E97" s="54" t="s">
        <v>1128</v>
      </c>
      <c r="G97" s="54" t="s">
        <v>2034</v>
      </c>
      <c r="H97" s="54" t="s">
        <v>11</v>
      </c>
      <c r="I97" s="54" t="s">
        <v>21</v>
      </c>
      <c r="J97" s="54" t="s">
        <v>64</v>
      </c>
      <c r="K97" s="54" t="s">
        <v>3109</v>
      </c>
      <c r="L97" s="54" t="s">
        <v>1920</v>
      </c>
      <c r="M97" s="54" t="s">
        <v>402</v>
      </c>
      <c r="N97" s="55">
        <v>82576</v>
      </c>
      <c r="P97" s="54" t="s">
        <v>1547</v>
      </c>
    </row>
    <row r="98" spans="1:16" x14ac:dyDescent="0.35">
      <c r="A98" s="54">
        <v>2023</v>
      </c>
      <c r="B98" s="54" t="s">
        <v>772</v>
      </c>
      <c r="C98" s="54" t="s">
        <v>14</v>
      </c>
      <c r="D98" s="54" t="s">
        <v>67</v>
      </c>
      <c r="E98" s="54" t="s">
        <v>1128</v>
      </c>
      <c r="G98" s="54" t="s">
        <v>2034</v>
      </c>
      <c r="H98" s="54" t="s">
        <v>11</v>
      </c>
      <c r="I98" s="54" t="s">
        <v>21</v>
      </c>
      <c r="J98" s="54" t="s">
        <v>64</v>
      </c>
      <c r="K98" s="54" t="s">
        <v>3109</v>
      </c>
      <c r="L98" s="54" t="s">
        <v>2009</v>
      </c>
      <c r="M98" s="54" t="s">
        <v>402</v>
      </c>
      <c r="N98" s="55">
        <v>6440</v>
      </c>
      <c r="P98" s="54" t="s">
        <v>1547</v>
      </c>
    </row>
    <row r="99" spans="1:16" x14ac:dyDescent="0.35">
      <c r="A99" s="54">
        <v>2023</v>
      </c>
      <c r="B99" s="54" t="s">
        <v>772</v>
      </c>
      <c r="C99" s="54" t="s">
        <v>14</v>
      </c>
      <c r="D99" s="54" t="s">
        <v>67</v>
      </c>
      <c r="E99" s="54" t="s">
        <v>1128</v>
      </c>
      <c r="G99" s="54" t="s">
        <v>2034</v>
      </c>
      <c r="H99" s="54" t="s">
        <v>11</v>
      </c>
      <c r="I99" s="54" t="s">
        <v>21</v>
      </c>
      <c r="J99" s="54" t="s">
        <v>64</v>
      </c>
      <c r="K99" s="54" t="s">
        <v>3109</v>
      </c>
      <c r="L99" s="54" t="s">
        <v>1718</v>
      </c>
      <c r="M99" s="54" t="s">
        <v>402</v>
      </c>
      <c r="N99" s="55">
        <v>327090</v>
      </c>
      <c r="P99" s="54" t="s">
        <v>1547</v>
      </c>
    </row>
    <row r="100" spans="1:16" x14ac:dyDescent="0.35">
      <c r="A100" s="54">
        <v>2023</v>
      </c>
      <c r="B100" s="54" t="s">
        <v>772</v>
      </c>
      <c r="C100" s="54" t="s">
        <v>14</v>
      </c>
      <c r="D100" s="54" t="s">
        <v>67</v>
      </c>
      <c r="E100" s="54" t="s">
        <v>1128</v>
      </c>
      <c r="G100" s="54" t="s">
        <v>2034</v>
      </c>
      <c r="H100" s="54" t="s">
        <v>11</v>
      </c>
      <c r="I100" s="54" t="s">
        <v>21</v>
      </c>
      <c r="J100" s="54" t="s">
        <v>64</v>
      </c>
      <c r="K100" s="54" t="s">
        <v>3109</v>
      </c>
      <c r="L100" s="54" t="s">
        <v>1717</v>
      </c>
      <c r="M100" s="54" t="s">
        <v>402</v>
      </c>
      <c r="N100" s="55">
        <v>658</v>
      </c>
      <c r="P100" s="54" t="s">
        <v>1547</v>
      </c>
    </row>
    <row r="101" spans="1:16" x14ac:dyDescent="0.35">
      <c r="A101" s="54">
        <v>2023</v>
      </c>
      <c r="B101" s="54" t="s">
        <v>1537</v>
      </c>
      <c r="C101" s="54" t="s">
        <v>14</v>
      </c>
      <c r="D101" s="54" t="s">
        <v>2035</v>
      </c>
      <c r="F101" s="54" t="s">
        <v>1753</v>
      </c>
      <c r="G101" s="54" t="s">
        <v>2034</v>
      </c>
      <c r="H101" s="54" t="s">
        <v>11</v>
      </c>
      <c r="I101" s="54" t="s">
        <v>23</v>
      </c>
      <c r="J101" s="54" t="s">
        <v>16</v>
      </c>
      <c r="K101" s="54" t="s">
        <v>3109</v>
      </c>
      <c r="L101" s="54" t="s">
        <v>1582</v>
      </c>
      <c r="M101" s="54" t="s">
        <v>1577</v>
      </c>
      <c r="N101" s="55">
        <v>164987364</v>
      </c>
      <c r="P101" s="54" t="s">
        <v>1547</v>
      </c>
    </row>
    <row r="102" spans="1:16" x14ac:dyDescent="0.35">
      <c r="A102" s="54">
        <v>2023</v>
      </c>
      <c r="B102" s="54" t="s">
        <v>1537</v>
      </c>
      <c r="C102" s="54" t="s">
        <v>14</v>
      </c>
      <c r="D102" s="54" t="s">
        <v>2035</v>
      </c>
      <c r="F102" s="54" t="s">
        <v>1753</v>
      </c>
      <c r="G102" s="54" t="s">
        <v>2034</v>
      </c>
      <c r="H102" s="54" t="s">
        <v>11</v>
      </c>
      <c r="I102" s="54" t="s">
        <v>23</v>
      </c>
      <c r="J102" s="54" t="s">
        <v>16</v>
      </c>
      <c r="K102" s="54" t="s">
        <v>3109</v>
      </c>
      <c r="L102" s="54" t="s">
        <v>1723</v>
      </c>
      <c r="M102" s="54" t="s">
        <v>402</v>
      </c>
      <c r="N102" s="55">
        <v>3590887</v>
      </c>
      <c r="P102" s="54" t="s">
        <v>1547</v>
      </c>
    </row>
    <row r="103" spans="1:16" x14ac:dyDescent="0.35">
      <c r="A103" s="54">
        <v>2023</v>
      </c>
      <c r="B103" s="54" t="s">
        <v>1537</v>
      </c>
      <c r="C103" s="54" t="s">
        <v>14</v>
      </c>
      <c r="D103" s="54" t="s">
        <v>2035</v>
      </c>
      <c r="F103" s="54" t="s">
        <v>1753</v>
      </c>
      <c r="G103" s="54" t="s">
        <v>2034</v>
      </c>
      <c r="H103" s="54" t="s">
        <v>11</v>
      </c>
      <c r="I103" s="54" t="s">
        <v>23</v>
      </c>
      <c r="J103" s="54" t="s">
        <v>16</v>
      </c>
      <c r="K103" s="54" t="s">
        <v>3109</v>
      </c>
      <c r="L103" s="54" t="s">
        <v>1920</v>
      </c>
      <c r="M103" s="54" t="s">
        <v>402</v>
      </c>
      <c r="N103" s="55">
        <v>45318</v>
      </c>
      <c r="P103" s="54" t="s">
        <v>1547</v>
      </c>
    </row>
    <row r="104" spans="1:16" x14ac:dyDescent="0.35">
      <c r="A104" s="54">
        <v>2023</v>
      </c>
      <c r="B104" s="54" t="s">
        <v>1537</v>
      </c>
      <c r="C104" s="54" t="s">
        <v>14</v>
      </c>
      <c r="D104" s="54" t="s">
        <v>2035</v>
      </c>
      <c r="F104" s="54" t="s">
        <v>1753</v>
      </c>
      <c r="G104" s="54" t="s">
        <v>2034</v>
      </c>
      <c r="H104" s="54" t="s">
        <v>11</v>
      </c>
      <c r="I104" s="54" t="s">
        <v>23</v>
      </c>
      <c r="J104" s="54" t="s">
        <v>16</v>
      </c>
      <c r="K104" s="54" t="s">
        <v>3109</v>
      </c>
      <c r="L104" s="54" t="s">
        <v>2009</v>
      </c>
      <c r="M104" s="54" t="s">
        <v>402</v>
      </c>
      <c r="N104" s="55">
        <v>51161</v>
      </c>
      <c r="P104" s="54" t="s">
        <v>1547</v>
      </c>
    </row>
    <row r="105" spans="1:16" x14ac:dyDescent="0.35">
      <c r="A105" s="54">
        <v>2023</v>
      </c>
      <c r="B105" s="54" t="s">
        <v>1537</v>
      </c>
      <c r="C105" s="54" t="s">
        <v>14</v>
      </c>
      <c r="D105" s="54" t="s">
        <v>2035</v>
      </c>
      <c r="F105" s="54" t="s">
        <v>1753</v>
      </c>
      <c r="G105" s="54" t="s">
        <v>2034</v>
      </c>
      <c r="H105" s="54" t="s">
        <v>11</v>
      </c>
      <c r="I105" s="54" t="s">
        <v>23</v>
      </c>
      <c r="J105" s="54" t="s">
        <v>16</v>
      </c>
      <c r="K105" s="54" t="s">
        <v>3109</v>
      </c>
      <c r="L105" s="54" t="s">
        <v>2010</v>
      </c>
      <c r="M105" s="54" t="s">
        <v>402</v>
      </c>
      <c r="N105" s="55">
        <v>7311</v>
      </c>
      <c r="P105" s="54" t="s">
        <v>1547</v>
      </c>
    </row>
    <row r="106" spans="1:16" x14ac:dyDescent="0.35">
      <c r="A106" s="54">
        <v>2023</v>
      </c>
      <c r="B106" s="54" t="s">
        <v>1537</v>
      </c>
      <c r="C106" s="54" t="s">
        <v>14</v>
      </c>
      <c r="D106" s="54" t="s">
        <v>2035</v>
      </c>
      <c r="F106" s="54" t="s">
        <v>1753</v>
      </c>
      <c r="G106" s="54" t="s">
        <v>2034</v>
      </c>
      <c r="H106" s="54" t="s">
        <v>11</v>
      </c>
      <c r="I106" s="54" t="s">
        <v>23</v>
      </c>
      <c r="J106" s="54" t="s">
        <v>16</v>
      </c>
      <c r="K106" s="54" t="s">
        <v>3109</v>
      </c>
      <c r="L106" s="54" t="s">
        <v>1717</v>
      </c>
      <c r="M106" s="54" t="s">
        <v>402</v>
      </c>
      <c r="N106" s="55">
        <v>235</v>
      </c>
      <c r="P106" s="54" t="s">
        <v>1547</v>
      </c>
    </row>
    <row r="107" spans="1:16" x14ac:dyDescent="0.35">
      <c r="A107" s="54">
        <v>2023</v>
      </c>
      <c r="B107" s="54" t="s">
        <v>772</v>
      </c>
      <c r="C107" s="54" t="s">
        <v>14</v>
      </c>
      <c r="D107" s="54" t="s">
        <v>22</v>
      </c>
      <c r="E107" s="54" t="s">
        <v>1129</v>
      </c>
      <c r="G107" s="54" t="s">
        <v>2034</v>
      </c>
      <c r="H107" s="54" t="s">
        <v>11</v>
      </c>
      <c r="I107" s="54" t="s">
        <v>13</v>
      </c>
      <c r="J107" s="54" t="s">
        <v>16</v>
      </c>
      <c r="K107" s="54" t="s">
        <v>3109</v>
      </c>
      <c r="L107" s="54" t="s">
        <v>1582</v>
      </c>
      <c r="M107" s="54" t="s">
        <v>1577</v>
      </c>
      <c r="N107" s="55">
        <v>132709926</v>
      </c>
      <c r="P107" s="54" t="s">
        <v>1547</v>
      </c>
    </row>
    <row r="108" spans="1:16" x14ac:dyDescent="0.35">
      <c r="A108" s="54">
        <v>2023</v>
      </c>
      <c r="B108" s="54" t="s">
        <v>772</v>
      </c>
      <c r="C108" s="54" t="s">
        <v>14</v>
      </c>
      <c r="D108" s="54" t="s">
        <v>22</v>
      </c>
      <c r="E108" s="54" t="s">
        <v>1129</v>
      </c>
      <c r="G108" s="54" t="s">
        <v>2034</v>
      </c>
      <c r="H108" s="54" t="s">
        <v>11</v>
      </c>
      <c r="I108" s="54" t="s">
        <v>13</v>
      </c>
      <c r="J108" s="54" t="s">
        <v>16</v>
      </c>
      <c r="K108" s="54" t="s">
        <v>3109</v>
      </c>
      <c r="L108" s="54" t="s">
        <v>1723</v>
      </c>
      <c r="M108" s="54" t="s">
        <v>402</v>
      </c>
      <c r="N108" s="55">
        <v>1944158</v>
      </c>
      <c r="P108" s="54" t="s">
        <v>1547</v>
      </c>
    </row>
    <row r="109" spans="1:16" x14ac:dyDescent="0.35">
      <c r="A109" s="54">
        <v>2023</v>
      </c>
      <c r="B109" s="54" t="s">
        <v>772</v>
      </c>
      <c r="C109" s="54" t="s">
        <v>14</v>
      </c>
      <c r="D109" s="54" t="s">
        <v>22</v>
      </c>
      <c r="E109" s="54" t="s">
        <v>1129</v>
      </c>
      <c r="G109" s="54" t="s">
        <v>2034</v>
      </c>
      <c r="H109" s="54" t="s">
        <v>11</v>
      </c>
      <c r="I109" s="54" t="s">
        <v>13</v>
      </c>
      <c r="J109" s="54" t="s">
        <v>16</v>
      </c>
      <c r="K109" s="54" t="s">
        <v>3109</v>
      </c>
      <c r="L109" s="54" t="s">
        <v>1920</v>
      </c>
      <c r="M109" s="54" t="s">
        <v>402</v>
      </c>
      <c r="N109" s="55">
        <v>18198</v>
      </c>
      <c r="P109" s="54" t="s">
        <v>1547</v>
      </c>
    </row>
    <row r="110" spans="1:16" x14ac:dyDescent="0.35">
      <c r="A110" s="54">
        <v>2023</v>
      </c>
      <c r="B110" s="54" t="s">
        <v>772</v>
      </c>
      <c r="C110" s="54" t="s">
        <v>14</v>
      </c>
      <c r="D110" s="54" t="s">
        <v>22</v>
      </c>
      <c r="E110" s="54" t="s">
        <v>1129</v>
      </c>
      <c r="G110" s="54" t="s">
        <v>2034</v>
      </c>
      <c r="H110" s="54" t="s">
        <v>11</v>
      </c>
      <c r="I110" s="54" t="s">
        <v>13</v>
      </c>
      <c r="J110" s="54" t="s">
        <v>16</v>
      </c>
      <c r="K110" s="54" t="s">
        <v>3109</v>
      </c>
      <c r="L110" s="54" t="s">
        <v>2009</v>
      </c>
      <c r="M110" s="54" t="s">
        <v>402</v>
      </c>
      <c r="N110" s="55">
        <v>5290</v>
      </c>
      <c r="P110" s="54" t="s">
        <v>1547</v>
      </c>
    </row>
    <row r="111" spans="1:16" x14ac:dyDescent="0.35">
      <c r="A111" s="54">
        <v>2023</v>
      </c>
      <c r="B111" s="54" t="s">
        <v>772</v>
      </c>
      <c r="C111" s="54" t="s">
        <v>793</v>
      </c>
      <c r="D111" s="54" t="s">
        <v>129</v>
      </c>
      <c r="E111" s="54" t="s">
        <v>1190</v>
      </c>
      <c r="G111" s="54" t="s">
        <v>2064</v>
      </c>
      <c r="H111" s="54" t="s">
        <v>11</v>
      </c>
      <c r="I111" s="54" t="s">
        <v>19</v>
      </c>
      <c r="J111" s="54" t="s">
        <v>130</v>
      </c>
      <c r="K111" s="54" t="s">
        <v>3109</v>
      </c>
      <c r="L111" s="54" t="s">
        <v>1932</v>
      </c>
      <c r="M111" s="54" t="s">
        <v>1635</v>
      </c>
      <c r="N111" s="55">
        <v>7075</v>
      </c>
      <c r="P111" s="54" t="s">
        <v>1885</v>
      </c>
    </row>
    <row r="112" spans="1:16" x14ac:dyDescent="0.35">
      <c r="A112" s="54">
        <v>2023</v>
      </c>
      <c r="B112" s="54" t="s">
        <v>772</v>
      </c>
      <c r="C112" s="54" t="s">
        <v>793</v>
      </c>
      <c r="D112" s="54" t="s">
        <v>129</v>
      </c>
      <c r="E112" s="54" t="s">
        <v>1190</v>
      </c>
      <c r="G112" s="54" t="s">
        <v>2064</v>
      </c>
      <c r="H112" s="54" t="s">
        <v>11</v>
      </c>
      <c r="I112" s="54" t="s">
        <v>19</v>
      </c>
      <c r="J112" s="54" t="s">
        <v>130</v>
      </c>
      <c r="K112" s="54" t="s">
        <v>3109</v>
      </c>
      <c r="L112" s="54" t="s">
        <v>1723</v>
      </c>
      <c r="M112" s="54" t="s">
        <v>1635</v>
      </c>
      <c r="N112" s="55">
        <v>68884</v>
      </c>
      <c r="P112" s="54" t="s">
        <v>1885</v>
      </c>
    </row>
    <row r="113" spans="1:16" x14ac:dyDescent="0.35">
      <c r="A113" s="54">
        <v>2023</v>
      </c>
      <c r="B113" s="54" t="s">
        <v>772</v>
      </c>
      <c r="C113" s="54" t="s">
        <v>793</v>
      </c>
      <c r="D113" s="54" t="s">
        <v>129</v>
      </c>
      <c r="E113" s="54" t="s">
        <v>1190</v>
      </c>
      <c r="G113" s="54" t="s">
        <v>2064</v>
      </c>
      <c r="H113" s="54" t="s">
        <v>11</v>
      </c>
      <c r="I113" s="54" t="s">
        <v>19</v>
      </c>
      <c r="J113" s="54" t="s">
        <v>130</v>
      </c>
      <c r="K113" s="54" t="s">
        <v>3109</v>
      </c>
      <c r="L113" s="54" t="s">
        <v>1920</v>
      </c>
      <c r="M113" s="54" t="s">
        <v>1635</v>
      </c>
      <c r="N113" s="55">
        <v>690</v>
      </c>
      <c r="P113" s="54" t="s">
        <v>1885</v>
      </c>
    </row>
    <row r="114" spans="1:16" x14ac:dyDescent="0.35">
      <c r="A114" s="54">
        <v>2023</v>
      </c>
      <c r="B114" s="54" t="s">
        <v>772</v>
      </c>
      <c r="C114" s="54" t="s">
        <v>793</v>
      </c>
      <c r="D114" s="54" t="s">
        <v>129</v>
      </c>
      <c r="E114" s="54" t="s">
        <v>1190</v>
      </c>
      <c r="G114" s="54" t="s">
        <v>2064</v>
      </c>
      <c r="H114" s="54" t="s">
        <v>11</v>
      </c>
      <c r="I114" s="54" t="s">
        <v>19</v>
      </c>
      <c r="J114" s="54" t="s">
        <v>130</v>
      </c>
      <c r="K114" s="54" t="s">
        <v>3109</v>
      </c>
      <c r="L114" s="54" t="s">
        <v>1724</v>
      </c>
      <c r="M114" s="54" t="s">
        <v>1635</v>
      </c>
      <c r="N114" s="55">
        <v>1557</v>
      </c>
      <c r="P114" s="54" t="s">
        <v>1885</v>
      </c>
    </row>
    <row r="115" spans="1:16" x14ac:dyDescent="0.35">
      <c r="A115" s="54">
        <v>2023</v>
      </c>
      <c r="B115" s="54" t="s">
        <v>772</v>
      </c>
      <c r="C115" s="54" t="s">
        <v>793</v>
      </c>
      <c r="D115" s="54" t="s">
        <v>129</v>
      </c>
      <c r="E115" s="54" t="s">
        <v>1190</v>
      </c>
      <c r="G115" s="54" t="s">
        <v>2064</v>
      </c>
      <c r="H115" s="54" t="s">
        <v>11</v>
      </c>
      <c r="I115" s="54" t="s">
        <v>19</v>
      </c>
      <c r="J115" s="54" t="s">
        <v>130</v>
      </c>
      <c r="K115" s="54" t="s">
        <v>3109</v>
      </c>
      <c r="L115" s="54" t="s">
        <v>1717</v>
      </c>
      <c r="M115" s="54" t="s">
        <v>1635</v>
      </c>
      <c r="N115" s="55">
        <v>1362</v>
      </c>
      <c r="P115" s="54" t="s">
        <v>1885</v>
      </c>
    </row>
    <row r="116" spans="1:16" x14ac:dyDescent="0.35">
      <c r="A116" s="54">
        <v>2023</v>
      </c>
      <c r="B116" s="54" t="s">
        <v>772</v>
      </c>
      <c r="C116" s="54" t="s">
        <v>39</v>
      </c>
      <c r="D116" s="54" t="s">
        <v>78</v>
      </c>
      <c r="E116" s="54" t="s">
        <v>1321</v>
      </c>
      <c r="G116" s="54" t="s">
        <v>2151</v>
      </c>
      <c r="H116" s="54" t="s">
        <v>11</v>
      </c>
      <c r="I116" s="54" t="s">
        <v>21</v>
      </c>
      <c r="J116" s="54" t="s">
        <v>64</v>
      </c>
      <c r="K116" s="54" t="s">
        <v>3109</v>
      </c>
      <c r="L116" s="54" t="s">
        <v>3060</v>
      </c>
      <c r="M116" s="54" t="s">
        <v>402</v>
      </c>
      <c r="N116" s="55">
        <v>27653.229039999998</v>
      </c>
      <c r="P116" s="54" t="s">
        <v>1583</v>
      </c>
    </row>
    <row r="117" spans="1:16" x14ac:dyDescent="0.35">
      <c r="A117" s="54">
        <v>2023</v>
      </c>
      <c r="B117" s="54" t="s">
        <v>772</v>
      </c>
      <c r="C117" s="54" t="s">
        <v>39</v>
      </c>
      <c r="D117" s="54" t="s">
        <v>78</v>
      </c>
      <c r="E117" s="54" t="s">
        <v>1321</v>
      </c>
      <c r="G117" s="54" t="s">
        <v>2151</v>
      </c>
      <c r="H117" s="54" t="s">
        <v>11</v>
      </c>
      <c r="I117" s="54" t="s">
        <v>21</v>
      </c>
      <c r="J117" s="54" t="s">
        <v>64</v>
      </c>
      <c r="K117" s="54" t="s">
        <v>3109</v>
      </c>
      <c r="L117" s="54" t="s">
        <v>1585</v>
      </c>
      <c r="M117" s="54" t="s">
        <v>402</v>
      </c>
      <c r="N117" s="55">
        <v>11770.3702287417</v>
      </c>
      <c r="P117" s="54" t="s">
        <v>1583</v>
      </c>
    </row>
    <row r="118" spans="1:16" x14ac:dyDescent="0.35">
      <c r="A118" s="54">
        <v>2023</v>
      </c>
      <c r="B118" s="54" t="s">
        <v>772</v>
      </c>
      <c r="C118" s="54" t="s">
        <v>39</v>
      </c>
      <c r="D118" s="54" t="s">
        <v>78</v>
      </c>
      <c r="E118" s="54" t="s">
        <v>1321</v>
      </c>
      <c r="G118" s="54" t="s">
        <v>2151</v>
      </c>
      <c r="H118" s="54" t="s">
        <v>11</v>
      </c>
      <c r="I118" s="54" t="s">
        <v>21</v>
      </c>
      <c r="J118" s="54" t="s">
        <v>64</v>
      </c>
      <c r="K118" s="54" t="s">
        <v>3110</v>
      </c>
      <c r="L118" s="56" t="s">
        <v>1741</v>
      </c>
      <c r="M118" s="54" t="s">
        <v>1546</v>
      </c>
      <c r="N118" s="54">
        <v>9417.6</v>
      </c>
      <c r="O118" s="54"/>
      <c r="P118" s="54" t="s">
        <v>1870</v>
      </c>
    </row>
    <row r="119" spans="1:16" x14ac:dyDescent="0.35">
      <c r="A119" s="54">
        <v>2023</v>
      </c>
      <c r="B119" s="54" t="s">
        <v>772</v>
      </c>
      <c r="C119" s="54" t="s">
        <v>39</v>
      </c>
      <c r="D119" s="54" t="s">
        <v>78</v>
      </c>
      <c r="E119" s="54" t="s">
        <v>1321</v>
      </c>
      <c r="G119" s="54" t="s">
        <v>2151</v>
      </c>
      <c r="H119" s="54" t="s">
        <v>11</v>
      </c>
      <c r="I119" s="54" t="s">
        <v>21</v>
      </c>
      <c r="J119" s="54" t="s">
        <v>64</v>
      </c>
      <c r="K119" s="54" t="s">
        <v>3109</v>
      </c>
      <c r="L119" s="54" t="s">
        <v>1723</v>
      </c>
      <c r="M119" s="54" t="s">
        <v>402</v>
      </c>
      <c r="N119" s="55">
        <v>308614.730821</v>
      </c>
      <c r="P119" s="54" t="s">
        <v>1583</v>
      </c>
    </row>
    <row r="120" spans="1:16" x14ac:dyDescent="0.35">
      <c r="A120" s="54">
        <v>2023</v>
      </c>
      <c r="B120" s="54" t="s">
        <v>772</v>
      </c>
      <c r="C120" s="54" t="s">
        <v>39</v>
      </c>
      <c r="D120" s="54" t="s">
        <v>78</v>
      </c>
      <c r="E120" s="54" t="s">
        <v>1321</v>
      </c>
      <c r="G120" s="54" t="s">
        <v>2151</v>
      </c>
      <c r="H120" s="54" t="s">
        <v>11</v>
      </c>
      <c r="I120" s="54" t="s">
        <v>21</v>
      </c>
      <c r="J120" s="54" t="s">
        <v>64</v>
      </c>
      <c r="K120" s="54" t="s">
        <v>3109</v>
      </c>
      <c r="L120" s="54" t="s">
        <v>1724</v>
      </c>
      <c r="M120" s="54" t="s">
        <v>402</v>
      </c>
      <c r="N120" s="55">
        <v>5437.6350000000002</v>
      </c>
      <c r="P120" s="54" t="s">
        <v>1583</v>
      </c>
    </row>
    <row r="121" spans="1:16" x14ac:dyDescent="0.35">
      <c r="A121" s="54">
        <v>2023</v>
      </c>
      <c r="B121" s="54" t="s">
        <v>772</v>
      </c>
      <c r="C121" s="54" t="s">
        <v>39</v>
      </c>
      <c r="D121" s="54" t="s">
        <v>78</v>
      </c>
      <c r="E121" s="54" t="s">
        <v>1321</v>
      </c>
      <c r="G121" s="54" t="s">
        <v>2151</v>
      </c>
      <c r="H121" s="54" t="s">
        <v>11</v>
      </c>
      <c r="I121" s="54" t="s">
        <v>21</v>
      </c>
      <c r="J121" s="54" t="s">
        <v>64</v>
      </c>
      <c r="K121" s="54" t="s">
        <v>3110</v>
      </c>
      <c r="L121" s="56" t="s">
        <v>1739</v>
      </c>
      <c r="M121" s="54" t="s">
        <v>1546</v>
      </c>
      <c r="N121" s="54">
        <v>726.07100000000003</v>
      </c>
      <c r="O121" s="55" t="s">
        <v>3227</v>
      </c>
      <c r="P121" s="54" t="s">
        <v>1870</v>
      </c>
    </row>
    <row r="122" spans="1:16" x14ac:dyDescent="0.35">
      <c r="A122" s="54">
        <v>2023</v>
      </c>
      <c r="B122" s="54" t="s">
        <v>772</v>
      </c>
      <c r="C122" s="54" t="s">
        <v>39</v>
      </c>
      <c r="D122" s="54" t="s">
        <v>78</v>
      </c>
      <c r="E122" s="54" t="s">
        <v>1321</v>
      </c>
      <c r="G122" s="54" t="s">
        <v>2151</v>
      </c>
      <c r="H122" s="54" t="s">
        <v>11</v>
      </c>
      <c r="I122" s="54" t="s">
        <v>21</v>
      </c>
      <c r="J122" s="54" t="s">
        <v>64</v>
      </c>
      <c r="K122" s="54" t="s">
        <v>3110</v>
      </c>
      <c r="L122" s="56" t="s">
        <v>1743</v>
      </c>
      <c r="M122" s="54" t="s">
        <v>1719</v>
      </c>
      <c r="N122" s="54">
        <v>57.2</v>
      </c>
      <c r="O122" s="54"/>
      <c r="P122" s="54" t="s">
        <v>1870</v>
      </c>
    </row>
    <row r="123" spans="1:16" x14ac:dyDescent="0.35">
      <c r="A123" s="54">
        <v>2023</v>
      </c>
      <c r="B123" s="54" t="s">
        <v>772</v>
      </c>
      <c r="C123" s="54" t="s">
        <v>39</v>
      </c>
      <c r="D123" s="54" t="s">
        <v>78</v>
      </c>
      <c r="E123" s="54" t="s">
        <v>1321</v>
      </c>
      <c r="G123" s="54" t="s">
        <v>2151</v>
      </c>
      <c r="H123" s="54" t="s">
        <v>11</v>
      </c>
      <c r="I123" s="54" t="s">
        <v>21</v>
      </c>
      <c r="J123" s="54" t="s">
        <v>64</v>
      </c>
      <c r="K123" s="54" t="s">
        <v>3110</v>
      </c>
      <c r="L123" s="56" t="s">
        <v>1701</v>
      </c>
      <c r="M123" s="54" t="s">
        <v>1546</v>
      </c>
      <c r="N123" s="54">
        <v>924.08100000000002</v>
      </c>
      <c r="O123" s="54"/>
      <c r="P123" s="54" t="s">
        <v>1870</v>
      </c>
    </row>
    <row r="124" spans="1:16" x14ac:dyDescent="0.35">
      <c r="A124" s="54">
        <v>2023</v>
      </c>
      <c r="B124" s="54" t="s">
        <v>772</v>
      </c>
      <c r="C124" s="54" t="s">
        <v>39</v>
      </c>
      <c r="D124" s="54" t="s">
        <v>78</v>
      </c>
      <c r="E124" s="54" t="s">
        <v>1321</v>
      </c>
      <c r="G124" s="54" t="s">
        <v>2151</v>
      </c>
      <c r="H124" s="54" t="s">
        <v>11</v>
      </c>
      <c r="I124" s="54" t="s">
        <v>21</v>
      </c>
      <c r="J124" s="54" t="s">
        <v>64</v>
      </c>
      <c r="K124" s="54" t="s">
        <v>3110</v>
      </c>
      <c r="L124" s="56" t="s">
        <v>1742</v>
      </c>
      <c r="M124" s="54" t="s">
        <v>1719</v>
      </c>
      <c r="N124" s="54">
        <v>336.52100000000002</v>
      </c>
      <c r="O124" s="54"/>
      <c r="P124" s="54" t="s">
        <v>1870</v>
      </c>
    </row>
    <row r="125" spans="1:16" x14ac:dyDescent="0.35">
      <c r="A125" s="54">
        <v>2023</v>
      </c>
      <c r="B125" s="54" t="s">
        <v>772</v>
      </c>
      <c r="C125" s="54" t="s">
        <v>39</v>
      </c>
      <c r="D125" s="54" t="s">
        <v>78</v>
      </c>
      <c r="E125" s="54" t="s">
        <v>1321</v>
      </c>
      <c r="G125" s="54" t="s">
        <v>2151</v>
      </c>
      <c r="H125" s="54" t="s">
        <v>11</v>
      </c>
      <c r="I125" s="54" t="s">
        <v>21</v>
      </c>
      <c r="J125" s="54" t="s">
        <v>64</v>
      </c>
      <c r="K125" s="54" t="s">
        <v>3109</v>
      </c>
      <c r="L125" s="54" t="s">
        <v>1717</v>
      </c>
      <c r="M125" s="54" t="s">
        <v>402</v>
      </c>
      <c r="N125" s="55">
        <v>229891.86895</v>
      </c>
      <c r="P125" s="54" t="s">
        <v>1583</v>
      </c>
    </row>
    <row r="126" spans="1:16" x14ac:dyDescent="0.35">
      <c r="A126" s="54">
        <v>2023</v>
      </c>
      <c r="B126" s="54" t="s">
        <v>772</v>
      </c>
      <c r="C126" s="54" t="s">
        <v>39</v>
      </c>
      <c r="D126" s="54" t="s">
        <v>78</v>
      </c>
      <c r="E126" s="54" t="s">
        <v>1321</v>
      </c>
      <c r="G126" s="54" t="s">
        <v>2151</v>
      </c>
      <c r="H126" s="54" t="s">
        <v>11</v>
      </c>
      <c r="I126" s="54" t="s">
        <v>21</v>
      </c>
      <c r="J126" s="54" t="s">
        <v>64</v>
      </c>
      <c r="K126" s="54" t="s">
        <v>3110</v>
      </c>
      <c r="L126" s="56" t="s">
        <v>1740</v>
      </c>
      <c r="M126" s="54" t="s">
        <v>1546</v>
      </c>
      <c r="N126" s="54">
        <v>390.00299999999999</v>
      </c>
      <c r="O126" s="54"/>
      <c r="P126" s="54" t="s">
        <v>1870</v>
      </c>
    </row>
    <row r="127" spans="1:16" x14ac:dyDescent="0.35">
      <c r="A127" s="54">
        <v>2023</v>
      </c>
      <c r="B127" s="54" t="s">
        <v>772</v>
      </c>
      <c r="C127" s="54" t="s">
        <v>39</v>
      </c>
      <c r="D127" s="54" t="s">
        <v>78</v>
      </c>
      <c r="E127" s="54" t="s">
        <v>1321</v>
      </c>
      <c r="G127" s="54" t="s">
        <v>2151</v>
      </c>
      <c r="H127" s="54" t="s">
        <v>11</v>
      </c>
      <c r="I127" s="54" t="s">
        <v>21</v>
      </c>
      <c r="J127" s="54" t="s">
        <v>64</v>
      </c>
      <c r="K127" s="54" t="s">
        <v>3109</v>
      </c>
      <c r="L127" s="54" t="s">
        <v>1584</v>
      </c>
      <c r="M127" s="54" t="s">
        <v>402</v>
      </c>
      <c r="N127" s="55">
        <v>1483.2</v>
      </c>
      <c r="P127" s="54" t="s">
        <v>1583</v>
      </c>
    </row>
    <row r="128" spans="1:16" x14ac:dyDescent="0.35">
      <c r="A128" s="54">
        <v>2023</v>
      </c>
      <c r="B128" s="54" t="s">
        <v>772</v>
      </c>
      <c r="C128" s="54" t="s">
        <v>39</v>
      </c>
      <c r="D128" s="54" t="s">
        <v>78</v>
      </c>
      <c r="E128" s="54" t="s">
        <v>1321</v>
      </c>
      <c r="G128" s="54" t="s">
        <v>2151</v>
      </c>
      <c r="H128" s="54" t="s">
        <v>11</v>
      </c>
      <c r="I128" s="54" t="s">
        <v>21</v>
      </c>
      <c r="J128" s="54" t="s">
        <v>64</v>
      </c>
      <c r="K128" s="54" t="s">
        <v>3110</v>
      </c>
      <c r="L128" s="56" t="s">
        <v>1766</v>
      </c>
      <c r="M128" s="54" t="s">
        <v>1546</v>
      </c>
      <c r="N128" s="54">
        <v>100.705343372947</v>
      </c>
      <c r="O128" s="54"/>
      <c r="P128" s="54" t="s">
        <v>1870</v>
      </c>
    </row>
    <row r="129" spans="1:16" x14ac:dyDescent="0.35">
      <c r="A129" s="54">
        <v>2023</v>
      </c>
      <c r="B129" s="54" t="s">
        <v>772</v>
      </c>
      <c r="C129" s="54" t="s">
        <v>39</v>
      </c>
      <c r="D129" s="54" t="s">
        <v>78</v>
      </c>
      <c r="E129" s="54" t="s">
        <v>1321</v>
      </c>
      <c r="G129" s="54" t="s">
        <v>2151</v>
      </c>
      <c r="H129" s="54" t="s">
        <v>11</v>
      </c>
      <c r="I129" s="54" t="s">
        <v>21</v>
      </c>
      <c r="J129" s="54" t="s">
        <v>64</v>
      </c>
      <c r="K129" s="54" t="s">
        <v>3109</v>
      </c>
      <c r="L129" s="54" t="s">
        <v>1582</v>
      </c>
      <c r="M129" s="54" t="s">
        <v>402</v>
      </c>
      <c r="N129" s="55">
        <v>3808.98428206273</v>
      </c>
      <c r="P129" s="54" t="s">
        <v>1583</v>
      </c>
    </row>
    <row r="130" spans="1:16" x14ac:dyDescent="0.35">
      <c r="A130" s="54">
        <v>2023</v>
      </c>
      <c r="B130" s="54" t="s">
        <v>772</v>
      </c>
      <c r="C130" s="54" t="s">
        <v>39</v>
      </c>
      <c r="D130" s="54" t="s">
        <v>78</v>
      </c>
      <c r="E130" s="54" t="s">
        <v>1321</v>
      </c>
      <c r="G130" s="54" t="s">
        <v>2151</v>
      </c>
      <c r="H130" s="54" t="s">
        <v>11</v>
      </c>
      <c r="I130" s="54" t="s">
        <v>21</v>
      </c>
      <c r="J130" s="54" t="s">
        <v>64</v>
      </c>
      <c r="K130" s="54" t="s">
        <v>3109</v>
      </c>
      <c r="L130" s="54" t="s">
        <v>1722</v>
      </c>
      <c r="M130" s="54" t="s">
        <v>402</v>
      </c>
      <c r="N130" s="55">
        <v>509889.6</v>
      </c>
      <c r="P130" s="54" t="s">
        <v>1583</v>
      </c>
    </row>
    <row r="131" spans="1:16" x14ac:dyDescent="0.35">
      <c r="A131" s="54">
        <v>2023</v>
      </c>
      <c r="B131" s="54" t="s">
        <v>772</v>
      </c>
      <c r="C131" s="54" t="s">
        <v>755</v>
      </c>
      <c r="D131" s="54" t="s">
        <v>85</v>
      </c>
      <c r="E131" s="54" t="s">
        <v>1315</v>
      </c>
      <c r="G131" s="54" t="s">
        <v>2150</v>
      </c>
      <c r="H131" s="54" t="s">
        <v>11</v>
      </c>
      <c r="I131" s="54" t="s">
        <v>23</v>
      </c>
      <c r="J131" s="54" t="s">
        <v>84</v>
      </c>
      <c r="K131" s="54" t="s">
        <v>3109</v>
      </c>
      <c r="L131" s="54" t="s">
        <v>1582</v>
      </c>
      <c r="M131" s="54" t="s">
        <v>402</v>
      </c>
      <c r="N131" s="55">
        <f>(1-0.753)*228399.5</f>
        <v>56414.676500000001</v>
      </c>
      <c r="P131" s="54" t="s">
        <v>1634</v>
      </c>
    </row>
    <row r="132" spans="1:16" x14ac:dyDescent="0.35">
      <c r="A132" s="54">
        <v>2023</v>
      </c>
      <c r="B132" s="54" t="s">
        <v>772</v>
      </c>
      <c r="C132" s="54" t="s">
        <v>755</v>
      </c>
      <c r="D132" s="54" t="s">
        <v>85</v>
      </c>
      <c r="E132" s="54" t="s">
        <v>1315</v>
      </c>
      <c r="G132" s="54" t="s">
        <v>2150</v>
      </c>
      <c r="H132" s="54" t="s">
        <v>11</v>
      </c>
      <c r="I132" s="54" t="s">
        <v>23</v>
      </c>
      <c r="J132" s="54" t="s">
        <v>84</v>
      </c>
      <c r="K132" s="54" t="s">
        <v>3109</v>
      </c>
      <c r="L132" s="54" t="s">
        <v>1722</v>
      </c>
      <c r="M132" s="54" t="s">
        <v>402</v>
      </c>
      <c r="N132" s="55">
        <f>0.753*228399.5</f>
        <v>171984.8235</v>
      </c>
      <c r="P132" s="54" t="s">
        <v>1634</v>
      </c>
    </row>
    <row r="133" spans="1:16" x14ac:dyDescent="0.35">
      <c r="A133" s="54">
        <v>2023</v>
      </c>
      <c r="B133" s="54" t="s">
        <v>772</v>
      </c>
      <c r="C133" s="54" t="s">
        <v>755</v>
      </c>
      <c r="D133" s="54" t="s">
        <v>85</v>
      </c>
      <c r="E133" s="54" t="s">
        <v>1315</v>
      </c>
      <c r="G133" s="54" t="s">
        <v>2150</v>
      </c>
      <c r="H133" s="54" t="s">
        <v>11</v>
      </c>
      <c r="I133" s="54" t="s">
        <v>23</v>
      </c>
      <c r="J133" s="54" t="s">
        <v>84</v>
      </c>
      <c r="K133" s="54" t="s">
        <v>3110</v>
      </c>
      <c r="L133" s="54" t="s">
        <v>1705</v>
      </c>
      <c r="M133" s="54" t="s">
        <v>1546</v>
      </c>
      <c r="N133" s="55">
        <v>980</v>
      </c>
      <c r="O133" s="54"/>
      <c r="P133" s="54" t="s">
        <v>1869</v>
      </c>
    </row>
    <row r="134" spans="1:16" x14ac:dyDescent="0.35">
      <c r="A134" s="54">
        <v>2023</v>
      </c>
      <c r="B134" s="54" t="s">
        <v>772</v>
      </c>
      <c r="C134" s="54" t="s">
        <v>755</v>
      </c>
      <c r="D134" s="54" t="s">
        <v>85</v>
      </c>
      <c r="E134" s="54" t="s">
        <v>1315</v>
      </c>
      <c r="G134" s="54" t="s">
        <v>2150</v>
      </c>
      <c r="H134" s="54" t="s">
        <v>11</v>
      </c>
      <c r="I134" s="54" t="s">
        <v>23</v>
      </c>
      <c r="J134" s="54" t="s">
        <v>84</v>
      </c>
      <c r="K134" s="54" t="s">
        <v>3110</v>
      </c>
      <c r="L134" s="54" t="s">
        <v>1704</v>
      </c>
      <c r="M134" s="54" t="s">
        <v>1546</v>
      </c>
      <c r="N134" s="55">
        <v>179</v>
      </c>
      <c r="O134" s="54"/>
      <c r="P134" s="54" t="s">
        <v>1869</v>
      </c>
    </row>
    <row r="135" spans="1:16" x14ac:dyDescent="0.35">
      <c r="A135" s="54">
        <v>2023</v>
      </c>
      <c r="B135" s="54" t="s">
        <v>772</v>
      </c>
      <c r="C135" s="54" t="s">
        <v>755</v>
      </c>
      <c r="D135" s="54" t="s">
        <v>85</v>
      </c>
      <c r="E135" s="54" t="s">
        <v>1315</v>
      </c>
      <c r="G135" s="54" t="s">
        <v>2150</v>
      </c>
      <c r="H135" s="54" t="s">
        <v>11</v>
      </c>
      <c r="I135" s="54" t="s">
        <v>23</v>
      </c>
      <c r="J135" s="54" t="s">
        <v>84</v>
      </c>
      <c r="K135" s="54" t="s">
        <v>3110</v>
      </c>
      <c r="L135" s="54" t="s">
        <v>1702</v>
      </c>
      <c r="M135" s="54" t="s">
        <v>1695</v>
      </c>
      <c r="N135" s="55">
        <v>38000</v>
      </c>
      <c r="O135" s="54"/>
      <c r="P135" s="54" t="s">
        <v>1869</v>
      </c>
    </row>
    <row r="136" spans="1:16" x14ac:dyDescent="0.35">
      <c r="A136" s="54">
        <v>2023</v>
      </c>
      <c r="B136" s="54" t="s">
        <v>772</v>
      </c>
      <c r="C136" s="54" t="s">
        <v>755</v>
      </c>
      <c r="D136" s="54" t="s">
        <v>85</v>
      </c>
      <c r="E136" s="54" t="s">
        <v>1315</v>
      </c>
      <c r="G136" s="54" t="s">
        <v>2150</v>
      </c>
      <c r="H136" s="54" t="s">
        <v>11</v>
      </c>
      <c r="I136" s="54" t="s">
        <v>23</v>
      </c>
      <c r="J136" s="54" t="s">
        <v>84</v>
      </c>
      <c r="K136" s="54" t="s">
        <v>3109</v>
      </c>
      <c r="L136" s="54" t="s">
        <v>1723</v>
      </c>
      <c r="M136" s="54" t="s">
        <v>1746</v>
      </c>
      <c r="N136" s="55">
        <v>4761600.0999999996</v>
      </c>
      <c r="P136" s="54" t="s">
        <v>1634</v>
      </c>
    </row>
    <row r="137" spans="1:16" x14ac:dyDescent="0.35">
      <c r="A137" s="54">
        <v>2023</v>
      </c>
      <c r="B137" s="54" t="s">
        <v>772</v>
      </c>
      <c r="C137" s="54" t="s">
        <v>755</v>
      </c>
      <c r="D137" s="54" t="s">
        <v>85</v>
      </c>
      <c r="E137" s="54" t="s">
        <v>1315</v>
      </c>
      <c r="G137" s="54" t="s">
        <v>2150</v>
      </c>
      <c r="H137" s="54" t="s">
        <v>11</v>
      </c>
      <c r="I137" s="54" t="s">
        <v>23</v>
      </c>
      <c r="J137" s="54" t="s">
        <v>84</v>
      </c>
      <c r="K137" s="54" t="s">
        <v>3109</v>
      </c>
      <c r="L137" s="54" t="s">
        <v>1920</v>
      </c>
      <c r="M137" s="54" t="s">
        <v>1695</v>
      </c>
      <c r="N137" s="55">
        <v>522600</v>
      </c>
      <c r="P137" s="54" t="s">
        <v>1634</v>
      </c>
    </row>
    <row r="138" spans="1:16" x14ac:dyDescent="0.35">
      <c r="A138" s="54">
        <v>2023</v>
      </c>
      <c r="B138" s="54" t="s">
        <v>772</v>
      </c>
      <c r="C138" s="54" t="s">
        <v>755</v>
      </c>
      <c r="D138" s="54" t="s">
        <v>85</v>
      </c>
      <c r="E138" s="54" t="s">
        <v>1315</v>
      </c>
      <c r="G138" s="54" t="s">
        <v>2150</v>
      </c>
      <c r="H138" s="54" t="s">
        <v>11</v>
      </c>
      <c r="I138" s="54" t="s">
        <v>23</v>
      </c>
      <c r="J138" s="54" t="s">
        <v>84</v>
      </c>
      <c r="K138" s="54" t="s">
        <v>3110</v>
      </c>
      <c r="L138" s="54" t="s">
        <v>1700</v>
      </c>
      <c r="M138" s="54" t="s">
        <v>1546</v>
      </c>
      <c r="N138" s="55">
        <v>192</v>
      </c>
      <c r="O138" s="54"/>
      <c r="P138" s="54" t="s">
        <v>1869</v>
      </c>
    </row>
    <row r="139" spans="1:16" x14ac:dyDescent="0.35">
      <c r="A139" s="54">
        <v>2023</v>
      </c>
      <c r="B139" s="54" t="s">
        <v>772</v>
      </c>
      <c r="C139" s="54" t="s">
        <v>755</v>
      </c>
      <c r="D139" s="54" t="s">
        <v>85</v>
      </c>
      <c r="E139" s="54" t="s">
        <v>1315</v>
      </c>
      <c r="G139" s="54" t="s">
        <v>2150</v>
      </c>
      <c r="H139" s="54" t="s">
        <v>11</v>
      </c>
      <c r="I139" s="54" t="s">
        <v>23</v>
      </c>
      <c r="J139" s="54" t="s">
        <v>84</v>
      </c>
      <c r="K139" s="54" t="s">
        <v>3109</v>
      </c>
      <c r="L139" s="54" t="s">
        <v>1724</v>
      </c>
      <c r="M139" s="54" t="s">
        <v>1746</v>
      </c>
      <c r="N139" s="55">
        <v>119418.4</v>
      </c>
      <c r="P139" s="54" t="s">
        <v>1634</v>
      </c>
    </row>
    <row r="140" spans="1:16" x14ac:dyDescent="0.35">
      <c r="A140" s="54">
        <v>2023</v>
      </c>
      <c r="B140" s="54" t="s">
        <v>772</v>
      </c>
      <c r="C140" s="54" t="s">
        <v>755</v>
      </c>
      <c r="D140" s="54" t="s">
        <v>85</v>
      </c>
      <c r="E140" s="54" t="s">
        <v>1315</v>
      </c>
      <c r="G140" s="54" t="s">
        <v>2150</v>
      </c>
      <c r="H140" s="54" t="s">
        <v>11</v>
      </c>
      <c r="I140" s="54" t="s">
        <v>23</v>
      </c>
      <c r="J140" s="54" t="s">
        <v>84</v>
      </c>
      <c r="K140" s="54" t="s">
        <v>3110</v>
      </c>
      <c r="L140" s="54" t="s">
        <v>1701</v>
      </c>
      <c r="M140" s="54" t="s">
        <v>1546</v>
      </c>
      <c r="N140" s="55">
        <v>2724</v>
      </c>
      <c r="O140" s="54"/>
      <c r="P140" s="54" t="s">
        <v>1869</v>
      </c>
    </row>
    <row r="141" spans="1:16" x14ac:dyDescent="0.35">
      <c r="A141" s="54">
        <v>2023</v>
      </c>
      <c r="B141" s="54" t="s">
        <v>772</v>
      </c>
      <c r="C141" s="54" t="s">
        <v>755</v>
      </c>
      <c r="D141" s="54" t="s">
        <v>85</v>
      </c>
      <c r="E141" s="54" t="s">
        <v>1315</v>
      </c>
      <c r="G141" s="54" t="s">
        <v>2150</v>
      </c>
      <c r="H141" s="54" t="s">
        <v>11</v>
      </c>
      <c r="I141" s="54" t="s">
        <v>23</v>
      </c>
      <c r="J141" s="54" t="s">
        <v>84</v>
      </c>
      <c r="K141" s="54" t="s">
        <v>3109</v>
      </c>
      <c r="L141" s="54" t="s">
        <v>1718</v>
      </c>
      <c r="M141" s="54" t="s">
        <v>402</v>
      </c>
      <c r="N141" s="55">
        <v>59198</v>
      </c>
      <c r="P141" s="54" t="s">
        <v>1634</v>
      </c>
    </row>
    <row r="142" spans="1:16" x14ac:dyDescent="0.35">
      <c r="A142" s="54">
        <v>2023</v>
      </c>
      <c r="B142" s="54" t="s">
        <v>772</v>
      </c>
      <c r="C142" s="54" t="s">
        <v>755</v>
      </c>
      <c r="D142" s="54" t="s">
        <v>85</v>
      </c>
      <c r="E142" s="54" t="s">
        <v>1315</v>
      </c>
      <c r="G142" s="54" t="s">
        <v>2150</v>
      </c>
      <c r="H142" s="54" t="s">
        <v>11</v>
      </c>
      <c r="I142" s="54" t="s">
        <v>23</v>
      </c>
      <c r="J142" s="54" t="s">
        <v>84</v>
      </c>
      <c r="K142" s="54" t="s">
        <v>3110</v>
      </c>
      <c r="L142" s="54" t="s">
        <v>1703</v>
      </c>
      <c r="M142" s="54" t="s">
        <v>1546</v>
      </c>
      <c r="N142" s="55">
        <v>55</v>
      </c>
      <c r="O142" s="54"/>
      <c r="P142" s="54" t="s">
        <v>1869</v>
      </c>
    </row>
    <row r="143" spans="1:16" x14ac:dyDescent="0.35">
      <c r="A143" s="54">
        <v>2023</v>
      </c>
      <c r="B143" s="54" t="s">
        <v>772</v>
      </c>
      <c r="C143" s="54" t="s">
        <v>755</v>
      </c>
      <c r="D143" s="54" t="s">
        <v>85</v>
      </c>
      <c r="E143" s="54" t="s">
        <v>1315</v>
      </c>
      <c r="G143" s="54" t="s">
        <v>2150</v>
      </c>
      <c r="H143" s="54" t="s">
        <v>11</v>
      </c>
      <c r="I143" s="54" t="s">
        <v>23</v>
      </c>
      <c r="J143" s="54" t="s">
        <v>84</v>
      </c>
      <c r="K143" s="54" t="s">
        <v>3109</v>
      </c>
      <c r="L143" s="54" t="s">
        <v>1717</v>
      </c>
      <c r="M143" s="54" t="s">
        <v>1746</v>
      </c>
      <c r="N143" s="55">
        <v>31049.5</v>
      </c>
      <c r="P143" s="54" t="s">
        <v>1634</v>
      </c>
    </row>
    <row r="144" spans="1:16" x14ac:dyDescent="0.35">
      <c r="A144" s="54">
        <v>2023</v>
      </c>
      <c r="B144" s="54" t="s">
        <v>772</v>
      </c>
      <c r="C144" s="54" t="s">
        <v>755</v>
      </c>
      <c r="D144" s="54" t="s">
        <v>85</v>
      </c>
      <c r="E144" s="54" t="s">
        <v>1315</v>
      </c>
      <c r="G144" s="54" t="s">
        <v>2150</v>
      </c>
      <c r="H144" s="54" t="s">
        <v>11</v>
      </c>
      <c r="I144" s="54" t="s">
        <v>23</v>
      </c>
      <c r="J144" s="54" t="s">
        <v>84</v>
      </c>
      <c r="K144" s="54" t="s">
        <v>3110</v>
      </c>
      <c r="L144" s="54" t="s">
        <v>1706</v>
      </c>
      <c r="M144" s="54" t="s">
        <v>1546</v>
      </c>
      <c r="N144" s="55">
        <v>583</v>
      </c>
      <c r="O144" s="54"/>
      <c r="P144" s="54" t="s">
        <v>1869</v>
      </c>
    </row>
    <row r="145" spans="1:16" x14ac:dyDescent="0.35">
      <c r="A145" s="54">
        <v>2023</v>
      </c>
      <c r="B145" s="54" t="s">
        <v>1537</v>
      </c>
      <c r="C145" s="54" t="s">
        <v>39</v>
      </c>
      <c r="D145" s="54" t="s">
        <v>1587</v>
      </c>
      <c r="F145" s="54" t="s">
        <v>1754</v>
      </c>
      <c r="G145" s="54" t="s">
        <v>2151</v>
      </c>
      <c r="H145" s="54" t="s">
        <v>11</v>
      </c>
      <c r="I145" s="54" t="s">
        <v>17</v>
      </c>
      <c r="J145" s="54" t="s">
        <v>16</v>
      </c>
      <c r="K145" s="54" t="s">
        <v>3109</v>
      </c>
      <c r="L145" s="54" t="s">
        <v>1585</v>
      </c>
      <c r="M145" s="54" t="s">
        <v>402</v>
      </c>
      <c r="N145" s="55">
        <v>23524.436671511001</v>
      </c>
      <c r="P145" s="54" t="s">
        <v>1583</v>
      </c>
    </row>
    <row r="146" spans="1:16" x14ac:dyDescent="0.35">
      <c r="A146" s="54">
        <v>2023</v>
      </c>
      <c r="B146" s="54" t="s">
        <v>1537</v>
      </c>
      <c r="C146" s="54" t="s">
        <v>39</v>
      </c>
      <c r="D146" s="54" t="s">
        <v>1587</v>
      </c>
      <c r="F146" s="54" t="s">
        <v>1754</v>
      </c>
      <c r="G146" s="54" t="s">
        <v>2151</v>
      </c>
      <c r="H146" s="54" t="s">
        <v>11</v>
      </c>
      <c r="I146" s="54" t="s">
        <v>17</v>
      </c>
      <c r="J146" s="54" t="s">
        <v>16</v>
      </c>
      <c r="K146" s="54" t="s">
        <v>3110</v>
      </c>
      <c r="L146" s="56" t="s">
        <v>1741</v>
      </c>
      <c r="M146" s="54" t="s">
        <v>1546</v>
      </c>
      <c r="N146" s="54">
        <v>12578</v>
      </c>
      <c r="O146" s="54"/>
      <c r="P146" s="54" t="s">
        <v>1870</v>
      </c>
    </row>
    <row r="147" spans="1:16" x14ac:dyDescent="0.35">
      <c r="A147" s="54">
        <v>2023</v>
      </c>
      <c r="B147" s="54" t="s">
        <v>1537</v>
      </c>
      <c r="C147" s="54" t="s">
        <v>39</v>
      </c>
      <c r="D147" s="54" t="s">
        <v>1587</v>
      </c>
      <c r="F147" s="54" t="s">
        <v>1754</v>
      </c>
      <c r="G147" s="54" t="s">
        <v>2151</v>
      </c>
      <c r="H147" s="54" t="s">
        <v>11</v>
      </c>
      <c r="I147" s="54" t="s">
        <v>17</v>
      </c>
      <c r="J147" s="54" t="s">
        <v>16</v>
      </c>
      <c r="K147" s="54" t="s">
        <v>3109</v>
      </c>
      <c r="L147" s="54" t="s">
        <v>1723</v>
      </c>
      <c r="M147" s="54" t="s">
        <v>402</v>
      </c>
      <c r="N147" s="55">
        <v>623021.86861600005</v>
      </c>
      <c r="P147" s="54" t="s">
        <v>1583</v>
      </c>
    </row>
    <row r="148" spans="1:16" x14ac:dyDescent="0.35">
      <c r="A148" s="54">
        <v>2023</v>
      </c>
      <c r="B148" s="54" t="s">
        <v>1537</v>
      </c>
      <c r="C148" s="54" t="s">
        <v>39</v>
      </c>
      <c r="D148" s="54" t="s">
        <v>1587</v>
      </c>
      <c r="F148" s="54" t="s">
        <v>1754</v>
      </c>
      <c r="G148" s="54" t="s">
        <v>2151</v>
      </c>
      <c r="H148" s="54" t="s">
        <v>11</v>
      </c>
      <c r="I148" s="54" t="s">
        <v>17</v>
      </c>
      <c r="J148" s="54" t="s">
        <v>16</v>
      </c>
      <c r="K148" s="54" t="s">
        <v>3109</v>
      </c>
      <c r="L148" s="54" t="s">
        <v>1582</v>
      </c>
      <c r="M148" s="54" t="s">
        <v>402</v>
      </c>
      <c r="N148" s="55">
        <v>91025.482259915196</v>
      </c>
      <c r="P148" s="54" t="s">
        <v>1583</v>
      </c>
    </row>
    <row r="149" spans="1:16" x14ac:dyDescent="0.35">
      <c r="A149" s="54">
        <v>2023</v>
      </c>
      <c r="B149" s="54" t="s">
        <v>1537</v>
      </c>
      <c r="C149" s="54" t="s">
        <v>39</v>
      </c>
      <c r="D149" s="54" t="s">
        <v>1587</v>
      </c>
      <c r="F149" s="54" t="s">
        <v>1754</v>
      </c>
      <c r="G149" s="54" t="s">
        <v>2151</v>
      </c>
      <c r="H149" s="54" t="s">
        <v>11</v>
      </c>
      <c r="I149" s="54" t="s">
        <v>17</v>
      </c>
      <c r="J149" s="54" t="s">
        <v>16</v>
      </c>
      <c r="K149" s="54" t="s">
        <v>3109</v>
      </c>
      <c r="L149" s="54" t="s">
        <v>1724</v>
      </c>
      <c r="M149" s="54" t="s">
        <v>402</v>
      </c>
      <c r="N149" s="55">
        <v>17195.8465</v>
      </c>
      <c r="P149" s="54" t="s">
        <v>1583</v>
      </c>
    </row>
    <row r="150" spans="1:16" x14ac:dyDescent="0.35">
      <c r="A150" s="54">
        <v>2023</v>
      </c>
      <c r="B150" s="54" t="s">
        <v>1537</v>
      </c>
      <c r="C150" s="54" t="s">
        <v>39</v>
      </c>
      <c r="D150" s="54" t="s">
        <v>1587</v>
      </c>
      <c r="F150" s="54" t="s">
        <v>1754</v>
      </c>
      <c r="G150" s="54" t="s">
        <v>2151</v>
      </c>
      <c r="H150" s="54" t="s">
        <v>11</v>
      </c>
      <c r="I150" s="54" t="s">
        <v>17</v>
      </c>
      <c r="J150" s="54" t="s">
        <v>16</v>
      </c>
      <c r="K150" s="54" t="s">
        <v>3110</v>
      </c>
      <c r="L150" s="56" t="s">
        <v>1739</v>
      </c>
      <c r="M150" s="54" t="s">
        <v>1546</v>
      </c>
      <c r="N150" s="54">
        <v>1932.222</v>
      </c>
      <c r="O150" s="55" t="s">
        <v>3227</v>
      </c>
      <c r="P150" s="54" t="s">
        <v>1870</v>
      </c>
    </row>
    <row r="151" spans="1:16" x14ac:dyDescent="0.35">
      <c r="A151" s="54">
        <v>2023</v>
      </c>
      <c r="B151" s="54" t="s">
        <v>1537</v>
      </c>
      <c r="C151" s="54" t="s">
        <v>39</v>
      </c>
      <c r="D151" s="54" t="s">
        <v>1587</v>
      </c>
      <c r="F151" s="54" t="s">
        <v>1754</v>
      </c>
      <c r="G151" s="54" t="s">
        <v>2151</v>
      </c>
      <c r="H151" s="54" t="s">
        <v>11</v>
      </c>
      <c r="I151" s="54" t="s">
        <v>17</v>
      </c>
      <c r="J151" s="54" t="s">
        <v>16</v>
      </c>
      <c r="K151" s="54" t="s">
        <v>3110</v>
      </c>
      <c r="L151" s="56" t="s">
        <v>1743</v>
      </c>
      <c r="M151" s="54" t="s">
        <v>1719</v>
      </c>
      <c r="N151" s="54">
        <v>2.2549999999999999</v>
      </c>
      <c r="O151" s="54"/>
      <c r="P151" s="54" t="s">
        <v>1870</v>
      </c>
    </row>
    <row r="152" spans="1:16" x14ac:dyDescent="0.35">
      <c r="A152" s="54">
        <v>2023</v>
      </c>
      <c r="B152" s="54" t="s">
        <v>1537</v>
      </c>
      <c r="C152" s="54" t="s">
        <v>39</v>
      </c>
      <c r="D152" s="54" t="s">
        <v>1587</v>
      </c>
      <c r="F152" s="54" t="s">
        <v>1754</v>
      </c>
      <c r="G152" s="54" t="s">
        <v>2151</v>
      </c>
      <c r="H152" s="54" t="s">
        <v>11</v>
      </c>
      <c r="I152" s="54" t="s">
        <v>17</v>
      </c>
      <c r="J152" s="54" t="s">
        <v>16</v>
      </c>
      <c r="K152" s="54" t="s">
        <v>3110</v>
      </c>
      <c r="L152" s="56" t="s">
        <v>1701</v>
      </c>
      <c r="M152" s="54" t="s">
        <v>1546</v>
      </c>
      <c r="N152" s="54">
        <v>4346.9210000000003</v>
      </c>
      <c r="O152" s="54"/>
      <c r="P152" s="54" t="s">
        <v>1870</v>
      </c>
    </row>
    <row r="153" spans="1:16" x14ac:dyDescent="0.35">
      <c r="A153" s="54">
        <v>2023</v>
      </c>
      <c r="B153" s="54" t="s">
        <v>1537</v>
      </c>
      <c r="C153" s="54" t="s">
        <v>39</v>
      </c>
      <c r="D153" s="54" t="s">
        <v>1587</v>
      </c>
      <c r="F153" s="54" t="s">
        <v>1754</v>
      </c>
      <c r="G153" s="54" t="s">
        <v>2151</v>
      </c>
      <c r="H153" s="54" t="s">
        <v>11</v>
      </c>
      <c r="I153" s="54" t="s">
        <v>17</v>
      </c>
      <c r="J153" s="54" t="s">
        <v>16</v>
      </c>
      <c r="K153" s="54" t="s">
        <v>3110</v>
      </c>
      <c r="L153" s="56" t="s">
        <v>1742</v>
      </c>
      <c r="M153" s="54" t="s">
        <v>1719</v>
      </c>
      <c r="N153" s="54">
        <v>619.36599999999999</v>
      </c>
      <c r="O153" s="54"/>
      <c r="P153" s="54" t="s">
        <v>1870</v>
      </c>
    </row>
    <row r="154" spans="1:16" x14ac:dyDescent="0.35">
      <c r="A154" s="54">
        <v>2023</v>
      </c>
      <c r="B154" s="54" t="s">
        <v>1537</v>
      </c>
      <c r="C154" s="54" t="s">
        <v>39</v>
      </c>
      <c r="D154" s="54" t="s">
        <v>1587</v>
      </c>
      <c r="F154" s="54" t="s">
        <v>1754</v>
      </c>
      <c r="G154" s="54" t="s">
        <v>2151</v>
      </c>
      <c r="H154" s="54" t="s">
        <v>11</v>
      </c>
      <c r="I154" s="54" t="s">
        <v>17</v>
      </c>
      <c r="J154" s="54" t="s">
        <v>16</v>
      </c>
      <c r="K154" s="54" t="s">
        <v>3109</v>
      </c>
      <c r="L154" s="54" t="s">
        <v>1718</v>
      </c>
      <c r="M154" s="54" t="s">
        <v>402</v>
      </c>
      <c r="N154" s="55">
        <v>166705</v>
      </c>
      <c r="P154" s="54" t="s">
        <v>1583</v>
      </c>
    </row>
    <row r="155" spans="1:16" ht="16.5" x14ac:dyDescent="0.45">
      <c r="A155" s="54">
        <v>2023</v>
      </c>
      <c r="B155" s="54" t="s">
        <v>1537</v>
      </c>
      <c r="C155" s="54" t="s">
        <v>39</v>
      </c>
      <c r="D155" s="54" t="s">
        <v>1587</v>
      </c>
      <c r="F155" s="54" t="s">
        <v>1754</v>
      </c>
      <c r="G155" s="54" t="s">
        <v>2151</v>
      </c>
      <c r="H155" s="54" t="s">
        <v>11</v>
      </c>
      <c r="I155" s="54" t="s">
        <v>17</v>
      </c>
      <c r="J155" s="54" t="s">
        <v>16</v>
      </c>
      <c r="K155" s="54" t="s">
        <v>3110</v>
      </c>
      <c r="L155" s="56" t="s">
        <v>1745</v>
      </c>
      <c r="M155" s="54" t="s">
        <v>1746</v>
      </c>
      <c r="N155" s="54">
        <v>175</v>
      </c>
      <c r="O155" s="54"/>
      <c r="P155" s="54" t="s">
        <v>1870</v>
      </c>
    </row>
    <row r="156" spans="1:16" x14ac:dyDescent="0.35">
      <c r="A156" s="54">
        <v>2023</v>
      </c>
      <c r="B156" s="54" t="s">
        <v>1537</v>
      </c>
      <c r="C156" s="54" t="s">
        <v>39</v>
      </c>
      <c r="D156" s="54" t="s">
        <v>1587</v>
      </c>
      <c r="F156" s="54" t="s">
        <v>1754</v>
      </c>
      <c r="G156" s="54" t="s">
        <v>2151</v>
      </c>
      <c r="H156" s="54" t="s">
        <v>11</v>
      </c>
      <c r="I156" s="54" t="s">
        <v>17</v>
      </c>
      <c r="J156" s="54" t="s">
        <v>16</v>
      </c>
      <c r="K156" s="54" t="s">
        <v>3109</v>
      </c>
      <c r="L156" s="54" t="s">
        <v>1717</v>
      </c>
      <c r="M156" s="54" t="s">
        <v>402</v>
      </c>
      <c r="N156" s="55">
        <v>6336.0580702999996</v>
      </c>
      <c r="P156" s="54" t="s">
        <v>1583</v>
      </c>
    </row>
    <row r="157" spans="1:16" x14ac:dyDescent="0.35">
      <c r="A157" s="54">
        <v>2023</v>
      </c>
      <c r="B157" s="54" t="s">
        <v>1537</v>
      </c>
      <c r="C157" s="54" t="s">
        <v>39</v>
      </c>
      <c r="D157" s="54" t="s">
        <v>1587</v>
      </c>
      <c r="F157" s="54" t="s">
        <v>1754</v>
      </c>
      <c r="G157" s="54" t="s">
        <v>2151</v>
      </c>
      <c r="H157" s="54" t="s">
        <v>11</v>
      </c>
      <c r="I157" s="54" t="s">
        <v>17</v>
      </c>
      <c r="J157" s="54" t="s">
        <v>16</v>
      </c>
      <c r="K157" s="54" t="s">
        <v>3110</v>
      </c>
      <c r="L157" s="56" t="s">
        <v>1740</v>
      </c>
      <c r="M157" s="54" t="s">
        <v>1546</v>
      </c>
      <c r="N157" s="54">
        <v>734.52099999999996</v>
      </c>
      <c r="O157" s="54"/>
      <c r="P157" s="54" t="s">
        <v>1870</v>
      </c>
    </row>
    <row r="158" spans="1:16" ht="16.5" x14ac:dyDescent="0.45">
      <c r="A158" s="54">
        <v>2023</v>
      </c>
      <c r="B158" s="54" t="s">
        <v>1537</v>
      </c>
      <c r="C158" s="54" t="s">
        <v>39</v>
      </c>
      <c r="D158" s="54" t="s">
        <v>1587</v>
      </c>
      <c r="F158" s="54" t="s">
        <v>1754</v>
      </c>
      <c r="G158" s="54" t="s">
        <v>2151</v>
      </c>
      <c r="H158" s="54" t="s">
        <v>11</v>
      </c>
      <c r="I158" s="54" t="s">
        <v>17</v>
      </c>
      <c r="J158" s="54" t="s">
        <v>16</v>
      </c>
      <c r="K158" s="54" t="s">
        <v>3110</v>
      </c>
      <c r="L158" s="56" t="s">
        <v>1744</v>
      </c>
      <c r="M158" s="54" t="s">
        <v>1746</v>
      </c>
      <c r="N158" s="54">
        <v>5</v>
      </c>
      <c r="O158" s="54"/>
      <c r="P158" s="54" t="s">
        <v>1870</v>
      </c>
    </row>
    <row r="159" spans="1:16" x14ac:dyDescent="0.35">
      <c r="A159" s="54">
        <v>2023</v>
      </c>
      <c r="B159" s="54" t="s">
        <v>1537</v>
      </c>
      <c r="C159" s="54" t="s">
        <v>39</v>
      </c>
      <c r="D159" s="54" t="s">
        <v>1587</v>
      </c>
      <c r="F159" s="54" t="s">
        <v>1754</v>
      </c>
      <c r="G159" s="54" t="s">
        <v>2151</v>
      </c>
      <c r="H159" s="54" t="s">
        <v>11</v>
      </c>
      <c r="I159" s="54" t="s">
        <v>17</v>
      </c>
      <c r="J159" s="54" t="s">
        <v>16</v>
      </c>
      <c r="K159" s="54" t="s">
        <v>3110</v>
      </c>
      <c r="L159" s="56" t="s">
        <v>1766</v>
      </c>
      <c r="M159" s="54" t="s">
        <v>1546</v>
      </c>
      <c r="N159" s="54">
        <v>626.98357978771696</v>
      </c>
      <c r="O159" s="54"/>
      <c r="P159" s="54" t="s">
        <v>1870</v>
      </c>
    </row>
    <row r="160" spans="1:16" x14ac:dyDescent="0.35">
      <c r="A160" s="54">
        <v>2023</v>
      </c>
      <c r="B160" s="54" t="s">
        <v>1537</v>
      </c>
      <c r="C160" s="54" t="s">
        <v>39</v>
      </c>
      <c r="D160" s="54" t="s">
        <v>1587</v>
      </c>
      <c r="F160" s="54" t="s">
        <v>1754</v>
      </c>
      <c r="G160" s="54" t="s">
        <v>2151</v>
      </c>
      <c r="H160" s="54" t="s">
        <v>11</v>
      </c>
      <c r="I160" s="54" t="s">
        <v>17</v>
      </c>
      <c r="J160" s="54" t="s">
        <v>16</v>
      </c>
      <c r="K160" s="54" t="s">
        <v>3109</v>
      </c>
      <c r="L160" s="54" t="s">
        <v>1722</v>
      </c>
      <c r="M160" s="54" t="s">
        <v>402</v>
      </c>
      <c r="N160" s="55">
        <v>723967.2</v>
      </c>
      <c r="P160" s="54" t="s">
        <v>1583</v>
      </c>
    </row>
    <row r="161" spans="1:16" x14ac:dyDescent="0.35">
      <c r="A161" s="54">
        <v>2023</v>
      </c>
      <c r="B161" s="54" t="s">
        <v>772</v>
      </c>
      <c r="C161" s="54" t="s">
        <v>755</v>
      </c>
      <c r="D161" s="54" t="s">
        <v>76</v>
      </c>
      <c r="E161" s="54" t="s">
        <v>1314</v>
      </c>
      <c r="G161" s="54" t="s">
        <v>2150</v>
      </c>
      <c r="H161" s="54" t="s">
        <v>11</v>
      </c>
      <c r="I161" s="54" t="s">
        <v>13</v>
      </c>
      <c r="J161" s="54" t="s">
        <v>64</v>
      </c>
      <c r="K161" s="54" t="s">
        <v>3109</v>
      </c>
      <c r="L161" s="54" t="s">
        <v>1576</v>
      </c>
      <c r="M161" s="54" t="s">
        <v>402</v>
      </c>
      <c r="N161" s="55">
        <v>2919222</v>
      </c>
      <c r="P161" s="54" t="s">
        <v>1634</v>
      </c>
    </row>
    <row r="162" spans="1:16" x14ac:dyDescent="0.35">
      <c r="A162" s="54">
        <v>2023</v>
      </c>
      <c r="B162" s="54" t="s">
        <v>772</v>
      </c>
      <c r="C162" s="54" t="s">
        <v>755</v>
      </c>
      <c r="D162" s="54" t="s">
        <v>76</v>
      </c>
      <c r="E162" s="54" t="s">
        <v>1314</v>
      </c>
      <c r="G162" s="54" t="s">
        <v>2150</v>
      </c>
      <c r="H162" s="54" t="s">
        <v>11</v>
      </c>
      <c r="I162" s="54" t="s">
        <v>13</v>
      </c>
      <c r="J162" s="54" t="s">
        <v>64</v>
      </c>
      <c r="K162" s="54" t="s">
        <v>3110</v>
      </c>
      <c r="L162" s="54" t="s">
        <v>1709</v>
      </c>
      <c r="M162" s="54" t="s">
        <v>1546</v>
      </c>
      <c r="N162" s="55">
        <v>5977.02</v>
      </c>
      <c r="O162" s="54"/>
      <c r="P162" s="54" t="s">
        <v>1869</v>
      </c>
    </row>
    <row r="163" spans="1:16" x14ac:dyDescent="0.35">
      <c r="A163" s="54">
        <v>2023</v>
      </c>
      <c r="B163" s="54" t="s">
        <v>772</v>
      </c>
      <c r="C163" s="54" t="s">
        <v>755</v>
      </c>
      <c r="D163" s="54" t="s">
        <v>76</v>
      </c>
      <c r="E163" s="54" t="s">
        <v>1314</v>
      </c>
      <c r="G163" s="54" t="s">
        <v>2150</v>
      </c>
      <c r="H163" s="54" t="s">
        <v>11</v>
      </c>
      <c r="I163" s="54" t="s">
        <v>13</v>
      </c>
      <c r="J163" s="54" t="s">
        <v>64</v>
      </c>
      <c r="K163" s="54" t="s">
        <v>3110</v>
      </c>
      <c r="L163" s="54" t="s">
        <v>1710</v>
      </c>
      <c r="M163" s="54" t="s">
        <v>1546</v>
      </c>
      <c r="N163" s="55">
        <v>2819.39</v>
      </c>
      <c r="O163" s="54"/>
      <c r="P163" s="54" t="s">
        <v>1869</v>
      </c>
    </row>
    <row r="164" spans="1:16" x14ac:dyDescent="0.35">
      <c r="A164" s="54">
        <v>2023</v>
      </c>
      <c r="B164" s="54" t="s">
        <v>772</v>
      </c>
      <c r="C164" s="54" t="s">
        <v>755</v>
      </c>
      <c r="D164" s="54" t="s">
        <v>76</v>
      </c>
      <c r="E164" s="54" t="s">
        <v>1314</v>
      </c>
      <c r="G164" s="54" t="s">
        <v>2150</v>
      </c>
      <c r="H164" s="54" t="s">
        <v>11</v>
      </c>
      <c r="I164" s="54" t="s">
        <v>13</v>
      </c>
      <c r="J164" s="54" t="s">
        <v>64</v>
      </c>
      <c r="K164" s="54" t="s">
        <v>3110</v>
      </c>
      <c r="L164" s="54" t="s">
        <v>1702</v>
      </c>
      <c r="M164" s="54" t="s">
        <v>1695</v>
      </c>
      <c r="N164" s="55">
        <v>231239.82</v>
      </c>
      <c r="O164" s="54"/>
      <c r="P164" s="54" t="s">
        <v>1869</v>
      </c>
    </row>
    <row r="165" spans="1:16" x14ac:dyDescent="0.35">
      <c r="A165" s="54">
        <v>2023</v>
      </c>
      <c r="B165" s="54" t="s">
        <v>772</v>
      </c>
      <c r="C165" s="54" t="s">
        <v>755</v>
      </c>
      <c r="D165" s="54" t="s">
        <v>76</v>
      </c>
      <c r="E165" s="54" t="s">
        <v>1314</v>
      </c>
      <c r="G165" s="54" t="s">
        <v>2150</v>
      </c>
      <c r="H165" s="54" t="s">
        <v>11</v>
      </c>
      <c r="I165" s="54" t="s">
        <v>13</v>
      </c>
      <c r="J165" s="54" t="s">
        <v>64</v>
      </c>
      <c r="K165" s="54" t="s">
        <v>3110</v>
      </c>
      <c r="L165" s="54" t="s">
        <v>1708</v>
      </c>
      <c r="M165" s="54" t="s">
        <v>1546</v>
      </c>
      <c r="N165" s="55">
        <v>526.21</v>
      </c>
      <c r="O165" s="54"/>
      <c r="P165" s="54" t="s">
        <v>1869</v>
      </c>
    </row>
    <row r="166" spans="1:16" x14ac:dyDescent="0.35">
      <c r="A166" s="54">
        <v>2023</v>
      </c>
      <c r="B166" s="54" t="s">
        <v>772</v>
      </c>
      <c r="C166" s="54" t="s">
        <v>755</v>
      </c>
      <c r="D166" s="54" t="s">
        <v>76</v>
      </c>
      <c r="E166" s="54" t="s">
        <v>1314</v>
      </c>
      <c r="G166" s="54" t="s">
        <v>2150</v>
      </c>
      <c r="H166" s="54" t="s">
        <v>11</v>
      </c>
      <c r="I166" s="54" t="s">
        <v>13</v>
      </c>
      <c r="J166" s="54" t="s">
        <v>64</v>
      </c>
      <c r="K166" s="54" t="s">
        <v>3110</v>
      </c>
      <c r="L166" s="54" t="s">
        <v>1707</v>
      </c>
      <c r="M166" s="54" t="s">
        <v>1546</v>
      </c>
      <c r="N166" s="55">
        <v>2269.5700000000002</v>
      </c>
      <c r="O166" s="54"/>
      <c r="P166" s="54" t="s">
        <v>1869</v>
      </c>
    </row>
    <row r="167" spans="1:16" x14ac:dyDescent="0.35">
      <c r="A167" s="54">
        <v>2023</v>
      </c>
      <c r="B167" s="54" t="s">
        <v>772</v>
      </c>
      <c r="C167" s="54" t="s">
        <v>755</v>
      </c>
      <c r="D167" s="54" t="s">
        <v>76</v>
      </c>
      <c r="E167" s="54" t="s">
        <v>1314</v>
      </c>
      <c r="G167" s="54" t="s">
        <v>2150</v>
      </c>
      <c r="H167" s="54" t="s">
        <v>11</v>
      </c>
      <c r="I167" s="54" t="s">
        <v>13</v>
      </c>
      <c r="J167" s="54" t="s">
        <v>64</v>
      </c>
      <c r="K167" s="54" t="s">
        <v>3109</v>
      </c>
      <c r="L167" s="54" t="s">
        <v>1723</v>
      </c>
      <c r="M167" s="54" t="s">
        <v>1746</v>
      </c>
      <c r="N167" s="55">
        <v>42378137.859999999</v>
      </c>
      <c r="P167" s="54" t="s">
        <v>1634</v>
      </c>
    </row>
    <row r="168" spans="1:16" x14ac:dyDescent="0.35">
      <c r="A168" s="54">
        <v>2023</v>
      </c>
      <c r="B168" s="54" t="s">
        <v>772</v>
      </c>
      <c r="C168" s="54" t="s">
        <v>755</v>
      </c>
      <c r="D168" s="54" t="s">
        <v>76</v>
      </c>
      <c r="E168" s="54" t="s">
        <v>1314</v>
      </c>
      <c r="G168" s="54" t="s">
        <v>2150</v>
      </c>
      <c r="H168" s="54" t="s">
        <v>11</v>
      </c>
      <c r="I168" s="54" t="s">
        <v>13</v>
      </c>
      <c r="J168" s="54" t="s">
        <v>64</v>
      </c>
      <c r="K168" s="54" t="s">
        <v>3109</v>
      </c>
      <c r="L168" s="54" t="s">
        <v>1920</v>
      </c>
      <c r="M168" s="54" t="s">
        <v>1695</v>
      </c>
      <c r="N168" s="55">
        <v>14805627</v>
      </c>
      <c r="P168" s="54" t="s">
        <v>1634</v>
      </c>
    </row>
    <row r="169" spans="1:16" x14ac:dyDescent="0.35">
      <c r="A169" s="54">
        <v>2023</v>
      </c>
      <c r="B169" s="54" t="s">
        <v>772</v>
      </c>
      <c r="C169" s="54" t="s">
        <v>755</v>
      </c>
      <c r="D169" s="54" t="s">
        <v>76</v>
      </c>
      <c r="E169" s="54" t="s">
        <v>1314</v>
      </c>
      <c r="G169" s="54" t="s">
        <v>2150</v>
      </c>
      <c r="H169" s="54" t="s">
        <v>11</v>
      </c>
      <c r="I169" s="54" t="s">
        <v>13</v>
      </c>
      <c r="J169" s="54" t="s">
        <v>64</v>
      </c>
      <c r="K169" s="54" t="s">
        <v>3110</v>
      </c>
      <c r="L169" s="54" t="s">
        <v>1700</v>
      </c>
      <c r="M169" s="54" t="s">
        <v>1546</v>
      </c>
      <c r="N169" s="55">
        <v>149.1</v>
      </c>
      <c r="O169" s="54"/>
      <c r="P169" s="54" t="s">
        <v>1869</v>
      </c>
    </row>
    <row r="170" spans="1:16" x14ac:dyDescent="0.35">
      <c r="A170" s="54">
        <v>2023</v>
      </c>
      <c r="B170" s="54" t="s">
        <v>772</v>
      </c>
      <c r="C170" s="54" t="s">
        <v>755</v>
      </c>
      <c r="D170" s="54" t="s">
        <v>76</v>
      </c>
      <c r="E170" s="54" t="s">
        <v>1314</v>
      </c>
      <c r="G170" s="54" t="s">
        <v>2150</v>
      </c>
      <c r="H170" s="54" t="s">
        <v>11</v>
      </c>
      <c r="I170" s="54" t="s">
        <v>13</v>
      </c>
      <c r="J170" s="54" t="s">
        <v>64</v>
      </c>
      <c r="K170" s="54" t="s">
        <v>3109</v>
      </c>
      <c r="L170" s="54" t="s">
        <v>1724</v>
      </c>
      <c r="M170" s="54" t="s">
        <v>1746</v>
      </c>
      <c r="N170" s="55">
        <v>1147190.1000000001</v>
      </c>
      <c r="P170" s="54" t="s">
        <v>1634</v>
      </c>
    </row>
    <row r="171" spans="1:16" x14ac:dyDescent="0.35">
      <c r="A171" s="54">
        <v>2023</v>
      </c>
      <c r="B171" s="54" t="s">
        <v>772</v>
      </c>
      <c r="C171" s="54" t="s">
        <v>755</v>
      </c>
      <c r="D171" s="54" t="s">
        <v>76</v>
      </c>
      <c r="E171" s="54" t="s">
        <v>1314</v>
      </c>
      <c r="G171" s="54" t="s">
        <v>2150</v>
      </c>
      <c r="H171" s="54" t="s">
        <v>11</v>
      </c>
      <c r="I171" s="54" t="s">
        <v>13</v>
      </c>
      <c r="J171" s="54" t="s">
        <v>64</v>
      </c>
      <c r="K171" s="54" t="s">
        <v>3110</v>
      </c>
      <c r="L171" s="54" t="s">
        <v>1701</v>
      </c>
      <c r="M171" s="54" t="s">
        <v>1546</v>
      </c>
      <c r="N171" s="55">
        <v>6390.4</v>
      </c>
      <c r="O171" s="54"/>
      <c r="P171" s="54" t="s">
        <v>1869</v>
      </c>
    </row>
    <row r="172" spans="1:16" x14ac:dyDescent="0.35">
      <c r="A172" s="54">
        <v>2023</v>
      </c>
      <c r="B172" s="54" t="s">
        <v>772</v>
      </c>
      <c r="C172" s="54" t="s">
        <v>755</v>
      </c>
      <c r="D172" s="54" t="s">
        <v>76</v>
      </c>
      <c r="E172" s="54" t="s">
        <v>1314</v>
      </c>
      <c r="G172" s="54" t="s">
        <v>2150</v>
      </c>
      <c r="H172" s="54" t="s">
        <v>11</v>
      </c>
      <c r="I172" s="54" t="s">
        <v>13</v>
      </c>
      <c r="J172" s="54" t="s">
        <v>64</v>
      </c>
      <c r="K172" s="54" t="s">
        <v>3109</v>
      </c>
      <c r="L172" s="54" t="s">
        <v>1717</v>
      </c>
      <c r="M172" s="54" t="s">
        <v>1746</v>
      </c>
      <c r="N172" s="55">
        <v>3691412.93</v>
      </c>
      <c r="P172" s="54" t="s">
        <v>1634</v>
      </c>
    </row>
    <row r="173" spans="1:16" x14ac:dyDescent="0.35">
      <c r="A173" s="54">
        <v>2023</v>
      </c>
      <c r="B173" s="54" t="s">
        <v>772</v>
      </c>
      <c r="C173" s="54" t="s">
        <v>39</v>
      </c>
      <c r="D173" s="54" t="s">
        <v>86</v>
      </c>
      <c r="E173" s="54" t="s">
        <v>1322</v>
      </c>
      <c r="G173" s="54" t="s">
        <v>2151</v>
      </c>
      <c r="H173" s="54" t="s">
        <v>11</v>
      </c>
      <c r="I173" s="54" t="s">
        <v>19</v>
      </c>
      <c r="J173" s="54" t="s">
        <v>84</v>
      </c>
      <c r="K173" s="54" t="s">
        <v>3109</v>
      </c>
      <c r="L173" s="54" t="s">
        <v>1582</v>
      </c>
      <c r="M173" s="54" t="s">
        <v>402</v>
      </c>
      <c r="N173" s="55">
        <v>5528.5667000000003</v>
      </c>
      <c r="P173" s="54" t="s">
        <v>1583</v>
      </c>
    </row>
    <row r="174" spans="1:16" x14ac:dyDescent="0.35">
      <c r="A174" s="54">
        <v>2023</v>
      </c>
      <c r="B174" s="54" t="s">
        <v>772</v>
      </c>
      <c r="C174" s="54" t="s">
        <v>39</v>
      </c>
      <c r="D174" s="54" t="s">
        <v>86</v>
      </c>
      <c r="E174" s="54" t="s">
        <v>1322</v>
      </c>
      <c r="G174" s="54" t="s">
        <v>2151</v>
      </c>
      <c r="H174" s="54" t="s">
        <v>11</v>
      </c>
      <c r="I174" s="54" t="s">
        <v>19</v>
      </c>
      <c r="J174" s="54" t="s">
        <v>84</v>
      </c>
      <c r="K174" s="54" t="s">
        <v>3109</v>
      </c>
      <c r="L174" s="54" t="s">
        <v>3058</v>
      </c>
      <c r="M174" s="54" t="s">
        <v>402</v>
      </c>
      <c r="N174" s="55">
        <v>2</v>
      </c>
      <c r="P174" s="54" t="s">
        <v>1583</v>
      </c>
    </row>
    <row r="175" spans="1:16" x14ac:dyDescent="0.35">
      <c r="A175" s="54">
        <v>2023</v>
      </c>
      <c r="B175" s="54" t="s">
        <v>772</v>
      </c>
      <c r="C175" s="54" t="s">
        <v>39</v>
      </c>
      <c r="D175" s="54" t="s">
        <v>86</v>
      </c>
      <c r="E175" s="54" t="s">
        <v>1322</v>
      </c>
      <c r="G175" s="54" t="s">
        <v>2151</v>
      </c>
      <c r="H175" s="54" t="s">
        <v>11</v>
      </c>
      <c r="I175" s="54" t="s">
        <v>19</v>
      </c>
      <c r="J175" s="54" t="s">
        <v>84</v>
      </c>
      <c r="K175" s="54" t="s">
        <v>3109</v>
      </c>
      <c r="L175" s="54" t="s">
        <v>3060</v>
      </c>
      <c r="M175" s="54" t="s">
        <v>402</v>
      </c>
      <c r="N175" s="55">
        <v>121071.91538799999</v>
      </c>
      <c r="P175" s="54" t="s">
        <v>1583</v>
      </c>
    </row>
    <row r="176" spans="1:16" x14ac:dyDescent="0.35">
      <c r="A176" s="54">
        <v>2023</v>
      </c>
      <c r="B176" s="54" t="s">
        <v>772</v>
      </c>
      <c r="C176" s="54" t="s">
        <v>39</v>
      </c>
      <c r="D176" s="54" t="s">
        <v>86</v>
      </c>
      <c r="E176" s="54" t="s">
        <v>1322</v>
      </c>
      <c r="G176" s="54" t="s">
        <v>2151</v>
      </c>
      <c r="H176" s="54" t="s">
        <v>11</v>
      </c>
      <c r="I176" s="54" t="s">
        <v>19</v>
      </c>
      <c r="J176" s="54" t="s">
        <v>84</v>
      </c>
      <c r="K176" s="54" t="s">
        <v>3109</v>
      </c>
      <c r="L176" s="54" t="s">
        <v>1723</v>
      </c>
      <c r="M176" s="54" t="s">
        <v>402</v>
      </c>
      <c r="N176" s="55">
        <v>1361713.8583120001</v>
      </c>
      <c r="P176" s="54" t="s">
        <v>1583</v>
      </c>
    </row>
    <row r="177" spans="1:16" x14ac:dyDescent="0.35">
      <c r="A177" s="54">
        <v>2023</v>
      </c>
      <c r="B177" s="54" t="s">
        <v>772</v>
      </c>
      <c r="C177" s="54" t="s">
        <v>39</v>
      </c>
      <c r="D177" s="54" t="s">
        <v>86</v>
      </c>
      <c r="E177" s="54" t="s">
        <v>1322</v>
      </c>
      <c r="G177" s="54" t="s">
        <v>2151</v>
      </c>
      <c r="H177" s="54" t="s">
        <v>11</v>
      </c>
      <c r="I177" s="54" t="s">
        <v>19</v>
      </c>
      <c r="J177" s="54" t="s">
        <v>84</v>
      </c>
      <c r="K177" s="54" t="s">
        <v>3109</v>
      </c>
      <c r="L177" s="54" t="s">
        <v>1722</v>
      </c>
      <c r="M177" s="54" t="s">
        <v>402</v>
      </c>
      <c r="N177" s="55">
        <v>1274584.3415999999</v>
      </c>
      <c r="P177" s="54" t="s">
        <v>1583</v>
      </c>
    </row>
    <row r="178" spans="1:16" x14ac:dyDescent="0.35">
      <c r="A178" s="54">
        <v>2023</v>
      </c>
      <c r="B178" s="54" t="s">
        <v>772</v>
      </c>
      <c r="C178" s="54" t="s">
        <v>39</v>
      </c>
      <c r="D178" s="54" t="s">
        <v>86</v>
      </c>
      <c r="E178" s="54" t="s">
        <v>1322</v>
      </c>
      <c r="G178" s="54" t="s">
        <v>2151</v>
      </c>
      <c r="H178" s="54" t="s">
        <v>11</v>
      </c>
      <c r="I178" s="54" t="s">
        <v>19</v>
      </c>
      <c r="J178" s="54" t="s">
        <v>84</v>
      </c>
      <c r="K178" s="54" t="s">
        <v>3109</v>
      </c>
      <c r="L178" s="54" t="s">
        <v>1724</v>
      </c>
      <c r="M178" s="54" t="s">
        <v>402</v>
      </c>
      <c r="N178" s="55">
        <v>25050.76</v>
      </c>
      <c r="P178" s="54" t="s">
        <v>1583</v>
      </c>
    </row>
    <row r="179" spans="1:16" x14ac:dyDescent="0.35">
      <c r="A179" s="54">
        <v>2023</v>
      </c>
      <c r="B179" s="54" t="s">
        <v>772</v>
      </c>
      <c r="C179" s="54" t="s">
        <v>39</v>
      </c>
      <c r="D179" s="54" t="s">
        <v>86</v>
      </c>
      <c r="E179" s="54" t="s">
        <v>1322</v>
      </c>
      <c r="G179" s="54" t="s">
        <v>2151</v>
      </c>
      <c r="H179" s="54" t="s">
        <v>11</v>
      </c>
      <c r="I179" s="54" t="s">
        <v>19</v>
      </c>
      <c r="J179" s="54" t="s">
        <v>84</v>
      </c>
      <c r="K179" s="54" t="s">
        <v>3109</v>
      </c>
      <c r="L179" s="54" t="s">
        <v>1717</v>
      </c>
      <c r="M179" s="54" t="s">
        <v>402</v>
      </c>
      <c r="N179" s="55">
        <v>80313.185800000007</v>
      </c>
      <c r="P179" s="54" t="s">
        <v>1583</v>
      </c>
    </row>
    <row r="180" spans="1:16" x14ac:dyDescent="0.35">
      <c r="A180" s="54">
        <v>2024</v>
      </c>
      <c r="B180" s="54" t="s">
        <v>772</v>
      </c>
      <c r="C180" s="54" t="s">
        <v>798</v>
      </c>
      <c r="D180" s="54" t="s">
        <v>71</v>
      </c>
      <c r="E180" s="54" t="s">
        <v>1215</v>
      </c>
      <c r="G180" s="54" t="s">
        <v>2085</v>
      </c>
      <c r="H180" s="54" t="s">
        <v>11</v>
      </c>
      <c r="I180" s="54" t="s">
        <v>13</v>
      </c>
      <c r="J180" s="54" t="s">
        <v>64</v>
      </c>
      <c r="K180" s="54" t="s">
        <v>3109</v>
      </c>
      <c r="L180" s="54" t="s">
        <v>1722</v>
      </c>
      <c r="M180" s="54" t="s">
        <v>1577</v>
      </c>
      <c r="N180" s="55">
        <v>248298644.3585</v>
      </c>
      <c r="P180" s="54" t="s">
        <v>1829</v>
      </c>
    </row>
    <row r="181" spans="1:16" x14ac:dyDescent="0.35">
      <c r="A181" s="54">
        <v>2024</v>
      </c>
      <c r="B181" s="54" t="s">
        <v>772</v>
      </c>
      <c r="C181" s="54" t="s">
        <v>798</v>
      </c>
      <c r="D181" s="54" t="s">
        <v>71</v>
      </c>
      <c r="E181" s="54" t="s">
        <v>1215</v>
      </c>
      <c r="G181" s="54" t="s">
        <v>2085</v>
      </c>
      <c r="H181" s="54" t="s">
        <v>11</v>
      </c>
      <c r="I181" s="54" t="s">
        <v>13</v>
      </c>
      <c r="J181" s="54" t="s">
        <v>64</v>
      </c>
      <c r="K181" s="54" t="s">
        <v>3109</v>
      </c>
      <c r="L181" s="54" t="s">
        <v>1723</v>
      </c>
      <c r="M181" s="54" t="s">
        <v>1746</v>
      </c>
      <c r="N181" s="55">
        <v>3116555.8</v>
      </c>
      <c r="P181" s="54" t="s">
        <v>1829</v>
      </c>
    </row>
    <row r="182" spans="1:16" x14ac:dyDescent="0.35">
      <c r="A182" s="54">
        <v>2024</v>
      </c>
      <c r="B182" s="54" t="s">
        <v>772</v>
      </c>
      <c r="C182" s="54" t="s">
        <v>798</v>
      </c>
      <c r="D182" s="54" t="s">
        <v>71</v>
      </c>
      <c r="E182" s="54" t="s">
        <v>1215</v>
      </c>
      <c r="G182" s="54" t="s">
        <v>2085</v>
      </c>
      <c r="H182" s="54" t="s">
        <v>11</v>
      </c>
      <c r="I182" s="54" t="s">
        <v>13</v>
      </c>
      <c r="J182" s="54" t="s">
        <v>64</v>
      </c>
      <c r="K182" s="54" t="s">
        <v>3109</v>
      </c>
      <c r="L182" s="54" t="s">
        <v>1724</v>
      </c>
      <c r="M182" s="54" t="s">
        <v>1746</v>
      </c>
      <c r="N182" s="55">
        <v>151631.5</v>
      </c>
      <c r="P182" s="54" t="s">
        <v>1829</v>
      </c>
    </row>
    <row r="183" spans="1:16" x14ac:dyDescent="0.35">
      <c r="A183" s="54">
        <v>2024</v>
      </c>
      <c r="B183" s="54" t="s">
        <v>772</v>
      </c>
      <c r="C183" s="54" t="s">
        <v>798</v>
      </c>
      <c r="D183" s="54" t="s">
        <v>71</v>
      </c>
      <c r="E183" s="54" t="s">
        <v>1215</v>
      </c>
      <c r="G183" s="54" t="s">
        <v>2085</v>
      </c>
      <c r="H183" s="54" t="s">
        <v>11</v>
      </c>
      <c r="I183" s="54" t="s">
        <v>13</v>
      </c>
      <c r="J183" s="54" t="s">
        <v>64</v>
      </c>
      <c r="K183" s="54" t="s">
        <v>3109</v>
      </c>
      <c r="L183" s="54" t="s">
        <v>1816</v>
      </c>
      <c r="M183" s="54" t="s">
        <v>1746</v>
      </c>
      <c r="N183" s="55">
        <v>640677.799999999</v>
      </c>
      <c r="P183" s="54" t="s">
        <v>1829</v>
      </c>
    </row>
    <row r="184" spans="1:16" x14ac:dyDescent="0.35">
      <c r="A184" s="54">
        <v>2024</v>
      </c>
      <c r="B184" s="54" t="s">
        <v>772</v>
      </c>
      <c r="C184" s="54" t="s">
        <v>798</v>
      </c>
      <c r="D184" s="54" t="s">
        <v>71</v>
      </c>
      <c r="E184" s="54" t="s">
        <v>1215</v>
      </c>
      <c r="G184" s="54" t="s">
        <v>2085</v>
      </c>
      <c r="H184" s="54" t="s">
        <v>11</v>
      </c>
      <c r="I184" s="54" t="s">
        <v>13</v>
      </c>
      <c r="J184" s="54" t="s">
        <v>64</v>
      </c>
      <c r="K184" s="54" t="s">
        <v>3109</v>
      </c>
      <c r="L184" s="54" t="s">
        <v>1718</v>
      </c>
      <c r="M184" s="54" t="s">
        <v>402</v>
      </c>
      <c r="N184" s="55">
        <v>307233</v>
      </c>
      <c r="P184" s="54" t="s">
        <v>1829</v>
      </c>
    </row>
    <row r="185" spans="1:16" x14ac:dyDescent="0.35">
      <c r="A185" s="54">
        <v>2023</v>
      </c>
      <c r="B185" s="54" t="s">
        <v>772</v>
      </c>
      <c r="C185" s="54" t="s">
        <v>165</v>
      </c>
      <c r="D185" s="54" t="s">
        <v>166</v>
      </c>
      <c r="E185" s="54" t="s">
        <v>1392</v>
      </c>
      <c r="G185" s="54" t="s">
        <v>2198</v>
      </c>
      <c r="H185" s="54" t="s">
        <v>11</v>
      </c>
      <c r="I185" s="54" t="s">
        <v>19</v>
      </c>
      <c r="J185" s="54" t="s">
        <v>157</v>
      </c>
      <c r="K185" s="54" t="s">
        <v>3109</v>
      </c>
      <c r="L185" s="54" t="s">
        <v>1723</v>
      </c>
      <c r="M185" s="54" t="s">
        <v>1784</v>
      </c>
      <c r="N185" s="55">
        <v>432</v>
      </c>
      <c r="P185" s="54" t="s">
        <v>2996</v>
      </c>
    </row>
    <row r="186" spans="1:16" ht="15.65" customHeight="1" x14ac:dyDescent="0.35">
      <c r="A186" s="54">
        <v>2023</v>
      </c>
      <c r="B186" s="54" t="s">
        <v>772</v>
      </c>
      <c r="C186" s="54" t="s">
        <v>165</v>
      </c>
      <c r="D186" s="54" t="s">
        <v>166</v>
      </c>
      <c r="E186" s="54" t="s">
        <v>1392</v>
      </c>
      <c r="G186" s="54" t="s">
        <v>2198</v>
      </c>
      <c r="H186" s="54" t="s">
        <v>11</v>
      </c>
      <c r="I186" s="54" t="s">
        <v>19</v>
      </c>
      <c r="J186" s="54" t="s">
        <v>157</v>
      </c>
      <c r="K186" s="54" t="s">
        <v>3109</v>
      </c>
      <c r="L186" s="54" t="s">
        <v>1724</v>
      </c>
      <c r="M186" s="54" t="s">
        <v>1784</v>
      </c>
      <c r="N186" s="55">
        <v>12</v>
      </c>
      <c r="P186" s="54" t="s">
        <v>2996</v>
      </c>
    </row>
    <row r="187" spans="1:16" ht="15.65" customHeight="1" x14ac:dyDescent="0.35">
      <c r="A187" s="54">
        <v>2023</v>
      </c>
      <c r="B187" s="54" t="s">
        <v>772</v>
      </c>
      <c r="C187" s="54" t="s">
        <v>165</v>
      </c>
      <c r="D187" s="54" t="s">
        <v>166</v>
      </c>
      <c r="E187" s="54" t="s">
        <v>1392</v>
      </c>
      <c r="G187" s="54" t="s">
        <v>2198</v>
      </c>
      <c r="H187" s="54" t="s">
        <v>11</v>
      </c>
      <c r="I187" s="54" t="s">
        <v>19</v>
      </c>
      <c r="J187" s="54" t="s">
        <v>157</v>
      </c>
      <c r="K187" s="54" t="s">
        <v>3109</v>
      </c>
      <c r="L187" s="54" t="s">
        <v>1963</v>
      </c>
      <c r="M187" s="54" t="s">
        <v>1784</v>
      </c>
      <c r="N187" s="55">
        <v>1058</v>
      </c>
      <c r="P187" s="54" t="s">
        <v>2996</v>
      </c>
    </row>
    <row r="188" spans="1:16" ht="14.4" customHeight="1" x14ac:dyDescent="0.35">
      <c r="A188" s="54">
        <v>2023</v>
      </c>
      <c r="B188" s="54" t="s">
        <v>772</v>
      </c>
      <c r="C188" s="54" t="s">
        <v>165</v>
      </c>
      <c r="D188" s="54" t="s">
        <v>166</v>
      </c>
      <c r="E188" s="54" t="s">
        <v>1392</v>
      </c>
      <c r="G188" s="54" t="s">
        <v>2198</v>
      </c>
      <c r="H188" s="54" t="s">
        <v>11</v>
      </c>
      <c r="I188" s="54" t="s">
        <v>19</v>
      </c>
      <c r="J188" s="54" t="s">
        <v>157</v>
      </c>
      <c r="K188" s="54" t="s">
        <v>3109</v>
      </c>
      <c r="L188" s="54" t="s">
        <v>1717</v>
      </c>
      <c r="M188" s="54" t="s">
        <v>1784</v>
      </c>
      <c r="N188" s="55">
        <v>1</v>
      </c>
      <c r="P188" s="54" t="s">
        <v>2996</v>
      </c>
    </row>
    <row r="189" spans="1:16" ht="14.4" customHeight="1" x14ac:dyDescent="0.35">
      <c r="A189" s="54">
        <v>2023</v>
      </c>
      <c r="B189" s="54" t="s">
        <v>772</v>
      </c>
      <c r="C189" s="54" t="s">
        <v>165</v>
      </c>
      <c r="D189" s="54" t="s">
        <v>166</v>
      </c>
      <c r="E189" s="54" t="s">
        <v>1392</v>
      </c>
      <c r="G189" s="54" t="s">
        <v>2198</v>
      </c>
      <c r="H189" s="54" t="s">
        <v>11</v>
      </c>
      <c r="I189" s="54" t="s">
        <v>19</v>
      </c>
      <c r="J189" s="54" t="s">
        <v>157</v>
      </c>
      <c r="K189" s="54" t="s">
        <v>3109</v>
      </c>
      <c r="L189" s="54" t="s">
        <v>1722</v>
      </c>
      <c r="M189" s="54" t="s">
        <v>1784</v>
      </c>
      <c r="N189" s="55">
        <v>1233</v>
      </c>
      <c r="P189" s="54" t="s">
        <v>1935</v>
      </c>
    </row>
    <row r="190" spans="1:16" x14ac:dyDescent="0.35">
      <c r="A190" s="54">
        <v>2023</v>
      </c>
      <c r="B190" s="54" t="s">
        <v>1537</v>
      </c>
      <c r="C190" s="54" t="s">
        <v>902</v>
      </c>
      <c r="D190" s="54" t="s">
        <v>1951</v>
      </c>
      <c r="F190" s="54" t="s">
        <v>1950</v>
      </c>
      <c r="G190" s="54" t="s">
        <v>2187</v>
      </c>
      <c r="H190" s="54" t="s">
        <v>11</v>
      </c>
      <c r="I190" s="54" t="s">
        <v>44</v>
      </c>
      <c r="J190" s="54" t="s">
        <v>16</v>
      </c>
      <c r="K190" s="54" t="s">
        <v>3109</v>
      </c>
      <c r="L190" s="54" t="s">
        <v>1723</v>
      </c>
      <c r="M190" s="54" t="s">
        <v>402</v>
      </c>
      <c r="N190" s="55">
        <v>131655</v>
      </c>
      <c r="P190" s="54" t="s">
        <v>1892</v>
      </c>
    </row>
    <row r="191" spans="1:16" x14ac:dyDescent="0.35">
      <c r="A191" s="54">
        <v>2023</v>
      </c>
      <c r="B191" s="54" t="s">
        <v>1537</v>
      </c>
      <c r="C191" s="54" t="s">
        <v>902</v>
      </c>
      <c r="D191" s="54" t="s">
        <v>1951</v>
      </c>
      <c r="F191" s="54" t="s">
        <v>1950</v>
      </c>
      <c r="G191" s="54" t="s">
        <v>2187</v>
      </c>
      <c r="H191" s="54" t="s">
        <v>11</v>
      </c>
      <c r="I191" s="54" t="s">
        <v>44</v>
      </c>
      <c r="J191" s="54" t="s">
        <v>16</v>
      </c>
      <c r="K191" s="54" t="s">
        <v>3109</v>
      </c>
      <c r="L191" s="54" t="s">
        <v>1582</v>
      </c>
      <c r="M191" s="54" t="s">
        <v>1577</v>
      </c>
      <c r="N191" s="55">
        <v>452775</v>
      </c>
      <c r="P191" s="54" t="s">
        <v>1892</v>
      </c>
    </row>
    <row r="192" spans="1:16" x14ac:dyDescent="0.35">
      <c r="A192" s="54">
        <v>2023</v>
      </c>
      <c r="B192" s="54" t="s">
        <v>1537</v>
      </c>
      <c r="C192" s="54" t="s">
        <v>902</v>
      </c>
      <c r="D192" s="54" t="s">
        <v>1951</v>
      </c>
      <c r="F192" s="54" t="s">
        <v>1950</v>
      </c>
      <c r="G192" s="54" t="s">
        <v>2187</v>
      </c>
      <c r="H192" s="54" t="s">
        <v>11</v>
      </c>
      <c r="I192" s="54" t="s">
        <v>44</v>
      </c>
      <c r="J192" s="54" t="s">
        <v>16</v>
      </c>
      <c r="K192" s="54" t="s">
        <v>3109</v>
      </c>
      <c r="L192" s="54" t="s">
        <v>1722</v>
      </c>
      <c r="M192" s="54" t="s">
        <v>1577</v>
      </c>
      <c r="N192" s="55">
        <v>53673624</v>
      </c>
      <c r="P192" s="54" t="s">
        <v>1892</v>
      </c>
    </row>
    <row r="193" spans="1:16" x14ac:dyDescent="0.35">
      <c r="A193" s="54">
        <v>2023</v>
      </c>
      <c r="B193" s="54" t="s">
        <v>1537</v>
      </c>
      <c r="C193" s="54" t="s">
        <v>902</v>
      </c>
      <c r="D193" s="54" t="s">
        <v>1951</v>
      </c>
      <c r="F193" s="54" t="s">
        <v>1950</v>
      </c>
      <c r="G193" s="54" t="s">
        <v>2187</v>
      </c>
      <c r="H193" s="54" t="s">
        <v>11</v>
      </c>
      <c r="I193" s="54" t="s">
        <v>44</v>
      </c>
      <c r="J193" s="54" t="s">
        <v>16</v>
      </c>
      <c r="K193" s="54" t="s">
        <v>3109</v>
      </c>
      <c r="L193" s="54" t="s">
        <v>1847</v>
      </c>
      <c r="M193" s="54" t="s">
        <v>402</v>
      </c>
      <c r="N193" s="55">
        <v>10277</v>
      </c>
      <c r="O193" s="55" t="s">
        <v>3057</v>
      </c>
      <c r="P193" s="54" t="s">
        <v>1892</v>
      </c>
    </row>
    <row r="194" spans="1:16" x14ac:dyDescent="0.35">
      <c r="A194" s="54">
        <v>2023</v>
      </c>
      <c r="B194" s="54" t="s">
        <v>1537</v>
      </c>
      <c r="C194" s="54" t="s">
        <v>902</v>
      </c>
      <c r="D194" s="54" t="s">
        <v>1951</v>
      </c>
      <c r="F194" s="54" t="s">
        <v>1950</v>
      </c>
      <c r="G194" s="54" t="s">
        <v>2187</v>
      </c>
      <c r="H194" s="54" t="s">
        <v>11</v>
      </c>
      <c r="I194" s="54" t="s">
        <v>44</v>
      </c>
      <c r="J194" s="54" t="s">
        <v>16</v>
      </c>
      <c r="K194" s="54" t="s">
        <v>3109</v>
      </c>
      <c r="L194" s="54" t="s">
        <v>1717</v>
      </c>
      <c r="M194" s="54" t="s">
        <v>402</v>
      </c>
      <c r="N194" s="55">
        <v>40177</v>
      </c>
      <c r="P194" s="54" t="s">
        <v>1892</v>
      </c>
    </row>
    <row r="195" spans="1:16" x14ac:dyDescent="0.35">
      <c r="A195" s="54">
        <v>2023</v>
      </c>
      <c r="B195" s="54" t="s">
        <v>1537</v>
      </c>
      <c r="C195" s="54" t="s">
        <v>717</v>
      </c>
      <c r="D195" s="54" t="s">
        <v>1782</v>
      </c>
      <c r="F195" s="54" t="s">
        <v>1854</v>
      </c>
      <c r="G195" s="54" t="s">
        <v>1853</v>
      </c>
      <c r="H195" s="54" t="s">
        <v>11</v>
      </c>
      <c r="I195" s="54" t="s">
        <v>19</v>
      </c>
      <c r="J195" s="54" t="s">
        <v>90</v>
      </c>
      <c r="K195" s="54" t="s">
        <v>3109</v>
      </c>
      <c r="L195" s="54" t="s">
        <v>1576</v>
      </c>
      <c r="M195" s="54" t="s">
        <v>1784</v>
      </c>
      <c r="N195" s="55">
        <v>764</v>
      </c>
      <c r="P195" s="54" t="s">
        <v>1785</v>
      </c>
    </row>
    <row r="196" spans="1:16" x14ac:dyDescent="0.35">
      <c r="A196" s="54">
        <v>2023</v>
      </c>
      <c r="B196" s="54" t="s">
        <v>1537</v>
      </c>
      <c r="C196" s="54" t="s">
        <v>717</v>
      </c>
      <c r="D196" s="54" t="s">
        <v>1782</v>
      </c>
      <c r="F196" s="54" t="s">
        <v>1854</v>
      </c>
      <c r="G196" s="54" t="s">
        <v>1853</v>
      </c>
      <c r="H196" s="54" t="s">
        <v>11</v>
      </c>
      <c r="I196" s="54" t="s">
        <v>19</v>
      </c>
      <c r="J196" s="54" t="s">
        <v>90</v>
      </c>
      <c r="K196" s="54" t="s">
        <v>3109</v>
      </c>
      <c r="L196" s="54" t="s">
        <v>1723</v>
      </c>
      <c r="M196" s="54" t="s">
        <v>1784</v>
      </c>
      <c r="N196" s="55">
        <f>440*0.88</f>
        <v>387.2</v>
      </c>
      <c r="O196" s="55" t="s">
        <v>3055</v>
      </c>
      <c r="P196" s="54" t="s">
        <v>1785</v>
      </c>
    </row>
    <row r="197" spans="1:16" x14ac:dyDescent="0.35">
      <c r="A197" s="54">
        <v>2023</v>
      </c>
      <c r="B197" s="54" t="s">
        <v>1537</v>
      </c>
      <c r="C197" s="54" t="s">
        <v>717</v>
      </c>
      <c r="D197" s="54" t="s">
        <v>1782</v>
      </c>
      <c r="F197" s="54" t="s">
        <v>1854</v>
      </c>
      <c r="G197" s="54" t="s">
        <v>1853</v>
      </c>
      <c r="H197" s="54" t="s">
        <v>11</v>
      </c>
      <c r="I197" s="54" t="s">
        <v>19</v>
      </c>
      <c r="J197" s="54" t="s">
        <v>90</v>
      </c>
      <c r="K197" s="54" t="s">
        <v>3109</v>
      </c>
      <c r="L197" s="54" t="s">
        <v>1724</v>
      </c>
      <c r="M197" s="54" t="s">
        <v>1784</v>
      </c>
      <c r="N197" s="55">
        <f>440*0.004</f>
        <v>1.76</v>
      </c>
      <c r="O197" s="55" t="s">
        <v>3055</v>
      </c>
      <c r="P197" s="54" t="s">
        <v>1785</v>
      </c>
    </row>
    <row r="198" spans="1:16" x14ac:dyDescent="0.35">
      <c r="A198" s="54">
        <v>2023</v>
      </c>
      <c r="B198" s="54" t="s">
        <v>1537</v>
      </c>
      <c r="C198" s="54" t="s">
        <v>717</v>
      </c>
      <c r="D198" s="54" t="s">
        <v>1782</v>
      </c>
      <c r="F198" s="54" t="s">
        <v>1854</v>
      </c>
      <c r="G198" s="54" t="s">
        <v>1853</v>
      </c>
      <c r="H198" s="54" t="s">
        <v>11</v>
      </c>
      <c r="I198" s="54" t="s">
        <v>19</v>
      </c>
      <c r="J198" s="54" t="s">
        <v>90</v>
      </c>
      <c r="K198" s="54" t="s">
        <v>3109</v>
      </c>
      <c r="L198" s="54" t="s">
        <v>1717</v>
      </c>
      <c r="M198" s="54" t="s">
        <v>1784</v>
      </c>
      <c r="N198" s="55">
        <f>440*0.11</f>
        <v>48.4</v>
      </c>
      <c r="O198" s="55" t="s">
        <v>3055</v>
      </c>
      <c r="P198" s="54" t="s">
        <v>1785</v>
      </c>
    </row>
    <row r="199" spans="1:16" x14ac:dyDescent="0.35">
      <c r="A199" s="54">
        <v>2023</v>
      </c>
      <c r="B199" s="54" t="s">
        <v>1537</v>
      </c>
      <c r="C199" s="54" t="s">
        <v>756</v>
      </c>
      <c r="D199" s="54" t="s">
        <v>1536</v>
      </c>
      <c r="F199" s="54" t="s">
        <v>1755</v>
      </c>
      <c r="G199" s="54" t="s">
        <v>2166</v>
      </c>
      <c r="H199" s="54" t="s">
        <v>11</v>
      </c>
      <c r="I199" s="54" t="s">
        <v>17</v>
      </c>
      <c r="J199" s="54" t="s">
        <v>16</v>
      </c>
      <c r="K199" s="54" t="s">
        <v>3109</v>
      </c>
      <c r="L199" s="54" t="s">
        <v>1722</v>
      </c>
      <c r="M199" s="54" t="s">
        <v>402</v>
      </c>
      <c r="N199" s="55">
        <v>738226.8</v>
      </c>
      <c r="P199" s="54" t="s">
        <v>1634</v>
      </c>
    </row>
    <row r="200" spans="1:16" x14ac:dyDescent="0.35">
      <c r="A200" s="54">
        <v>2023</v>
      </c>
      <c r="B200" s="54" t="s">
        <v>1537</v>
      </c>
      <c r="C200" s="54" t="s">
        <v>756</v>
      </c>
      <c r="D200" s="54" t="s">
        <v>1536</v>
      </c>
      <c r="F200" s="54" t="s">
        <v>1755</v>
      </c>
      <c r="G200" s="54" t="s">
        <v>2166</v>
      </c>
      <c r="H200" s="54" t="s">
        <v>11</v>
      </c>
      <c r="I200" s="54" t="s">
        <v>17</v>
      </c>
      <c r="J200" s="54" t="s">
        <v>16</v>
      </c>
      <c r="K200" s="54" t="s">
        <v>3109</v>
      </c>
      <c r="L200" s="54" t="s">
        <v>1632</v>
      </c>
      <c r="M200" s="54" t="s">
        <v>402</v>
      </c>
      <c r="N200" s="55">
        <v>20.7</v>
      </c>
      <c r="P200" s="54" t="s">
        <v>1634</v>
      </c>
    </row>
    <row r="201" spans="1:16" ht="15.65" customHeight="1" x14ac:dyDescent="0.35">
      <c r="A201" s="54">
        <v>2023</v>
      </c>
      <c r="B201" s="54" t="s">
        <v>1537</v>
      </c>
      <c r="C201" s="54" t="s">
        <v>756</v>
      </c>
      <c r="D201" s="54" t="s">
        <v>1536</v>
      </c>
      <c r="F201" s="54" t="s">
        <v>1755</v>
      </c>
      <c r="G201" s="54" t="s">
        <v>2166</v>
      </c>
      <c r="H201" s="54" t="s">
        <v>11</v>
      </c>
      <c r="I201" s="54" t="s">
        <v>17</v>
      </c>
      <c r="J201" s="54" t="s">
        <v>16</v>
      </c>
      <c r="K201" s="54" t="s">
        <v>3109</v>
      </c>
      <c r="L201" s="54" t="s">
        <v>1723</v>
      </c>
      <c r="M201" s="54" t="s">
        <v>402</v>
      </c>
      <c r="N201" s="55">
        <v>384285.8</v>
      </c>
      <c r="P201" s="54" t="s">
        <v>1634</v>
      </c>
    </row>
    <row r="202" spans="1:16" x14ac:dyDescent="0.35">
      <c r="A202" s="54">
        <v>2023</v>
      </c>
      <c r="B202" s="54" t="s">
        <v>1537</v>
      </c>
      <c r="C202" s="54" t="s">
        <v>756</v>
      </c>
      <c r="D202" s="54" t="s">
        <v>1536</v>
      </c>
      <c r="F202" s="54" t="s">
        <v>1755</v>
      </c>
      <c r="G202" s="54" t="s">
        <v>2166</v>
      </c>
      <c r="H202" s="54" t="s">
        <v>11</v>
      </c>
      <c r="I202" s="54" t="s">
        <v>17</v>
      </c>
      <c r="J202" s="54" t="s">
        <v>16</v>
      </c>
      <c r="K202" s="54" t="s">
        <v>3109</v>
      </c>
      <c r="L202" s="54" t="s">
        <v>3062</v>
      </c>
      <c r="M202" s="54" t="s">
        <v>402</v>
      </c>
      <c r="N202" s="55">
        <v>4889.7999999999993</v>
      </c>
      <c r="P202" s="54" t="s">
        <v>1634</v>
      </c>
    </row>
    <row r="203" spans="1:16" x14ac:dyDescent="0.35">
      <c r="A203" s="54">
        <v>2023</v>
      </c>
      <c r="B203" s="54" t="s">
        <v>1537</v>
      </c>
      <c r="C203" s="54" t="s">
        <v>756</v>
      </c>
      <c r="D203" s="54" t="s">
        <v>1536</v>
      </c>
      <c r="F203" s="54" t="s">
        <v>1755</v>
      </c>
      <c r="G203" s="54" t="s">
        <v>2166</v>
      </c>
      <c r="H203" s="54" t="s">
        <v>11</v>
      </c>
      <c r="I203" s="54" t="s">
        <v>17</v>
      </c>
      <c r="J203" s="54" t="s">
        <v>16</v>
      </c>
      <c r="K203" s="54" t="s">
        <v>3109</v>
      </c>
      <c r="L203" s="54" t="s">
        <v>1633</v>
      </c>
      <c r="M203" s="54" t="s">
        <v>402</v>
      </c>
      <c r="N203" s="55">
        <v>2026.3</v>
      </c>
      <c r="O203" s="55" t="s">
        <v>3177</v>
      </c>
      <c r="P203" s="54" t="s">
        <v>1634</v>
      </c>
    </row>
    <row r="204" spans="1:16" x14ac:dyDescent="0.35">
      <c r="A204" s="54">
        <v>2023</v>
      </c>
      <c r="B204" s="54" t="s">
        <v>1537</v>
      </c>
      <c r="C204" s="54" t="s">
        <v>756</v>
      </c>
      <c r="D204" s="54" t="s">
        <v>1536</v>
      </c>
      <c r="F204" s="54" t="s">
        <v>1755</v>
      </c>
      <c r="G204" s="54" t="s">
        <v>2166</v>
      </c>
      <c r="H204" s="54" t="s">
        <v>11</v>
      </c>
      <c r="I204" s="54" t="s">
        <v>17</v>
      </c>
      <c r="J204" s="54" t="s">
        <v>16</v>
      </c>
      <c r="K204" s="54" t="s">
        <v>3109</v>
      </c>
      <c r="L204" s="54" t="s">
        <v>1724</v>
      </c>
      <c r="M204" s="54" t="s">
        <v>402</v>
      </c>
      <c r="N204" s="55">
        <v>2946.1</v>
      </c>
      <c r="P204" s="54" t="s">
        <v>1634</v>
      </c>
    </row>
    <row r="205" spans="1:16" x14ac:dyDescent="0.35">
      <c r="A205" s="54">
        <v>2023</v>
      </c>
      <c r="B205" s="54" t="s">
        <v>1537</v>
      </c>
      <c r="C205" s="54" t="s">
        <v>756</v>
      </c>
      <c r="D205" s="54" t="s">
        <v>1536</v>
      </c>
      <c r="F205" s="54" t="s">
        <v>1755</v>
      </c>
      <c r="G205" s="54" t="s">
        <v>2166</v>
      </c>
      <c r="H205" s="54" t="s">
        <v>11</v>
      </c>
      <c r="I205" s="54" t="s">
        <v>17</v>
      </c>
      <c r="J205" s="54" t="s">
        <v>16</v>
      </c>
      <c r="K205" s="54" t="s">
        <v>3109</v>
      </c>
      <c r="L205" s="54" t="s">
        <v>1718</v>
      </c>
      <c r="M205" s="54" t="s">
        <v>402</v>
      </c>
      <c r="N205" s="55">
        <v>159325.59885000001</v>
      </c>
      <c r="P205" s="54" t="s">
        <v>1634</v>
      </c>
    </row>
    <row r="206" spans="1:16" x14ac:dyDescent="0.35">
      <c r="A206" s="54">
        <v>2023</v>
      </c>
      <c r="B206" s="54" t="s">
        <v>772</v>
      </c>
      <c r="C206" s="54" t="s">
        <v>73</v>
      </c>
      <c r="D206" s="54" t="s">
        <v>74</v>
      </c>
      <c r="E206" s="54" t="s">
        <v>1276</v>
      </c>
      <c r="G206" s="54" t="s">
        <v>2118</v>
      </c>
      <c r="H206" s="54" t="s">
        <v>11</v>
      </c>
      <c r="I206" s="54" t="s">
        <v>13</v>
      </c>
      <c r="J206" s="54" t="s">
        <v>64</v>
      </c>
      <c r="K206" s="54" t="s">
        <v>3109</v>
      </c>
      <c r="L206" s="54" t="s">
        <v>1722</v>
      </c>
      <c r="M206" s="54" t="s">
        <v>402</v>
      </c>
      <c r="N206" s="55">
        <v>525946.69999999995</v>
      </c>
      <c r="P206" s="54" t="s">
        <v>1916</v>
      </c>
    </row>
    <row r="207" spans="1:16" x14ac:dyDescent="0.35">
      <c r="A207" s="54">
        <v>2023</v>
      </c>
      <c r="B207" s="54" t="s">
        <v>772</v>
      </c>
      <c r="C207" s="54" t="s">
        <v>73</v>
      </c>
      <c r="D207" s="54" t="s">
        <v>74</v>
      </c>
      <c r="E207" s="54" t="s">
        <v>1276</v>
      </c>
      <c r="G207" s="54" t="s">
        <v>2118</v>
      </c>
      <c r="H207" s="54" t="s">
        <v>11</v>
      </c>
      <c r="I207" s="54" t="s">
        <v>13</v>
      </c>
      <c r="J207" s="54" t="s">
        <v>64</v>
      </c>
      <c r="K207" s="54" t="s">
        <v>3109</v>
      </c>
      <c r="L207" s="54" t="s">
        <v>1914</v>
      </c>
      <c r="M207" s="54" t="s">
        <v>402</v>
      </c>
      <c r="N207" s="55">
        <v>1530.9</v>
      </c>
      <c r="O207" s="55" t="s">
        <v>3177</v>
      </c>
      <c r="P207" s="54" t="s">
        <v>1916</v>
      </c>
    </row>
    <row r="208" spans="1:16" x14ac:dyDescent="0.35">
      <c r="A208" s="54">
        <v>2023</v>
      </c>
      <c r="B208" s="54" t="s">
        <v>772</v>
      </c>
      <c r="C208" s="54" t="s">
        <v>73</v>
      </c>
      <c r="D208" s="54" t="s">
        <v>74</v>
      </c>
      <c r="E208" s="54" t="s">
        <v>1276</v>
      </c>
      <c r="G208" s="54" t="s">
        <v>2118</v>
      </c>
      <c r="H208" s="54" t="s">
        <v>11</v>
      </c>
      <c r="I208" s="54" t="s">
        <v>13</v>
      </c>
      <c r="J208" s="54" t="s">
        <v>64</v>
      </c>
      <c r="K208" s="54" t="s">
        <v>3110</v>
      </c>
      <c r="L208" s="54" t="s">
        <v>1702</v>
      </c>
      <c r="M208" s="54" t="s">
        <v>1546</v>
      </c>
      <c r="N208" s="55">
        <v>35.4</v>
      </c>
      <c r="O208" s="54"/>
      <c r="P208" s="54" t="s">
        <v>1916</v>
      </c>
    </row>
    <row r="209" spans="1:16" x14ac:dyDescent="0.35">
      <c r="A209" s="54">
        <v>2023</v>
      </c>
      <c r="B209" s="54" t="s">
        <v>772</v>
      </c>
      <c r="C209" s="54" t="s">
        <v>73</v>
      </c>
      <c r="D209" s="54" t="s">
        <v>74</v>
      </c>
      <c r="E209" s="54" t="s">
        <v>1276</v>
      </c>
      <c r="G209" s="54" t="s">
        <v>2118</v>
      </c>
      <c r="H209" s="54" t="s">
        <v>11</v>
      </c>
      <c r="I209" s="54" t="s">
        <v>13</v>
      </c>
      <c r="J209" s="54" t="s">
        <v>64</v>
      </c>
      <c r="K209" s="54" t="s">
        <v>3110</v>
      </c>
      <c r="L209" s="54" t="s">
        <v>1924</v>
      </c>
      <c r="M209" s="54" t="s">
        <v>1546</v>
      </c>
      <c r="N209" s="55">
        <v>60.4</v>
      </c>
      <c r="O209" s="54"/>
      <c r="P209" s="54" t="s">
        <v>1916</v>
      </c>
    </row>
    <row r="210" spans="1:16" x14ac:dyDescent="0.35">
      <c r="A210" s="54">
        <v>2023</v>
      </c>
      <c r="B210" s="54" t="s">
        <v>772</v>
      </c>
      <c r="C210" s="54" t="s">
        <v>73</v>
      </c>
      <c r="D210" s="54" t="s">
        <v>74</v>
      </c>
      <c r="E210" s="54" t="s">
        <v>1276</v>
      </c>
      <c r="G210" s="54" t="s">
        <v>2118</v>
      </c>
      <c r="H210" s="54" t="s">
        <v>11</v>
      </c>
      <c r="I210" s="54" t="s">
        <v>13</v>
      </c>
      <c r="J210" s="54" t="s">
        <v>64</v>
      </c>
      <c r="K210" s="54" t="s">
        <v>3110</v>
      </c>
      <c r="L210" s="54" t="s">
        <v>1708</v>
      </c>
      <c r="M210" s="54" t="s">
        <v>1546</v>
      </c>
      <c r="N210" s="55">
        <v>86.6</v>
      </c>
      <c r="O210" s="54"/>
      <c r="P210" s="54" t="s">
        <v>1916</v>
      </c>
    </row>
    <row r="211" spans="1:16" x14ac:dyDescent="0.35">
      <c r="A211" s="54">
        <v>2023</v>
      </c>
      <c r="B211" s="54" t="s">
        <v>772</v>
      </c>
      <c r="C211" s="54" t="s">
        <v>73</v>
      </c>
      <c r="D211" s="54" t="s">
        <v>74</v>
      </c>
      <c r="E211" s="54" t="s">
        <v>1276</v>
      </c>
      <c r="G211" s="54" t="s">
        <v>2118</v>
      </c>
      <c r="H211" s="54" t="s">
        <v>11</v>
      </c>
      <c r="I211" s="54" t="s">
        <v>13</v>
      </c>
      <c r="J211" s="54" t="s">
        <v>64</v>
      </c>
      <c r="K211" s="54" t="s">
        <v>3110</v>
      </c>
      <c r="L211" s="54" t="s">
        <v>1927</v>
      </c>
      <c r="M211" s="54" t="s">
        <v>1546</v>
      </c>
      <c r="N211" s="55">
        <v>1.5</v>
      </c>
      <c r="O211" s="54"/>
      <c r="P211" s="54" t="s">
        <v>1916</v>
      </c>
    </row>
    <row r="212" spans="1:16" x14ac:dyDescent="0.35">
      <c r="A212" s="54">
        <v>2023</v>
      </c>
      <c r="B212" s="54" t="s">
        <v>772</v>
      </c>
      <c r="C212" s="54" t="s">
        <v>73</v>
      </c>
      <c r="D212" s="54" t="s">
        <v>74</v>
      </c>
      <c r="E212" s="54" t="s">
        <v>1276</v>
      </c>
      <c r="G212" s="54" t="s">
        <v>2118</v>
      </c>
      <c r="H212" s="54" t="s">
        <v>11</v>
      </c>
      <c r="I212" s="54" t="s">
        <v>13</v>
      </c>
      <c r="J212" s="54" t="s">
        <v>64</v>
      </c>
      <c r="K212" s="54" t="s">
        <v>3110</v>
      </c>
      <c r="L212" s="54" t="s">
        <v>1707</v>
      </c>
      <c r="M212" s="54" t="s">
        <v>1546</v>
      </c>
      <c r="N212" s="55">
        <v>399.3</v>
      </c>
      <c r="O212" s="54"/>
      <c r="P212" s="54" t="s">
        <v>1916</v>
      </c>
    </row>
    <row r="213" spans="1:16" x14ac:dyDescent="0.35">
      <c r="A213" s="54">
        <v>2023</v>
      </c>
      <c r="B213" s="54" t="s">
        <v>772</v>
      </c>
      <c r="C213" s="54" t="s">
        <v>73</v>
      </c>
      <c r="D213" s="54" t="s">
        <v>74</v>
      </c>
      <c r="E213" s="54" t="s">
        <v>1276</v>
      </c>
      <c r="G213" s="54" t="s">
        <v>2118</v>
      </c>
      <c r="H213" s="54" t="s">
        <v>11</v>
      </c>
      <c r="I213" s="54" t="s">
        <v>13</v>
      </c>
      <c r="J213" s="54" t="s">
        <v>64</v>
      </c>
      <c r="K213" s="54" t="s">
        <v>3109</v>
      </c>
      <c r="L213" s="54" t="s">
        <v>1723</v>
      </c>
      <c r="M213" s="54" t="s">
        <v>402</v>
      </c>
      <c r="N213" s="54">
        <v>206946</v>
      </c>
      <c r="O213" s="54"/>
      <c r="P213" s="54" t="s">
        <v>1916</v>
      </c>
    </row>
    <row r="214" spans="1:16" x14ac:dyDescent="0.35">
      <c r="A214" s="54">
        <v>2023</v>
      </c>
      <c r="B214" s="54" t="s">
        <v>772</v>
      </c>
      <c r="C214" s="54" t="s">
        <v>73</v>
      </c>
      <c r="D214" s="54" t="s">
        <v>74</v>
      </c>
      <c r="E214" s="54" t="s">
        <v>1276</v>
      </c>
      <c r="G214" s="54" t="s">
        <v>2118</v>
      </c>
      <c r="H214" s="54" t="s">
        <v>11</v>
      </c>
      <c r="I214" s="54" t="s">
        <v>13</v>
      </c>
      <c r="J214" s="54" t="s">
        <v>64</v>
      </c>
      <c r="K214" s="54" t="s">
        <v>3109</v>
      </c>
      <c r="L214" s="54" t="s">
        <v>1915</v>
      </c>
      <c r="M214" s="54" t="s">
        <v>402</v>
      </c>
      <c r="N214" s="55">
        <v>4260.6000000000004</v>
      </c>
      <c r="O214" s="55" t="s">
        <v>3177</v>
      </c>
      <c r="P214" s="54" t="s">
        <v>1916</v>
      </c>
    </row>
    <row r="215" spans="1:16" ht="14.4" customHeight="1" x14ac:dyDescent="0.35">
      <c r="A215" s="54">
        <v>2023</v>
      </c>
      <c r="B215" s="54" t="s">
        <v>772</v>
      </c>
      <c r="C215" s="54" t="s">
        <v>73</v>
      </c>
      <c r="D215" s="54" t="s">
        <v>74</v>
      </c>
      <c r="E215" s="54" t="s">
        <v>1276</v>
      </c>
      <c r="G215" s="54" t="s">
        <v>2118</v>
      </c>
      <c r="H215" s="54" t="s">
        <v>11</v>
      </c>
      <c r="I215" s="54" t="s">
        <v>13</v>
      </c>
      <c r="J215" s="54" t="s">
        <v>64</v>
      </c>
      <c r="K215" s="54" t="s">
        <v>3110</v>
      </c>
      <c r="L215" s="54" t="s">
        <v>1920</v>
      </c>
      <c r="M215" s="54" t="s">
        <v>1546</v>
      </c>
      <c r="N215" s="55">
        <v>1483.4</v>
      </c>
      <c r="O215" s="55" t="s">
        <v>3227</v>
      </c>
      <c r="P215" s="54" t="s">
        <v>1916</v>
      </c>
    </row>
    <row r="216" spans="1:16" ht="14.4" customHeight="1" x14ac:dyDescent="0.35">
      <c r="A216" s="54">
        <v>2023</v>
      </c>
      <c r="B216" s="54" t="s">
        <v>772</v>
      </c>
      <c r="C216" s="54" t="s">
        <v>73</v>
      </c>
      <c r="D216" s="54" t="s">
        <v>74</v>
      </c>
      <c r="E216" s="54" t="s">
        <v>1276</v>
      </c>
      <c r="G216" s="54" t="s">
        <v>2118</v>
      </c>
      <c r="H216" s="54" t="s">
        <v>11</v>
      </c>
      <c r="I216" s="54" t="s">
        <v>13</v>
      </c>
      <c r="J216" s="54" t="s">
        <v>64</v>
      </c>
      <c r="K216" s="54" t="s">
        <v>3110</v>
      </c>
      <c r="L216" s="54" t="s">
        <v>1700</v>
      </c>
      <c r="M216" s="54" t="s">
        <v>1546</v>
      </c>
      <c r="N216" s="55">
        <v>46.2</v>
      </c>
      <c r="O216" s="54"/>
      <c r="P216" s="54" t="s">
        <v>1916</v>
      </c>
    </row>
    <row r="217" spans="1:16" x14ac:dyDescent="0.35">
      <c r="A217" s="54">
        <v>2023</v>
      </c>
      <c r="B217" s="54" t="s">
        <v>772</v>
      </c>
      <c r="C217" s="54" t="s">
        <v>73</v>
      </c>
      <c r="D217" s="54" t="s">
        <v>74</v>
      </c>
      <c r="E217" s="54" t="s">
        <v>1276</v>
      </c>
      <c r="G217" s="54" t="s">
        <v>2118</v>
      </c>
      <c r="H217" s="54" t="s">
        <v>11</v>
      </c>
      <c r="I217" s="54" t="s">
        <v>13</v>
      </c>
      <c r="J217" s="54" t="s">
        <v>64</v>
      </c>
      <c r="K217" s="54" t="s">
        <v>3109</v>
      </c>
      <c r="L217" s="54" t="s">
        <v>1724</v>
      </c>
      <c r="M217" s="54" t="s">
        <v>402</v>
      </c>
      <c r="N217" s="55">
        <v>3350.8</v>
      </c>
      <c r="P217" s="54" t="s">
        <v>1916</v>
      </c>
    </row>
    <row r="218" spans="1:16" x14ac:dyDescent="0.35">
      <c r="A218" s="54">
        <v>2023</v>
      </c>
      <c r="B218" s="54" t="s">
        <v>772</v>
      </c>
      <c r="C218" s="54" t="s">
        <v>73</v>
      </c>
      <c r="D218" s="54" t="s">
        <v>74</v>
      </c>
      <c r="E218" s="54" t="s">
        <v>1276</v>
      </c>
      <c r="G218" s="54" t="s">
        <v>2118</v>
      </c>
      <c r="H218" s="54" t="s">
        <v>11</v>
      </c>
      <c r="I218" s="54" t="s">
        <v>13</v>
      </c>
      <c r="J218" s="54" t="s">
        <v>64</v>
      </c>
      <c r="K218" s="54" t="s">
        <v>3110</v>
      </c>
      <c r="L218" s="54" t="s">
        <v>1925</v>
      </c>
      <c r="M218" s="54" t="s">
        <v>1546</v>
      </c>
      <c r="N218" s="55">
        <v>4.5</v>
      </c>
      <c r="O218" s="54"/>
      <c r="P218" s="54" t="s">
        <v>1916</v>
      </c>
    </row>
    <row r="219" spans="1:16" x14ac:dyDescent="0.35">
      <c r="A219" s="54">
        <v>2023</v>
      </c>
      <c r="B219" s="54" t="s">
        <v>772</v>
      </c>
      <c r="C219" s="54" t="s">
        <v>73</v>
      </c>
      <c r="D219" s="54" t="s">
        <v>74</v>
      </c>
      <c r="E219" s="54" t="s">
        <v>1276</v>
      </c>
      <c r="G219" s="54" t="s">
        <v>2118</v>
      </c>
      <c r="H219" s="54" t="s">
        <v>11</v>
      </c>
      <c r="I219" s="54" t="s">
        <v>13</v>
      </c>
      <c r="J219" s="54" t="s">
        <v>64</v>
      </c>
      <c r="K219" s="54" t="s">
        <v>3110</v>
      </c>
      <c r="L219" s="54" t="s">
        <v>1922</v>
      </c>
      <c r="M219" s="54" t="s">
        <v>1546</v>
      </c>
      <c r="N219" s="55">
        <v>200.2</v>
      </c>
      <c r="O219" s="54"/>
      <c r="P219" s="54" t="s">
        <v>1916</v>
      </c>
    </row>
    <row r="220" spans="1:16" ht="14.4" customHeight="1" x14ac:dyDescent="0.35">
      <c r="A220" s="54">
        <v>2023</v>
      </c>
      <c r="B220" s="54" t="s">
        <v>772</v>
      </c>
      <c r="C220" s="54" t="s">
        <v>73</v>
      </c>
      <c r="D220" s="54" t="s">
        <v>74</v>
      </c>
      <c r="E220" s="54" t="s">
        <v>1276</v>
      </c>
      <c r="G220" s="54" t="s">
        <v>2118</v>
      </c>
      <c r="H220" s="54" t="s">
        <v>11</v>
      </c>
      <c r="I220" s="54" t="s">
        <v>13</v>
      </c>
      <c r="J220" s="54" t="s">
        <v>64</v>
      </c>
      <c r="K220" s="54" t="s">
        <v>3110</v>
      </c>
      <c r="L220" s="54" t="s">
        <v>1701</v>
      </c>
      <c r="M220" s="54" t="s">
        <v>1546</v>
      </c>
      <c r="N220" s="55">
        <v>5069.3</v>
      </c>
      <c r="O220" s="54"/>
      <c r="P220" s="54" t="s">
        <v>1916</v>
      </c>
    </row>
    <row r="221" spans="1:16" ht="14.4" customHeight="1" x14ac:dyDescent="0.35">
      <c r="A221" s="54">
        <v>2023</v>
      </c>
      <c r="B221" s="54" t="s">
        <v>772</v>
      </c>
      <c r="C221" s="54" t="s">
        <v>73</v>
      </c>
      <c r="D221" s="54" t="s">
        <v>74</v>
      </c>
      <c r="E221" s="54" t="s">
        <v>1276</v>
      </c>
      <c r="G221" s="54" t="s">
        <v>2118</v>
      </c>
      <c r="H221" s="54" t="s">
        <v>11</v>
      </c>
      <c r="I221" s="54" t="s">
        <v>13</v>
      </c>
      <c r="J221" s="54" t="s">
        <v>64</v>
      </c>
      <c r="K221" s="54" t="s">
        <v>3110</v>
      </c>
      <c r="L221" s="54" t="s">
        <v>1926</v>
      </c>
      <c r="M221" s="54" t="s">
        <v>1546</v>
      </c>
      <c r="N221" s="55">
        <v>18.899999999999999</v>
      </c>
      <c r="O221" s="54"/>
      <c r="P221" s="54" t="s">
        <v>1916</v>
      </c>
    </row>
    <row r="222" spans="1:16" x14ac:dyDescent="0.35">
      <c r="A222" s="54">
        <v>2023</v>
      </c>
      <c r="B222" s="54" t="s">
        <v>772</v>
      </c>
      <c r="C222" s="54" t="s">
        <v>73</v>
      </c>
      <c r="D222" s="54" t="s">
        <v>74</v>
      </c>
      <c r="E222" s="54" t="s">
        <v>1276</v>
      </c>
      <c r="G222" s="54" t="s">
        <v>2118</v>
      </c>
      <c r="H222" s="54" t="s">
        <v>11</v>
      </c>
      <c r="I222" s="54" t="s">
        <v>13</v>
      </c>
      <c r="J222" s="54" t="s">
        <v>64</v>
      </c>
      <c r="K222" s="54" t="s">
        <v>3109</v>
      </c>
      <c r="L222" s="54" t="s">
        <v>1718</v>
      </c>
      <c r="M222" s="54" t="s">
        <v>402</v>
      </c>
      <c r="N222" s="55">
        <v>63958.3</v>
      </c>
      <c r="P222" s="54" t="s">
        <v>1916</v>
      </c>
    </row>
    <row r="223" spans="1:16" x14ac:dyDescent="0.35">
      <c r="A223" s="54">
        <v>2023</v>
      </c>
      <c r="B223" s="54" t="s">
        <v>772</v>
      </c>
      <c r="C223" s="54" t="s">
        <v>73</v>
      </c>
      <c r="D223" s="54" t="s">
        <v>74</v>
      </c>
      <c r="E223" s="54" t="s">
        <v>1276</v>
      </c>
      <c r="G223" s="54" t="s">
        <v>2118</v>
      </c>
      <c r="H223" s="54" t="s">
        <v>11</v>
      </c>
      <c r="I223" s="54" t="s">
        <v>13</v>
      </c>
      <c r="J223" s="54" t="s">
        <v>64</v>
      </c>
      <c r="K223" s="54" t="s">
        <v>3109</v>
      </c>
      <c r="L223" s="54" t="s">
        <v>1717</v>
      </c>
      <c r="M223" s="54" t="s">
        <v>402</v>
      </c>
      <c r="N223" s="55">
        <v>33</v>
      </c>
      <c r="P223" s="54" t="s">
        <v>1916</v>
      </c>
    </row>
    <row r="224" spans="1:16" x14ac:dyDescent="0.35">
      <c r="A224" s="54">
        <v>2023</v>
      </c>
      <c r="B224" s="54" t="s">
        <v>772</v>
      </c>
      <c r="C224" s="54" t="s">
        <v>73</v>
      </c>
      <c r="D224" s="54" t="s">
        <v>74</v>
      </c>
      <c r="E224" s="54" t="s">
        <v>1276</v>
      </c>
      <c r="G224" s="54" t="s">
        <v>2118</v>
      </c>
      <c r="H224" s="54" t="s">
        <v>11</v>
      </c>
      <c r="I224" s="54" t="s">
        <v>13</v>
      </c>
      <c r="J224" s="54" t="s">
        <v>64</v>
      </c>
      <c r="K224" s="54" t="s">
        <v>3110</v>
      </c>
      <c r="L224" s="54" t="s">
        <v>1921</v>
      </c>
      <c r="M224" s="54" t="s">
        <v>1546</v>
      </c>
      <c r="N224" s="55">
        <v>539</v>
      </c>
      <c r="O224" s="54"/>
      <c r="P224" s="54" t="s">
        <v>1916</v>
      </c>
    </row>
    <row r="225" spans="1:16" x14ac:dyDescent="0.35">
      <c r="A225" s="54">
        <v>2023</v>
      </c>
      <c r="B225" s="54" t="s">
        <v>772</v>
      </c>
      <c r="C225" s="54" t="s">
        <v>73</v>
      </c>
      <c r="D225" s="54" t="s">
        <v>74</v>
      </c>
      <c r="E225" s="54" t="s">
        <v>1276</v>
      </c>
      <c r="G225" s="54" t="s">
        <v>2118</v>
      </c>
      <c r="H225" s="54" t="s">
        <v>11</v>
      </c>
      <c r="I225" s="54" t="s">
        <v>13</v>
      </c>
      <c r="J225" s="54" t="s">
        <v>64</v>
      </c>
      <c r="K225" s="54" t="s">
        <v>3110</v>
      </c>
      <c r="L225" s="54" t="s">
        <v>1923</v>
      </c>
      <c r="M225" s="54" t="s">
        <v>1546</v>
      </c>
      <c r="N225" s="55">
        <v>8.1</v>
      </c>
      <c r="O225" s="54"/>
      <c r="P225" s="54" t="s">
        <v>1916</v>
      </c>
    </row>
    <row r="226" spans="1:16" x14ac:dyDescent="0.35">
      <c r="A226" s="54">
        <v>2023</v>
      </c>
      <c r="B226" s="54" t="s">
        <v>772</v>
      </c>
      <c r="C226" s="54" t="s">
        <v>736</v>
      </c>
      <c r="D226" s="54" t="s">
        <v>26</v>
      </c>
      <c r="E226" s="54" t="s">
        <v>1135</v>
      </c>
      <c r="G226" s="54" t="s">
        <v>2037</v>
      </c>
      <c r="H226" s="54" t="s">
        <v>11</v>
      </c>
      <c r="I226" s="54" t="s">
        <v>13</v>
      </c>
      <c r="J226" s="54" t="s">
        <v>16</v>
      </c>
      <c r="K226" s="54" t="s">
        <v>3109</v>
      </c>
      <c r="L226" s="54" t="s">
        <v>1582</v>
      </c>
      <c r="M226" s="54" t="s">
        <v>402</v>
      </c>
      <c r="N226" s="55">
        <v>475</v>
      </c>
      <c r="P226" s="54" t="s">
        <v>1601</v>
      </c>
    </row>
    <row r="227" spans="1:16" x14ac:dyDescent="0.35">
      <c r="A227" s="54">
        <v>2023</v>
      </c>
      <c r="B227" s="54" t="s">
        <v>772</v>
      </c>
      <c r="C227" s="54" t="s">
        <v>736</v>
      </c>
      <c r="D227" s="54" t="s">
        <v>26</v>
      </c>
      <c r="E227" s="54" t="s">
        <v>1135</v>
      </c>
      <c r="G227" s="54" t="s">
        <v>2037</v>
      </c>
      <c r="H227" s="54" t="s">
        <v>11</v>
      </c>
      <c r="I227" s="54" t="s">
        <v>13</v>
      </c>
      <c r="J227" s="54" t="s">
        <v>16</v>
      </c>
      <c r="K227" s="54" t="s">
        <v>3109</v>
      </c>
      <c r="L227" s="54" t="s">
        <v>1722</v>
      </c>
      <c r="M227" s="54" t="s">
        <v>402</v>
      </c>
      <c r="N227" s="55">
        <v>960748</v>
      </c>
      <c r="P227" s="54" t="s">
        <v>1601</v>
      </c>
    </row>
    <row r="228" spans="1:16" x14ac:dyDescent="0.35">
      <c r="A228" s="54">
        <v>2023</v>
      </c>
      <c r="B228" s="54" t="s">
        <v>772</v>
      </c>
      <c r="C228" s="54" t="s">
        <v>736</v>
      </c>
      <c r="D228" s="54" t="s">
        <v>26</v>
      </c>
      <c r="E228" s="54" t="s">
        <v>1135</v>
      </c>
      <c r="G228" s="54" t="s">
        <v>2037</v>
      </c>
      <c r="H228" s="54" t="s">
        <v>11</v>
      </c>
      <c r="I228" s="54" t="s">
        <v>13</v>
      </c>
      <c r="J228" s="54" t="s">
        <v>16</v>
      </c>
      <c r="K228" s="54" t="s">
        <v>3109</v>
      </c>
      <c r="L228" s="54" t="s">
        <v>1723</v>
      </c>
      <c r="M228" s="54" t="s">
        <v>402</v>
      </c>
      <c r="N228" s="55">
        <v>140100</v>
      </c>
      <c r="P228" s="54" t="s">
        <v>1601</v>
      </c>
    </row>
    <row r="229" spans="1:16" ht="14.4" customHeight="1" x14ac:dyDescent="0.35">
      <c r="A229" s="54">
        <v>2023</v>
      </c>
      <c r="B229" s="54" t="s">
        <v>772</v>
      </c>
      <c r="C229" s="54" t="s">
        <v>736</v>
      </c>
      <c r="D229" s="54" t="s">
        <v>26</v>
      </c>
      <c r="E229" s="54" t="s">
        <v>1135</v>
      </c>
      <c r="G229" s="54" t="s">
        <v>2037</v>
      </c>
      <c r="H229" s="54" t="s">
        <v>11</v>
      </c>
      <c r="I229" s="54" t="s">
        <v>13</v>
      </c>
      <c r="J229" s="54" t="s">
        <v>16</v>
      </c>
      <c r="K229" s="54" t="s">
        <v>3109</v>
      </c>
      <c r="L229" s="54" t="s">
        <v>1724</v>
      </c>
      <c r="M229" s="54" t="s">
        <v>402</v>
      </c>
      <c r="N229" s="55">
        <v>2124</v>
      </c>
      <c r="P229" s="54" t="s">
        <v>1601</v>
      </c>
    </row>
    <row r="230" spans="1:16" ht="14.4" customHeight="1" x14ac:dyDescent="0.35">
      <c r="A230" s="54">
        <v>2023</v>
      </c>
      <c r="B230" s="54" t="s">
        <v>772</v>
      </c>
      <c r="C230" s="54" t="s">
        <v>736</v>
      </c>
      <c r="D230" s="54" t="s">
        <v>26</v>
      </c>
      <c r="E230" s="54" t="s">
        <v>1135</v>
      </c>
      <c r="G230" s="54" t="s">
        <v>2037</v>
      </c>
      <c r="H230" s="54" t="s">
        <v>11</v>
      </c>
      <c r="I230" s="54" t="s">
        <v>13</v>
      </c>
      <c r="J230" s="54" t="s">
        <v>16</v>
      </c>
      <c r="K230" s="54" t="s">
        <v>3109</v>
      </c>
      <c r="L230" s="54" t="s">
        <v>3059</v>
      </c>
      <c r="M230" s="54" t="s">
        <v>402</v>
      </c>
      <c r="N230" s="55">
        <v>6344</v>
      </c>
      <c r="P230" s="54" t="s">
        <v>1601</v>
      </c>
    </row>
    <row r="231" spans="1:16" x14ac:dyDescent="0.35">
      <c r="A231" s="54">
        <v>2023</v>
      </c>
      <c r="B231" s="54" t="s">
        <v>772</v>
      </c>
      <c r="C231" s="54" t="s">
        <v>736</v>
      </c>
      <c r="D231" s="54" t="s">
        <v>26</v>
      </c>
      <c r="E231" s="54" t="s">
        <v>1135</v>
      </c>
      <c r="G231" s="54" t="s">
        <v>2037</v>
      </c>
      <c r="H231" s="54" t="s">
        <v>11</v>
      </c>
      <c r="I231" s="54" t="s">
        <v>13</v>
      </c>
      <c r="J231" s="54" t="s">
        <v>16</v>
      </c>
      <c r="K231" s="54" t="s">
        <v>3109</v>
      </c>
      <c r="L231" s="54" t="s">
        <v>1718</v>
      </c>
      <c r="M231" s="54" t="s">
        <v>402</v>
      </c>
      <c r="N231" s="55">
        <v>221612</v>
      </c>
      <c r="P231" s="54" t="s">
        <v>1601</v>
      </c>
    </row>
    <row r="232" spans="1:16" x14ac:dyDescent="0.35">
      <c r="A232" s="54">
        <v>2023</v>
      </c>
      <c r="B232" s="54" t="s">
        <v>772</v>
      </c>
      <c r="C232" s="54" t="s">
        <v>736</v>
      </c>
      <c r="D232" s="54" t="s">
        <v>26</v>
      </c>
      <c r="E232" s="54" t="s">
        <v>1135</v>
      </c>
      <c r="G232" s="54" t="s">
        <v>2037</v>
      </c>
      <c r="H232" s="54" t="s">
        <v>11</v>
      </c>
      <c r="I232" s="54" t="s">
        <v>13</v>
      </c>
      <c r="J232" s="54" t="s">
        <v>16</v>
      </c>
      <c r="K232" s="54" t="s">
        <v>3110</v>
      </c>
      <c r="L232" s="54" t="s">
        <v>1621</v>
      </c>
      <c r="M232" s="54" t="s">
        <v>1546</v>
      </c>
      <c r="N232" s="55">
        <v>2599.5</v>
      </c>
      <c r="O232" s="55" t="s">
        <v>3227</v>
      </c>
      <c r="P232" s="54" t="s">
        <v>1601</v>
      </c>
    </row>
    <row r="233" spans="1:16" x14ac:dyDescent="0.35">
      <c r="A233" s="54">
        <v>2023</v>
      </c>
      <c r="B233" s="54" t="s">
        <v>772</v>
      </c>
      <c r="C233" s="54" t="s">
        <v>736</v>
      </c>
      <c r="D233" s="54" t="s">
        <v>26</v>
      </c>
      <c r="E233" s="54" t="s">
        <v>1135</v>
      </c>
      <c r="G233" s="54" t="s">
        <v>2037</v>
      </c>
      <c r="H233" s="54" t="s">
        <v>11</v>
      </c>
      <c r="I233" s="54" t="s">
        <v>13</v>
      </c>
      <c r="J233" s="54" t="s">
        <v>16</v>
      </c>
      <c r="K233" s="54" t="s">
        <v>3110</v>
      </c>
      <c r="L233" s="54" t="s">
        <v>1620</v>
      </c>
      <c r="M233" s="54" t="s">
        <v>1546</v>
      </c>
      <c r="N233" s="55">
        <v>1955.7</v>
      </c>
      <c r="O233" s="54"/>
      <c r="P233" s="54" t="s">
        <v>1601</v>
      </c>
    </row>
  </sheetData>
  <autoFilter ref="A1:P233" xr:uid="{D87AA8D1-3115-4939-9E1F-86DF342CDC4E}">
    <sortState xmlns:xlrd2="http://schemas.microsoft.com/office/spreadsheetml/2017/richdata2" ref="A2:P233">
      <sortCondition ref="D1:D233"/>
    </sortState>
  </autoFilter>
  <phoneticPr fontId="3" type="noConversion"/>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3D8BF-7428-45DE-98BB-92A9CFD8C7B6}">
  <sheetPr filterMode="1"/>
  <dimension ref="A1:P132"/>
  <sheetViews>
    <sheetView zoomScaleNormal="100" workbookViewId="0">
      <pane xSplit="5" topLeftCell="M1" activePane="topRight" state="frozen"/>
      <selection pane="topRight" activeCell="E73" sqref="E73"/>
    </sheetView>
  </sheetViews>
  <sheetFormatPr baseColWidth="10" defaultColWidth="8.90625" defaultRowHeight="14.5" x14ac:dyDescent="0.35"/>
  <cols>
    <col min="1" max="1" width="7.453125" style="43" bestFit="1" customWidth="1"/>
    <col min="2" max="2" width="17" style="43" bestFit="1" customWidth="1"/>
    <col min="3" max="3" width="29.1796875" style="43" bestFit="1" customWidth="1"/>
    <col min="4" max="4" width="16.81640625" style="43" bestFit="1" customWidth="1"/>
    <col min="5" max="5" width="18.81640625" style="43" bestFit="1" customWidth="1"/>
    <col min="6" max="6" width="18" style="43" bestFit="1" customWidth="1"/>
    <col min="7" max="7" width="14.81640625" style="43" bestFit="1" customWidth="1"/>
    <col min="8" max="8" width="24.1796875" style="43" bestFit="1" customWidth="1"/>
    <col min="9" max="9" width="33.54296875" style="43" bestFit="1" customWidth="1"/>
    <col min="10" max="10" width="40.90625" style="43" bestFit="1" customWidth="1"/>
    <col min="11" max="11" width="16.36328125" style="43" bestFit="1" customWidth="1"/>
    <col min="12" max="12" width="43.81640625" style="43" bestFit="1" customWidth="1"/>
    <col min="13" max="13" width="38.81640625" style="43" bestFit="1" customWidth="1"/>
    <col min="14" max="14" width="23.6328125" style="44" bestFit="1" customWidth="1"/>
    <col min="15" max="15" width="121.08984375" style="43" bestFit="1" customWidth="1"/>
    <col min="16" max="16" width="56.453125" style="43" bestFit="1" customWidth="1"/>
    <col min="17" max="16384" width="8.90625" style="43"/>
  </cols>
  <sheetData>
    <row r="1" spans="1:16" customFormat="1" x14ac:dyDescent="0.35">
      <c r="A1" s="6" t="s">
        <v>1538</v>
      </c>
      <c r="B1" s="6" t="s">
        <v>1553</v>
      </c>
      <c r="C1" s="7" t="s">
        <v>0</v>
      </c>
      <c r="D1" s="6" t="s">
        <v>1653</v>
      </c>
      <c r="E1" s="6" t="s">
        <v>2</v>
      </c>
      <c r="F1" s="6" t="s">
        <v>2030</v>
      </c>
      <c r="G1" s="6" t="s">
        <v>2028</v>
      </c>
      <c r="H1" s="36" t="s">
        <v>4</v>
      </c>
      <c r="I1" s="36" t="s">
        <v>6</v>
      </c>
      <c r="J1" s="6" t="s">
        <v>1540</v>
      </c>
      <c r="K1" s="6" t="s">
        <v>3064</v>
      </c>
      <c r="L1" s="6" t="s">
        <v>3065</v>
      </c>
      <c r="M1" s="6" t="s">
        <v>1542</v>
      </c>
      <c r="N1" s="9" t="s">
        <v>2505</v>
      </c>
      <c r="O1" s="6" t="s">
        <v>7</v>
      </c>
      <c r="P1" s="6" t="s">
        <v>1543</v>
      </c>
    </row>
    <row r="2" spans="1:16" customFormat="1" hidden="1" x14ac:dyDescent="0.35">
      <c r="A2">
        <v>2023</v>
      </c>
      <c r="B2" t="s">
        <v>772</v>
      </c>
      <c r="C2" t="s">
        <v>14</v>
      </c>
      <c r="D2" t="s">
        <v>65</v>
      </c>
      <c r="E2" t="s">
        <v>1125</v>
      </c>
      <c r="H2" s="37" t="s">
        <v>11</v>
      </c>
      <c r="I2" s="37" t="s">
        <v>13</v>
      </c>
      <c r="J2" t="s">
        <v>64</v>
      </c>
      <c r="K2" t="s">
        <v>3006</v>
      </c>
      <c r="L2" t="s">
        <v>1677</v>
      </c>
      <c r="M2" t="s">
        <v>1678</v>
      </c>
      <c r="N2" s="10">
        <v>3.242599309372303E-2</v>
      </c>
      <c r="P2" t="s">
        <v>1861</v>
      </c>
    </row>
    <row r="3" spans="1:16" customFormat="1" hidden="1" x14ac:dyDescent="0.35">
      <c r="A3">
        <v>2023</v>
      </c>
      <c r="B3" t="s">
        <v>772</v>
      </c>
      <c r="C3" t="s">
        <v>14</v>
      </c>
      <c r="D3" t="s">
        <v>65</v>
      </c>
      <c r="E3" t="s">
        <v>1125</v>
      </c>
      <c r="H3" s="37" t="s">
        <v>11</v>
      </c>
      <c r="I3" s="37" t="s">
        <v>13</v>
      </c>
      <c r="J3" t="s">
        <v>64</v>
      </c>
      <c r="K3" t="s">
        <v>3006</v>
      </c>
      <c r="L3" t="s">
        <v>1677</v>
      </c>
      <c r="M3" t="s">
        <v>1679</v>
      </c>
      <c r="N3" s="10">
        <v>0.92805708109371343</v>
      </c>
      <c r="P3" t="s">
        <v>1862</v>
      </c>
    </row>
    <row r="4" spans="1:16" customFormat="1" x14ac:dyDescent="0.35">
      <c r="A4" s="45">
        <v>2023</v>
      </c>
      <c r="B4" s="45" t="s">
        <v>772</v>
      </c>
      <c r="C4" s="45" t="s">
        <v>14</v>
      </c>
      <c r="D4" s="45" t="s">
        <v>65</v>
      </c>
      <c r="E4" t="s">
        <v>1125</v>
      </c>
      <c r="F4" s="45"/>
      <c r="G4" s="45" t="s">
        <v>2034</v>
      </c>
      <c r="H4" s="45" t="s">
        <v>11</v>
      </c>
      <c r="I4" s="45" t="s">
        <v>13</v>
      </c>
      <c r="J4" s="45" t="s">
        <v>64</v>
      </c>
      <c r="K4" s="45" t="s">
        <v>3109</v>
      </c>
      <c r="L4" s="45" t="s">
        <v>1578</v>
      </c>
      <c r="M4" s="45" t="s">
        <v>1579</v>
      </c>
      <c r="N4" s="46">
        <v>34.42341742720361</v>
      </c>
      <c r="O4" s="46"/>
      <c r="P4" s="45" t="s">
        <v>1547</v>
      </c>
    </row>
    <row r="5" spans="1:16" customFormat="1" x14ac:dyDescent="0.35">
      <c r="A5" s="45">
        <v>2023</v>
      </c>
      <c r="B5" s="45" t="s">
        <v>772</v>
      </c>
      <c r="C5" s="45" t="s">
        <v>14</v>
      </c>
      <c r="D5" s="45" t="s">
        <v>65</v>
      </c>
      <c r="E5" t="s">
        <v>1125</v>
      </c>
      <c r="F5" s="45"/>
      <c r="G5" s="45" t="s">
        <v>2034</v>
      </c>
      <c r="H5" s="45" t="s">
        <v>11</v>
      </c>
      <c r="I5" s="45" t="s">
        <v>13</v>
      </c>
      <c r="J5" s="45" t="s">
        <v>64</v>
      </c>
      <c r="K5" s="45" t="s">
        <v>3109</v>
      </c>
      <c r="L5" s="45" t="s">
        <v>1580</v>
      </c>
      <c r="M5" s="45" t="s">
        <v>1581</v>
      </c>
      <c r="N5" s="46">
        <v>0.26502886917318602</v>
      </c>
      <c r="O5" s="46"/>
      <c r="P5" s="45" t="s">
        <v>1547</v>
      </c>
    </row>
    <row r="6" spans="1:16" customFormat="1" hidden="1" x14ac:dyDescent="0.35">
      <c r="A6">
        <v>2023</v>
      </c>
      <c r="B6" t="s">
        <v>772</v>
      </c>
      <c r="C6" t="s">
        <v>861</v>
      </c>
      <c r="D6" t="s">
        <v>164</v>
      </c>
      <c r="E6" t="s">
        <v>1282</v>
      </c>
      <c r="H6" s="37" t="s">
        <v>11</v>
      </c>
      <c r="I6" s="37" t="s">
        <v>19</v>
      </c>
      <c r="J6" t="s">
        <v>157</v>
      </c>
      <c r="K6" t="s">
        <v>3066</v>
      </c>
      <c r="L6" t="s">
        <v>2331</v>
      </c>
      <c r="M6" t="s">
        <v>2329</v>
      </c>
      <c r="N6" s="10">
        <v>1341</v>
      </c>
      <c r="P6" t="s">
        <v>1911</v>
      </c>
    </row>
    <row r="7" spans="1:16" customFormat="1" hidden="1" x14ac:dyDescent="0.35">
      <c r="A7">
        <v>2023</v>
      </c>
      <c r="B7" t="s">
        <v>772</v>
      </c>
      <c r="C7" t="s">
        <v>861</v>
      </c>
      <c r="D7" t="s">
        <v>164</v>
      </c>
      <c r="E7" t="s">
        <v>1282</v>
      </c>
      <c r="H7" s="37" t="s">
        <v>11</v>
      </c>
      <c r="I7" s="37" t="s">
        <v>19</v>
      </c>
      <c r="J7" t="s">
        <v>157</v>
      </c>
      <c r="K7" t="s">
        <v>3066</v>
      </c>
      <c r="L7" t="s">
        <v>2332</v>
      </c>
      <c r="M7" t="s">
        <v>2329</v>
      </c>
      <c r="N7" s="10">
        <v>813</v>
      </c>
      <c r="P7" t="s">
        <v>1911</v>
      </c>
    </row>
    <row r="8" spans="1:16" customFormat="1" hidden="1" x14ac:dyDescent="0.35">
      <c r="A8">
        <v>2023</v>
      </c>
      <c r="B8" t="s">
        <v>772</v>
      </c>
      <c r="C8" t="s">
        <v>861</v>
      </c>
      <c r="D8" t="s">
        <v>164</v>
      </c>
      <c r="E8" t="s">
        <v>1282</v>
      </c>
      <c r="H8" s="37" t="s">
        <v>11</v>
      </c>
      <c r="I8" s="37" t="s">
        <v>19</v>
      </c>
      <c r="J8" t="s">
        <v>157</v>
      </c>
      <c r="K8" t="s">
        <v>3066</v>
      </c>
      <c r="L8" t="s">
        <v>2333</v>
      </c>
      <c r="M8" t="s">
        <v>2330</v>
      </c>
      <c r="N8" s="10">
        <v>58.5</v>
      </c>
      <c r="P8" t="s">
        <v>1911</v>
      </c>
    </row>
    <row r="9" spans="1:16" customFormat="1" hidden="1" x14ac:dyDescent="0.35">
      <c r="A9">
        <v>2023</v>
      </c>
      <c r="B9" t="s">
        <v>772</v>
      </c>
      <c r="C9" t="s">
        <v>861</v>
      </c>
      <c r="D9" t="s">
        <v>164</v>
      </c>
      <c r="E9" t="s">
        <v>1282</v>
      </c>
      <c r="H9" s="37" t="s">
        <v>11</v>
      </c>
      <c r="I9" s="37" t="s">
        <v>19</v>
      </c>
      <c r="J9" t="s">
        <v>157</v>
      </c>
      <c r="K9" t="s">
        <v>3066</v>
      </c>
      <c r="L9" t="s">
        <v>2334</v>
      </c>
      <c r="M9" t="s">
        <v>2335</v>
      </c>
      <c r="N9" s="10">
        <v>5.3900000000000003E-2</v>
      </c>
      <c r="P9" t="s">
        <v>1911</v>
      </c>
    </row>
    <row r="10" spans="1:16" customFormat="1" hidden="1" x14ac:dyDescent="0.35">
      <c r="A10">
        <v>2023</v>
      </c>
      <c r="B10" t="s">
        <v>772</v>
      </c>
      <c r="C10" t="s">
        <v>14</v>
      </c>
      <c r="D10" t="s">
        <v>18</v>
      </c>
      <c r="E10" t="s">
        <v>1127</v>
      </c>
      <c r="H10" s="37" t="s">
        <v>11</v>
      </c>
      <c r="I10" s="37" t="s">
        <v>19</v>
      </c>
      <c r="J10" t="s">
        <v>16</v>
      </c>
      <c r="K10" t="s">
        <v>3006</v>
      </c>
      <c r="L10" t="s">
        <v>1677</v>
      </c>
      <c r="M10" t="s">
        <v>1678</v>
      </c>
      <c r="N10" s="10">
        <v>0.02</v>
      </c>
      <c r="O10" s="21"/>
      <c r="P10" t="s">
        <v>1855</v>
      </c>
    </row>
    <row r="11" spans="1:16" customFormat="1" hidden="1" x14ac:dyDescent="0.35">
      <c r="A11">
        <v>2023</v>
      </c>
      <c r="B11" t="s">
        <v>772</v>
      </c>
      <c r="C11" t="s">
        <v>14</v>
      </c>
      <c r="D11" t="s">
        <v>18</v>
      </c>
      <c r="E11" t="s">
        <v>1127</v>
      </c>
      <c r="H11" s="37" t="s">
        <v>11</v>
      </c>
      <c r="I11" s="37" t="s">
        <v>19</v>
      </c>
      <c r="J11" t="s">
        <v>16</v>
      </c>
      <c r="K11" t="s">
        <v>3006</v>
      </c>
      <c r="L11" t="s">
        <v>1677</v>
      </c>
      <c r="M11" t="s">
        <v>1679</v>
      </c>
      <c r="N11" s="10">
        <v>0.08</v>
      </c>
      <c r="O11" s="21"/>
      <c r="P11" t="s">
        <v>1856</v>
      </c>
    </row>
    <row r="12" spans="1:16" customFormat="1" x14ac:dyDescent="0.35">
      <c r="A12">
        <v>2023</v>
      </c>
      <c r="B12" t="s">
        <v>772</v>
      </c>
      <c r="C12" t="s">
        <v>14</v>
      </c>
      <c r="D12" t="s">
        <v>18</v>
      </c>
      <c r="E12" t="s">
        <v>1127</v>
      </c>
      <c r="G12" t="s">
        <v>2034</v>
      </c>
      <c r="H12" t="s">
        <v>11</v>
      </c>
      <c r="I12" t="s">
        <v>19</v>
      </c>
      <c r="J12" t="s">
        <v>16</v>
      </c>
      <c r="K12" t="s">
        <v>3109</v>
      </c>
      <c r="L12" t="s">
        <v>1578</v>
      </c>
      <c r="M12" t="s">
        <v>1579</v>
      </c>
      <c r="N12" s="10">
        <v>32.670089368553114</v>
      </c>
      <c r="O12" s="10"/>
      <c r="P12" t="s">
        <v>1547</v>
      </c>
    </row>
    <row r="13" spans="1:16" customFormat="1" x14ac:dyDescent="0.35">
      <c r="A13">
        <v>2023</v>
      </c>
      <c r="B13" t="s">
        <v>772</v>
      </c>
      <c r="C13" t="s">
        <v>14</v>
      </c>
      <c r="D13" t="s">
        <v>18</v>
      </c>
      <c r="E13" t="s">
        <v>1127</v>
      </c>
      <c r="G13" t="s">
        <v>2034</v>
      </c>
      <c r="H13" t="s">
        <v>11</v>
      </c>
      <c r="I13" t="s">
        <v>19</v>
      </c>
      <c r="J13" t="s">
        <v>16</v>
      </c>
      <c r="K13" t="s">
        <v>3109</v>
      </c>
      <c r="L13" t="s">
        <v>1580</v>
      </c>
      <c r="M13" t="s">
        <v>1581</v>
      </c>
      <c r="N13" s="10">
        <v>0.285352773874262</v>
      </c>
      <c r="O13" s="10"/>
      <c r="P13" t="s">
        <v>1547</v>
      </c>
    </row>
    <row r="14" spans="1:16" customFormat="1" x14ac:dyDescent="0.35">
      <c r="A14">
        <v>2023</v>
      </c>
      <c r="B14" t="s">
        <v>772</v>
      </c>
      <c r="C14" t="s">
        <v>58</v>
      </c>
      <c r="D14" t="s">
        <v>59</v>
      </c>
      <c r="E14" t="s">
        <v>1439</v>
      </c>
      <c r="G14" t="s">
        <v>2220</v>
      </c>
      <c r="H14" t="s">
        <v>11</v>
      </c>
      <c r="I14" t="s">
        <v>13</v>
      </c>
      <c r="J14" t="s">
        <v>16</v>
      </c>
      <c r="K14" t="s">
        <v>3109</v>
      </c>
      <c r="L14" t="s">
        <v>1580</v>
      </c>
      <c r="M14" t="s">
        <v>1720</v>
      </c>
      <c r="N14" s="10">
        <v>2.1800000000000002</v>
      </c>
      <c r="O14" s="10"/>
      <c r="P14" t="s">
        <v>1634</v>
      </c>
    </row>
    <row r="15" spans="1:16" customFormat="1" x14ac:dyDescent="0.35">
      <c r="A15">
        <v>2023</v>
      </c>
      <c r="B15" t="s">
        <v>772</v>
      </c>
      <c r="C15" t="s">
        <v>58</v>
      </c>
      <c r="D15" t="s">
        <v>59</v>
      </c>
      <c r="E15" t="s">
        <v>1439</v>
      </c>
      <c r="G15" t="s">
        <v>2220</v>
      </c>
      <c r="H15" t="s">
        <v>11</v>
      </c>
      <c r="I15" t="s">
        <v>13</v>
      </c>
      <c r="J15" t="s">
        <v>16</v>
      </c>
      <c r="K15" t="s">
        <v>3109</v>
      </c>
      <c r="L15" t="s">
        <v>1580</v>
      </c>
      <c r="M15" t="s">
        <v>1721</v>
      </c>
      <c r="N15" s="10">
        <v>5.67</v>
      </c>
      <c r="O15" s="10"/>
      <c r="P15" t="s">
        <v>1634</v>
      </c>
    </row>
    <row r="16" spans="1:16" customFormat="1" hidden="1" x14ac:dyDescent="0.35">
      <c r="A16">
        <v>2023</v>
      </c>
      <c r="B16" t="s">
        <v>772</v>
      </c>
      <c r="C16" t="s">
        <v>730</v>
      </c>
      <c r="D16" t="s">
        <v>59</v>
      </c>
      <c r="E16" t="s">
        <v>1439</v>
      </c>
      <c r="H16" s="37" t="s">
        <v>11</v>
      </c>
      <c r="I16" s="37" t="s">
        <v>13</v>
      </c>
      <c r="J16" t="s">
        <v>16</v>
      </c>
      <c r="K16" t="s">
        <v>3066</v>
      </c>
      <c r="L16" t="s">
        <v>1696</v>
      </c>
      <c r="M16" t="s">
        <v>1729</v>
      </c>
      <c r="N16" s="10">
        <v>7.0000000000000007E-2</v>
      </c>
      <c r="P16" t="s">
        <v>1872</v>
      </c>
    </row>
    <row r="17" spans="1:16" customFormat="1" hidden="1" x14ac:dyDescent="0.35">
      <c r="A17">
        <v>2023</v>
      </c>
      <c r="B17" t="s">
        <v>772</v>
      </c>
      <c r="C17" t="s">
        <v>730</v>
      </c>
      <c r="D17" t="s">
        <v>59</v>
      </c>
      <c r="E17" t="s">
        <v>1439</v>
      </c>
      <c r="H17" s="37" t="s">
        <v>11</v>
      </c>
      <c r="I17" s="37" t="s">
        <v>13</v>
      </c>
      <c r="J17" t="s">
        <v>16</v>
      </c>
      <c r="K17" t="s">
        <v>3066</v>
      </c>
      <c r="L17" t="s">
        <v>1696</v>
      </c>
      <c r="M17" t="s">
        <v>1730</v>
      </c>
      <c r="N17" s="10">
        <v>0.17</v>
      </c>
      <c r="P17" t="s">
        <v>1872</v>
      </c>
    </row>
    <row r="18" spans="1:16" customFormat="1" hidden="1" x14ac:dyDescent="0.35">
      <c r="A18">
        <v>2023</v>
      </c>
      <c r="B18" t="s">
        <v>772</v>
      </c>
      <c r="C18" t="s">
        <v>730</v>
      </c>
      <c r="D18" t="s">
        <v>59</v>
      </c>
      <c r="E18" t="s">
        <v>1439</v>
      </c>
      <c r="H18" s="37" t="s">
        <v>11</v>
      </c>
      <c r="I18" s="37" t="s">
        <v>13</v>
      </c>
      <c r="J18" t="s">
        <v>16</v>
      </c>
      <c r="K18" t="s">
        <v>3066</v>
      </c>
      <c r="L18" t="s">
        <v>1696</v>
      </c>
      <c r="M18" t="s">
        <v>1729</v>
      </c>
      <c r="N18" s="10">
        <v>7.0000000000000007E-2</v>
      </c>
      <c r="P18" t="s">
        <v>1872</v>
      </c>
    </row>
    <row r="19" spans="1:16" customFormat="1" hidden="1" x14ac:dyDescent="0.35">
      <c r="A19">
        <v>2023</v>
      </c>
      <c r="B19" t="s">
        <v>772</v>
      </c>
      <c r="C19" t="s">
        <v>730</v>
      </c>
      <c r="D19" t="s">
        <v>59</v>
      </c>
      <c r="E19" t="s">
        <v>1439</v>
      </c>
      <c r="H19" s="37" t="s">
        <v>11</v>
      </c>
      <c r="I19" s="37" t="s">
        <v>13</v>
      </c>
      <c r="J19" t="s">
        <v>16</v>
      </c>
      <c r="K19" t="s">
        <v>3066</v>
      </c>
      <c r="L19" t="s">
        <v>1696</v>
      </c>
      <c r="M19" t="s">
        <v>1730</v>
      </c>
      <c r="N19" s="10">
        <v>0.17</v>
      </c>
      <c r="P19" t="s">
        <v>1872</v>
      </c>
    </row>
    <row r="20" spans="1:16" customFormat="1" hidden="1" x14ac:dyDescent="0.35">
      <c r="A20">
        <v>2023</v>
      </c>
      <c r="B20" t="s">
        <v>772</v>
      </c>
      <c r="C20" t="s">
        <v>730</v>
      </c>
      <c r="D20" t="s">
        <v>59</v>
      </c>
      <c r="E20" t="s">
        <v>1439</v>
      </c>
      <c r="H20" s="37" t="s">
        <v>11</v>
      </c>
      <c r="I20" s="37" t="s">
        <v>13</v>
      </c>
      <c r="J20" t="s">
        <v>16</v>
      </c>
      <c r="K20" t="s">
        <v>3006</v>
      </c>
      <c r="L20" t="s">
        <v>1726</v>
      </c>
      <c r="M20" t="s">
        <v>1727</v>
      </c>
      <c r="N20" s="10">
        <v>0.13</v>
      </c>
      <c r="P20" t="s">
        <v>1872</v>
      </c>
    </row>
    <row r="21" spans="1:16" customFormat="1" hidden="1" x14ac:dyDescent="0.35">
      <c r="A21">
        <v>2023</v>
      </c>
      <c r="B21" t="s">
        <v>772</v>
      </c>
      <c r="C21" t="s">
        <v>730</v>
      </c>
      <c r="D21" t="s">
        <v>59</v>
      </c>
      <c r="E21" t="s">
        <v>1439</v>
      </c>
      <c r="H21" s="37" t="s">
        <v>11</v>
      </c>
      <c r="I21" s="37" t="s">
        <v>13</v>
      </c>
      <c r="J21" t="s">
        <v>16</v>
      </c>
      <c r="K21" t="s">
        <v>3006</v>
      </c>
      <c r="L21" t="s">
        <v>1726</v>
      </c>
      <c r="M21" t="s">
        <v>1728</v>
      </c>
      <c r="N21" s="10">
        <v>0.33</v>
      </c>
      <c r="P21" t="s">
        <v>1872</v>
      </c>
    </row>
    <row r="22" spans="1:16" customFormat="1" hidden="1" x14ac:dyDescent="0.35">
      <c r="A22">
        <v>2023</v>
      </c>
      <c r="B22" t="s">
        <v>772</v>
      </c>
      <c r="C22" t="s">
        <v>39</v>
      </c>
      <c r="D22" t="s">
        <v>41</v>
      </c>
      <c r="E22" t="s">
        <v>1316</v>
      </c>
      <c r="H22" s="37" t="s">
        <v>11</v>
      </c>
      <c r="I22" s="37" t="s">
        <v>13</v>
      </c>
      <c r="J22" t="s">
        <v>16</v>
      </c>
      <c r="K22" t="s">
        <v>3006</v>
      </c>
      <c r="L22" s="27" t="s">
        <v>1726</v>
      </c>
      <c r="M22" t="s">
        <v>1751</v>
      </c>
      <c r="N22" s="10">
        <v>4.3381249999999998</v>
      </c>
      <c r="P22" t="s">
        <v>1870</v>
      </c>
    </row>
    <row r="23" spans="1:16" customFormat="1" hidden="1" x14ac:dyDescent="0.35">
      <c r="A23">
        <v>2023</v>
      </c>
      <c r="B23" t="s">
        <v>772</v>
      </c>
      <c r="C23" t="s">
        <v>39</v>
      </c>
      <c r="D23" t="s">
        <v>41</v>
      </c>
      <c r="E23" t="s">
        <v>1316</v>
      </c>
      <c r="H23" s="37" t="s">
        <v>11</v>
      </c>
      <c r="I23" s="37" t="s">
        <v>13</v>
      </c>
      <c r="J23" t="s">
        <v>16</v>
      </c>
      <c r="K23" t="s">
        <v>3006</v>
      </c>
      <c r="L23" s="27" t="s">
        <v>1726</v>
      </c>
      <c r="M23" t="s">
        <v>1752</v>
      </c>
      <c r="N23" s="10">
        <v>0.60592715231788097</v>
      </c>
      <c r="P23" t="s">
        <v>1870</v>
      </c>
    </row>
    <row r="24" spans="1:16" customFormat="1" hidden="1" x14ac:dyDescent="0.35">
      <c r="A24">
        <v>2023</v>
      </c>
      <c r="B24" t="s">
        <v>772</v>
      </c>
      <c r="C24" t="s">
        <v>135</v>
      </c>
      <c r="D24" t="s">
        <v>136</v>
      </c>
      <c r="E24" t="s">
        <v>1395</v>
      </c>
      <c r="H24" s="37" t="s">
        <v>11</v>
      </c>
      <c r="I24" s="37" t="s">
        <v>19</v>
      </c>
      <c r="J24" t="s">
        <v>137</v>
      </c>
      <c r="K24" t="s">
        <v>3066</v>
      </c>
      <c r="L24" t="s">
        <v>1991</v>
      </c>
      <c r="M24" t="s">
        <v>2387</v>
      </c>
      <c r="N24" s="10">
        <v>2.21</v>
      </c>
      <c r="P24" t="s">
        <v>1892</v>
      </c>
    </row>
    <row r="25" spans="1:16" customFormat="1" hidden="1" x14ac:dyDescent="0.35">
      <c r="A25">
        <v>2023</v>
      </c>
      <c r="B25" t="s">
        <v>772</v>
      </c>
      <c r="C25" t="s">
        <v>14</v>
      </c>
      <c r="D25" t="s">
        <v>66</v>
      </c>
      <c r="E25" t="s">
        <v>1124</v>
      </c>
      <c r="H25" s="37" t="s">
        <v>11</v>
      </c>
      <c r="I25" s="37" t="s">
        <v>13</v>
      </c>
      <c r="J25" t="s">
        <v>64</v>
      </c>
      <c r="K25" t="s">
        <v>3006</v>
      </c>
      <c r="L25" t="s">
        <v>1677</v>
      </c>
      <c r="M25" t="s">
        <v>1678</v>
      </c>
      <c r="N25" s="10">
        <v>0.6315166931499504</v>
      </c>
      <c r="O25" s="21"/>
      <c r="P25" t="s">
        <v>1863</v>
      </c>
    </row>
    <row r="26" spans="1:16" customFormat="1" hidden="1" x14ac:dyDescent="0.35">
      <c r="A26">
        <v>2023</v>
      </c>
      <c r="B26" t="s">
        <v>772</v>
      </c>
      <c r="C26" t="s">
        <v>14</v>
      </c>
      <c r="D26" t="s">
        <v>66</v>
      </c>
      <c r="E26" t="s">
        <v>1124</v>
      </c>
      <c r="H26" s="37" t="s">
        <v>11</v>
      </c>
      <c r="I26" s="37" t="s">
        <v>13</v>
      </c>
      <c r="J26" t="s">
        <v>64</v>
      </c>
      <c r="K26" t="s">
        <v>3006</v>
      </c>
      <c r="L26" t="s">
        <v>1677</v>
      </c>
      <c r="M26" t="s">
        <v>1679</v>
      </c>
      <c r="N26" s="10">
        <v>12.931689622605415</v>
      </c>
      <c r="O26" s="21"/>
      <c r="P26" t="s">
        <v>1864</v>
      </c>
    </row>
    <row r="27" spans="1:16" customFormat="1" x14ac:dyDescent="0.35">
      <c r="A27">
        <v>2023</v>
      </c>
      <c r="B27" t="s">
        <v>772</v>
      </c>
      <c r="C27" t="s">
        <v>14</v>
      </c>
      <c r="D27" t="s">
        <v>66</v>
      </c>
      <c r="E27" t="s">
        <v>1124</v>
      </c>
      <c r="G27" t="s">
        <v>2034</v>
      </c>
      <c r="H27" t="s">
        <v>11</v>
      </c>
      <c r="I27" t="s">
        <v>13</v>
      </c>
      <c r="J27" t="s">
        <v>64</v>
      </c>
      <c r="K27" t="s">
        <v>3109</v>
      </c>
      <c r="L27" t="s">
        <v>1578</v>
      </c>
      <c r="M27" t="s">
        <v>1579</v>
      </c>
      <c r="N27" s="10">
        <v>61.976532356663817</v>
      </c>
      <c r="O27" s="10"/>
      <c r="P27" t="s">
        <v>1547</v>
      </c>
    </row>
    <row r="28" spans="1:16" customFormat="1" x14ac:dyDescent="0.35">
      <c r="A28">
        <v>2023</v>
      </c>
      <c r="B28" t="s">
        <v>772</v>
      </c>
      <c r="C28" t="s">
        <v>14</v>
      </c>
      <c r="D28" t="s">
        <v>66</v>
      </c>
      <c r="E28" t="s">
        <v>1124</v>
      </c>
      <c r="G28" t="s">
        <v>2034</v>
      </c>
      <c r="H28" t="s">
        <v>11</v>
      </c>
      <c r="I28" t="s">
        <v>13</v>
      </c>
      <c r="J28" t="s">
        <v>64</v>
      </c>
      <c r="K28" t="s">
        <v>3109</v>
      </c>
      <c r="L28" t="s">
        <v>1580</v>
      </c>
      <c r="M28" t="s">
        <v>1581</v>
      </c>
      <c r="N28" s="10">
        <v>0.30212087132290499</v>
      </c>
      <c r="O28" s="10"/>
      <c r="P28" t="s">
        <v>1547</v>
      </c>
    </row>
    <row r="29" spans="1:16" customFormat="1" x14ac:dyDescent="0.35">
      <c r="A29">
        <v>2023</v>
      </c>
      <c r="B29" t="s">
        <v>772</v>
      </c>
      <c r="C29" t="s">
        <v>27</v>
      </c>
      <c r="D29" t="s">
        <v>28</v>
      </c>
      <c r="E29" t="s">
        <v>1166</v>
      </c>
      <c r="G29" t="s">
        <v>2055</v>
      </c>
      <c r="H29" t="s">
        <v>11</v>
      </c>
      <c r="I29" t="s">
        <v>23</v>
      </c>
      <c r="J29" t="s">
        <v>16</v>
      </c>
      <c r="K29" t="s">
        <v>3109</v>
      </c>
      <c r="L29" t="s">
        <v>1580</v>
      </c>
      <c r="M29" t="s">
        <v>1604</v>
      </c>
      <c r="N29">
        <v>6.53</v>
      </c>
      <c r="P29" t="s">
        <v>1830</v>
      </c>
    </row>
    <row r="30" spans="1:16" customFormat="1" x14ac:dyDescent="0.35">
      <c r="A30">
        <v>2023</v>
      </c>
      <c r="B30" t="s">
        <v>772</v>
      </c>
      <c r="C30" t="s">
        <v>27</v>
      </c>
      <c r="D30" t="s">
        <v>28</v>
      </c>
      <c r="E30" t="s">
        <v>1166</v>
      </c>
      <c r="G30" t="s">
        <v>2055</v>
      </c>
      <c r="H30" t="s">
        <v>11</v>
      </c>
      <c r="I30" t="s">
        <v>23</v>
      </c>
      <c r="J30" t="s">
        <v>16</v>
      </c>
      <c r="K30" t="s">
        <v>3109</v>
      </c>
      <c r="L30" t="s">
        <v>1580</v>
      </c>
      <c r="M30" t="s">
        <v>1818</v>
      </c>
      <c r="N30">
        <v>0.73</v>
      </c>
      <c r="P30" t="s">
        <v>1830</v>
      </c>
    </row>
    <row r="31" spans="1:16" customFormat="1" hidden="1" x14ac:dyDescent="0.35">
      <c r="A31">
        <v>2023</v>
      </c>
      <c r="B31" t="s">
        <v>772</v>
      </c>
      <c r="C31" t="s">
        <v>27</v>
      </c>
      <c r="D31" t="s">
        <v>28</v>
      </c>
      <c r="E31" t="s">
        <v>1166</v>
      </c>
      <c r="H31" s="37"/>
      <c r="I31" s="37"/>
      <c r="K31" t="s">
        <v>3066</v>
      </c>
      <c r="L31" t="s">
        <v>1839</v>
      </c>
      <c r="M31" t="s">
        <v>1838</v>
      </c>
      <c r="N31">
        <v>0.17699999999999999</v>
      </c>
      <c r="P31" t="s">
        <v>1830</v>
      </c>
    </row>
    <row r="32" spans="1:16" customFormat="1" hidden="1" x14ac:dyDescent="0.35">
      <c r="A32">
        <v>2023</v>
      </c>
      <c r="B32" t="s">
        <v>772</v>
      </c>
      <c r="C32" t="s">
        <v>27</v>
      </c>
      <c r="D32" t="s">
        <v>28</v>
      </c>
      <c r="E32" t="s">
        <v>1166</v>
      </c>
      <c r="H32" s="37"/>
      <c r="I32" s="37"/>
      <c r="K32" t="s">
        <v>3066</v>
      </c>
      <c r="L32" t="s">
        <v>1839</v>
      </c>
      <c r="M32" t="s">
        <v>1796</v>
      </c>
      <c r="N32">
        <v>0.02</v>
      </c>
      <c r="P32" t="s">
        <v>1830</v>
      </c>
    </row>
    <row r="33" spans="1:16" customFormat="1" hidden="1" x14ac:dyDescent="0.35">
      <c r="A33">
        <v>2023</v>
      </c>
      <c r="B33" t="s">
        <v>772</v>
      </c>
      <c r="C33" t="s">
        <v>27</v>
      </c>
      <c r="D33" t="s">
        <v>28</v>
      </c>
      <c r="E33" t="s">
        <v>1166</v>
      </c>
      <c r="H33" s="37" t="s">
        <v>11</v>
      </c>
      <c r="I33" s="37" t="s">
        <v>23</v>
      </c>
      <c r="J33" t="s">
        <v>16</v>
      </c>
      <c r="K33" t="s">
        <v>3066</v>
      </c>
      <c r="L33" t="s">
        <v>1839</v>
      </c>
      <c r="M33" t="s">
        <v>1838</v>
      </c>
      <c r="N33">
        <v>0.17699999999999999</v>
      </c>
      <c r="P33" t="s">
        <v>1830</v>
      </c>
    </row>
    <row r="34" spans="1:16" customFormat="1" hidden="1" x14ac:dyDescent="0.35">
      <c r="A34">
        <v>2023</v>
      </c>
      <c r="B34" t="s">
        <v>772</v>
      </c>
      <c r="C34" t="s">
        <v>27</v>
      </c>
      <c r="D34" t="s">
        <v>28</v>
      </c>
      <c r="E34" t="s">
        <v>1166</v>
      </c>
      <c r="H34" s="37" t="s">
        <v>11</v>
      </c>
      <c r="I34" s="37" t="s">
        <v>23</v>
      </c>
      <c r="J34" t="s">
        <v>16</v>
      </c>
      <c r="K34" t="s">
        <v>3066</v>
      </c>
      <c r="L34" t="s">
        <v>1839</v>
      </c>
      <c r="M34" t="s">
        <v>1796</v>
      </c>
      <c r="N34">
        <v>0.02</v>
      </c>
      <c r="P34" t="s">
        <v>1830</v>
      </c>
    </row>
    <row r="35" spans="1:16" customFormat="1" hidden="1" x14ac:dyDescent="0.35">
      <c r="A35">
        <v>2023</v>
      </c>
      <c r="B35" t="s">
        <v>772</v>
      </c>
      <c r="C35" t="s">
        <v>27</v>
      </c>
      <c r="D35" t="s">
        <v>28</v>
      </c>
      <c r="E35" t="s">
        <v>1166</v>
      </c>
      <c r="H35" s="37"/>
      <c r="I35" s="37"/>
      <c r="J35" t="s">
        <v>16</v>
      </c>
      <c r="K35" t="s">
        <v>3006</v>
      </c>
      <c r="L35" t="s">
        <v>1835</v>
      </c>
      <c r="M35" s="10" t="s">
        <v>1728</v>
      </c>
      <c r="N35">
        <v>23.7</v>
      </c>
      <c r="P35" t="s">
        <v>1830</v>
      </c>
    </row>
    <row r="36" spans="1:16" customFormat="1" hidden="1" x14ac:dyDescent="0.35">
      <c r="A36">
        <v>2023</v>
      </c>
      <c r="B36" t="s">
        <v>772</v>
      </c>
      <c r="C36" t="s">
        <v>27</v>
      </c>
      <c r="D36" t="s">
        <v>28</v>
      </c>
      <c r="E36" t="s">
        <v>1166</v>
      </c>
      <c r="H36" s="37"/>
      <c r="I36" s="37"/>
      <c r="J36" t="s">
        <v>16</v>
      </c>
      <c r="K36" t="s">
        <v>3006</v>
      </c>
      <c r="L36" t="s">
        <v>1835</v>
      </c>
      <c r="M36" s="10" t="s">
        <v>1837</v>
      </c>
      <c r="N36">
        <v>2.64</v>
      </c>
      <c r="P36" t="s">
        <v>1830</v>
      </c>
    </row>
    <row r="37" spans="1:16" customFormat="1" hidden="1" x14ac:dyDescent="0.35">
      <c r="A37">
        <v>2023</v>
      </c>
      <c r="B37" t="s">
        <v>772</v>
      </c>
      <c r="C37" t="s">
        <v>27</v>
      </c>
      <c r="D37" t="s">
        <v>28</v>
      </c>
      <c r="E37" t="s">
        <v>1166</v>
      </c>
      <c r="H37" s="37"/>
      <c r="I37" s="37"/>
      <c r="J37" t="s">
        <v>16</v>
      </c>
      <c r="K37" t="s">
        <v>3006</v>
      </c>
      <c r="L37" t="s">
        <v>1836</v>
      </c>
      <c r="M37" s="10" t="s">
        <v>1728</v>
      </c>
      <c r="N37">
        <v>7.37</v>
      </c>
      <c r="P37" t="s">
        <v>1830</v>
      </c>
    </row>
    <row r="38" spans="1:16" customFormat="1" hidden="1" x14ac:dyDescent="0.35">
      <c r="A38">
        <v>2023</v>
      </c>
      <c r="B38" t="s">
        <v>772</v>
      </c>
      <c r="C38" t="s">
        <v>27</v>
      </c>
      <c r="D38" t="s">
        <v>28</v>
      </c>
      <c r="E38" t="s">
        <v>1166</v>
      </c>
      <c r="H38" s="37"/>
      <c r="I38" s="37"/>
      <c r="J38" t="s">
        <v>16</v>
      </c>
      <c r="K38" t="s">
        <v>3006</v>
      </c>
      <c r="L38" t="s">
        <v>1836</v>
      </c>
      <c r="M38" s="10" t="s">
        <v>1837</v>
      </c>
      <c r="N38">
        <v>0.82</v>
      </c>
      <c r="P38" t="s">
        <v>1830</v>
      </c>
    </row>
    <row r="39" spans="1:16" customFormat="1" x14ac:dyDescent="0.35">
      <c r="A39">
        <v>2023</v>
      </c>
      <c r="B39" t="s">
        <v>772</v>
      </c>
      <c r="C39" t="s">
        <v>736</v>
      </c>
      <c r="D39" t="s">
        <v>25</v>
      </c>
      <c r="E39" t="s">
        <v>1136</v>
      </c>
      <c r="G39" t="s">
        <v>2037</v>
      </c>
      <c r="H39" t="s">
        <v>11</v>
      </c>
      <c r="I39" t="s">
        <v>13</v>
      </c>
      <c r="J39" t="s">
        <v>16</v>
      </c>
      <c r="K39" t="s">
        <v>3109</v>
      </c>
      <c r="L39" t="s">
        <v>1580</v>
      </c>
      <c r="M39" t="s">
        <v>1603</v>
      </c>
      <c r="N39" s="10">
        <v>1.47</v>
      </c>
      <c r="O39" s="10"/>
      <c r="P39" t="s">
        <v>1601</v>
      </c>
    </row>
    <row r="40" spans="1:16" customFormat="1" x14ac:dyDescent="0.35">
      <c r="A40">
        <v>2023</v>
      </c>
      <c r="B40" t="s">
        <v>772</v>
      </c>
      <c r="C40" t="s">
        <v>736</v>
      </c>
      <c r="D40" t="s">
        <v>25</v>
      </c>
      <c r="E40" t="s">
        <v>1136</v>
      </c>
      <c r="G40" t="s">
        <v>2037</v>
      </c>
      <c r="H40" t="s">
        <v>11</v>
      </c>
      <c r="I40" t="s">
        <v>13</v>
      </c>
      <c r="J40" t="s">
        <v>16</v>
      </c>
      <c r="K40" t="s">
        <v>3109</v>
      </c>
      <c r="L40" t="s">
        <v>1580</v>
      </c>
      <c r="M40" t="s">
        <v>1604</v>
      </c>
      <c r="N40" s="10">
        <v>4.8899999999999997</v>
      </c>
      <c r="O40" s="10"/>
      <c r="P40" t="s">
        <v>1601</v>
      </c>
    </row>
    <row r="41" spans="1:16" customFormat="1" hidden="1" x14ac:dyDescent="0.35">
      <c r="A41">
        <v>2023</v>
      </c>
      <c r="B41" t="s">
        <v>772</v>
      </c>
      <c r="C41" t="s">
        <v>736</v>
      </c>
      <c r="D41" t="s">
        <v>25</v>
      </c>
      <c r="E41" t="s">
        <v>1136</v>
      </c>
      <c r="H41" s="37" t="s">
        <v>11</v>
      </c>
      <c r="I41" s="37" t="s">
        <v>13</v>
      </c>
      <c r="J41" t="s">
        <v>16</v>
      </c>
      <c r="K41" t="s">
        <v>3066</v>
      </c>
      <c r="L41" t="s">
        <v>1839</v>
      </c>
      <c r="M41" t="s">
        <v>1608</v>
      </c>
      <c r="N41" s="10">
        <v>5.2328810328632097E-2</v>
      </c>
      <c r="P41" t="s">
        <v>1601</v>
      </c>
    </row>
    <row r="42" spans="1:16" customFormat="1" hidden="1" x14ac:dyDescent="0.35">
      <c r="A42">
        <v>2023</v>
      </c>
      <c r="B42" t="s">
        <v>772</v>
      </c>
      <c r="C42" t="s">
        <v>736</v>
      </c>
      <c r="D42" t="s">
        <v>25</v>
      </c>
      <c r="E42" t="s">
        <v>1136</v>
      </c>
      <c r="H42" s="37" t="s">
        <v>11</v>
      </c>
      <c r="I42" s="37" t="s">
        <v>13</v>
      </c>
      <c r="J42" t="s">
        <v>16</v>
      </c>
      <c r="K42" t="s">
        <v>3066</v>
      </c>
      <c r="L42" t="s">
        <v>1839</v>
      </c>
      <c r="M42" t="s">
        <v>1609</v>
      </c>
      <c r="N42" s="10">
        <v>5.2153947080691002E-2</v>
      </c>
      <c r="P42" t="s">
        <v>1601</v>
      </c>
    </row>
    <row r="43" spans="1:16" customFormat="1" hidden="1" x14ac:dyDescent="0.35">
      <c r="A43">
        <v>2023</v>
      </c>
      <c r="B43" t="s">
        <v>772</v>
      </c>
      <c r="C43" t="s">
        <v>736</v>
      </c>
      <c r="D43" t="s">
        <v>25</v>
      </c>
      <c r="E43" t="s">
        <v>1136</v>
      </c>
      <c r="H43" s="37" t="s">
        <v>11</v>
      </c>
      <c r="I43" s="37" t="s">
        <v>13</v>
      </c>
      <c r="J43" t="s">
        <v>16</v>
      </c>
      <c r="K43" t="s">
        <v>3066</v>
      </c>
      <c r="L43" t="s">
        <v>1839</v>
      </c>
      <c r="M43" t="s">
        <v>1610</v>
      </c>
      <c r="N43" s="10">
        <v>0.17424657534246599</v>
      </c>
      <c r="P43" t="s">
        <v>1601</v>
      </c>
    </row>
    <row r="44" spans="1:16" customFormat="1" hidden="1" x14ac:dyDescent="0.35">
      <c r="A44">
        <v>2023</v>
      </c>
      <c r="B44" t="s">
        <v>772</v>
      </c>
      <c r="C44" t="s">
        <v>736</v>
      </c>
      <c r="D44" t="s">
        <v>25</v>
      </c>
      <c r="E44" t="s">
        <v>1136</v>
      </c>
      <c r="H44" s="37" t="s">
        <v>11</v>
      </c>
      <c r="I44" s="37" t="s">
        <v>13</v>
      </c>
      <c r="J44" t="s">
        <v>16</v>
      </c>
      <c r="K44" t="s">
        <v>3066</v>
      </c>
      <c r="L44" t="s">
        <v>1839</v>
      </c>
      <c r="M44" t="s">
        <v>1608</v>
      </c>
      <c r="N44" s="10">
        <v>5.2328810328632097E-2</v>
      </c>
      <c r="P44" t="s">
        <v>1601</v>
      </c>
    </row>
    <row r="45" spans="1:16" customFormat="1" hidden="1" x14ac:dyDescent="0.35">
      <c r="A45">
        <v>2023</v>
      </c>
      <c r="B45" t="s">
        <v>772</v>
      </c>
      <c r="C45" t="s">
        <v>736</v>
      </c>
      <c r="D45" t="s">
        <v>25</v>
      </c>
      <c r="E45" t="s">
        <v>1136</v>
      </c>
      <c r="H45" s="37" t="s">
        <v>11</v>
      </c>
      <c r="I45" s="37" t="s">
        <v>13</v>
      </c>
      <c r="J45" t="s">
        <v>16</v>
      </c>
      <c r="K45" t="s">
        <v>3066</v>
      </c>
      <c r="L45" t="s">
        <v>1839</v>
      </c>
      <c r="M45" t="s">
        <v>1609</v>
      </c>
      <c r="N45" s="10">
        <v>5.2153947080691002E-2</v>
      </c>
      <c r="P45" t="s">
        <v>1601</v>
      </c>
    </row>
    <row r="46" spans="1:16" customFormat="1" hidden="1" x14ac:dyDescent="0.35">
      <c r="A46">
        <v>2023</v>
      </c>
      <c r="B46" t="s">
        <v>772</v>
      </c>
      <c r="C46" t="s">
        <v>736</v>
      </c>
      <c r="D46" t="s">
        <v>25</v>
      </c>
      <c r="E46" t="s">
        <v>1136</v>
      </c>
      <c r="H46" s="37" t="s">
        <v>11</v>
      </c>
      <c r="I46" s="37" t="s">
        <v>13</v>
      </c>
      <c r="J46" t="s">
        <v>16</v>
      </c>
      <c r="K46" t="s">
        <v>3066</v>
      </c>
      <c r="L46" t="s">
        <v>1839</v>
      </c>
      <c r="M46" t="s">
        <v>1610</v>
      </c>
      <c r="N46" s="10">
        <v>0.17424657534246599</v>
      </c>
      <c r="P46" t="s">
        <v>1601</v>
      </c>
    </row>
    <row r="47" spans="1:16" customFormat="1" x14ac:dyDescent="0.35">
      <c r="A47">
        <v>2023</v>
      </c>
      <c r="B47" t="s">
        <v>772</v>
      </c>
      <c r="C47" t="s">
        <v>58</v>
      </c>
      <c r="D47" t="s">
        <v>60</v>
      </c>
      <c r="E47" t="s">
        <v>1437</v>
      </c>
      <c r="G47" t="s">
        <v>2220</v>
      </c>
      <c r="H47" t="s">
        <v>11</v>
      </c>
      <c r="I47" t="s">
        <v>19</v>
      </c>
      <c r="J47" t="s">
        <v>16</v>
      </c>
      <c r="K47" t="s">
        <v>3109</v>
      </c>
      <c r="L47" t="s">
        <v>1580</v>
      </c>
      <c r="M47" t="s">
        <v>1720</v>
      </c>
      <c r="N47" s="10">
        <v>1.07</v>
      </c>
      <c r="O47" s="10"/>
      <c r="P47" t="s">
        <v>1634</v>
      </c>
    </row>
    <row r="48" spans="1:16" customFormat="1" x14ac:dyDescent="0.35">
      <c r="A48">
        <v>2023</v>
      </c>
      <c r="B48" t="s">
        <v>772</v>
      </c>
      <c r="C48" t="s">
        <v>58</v>
      </c>
      <c r="D48" t="s">
        <v>60</v>
      </c>
      <c r="E48" t="s">
        <v>1437</v>
      </c>
      <c r="G48" t="s">
        <v>2220</v>
      </c>
      <c r="H48" t="s">
        <v>11</v>
      </c>
      <c r="I48" t="s">
        <v>19</v>
      </c>
      <c r="J48" t="s">
        <v>16</v>
      </c>
      <c r="K48" t="s">
        <v>3109</v>
      </c>
      <c r="L48" t="s">
        <v>1580</v>
      </c>
      <c r="M48" t="s">
        <v>1721</v>
      </c>
      <c r="N48" s="10">
        <v>5.78</v>
      </c>
      <c r="O48" s="10"/>
      <c r="P48" t="s">
        <v>1634</v>
      </c>
    </row>
    <row r="49" spans="1:16" customFormat="1" hidden="1" x14ac:dyDescent="0.35">
      <c r="A49">
        <v>2023</v>
      </c>
      <c r="B49" t="s">
        <v>772</v>
      </c>
      <c r="C49" t="s">
        <v>730</v>
      </c>
      <c r="D49" t="s">
        <v>60</v>
      </c>
      <c r="E49" t="s">
        <v>1437</v>
      </c>
      <c r="H49" s="37" t="s">
        <v>11</v>
      </c>
      <c r="I49" s="37" t="s">
        <v>19</v>
      </c>
      <c r="J49" t="s">
        <v>16</v>
      </c>
      <c r="K49" t="s">
        <v>3066</v>
      </c>
      <c r="L49" t="s">
        <v>1696</v>
      </c>
      <c r="M49" t="s">
        <v>1729</v>
      </c>
      <c r="N49" s="10">
        <v>0.02</v>
      </c>
      <c r="P49" t="s">
        <v>1872</v>
      </c>
    </row>
    <row r="50" spans="1:16" customFormat="1" ht="15.65" hidden="1" customHeight="1" x14ac:dyDescent="0.35">
      <c r="A50">
        <v>2023</v>
      </c>
      <c r="B50" t="s">
        <v>772</v>
      </c>
      <c r="C50" t="s">
        <v>730</v>
      </c>
      <c r="D50" t="s">
        <v>60</v>
      </c>
      <c r="E50" t="s">
        <v>1437</v>
      </c>
      <c r="H50" s="37" t="s">
        <v>11</v>
      </c>
      <c r="I50" s="37" t="s">
        <v>19</v>
      </c>
      <c r="J50" t="s">
        <v>16</v>
      </c>
      <c r="K50" t="s">
        <v>3066</v>
      </c>
      <c r="L50" t="s">
        <v>1696</v>
      </c>
      <c r="M50" t="s">
        <v>1730</v>
      </c>
      <c r="N50" s="10">
        <v>0.12</v>
      </c>
      <c r="P50" t="s">
        <v>1872</v>
      </c>
    </row>
    <row r="51" spans="1:16" customFormat="1" hidden="1" x14ac:dyDescent="0.35">
      <c r="A51">
        <v>2023</v>
      </c>
      <c r="B51" t="s">
        <v>772</v>
      </c>
      <c r="C51" t="s">
        <v>730</v>
      </c>
      <c r="D51" t="s">
        <v>60</v>
      </c>
      <c r="E51" t="s">
        <v>1437</v>
      </c>
      <c r="H51" s="37" t="s">
        <v>11</v>
      </c>
      <c r="I51" s="37" t="s">
        <v>19</v>
      </c>
      <c r="J51" t="s">
        <v>16</v>
      </c>
      <c r="K51" t="s">
        <v>3066</v>
      </c>
      <c r="L51" t="s">
        <v>1696</v>
      </c>
      <c r="M51" t="s">
        <v>1729</v>
      </c>
      <c r="N51" s="10">
        <v>0.02</v>
      </c>
      <c r="P51" t="s">
        <v>1872</v>
      </c>
    </row>
    <row r="52" spans="1:16" customFormat="1" hidden="1" x14ac:dyDescent="0.35">
      <c r="A52">
        <v>2023</v>
      </c>
      <c r="B52" t="s">
        <v>772</v>
      </c>
      <c r="C52" t="s">
        <v>730</v>
      </c>
      <c r="D52" t="s">
        <v>60</v>
      </c>
      <c r="E52" t="s">
        <v>1437</v>
      </c>
      <c r="H52" s="37" t="s">
        <v>11</v>
      </c>
      <c r="I52" s="37" t="s">
        <v>19</v>
      </c>
      <c r="J52" t="s">
        <v>16</v>
      </c>
      <c r="K52" t="s">
        <v>3066</v>
      </c>
      <c r="L52" t="s">
        <v>1696</v>
      </c>
      <c r="M52" t="s">
        <v>1730</v>
      </c>
      <c r="N52" s="10">
        <v>0.12</v>
      </c>
      <c r="P52" t="s">
        <v>1872</v>
      </c>
    </row>
    <row r="53" spans="1:16" customFormat="1" hidden="1" x14ac:dyDescent="0.35">
      <c r="A53">
        <v>2023</v>
      </c>
      <c r="B53" t="s">
        <v>772</v>
      </c>
      <c r="C53" t="s">
        <v>730</v>
      </c>
      <c r="D53" t="s">
        <v>60</v>
      </c>
      <c r="E53" t="s">
        <v>1437</v>
      </c>
      <c r="H53" s="37" t="s">
        <v>11</v>
      </c>
      <c r="I53" s="37" t="s">
        <v>19</v>
      </c>
      <c r="J53" t="s">
        <v>16</v>
      </c>
      <c r="K53" t="s">
        <v>3006</v>
      </c>
      <c r="L53" t="s">
        <v>1726</v>
      </c>
      <c r="M53" t="s">
        <v>1727</v>
      </c>
      <c r="N53" s="10">
        <v>0.43</v>
      </c>
      <c r="P53" t="s">
        <v>1872</v>
      </c>
    </row>
    <row r="54" spans="1:16" customFormat="1" hidden="1" x14ac:dyDescent="0.35">
      <c r="A54">
        <v>2023</v>
      </c>
      <c r="B54" t="s">
        <v>772</v>
      </c>
      <c r="C54" t="s">
        <v>730</v>
      </c>
      <c r="D54" t="s">
        <v>60</v>
      </c>
      <c r="E54" t="s">
        <v>1437</v>
      </c>
      <c r="H54" s="37" t="s">
        <v>11</v>
      </c>
      <c r="I54" s="37" t="s">
        <v>19</v>
      </c>
      <c r="J54" t="s">
        <v>16</v>
      </c>
      <c r="K54" t="s">
        <v>3006</v>
      </c>
      <c r="L54" t="s">
        <v>1726</v>
      </c>
      <c r="M54" t="s">
        <v>1728</v>
      </c>
      <c r="N54" s="10">
        <v>17.02</v>
      </c>
      <c r="P54" t="s">
        <v>1872</v>
      </c>
    </row>
    <row r="55" spans="1:16" customFormat="1" hidden="1" x14ac:dyDescent="0.35">
      <c r="A55">
        <v>2023</v>
      </c>
      <c r="B55" t="s">
        <v>772</v>
      </c>
      <c r="C55" t="s">
        <v>30</v>
      </c>
      <c r="D55" t="s">
        <v>31</v>
      </c>
      <c r="E55" t="s">
        <v>1210</v>
      </c>
      <c r="H55" s="37" t="s">
        <v>11</v>
      </c>
      <c r="I55" s="37" t="s">
        <v>13</v>
      </c>
      <c r="J55" t="s">
        <v>16</v>
      </c>
      <c r="K55" t="s">
        <v>3066</v>
      </c>
      <c r="L55" t="s">
        <v>1696</v>
      </c>
      <c r="M55" t="s">
        <v>1893</v>
      </c>
      <c r="N55" s="10">
        <v>2.18E-2</v>
      </c>
      <c r="P55" t="s">
        <v>1892</v>
      </c>
    </row>
    <row r="56" spans="1:16" customFormat="1" hidden="1" x14ac:dyDescent="0.35">
      <c r="A56">
        <v>2023</v>
      </c>
      <c r="B56" t="s">
        <v>772</v>
      </c>
      <c r="C56" t="s">
        <v>30</v>
      </c>
      <c r="D56" t="s">
        <v>31</v>
      </c>
      <c r="E56" t="s">
        <v>1210</v>
      </c>
      <c r="H56" s="37" t="s">
        <v>11</v>
      </c>
      <c r="I56" s="37" t="s">
        <v>13</v>
      </c>
      <c r="J56" t="s">
        <v>16</v>
      </c>
      <c r="K56" t="s">
        <v>3066</v>
      </c>
      <c r="L56" t="s">
        <v>1696</v>
      </c>
      <c r="M56" t="s">
        <v>1894</v>
      </c>
      <c r="N56" s="10">
        <v>0.1</v>
      </c>
      <c r="P56" t="s">
        <v>1892</v>
      </c>
    </row>
    <row r="57" spans="1:16" customFormat="1" hidden="1" x14ac:dyDescent="0.35">
      <c r="A57">
        <v>2023</v>
      </c>
      <c r="B57" t="s">
        <v>772</v>
      </c>
      <c r="C57" t="s">
        <v>30</v>
      </c>
      <c r="D57" t="s">
        <v>31</v>
      </c>
      <c r="E57" t="s">
        <v>1210</v>
      </c>
      <c r="H57" s="37" t="s">
        <v>11</v>
      </c>
      <c r="I57" s="37" t="s">
        <v>13</v>
      </c>
      <c r="J57" t="s">
        <v>16</v>
      </c>
      <c r="K57" t="s">
        <v>3066</v>
      </c>
      <c r="L57" t="s">
        <v>1696</v>
      </c>
      <c r="M57" t="s">
        <v>1893</v>
      </c>
      <c r="N57" s="10">
        <v>2.18E-2</v>
      </c>
      <c r="P57" t="s">
        <v>1892</v>
      </c>
    </row>
    <row r="58" spans="1:16" customFormat="1" hidden="1" x14ac:dyDescent="0.35">
      <c r="A58">
        <v>2023</v>
      </c>
      <c r="B58" t="s">
        <v>772</v>
      </c>
      <c r="C58" t="s">
        <v>30</v>
      </c>
      <c r="D58" t="s">
        <v>31</v>
      </c>
      <c r="E58" t="s">
        <v>1210</v>
      </c>
      <c r="H58" s="37" t="s">
        <v>11</v>
      </c>
      <c r="I58" s="37" t="s">
        <v>13</v>
      </c>
      <c r="J58" t="s">
        <v>16</v>
      </c>
      <c r="K58" t="s">
        <v>3066</v>
      </c>
      <c r="L58" t="s">
        <v>1696</v>
      </c>
      <c r="M58" t="s">
        <v>1894</v>
      </c>
      <c r="N58" s="10">
        <v>0.1</v>
      </c>
      <c r="P58" t="s">
        <v>1892</v>
      </c>
    </row>
    <row r="59" spans="1:16" customFormat="1" hidden="1" x14ac:dyDescent="0.35">
      <c r="A59">
        <v>2023</v>
      </c>
      <c r="B59" t="s">
        <v>772</v>
      </c>
      <c r="C59" t="s">
        <v>14</v>
      </c>
      <c r="D59" t="s">
        <v>91</v>
      </c>
      <c r="E59" t="s">
        <v>1126</v>
      </c>
      <c r="H59" s="37" t="s">
        <v>11</v>
      </c>
      <c r="I59" s="37" t="s">
        <v>23</v>
      </c>
      <c r="J59" t="s">
        <v>92</v>
      </c>
      <c r="K59" t="s">
        <v>3006</v>
      </c>
      <c r="L59" t="s">
        <v>1677</v>
      </c>
      <c r="M59" t="s">
        <v>1678</v>
      </c>
      <c r="N59" s="10">
        <v>0.55934105456807981</v>
      </c>
      <c r="P59" t="s">
        <v>1867</v>
      </c>
    </row>
    <row r="60" spans="1:16" customFormat="1" hidden="1" x14ac:dyDescent="0.35">
      <c r="A60">
        <v>2023</v>
      </c>
      <c r="B60" t="s">
        <v>772</v>
      </c>
      <c r="C60" t="s">
        <v>14</v>
      </c>
      <c r="D60" t="s">
        <v>91</v>
      </c>
      <c r="E60" t="s">
        <v>1126</v>
      </c>
      <c r="H60" s="37" t="s">
        <v>11</v>
      </c>
      <c r="I60" s="37" t="s">
        <v>23</v>
      </c>
      <c r="J60" t="s">
        <v>92</v>
      </c>
      <c r="K60" t="s">
        <v>3006</v>
      </c>
      <c r="L60" t="s">
        <v>1677</v>
      </c>
      <c r="M60" t="s">
        <v>1679</v>
      </c>
      <c r="N60" s="10">
        <v>4.8490374668901532</v>
      </c>
      <c r="P60" t="s">
        <v>1868</v>
      </c>
    </row>
    <row r="61" spans="1:16" customFormat="1" x14ac:dyDescent="0.35">
      <c r="A61">
        <v>2023</v>
      </c>
      <c r="B61" t="s">
        <v>772</v>
      </c>
      <c r="C61" t="s">
        <v>14</v>
      </c>
      <c r="D61" t="s">
        <v>91</v>
      </c>
      <c r="E61" t="s">
        <v>1126</v>
      </c>
      <c r="G61" t="s">
        <v>2034</v>
      </c>
      <c r="H61" t="s">
        <v>11</v>
      </c>
      <c r="I61" t="s">
        <v>23</v>
      </c>
      <c r="J61" t="s">
        <v>92</v>
      </c>
      <c r="K61" t="s">
        <v>3109</v>
      </c>
      <c r="L61" t="s">
        <v>1578</v>
      </c>
      <c r="M61" t="s">
        <v>1579</v>
      </c>
      <c r="N61" s="10">
        <v>176.50503987130364</v>
      </c>
      <c r="O61" s="10"/>
      <c r="P61" t="s">
        <v>1547</v>
      </c>
    </row>
    <row r="62" spans="1:16" customFormat="1" x14ac:dyDescent="0.35">
      <c r="A62">
        <v>2023</v>
      </c>
      <c r="B62" t="s">
        <v>772</v>
      </c>
      <c r="C62" t="s">
        <v>14</v>
      </c>
      <c r="D62" t="s">
        <v>91</v>
      </c>
      <c r="E62" t="s">
        <v>1126</v>
      </c>
      <c r="G62" t="s">
        <v>2034</v>
      </c>
      <c r="H62" t="s">
        <v>11</v>
      </c>
      <c r="I62" t="s">
        <v>23</v>
      </c>
      <c r="J62" t="s">
        <v>92</v>
      </c>
      <c r="K62" t="s">
        <v>3109</v>
      </c>
      <c r="L62" t="s">
        <v>1580</v>
      </c>
      <c r="M62" t="s">
        <v>1581</v>
      </c>
      <c r="N62" s="10">
        <v>0.89993478607266297</v>
      </c>
      <c r="O62" s="10"/>
      <c r="P62" t="s">
        <v>1547</v>
      </c>
    </row>
    <row r="63" spans="1:16" customFormat="1" hidden="1" x14ac:dyDescent="0.35">
      <c r="A63">
        <v>2023</v>
      </c>
      <c r="B63" t="s">
        <v>772</v>
      </c>
      <c r="C63" t="s">
        <v>14</v>
      </c>
      <c r="D63" t="s">
        <v>67</v>
      </c>
      <c r="E63" t="s">
        <v>1128</v>
      </c>
      <c r="H63" s="37" t="s">
        <v>11</v>
      </c>
      <c r="I63" s="37" t="s">
        <v>21</v>
      </c>
      <c r="J63" t="s">
        <v>64</v>
      </c>
      <c r="K63" t="s">
        <v>3006</v>
      </c>
      <c r="L63" t="s">
        <v>1677</v>
      </c>
      <c r="M63" t="s">
        <v>1678</v>
      </c>
      <c r="N63" s="10">
        <v>0.43706803626910151</v>
      </c>
      <c r="O63" s="21"/>
      <c r="P63" t="s">
        <v>1865</v>
      </c>
    </row>
    <row r="64" spans="1:16" customFormat="1" hidden="1" x14ac:dyDescent="0.35">
      <c r="A64">
        <v>2023</v>
      </c>
      <c r="B64" t="s">
        <v>772</v>
      </c>
      <c r="C64" t="s">
        <v>14</v>
      </c>
      <c r="D64" t="s">
        <v>67</v>
      </c>
      <c r="E64" t="s">
        <v>1128</v>
      </c>
      <c r="H64" s="37" t="s">
        <v>11</v>
      </c>
      <c r="I64" s="37" t="s">
        <v>21</v>
      </c>
      <c r="J64" t="s">
        <v>64</v>
      </c>
      <c r="K64" t="s">
        <v>3006</v>
      </c>
      <c r="L64" t="s">
        <v>1677</v>
      </c>
      <c r="M64" t="s">
        <v>1679</v>
      </c>
      <c r="N64" s="10">
        <v>0.84452709650600566</v>
      </c>
      <c r="O64" s="21"/>
      <c r="P64" t="s">
        <v>1866</v>
      </c>
    </row>
    <row r="65" spans="1:16" customFormat="1" x14ac:dyDescent="0.35">
      <c r="A65">
        <v>2023</v>
      </c>
      <c r="B65" t="s">
        <v>772</v>
      </c>
      <c r="C65" t="s">
        <v>14</v>
      </c>
      <c r="D65" t="s">
        <v>67</v>
      </c>
      <c r="E65" t="s">
        <v>1128</v>
      </c>
      <c r="G65" t="s">
        <v>2034</v>
      </c>
      <c r="H65" t="s">
        <v>11</v>
      </c>
      <c r="I65" t="s">
        <v>21</v>
      </c>
      <c r="J65" t="s">
        <v>64</v>
      </c>
      <c r="K65" t="s">
        <v>3109</v>
      </c>
      <c r="L65" t="s">
        <v>1578</v>
      </c>
      <c r="M65" t="s">
        <v>1579</v>
      </c>
      <c r="N65" s="10">
        <v>413.40496118553943</v>
      </c>
      <c r="O65" s="10"/>
      <c r="P65" t="s">
        <v>1547</v>
      </c>
    </row>
    <row r="66" spans="1:16" customFormat="1" x14ac:dyDescent="0.35">
      <c r="A66">
        <v>2023</v>
      </c>
      <c r="B66" t="s">
        <v>772</v>
      </c>
      <c r="C66" t="s">
        <v>14</v>
      </c>
      <c r="D66" t="s">
        <v>67</v>
      </c>
      <c r="E66" t="s">
        <v>1128</v>
      </c>
      <c r="G66" t="s">
        <v>2034</v>
      </c>
      <c r="H66" t="s">
        <v>11</v>
      </c>
      <c r="I66" t="s">
        <v>21</v>
      </c>
      <c r="J66" t="s">
        <v>64</v>
      </c>
      <c r="K66" t="s">
        <v>3109</v>
      </c>
      <c r="L66" t="s">
        <v>1580</v>
      </c>
      <c r="M66" t="s">
        <v>1581</v>
      </c>
      <c r="N66" s="10">
        <v>2.6390753371921298</v>
      </c>
      <c r="O66" s="10"/>
      <c r="P66" t="s">
        <v>1547</v>
      </c>
    </row>
    <row r="67" spans="1:16" customFormat="1" hidden="1" x14ac:dyDescent="0.35">
      <c r="A67">
        <v>2023</v>
      </c>
      <c r="B67" t="s">
        <v>1537</v>
      </c>
      <c r="C67" t="s">
        <v>14</v>
      </c>
      <c r="D67" t="s">
        <v>20</v>
      </c>
      <c r="F67" t="s">
        <v>1753</v>
      </c>
      <c r="H67" s="37" t="s">
        <v>11</v>
      </c>
      <c r="I67" s="37" t="s">
        <v>23</v>
      </c>
      <c r="J67" t="s">
        <v>16</v>
      </c>
      <c r="K67" t="s">
        <v>3006</v>
      </c>
      <c r="L67" t="s">
        <v>1677</v>
      </c>
      <c r="M67" t="s">
        <v>1678</v>
      </c>
      <c r="N67" s="10">
        <v>0.25211488183174835</v>
      </c>
      <c r="O67" s="21"/>
      <c r="P67" t="s">
        <v>1857</v>
      </c>
    </row>
    <row r="68" spans="1:16" customFormat="1" hidden="1" x14ac:dyDescent="0.35">
      <c r="A68">
        <v>2023</v>
      </c>
      <c r="B68" t="s">
        <v>1537</v>
      </c>
      <c r="C68" t="s">
        <v>14</v>
      </c>
      <c r="D68" t="s">
        <v>20</v>
      </c>
      <c r="F68" t="s">
        <v>1753</v>
      </c>
      <c r="H68" s="37" t="s">
        <v>11</v>
      </c>
      <c r="I68" s="37" t="s">
        <v>23</v>
      </c>
      <c r="J68" t="s">
        <v>16</v>
      </c>
      <c r="K68" t="s">
        <v>3006</v>
      </c>
      <c r="L68" t="s">
        <v>1677</v>
      </c>
      <c r="M68" t="s">
        <v>1679</v>
      </c>
      <c r="N68" s="10">
        <v>2.24430424698344</v>
      </c>
      <c r="O68" s="21"/>
      <c r="P68" t="s">
        <v>1858</v>
      </c>
    </row>
    <row r="69" spans="1:16" customFormat="1" x14ac:dyDescent="0.35">
      <c r="A69">
        <v>2023</v>
      </c>
      <c r="B69" t="s">
        <v>1537</v>
      </c>
      <c r="C69" t="s">
        <v>14</v>
      </c>
      <c r="D69" t="s">
        <v>20</v>
      </c>
      <c r="F69" t="s">
        <v>1753</v>
      </c>
      <c r="G69" t="s">
        <v>2034</v>
      </c>
      <c r="H69" t="s">
        <v>11</v>
      </c>
      <c r="I69" t="s">
        <v>23</v>
      </c>
      <c r="J69" t="s">
        <v>16</v>
      </c>
      <c r="K69" t="s">
        <v>3109</v>
      </c>
      <c r="L69" t="s">
        <v>1578</v>
      </c>
      <c r="M69" t="s">
        <v>1579</v>
      </c>
      <c r="N69" s="10">
        <v>42.9</v>
      </c>
      <c r="O69" s="10"/>
      <c r="P69" t="s">
        <v>1547</v>
      </c>
    </row>
    <row r="70" spans="1:16" customFormat="1" x14ac:dyDescent="0.35">
      <c r="A70">
        <v>2023</v>
      </c>
      <c r="B70" t="s">
        <v>1537</v>
      </c>
      <c r="C70" t="s">
        <v>14</v>
      </c>
      <c r="D70" t="s">
        <v>20</v>
      </c>
      <c r="F70" t="s">
        <v>1753</v>
      </c>
      <c r="G70" t="s">
        <v>2034</v>
      </c>
      <c r="H70" t="s">
        <v>11</v>
      </c>
      <c r="I70" t="s">
        <v>23</v>
      </c>
      <c r="J70" t="s">
        <v>16</v>
      </c>
      <c r="K70" t="s">
        <v>3109</v>
      </c>
      <c r="L70" t="s">
        <v>1580</v>
      </c>
      <c r="M70" t="s">
        <v>1581</v>
      </c>
      <c r="N70" s="10">
        <v>0.96</v>
      </c>
      <c r="O70" s="10"/>
      <c r="P70" t="s">
        <v>1547</v>
      </c>
    </row>
    <row r="71" spans="1:16" customFormat="1" hidden="1" x14ac:dyDescent="0.35">
      <c r="A71">
        <v>2023</v>
      </c>
      <c r="B71" t="s">
        <v>772</v>
      </c>
      <c r="C71" t="s">
        <v>14</v>
      </c>
      <c r="D71" t="s">
        <v>22</v>
      </c>
      <c r="E71" t="s">
        <v>1129</v>
      </c>
      <c r="H71" s="37" t="s">
        <v>11</v>
      </c>
      <c r="I71" s="37" t="s">
        <v>13</v>
      </c>
      <c r="J71" t="s">
        <v>16</v>
      </c>
      <c r="K71" t="s">
        <v>3006</v>
      </c>
      <c r="L71" t="s">
        <v>1677</v>
      </c>
      <c r="M71" t="s">
        <v>1678</v>
      </c>
      <c r="N71" s="10">
        <v>0.27391082165120451</v>
      </c>
      <c r="O71" s="21"/>
      <c r="P71" t="s">
        <v>1859</v>
      </c>
    </row>
    <row r="72" spans="1:16" customFormat="1" hidden="1" x14ac:dyDescent="0.35">
      <c r="A72">
        <v>2023</v>
      </c>
      <c r="B72" t="s">
        <v>772</v>
      </c>
      <c r="C72" t="s">
        <v>14</v>
      </c>
      <c r="D72" t="s">
        <v>22</v>
      </c>
      <c r="E72" t="s">
        <v>1129</v>
      </c>
      <c r="H72" s="37" t="s">
        <v>11</v>
      </c>
      <c r="I72" s="37" t="s">
        <v>13</v>
      </c>
      <c r="J72" t="s">
        <v>16</v>
      </c>
      <c r="K72" t="s">
        <v>3006</v>
      </c>
      <c r="L72" t="s">
        <v>1677</v>
      </c>
      <c r="M72" t="s">
        <v>1679</v>
      </c>
      <c r="N72" s="10">
        <v>1.442848265995526</v>
      </c>
      <c r="O72" s="21"/>
      <c r="P72" t="s">
        <v>1860</v>
      </c>
    </row>
    <row r="73" spans="1:16" customFormat="1" x14ac:dyDescent="0.35">
      <c r="A73">
        <v>2023</v>
      </c>
      <c r="B73" t="s">
        <v>772</v>
      </c>
      <c r="C73" t="s">
        <v>14</v>
      </c>
      <c r="D73" t="s">
        <v>22</v>
      </c>
      <c r="E73" t="s">
        <v>1129</v>
      </c>
      <c r="G73" t="s">
        <v>2034</v>
      </c>
      <c r="H73" t="s">
        <v>11</v>
      </c>
      <c r="I73" t="s">
        <v>13</v>
      </c>
      <c r="J73" t="s">
        <v>16</v>
      </c>
      <c r="K73" t="s">
        <v>3109</v>
      </c>
      <c r="L73" t="s">
        <v>1578</v>
      </c>
      <c r="M73" t="s">
        <v>1579</v>
      </c>
      <c r="N73" s="10">
        <v>69.186686090465457</v>
      </c>
      <c r="O73" s="10"/>
      <c r="P73" t="s">
        <v>1547</v>
      </c>
    </row>
    <row r="74" spans="1:16" customFormat="1" x14ac:dyDescent="0.35">
      <c r="A74">
        <v>2023</v>
      </c>
      <c r="B74" t="s">
        <v>772</v>
      </c>
      <c r="C74" t="s">
        <v>14</v>
      </c>
      <c r="D74" t="s">
        <v>22</v>
      </c>
      <c r="E74" t="s">
        <v>1129</v>
      </c>
      <c r="G74" t="s">
        <v>2034</v>
      </c>
      <c r="H74" t="s">
        <v>11</v>
      </c>
      <c r="I74" t="s">
        <v>13</v>
      </c>
      <c r="J74" t="s">
        <v>16</v>
      </c>
      <c r="K74" t="s">
        <v>3109</v>
      </c>
      <c r="L74" t="s">
        <v>1580</v>
      </c>
      <c r="M74" t="s">
        <v>1581</v>
      </c>
      <c r="N74" s="10">
        <v>1.0258080178505999</v>
      </c>
      <c r="O74" s="10"/>
      <c r="P74" t="s">
        <v>1547</v>
      </c>
    </row>
    <row r="75" spans="1:16" customFormat="1" hidden="1" x14ac:dyDescent="0.35">
      <c r="A75">
        <v>2023</v>
      </c>
      <c r="B75" t="s">
        <v>772</v>
      </c>
      <c r="C75" t="s">
        <v>39</v>
      </c>
      <c r="D75" t="s">
        <v>78</v>
      </c>
      <c r="E75" t="s">
        <v>1321</v>
      </c>
      <c r="H75" s="37" t="s">
        <v>11</v>
      </c>
      <c r="I75" s="37" t="s">
        <v>21</v>
      </c>
      <c r="J75" t="s">
        <v>64</v>
      </c>
      <c r="K75" t="s">
        <v>3006</v>
      </c>
      <c r="L75" s="27" t="s">
        <v>1726</v>
      </c>
      <c r="M75" t="s">
        <v>1751</v>
      </c>
      <c r="N75" s="10">
        <v>3.12310656111111</v>
      </c>
      <c r="P75" t="s">
        <v>1870</v>
      </c>
    </row>
    <row r="76" spans="1:16" customFormat="1" hidden="1" x14ac:dyDescent="0.35">
      <c r="A76">
        <v>2023</v>
      </c>
      <c r="B76" t="s">
        <v>772</v>
      </c>
      <c r="C76" t="s">
        <v>39</v>
      </c>
      <c r="D76" t="s">
        <v>78</v>
      </c>
      <c r="E76" t="s">
        <v>1321</v>
      </c>
      <c r="H76" s="37" t="s">
        <v>11</v>
      </c>
      <c r="I76" s="37" t="s">
        <v>21</v>
      </c>
      <c r="J76" t="s">
        <v>64</v>
      </c>
      <c r="K76" t="s">
        <v>3006</v>
      </c>
      <c r="L76" s="27" t="s">
        <v>1726</v>
      </c>
      <c r="M76" t="s">
        <v>1752</v>
      </c>
      <c r="N76" s="10">
        <v>0.54684745233462995</v>
      </c>
      <c r="P76" t="s">
        <v>1870</v>
      </c>
    </row>
    <row r="77" spans="1:16" customFormat="1" hidden="1" x14ac:dyDescent="0.35">
      <c r="A77">
        <v>2023</v>
      </c>
      <c r="B77" t="s">
        <v>772</v>
      </c>
      <c r="C77" t="s">
        <v>197</v>
      </c>
      <c r="D77" t="s">
        <v>198</v>
      </c>
      <c r="E77" t="s">
        <v>1188</v>
      </c>
      <c r="H77" s="37" t="s">
        <v>11</v>
      </c>
      <c r="I77" s="37" t="s">
        <v>23</v>
      </c>
      <c r="J77" t="s">
        <v>199</v>
      </c>
      <c r="K77" t="s">
        <v>3066</v>
      </c>
      <c r="L77" t="s">
        <v>2004</v>
      </c>
      <c r="M77" t="s">
        <v>1893</v>
      </c>
      <c r="N77" s="10">
        <v>7.9399999999999998E-2</v>
      </c>
      <c r="P77" t="s">
        <v>2006</v>
      </c>
    </row>
    <row r="78" spans="1:16" customFormat="1" hidden="1" x14ac:dyDescent="0.35">
      <c r="A78">
        <v>2023</v>
      </c>
      <c r="B78" t="s">
        <v>772</v>
      </c>
      <c r="C78" t="s">
        <v>197</v>
      </c>
      <c r="D78" t="s">
        <v>198</v>
      </c>
      <c r="E78" t="s">
        <v>1188</v>
      </c>
      <c r="H78" s="37" t="s">
        <v>11</v>
      </c>
      <c r="I78" s="37" t="s">
        <v>23</v>
      </c>
      <c r="J78" t="s">
        <v>199</v>
      </c>
      <c r="K78" t="s">
        <v>3006</v>
      </c>
      <c r="L78" t="s">
        <v>1726</v>
      </c>
      <c r="M78" t="s">
        <v>2007</v>
      </c>
      <c r="N78" s="10">
        <f>(0.63+0.55+0.58+0.53+0.53+0.38+0.32+0.47+0.4+0.35+0.33+0.41)/12</f>
        <v>0.45666666666666672</v>
      </c>
      <c r="P78" t="s">
        <v>2006</v>
      </c>
    </row>
    <row r="79" spans="1:16" customFormat="1" x14ac:dyDescent="0.35">
      <c r="A79" s="45">
        <v>2023</v>
      </c>
      <c r="B79" s="45" t="s">
        <v>772</v>
      </c>
      <c r="C79" s="45" t="s">
        <v>197</v>
      </c>
      <c r="D79" s="45" t="s">
        <v>198</v>
      </c>
      <c r="E79" s="45" t="s">
        <v>1188</v>
      </c>
      <c r="F79" s="45"/>
      <c r="G79" s="45" t="s">
        <v>2062</v>
      </c>
      <c r="H79" s="45" t="s">
        <v>11</v>
      </c>
      <c r="I79" s="45" t="s">
        <v>23</v>
      </c>
      <c r="J79" s="45" t="s">
        <v>199</v>
      </c>
      <c r="K79" s="45" t="s">
        <v>3109</v>
      </c>
      <c r="L79" s="45" t="s">
        <v>1580</v>
      </c>
      <c r="M79" s="45" t="s">
        <v>2005</v>
      </c>
      <c r="N79" s="46">
        <v>22.5</v>
      </c>
      <c r="O79" s="46"/>
      <c r="P79" s="45" t="s">
        <v>2006</v>
      </c>
    </row>
    <row r="80" spans="1:16" customFormat="1" hidden="1" x14ac:dyDescent="0.35">
      <c r="A80">
        <v>2023</v>
      </c>
      <c r="B80" t="s">
        <v>1537</v>
      </c>
      <c r="C80" t="s">
        <v>39</v>
      </c>
      <c r="D80" t="s">
        <v>45</v>
      </c>
      <c r="F80" t="s">
        <v>1754</v>
      </c>
      <c r="H80" s="37" t="s">
        <v>11</v>
      </c>
      <c r="I80" s="37" t="s">
        <v>17</v>
      </c>
      <c r="J80" t="s">
        <v>16</v>
      </c>
      <c r="K80" t="s">
        <v>3006</v>
      </c>
      <c r="L80" s="27" t="s">
        <v>1726</v>
      </c>
      <c r="M80" t="s">
        <v>1751</v>
      </c>
      <c r="N80" s="10">
        <v>18.876225665384599</v>
      </c>
      <c r="P80" t="s">
        <v>1870</v>
      </c>
    </row>
    <row r="81" spans="1:16" customFormat="1" hidden="1" x14ac:dyDescent="0.35">
      <c r="A81">
        <v>2023</v>
      </c>
      <c r="B81" t="s">
        <v>1537</v>
      </c>
      <c r="C81" t="s">
        <v>39</v>
      </c>
      <c r="D81" t="s">
        <v>45</v>
      </c>
      <c r="F81" t="s">
        <v>1754</v>
      </c>
      <c r="H81" s="37" t="s">
        <v>11</v>
      </c>
      <c r="I81" s="37" t="s">
        <v>17</v>
      </c>
      <c r="J81" t="s">
        <v>16</v>
      </c>
      <c r="K81" t="s">
        <v>3006</v>
      </c>
      <c r="L81" s="27" t="s">
        <v>1726</v>
      </c>
      <c r="M81" t="s">
        <v>1752</v>
      </c>
      <c r="N81" s="10">
        <v>1.68595626004809</v>
      </c>
      <c r="P81" t="s">
        <v>1870</v>
      </c>
    </row>
    <row r="82" spans="1:16" customFormat="1" x14ac:dyDescent="0.35">
      <c r="A82">
        <v>2024</v>
      </c>
      <c r="B82" t="s">
        <v>772</v>
      </c>
      <c r="C82" t="s">
        <v>798</v>
      </c>
      <c r="D82" t="s">
        <v>71</v>
      </c>
      <c r="E82" t="s">
        <v>1215</v>
      </c>
      <c r="G82" t="s">
        <v>2085</v>
      </c>
      <c r="H82" t="s">
        <v>11</v>
      </c>
      <c r="I82" t="s">
        <v>13</v>
      </c>
      <c r="J82" t="s">
        <v>64</v>
      </c>
      <c r="K82" t="s">
        <v>3109</v>
      </c>
      <c r="L82" t="s">
        <v>1578</v>
      </c>
      <c r="M82" t="s">
        <v>1817</v>
      </c>
      <c r="N82" s="10">
        <v>0.29524214549167654</v>
      </c>
      <c r="O82" s="10"/>
      <c r="P82" t="s">
        <v>1829</v>
      </c>
    </row>
    <row r="83" spans="1:16" customFormat="1" x14ac:dyDescent="0.35">
      <c r="A83">
        <v>2024</v>
      </c>
      <c r="B83" t="s">
        <v>772</v>
      </c>
      <c r="C83" t="s">
        <v>798</v>
      </c>
      <c r="D83" t="s">
        <v>71</v>
      </c>
      <c r="E83" t="s">
        <v>1215</v>
      </c>
      <c r="G83" t="s">
        <v>2085</v>
      </c>
      <c r="H83" t="s">
        <v>11</v>
      </c>
      <c r="I83" t="s">
        <v>13</v>
      </c>
      <c r="J83" t="s">
        <v>64</v>
      </c>
      <c r="K83" t="s">
        <v>3109</v>
      </c>
      <c r="L83" t="s">
        <v>1580</v>
      </c>
      <c r="M83" t="s">
        <v>1818</v>
      </c>
      <c r="N83" s="10">
        <v>1.6131000989286199</v>
      </c>
      <c r="O83" s="10"/>
      <c r="P83" t="s">
        <v>1829</v>
      </c>
    </row>
    <row r="84" spans="1:16" customFormat="1" x14ac:dyDescent="0.35">
      <c r="A84">
        <v>2024</v>
      </c>
      <c r="B84" t="s">
        <v>772</v>
      </c>
      <c r="C84" t="s">
        <v>798</v>
      </c>
      <c r="D84" t="s">
        <v>71</v>
      </c>
      <c r="E84" t="s">
        <v>1215</v>
      </c>
      <c r="G84" t="s">
        <v>2085</v>
      </c>
      <c r="H84" t="s">
        <v>11</v>
      </c>
      <c r="I84" t="s">
        <v>13</v>
      </c>
      <c r="J84" t="s">
        <v>64</v>
      </c>
      <c r="K84" t="s">
        <v>3109</v>
      </c>
      <c r="L84" t="s">
        <v>1580</v>
      </c>
      <c r="M84" t="s">
        <v>1819</v>
      </c>
      <c r="N84" s="10">
        <v>12.037419549236647</v>
      </c>
      <c r="O84" s="10"/>
      <c r="P84" t="s">
        <v>1829</v>
      </c>
    </row>
    <row r="85" spans="1:16" customFormat="1" hidden="1" x14ac:dyDescent="0.35">
      <c r="A85">
        <v>2023</v>
      </c>
      <c r="B85" t="s">
        <v>772</v>
      </c>
      <c r="C85" t="s">
        <v>736</v>
      </c>
      <c r="D85" t="s">
        <v>26</v>
      </c>
      <c r="E85" t="s">
        <v>1135</v>
      </c>
      <c r="H85" s="37" t="s">
        <v>11</v>
      </c>
      <c r="I85" s="37" t="s">
        <v>13</v>
      </c>
      <c r="J85" t="s">
        <v>16</v>
      </c>
      <c r="K85" t="s">
        <v>3066</v>
      </c>
      <c r="L85" t="s">
        <v>1839</v>
      </c>
      <c r="M85" t="s">
        <v>1608</v>
      </c>
      <c r="N85" s="10">
        <v>1.0298263992036601E-2</v>
      </c>
      <c r="P85" t="s">
        <v>1601</v>
      </c>
    </row>
    <row r="86" spans="1:16" customFormat="1" hidden="1" x14ac:dyDescent="0.35">
      <c r="A86">
        <v>2023</v>
      </c>
      <c r="B86" t="s">
        <v>772</v>
      </c>
      <c r="C86" t="s">
        <v>736</v>
      </c>
      <c r="D86" t="s">
        <v>26</v>
      </c>
      <c r="E86" t="s">
        <v>1135</v>
      </c>
      <c r="H86" s="37" t="s">
        <v>11</v>
      </c>
      <c r="I86" s="37" t="s">
        <v>13</v>
      </c>
      <c r="J86" t="s">
        <v>16</v>
      </c>
      <c r="K86" t="s">
        <v>3066</v>
      </c>
      <c r="L86" t="s">
        <v>1839</v>
      </c>
      <c r="M86" t="s">
        <v>1609</v>
      </c>
      <c r="N86" s="10">
        <v>1.02986510421976E-2</v>
      </c>
      <c r="P86" t="s">
        <v>1601</v>
      </c>
    </row>
    <row r="87" spans="1:16" customFormat="1" hidden="1" x14ac:dyDescent="0.35">
      <c r="A87">
        <v>2023</v>
      </c>
      <c r="B87" t="s">
        <v>772</v>
      </c>
      <c r="C87" t="s">
        <v>736</v>
      </c>
      <c r="D87" t="s">
        <v>26</v>
      </c>
      <c r="E87" t="s">
        <v>1135</v>
      </c>
      <c r="H87" s="37" t="s">
        <v>11</v>
      </c>
      <c r="I87" s="37" t="s">
        <v>13</v>
      </c>
      <c r="J87" t="s">
        <v>16</v>
      </c>
      <c r="K87" t="s">
        <v>3066</v>
      </c>
      <c r="L87" t="s">
        <v>1839</v>
      </c>
      <c r="M87" t="s">
        <v>1610</v>
      </c>
      <c r="N87" s="10">
        <v>0.16012965964343601</v>
      </c>
      <c r="P87" t="s">
        <v>1601</v>
      </c>
    </row>
    <row r="88" spans="1:16" customFormat="1" hidden="1" x14ac:dyDescent="0.35">
      <c r="A88">
        <v>2023</v>
      </c>
      <c r="B88" t="s">
        <v>772</v>
      </c>
      <c r="C88" t="s">
        <v>736</v>
      </c>
      <c r="D88" t="s">
        <v>26</v>
      </c>
      <c r="E88" t="s">
        <v>1135</v>
      </c>
      <c r="H88" s="37" t="s">
        <v>11</v>
      </c>
      <c r="I88" s="37" t="s">
        <v>13</v>
      </c>
      <c r="J88" t="s">
        <v>16</v>
      </c>
      <c r="K88" t="s">
        <v>3066</v>
      </c>
      <c r="L88" t="s">
        <v>1839</v>
      </c>
      <c r="M88" t="s">
        <v>1608</v>
      </c>
      <c r="N88" s="10">
        <v>1.0298263992036601E-2</v>
      </c>
      <c r="P88" t="s">
        <v>1601</v>
      </c>
    </row>
    <row r="89" spans="1:16" customFormat="1" hidden="1" x14ac:dyDescent="0.35">
      <c r="A89">
        <v>2023</v>
      </c>
      <c r="B89" t="s">
        <v>772</v>
      </c>
      <c r="C89" t="s">
        <v>736</v>
      </c>
      <c r="D89" t="s">
        <v>26</v>
      </c>
      <c r="E89" t="s">
        <v>1135</v>
      </c>
      <c r="H89" s="37" t="s">
        <v>11</v>
      </c>
      <c r="I89" s="37" t="s">
        <v>13</v>
      </c>
      <c r="J89" t="s">
        <v>16</v>
      </c>
      <c r="K89" t="s">
        <v>3066</v>
      </c>
      <c r="L89" t="s">
        <v>1839</v>
      </c>
      <c r="M89" t="s">
        <v>1609</v>
      </c>
      <c r="N89" s="10">
        <v>1.02986510421976E-2</v>
      </c>
      <c r="P89" t="s">
        <v>1601</v>
      </c>
    </row>
    <row r="90" spans="1:16" customFormat="1" hidden="1" x14ac:dyDescent="0.35">
      <c r="A90">
        <v>2023</v>
      </c>
      <c r="B90" t="s">
        <v>772</v>
      </c>
      <c r="C90" t="s">
        <v>736</v>
      </c>
      <c r="D90" t="s">
        <v>26</v>
      </c>
      <c r="E90" t="s">
        <v>1135</v>
      </c>
      <c r="H90" s="37" t="s">
        <v>11</v>
      </c>
      <c r="I90" s="37" t="s">
        <v>13</v>
      </c>
      <c r="J90" t="s">
        <v>16</v>
      </c>
      <c r="K90" t="s">
        <v>3066</v>
      </c>
      <c r="L90" t="s">
        <v>1839</v>
      </c>
      <c r="M90" t="s">
        <v>1610</v>
      </c>
      <c r="N90" s="10">
        <v>0.16012965964343601</v>
      </c>
      <c r="P90" t="s">
        <v>1601</v>
      </c>
    </row>
    <row r="91" spans="1:16" customFormat="1" x14ac:dyDescent="0.35">
      <c r="A91">
        <v>2023</v>
      </c>
      <c r="B91" t="s">
        <v>772</v>
      </c>
      <c r="C91" t="s">
        <v>736</v>
      </c>
      <c r="D91" t="s">
        <v>26</v>
      </c>
      <c r="E91" t="s">
        <v>1135</v>
      </c>
      <c r="G91" t="s">
        <v>2037</v>
      </c>
      <c r="H91" t="s">
        <v>11</v>
      </c>
      <c r="I91" t="s">
        <v>13</v>
      </c>
      <c r="J91" t="s">
        <v>16</v>
      </c>
      <c r="K91" t="s">
        <v>3109</v>
      </c>
      <c r="L91" t="s">
        <v>1580</v>
      </c>
      <c r="M91" t="s">
        <v>1603</v>
      </c>
      <c r="N91" s="10">
        <v>0.47</v>
      </c>
      <c r="O91" s="10"/>
      <c r="P91" t="s">
        <v>1601</v>
      </c>
    </row>
    <row r="92" spans="1:16" customFormat="1" x14ac:dyDescent="0.35">
      <c r="A92">
        <v>2023</v>
      </c>
      <c r="B92" t="s">
        <v>772</v>
      </c>
      <c r="C92" t="s">
        <v>736</v>
      </c>
      <c r="D92" t="s">
        <v>26</v>
      </c>
      <c r="E92" t="s">
        <v>1135</v>
      </c>
      <c r="G92" t="s">
        <v>2037</v>
      </c>
      <c r="H92" t="s">
        <v>11</v>
      </c>
      <c r="I92" t="s">
        <v>13</v>
      </c>
      <c r="J92" t="s">
        <v>16</v>
      </c>
      <c r="K92" t="s">
        <v>3109</v>
      </c>
      <c r="L92" t="s">
        <v>1580</v>
      </c>
      <c r="M92" t="s">
        <v>1604</v>
      </c>
      <c r="N92" s="10">
        <v>7.24</v>
      </c>
      <c r="O92" s="10"/>
      <c r="P92" t="s">
        <v>1601</v>
      </c>
    </row>
    <row r="93" spans="1:16" customFormat="1" hidden="1" x14ac:dyDescent="0.35">
      <c r="A93">
        <v>2023</v>
      </c>
      <c r="B93" t="s">
        <v>807</v>
      </c>
      <c r="C93" t="s">
        <v>261</v>
      </c>
      <c r="G93" t="s">
        <v>1956</v>
      </c>
      <c r="H93" s="37" t="s">
        <v>233</v>
      </c>
      <c r="I93" s="37" t="s">
        <v>249</v>
      </c>
      <c r="J93" t="s">
        <v>376</v>
      </c>
      <c r="K93" t="s">
        <v>3066</v>
      </c>
      <c r="L93" t="s">
        <v>1959</v>
      </c>
      <c r="M93" t="s">
        <v>1958</v>
      </c>
      <c r="N93" s="10">
        <v>0.54</v>
      </c>
      <c r="P93" t="s">
        <v>1957</v>
      </c>
    </row>
    <row r="94" spans="1:16" customFormat="1" hidden="1" x14ac:dyDescent="0.35">
      <c r="A94">
        <v>2023</v>
      </c>
      <c r="B94" t="s">
        <v>807</v>
      </c>
      <c r="C94" t="s">
        <v>261</v>
      </c>
      <c r="G94" t="s">
        <v>1956</v>
      </c>
      <c r="H94" s="37" t="s">
        <v>233</v>
      </c>
      <c r="I94" s="37" t="s">
        <v>249</v>
      </c>
      <c r="J94" t="s">
        <v>376</v>
      </c>
      <c r="K94" t="s">
        <v>3066</v>
      </c>
      <c r="L94" t="s">
        <v>1960</v>
      </c>
      <c r="M94" t="s">
        <v>1958</v>
      </c>
      <c r="N94" s="10">
        <v>4.1500000000000004</v>
      </c>
      <c r="O94" t="s">
        <v>1961</v>
      </c>
      <c r="P94" t="s">
        <v>1957</v>
      </c>
    </row>
    <row r="95" spans="1:16" customFormat="1" hidden="1" x14ac:dyDescent="0.35">
      <c r="A95">
        <v>2023</v>
      </c>
      <c r="B95" t="s">
        <v>807</v>
      </c>
      <c r="C95" t="s">
        <v>261</v>
      </c>
      <c r="G95" t="s">
        <v>1956</v>
      </c>
      <c r="H95" s="37" t="s">
        <v>233</v>
      </c>
      <c r="I95" s="37" t="s">
        <v>249</v>
      </c>
      <c r="J95" t="s">
        <v>376</v>
      </c>
      <c r="K95" t="s">
        <v>3005</v>
      </c>
      <c r="L95" t="s">
        <v>1969</v>
      </c>
      <c r="M95" t="s">
        <v>1976</v>
      </c>
      <c r="N95" s="10">
        <v>44.97</v>
      </c>
      <c r="P95" t="s">
        <v>1957</v>
      </c>
    </row>
    <row r="96" spans="1:16" customFormat="1" hidden="1" x14ac:dyDescent="0.35">
      <c r="A96">
        <v>2023</v>
      </c>
      <c r="B96" t="s">
        <v>807</v>
      </c>
      <c r="C96" t="s">
        <v>261</v>
      </c>
      <c r="G96" t="s">
        <v>1956</v>
      </c>
      <c r="H96" s="37" t="s">
        <v>233</v>
      </c>
      <c r="I96" s="37" t="s">
        <v>249</v>
      </c>
      <c r="J96" t="s">
        <v>376</v>
      </c>
      <c r="K96" t="s">
        <v>3005</v>
      </c>
      <c r="L96" t="s">
        <v>1985</v>
      </c>
      <c r="M96" t="s">
        <v>1986</v>
      </c>
      <c r="N96">
        <v>1.79</v>
      </c>
      <c r="P96" t="s">
        <v>1957</v>
      </c>
    </row>
    <row r="97" spans="1:16" customFormat="1" hidden="1" x14ac:dyDescent="0.35">
      <c r="A97">
        <v>2023</v>
      </c>
      <c r="B97" t="s">
        <v>807</v>
      </c>
      <c r="C97" t="s">
        <v>261</v>
      </c>
      <c r="G97" t="s">
        <v>1956</v>
      </c>
      <c r="H97" s="37" t="s">
        <v>233</v>
      </c>
      <c r="I97" s="37" t="s">
        <v>249</v>
      </c>
      <c r="J97" t="s">
        <v>376</v>
      </c>
      <c r="K97" t="s">
        <v>3006</v>
      </c>
      <c r="L97" t="s">
        <v>1980</v>
      </c>
      <c r="M97" t="s">
        <v>1981</v>
      </c>
      <c r="N97" s="10">
        <v>3.87</v>
      </c>
      <c r="P97" t="s">
        <v>1957</v>
      </c>
    </row>
    <row r="98" spans="1:16" customFormat="1" hidden="1" x14ac:dyDescent="0.35">
      <c r="A98">
        <v>2023</v>
      </c>
      <c r="B98" t="s">
        <v>807</v>
      </c>
      <c r="C98" t="s">
        <v>261</v>
      </c>
      <c r="G98" t="s">
        <v>1956</v>
      </c>
      <c r="H98" s="37" t="s">
        <v>233</v>
      </c>
      <c r="I98" s="37" t="s">
        <v>249</v>
      </c>
      <c r="J98" t="s">
        <v>376</v>
      </c>
      <c r="K98" t="s">
        <v>3006</v>
      </c>
      <c r="L98" t="s">
        <v>1982</v>
      </c>
      <c r="M98" t="s">
        <v>1983</v>
      </c>
      <c r="N98" s="10">
        <v>11.5</v>
      </c>
      <c r="P98" t="s">
        <v>1957</v>
      </c>
    </row>
    <row r="99" spans="1:16" customFormat="1" hidden="1" x14ac:dyDescent="0.35">
      <c r="A99">
        <v>2023</v>
      </c>
      <c r="B99" t="s">
        <v>807</v>
      </c>
      <c r="C99" t="s">
        <v>261</v>
      </c>
      <c r="G99" t="s">
        <v>1956</v>
      </c>
      <c r="H99" s="37" t="s">
        <v>233</v>
      </c>
      <c r="I99" s="37" t="s">
        <v>249</v>
      </c>
      <c r="J99" t="s">
        <v>376</v>
      </c>
      <c r="K99" t="s">
        <v>3007</v>
      </c>
      <c r="L99" t="s">
        <v>1614</v>
      </c>
      <c r="M99" t="s">
        <v>1975</v>
      </c>
      <c r="N99" s="10">
        <v>0.18</v>
      </c>
      <c r="P99" t="s">
        <v>1957</v>
      </c>
    </row>
    <row r="100" spans="1:16" customFormat="1" hidden="1" x14ac:dyDescent="0.35">
      <c r="A100">
        <v>2023</v>
      </c>
      <c r="B100" t="s">
        <v>807</v>
      </c>
      <c r="C100" t="s">
        <v>261</v>
      </c>
      <c r="G100" t="s">
        <v>1956</v>
      </c>
      <c r="H100" s="37" t="s">
        <v>233</v>
      </c>
      <c r="I100" s="37" t="s">
        <v>249</v>
      </c>
      <c r="J100" t="s">
        <v>376</v>
      </c>
      <c r="K100" t="s">
        <v>3007</v>
      </c>
      <c r="L100" t="s">
        <v>2484</v>
      </c>
      <c r="M100" t="s">
        <v>1974</v>
      </c>
      <c r="N100" s="10">
        <v>0.54</v>
      </c>
      <c r="P100" t="s">
        <v>1957</v>
      </c>
    </row>
    <row r="101" spans="1:16" customFormat="1" hidden="1" x14ac:dyDescent="0.35">
      <c r="A101">
        <v>2023</v>
      </c>
      <c r="B101" t="s">
        <v>807</v>
      </c>
      <c r="C101" t="s">
        <v>261</v>
      </c>
      <c r="G101" t="s">
        <v>1956</v>
      </c>
      <c r="H101" s="37" t="s">
        <v>233</v>
      </c>
      <c r="I101" s="37" t="s">
        <v>249</v>
      </c>
      <c r="J101" t="s">
        <v>376</v>
      </c>
      <c r="K101" t="s">
        <v>3066</v>
      </c>
      <c r="L101" t="s">
        <v>1959</v>
      </c>
      <c r="M101" t="s">
        <v>1958</v>
      </c>
      <c r="N101" s="10">
        <v>0.54</v>
      </c>
      <c r="P101" t="s">
        <v>1957</v>
      </c>
    </row>
    <row r="102" spans="1:16" customFormat="1" hidden="1" x14ac:dyDescent="0.35">
      <c r="A102">
        <v>2023</v>
      </c>
      <c r="B102" t="s">
        <v>807</v>
      </c>
      <c r="C102" t="s">
        <v>261</v>
      </c>
      <c r="G102" t="s">
        <v>1956</v>
      </c>
      <c r="H102" s="37" t="s">
        <v>233</v>
      </c>
      <c r="I102" s="37" t="s">
        <v>249</v>
      </c>
      <c r="J102" t="s">
        <v>376</v>
      </c>
      <c r="K102" t="s">
        <v>3066</v>
      </c>
      <c r="L102" t="s">
        <v>1960</v>
      </c>
      <c r="M102" t="s">
        <v>1958</v>
      </c>
      <c r="N102" s="10">
        <v>4.1500000000000004</v>
      </c>
      <c r="O102" t="s">
        <v>1961</v>
      </c>
      <c r="P102" t="s">
        <v>1957</v>
      </c>
    </row>
    <row r="103" spans="1:16" customFormat="1" hidden="1" x14ac:dyDescent="0.35">
      <c r="A103">
        <v>2023</v>
      </c>
      <c r="B103" t="s">
        <v>807</v>
      </c>
      <c r="C103" t="s">
        <v>261</v>
      </c>
      <c r="G103" t="s">
        <v>1956</v>
      </c>
      <c r="H103" s="37" t="s">
        <v>233</v>
      </c>
      <c r="I103" s="37" t="s">
        <v>249</v>
      </c>
      <c r="J103" t="s">
        <v>376</v>
      </c>
      <c r="K103" t="s">
        <v>3005</v>
      </c>
      <c r="L103" t="s">
        <v>1969</v>
      </c>
      <c r="M103" t="s">
        <v>1976</v>
      </c>
      <c r="N103" s="10">
        <v>44.97</v>
      </c>
      <c r="P103" t="s">
        <v>1957</v>
      </c>
    </row>
    <row r="104" spans="1:16" customFormat="1" hidden="1" x14ac:dyDescent="0.35">
      <c r="A104">
        <v>2023</v>
      </c>
      <c r="B104" t="s">
        <v>807</v>
      </c>
      <c r="C104" t="s">
        <v>242</v>
      </c>
      <c r="G104" t="s">
        <v>1989</v>
      </c>
      <c r="H104" s="37" t="s">
        <v>233</v>
      </c>
      <c r="I104" s="37" t="s">
        <v>245</v>
      </c>
      <c r="J104" t="s">
        <v>244</v>
      </c>
      <c r="K104" t="s">
        <v>3066</v>
      </c>
      <c r="L104" t="s">
        <v>1991</v>
      </c>
      <c r="M104" t="s">
        <v>1993</v>
      </c>
      <c r="N104" s="10">
        <v>1.83</v>
      </c>
    </row>
    <row r="105" spans="1:16" customFormat="1" hidden="1" x14ac:dyDescent="0.35">
      <c r="A105">
        <v>2023</v>
      </c>
      <c r="B105" t="s">
        <v>807</v>
      </c>
      <c r="C105" t="s">
        <v>242</v>
      </c>
      <c r="G105" t="s">
        <v>1989</v>
      </c>
      <c r="H105" s="37" t="s">
        <v>233</v>
      </c>
      <c r="I105" s="37" t="s">
        <v>245</v>
      </c>
      <c r="J105" t="s">
        <v>244</v>
      </c>
      <c r="K105" t="s">
        <v>3066</v>
      </c>
      <c r="L105" t="s">
        <v>1992</v>
      </c>
      <c r="M105" t="s">
        <v>1993</v>
      </c>
      <c r="N105" s="10">
        <v>1.84</v>
      </c>
    </row>
    <row r="106" spans="1:16" customFormat="1" hidden="1" x14ac:dyDescent="0.35">
      <c r="A106">
        <v>2023</v>
      </c>
      <c r="B106" t="s">
        <v>807</v>
      </c>
      <c r="C106" t="s">
        <v>2399</v>
      </c>
      <c r="G106" t="s">
        <v>2048</v>
      </c>
      <c r="H106" s="37" t="s">
        <v>1851</v>
      </c>
      <c r="I106" s="37"/>
      <c r="K106" t="s">
        <v>3007</v>
      </c>
      <c r="L106" t="s">
        <v>2430</v>
      </c>
      <c r="M106" t="s">
        <v>2433</v>
      </c>
      <c r="N106" s="10">
        <v>0.48</v>
      </c>
      <c r="P106" t="s">
        <v>2428</v>
      </c>
    </row>
    <row r="107" spans="1:16" customFormat="1" hidden="1" x14ac:dyDescent="0.35">
      <c r="A107">
        <v>2023</v>
      </c>
      <c r="B107" t="s">
        <v>807</v>
      </c>
      <c r="C107" t="s">
        <v>2399</v>
      </c>
      <c r="G107" t="s">
        <v>2048</v>
      </c>
      <c r="H107" s="37" t="s">
        <v>1851</v>
      </c>
      <c r="I107" s="37"/>
      <c r="K107" t="s">
        <v>3007</v>
      </c>
      <c r="L107" t="s">
        <v>2431</v>
      </c>
      <c r="M107" t="s">
        <v>2433</v>
      </c>
      <c r="N107" s="10">
        <v>1.07</v>
      </c>
      <c r="P107" t="s">
        <v>2428</v>
      </c>
    </row>
    <row r="108" spans="1:16" customFormat="1" hidden="1" x14ac:dyDescent="0.35">
      <c r="A108">
        <v>2023</v>
      </c>
      <c r="B108" t="s">
        <v>807</v>
      </c>
      <c r="C108" t="s">
        <v>2399</v>
      </c>
      <c r="G108" t="s">
        <v>2048</v>
      </c>
      <c r="H108" s="37" t="s">
        <v>1851</v>
      </c>
      <c r="I108" s="37"/>
      <c r="K108" t="s">
        <v>3007</v>
      </c>
      <c r="L108" t="s">
        <v>2432</v>
      </c>
      <c r="M108" t="s">
        <v>2433</v>
      </c>
      <c r="N108" s="10">
        <v>1.79</v>
      </c>
      <c r="P108" t="s">
        <v>2428</v>
      </c>
    </row>
    <row r="109" spans="1:16" customFormat="1" hidden="1" x14ac:dyDescent="0.35">
      <c r="A109">
        <v>2023</v>
      </c>
      <c r="B109" t="s">
        <v>807</v>
      </c>
      <c r="C109" t="s">
        <v>2399</v>
      </c>
      <c r="G109" t="s">
        <v>2048</v>
      </c>
      <c r="H109" s="37" t="s">
        <v>1851</v>
      </c>
      <c r="I109" s="37"/>
      <c r="K109" t="s">
        <v>3066</v>
      </c>
      <c r="L109" t="s">
        <v>2429</v>
      </c>
      <c r="M109" t="s">
        <v>2427</v>
      </c>
      <c r="N109" s="10">
        <v>1.96</v>
      </c>
      <c r="P109" t="s">
        <v>2428</v>
      </c>
    </row>
    <row r="110" spans="1:16" customFormat="1" hidden="1" x14ac:dyDescent="0.35">
      <c r="A110">
        <v>2023</v>
      </c>
      <c r="B110" t="s">
        <v>807</v>
      </c>
      <c r="C110" t="s">
        <v>2399</v>
      </c>
      <c r="G110" t="s">
        <v>2048</v>
      </c>
      <c r="H110" s="37" t="s">
        <v>1851</v>
      </c>
      <c r="I110" s="37"/>
      <c r="K110" t="s">
        <v>3006</v>
      </c>
      <c r="L110" t="s">
        <v>2434</v>
      </c>
      <c r="M110" t="s">
        <v>2435</v>
      </c>
      <c r="N110" s="10">
        <v>3.4</v>
      </c>
      <c r="P110" t="s">
        <v>2428</v>
      </c>
    </row>
    <row r="111" spans="1:16" s="45" customFormat="1" hidden="1" x14ac:dyDescent="0.35">
      <c r="A111">
        <v>2023</v>
      </c>
      <c r="B111" t="s">
        <v>807</v>
      </c>
      <c r="C111" t="s">
        <v>2399</v>
      </c>
      <c r="D111"/>
      <c r="E111"/>
      <c r="F111"/>
      <c r="G111" t="s">
        <v>2048</v>
      </c>
      <c r="H111" s="37" t="s">
        <v>1851</v>
      </c>
      <c r="I111" s="37"/>
      <c r="J111"/>
      <c r="K111" t="s">
        <v>3006</v>
      </c>
      <c r="L111" t="s">
        <v>2434</v>
      </c>
      <c r="M111" t="s">
        <v>2435</v>
      </c>
      <c r="N111" s="10">
        <v>3.4</v>
      </c>
      <c r="O111"/>
      <c r="P111" t="s">
        <v>2428</v>
      </c>
    </row>
    <row r="112" spans="1:16" s="45" customFormat="1" hidden="1" x14ac:dyDescent="0.35">
      <c r="A112">
        <v>2024</v>
      </c>
      <c r="B112" t="s">
        <v>807</v>
      </c>
      <c r="C112" t="s">
        <v>795</v>
      </c>
      <c r="D112"/>
      <c r="E112"/>
      <c r="F112"/>
      <c r="G112" t="s">
        <v>2011</v>
      </c>
      <c r="H112" s="37" t="s">
        <v>11</v>
      </c>
      <c r="I112" s="37" t="s">
        <v>34</v>
      </c>
      <c r="J112" t="s">
        <v>157</v>
      </c>
      <c r="K112" t="s">
        <v>3066</v>
      </c>
      <c r="L112" t="s">
        <v>1991</v>
      </c>
      <c r="M112" t="s">
        <v>2013</v>
      </c>
      <c r="N112" s="10">
        <v>8.8699999999999992</v>
      </c>
      <c r="O112"/>
      <c r="P112" t="s">
        <v>2020</v>
      </c>
    </row>
    <row r="113" spans="1:16" customFormat="1" hidden="1" x14ac:dyDescent="0.35">
      <c r="A113">
        <v>2024</v>
      </c>
      <c r="B113" t="s">
        <v>807</v>
      </c>
      <c r="C113" t="s">
        <v>795</v>
      </c>
      <c r="G113" t="s">
        <v>2011</v>
      </c>
      <c r="H113" s="37" t="s">
        <v>11</v>
      </c>
      <c r="I113" s="37" t="s">
        <v>34</v>
      </c>
      <c r="J113" t="s">
        <v>157</v>
      </c>
      <c r="K113" t="s">
        <v>3066</v>
      </c>
      <c r="L113" t="s">
        <v>2012</v>
      </c>
      <c r="M113" t="s">
        <v>2013</v>
      </c>
      <c r="N113" s="10">
        <v>0.08</v>
      </c>
      <c r="P113" t="s">
        <v>2020</v>
      </c>
    </row>
    <row r="114" spans="1:16" customFormat="1" hidden="1" x14ac:dyDescent="0.35">
      <c r="A114">
        <v>2023</v>
      </c>
      <c r="B114" t="s">
        <v>807</v>
      </c>
      <c r="C114" t="s">
        <v>795</v>
      </c>
      <c r="G114" t="s">
        <v>2011</v>
      </c>
      <c r="H114" s="37" t="s">
        <v>11</v>
      </c>
      <c r="I114" s="37" t="s">
        <v>34</v>
      </c>
      <c r="J114" t="s">
        <v>157</v>
      </c>
      <c r="K114" t="s">
        <v>3007</v>
      </c>
      <c r="L114" t="s">
        <v>1636</v>
      </c>
      <c r="M114" t="s">
        <v>2016</v>
      </c>
      <c r="N114" s="10">
        <v>1.7000000000000001E-2</v>
      </c>
      <c r="P114" t="s">
        <v>2020</v>
      </c>
    </row>
    <row r="115" spans="1:16" customFormat="1" hidden="1" x14ac:dyDescent="0.35">
      <c r="A115">
        <v>2023</v>
      </c>
      <c r="B115" t="s">
        <v>807</v>
      </c>
      <c r="C115" t="s">
        <v>795</v>
      </c>
      <c r="G115" t="s">
        <v>2011</v>
      </c>
      <c r="H115" s="37" t="s">
        <v>11</v>
      </c>
      <c r="I115" s="37" t="s">
        <v>34</v>
      </c>
      <c r="J115" t="s">
        <v>157</v>
      </c>
      <c r="K115" t="s">
        <v>3007</v>
      </c>
      <c r="L115" t="s">
        <v>1613</v>
      </c>
      <c r="M115" t="s">
        <v>2016</v>
      </c>
      <c r="N115" s="10">
        <v>2.5899999999999999E-2</v>
      </c>
      <c r="P115" t="s">
        <v>2020</v>
      </c>
    </row>
    <row r="116" spans="1:16" customFormat="1" hidden="1" x14ac:dyDescent="0.35">
      <c r="A116">
        <v>2021</v>
      </c>
      <c r="B116" t="s">
        <v>807</v>
      </c>
      <c r="C116" t="s">
        <v>716</v>
      </c>
      <c r="G116" t="s">
        <v>2087</v>
      </c>
      <c r="H116" s="37" t="s">
        <v>233</v>
      </c>
      <c r="I116" s="37"/>
      <c r="J116" t="s">
        <v>244</v>
      </c>
      <c r="K116" t="s">
        <v>3066</v>
      </c>
      <c r="L116" t="s">
        <v>1839</v>
      </c>
      <c r="M116" t="s">
        <v>2309</v>
      </c>
      <c r="N116" s="10">
        <v>1.96</v>
      </c>
      <c r="P116" s="10" t="s">
        <v>2308</v>
      </c>
    </row>
    <row r="117" spans="1:16" customFormat="1" hidden="1" x14ac:dyDescent="0.35">
      <c r="A117">
        <v>2021</v>
      </c>
      <c r="B117" t="s">
        <v>807</v>
      </c>
      <c r="C117" t="s">
        <v>716</v>
      </c>
      <c r="G117" t="s">
        <v>2087</v>
      </c>
      <c r="H117" s="37" t="s">
        <v>233</v>
      </c>
      <c r="I117" s="37"/>
      <c r="J117" t="s">
        <v>244</v>
      </c>
      <c r="K117" t="s">
        <v>3006</v>
      </c>
      <c r="L117" t="s">
        <v>2310</v>
      </c>
      <c r="M117" t="s">
        <v>2311</v>
      </c>
      <c r="N117" s="10">
        <v>11.43</v>
      </c>
      <c r="P117" s="10" t="s">
        <v>2308</v>
      </c>
    </row>
    <row r="118" spans="1:16" customFormat="1" hidden="1" x14ac:dyDescent="0.35">
      <c r="A118">
        <v>2021</v>
      </c>
      <c r="B118" t="s">
        <v>807</v>
      </c>
      <c r="C118" t="s">
        <v>716</v>
      </c>
      <c r="G118" t="s">
        <v>2087</v>
      </c>
      <c r="H118" s="37" t="s">
        <v>233</v>
      </c>
      <c r="I118" s="37"/>
      <c r="J118" t="s">
        <v>244</v>
      </c>
      <c r="K118" t="s">
        <v>3066</v>
      </c>
      <c r="L118" t="s">
        <v>1839</v>
      </c>
      <c r="M118" t="s">
        <v>2309</v>
      </c>
      <c r="N118" s="10">
        <v>1.96</v>
      </c>
      <c r="P118" s="10" t="s">
        <v>2308</v>
      </c>
    </row>
    <row r="119" spans="1:16" customFormat="1" x14ac:dyDescent="0.35">
      <c r="A119">
        <v>2023</v>
      </c>
      <c r="B119" t="s">
        <v>807</v>
      </c>
      <c r="C119" t="s">
        <v>261</v>
      </c>
      <c r="G119" t="s">
        <v>1956</v>
      </c>
      <c r="H119" t="s">
        <v>233</v>
      </c>
      <c r="I119" t="s">
        <v>249</v>
      </c>
      <c r="J119" t="s">
        <v>376</v>
      </c>
      <c r="K119" t="s">
        <v>3109</v>
      </c>
      <c r="L119" t="s">
        <v>1580</v>
      </c>
      <c r="M119" t="s">
        <v>1968</v>
      </c>
      <c r="N119" s="10">
        <v>74.8</v>
      </c>
      <c r="P119" t="s">
        <v>1957</v>
      </c>
    </row>
    <row r="120" spans="1:16" customFormat="1" hidden="1" x14ac:dyDescent="0.35">
      <c r="A120">
        <v>2023</v>
      </c>
      <c r="B120" t="s">
        <v>807</v>
      </c>
      <c r="C120" t="s">
        <v>717</v>
      </c>
      <c r="G120" t="s">
        <v>1853</v>
      </c>
      <c r="H120" s="37"/>
      <c r="I120" s="37"/>
      <c r="K120" t="s">
        <v>3066</v>
      </c>
      <c r="L120" t="s">
        <v>1696</v>
      </c>
      <c r="M120" s="10" t="s">
        <v>1796</v>
      </c>
      <c r="N120" s="10">
        <v>9.9</v>
      </c>
      <c r="P120" t="s">
        <v>1785</v>
      </c>
    </row>
    <row r="121" spans="1:16" customFormat="1" hidden="1" x14ac:dyDescent="0.35">
      <c r="A121">
        <v>2023</v>
      </c>
      <c r="B121" t="s">
        <v>807</v>
      </c>
      <c r="C121" t="s">
        <v>717</v>
      </c>
      <c r="G121" t="s">
        <v>1853</v>
      </c>
      <c r="H121" s="37"/>
      <c r="I121" s="37"/>
      <c r="K121" t="s">
        <v>3066</v>
      </c>
      <c r="L121" t="s">
        <v>1696</v>
      </c>
      <c r="M121" s="10" t="s">
        <v>1797</v>
      </c>
      <c r="N121" s="10">
        <v>1.7</v>
      </c>
      <c r="P121" t="s">
        <v>1785</v>
      </c>
    </row>
    <row r="122" spans="1:16" customFormat="1" hidden="1" x14ac:dyDescent="0.35">
      <c r="A122">
        <v>2023</v>
      </c>
      <c r="B122" t="s">
        <v>807</v>
      </c>
      <c r="C122" t="s">
        <v>717</v>
      </c>
      <c r="G122" t="s">
        <v>1853</v>
      </c>
      <c r="H122" s="37"/>
      <c r="I122" s="37"/>
      <c r="K122" t="s">
        <v>3066</v>
      </c>
      <c r="L122" t="s">
        <v>1696</v>
      </c>
      <c r="M122" s="10" t="s">
        <v>1796</v>
      </c>
      <c r="N122" s="10">
        <v>9.9</v>
      </c>
      <c r="P122" t="s">
        <v>1785</v>
      </c>
    </row>
    <row r="123" spans="1:16" customFormat="1" hidden="1" x14ac:dyDescent="0.35">
      <c r="A123">
        <v>2023</v>
      </c>
      <c r="B123" t="s">
        <v>807</v>
      </c>
      <c r="C123" t="s">
        <v>717</v>
      </c>
      <c r="G123" t="s">
        <v>1853</v>
      </c>
      <c r="H123" s="37"/>
      <c r="I123" s="37"/>
      <c r="K123" t="s">
        <v>3066</v>
      </c>
      <c r="L123" t="s">
        <v>1696</v>
      </c>
      <c r="M123" s="10" t="s">
        <v>1797</v>
      </c>
      <c r="N123" s="10">
        <v>1.7</v>
      </c>
      <c r="P123" t="s">
        <v>1785</v>
      </c>
    </row>
    <row r="124" spans="1:16" customFormat="1" x14ac:dyDescent="0.35">
      <c r="A124">
        <v>2024</v>
      </c>
      <c r="B124" t="s">
        <v>807</v>
      </c>
      <c r="C124" t="s">
        <v>795</v>
      </c>
      <c r="G124" t="s">
        <v>2011</v>
      </c>
      <c r="H124" t="s">
        <v>11</v>
      </c>
      <c r="I124" t="s">
        <v>34</v>
      </c>
      <c r="J124" t="s">
        <v>157</v>
      </c>
      <c r="K124" t="s">
        <v>3109</v>
      </c>
      <c r="L124" t="s">
        <v>1580</v>
      </c>
      <c r="M124" t="s">
        <v>2015</v>
      </c>
      <c r="N124" s="10">
        <v>265</v>
      </c>
      <c r="P124" t="s">
        <v>2020</v>
      </c>
    </row>
    <row r="125" spans="1:16" s="45" customFormat="1" x14ac:dyDescent="0.35">
      <c r="A125">
        <v>2021</v>
      </c>
      <c r="B125" t="s">
        <v>807</v>
      </c>
      <c r="C125" t="s">
        <v>716</v>
      </c>
      <c r="D125"/>
      <c r="E125"/>
      <c r="F125"/>
      <c r="G125" t="s">
        <v>2087</v>
      </c>
      <c r="H125" t="s">
        <v>233</v>
      </c>
      <c r="I125"/>
      <c r="J125" t="s">
        <v>244</v>
      </c>
      <c r="K125" t="s">
        <v>3109</v>
      </c>
      <c r="L125" t="s">
        <v>1580</v>
      </c>
      <c r="M125" t="s">
        <v>2317</v>
      </c>
      <c r="N125" s="10">
        <v>23.3</v>
      </c>
      <c r="O125"/>
      <c r="P125" t="s">
        <v>2307</v>
      </c>
    </row>
    <row r="126" spans="1:16" customFormat="1" hidden="1" x14ac:dyDescent="0.35">
      <c r="A126">
        <v>2023</v>
      </c>
      <c r="B126" t="s">
        <v>807</v>
      </c>
      <c r="C126" t="s">
        <v>325</v>
      </c>
      <c r="G126" t="s">
        <v>2137</v>
      </c>
      <c r="H126" s="37" t="s">
        <v>1851</v>
      </c>
      <c r="I126" s="37"/>
      <c r="J126" t="s">
        <v>2341</v>
      </c>
      <c r="K126" t="s">
        <v>3066</v>
      </c>
      <c r="L126" t="s">
        <v>1992</v>
      </c>
      <c r="M126" t="s">
        <v>2342</v>
      </c>
      <c r="N126" s="10">
        <v>0.13</v>
      </c>
      <c r="P126" t="s">
        <v>1911</v>
      </c>
    </row>
    <row r="127" spans="1:16" customFormat="1" hidden="1" x14ac:dyDescent="0.35">
      <c r="A127">
        <v>2023</v>
      </c>
      <c r="B127" t="s">
        <v>807</v>
      </c>
      <c r="C127" t="s">
        <v>325</v>
      </c>
      <c r="G127" t="s">
        <v>2137</v>
      </c>
      <c r="H127" s="37" t="s">
        <v>1851</v>
      </c>
      <c r="I127" s="37"/>
      <c r="J127" t="s">
        <v>177</v>
      </c>
      <c r="K127" t="s">
        <v>3066</v>
      </c>
      <c r="L127" t="s">
        <v>1992</v>
      </c>
      <c r="M127" t="s">
        <v>2342</v>
      </c>
      <c r="N127" s="10">
        <v>1.61</v>
      </c>
      <c r="P127" t="s">
        <v>1911</v>
      </c>
    </row>
    <row r="128" spans="1:16" customFormat="1" hidden="1" x14ac:dyDescent="0.35">
      <c r="A128">
        <v>2023</v>
      </c>
      <c r="B128" t="s">
        <v>807</v>
      </c>
      <c r="C128" t="s">
        <v>718</v>
      </c>
      <c r="G128" t="s">
        <v>2167</v>
      </c>
      <c r="H128" s="37" t="s">
        <v>1851</v>
      </c>
      <c r="I128" s="37"/>
      <c r="K128" t="s">
        <v>3066</v>
      </c>
      <c r="L128" t="s">
        <v>1992</v>
      </c>
      <c r="M128" t="s">
        <v>2477</v>
      </c>
      <c r="N128" s="10">
        <v>6.8</v>
      </c>
      <c r="P128" t="s">
        <v>2476</v>
      </c>
    </row>
    <row r="129" spans="1:16" customFormat="1" x14ac:dyDescent="0.35">
      <c r="A129">
        <v>2023</v>
      </c>
      <c r="B129" t="s">
        <v>807</v>
      </c>
      <c r="C129" t="s">
        <v>715</v>
      </c>
      <c r="G129" t="s">
        <v>2104</v>
      </c>
      <c r="H129" t="s">
        <v>1851</v>
      </c>
      <c r="K129" t="s">
        <v>3109</v>
      </c>
      <c r="L129" t="s">
        <v>2468</v>
      </c>
      <c r="M129" t="s">
        <v>2469</v>
      </c>
      <c r="N129" s="10">
        <v>40.299999999999997</v>
      </c>
      <c r="P129" t="s">
        <v>2470</v>
      </c>
    </row>
    <row r="130" spans="1:16" customFormat="1" x14ac:dyDescent="0.35">
      <c r="A130">
        <v>2023</v>
      </c>
      <c r="B130" t="s">
        <v>807</v>
      </c>
      <c r="C130" t="s">
        <v>715</v>
      </c>
      <c r="G130" t="s">
        <v>2104</v>
      </c>
      <c r="H130" t="s">
        <v>1851</v>
      </c>
      <c r="K130" t="s">
        <v>3109</v>
      </c>
      <c r="L130" t="s">
        <v>2467</v>
      </c>
      <c r="M130" t="s">
        <v>2469</v>
      </c>
      <c r="N130" s="10">
        <v>30.3</v>
      </c>
      <c r="P130" t="s">
        <v>2470</v>
      </c>
    </row>
    <row r="131" spans="1:16" customFormat="1" ht="14.4" customHeight="1" x14ac:dyDescent="0.35">
      <c r="A131">
        <v>2023</v>
      </c>
      <c r="B131" t="s">
        <v>807</v>
      </c>
      <c r="C131" t="s">
        <v>717</v>
      </c>
      <c r="G131" t="s">
        <v>1853</v>
      </c>
      <c r="K131" t="s">
        <v>3109</v>
      </c>
      <c r="L131" t="s">
        <v>1580</v>
      </c>
      <c r="M131" t="s">
        <v>1798</v>
      </c>
      <c r="N131" s="10">
        <v>200</v>
      </c>
      <c r="P131" t="s">
        <v>1785</v>
      </c>
    </row>
    <row r="132" spans="1:16" customFormat="1" ht="14.4" customHeight="1" x14ac:dyDescent="0.35">
      <c r="A132">
        <v>2023</v>
      </c>
      <c r="B132" t="s">
        <v>807</v>
      </c>
      <c r="C132" t="s">
        <v>717</v>
      </c>
      <c r="G132" t="s">
        <v>1853</v>
      </c>
      <c r="K132" t="s">
        <v>3109</v>
      </c>
      <c r="L132" t="s">
        <v>1580</v>
      </c>
      <c r="M132" t="s">
        <v>1799</v>
      </c>
      <c r="N132" s="10">
        <v>35</v>
      </c>
      <c r="P132" t="s">
        <v>1785</v>
      </c>
    </row>
  </sheetData>
  <autoFilter ref="A1:P132" xr:uid="{0CC5A778-F666-4D25-9615-BD5BD598548E}">
    <filterColumn colId="10">
      <filters>
        <filter val="Energy"/>
      </filters>
    </filterColumn>
    <sortState xmlns:xlrd2="http://schemas.microsoft.com/office/spreadsheetml/2017/richdata2" ref="A4:P132">
      <sortCondition ref="D1:D132"/>
    </sortState>
  </autoFilter>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DBEAA-1606-4183-9B6D-13D90C7D0F5A}">
  <dimension ref="A1:T266"/>
  <sheetViews>
    <sheetView topLeftCell="A49" workbookViewId="0">
      <selection activeCell="A52" sqref="A52:XFD54"/>
    </sheetView>
  </sheetViews>
  <sheetFormatPr baseColWidth="10" defaultColWidth="8.7265625" defaultRowHeight="14.5" x14ac:dyDescent="0.35"/>
  <sheetData>
    <row r="1" spans="1:16" x14ac:dyDescent="0.35">
      <c r="A1" s="6" t="s">
        <v>1538</v>
      </c>
      <c r="B1" s="6" t="s">
        <v>1553</v>
      </c>
      <c r="C1" s="7" t="s">
        <v>0</v>
      </c>
      <c r="D1" s="6" t="s">
        <v>1653</v>
      </c>
      <c r="E1" s="6" t="s">
        <v>2</v>
      </c>
      <c r="F1" s="6" t="s">
        <v>2030</v>
      </c>
      <c r="G1" s="6" t="s">
        <v>2028</v>
      </c>
      <c r="H1" s="6" t="s">
        <v>4</v>
      </c>
      <c r="I1" s="6" t="s">
        <v>6</v>
      </c>
      <c r="J1" s="6" t="s">
        <v>1540</v>
      </c>
      <c r="K1" s="6" t="s">
        <v>3003</v>
      </c>
      <c r="L1" s="6" t="s">
        <v>3008</v>
      </c>
      <c r="M1" s="6" t="s">
        <v>1542</v>
      </c>
      <c r="N1" s="9" t="s">
        <v>2505</v>
      </c>
      <c r="O1" s="9" t="s">
        <v>7</v>
      </c>
      <c r="P1" s="6" t="s">
        <v>1543</v>
      </c>
    </row>
    <row r="2" spans="1:16" x14ac:dyDescent="0.35">
      <c r="A2">
        <v>2023</v>
      </c>
      <c r="B2" t="s">
        <v>807</v>
      </c>
      <c r="C2" t="s">
        <v>261</v>
      </c>
      <c r="D2" t="s">
        <v>707</v>
      </c>
      <c r="E2" t="s">
        <v>707</v>
      </c>
      <c r="F2" t="s">
        <v>707</v>
      </c>
      <c r="G2" t="s">
        <v>1956</v>
      </c>
      <c r="H2" t="s">
        <v>233</v>
      </c>
      <c r="I2" t="s">
        <v>249</v>
      </c>
      <c r="J2" t="s">
        <v>376</v>
      </c>
      <c r="K2" t="s">
        <v>3109</v>
      </c>
      <c r="L2" t="s">
        <v>1718</v>
      </c>
      <c r="M2" t="s">
        <v>1966</v>
      </c>
      <c r="N2" s="10">
        <v>86073</v>
      </c>
      <c r="O2" s="10"/>
      <c r="P2" t="s">
        <v>1957</v>
      </c>
    </row>
    <row r="3" spans="1:16" x14ac:dyDescent="0.35">
      <c r="A3">
        <v>2023</v>
      </c>
      <c r="B3" t="s">
        <v>807</v>
      </c>
      <c r="C3" t="s">
        <v>261</v>
      </c>
      <c r="D3" t="s">
        <v>707</v>
      </c>
      <c r="E3" t="s">
        <v>707</v>
      </c>
      <c r="F3" t="s">
        <v>707</v>
      </c>
      <c r="G3" t="s">
        <v>1956</v>
      </c>
      <c r="H3" t="s">
        <v>233</v>
      </c>
      <c r="I3" t="s">
        <v>249</v>
      </c>
      <c r="J3" t="s">
        <v>376</v>
      </c>
      <c r="K3" t="s">
        <v>3109</v>
      </c>
      <c r="L3" t="s">
        <v>1845</v>
      </c>
      <c r="M3" t="s">
        <v>1966</v>
      </c>
      <c r="N3" s="10">
        <v>62126</v>
      </c>
      <c r="O3" s="10"/>
      <c r="P3" t="s">
        <v>1957</v>
      </c>
    </row>
    <row r="4" spans="1:16" x14ac:dyDescent="0.35">
      <c r="A4">
        <v>2023</v>
      </c>
      <c r="B4" t="s">
        <v>807</v>
      </c>
      <c r="C4" t="s">
        <v>261</v>
      </c>
      <c r="D4" t="s">
        <v>707</v>
      </c>
      <c r="E4" t="s">
        <v>707</v>
      </c>
      <c r="F4" t="s">
        <v>707</v>
      </c>
      <c r="G4" t="s">
        <v>1956</v>
      </c>
      <c r="H4" t="s">
        <v>233</v>
      </c>
      <c r="I4" t="s">
        <v>249</v>
      </c>
      <c r="J4" t="s">
        <v>376</v>
      </c>
      <c r="K4" t="s">
        <v>3109</v>
      </c>
      <c r="L4" t="s">
        <v>1963</v>
      </c>
      <c r="M4" t="s">
        <v>1966</v>
      </c>
      <c r="N4" s="10">
        <v>11721</v>
      </c>
      <c r="O4" s="10"/>
      <c r="P4" t="s">
        <v>1957</v>
      </c>
    </row>
    <row r="5" spans="1:16" x14ac:dyDescent="0.35">
      <c r="A5">
        <v>2023</v>
      </c>
      <c r="B5" t="s">
        <v>807</v>
      </c>
      <c r="C5" t="s">
        <v>261</v>
      </c>
      <c r="D5" t="s">
        <v>707</v>
      </c>
      <c r="E5" t="s">
        <v>707</v>
      </c>
      <c r="F5" t="s">
        <v>707</v>
      </c>
      <c r="G5" t="s">
        <v>1956</v>
      </c>
      <c r="H5" t="s">
        <v>233</v>
      </c>
      <c r="I5" t="s">
        <v>249</v>
      </c>
      <c r="J5" t="s">
        <v>376</v>
      </c>
      <c r="K5" t="s">
        <v>3109</v>
      </c>
      <c r="L5" t="s">
        <v>1964</v>
      </c>
      <c r="M5" t="s">
        <v>1966</v>
      </c>
      <c r="N5" s="10">
        <v>123</v>
      </c>
      <c r="O5" s="10"/>
      <c r="P5" t="s">
        <v>1957</v>
      </c>
    </row>
    <row r="6" spans="1:16" x14ac:dyDescent="0.35">
      <c r="A6">
        <v>2023</v>
      </c>
      <c r="B6" t="s">
        <v>807</v>
      </c>
      <c r="C6" t="s">
        <v>261</v>
      </c>
      <c r="D6" t="s">
        <v>707</v>
      </c>
      <c r="E6" t="s">
        <v>707</v>
      </c>
      <c r="F6" t="s">
        <v>707</v>
      </c>
      <c r="G6" t="s">
        <v>1956</v>
      </c>
      <c r="H6" t="s">
        <v>233</v>
      </c>
      <c r="I6" t="s">
        <v>249</v>
      </c>
      <c r="J6" t="s">
        <v>376</v>
      </c>
      <c r="K6" t="s">
        <v>3109</v>
      </c>
      <c r="L6" t="s">
        <v>1723</v>
      </c>
      <c r="M6" t="s">
        <v>1966</v>
      </c>
      <c r="N6" s="10">
        <v>4411</v>
      </c>
      <c r="O6" s="10"/>
      <c r="P6" t="s">
        <v>1957</v>
      </c>
    </row>
    <row r="7" spans="1:16" x14ac:dyDescent="0.35">
      <c r="A7">
        <v>2023</v>
      </c>
      <c r="B7" t="s">
        <v>807</v>
      </c>
      <c r="C7" t="s">
        <v>261</v>
      </c>
      <c r="D7" t="s">
        <v>707</v>
      </c>
      <c r="E7" t="s">
        <v>707</v>
      </c>
      <c r="F7" t="s">
        <v>707</v>
      </c>
      <c r="G7" t="s">
        <v>1956</v>
      </c>
      <c r="H7" t="s">
        <v>233</v>
      </c>
      <c r="I7" t="s">
        <v>249</v>
      </c>
      <c r="J7" t="s">
        <v>376</v>
      </c>
      <c r="K7" t="s">
        <v>3109</v>
      </c>
      <c r="L7" t="s">
        <v>1717</v>
      </c>
      <c r="M7" t="s">
        <v>1966</v>
      </c>
      <c r="N7" s="10">
        <v>601</v>
      </c>
      <c r="O7" s="10"/>
      <c r="P7" t="s">
        <v>1957</v>
      </c>
    </row>
    <row r="8" spans="1:16" x14ac:dyDescent="0.35">
      <c r="A8">
        <v>2023</v>
      </c>
      <c r="B8" t="s">
        <v>807</v>
      </c>
      <c r="C8" t="s">
        <v>261</v>
      </c>
      <c r="D8" t="s">
        <v>707</v>
      </c>
      <c r="E8" t="s">
        <v>707</v>
      </c>
      <c r="F8" t="s">
        <v>707</v>
      </c>
      <c r="G8" t="s">
        <v>1956</v>
      </c>
      <c r="H8" t="s">
        <v>233</v>
      </c>
      <c r="I8" t="s">
        <v>249</v>
      </c>
      <c r="J8" t="s">
        <v>376</v>
      </c>
      <c r="K8" t="s">
        <v>3109</v>
      </c>
      <c r="L8" t="s">
        <v>1965</v>
      </c>
      <c r="M8" t="s">
        <v>1966</v>
      </c>
      <c r="N8" s="10">
        <v>17</v>
      </c>
      <c r="O8" s="10"/>
      <c r="P8" t="s">
        <v>1957</v>
      </c>
    </row>
    <row r="9" spans="1:16" x14ac:dyDescent="0.35">
      <c r="A9">
        <v>2023</v>
      </c>
      <c r="B9" t="s">
        <v>807</v>
      </c>
      <c r="C9" t="s">
        <v>261</v>
      </c>
      <c r="D9" t="s">
        <v>707</v>
      </c>
      <c r="E9" t="s">
        <v>707</v>
      </c>
      <c r="F9" t="s">
        <v>707</v>
      </c>
      <c r="G9" t="s">
        <v>1956</v>
      </c>
      <c r="H9" t="s">
        <v>233</v>
      </c>
      <c r="I9" t="s">
        <v>249</v>
      </c>
      <c r="J9" t="s">
        <v>376</v>
      </c>
      <c r="K9" t="s">
        <v>3109</v>
      </c>
      <c r="L9" t="s">
        <v>1722</v>
      </c>
      <c r="M9" t="s">
        <v>1967</v>
      </c>
      <c r="N9" s="10">
        <v>40155</v>
      </c>
      <c r="O9" s="10"/>
      <c r="P9" t="s">
        <v>1957</v>
      </c>
    </row>
    <row r="10" spans="1:16" x14ac:dyDescent="0.35">
      <c r="A10">
        <v>2023</v>
      </c>
      <c r="B10" t="s">
        <v>807</v>
      </c>
      <c r="C10" t="s">
        <v>242</v>
      </c>
      <c r="D10" t="s">
        <v>707</v>
      </c>
      <c r="E10" t="s">
        <v>707</v>
      </c>
      <c r="F10" t="s">
        <v>707</v>
      </c>
      <c r="G10" t="s">
        <v>1989</v>
      </c>
      <c r="H10" t="s">
        <v>233</v>
      </c>
      <c r="I10" t="s">
        <v>245</v>
      </c>
      <c r="J10" t="s">
        <v>244</v>
      </c>
      <c r="K10" t="s">
        <v>3109</v>
      </c>
      <c r="L10" t="s">
        <v>1722</v>
      </c>
      <c r="M10" t="s">
        <v>402</v>
      </c>
      <c r="N10">
        <v>1673569.9000000001</v>
      </c>
      <c r="P10" t="s">
        <v>1892</v>
      </c>
    </row>
    <row r="11" spans="1:16" x14ac:dyDescent="0.35">
      <c r="A11">
        <v>2023</v>
      </c>
      <c r="B11" t="s">
        <v>807</v>
      </c>
      <c r="C11" t="s">
        <v>242</v>
      </c>
      <c r="D11" t="s">
        <v>707</v>
      </c>
      <c r="E11" t="s">
        <v>707</v>
      </c>
      <c r="F11" t="s">
        <v>707</v>
      </c>
      <c r="G11" t="s">
        <v>1989</v>
      </c>
      <c r="H11" t="s">
        <v>233</v>
      </c>
      <c r="I11" t="s">
        <v>245</v>
      </c>
      <c r="J11" t="s">
        <v>244</v>
      </c>
      <c r="K11" t="s">
        <v>3109</v>
      </c>
      <c r="L11" t="s">
        <v>1845</v>
      </c>
      <c r="M11" t="s">
        <v>402</v>
      </c>
      <c r="N11">
        <v>8367849.5</v>
      </c>
      <c r="P11" t="s">
        <v>1892</v>
      </c>
    </row>
    <row r="12" spans="1:16" x14ac:dyDescent="0.35">
      <c r="A12">
        <v>2023</v>
      </c>
      <c r="B12" t="s">
        <v>807</v>
      </c>
      <c r="C12" t="s">
        <v>242</v>
      </c>
      <c r="D12" t="s">
        <v>707</v>
      </c>
      <c r="E12" t="s">
        <v>707</v>
      </c>
      <c r="F12" t="s">
        <v>707</v>
      </c>
      <c r="G12" t="s">
        <v>1989</v>
      </c>
      <c r="H12" t="s">
        <v>233</v>
      </c>
      <c r="I12" t="s">
        <v>245</v>
      </c>
      <c r="J12" t="s">
        <v>244</v>
      </c>
      <c r="K12" t="s">
        <v>3109</v>
      </c>
      <c r="L12" t="s">
        <v>1718</v>
      </c>
      <c r="M12" t="s">
        <v>402</v>
      </c>
      <c r="N12">
        <v>12049703.279999999</v>
      </c>
      <c r="P12" t="s">
        <v>1892</v>
      </c>
    </row>
    <row r="13" spans="1:16" x14ac:dyDescent="0.35">
      <c r="A13">
        <v>2023</v>
      </c>
      <c r="B13" t="s">
        <v>807</v>
      </c>
      <c r="C13" t="s">
        <v>242</v>
      </c>
      <c r="D13" t="s">
        <v>707</v>
      </c>
      <c r="E13" t="s">
        <v>707</v>
      </c>
      <c r="F13" t="s">
        <v>707</v>
      </c>
      <c r="G13" t="s">
        <v>1989</v>
      </c>
      <c r="H13" t="s">
        <v>233</v>
      </c>
      <c r="I13" t="s">
        <v>245</v>
      </c>
      <c r="J13" t="s">
        <v>244</v>
      </c>
      <c r="K13" t="s">
        <v>3109</v>
      </c>
      <c r="L13" t="s">
        <v>1847</v>
      </c>
      <c r="M13" t="s">
        <v>402</v>
      </c>
      <c r="N13">
        <v>52215380.880000003</v>
      </c>
      <c r="P13" t="s">
        <v>1892</v>
      </c>
    </row>
    <row r="14" spans="1:16" x14ac:dyDescent="0.35">
      <c r="A14">
        <v>2023</v>
      </c>
      <c r="B14" t="s">
        <v>807</v>
      </c>
      <c r="C14" t="s">
        <v>208</v>
      </c>
      <c r="D14" t="s">
        <v>707</v>
      </c>
      <c r="E14" t="s">
        <v>707</v>
      </c>
      <c r="F14" t="s">
        <v>707</v>
      </c>
      <c r="G14" t="s">
        <v>1756</v>
      </c>
      <c r="H14" t="s">
        <v>720</v>
      </c>
      <c r="I14" t="s">
        <v>720</v>
      </c>
      <c r="J14" t="s">
        <v>210</v>
      </c>
      <c r="K14" t="s">
        <v>3109</v>
      </c>
      <c r="L14" t="s">
        <v>1763</v>
      </c>
      <c r="M14" t="s">
        <v>402</v>
      </c>
      <c r="N14" s="10">
        <v>3735798.7627457995</v>
      </c>
      <c r="O14" s="10"/>
      <c r="P14" t="s">
        <v>1852</v>
      </c>
    </row>
    <row r="15" spans="1:16" x14ac:dyDescent="0.35">
      <c r="A15">
        <v>2023</v>
      </c>
      <c r="B15" t="s">
        <v>807</v>
      </c>
      <c r="C15" t="s">
        <v>208</v>
      </c>
      <c r="D15" t="s">
        <v>707</v>
      </c>
      <c r="E15" t="s">
        <v>707</v>
      </c>
      <c r="F15" t="s">
        <v>707</v>
      </c>
      <c r="G15" t="s">
        <v>1756</v>
      </c>
      <c r="H15" t="s">
        <v>720</v>
      </c>
      <c r="I15" t="s">
        <v>720</v>
      </c>
      <c r="J15" t="s">
        <v>210</v>
      </c>
      <c r="K15" t="s">
        <v>3109</v>
      </c>
      <c r="L15" t="s">
        <v>1722</v>
      </c>
      <c r="M15" t="s">
        <v>402</v>
      </c>
      <c r="N15" s="10">
        <v>1643751.4556081519</v>
      </c>
      <c r="O15" s="10"/>
      <c r="P15" t="s">
        <v>1852</v>
      </c>
    </row>
    <row r="16" spans="1:16" x14ac:dyDescent="0.35">
      <c r="A16">
        <v>2024</v>
      </c>
      <c r="B16" t="s">
        <v>807</v>
      </c>
      <c r="C16" t="s">
        <v>795</v>
      </c>
      <c r="D16" t="s">
        <v>707</v>
      </c>
      <c r="E16" t="s">
        <v>707</v>
      </c>
      <c r="F16" t="s">
        <v>707</v>
      </c>
      <c r="G16" t="s">
        <v>2011</v>
      </c>
      <c r="H16" t="s">
        <v>11</v>
      </c>
      <c r="I16" t="s">
        <v>34</v>
      </c>
      <c r="J16" t="s">
        <v>157</v>
      </c>
      <c r="K16" t="s">
        <v>3109</v>
      </c>
      <c r="L16" t="s">
        <v>1723</v>
      </c>
      <c r="M16" t="s">
        <v>1784</v>
      </c>
      <c r="N16" s="10">
        <v>1515</v>
      </c>
      <c r="O16" s="10"/>
      <c r="P16" t="s">
        <v>2020</v>
      </c>
    </row>
    <row r="17" spans="1:16" x14ac:dyDescent="0.35">
      <c r="A17">
        <v>2024</v>
      </c>
      <c r="B17" t="s">
        <v>807</v>
      </c>
      <c r="C17" t="s">
        <v>795</v>
      </c>
      <c r="D17" t="s">
        <v>707</v>
      </c>
      <c r="E17" t="s">
        <v>707</v>
      </c>
      <c r="F17" t="s">
        <v>707</v>
      </c>
      <c r="G17" t="s">
        <v>2011</v>
      </c>
      <c r="H17" t="s">
        <v>11</v>
      </c>
      <c r="I17" t="s">
        <v>34</v>
      </c>
      <c r="J17" t="s">
        <v>157</v>
      </c>
      <c r="K17" t="s">
        <v>3109</v>
      </c>
      <c r="L17" t="s">
        <v>1718</v>
      </c>
      <c r="M17" t="s">
        <v>1784</v>
      </c>
      <c r="N17" s="10">
        <v>64</v>
      </c>
      <c r="O17" s="10"/>
      <c r="P17" t="s">
        <v>2020</v>
      </c>
    </row>
    <row r="18" spans="1:16" x14ac:dyDescent="0.35">
      <c r="A18">
        <v>2024</v>
      </c>
      <c r="B18" t="s">
        <v>807</v>
      </c>
      <c r="C18" t="s">
        <v>795</v>
      </c>
      <c r="D18" t="s">
        <v>707</v>
      </c>
      <c r="E18" t="s">
        <v>707</v>
      </c>
      <c r="F18" t="s">
        <v>707</v>
      </c>
      <c r="G18" t="s">
        <v>2011</v>
      </c>
      <c r="H18" t="s">
        <v>11</v>
      </c>
      <c r="I18" t="s">
        <v>34</v>
      </c>
      <c r="J18" t="s">
        <v>157</v>
      </c>
      <c r="K18" t="s">
        <v>3109</v>
      </c>
      <c r="L18" t="s">
        <v>2014</v>
      </c>
      <c r="M18" t="s">
        <v>1784</v>
      </c>
      <c r="N18" s="10">
        <v>66</v>
      </c>
      <c r="O18" s="10"/>
      <c r="P18" t="s">
        <v>2020</v>
      </c>
    </row>
    <row r="19" spans="1:16" x14ac:dyDescent="0.35">
      <c r="A19">
        <v>2024</v>
      </c>
      <c r="B19" t="s">
        <v>807</v>
      </c>
      <c r="C19" t="s">
        <v>795</v>
      </c>
      <c r="D19" t="s">
        <v>707</v>
      </c>
      <c r="E19" t="s">
        <v>707</v>
      </c>
      <c r="F19" t="s">
        <v>707</v>
      </c>
      <c r="G19" t="s">
        <v>2011</v>
      </c>
      <c r="H19" t="s">
        <v>11</v>
      </c>
      <c r="I19" t="s">
        <v>34</v>
      </c>
      <c r="J19" t="s">
        <v>157</v>
      </c>
      <c r="K19" t="s">
        <v>3109</v>
      </c>
      <c r="L19" t="s">
        <v>1722</v>
      </c>
      <c r="M19" t="s">
        <v>1784</v>
      </c>
      <c r="N19" s="10">
        <v>2063</v>
      </c>
      <c r="O19" s="10"/>
      <c r="P19" t="s">
        <v>2020</v>
      </c>
    </row>
    <row r="20" spans="1:16" x14ac:dyDescent="0.35">
      <c r="A20">
        <v>2023</v>
      </c>
      <c r="B20" t="s">
        <v>807</v>
      </c>
      <c r="C20" t="s">
        <v>754</v>
      </c>
      <c r="D20" t="s">
        <v>707</v>
      </c>
      <c r="E20" t="s">
        <v>707</v>
      </c>
      <c r="F20" t="s">
        <v>707</v>
      </c>
      <c r="G20" t="s">
        <v>2023</v>
      </c>
      <c r="H20" t="s">
        <v>11</v>
      </c>
      <c r="I20" t="s">
        <v>98</v>
      </c>
      <c r="J20" t="s">
        <v>147</v>
      </c>
      <c r="K20" t="s">
        <v>3109</v>
      </c>
      <c r="L20" t="s">
        <v>2024</v>
      </c>
      <c r="M20" s="10" t="s">
        <v>2025</v>
      </c>
      <c r="N20" s="10">
        <v>10.5</v>
      </c>
      <c r="O20" s="10"/>
      <c r="P20" t="s">
        <v>1911</v>
      </c>
    </row>
    <row r="21" spans="1:16" x14ac:dyDescent="0.35">
      <c r="A21">
        <v>2023</v>
      </c>
      <c r="B21" t="s">
        <v>807</v>
      </c>
      <c r="C21" t="s">
        <v>754</v>
      </c>
      <c r="D21" t="s">
        <v>707</v>
      </c>
      <c r="E21" t="s">
        <v>707</v>
      </c>
      <c r="F21" t="s">
        <v>707</v>
      </c>
      <c r="G21" t="s">
        <v>2023</v>
      </c>
      <c r="H21" t="s">
        <v>11</v>
      </c>
      <c r="I21" t="s">
        <v>98</v>
      </c>
      <c r="J21" t="s">
        <v>147</v>
      </c>
      <c r="K21" t="s">
        <v>3109</v>
      </c>
      <c r="L21" t="s">
        <v>1722</v>
      </c>
      <c r="M21" s="10" t="s">
        <v>2025</v>
      </c>
      <c r="N21" s="10">
        <v>3.1</v>
      </c>
      <c r="O21" s="10"/>
      <c r="P21" t="s">
        <v>1911</v>
      </c>
    </row>
    <row r="22" spans="1:16" x14ac:dyDescent="0.35">
      <c r="A22">
        <v>2023</v>
      </c>
      <c r="B22" t="s">
        <v>807</v>
      </c>
      <c r="C22" t="s">
        <v>754</v>
      </c>
      <c r="D22" t="s">
        <v>707</v>
      </c>
      <c r="E22" t="s">
        <v>707</v>
      </c>
      <c r="F22" t="s">
        <v>707</v>
      </c>
      <c r="G22" t="s">
        <v>2023</v>
      </c>
      <c r="H22" t="s">
        <v>11</v>
      </c>
      <c r="I22" t="s">
        <v>98</v>
      </c>
      <c r="J22" t="s">
        <v>147</v>
      </c>
      <c r="K22" t="s">
        <v>3109</v>
      </c>
      <c r="L22" t="s">
        <v>2026</v>
      </c>
      <c r="M22" s="10" t="s">
        <v>2025</v>
      </c>
      <c r="N22" s="10">
        <v>0.3</v>
      </c>
      <c r="O22" s="10"/>
      <c r="P22" t="s">
        <v>1911</v>
      </c>
    </row>
    <row r="23" spans="1:16" x14ac:dyDescent="0.35">
      <c r="A23">
        <v>2023</v>
      </c>
      <c r="B23" t="s">
        <v>807</v>
      </c>
      <c r="C23" t="s">
        <v>715</v>
      </c>
      <c r="D23" t="s">
        <v>707</v>
      </c>
      <c r="E23" t="s">
        <v>707</v>
      </c>
      <c r="F23" t="s">
        <v>707</v>
      </c>
      <c r="G23" t="s">
        <v>2104</v>
      </c>
      <c r="H23" t="s">
        <v>1851</v>
      </c>
      <c r="I23" t="s">
        <v>720</v>
      </c>
      <c r="J23" t="s">
        <v>720</v>
      </c>
      <c r="K23" t="s">
        <v>3109</v>
      </c>
      <c r="L23" t="s">
        <v>1845</v>
      </c>
      <c r="M23" t="s">
        <v>2458</v>
      </c>
      <c r="N23" s="10">
        <v>25.8</v>
      </c>
      <c r="O23" s="10"/>
      <c r="P23" t="s">
        <v>2470</v>
      </c>
    </row>
    <row r="24" spans="1:16" x14ac:dyDescent="0.35">
      <c r="A24">
        <v>2023</v>
      </c>
      <c r="B24" t="s">
        <v>807</v>
      </c>
      <c r="C24" t="s">
        <v>715</v>
      </c>
      <c r="D24" t="s">
        <v>707</v>
      </c>
      <c r="E24" t="s">
        <v>707</v>
      </c>
      <c r="F24" t="s">
        <v>707</v>
      </c>
      <c r="G24" t="s">
        <v>2104</v>
      </c>
      <c r="H24" t="s">
        <v>1851</v>
      </c>
      <c r="I24" t="s">
        <v>720</v>
      </c>
      <c r="J24" t="s">
        <v>720</v>
      </c>
      <c r="K24" t="s">
        <v>3109</v>
      </c>
      <c r="L24" t="s">
        <v>2459</v>
      </c>
      <c r="M24" t="s">
        <v>2458</v>
      </c>
      <c r="N24" s="10">
        <v>23.22</v>
      </c>
      <c r="O24" s="10"/>
      <c r="P24" t="s">
        <v>2470</v>
      </c>
    </row>
    <row r="25" spans="1:16" x14ac:dyDescent="0.35">
      <c r="A25">
        <v>2023</v>
      </c>
      <c r="B25" t="s">
        <v>807</v>
      </c>
      <c r="C25" t="s">
        <v>715</v>
      </c>
      <c r="D25" t="s">
        <v>707</v>
      </c>
      <c r="E25" t="s">
        <v>707</v>
      </c>
      <c r="F25" t="s">
        <v>707</v>
      </c>
      <c r="G25" t="s">
        <v>2104</v>
      </c>
      <c r="H25" t="s">
        <v>1851</v>
      </c>
      <c r="I25" t="s">
        <v>720</v>
      </c>
      <c r="J25" t="s">
        <v>720</v>
      </c>
      <c r="K25" t="s">
        <v>3109</v>
      </c>
      <c r="L25" t="s">
        <v>2460</v>
      </c>
      <c r="M25" t="s">
        <v>2458</v>
      </c>
      <c r="N25" s="10">
        <v>77.399999999999991</v>
      </c>
      <c r="O25" s="10"/>
      <c r="P25" t="s">
        <v>2470</v>
      </c>
    </row>
    <row r="26" spans="1:16" x14ac:dyDescent="0.35">
      <c r="A26">
        <v>2023</v>
      </c>
      <c r="B26" t="s">
        <v>807</v>
      </c>
      <c r="C26" t="s">
        <v>715</v>
      </c>
      <c r="D26" t="s">
        <v>707</v>
      </c>
      <c r="E26" t="s">
        <v>707</v>
      </c>
      <c r="F26" t="s">
        <v>707</v>
      </c>
      <c r="G26" t="s">
        <v>2104</v>
      </c>
      <c r="H26" t="s">
        <v>1851</v>
      </c>
      <c r="I26" t="s">
        <v>720</v>
      </c>
      <c r="J26" t="s">
        <v>720</v>
      </c>
      <c r="K26" t="s">
        <v>3109</v>
      </c>
      <c r="L26" t="s">
        <v>2461</v>
      </c>
      <c r="M26" t="s">
        <v>2458</v>
      </c>
      <c r="N26" s="10">
        <v>7.7399999999999993</v>
      </c>
      <c r="O26" s="10"/>
      <c r="P26" t="s">
        <v>2470</v>
      </c>
    </row>
    <row r="27" spans="1:16" x14ac:dyDescent="0.35">
      <c r="A27">
        <v>2023</v>
      </c>
      <c r="B27" t="s">
        <v>807</v>
      </c>
      <c r="C27" t="s">
        <v>715</v>
      </c>
      <c r="D27" t="s">
        <v>707</v>
      </c>
      <c r="E27" t="s">
        <v>707</v>
      </c>
      <c r="F27" t="s">
        <v>707</v>
      </c>
      <c r="G27" t="s">
        <v>2104</v>
      </c>
      <c r="H27" t="s">
        <v>1851</v>
      </c>
      <c r="I27" t="s">
        <v>720</v>
      </c>
      <c r="J27" t="s">
        <v>720</v>
      </c>
      <c r="K27" t="s">
        <v>3109</v>
      </c>
      <c r="L27" t="s">
        <v>2462</v>
      </c>
      <c r="M27" t="s">
        <v>2458</v>
      </c>
      <c r="N27" s="10">
        <v>1.29</v>
      </c>
      <c r="O27" s="10"/>
      <c r="P27" t="s">
        <v>2470</v>
      </c>
    </row>
    <row r="28" spans="1:16" x14ac:dyDescent="0.35">
      <c r="A28">
        <v>2023</v>
      </c>
      <c r="B28" t="s">
        <v>807</v>
      </c>
      <c r="C28" t="s">
        <v>715</v>
      </c>
      <c r="D28" t="s">
        <v>707</v>
      </c>
      <c r="E28" t="s">
        <v>707</v>
      </c>
      <c r="F28" t="s">
        <v>707</v>
      </c>
      <c r="G28" t="s">
        <v>2104</v>
      </c>
      <c r="H28" t="s">
        <v>1851</v>
      </c>
      <c r="I28" t="s">
        <v>720</v>
      </c>
      <c r="J28" t="s">
        <v>376</v>
      </c>
      <c r="K28" t="s">
        <v>3109</v>
      </c>
      <c r="L28" t="s">
        <v>1783</v>
      </c>
      <c r="M28" t="s">
        <v>2458</v>
      </c>
      <c r="N28" s="10">
        <v>5.9999999999999995E-4</v>
      </c>
      <c r="O28" s="10"/>
      <c r="P28" t="s">
        <v>2470</v>
      </c>
    </row>
    <row r="29" spans="1:16" x14ac:dyDescent="0.35">
      <c r="A29">
        <v>2023</v>
      </c>
      <c r="B29" t="s">
        <v>807</v>
      </c>
      <c r="C29" t="s">
        <v>715</v>
      </c>
      <c r="D29" t="s">
        <v>707</v>
      </c>
      <c r="E29" t="s">
        <v>707</v>
      </c>
      <c r="F29" t="s">
        <v>707</v>
      </c>
      <c r="G29" t="s">
        <v>2104</v>
      </c>
      <c r="H29" t="s">
        <v>1851</v>
      </c>
      <c r="I29" t="s">
        <v>720</v>
      </c>
      <c r="J29" t="s">
        <v>125</v>
      </c>
      <c r="K29" t="s">
        <v>3109</v>
      </c>
      <c r="L29" t="s">
        <v>1783</v>
      </c>
      <c r="M29" t="s">
        <v>2458</v>
      </c>
      <c r="N29" s="10">
        <v>15</v>
      </c>
      <c r="O29" s="10"/>
      <c r="P29" t="s">
        <v>2470</v>
      </c>
    </row>
    <row r="30" spans="1:16" x14ac:dyDescent="0.35">
      <c r="A30">
        <v>2023</v>
      </c>
      <c r="B30" t="s">
        <v>807</v>
      </c>
      <c r="C30" t="s">
        <v>715</v>
      </c>
      <c r="D30" t="s">
        <v>707</v>
      </c>
      <c r="E30" t="s">
        <v>707</v>
      </c>
      <c r="F30" t="s">
        <v>707</v>
      </c>
      <c r="G30" t="s">
        <v>2104</v>
      </c>
      <c r="H30" t="s">
        <v>1851</v>
      </c>
      <c r="I30" t="s">
        <v>720</v>
      </c>
      <c r="J30" t="s">
        <v>2463</v>
      </c>
      <c r="K30" t="s">
        <v>3109</v>
      </c>
      <c r="L30" t="s">
        <v>1783</v>
      </c>
      <c r="M30" t="s">
        <v>2458</v>
      </c>
      <c r="N30" s="10">
        <v>6</v>
      </c>
      <c r="O30" s="10"/>
      <c r="P30" t="s">
        <v>2470</v>
      </c>
    </row>
    <row r="31" spans="1:16" x14ac:dyDescent="0.35">
      <c r="A31">
        <v>2023</v>
      </c>
      <c r="B31" t="s">
        <v>807</v>
      </c>
      <c r="C31" t="s">
        <v>715</v>
      </c>
      <c r="D31" t="s">
        <v>707</v>
      </c>
      <c r="E31" t="s">
        <v>707</v>
      </c>
      <c r="F31" t="s">
        <v>707</v>
      </c>
      <c r="G31" t="s">
        <v>2104</v>
      </c>
      <c r="H31" t="s">
        <v>1851</v>
      </c>
      <c r="I31" t="s">
        <v>720</v>
      </c>
      <c r="J31" t="s">
        <v>557</v>
      </c>
      <c r="K31" t="s">
        <v>3109</v>
      </c>
      <c r="L31" t="s">
        <v>1783</v>
      </c>
      <c r="M31" t="s">
        <v>2458</v>
      </c>
      <c r="N31" s="10">
        <v>34</v>
      </c>
      <c r="O31" s="10"/>
      <c r="P31" t="s">
        <v>2470</v>
      </c>
    </row>
    <row r="32" spans="1:16" x14ac:dyDescent="0.35">
      <c r="A32">
        <v>2023</v>
      </c>
      <c r="B32" t="s">
        <v>807</v>
      </c>
      <c r="C32" t="s">
        <v>715</v>
      </c>
      <c r="D32" t="s">
        <v>707</v>
      </c>
      <c r="E32" t="s">
        <v>707</v>
      </c>
      <c r="F32" t="s">
        <v>707</v>
      </c>
      <c r="G32" t="s">
        <v>2104</v>
      </c>
      <c r="H32" t="s">
        <v>1851</v>
      </c>
      <c r="I32" t="s">
        <v>720</v>
      </c>
      <c r="J32" t="s">
        <v>1551</v>
      </c>
      <c r="K32" t="s">
        <v>3109</v>
      </c>
      <c r="L32" t="s">
        <v>1783</v>
      </c>
      <c r="M32" t="s">
        <v>2458</v>
      </c>
      <c r="N32" s="10">
        <v>19</v>
      </c>
      <c r="O32" s="10"/>
      <c r="P32" t="s">
        <v>2470</v>
      </c>
    </row>
    <row r="33" spans="1:16" x14ac:dyDescent="0.35">
      <c r="A33">
        <v>2023</v>
      </c>
      <c r="B33" t="s">
        <v>807</v>
      </c>
      <c r="C33" t="s">
        <v>715</v>
      </c>
      <c r="D33" t="s">
        <v>707</v>
      </c>
      <c r="E33" t="s">
        <v>707</v>
      </c>
      <c r="F33" t="s">
        <v>707</v>
      </c>
      <c r="G33" t="s">
        <v>2104</v>
      </c>
      <c r="H33" t="s">
        <v>1851</v>
      </c>
      <c r="I33" t="s">
        <v>720</v>
      </c>
      <c r="J33" t="s">
        <v>720</v>
      </c>
      <c r="K33" t="s">
        <v>3109</v>
      </c>
      <c r="L33" t="s">
        <v>2464</v>
      </c>
      <c r="M33" t="s">
        <v>2458</v>
      </c>
      <c r="N33" s="10">
        <v>8</v>
      </c>
      <c r="O33" s="10"/>
      <c r="P33" t="s">
        <v>2470</v>
      </c>
    </row>
    <row r="34" spans="1:16" x14ac:dyDescent="0.35">
      <c r="A34">
        <v>2023</v>
      </c>
      <c r="B34" t="s">
        <v>807</v>
      </c>
      <c r="C34" t="s">
        <v>715</v>
      </c>
      <c r="D34" t="s">
        <v>707</v>
      </c>
      <c r="E34" t="s">
        <v>707</v>
      </c>
      <c r="F34" t="s">
        <v>707</v>
      </c>
      <c r="G34" t="s">
        <v>2104</v>
      </c>
      <c r="H34" t="s">
        <v>1851</v>
      </c>
      <c r="I34" t="s">
        <v>720</v>
      </c>
      <c r="J34" t="s">
        <v>376</v>
      </c>
      <c r="K34" t="s">
        <v>3109</v>
      </c>
      <c r="L34" t="s">
        <v>2465</v>
      </c>
      <c r="M34" t="s">
        <v>2458</v>
      </c>
      <c r="N34" s="10" t="s">
        <v>707</v>
      </c>
      <c r="O34" s="10"/>
      <c r="P34" t="s">
        <v>2470</v>
      </c>
    </row>
    <row r="35" spans="1:16" x14ac:dyDescent="0.35">
      <c r="A35">
        <v>2023</v>
      </c>
      <c r="B35" t="s">
        <v>807</v>
      </c>
      <c r="C35" t="s">
        <v>715</v>
      </c>
      <c r="D35" t="s">
        <v>707</v>
      </c>
      <c r="E35" t="s">
        <v>707</v>
      </c>
      <c r="F35" t="s">
        <v>707</v>
      </c>
      <c r="G35" t="s">
        <v>2104</v>
      </c>
      <c r="H35" t="s">
        <v>1851</v>
      </c>
      <c r="I35" t="s">
        <v>720</v>
      </c>
      <c r="J35" t="s">
        <v>125</v>
      </c>
      <c r="K35" t="s">
        <v>3109</v>
      </c>
      <c r="L35" t="s">
        <v>2465</v>
      </c>
      <c r="M35" t="s">
        <v>2458</v>
      </c>
      <c r="N35" s="10">
        <v>11</v>
      </c>
      <c r="O35" s="10"/>
      <c r="P35" t="s">
        <v>2470</v>
      </c>
    </row>
    <row r="36" spans="1:16" x14ac:dyDescent="0.35">
      <c r="A36">
        <v>2023</v>
      </c>
      <c r="B36" t="s">
        <v>807</v>
      </c>
      <c r="C36" t="s">
        <v>715</v>
      </c>
      <c r="D36" t="s">
        <v>707</v>
      </c>
      <c r="E36" t="s">
        <v>707</v>
      </c>
      <c r="F36" t="s">
        <v>707</v>
      </c>
      <c r="G36" t="s">
        <v>2104</v>
      </c>
      <c r="H36" t="s">
        <v>1851</v>
      </c>
      <c r="I36" t="s">
        <v>720</v>
      </c>
      <c r="J36" t="s">
        <v>2463</v>
      </c>
      <c r="K36" t="s">
        <v>3109</v>
      </c>
      <c r="L36" t="s">
        <v>2465</v>
      </c>
      <c r="M36" t="s">
        <v>2458</v>
      </c>
      <c r="N36" s="10">
        <v>19</v>
      </c>
      <c r="O36" s="10"/>
      <c r="P36" t="s">
        <v>2470</v>
      </c>
    </row>
    <row r="37" spans="1:16" x14ac:dyDescent="0.35">
      <c r="A37">
        <v>2023</v>
      </c>
      <c r="B37" t="s">
        <v>807</v>
      </c>
      <c r="C37" t="s">
        <v>715</v>
      </c>
      <c r="D37" t="s">
        <v>707</v>
      </c>
      <c r="E37" t="s">
        <v>707</v>
      </c>
      <c r="F37" t="s">
        <v>707</v>
      </c>
      <c r="G37" t="s">
        <v>2104</v>
      </c>
      <c r="H37" t="s">
        <v>1851</v>
      </c>
      <c r="I37" t="s">
        <v>720</v>
      </c>
      <c r="J37" t="s">
        <v>557</v>
      </c>
      <c r="K37" t="s">
        <v>3109</v>
      </c>
      <c r="L37" t="s">
        <v>2465</v>
      </c>
      <c r="M37" t="s">
        <v>2458</v>
      </c>
      <c r="N37" s="10">
        <v>5</v>
      </c>
      <c r="O37" s="10"/>
      <c r="P37" t="s">
        <v>2470</v>
      </c>
    </row>
    <row r="38" spans="1:16" x14ac:dyDescent="0.35">
      <c r="A38">
        <v>2023</v>
      </c>
      <c r="B38" t="s">
        <v>807</v>
      </c>
      <c r="C38" t="s">
        <v>715</v>
      </c>
      <c r="D38" t="s">
        <v>707</v>
      </c>
      <c r="E38" t="s">
        <v>707</v>
      </c>
      <c r="F38" t="s">
        <v>707</v>
      </c>
      <c r="G38" t="s">
        <v>2104</v>
      </c>
      <c r="H38" t="s">
        <v>1851</v>
      </c>
      <c r="I38" t="s">
        <v>720</v>
      </c>
      <c r="J38" t="s">
        <v>1551</v>
      </c>
      <c r="K38" t="s">
        <v>3109</v>
      </c>
      <c r="L38" t="s">
        <v>2465</v>
      </c>
      <c r="M38" t="s">
        <v>2458</v>
      </c>
      <c r="N38" s="10">
        <v>34</v>
      </c>
      <c r="O38" s="10"/>
      <c r="P38" t="s">
        <v>2470</v>
      </c>
    </row>
    <row r="39" spans="1:16" x14ac:dyDescent="0.35">
      <c r="A39">
        <v>2023</v>
      </c>
      <c r="B39" t="s">
        <v>807</v>
      </c>
      <c r="C39" t="s">
        <v>715</v>
      </c>
      <c r="D39" t="s">
        <v>707</v>
      </c>
      <c r="E39" t="s">
        <v>707</v>
      </c>
      <c r="F39" t="s">
        <v>707</v>
      </c>
      <c r="G39" t="s">
        <v>2104</v>
      </c>
      <c r="H39" t="s">
        <v>1851</v>
      </c>
      <c r="I39" t="s">
        <v>720</v>
      </c>
      <c r="J39" t="s">
        <v>720</v>
      </c>
      <c r="K39" t="s">
        <v>3109</v>
      </c>
      <c r="L39" t="s">
        <v>2466</v>
      </c>
      <c r="M39" t="s">
        <v>2458</v>
      </c>
      <c r="N39" s="10">
        <v>10</v>
      </c>
      <c r="O39" s="10"/>
      <c r="P39" t="s">
        <v>2470</v>
      </c>
    </row>
    <row r="40" spans="1:16" x14ac:dyDescent="0.35">
      <c r="A40">
        <v>2023</v>
      </c>
      <c r="B40" t="s">
        <v>807</v>
      </c>
      <c r="C40" t="s">
        <v>717</v>
      </c>
      <c r="D40" t="s">
        <v>707</v>
      </c>
      <c r="E40" t="s">
        <v>707</v>
      </c>
      <c r="F40" t="s">
        <v>707</v>
      </c>
      <c r="G40" t="s">
        <v>1853</v>
      </c>
      <c r="H40" t="s">
        <v>720</v>
      </c>
      <c r="I40" t="s">
        <v>720</v>
      </c>
      <c r="J40" t="s">
        <v>720</v>
      </c>
      <c r="K40" t="s">
        <v>3109</v>
      </c>
      <c r="L40" t="s">
        <v>1717</v>
      </c>
      <c r="M40" t="s">
        <v>1784</v>
      </c>
      <c r="N40" s="10">
        <v>287</v>
      </c>
      <c r="O40" s="10"/>
      <c r="P40" t="s">
        <v>1785</v>
      </c>
    </row>
    <row r="41" spans="1:16" x14ac:dyDescent="0.35">
      <c r="A41">
        <v>2023</v>
      </c>
      <c r="B41" t="s">
        <v>807</v>
      </c>
      <c r="C41" t="s">
        <v>717</v>
      </c>
      <c r="D41" t="s">
        <v>707</v>
      </c>
      <c r="E41" t="s">
        <v>707</v>
      </c>
      <c r="F41" t="s">
        <v>707</v>
      </c>
      <c r="G41" t="s">
        <v>1853</v>
      </c>
      <c r="H41" t="s">
        <v>720</v>
      </c>
      <c r="I41" t="s">
        <v>720</v>
      </c>
      <c r="J41" t="s">
        <v>720</v>
      </c>
      <c r="K41" t="s">
        <v>3109</v>
      </c>
      <c r="L41" t="s">
        <v>1723</v>
      </c>
      <c r="M41" t="s">
        <v>1784</v>
      </c>
      <c r="N41" s="10">
        <v>2214</v>
      </c>
      <c r="O41" s="10"/>
      <c r="P41" t="s">
        <v>1785</v>
      </c>
    </row>
    <row r="42" spans="1:16" x14ac:dyDescent="0.35">
      <c r="A42">
        <v>2023</v>
      </c>
      <c r="B42" t="s">
        <v>807</v>
      </c>
      <c r="C42" t="s">
        <v>717</v>
      </c>
      <c r="D42" t="s">
        <v>707</v>
      </c>
      <c r="E42" t="s">
        <v>707</v>
      </c>
      <c r="F42" t="s">
        <v>707</v>
      </c>
      <c r="G42" t="s">
        <v>1853</v>
      </c>
      <c r="H42" t="s">
        <v>720</v>
      </c>
      <c r="I42" t="s">
        <v>720</v>
      </c>
      <c r="J42" t="s">
        <v>720</v>
      </c>
      <c r="K42" t="s">
        <v>3109</v>
      </c>
      <c r="L42" t="s">
        <v>1724</v>
      </c>
      <c r="M42" t="s">
        <v>1784</v>
      </c>
      <c r="N42" s="10">
        <v>10</v>
      </c>
      <c r="O42" s="10"/>
      <c r="P42" t="s">
        <v>1785</v>
      </c>
    </row>
    <row r="43" spans="1:16" x14ac:dyDescent="0.35">
      <c r="A43">
        <v>2023</v>
      </c>
      <c r="B43" t="s">
        <v>807</v>
      </c>
      <c r="C43" t="s">
        <v>717</v>
      </c>
      <c r="D43" t="s">
        <v>707</v>
      </c>
      <c r="E43" t="s">
        <v>707</v>
      </c>
      <c r="F43" t="s">
        <v>707</v>
      </c>
      <c r="G43" t="s">
        <v>1853</v>
      </c>
      <c r="H43" t="s">
        <v>720</v>
      </c>
      <c r="I43" t="s">
        <v>720</v>
      </c>
      <c r="J43" t="s">
        <v>720</v>
      </c>
      <c r="K43" t="s">
        <v>3109</v>
      </c>
      <c r="L43" t="s">
        <v>1783</v>
      </c>
      <c r="M43" t="s">
        <v>1784</v>
      </c>
      <c r="N43" s="10">
        <v>2513</v>
      </c>
      <c r="O43" s="10"/>
      <c r="P43" t="s">
        <v>1785</v>
      </c>
    </row>
    <row r="44" spans="1:16" x14ac:dyDescent="0.35">
      <c r="A44">
        <v>2023</v>
      </c>
      <c r="B44" t="s">
        <v>807</v>
      </c>
      <c r="C44" t="s">
        <v>101</v>
      </c>
      <c r="D44" t="s">
        <v>707</v>
      </c>
      <c r="E44" t="s">
        <v>707</v>
      </c>
      <c r="F44" t="s">
        <v>707</v>
      </c>
      <c r="G44" t="s">
        <v>1850</v>
      </c>
      <c r="H44" t="s">
        <v>1851</v>
      </c>
      <c r="I44" t="s">
        <v>720</v>
      </c>
      <c r="J44" t="s">
        <v>720</v>
      </c>
      <c r="K44" t="s">
        <v>3109</v>
      </c>
      <c r="L44" t="s">
        <v>1723</v>
      </c>
      <c r="M44" t="s">
        <v>1784</v>
      </c>
      <c r="N44" s="10">
        <v>6314</v>
      </c>
      <c r="O44" s="10"/>
      <c r="P44" t="s">
        <v>1849</v>
      </c>
    </row>
    <row r="45" spans="1:16" x14ac:dyDescent="0.35">
      <c r="A45">
        <v>2023</v>
      </c>
      <c r="B45" t="s">
        <v>807</v>
      </c>
      <c r="C45" t="s">
        <v>101</v>
      </c>
      <c r="D45" t="s">
        <v>707</v>
      </c>
      <c r="E45" t="s">
        <v>707</v>
      </c>
      <c r="F45" t="s">
        <v>707</v>
      </c>
      <c r="G45" t="s">
        <v>1850</v>
      </c>
      <c r="H45" t="s">
        <v>1851</v>
      </c>
      <c r="I45" t="s">
        <v>720</v>
      </c>
      <c r="J45" t="s">
        <v>720</v>
      </c>
      <c r="K45" t="s">
        <v>3109</v>
      </c>
      <c r="L45" t="s">
        <v>1724</v>
      </c>
      <c r="M45" t="s">
        <v>1784</v>
      </c>
      <c r="N45" s="10">
        <v>54</v>
      </c>
      <c r="O45" s="10"/>
      <c r="P45" t="s">
        <v>1849</v>
      </c>
    </row>
    <row r="46" spans="1:16" x14ac:dyDescent="0.35">
      <c r="A46">
        <v>2023</v>
      </c>
      <c r="B46" t="s">
        <v>807</v>
      </c>
      <c r="C46" t="s">
        <v>101</v>
      </c>
      <c r="D46" t="s">
        <v>707</v>
      </c>
      <c r="E46" t="s">
        <v>707</v>
      </c>
      <c r="F46" t="s">
        <v>707</v>
      </c>
      <c r="G46" t="s">
        <v>1850</v>
      </c>
      <c r="H46" t="s">
        <v>1851</v>
      </c>
      <c r="I46" t="s">
        <v>720</v>
      </c>
      <c r="J46" t="s">
        <v>720</v>
      </c>
      <c r="K46" t="s">
        <v>3109</v>
      </c>
      <c r="L46" t="s">
        <v>1845</v>
      </c>
      <c r="M46" t="s">
        <v>1784</v>
      </c>
      <c r="N46" s="10">
        <v>2306</v>
      </c>
      <c r="O46" s="10"/>
      <c r="P46" t="s">
        <v>1849</v>
      </c>
    </row>
    <row r="47" spans="1:16" x14ac:dyDescent="0.35">
      <c r="A47">
        <v>2023</v>
      </c>
      <c r="B47" t="s">
        <v>807</v>
      </c>
      <c r="C47" t="s">
        <v>101</v>
      </c>
      <c r="D47" t="s">
        <v>707</v>
      </c>
      <c r="E47" t="s">
        <v>707</v>
      </c>
      <c r="F47" t="s">
        <v>707</v>
      </c>
      <c r="G47" t="s">
        <v>1850</v>
      </c>
      <c r="H47" t="s">
        <v>1851</v>
      </c>
      <c r="I47" t="s">
        <v>720</v>
      </c>
      <c r="J47" t="s">
        <v>720</v>
      </c>
      <c r="K47" t="s">
        <v>3109</v>
      </c>
      <c r="L47" t="s">
        <v>1718</v>
      </c>
      <c r="M47" t="s">
        <v>1784</v>
      </c>
      <c r="N47" s="10">
        <v>2089</v>
      </c>
      <c r="O47" s="10"/>
      <c r="P47" t="s">
        <v>1849</v>
      </c>
    </row>
    <row r="48" spans="1:16" x14ac:dyDescent="0.35">
      <c r="A48">
        <v>2023</v>
      </c>
      <c r="B48" t="s">
        <v>807</v>
      </c>
      <c r="C48" t="s">
        <v>101</v>
      </c>
      <c r="D48" t="s">
        <v>707</v>
      </c>
      <c r="E48" t="s">
        <v>707</v>
      </c>
      <c r="F48" t="s">
        <v>707</v>
      </c>
      <c r="G48" t="s">
        <v>1850</v>
      </c>
      <c r="H48" t="s">
        <v>1851</v>
      </c>
      <c r="I48" t="s">
        <v>720</v>
      </c>
      <c r="J48" t="s">
        <v>720</v>
      </c>
      <c r="K48" t="s">
        <v>3109</v>
      </c>
      <c r="L48" t="s">
        <v>1846</v>
      </c>
      <c r="M48" t="s">
        <v>1784</v>
      </c>
      <c r="N48" s="10">
        <v>246</v>
      </c>
      <c r="O48" s="10"/>
      <c r="P48" t="s">
        <v>1849</v>
      </c>
    </row>
    <row r="49" spans="1:20" x14ac:dyDescent="0.35">
      <c r="A49">
        <v>2023</v>
      </c>
      <c r="B49" t="s">
        <v>807</v>
      </c>
      <c r="C49" t="s">
        <v>101</v>
      </c>
      <c r="D49" t="s">
        <v>707</v>
      </c>
      <c r="E49" t="s">
        <v>707</v>
      </c>
      <c r="F49" t="s">
        <v>707</v>
      </c>
      <c r="G49" t="s">
        <v>1850</v>
      </c>
      <c r="H49" t="s">
        <v>1851</v>
      </c>
      <c r="I49" t="s">
        <v>720</v>
      </c>
      <c r="J49" t="s">
        <v>720</v>
      </c>
      <c r="K49" t="s">
        <v>3109</v>
      </c>
      <c r="L49" t="s">
        <v>1847</v>
      </c>
      <c r="M49" t="s">
        <v>1784</v>
      </c>
      <c r="N49" s="10">
        <v>395</v>
      </c>
      <c r="O49" s="10"/>
      <c r="P49" t="s">
        <v>1849</v>
      </c>
    </row>
    <row r="50" spans="1:20" x14ac:dyDescent="0.35">
      <c r="A50">
        <v>2023</v>
      </c>
      <c r="B50" t="s">
        <v>807</v>
      </c>
      <c r="C50" t="s">
        <v>101</v>
      </c>
      <c r="D50" t="s">
        <v>707</v>
      </c>
      <c r="E50" t="s">
        <v>707</v>
      </c>
      <c r="F50" t="s">
        <v>707</v>
      </c>
      <c r="G50" t="s">
        <v>1850</v>
      </c>
      <c r="H50" t="s">
        <v>1851</v>
      </c>
      <c r="I50" t="s">
        <v>720</v>
      </c>
      <c r="J50" t="s">
        <v>720</v>
      </c>
      <c r="K50" t="s">
        <v>3109</v>
      </c>
      <c r="L50" t="s">
        <v>1932</v>
      </c>
      <c r="M50" t="s">
        <v>1784</v>
      </c>
      <c r="N50" s="10">
        <v>13148</v>
      </c>
      <c r="O50" s="10"/>
      <c r="P50" t="s">
        <v>1849</v>
      </c>
    </row>
    <row r="51" spans="1:20" x14ac:dyDescent="0.35">
      <c r="A51">
        <v>2024</v>
      </c>
      <c r="B51" t="s">
        <v>807</v>
      </c>
      <c r="C51" t="s">
        <v>718</v>
      </c>
      <c r="D51" t="s">
        <v>707</v>
      </c>
      <c r="E51" t="s">
        <v>707</v>
      </c>
      <c r="F51" t="s">
        <v>707</v>
      </c>
      <c r="G51" t="s">
        <v>2167</v>
      </c>
      <c r="H51" t="s">
        <v>1851</v>
      </c>
      <c r="I51" t="s">
        <v>720</v>
      </c>
      <c r="J51" t="s">
        <v>720</v>
      </c>
      <c r="K51" t="s">
        <v>3109</v>
      </c>
      <c r="N51" s="10"/>
      <c r="O51" s="10"/>
      <c r="P51" t="s">
        <v>2476</v>
      </c>
    </row>
    <row r="54" spans="1:20" x14ac:dyDescent="0.35">
      <c r="A54" s="6" t="s">
        <v>1538</v>
      </c>
      <c r="B54" s="6" t="s">
        <v>1553</v>
      </c>
      <c r="C54" s="7" t="s">
        <v>0</v>
      </c>
      <c r="D54" s="6" t="s">
        <v>1653</v>
      </c>
      <c r="E54" s="6" t="s">
        <v>2</v>
      </c>
      <c r="F54" s="6" t="s">
        <v>2030</v>
      </c>
      <c r="G54" s="6" t="s">
        <v>2028</v>
      </c>
      <c r="H54" s="36" t="s">
        <v>4</v>
      </c>
      <c r="I54" s="36" t="s">
        <v>6</v>
      </c>
      <c r="J54" s="6" t="s">
        <v>1540</v>
      </c>
      <c r="K54" s="6" t="s">
        <v>3063</v>
      </c>
      <c r="L54" s="6" t="s">
        <v>3093</v>
      </c>
      <c r="M54" s="6" t="s">
        <v>3092</v>
      </c>
      <c r="N54" s="6" t="s">
        <v>3004</v>
      </c>
      <c r="O54" s="6" t="s">
        <v>3081</v>
      </c>
      <c r="P54" s="6" t="s">
        <v>3008</v>
      </c>
      <c r="Q54" s="6" t="s">
        <v>1542</v>
      </c>
      <c r="R54" s="9" t="s">
        <v>2505</v>
      </c>
      <c r="S54" s="6" t="s">
        <v>7</v>
      </c>
      <c r="T54" s="6" t="s">
        <v>1543</v>
      </c>
    </row>
    <row r="55" spans="1:20" x14ac:dyDescent="0.35">
      <c r="A55">
        <v>2023</v>
      </c>
      <c r="B55" t="s">
        <v>807</v>
      </c>
      <c r="C55" t="s">
        <v>261</v>
      </c>
      <c r="D55" t="s">
        <v>707</v>
      </c>
      <c r="E55" t="s">
        <v>707</v>
      </c>
      <c r="F55" t="s">
        <v>707</v>
      </c>
      <c r="G55" t="s">
        <v>1956</v>
      </c>
      <c r="H55" s="37" t="s">
        <v>233</v>
      </c>
      <c r="I55" s="37" t="s">
        <v>249</v>
      </c>
      <c r="J55" t="s">
        <v>376</v>
      </c>
      <c r="K55" t="s">
        <v>3007</v>
      </c>
      <c r="L55" t="s">
        <v>3094</v>
      </c>
      <c r="M55" t="s">
        <v>3083</v>
      </c>
      <c r="N55" t="s">
        <v>3066</v>
      </c>
      <c r="O55" s="39" t="s">
        <v>3085</v>
      </c>
      <c r="P55" t="s">
        <v>1605</v>
      </c>
      <c r="Q55" t="s">
        <v>1962</v>
      </c>
      <c r="R55" s="10">
        <v>16.53</v>
      </c>
      <c r="S55" t="s">
        <v>1961</v>
      </c>
      <c r="T55" t="s">
        <v>1957</v>
      </c>
    </row>
    <row r="56" spans="1:20" x14ac:dyDescent="0.35">
      <c r="A56">
        <v>2023</v>
      </c>
      <c r="B56" t="s">
        <v>807</v>
      </c>
      <c r="C56" t="s">
        <v>261</v>
      </c>
      <c r="D56" t="s">
        <v>707</v>
      </c>
      <c r="E56" t="s">
        <v>707</v>
      </c>
      <c r="F56" t="s">
        <v>707</v>
      </c>
      <c r="G56" t="s">
        <v>1956</v>
      </c>
      <c r="H56" s="37" t="s">
        <v>233</v>
      </c>
      <c r="I56" s="37" t="s">
        <v>249</v>
      </c>
      <c r="J56" t="s">
        <v>376</v>
      </c>
      <c r="K56" t="s">
        <v>3007</v>
      </c>
      <c r="L56" t="s">
        <v>3094</v>
      </c>
      <c r="M56" t="s">
        <v>3083</v>
      </c>
      <c r="N56" t="s">
        <v>3066</v>
      </c>
      <c r="O56" s="39" t="s">
        <v>3085</v>
      </c>
      <c r="P56" t="s">
        <v>1606</v>
      </c>
      <c r="Q56" t="s">
        <v>1962</v>
      </c>
      <c r="R56" s="10">
        <v>3.81</v>
      </c>
      <c r="S56" t="s">
        <v>1961</v>
      </c>
      <c r="T56" t="s">
        <v>1957</v>
      </c>
    </row>
    <row r="57" spans="1:20" x14ac:dyDescent="0.35">
      <c r="A57">
        <v>2023</v>
      </c>
      <c r="B57" t="s">
        <v>807</v>
      </c>
      <c r="C57" t="s">
        <v>261</v>
      </c>
      <c r="D57" t="s">
        <v>707</v>
      </c>
      <c r="E57" t="s">
        <v>707</v>
      </c>
      <c r="F57" t="s">
        <v>707</v>
      </c>
      <c r="G57" t="s">
        <v>1956</v>
      </c>
      <c r="H57" s="37" t="s">
        <v>233</v>
      </c>
      <c r="I57" s="37" t="s">
        <v>249</v>
      </c>
      <c r="J57" t="s">
        <v>376</v>
      </c>
      <c r="K57" t="s">
        <v>3007</v>
      </c>
      <c r="L57" t="s">
        <v>3094</v>
      </c>
      <c r="M57" t="s">
        <v>3083</v>
      </c>
      <c r="N57" t="s">
        <v>3066</v>
      </c>
      <c r="O57" s="39" t="s">
        <v>3085</v>
      </c>
      <c r="P57" t="s">
        <v>1607</v>
      </c>
      <c r="Q57" t="s">
        <v>1962</v>
      </c>
      <c r="R57" s="10">
        <v>48.15</v>
      </c>
      <c r="T57" t="s">
        <v>1957</v>
      </c>
    </row>
    <row r="58" spans="1:20" x14ac:dyDescent="0.35">
      <c r="A58">
        <v>2023</v>
      </c>
      <c r="B58" t="s">
        <v>807</v>
      </c>
      <c r="C58" t="s">
        <v>242</v>
      </c>
      <c r="D58" t="s">
        <v>707</v>
      </c>
      <c r="E58" t="s">
        <v>707</v>
      </c>
      <c r="F58" t="s">
        <v>707</v>
      </c>
      <c r="G58" t="s">
        <v>1989</v>
      </c>
      <c r="H58" s="37" t="s">
        <v>233</v>
      </c>
      <c r="I58" s="37" t="s">
        <v>245</v>
      </c>
      <c r="J58" t="s">
        <v>244</v>
      </c>
      <c r="K58" t="s">
        <v>3007</v>
      </c>
      <c r="L58" t="s">
        <v>3094</v>
      </c>
      <c r="M58" t="s">
        <v>3083</v>
      </c>
      <c r="N58" t="s">
        <v>3066</v>
      </c>
      <c r="O58" s="39" t="s">
        <v>3085</v>
      </c>
      <c r="P58" t="s">
        <v>1605</v>
      </c>
      <c r="Q58" t="s">
        <v>1635</v>
      </c>
      <c r="R58" s="10">
        <v>4281546</v>
      </c>
      <c r="S58" t="s">
        <v>1990</v>
      </c>
      <c r="T58" t="s">
        <v>1935</v>
      </c>
    </row>
    <row r="59" spans="1:20" x14ac:dyDescent="0.35">
      <c r="A59">
        <v>2023</v>
      </c>
      <c r="B59" t="s">
        <v>807</v>
      </c>
      <c r="C59" t="s">
        <v>242</v>
      </c>
      <c r="D59" t="s">
        <v>707</v>
      </c>
      <c r="E59" t="s">
        <v>707</v>
      </c>
      <c r="F59" t="s">
        <v>707</v>
      </c>
      <c r="G59" t="s">
        <v>1989</v>
      </c>
      <c r="H59" s="37" t="s">
        <v>233</v>
      </c>
      <c r="I59" s="37" t="s">
        <v>245</v>
      </c>
      <c r="J59" t="s">
        <v>244</v>
      </c>
      <c r="K59" t="s">
        <v>3007</v>
      </c>
      <c r="L59" t="s">
        <v>3094</v>
      </c>
      <c r="M59" t="s">
        <v>3083</v>
      </c>
      <c r="N59" t="s">
        <v>3066</v>
      </c>
      <c r="O59" s="39" t="s">
        <v>3085</v>
      </c>
      <c r="P59" t="s">
        <v>1606</v>
      </c>
      <c r="Q59" t="s">
        <v>1635</v>
      </c>
      <c r="R59" s="10">
        <v>24877</v>
      </c>
      <c r="T59" t="s">
        <v>1892</v>
      </c>
    </row>
    <row r="60" spans="1:20" x14ac:dyDescent="0.35">
      <c r="A60">
        <v>2023</v>
      </c>
      <c r="B60" t="s">
        <v>807</v>
      </c>
      <c r="C60" t="s">
        <v>2399</v>
      </c>
      <c r="D60" t="s">
        <v>707</v>
      </c>
      <c r="E60" t="s">
        <v>707</v>
      </c>
      <c r="F60" t="s">
        <v>707</v>
      </c>
      <c r="G60" t="s">
        <v>2048</v>
      </c>
      <c r="H60" s="37" t="s">
        <v>1851</v>
      </c>
      <c r="I60" s="37" t="s">
        <v>720</v>
      </c>
      <c r="J60" t="s">
        <v>720</v>
      </c>
      <c r="K60" t="s">
        <v>3007</v>
      </c>
      <c r="L60" t="s">
        <v>3094</v>
      </c>
      <c r="M60" t="s">
        <v>3083</v>
      </c>
      <c r="N60" t="s">
        <v>3066</v>
      </c>
      <c r="O60" s="39" t="s">
        <v>3085</v>
      </c>
      <c r="P60" t="s">
        <v>1696</v>
      </c>
      <c r="Q60" t="s">
        <v>1962</v>
      </c>
      <c r="R60" s="10">
        <v>114.3</v>
      </c>
      <c r="T60" t="s">
        <v>2428</v>
      </c>
    </row>
    <row r="61" spans="1:20" x14ac:dyDescent="0.35">
      <c r="A61">
        <v>2023</v>
      </c>
      <c r="B61" t="s">
        <v>807</v>
      </c>
      <c r="C61" t="s">
        <v>208</v>
      </c>
      <c r="D61" t="s">
        <v>707</v>
      </c>
      <c r="E61" t="s">
        <v>707</v>
      </c>
      <c r="F61" t="s">
        <v>707</v>
      </c>
      <c r="G61" t="s">
        <v>1756</v>
      </c>
      <c r="H61" s="37"/>
      <c r="I61" s="37"/>
      <c r="J61" t="s">
        <v>210</v>
      </c>
      <c r="K61" t="s">
        <v>3007</v>
      </c>
      <c r="L61" t="s">
        <v>3094</v>
      </c>
      <c r="M61" t="s">
        <v>3083</v>
      </c>
      <c r="N61" t="s">
        <v>3066</v>
      </c>
      <c r="O61" s="39" t="s">
        <v>3085</v>
      </c>
      <c r="P61" t="s">
        <v>1605</v>
      </c>
      <c r="Q61" s="10" t="s">
        <v>1635</v>
      </c>
      <c r="R61" s="10">
        <v>128673.34995299703</v>
      </c>
      <c r="S61" t="s">
        <v>1762</v>
      </c>
      <c r="T61" t="s">
        <v>1852</v>
      </c>
    </row>
    <row r="62" spans="1:20" x14ac:dyDescent="0.35">
      <c r="A62">
        <v>2023</v>
      </c>
      <c r="B62" t="s">
        <v>807</v>
      </c>
      <c r="C62" t="s">
        <v>208</v>
      </c>
      <c r="D62" t="s">
        <v>707</v>
      </c>
      <c r="E62" t="s">
        <v>707</v>
      </c>
      <c r="F62" t="s">
        <v>707</v>
      </c>
      <c r="G62" t="s">
        <v>1756</v>
      </c>
      <c r="H62" s="37"/>
      <c r="I62" s="37"/>
      <c r="J62" t="s">
        <v>210</v>
      </c>
      <c r="K62" t="s">
        <v>3007</v>
      </c>
      <c r="L62" t="s">
        <v>3094</v>
      </c>
      <c r="M62" t="s">
        <v>3083</v>
      </c>
      <c r="N62" t="s">
        <v>3066</v>
      </c>
      <c r="O62" s="39" t="s">
        <v>3085</v>
      </c>
      <c r="P62" t="s">
        <v>1606</v>
      </c>
      <c r="Q62" s="10" t="s">
        <v>1635</v>
      </c>
      <c r="R62" s="10">
        <v>185858.51145925134</v>
      </c>
      <c r="S62" t="s">
        <v>1762</v>
      </c>
      <c r="T62" t="s">
        <v>1852</v>
      </c>
    </row>
    <row r="63" spans="1:20" x14ac:dyDescent="0.35">
      <c r="A63">
        <v>2023</v>
      </c>
      <c r="B63" t="s">
        <v>807</v>
      </c>
      <c r="C63" t="s">
        <v>208</v>
      </c>
      <c r="D63" t="s">
        <v>707</v>
      </c>
      <c r="E63" t="s">
        <v>707</v>
      </c>
      <c r="F63" t="s">
        <v>707</v>
      </c>
      <c r="G63" t="s">
        <v>1756</v>
      </c>
      <c r="H63" s="37"/>
      <c r="I63" s="37"/>
      <c r="J63" t="s">
        <v>210</v>
      </c>
      <c r="K63" t="s">
        <v>3007</v>
      </c>
      <c r="L63" t="s">
        <v>3094</v>
      </c>
      <c r="M63" t="s">
        <v>3083</v>
      </c>
      <c r="N63" t="s">
        <v>3066</v>
      </c>
      <c r="O63" s="39" t="s">
        <v>3085</v>
      </c>
      <c r="P63" t="s">
        <v>1607</v>
      </c>
      <c r="Q63" s="10" t="s">
        <v>1635</v>
      </c>
      <c r="R63" s="10">
        <v>500000</v>
      </c>
      <c r="S63" t="s">
        <v>1762</v>
      </c>
      <c r="T63" t="s">
        <v>1852</v>
      </c>
    </row>
    <row r="64" spans="1:20" x14ac:dyDescent="0.35">
      <c r="A64">
        <v>2024</v>
      </c>
      <c r="B64" t="s">
        <v>807</v>
      </c>
      <c r="C64" t="s">
        <v>795</v>
      </c>
      <c r="D64" t="s">
        <v>707</v>
      </c>
      <c r="E64" t="s">
        <v>707</v>
      </c>
      <c r="F64" t="s">
        <v>707</v>
      </c>
      <c r="G64" t="s">
        <v>2011</v>
      </c>
      <c r="H64" s="37" t="s">
        <v>11</v>
      </c>
      <c r="I64" s="37" t="s">
        <v>34</v>
      </c>
      <c r="J64" t="s">
        <v>157</v>
      </c>
      <c r="K64" t="s">
        <v>3007</v>
      </c>
      <c r="L64" t="s">
        <v>3094</v>
      </c>
      <c r="M64" t="s">
        <v>3083</v>
      </c>
      <c r="N64" t="s">
        <v>3066</v>
      </c>
      <c r="O64" s="39" t="s">
        <v>3085</v>
      </c>
      <c r="P64" t="s">
        <v>1605</v>
      </c>
      <c r="Q64" t="s">
        <v>1635</v>
      </c>
      <c r="R64" s="10">
        <v>125617</v>
      </c>
      <c r="T64" t="s">
        <v>2020</v>
      </c>
    </row>
    <row r="65" spans="1:20" x14ac:dyDescent="0.35">
      <c r="A65">
        <v>2024</v>
      </c>
      <c r="B65" t="s">
        <v>807</v>
      </c>
      <c r="C65" t="s">
        <v>795</v>
      </c>
      <c r="D65" t="s">
        <v>707</v>
      </c>
      <c r="E65" t="s">
        <v>707</v>
      </c>
      <c r="F65" t="s">
        <v>707</v>
      </c>
      <c r="G65" t="s">
        <v>2011</v>
      </c>
      <c r="H65" s="37" t="s">
        <v>11</v>
      </c>
      <c r="I65" s="37" t="s">
        <v>34</v>
      </c>
      <c r="J65" t="s">
        <v>157</v>
      </c>
      <c r="K65" t="s">
        <v>3007</v>
      </c>
      <c r="L65" t="s">
        <v>3094</v>
      </c>
      <c r="M65" t="s">
        <v>3083</v>
      </c>
      <c r="N65" t="s">
        <v>3066</v>
      </c>
      <c r="O65" s="39" t="s">
        <v>3085</v>
      </c>
      <c r="P65" t="s">
        <v>1606</v>
      </c>
      <c r="Q65" t="s">
        <v>1635</v>
      </c>
      <c r="R65" s="10">
        <v>1169</v>
      </c>
      <c r="T65" t="s">
        <v>2020</v>
      </c>
    </row>
    <row r="66" spans="1:20" x14ac:dyDescent="0.35">
      <c r="A66">
        <v>2023</v>
      </c>
      <c r="B66" t="s">
        <v>807</v>
      </c>
      <c r="C66" t="s">
        <v>754</v>
      </c>
      <c r="D66" t="s">
        <v>707</v>
      </c>
      <c r="E66" t="s">
        <v>707</v>
      </c>
      <c r="F66" t="s">
        <v>707</v>
      </c>
      <c r="G66" t="s">
        <v>2023</v>
      </c>
      <c r="H66" s="37" t="s">
        <v>11</v>
      </c>
      <c r="I66" s="37" t="s">
        <v>98</v>
      </c>
      <c r="J66" t="s">
        <v>147</v>
      </c>
      <c r="K66" t="s">
        <v>3007</v>
      </c>
      <c r="L66" t="s">
        <v>3094</v>
      </c>
      <c r="M66" t="s">
        <v>3083</v>
      </c>
      <c r="N66" t="s">
        <v>3066</v>
      </c>
      <c r="O66" s="39" t="s">
        <v>3085</v>
      </c>
      <c r="P66" t="s">
        <v>1605</v>
      </c>
      <c r="Q66" t="s">
        <v>1962</v>
      </c>
      <c r="R66" s="10">
        <v>0.8</v>
      </c>
      <c r="T66" t="s">
        <v>1911</v>
      </c>
    </row>
    <row r="67" spans="1:20" x14ac:dyDescent="0.35">
      <c r="A67">
        <v>2023</v>
      </c>
      <c r="B67" t="s">
        <v>807</v>
      </c>
      <c r="C67" t="s">
        <v>754</v>
      </c>
      <c r="D67" t="s">
        <v>707</v>
      </c>
      <c r="E67" t="s">
        <v>707</v>
      </c>
      <c r="F67" t="s">
        <v>707</v>
      </c>
      <c r="G67" t="s">
        <v>2023</v>
      </c>
      <c r="H67" s="37" t="s">
        <v>11</v>
      </c>
      <c r="I67" s="37" t="s">
        <v>98</v>
      </c>
      <c r="J67" t="s">
        <v>147</v>
      </c>
      <c r="K67" t="s">
        <v>3007</v>
      </c>
      <c r="L67" t="s">
        <v>3094</v>
      </c>
      <c r="M67" t="s">
        <v>3083</v>
      </c>
      <c r="N67" t="s">
        <v>3066</v>
      </c>
      <c r="O67" s="39" t="s">
        <v>3085</v>
      </c>
      <c r="P67" t="s">
        <v>1606</v>
      </c>
      <c r="Q67" t="s">
        <v>1962</v>
      </c>
      <c r="R67" s="10">
        <v>0.9</v>
      </c>
      <c r="T67" t="s">
        <v>1911</v>
      </c>
    </row>
    <row r="68" spans="1:20" x14ac:dyDescent="0.35">
      <c r="A68">
        <v>2021</v>
      </c>
      <c r="B68" t="s">
        <v>807</v>
      </c>
      <c r="C68" t="s">
        <v>716</v>
      </c>
      <c r="D68" t="s">
        <v>707</v>
      </c>
      <c r="E68" t="s">
        <v>707</v>
      </c>
      <c r="F68" t="s">
        <v>707</v>
      </c>
      <c r="G68" t="s">
        <v>2087</v>
      </c>
      <c r="H68" s="37" t="s">
        <v>233</v>
      </c>
      <c r="I68" s="37" t="s">
        <v>720</v>
      </c>
      <c r="J68" t="s">
        <v>244</v>
      </c>
      <c r="K68" t="s">
        <v>3007</v>
      </c>
      <c r="L68" t="s">
        <v>3094</v>
      </c>
      <c r="M68" t="s">
        <v>3083</v>
      </c>
      <c r="N68" t="s">
        <v>3066</v>
      </c>
      <c r="O68" s="39" t="s">
        <v>3085</v>
      </c>
      <c r="P68" t="s">
        <v>1605</v>
      </c>
      <c r="Q68" t="s">
        <v>1962</v>
      </c>
      <c r="R68" s="10">
        <v>42.13</v>
      </c>
      <c r="T68" s="10" t="s">
        <v>2308</v>
      </c>
    </row>
    <row r="69" spans="1:20" x14ac:dyDescent="0.35">
      <c r="A69">
        <v>2021</v>
      </c>
      <c r="B69" t="s">
        <v>807</v>
      </c>
      <c r="C69" t="s">
        <v>716</v>
      </c>
      <c r="D69" t="s">
        <v>707</v>
      </c>
      <c r="E69" t="s">
        <v>707</v>
      </c>
      <c r="F69" t="s">
        <v>707</v>
      </c>
      <c r="G69" t="s">
        <v>2087</v>
      </c>
      <c r="H69" s="37" t="s">
        <v>233</v>
      </c>
      <c r="I69" s="37" t="s">
        <v>720</v>
      </c>
      <c r="J69" t="s">
        <v>244</v>
      </c>
      <c r="K69" t="s">
        <v>3007</v>
      </c>
      <c r="L69" t="s">
        <v>3094</v>
      </c>
      <c r="M69" t="s">
        <v>3083</v>
      </c>
      <c r="N69" t="s">
        <v>3066</v>
      </c>
      <c r="O69" s="39" t="s">
        <v>3085</v>
      </c>
      <c r="P69" t="s">
        <v>1606</v>
      </c>
      <c r="Q69" t="s">
        <v>1962</v>
      </c>
      <c r="R69" s="10">
        <v>40.17</v>
      </c>
      <c r="T69" s="10" t="s">
        <v>2308</v>
      </c>
    </row>
    <row r="70" spans="1:20" x14ac:dyDescent="0.35">
      <c r="A70">
        <v>2023</v>
      </c>
      <c r="B70" t="s">
        <v>807</v>
      </c>
      <c r="C70" t="s">
        <v>715</v>
      </c>
      <c r="D70" t="s">
        <v>707</v>
      </c>
      <c r="E70" t="s">
        <v>707</v>
      </c>
      <c r="F70" t="s">
        <v>707</v>
      </c>
      <c r="G70" t="s">
        <v>2104</v>
      </c>
      <c r="H70" s="37" t="s">
        <v>1851</v>
      </c>
      <c r="I70" s="37" t="s">
        <v>720</v>
      </c>
      <c r="J70" t="s">
        <v>720</v>
      </c>
      <c r="K70" t="s">
        <v>3007</v>
      </c>
      <c r="L70" t="s">
        <v>3094</v>
      </c>
      <c r="M70" t="s">
        <v>3083</v>
      </c>
      <c r="N70" t="s">
        <v>3066</v>
      </c>
      <c r="O70" s="39" t="s">
        <v>3085</v>
      </c>
      <c r="P70" t="s">
        <v>1605</v>
      </c>
      <c r="Q70" t="s">
        <v>1786</v>
      </c>
      <c r="R70" s="10">
        <v>16717</v>
      </c>
      <c r="T70" t="s">
        <v>2446</v>
      </c>
    </row>
    <row r="71" spans="1:20" x14ac:dyDescent="0.35">
      <c r="A71">
        <v>2023</v>
      </c>
      <c r="B71" t="s">
        <v>807</v>
      </c>
      <c r="C71" t="s">
        <v>715</v>
      </c>
      <c r="D71" t="s">
        <v>707</v>
      </c>
      <c r="E71" t="s">
        <v>707</v>
      </c>
      <c r="F71" t="s">
        <v>707</v>
      </c>
      <c r="G71" t="s">
        <v>2104</v>
      </c>
      <c r="H71" s="37" t="s">
        <v>1851</v>
      </c>
      <c r="I71" s="37" t="s">
        <v>720</v>
      </c>
      <c r="J71" t="s">
        <v>720</v>
      </c>
      <c r="K71" t="s">
        <v>3007</v>
      </c>
      <c r="L71" t="s">
        <v>3094</v>
      </c>
      <c r="M71" t="s">
        <v>3083</v>
      </c>
      <c r="N71" t="s">
        <v>3066</v>
      </c>
      <c r="O71" s="39" t="s">
        <v>3085</v>
      </c>
      <c r="P71" t="s">
        <v>2438</v>
      </c>
      <c r="Q71" t="s">
        <v>1786</v>
      </c>
      <c r="R71" s="10">
        <v>0.04</v>
      </c>
      <c r="T71" t="s">
        <v>2446</v>
      </c>
    </row>
    <row r="72" spans="1:20" x14ac:dyDescent="0.35">
      <c r="A72">
        <v>2023</v>
      </c>
      <c r="B72" t="s">
        <v>807</v>
      </c>
      <c r="C72" t="s">
        <v>715</v>
      </c>
      <c r="D72" t="s">
        <v>707</v>
      </c>
      <c r="E72" t="s">
        <v>707</v>
      </c>
      <c r="F72" t="s">
        <v>707</v>
      </c>
      <c r="G72" t="s">
        <v>2104</v>
      </c>
      <c r="H72" s="37" t="s">
        <v>1851</v>
      </c>
      <c r="I72" s="37" t="s">
        <v>720</v>
      </c>
      <c r="J72" t="s">
        <v>720</v>
      </c>
      <c r="K72" t="s">
        <v>3007</v>
      </c>
      <c r="L72" t="s">
        <v>3094</v>
      </c>
      <c r="M72" t="s">
        <v>3083</v>
      </c>
      <c r="N72" t="s">
        <v>3066</v>
      </c>
      <c r="O72" s="39" t="s">
        <v>3085</v>
      </c>
      <c r="P72" t="s">
        <v>2439</v>
      </c>
      <c r="Q72" t="s">
        <v>1786</v>
      </c>
      <c r="R72" s="10">
        <v>1239</v>
      </c>
      <c r="T72" t="s">
        <v>2446</v>
      </c>
    </row>
    <row r="73" spans="1:20" x14ac:dyDescent="0.35">
      <c r="A73">
        <v>2023</v>
      </c>
      <c r="B73" t="s">
        <v>807</v>
      </c>
      <c r="C73" t="s">
        <v>715</v>
      </c>
      <c r="D73" t="s">
        <v>707</v>
      </c>
      <c r="E73" t="s">
        <v>707</v>
      </c>
      <c r="F73" t="s">
        <v>707</v>
      </c>
      <c r="G73" t="s">
        <v>2104</v>
      </c>
      <c r="H73" s="37" t="s">
        <v>1851</v>
      </c>
      <c r="I73" s="37" t="s">
        <v>720</v>
      </c>
      <c r="J73" t="s">
        <v>720</v>
      </c>
      <c r="K73" t="s">
        <v>3007</v>
      </c>
      <c r="L73" t="s">
        <v>3094</v>
      </c>
      <c r="M73" t="s">
        <v>3083</v>
      </c>
      <c r="N73" t="s">
        <v>3066</v>
      </c>
      <c r="O73" s="39" t="s">
        <v>3085</v>
      </c>
      <c r="P73" t="s">
        <v>2440</v>
      </c>
      <c r="Q73" t="s">
        <v>1786</v>
      </c>
      <c r="R73" s="10">
        <v>3390</v>
      </c>
      <c r="T73" t="s">
        <v>2446</v>
      </c>
    </row>
    <row r="74" spans="1:20" x14ac:dyDescent="0.35">
      <c r="A74">
        <v>2023</v>
      </c>
      <c r="B74" t="s">
        <v>807</v>
      </c>
      <c r="C74" t="s">
        <v>715</v>
      </c>
      <c r="D74" t="s">
        <v>707</v>
      </c>
      <c r="E74" t="s">
        <v>707</v>
      </c>
      <c r="F74" t="s">
        <v>707</v>
      </c>
      <c r="G74" t="s">
        <v>2104</v>
      </c>
      <c r="H74" s="37" t="s">
        <v>1851</v>
      </c>
      <c r="I74" s="37" t="s">
        <v>720</v>
      </c>
      <c r="J74" t="s">
        <v>720</v>
      </c>
      <c r="K74" t="s">
        <v>3007</v>
      </c>
      <c r="L74" t="s">
        <v>3094</v>
      </c>
      <c r="M74" t="s">
        <v>3083</v>
      </c>
      <c r="N74" t="s">
        <v>3066</v>
      </c>
      <c r="O74" s="39" t="s">
        <v>3085</v>
      </c>
      <c r="P74" t="s">
        <v>2441</v>
      </c>
      <c r="Q74" t="s">
        <v>1786</v>
      </c>
      <c r="R74" s="10">
        <v>3172</v>
      </c>
      <c r="T74" t="s">
        <v>2446</v>
      </c>
    </row>
    <row r="75" spans="1:20" x14ac:dyDescent="0.35">
      <c r="A75">
        <v>2023</v>
      </c>
      <c r="B75" t="s">
        <v>807</v>
      </c>
      <c r="C75" t="s">
        <v>715</v>
      </c>
      <c r="D75" t="s">
        <v>707</v>
      </c>
      <c r="E75" t="s">
        <v>707</v>
      </c>
      <c r="F75" t="s">
        <v>707</v>
      </c>
      <c r="G75" t="s">
        <v>2104</v>
      </c>
      <c r="H75" s="37" t="s">
        <v>1851</v>
      </c>
      <c r="I75" s="37" t="s">
        <v>720</v>
      </c>
      <c r="J75" t="s">
        <v>720</v>
      </c>
      <c r="K75" t="s">
        <v>3007</v>
      </c>
      <c r="L75" t="s">
        <v>3094</v>
      </c>
      <c r="M75" t="s">
        <v>3083</v>
      </c>
      <c r="N75" t="s">
        <v>3066</v>
      </c>
      <c r="O75" s="39" t="s">
        <v>3085</v>
      </c>
      <c r="P75" t="s">
        <v>2442</v>
      </c>
      <c r="Q75" t="s">
        <v>1786</v>
      </c>
      <c r="R75" s="10">
        <v>2357</v>
      </c>
      <c r="T75" t="s">
        <v>2446</v>
      </c>
    </row>
    <row r="76" spans="1:20" x14ac:dyDescent="0.35">
      <c r="A76">
        <v>2023</v>
      </c>
      <c r="B76" t="s">
        <v>807</v>
      </c>
      <c r="C76" t="s">
        <v>715</v>
      </c>
      <c r="D76" t="s">
        <v>707</v>
      </c>
      <c r="E76" t="s">
        <v>707</v>
      </c>
      <c r="F76" t="s">
        <v>707</v>
      </c>
      <c r="G76" t="s">
        <v>2104</v>
      </c>
      <c r="H76" s="37" t="s">
        <v>1851</v>
      </c>
      <c r="I76" s="37" t="s">
        <v>720</v>
      </c>
      <c r="J76" t="s">
        <v>720</v>
      </c>
      <c r="K76" t="s">
        <v>3007</v>
      </c>
      <c r="L76" t="s">
        <v>3094</v>
      </c>
      <c r="M76" t="s">
        <v>3083</v>
      </c>
      <c r="N76" t="s">
        <v>3066</v>
      </c>
      <c r="O76" s="39" t="s">
        <v>3085</v>
      </c>
      <c r="P76" t="s">
        <v>2443</v>
      </c>
      <c r="Q76" t="s">
        <v>1786</v>
      </c>
      <c r="R76" s="10">
        <v>593</v>
      </c>
      <c r="T76" t="s">
        <v>2446</v>
      </c>
    </row>
    <row r="77" spans="1:20" x14ac:dyDescent="0.35">
      <c r="A77">
        <v>2023</v>
      </c>
      <c r="B77" t="s">
        <v>807</v>
      </c>
      <c r="C77" t="s">
        <v>715</v>
      </c>
      <c r="D77" t="s">
        <v>707</v>
      </c>
      <c r="E77" t="s">
        <v>707</v>
      </c>
      <c r="F77" t="s">
        <v>707</v>
      </c>
      <c r="G77" t="s">
        <v>2104</v>
      </c>
      <c r="H77" s="37" t="s">
        <v>1851</v>
      </c>
      <c r="I77" s="37" t="s">
        <v>720</v>
      </c>
      <c r="J77" t="s">
        <v>720</v>
      </c>
      <c r="K77" t="s">
        <v>3007</v>
      </c>
      <c r="L77" t="s">
        <v>3094</v>
      </c>
      <c r="M77" t="s">
        <v>3083</v>
      </c>
      <c r="N77" t="s">
        <v>3066</v>
      </c>
      <c r="O77" s="39" t="s">
        <v>3085</v>
      </c>
      <c r="P77" t="s">
        <v>1606</v>
      </c>
      <c r="Q77" t="s">
        <v>1786</v>
      </c>
      <c r="R77" s="10">
        <v>9663</v>
      </c>
      <c r="T77" t="s">
        <v>2446</v>
      </c>
    </row>
    <row r="78" spans="1:20" x14ac:dyDescent="0.35">
      <c r="A78">
        <v>2023</v>
      </c>
      <c r="B78" t="s">
        <v>807</v>
      </c>
      <c r="C78" t="s">
        <v>715</v>
      </c>
      <c r="D78" t="s">
        <v>707</v>
      </c>
      <c r="E78" t="s">
        <v>707</v>
      </c>
      <c r="F78" t="s">
        <v>707</v>
      </c>
      <c r="G78" t="s">
        <v>2104</v>
      </c>
      <c r="H78" s="37" t="s">
        <v>1851</v>
      </c>
      <c r="I78" s="37" t="s">
        <v>720</v>
      </c>
      <c r="J78" t="s">
        <v>720</v>
      </c>
      <c r="K78" t="s">
        <v>3007</v>
      </c>
      <c r="L78" t="s">
        <v>3094</v>
      </c>
      <c r="M78" t="s">
        <v>3083</v>
      </c>
      <c r="N78" t="s">
        <v>3066</v>
      </c>
      <c r="O78" s="39" t="s">
        <v>3085</v>
      </c>
      <c r="P78" t="s">
        <v>2447</v>
      </c>
      <c r="Q78" t="s">
        <v>1786</v>
      </c>
      <c r="R78" s="10">
        <v>10331</v>
      </c>
      <c r="T78" t="s">
        <v>2446</v>
      </c>
    </row>
    <row r="79" spans="1:20" x14ac:dyDescent="0.35">
      <c r="A79">
        <v>2023</v>
      </c>
      <c r="B79" t="s">
        <v>807</v>
      </c>
      <c r="C79" t="s">
        <v>715</v>
      </c>
      <c r="D79" t="s">
        <v>707</v>
      </c>
      <c r="E79" t="s">
        <v>707</v>
      </c>
      <c r="F79" t="s">
        <v>707</v>
      </c>
      <c r="G79" t="s">
        <v>2104</v>
      </c>
      <c r="H79" s="37" t="s">
        <v>1851</v>
      </c>
      <c r="I79" s="37" t="s">
        <v>720</v>
      </c>
      <c r="J79" t="s">
        <v>720</v>
      </c>
      <c r="K79" t="s">
        <v>3007</v>
      </c>
      <c r="L79" t="s">
        <v>3094</v>
      </c>
      <c r="M79" t="s">
        <v>3083</v>
      </c>
      <c r="N79" t="s">
        <v>3066</v>
      </c>
      <c r="O79" s="39" t="s">
        <v>3085</v>
      </c>
      <c r="P79" t="s">
        <v>2448</v>
      </c>
      <c r="Q79" t="s">
        <v>1786</v>
      </c>
      <c r="R79" s="10" t="s">
        <v>707</v>
      </c>
      <c r="T79" t="s">
        <v>2446</v>
      </c>
    </row>
    <row r="80" spans="1:20" x14ac:dyDescent="0.35">
      <c r="A80">
        <v>2023</v>
      </c>
      <c r="B80" t="s">
        <v>807</v>
      </c>
      <c r="C80" t="s">
        <v>715</v>
      </c>
      <c r="D80" t="s">
        <v>707</v>
      </c>
      <c r="E80" t="s">
        <v>707</v>
      </c>
      <c r="F80" t="s">
        <v>707</v>
      </c>
      <c r="G80" t="s">
        <v>2104</v>
      </c>
      <c r="H80" s="37" t="s">
        <v>1851</v>
      </c>
      <c r="I80" s="37" t="s">
        <v>720</v>
      </c>
      <c r="J80" t="s">
        <v>720</v>
      </c>
      <c r="K80" t="s">
        <v>3007</v>
      </c>
      <c r="L80" t="s">
        <v>3094</v>
      </c>
      <c r="M80" t="s">
        <v>3083</v>
      </c>
      <c r="N80" t="s">
        <v>3066</v>
      </c>
      <c r="O80" s="39" t="s">
        <v>3085</v>
      </c>
      <c r="P80" t="s">
        <v>2449</v>
      </c>
      <c r="Q80" t="s">
        <v>1786</v>
      </c>
      <c r="R80" s="10">
        <v>304</v>
      </c>
      <c r="T80" t="s">
        <v>2446</v>
      </c>
    </row>
    <row r="81" spans="1:20" x14ac:dyDescent="0.35">
      <c r="A81">
        <v>2023</v>
      </c>
      <c r="B81" t="s">
        <v>807</v>
      </c>
      <c r="C81" t="s">
        <v>715</v>
      </c>
      <c r="D81" t="s">
        <v>707</v>
      </c>
      <c r="E81" t="s">
        <v>707</v>
      </c>
      <c r="F81" t="s">
        <v>707</v>
      </c>
      <c r="G81" t="s">
        <v>2104</v>
      </c>
      <c r="H81" s="37" t="s">
        <v>1851</v>
      </c>
      <c r="I81" s="37" t="s">
        <v>720</v>
      </c>
      <c r="J81" t="s">
        <v>720</v>
      </c>
      <c r="K81" t="s">
        <v>3007</v>
      </c>
      <c r="L81" t="s">
        <v>3094</v>
      </c>
      <c r="M81" t="s">
        <v>3083</v>
      </c>
      <c r="N81" t="s">
        <v>3066</v>
      </c>
      <c r="O81" s="39" t="s">
        <v>3085</v>
      </c>
      <c r="P81" t="s">
        <v>2450</v>
      </c>
      <c r="Q81" t="s">
        <v>1786</v>
      </c>
      <c r="R81" s="10">
        <v>5220</v>
      </c>
      <c r="T81" t="s">
        <v>2446</v>
      </c>
    </row>
    <row r="82" spans="1:20" x14ac:dyDescent="0.35">
      <c r="A82">
        <v>2023</v>
      </c>
      <c r="B82" t="s">
        <v>807</v>
      </c>
      <c r="C82" t="s">
        <v>715</v>
      </c>
      <c r="D82" t="s">
        <v>707</v>
      </c>
      <c r="E82" t="s">
        <v>707</v>
      </c>
      <c r="F82" t="s">
        <v>707</v>
      </c>
      <c r="G82" t="s">
        <v>2104</v>
      </c>
      <c r="H82" s="37" t="s">
        <v>1851</v>
      </c>
      <c r="I82" s="37" t="s">
        <v>720</v>
      </c>
      <c r="J82" t="s">
        <v>720</v>
      </c>
      <c r="K82" t="s">
        <v>3007</v>
      </c>
      <c r="L82" t="s">
        <v>3094</v>
      </c>
      <c r="M82" t="s">
        <v>3083</v>
      </c>
      <c r="N82" t="s">
        <v>3066</v>
      </c>
      <c r="O82" s="39" t="s">
        <v>3085</v>
      </c>
      <c r="P82" t="s">
        <v>2451</v>
      </c>
      <c r="Q82" t="s">
        <v>1786</v>
      </c>
      <c r="R82" s="10">
        <v>322</v>
      </c>
      <c r="T82" t="s">
        <v>2446</v>
      </c>
    </row>
    <row r="83" spans="1:20" x14ac:dyDescent="0.35">
      <c r="A83">
        <v>2023</v>
      </c>
      <c r="B83" t="s">
        <v>807</v>
      </c>
      <c r="C83" t="s">
        <v>715</v>
      </c>
      <c r="D83" t="s">
        <v>707</v>
      </c>
      <c r="E83" t="s">
        <v>707</v>
      </c>
      <c r="F83" t="s">
        <v>707</v>
      </c>
      <c r="G83" t="s">
        <v>2104</v>
      </c>
      <c r="H83" s="37" t="s">
        <v>1851</v>
      </c>
      <c r="I83" s="37" t="s">
        <v>720</v>
      </c>
      <c r="J83" t="s">
        <v>720</v>
      </c>
      <c r="K83" t="s">
        <v>3007</v>
      </c>
      <c r="L83" t="s">
        <v>3094</v>
      </c>
      <c r="M83" t="s">
        <v>3083</v>
      </c>
      <c r="N83" t="s">
        <v>3066</v>
      </c>
      <c r="O83" s="39" t="s">
        <v>3085</v>
      </c>
      <c r="P83" t="s">
        <v>2452</v>
      </c>
      <c r="Q83" t="s">
        <v>1786</v>
      </c>
      <c r="R83" s="10">
        <v>3190</v>
      </c>
      <c r="T83" t="s">
        <v>2446</v>
      </c>
    </row>
    <row r="84" spans="1:20" x14ac:dyDescent="0.35">
      <c r="A84">
        <v>2023</v>
      </c>
      <c r="B84" t="s">
        <v>807</v>
      </c>
      <c r="C84" t="s">
        <v>715</v>
      </c>
      <c r="D84" t="s">
        <v>707</v>
      </c>
      <c r="E84" t="s">
        <v>707</v>
      </c>
      <c r="F84" t="s">
        <v>707</v>
      </c>
      <c r="G84" t="s">
        <v>2104</v>
      </c>
      <c r="H84" s="37" t="s">
        <v>1851</v>
      </c>
      <c r="I84" s="37" t="s">
        <v>720</v>
      </c>
      <c r="J84" t="s">
        <v>720</v>
      </c>
      <c r="K84" t="s">
        <v>3007</v>
      </c>
      <c r="L84" t="s">
        <v>3094</v>
      </c>
      <c r="M84" t="s">
        <v>3083</v>
      </c>
      <c r="N84" t="s">
        <v>3066</v>
      </c>
      <c r="O84" s="39" t="s">
        <v>3085</v>
      </c>
      <c r="P84" t="s">
        <v>2453</v>
      </c>
      <c r="Q84" t="s">
        <v>1786</v>
      </c>
      <c r="R84" s="10">
        <v>37</v>
      </c>
      <c r="T84" t="s">
        <v>2446</v>
      </c>
    </row>
    <row r="85" spans="1:20" x14ac:dyDescent="0.35">
      <c r="A85">
        <v>2023</v>
      </c>
      <c r="B85" t="s">
        <v>807</v>
      </c>
      <c r="C85" t="s">
        <v>715</v>
      </c>
      <c r="D85" t="s">
        <v>707</v>
      </c>
      <c r="E85" t="s">
        <v>707</v>
      </c>
      <c r="F85" t="s">
        <v>707</v>
      </c>
      <c r="G85" t="s">
        <v>2104</v>
      </c>
      <c r="H85" s="37" t="s">
        <v>1851</v>
      </c>
      <c r="I85" s="37" t="s">
        <v>720</v>
      </c>
      <c r="J85" t="s">
        <v>720</v>
      </c>
      <c r="K85" t="s">
        <v>3007</v>
      </c>
      <c r="L85" t="s">
        <v>3094</v>
      </c>
      <c r="M85" t="s">
        <v>3083</v>
      </c>
      <c r="N85" t="s">
        <v>3066</v>
      </c>
      <c r="O85" s="39" t="s">
        <v>3085</v>
      </c>
      <c r="P85" t="s">
        <v>1607</v>
      </c>
      <c r="Q85" t="s">
        <v>1786</v>
      </c>
      <c r="R85" s="10">
        <v>405760</v>
      </c>
      <c r="T85" t="s">
        <v>2446</v>
      </c>
    </row>
    <row r="86" spans="1:20" x14ac:dyDescent="0.35">
      <c r="A86">
        <v>2023</v>
      </c>
      <c r="B86" t="s">
        <v>807</v>
      </c>
      <c r="C86" t="s">
        <v>8</v>
      </c>
      <c r="D86" t="s">
        <v>707</v>
      </c>
      <c r="E86" t="s">
        <v>707</v>
      </c>
      <c r="F86" t="s">
        <v>707</v>
      </c>
      <c r="G86" t="s">
        <v>1902</v>
      </c>
      <c r="H86" s="37" t="s">
        <v>11</v>
      </c>
      <c r="I86" s="37"/>
      <c r="K86" t="s">
        <v>3007</v>
      </c>
      <c r="L86" t="s">
        <v>3094</v>
      </c>
      <c r="M86" t="s">
        <v>3083</v>
      </c>
      <c r="N86" t="s">
        <v>3066</v>
      </c>
      <c r="O86" s="39" t="s">
        <v>3085</v>
      </c>
      <c r="P86" t="s">
        <v>1605</v>
      </c>
      <c r="Q86" t="s">
        <v>1635</v>
      </c>
      <c r="R86" s="10">
        <v>65345</v>
      </c>
      <c r="T86" t="s">
        <v>1911</v>
      </c>
    </row>
    <row r="87" spans="1:20" x14ac:dyDescent="0.35">
      <c r="A87">
        <v>2023</v>
      </c>
      <c r="B87" t="s">
        <v>807</v>
      </c>
      <c r="C87" t="s">
        <v>8</v>
      </c>
      <c r="D87" t="s">
        <v>707</v>
      </c>
      <c r="E87" t="s">
        <v>707</v>
      </c>
      <c r="F87" t="s">
        <v>707</v>
      </c>
      <c r="G87" t="s">
        <v>1902</v>
      </c>
      <c r="H87" s="37" t="s">
        <v>11</v>
      </c>
      <c r="I87" s="37"/>
      <c r="K87" t="s">
        <v>3007</v>
      </c>
      <c r="L87" t="s">
        <v>3094</v>
      </c>
      <c r="M87" t="s">
        <v>3083</v>
      </c>
      <c r="N87" t="s">
        <v>3066</v>
      </c>
      <c r="O87" s="39" t="s">
        <v>3085</v>
      </c>
      <c r="P87" t="s">
        <v>1605</v>
      </c>
      <c r="Q87" t="s">
        <v>1903</v>
      </c>
      <c r="R87" s="10">
        <v>1352</v>
      </c>
      <c r="T87" t="s">
        <v>1911</v>
      </c>
    </row>
    <row r="88" spans="1:20" x14ac:dyDescent="0.35">
      <c r="A88">
        <v>2023</v>
      </c>
      <c r="B88" t="s">
        <v>807</v>
      </c>
      <c r="C88" t="s">
        <v>8</v>
      </c>
      <c r="D88" t="s">
        <v>707</v>
      </c>
      <c r="E88" t="s">
        <v>707</v>
      </c>
      <c r="F88" t="s">
        <v>707</v>
      </c>
      <c r="G88" t="s">
        <v>1902</v>
      </c>
      <c r="H88" s="37" t="s">
        <v>11</v>
      </c>
      <c r="I88" s="37"/>
      <c r="K88" t="s">
        <v>3007</v>
      </c>
      <c r="L88" t="s">
        <v>3094</v>
      </c>
      <c r="M88" t="s">
        <v>3083</v>
      </c>
      <c r="N88" t="s">
        <v>3066</v>
      </c>
      <c r="O88" s="39" t="s">
        <v>3085</v>
      </c>
      <c r="P88" t="s">
        <v>1606</v>
      </c>
      <c r="Q88" t="s">
        <v>1635</v>
      </c>
      <c r="R88" s="10">
        <v>19504</v>
      </c>
      <c r="T88" t="s">
        <v>1911</v>
      </c>
    </row>
    <row r="89" spans="1:20" x14ac:dyDescent="0.35">
      <c r="A89">
        <v>2023</v>
      </c>
      <c r="B89" t="s">
        <v>807</v>
      </c>
      <c r="C89" t="s">
        <v>325</v>
      </c>
      <c r="D89" t="s">
        <v>707</v>
      </c>
      <c r="E89" t="s">
        <v>707</v>
      </c>
      <c r="F89" t="s">
        <v>707</v>
      </c>
      <c r="G89" t="s">
        <v>2137</v>
      </c>
      <c r="H89" s="37" t="s">
        <v>1851</v>
      </c>
      <c r="I89" s="37" t="s">
        <v>720</v>
      </c>
      <c r="J89" t="s">
        <v>2340</v>
      </c>
      <c r="K89" t="s">
        <v>3007</v>
      </c>
      <c r="L89" t="s">
        <v>3094</v>
      </c>
      <c r="M89" t="s">
        <v>3083</v>
      </c>
      <c r="N89" t="s">
        <v>3066</v>
      </c>
      <c r="O89" s="39" t="s">
        <v>3085</v>
      </c>
      <c r="P89" t="s">
        <v>1605</v>
      </c>
      <c r="Q89" t="s">
        <v>1635</v>
      </c>
      <c r="R89" s="10">
        <v>47753</v>
      </c>
      <c r="T89" t="s">
        <v>1911</v>
      </c>
    </row>
    <row r="90" spans="1:20" x14ac:dyDescent="0.35">
      <c r="A90">
        <v>2023</v>
      </c>
      <c r="B90" t="s">
        <v>807</v>
      </c>
      <c r="C90" t="s">
        <v>325</v>
      </c>
      <c r="D90" t="s">
        <v>707</v>
      </c>
      <c r="E90" t="s">
        <v>707</v>
      </c>
      <c r="F90" t="s">
        <v>707</v>
      </c>
      <c r="G90" t="s">
        <v>2137</v>
      </c>
      <c r="H90" s="37" t="s">
        <v>1851</v>
      </c>
      <c r="I90" s="37" t="s">
        <v>720</v>
      </c>
      <c r="J90" t="s">
        <v>2340</v>
      </c>
      <c r="K90" t="s">
        <v>3007</v>
      </c>
      <c r="L90" t="s">
        <v>3094</v>
      </c>
      <c r="M90" t="s">
        <v>3083</v>
      </c>
      <c r="N90" t="s">
        <v>3066</v>
      </c>
      <c r="O90" s="39" t="s">
        <v>3085</v>
      </c>
      <c r="P90" t="s">
        <v>1606</v>
      </c>
      <c r="Q90" t="s">
        <v>1635</v>
      </c>
      <c r="R90" s="10">
        <v>11644</v>
      </c>
      <c r="T90" t="s">
        <v>1911</v>
      </c>
    </row>
    <row r="91" spans="1:20" x14ac:dyDescent="0.35">
      <c r="A91">
        <v>2023</v>
      </c>
      <c r="B91" t="s">
        <v>807</v>
      </c>
      <c r="C91" t="s">
        <v>718</v>
      </c>
      <c r="D91" t="s">
        <v>707</v>
      </c>
      <c r="E91" t="s">
        <v>707</v>
      </c>
      <c r="F91" t="s">
        <v>707</v>
      </c>
      <c r="G91" t="s">
        <v>2167</v>
      </c>
      <c r="H91" s="37" t="s">
        <v>1851</v>
      </c>
      <c r="I91" s="37" t="s">
        <v>720</v>
      </c>
      <c r="J91" t="s">
        <v>720</v>
      </c>
      <c r="K91" t="s">
        <v>3007</v>
      </c>
      <c r="L91" t="s">
        <v>3094</v>
      </c>
      <c r="M91" t="s">
        <v>3083</v>
      </c>
      <c r="N91" t="s">
        <v>3066</v>
      </c>
      <c r="O91" s="39" t="s">
        <v>3085</v>
      </c>
      <c r="P91" t="s">
        <v>1696</v>
      </c>
      <c r="Q91" t="s">
        <v>1962</v>
      </c>
      <c r="R91" s="10">
        <v>33.9</v>
      </c>
      <c r="T91" t="s">
        <v>2476</v>
      </c>
    </row>
    <row r="92" spans="1:20" x14ac:dyDescent="0.35">
      <c r="A92">
        <v>2023</v>
      </c>
      <c r="B92" t="s">
        <v>807</v>
      </c>
      <c r="C92" t="s">
        <v>718</v>
      </c>
      <c r="D92" t="s">
        <v>707</v>
      </c>
      <c r="E92" t="s">
        <v>707</v>
      </c>
      <c r="F92" t="s">
        <v>707</v>
      </c>
      <c r="G92" t="s">
        <v>2167</v>
      </c>
      <c r="H92" s="37" t="s">
        <v>1851</v>
      </c>
      <c r="I92" s="37" t="s">
        <v>720</v>
      </c>
      <c r="J92" t="s">
        <v>720</v>
      </c>
      <c r="K92" t="s">
        <v>3007</v>
      </c>
      <c r="L92" t="s">
        <v>3094</v>
      </c>
      <c r="M92" t="s">
        <v>3083</v>
      </c>
      <c r="N92" t="s">
        <v>3066</v>
      </c>
      <c r="O92" s="39" t="s">
        <v>3085</v>
      </c>
      <c r="P92" t="s">
        <v>1605</v>
      </c>
      <c r="Q92" t="s">
        <v>1962</v>
      </c>
      <c r="R92" s="10">
        <v>23.3</v>
      </c>
      <c r="T92" t="s">
        <v>2476</v>
      </c>
    </row>
    <row r="93" spans="1:20" x14ac:dyDescent="0.35">
      <c r="A93">
        <v>2023</v>
      </c>
      <c r="B93" t="s">
        <v>807</v>
      </c>
      <c r="C93" t="s">
        <v>718</v>
      </c>
      <c r="D93" t="s">
        <v>707</v>
      </c>
      <c r="E93" t="s">
        <v>707</v>
      </c>
      <c r="F93" t="s">
        <v>707</v>
      </c>
      <c r="G93" t="s">
        <v>2167</v>
      </c>
      <c r="H93" s="37" t="s">
        <v>1851</v>
      </c>
      <c r="I93" s="37" t="s">
        <v>720</v>
      </c>
      <c r="J93" t="s">
        <v>720</v>
      </c>
      <c r="K93" t="s">
        <v>3007</v>
      </c>
      <c r="L93" t="s">
        <v>3094</v>
      </c>
      <c r="M93" t="s">
        <v>3083</v>
      </c>
      <c r="N93" t="s">
        <v>3066</v>
      </c>
      <c r="O93" s="39" t="s">
        <v>3085</v>
      </c>
      <c r="P93" t="s">
        <v>1606</v>
      </c>
      <c r="Q93" t="s">
        <v>1962</v>
      </c>
      <c r="R93" s="10">
        <v>7.8</v>
      </c>
      <c r="T93" t="s">
        <v>2476</v>
      </c>
    </row>
    <row r="94" spans="1:20" x14ac:dyDescent="0.35">
      <c r="A94">
        <v>2023</v>
      </c>
      <c r="B94" t="s">
        <v>807</v>
      </c>
      <c r="C94" t="s">
        <v>718</v>
      </c>
      <c r="D94" t="s">
        <v>707</v>
      </c>
      <c r="E94" t="s">
        <v>707</v>
      </c>
      <c r="F94" t="s">
        <v>707</v>
      </c>
      <c r="G94" t="s">
        <v>2167</v>
      </c>
      <c r="H94" s="37" t="s">
        <v>1851</v>
      </c>
      <c r="I94" s="37" t="s">
        <v>720</v>
      </c>
      <c r="J94" t="s">
        <v>720</v>
      </c>
      <c r="K94" t="s">
        <v>3007</v>
      </c>
      <c r="L94" t="s">
        <v>3094</v>
      </c>
      <c r="M94" t="s">
        <v>3083</v>
      </c>
      <c r="N94" t="s">
        <v>3066</v>
      </c>
      <c r="O94" s="39" t="s">
        <v>3085</v>
      </c>
      <c r="P94" t="s">
        <v>1607</v>
      </c>
      <c r="Q94" t="s">
        <v>1962</v>
      </c>
      <c r="R94" s="10">
        <v>572.5</v>
      </c>
      <c r="T94" t="s">
        <v>2476</v>
      </c>
    </row>
    <row r="95" spans="1:20" x14ac:dyDescent="0.35">
      <c r="A95">
        <v>2024</v>
      </c>
      <c r="B95" t="s">
        <v>807</v>
      </c>
      <c r="C95" t="s">
        <v>718</v>
      </c>
      <c r="D95" t="s">
        <v>707</v>
      </c>
      <c r="E95" t="s">
        <v>707</v>
      </c>
      <c r="F95" t="s">
        <v>707</v>
      </c>
      <c r="G95" t="s">
        <v>2167</v>
      </c>
      <c r="H95" s="37" t="s">
        <v>1851</v>
      </c>
      <c r="I95" s="37" t="s">
        <v>720</v>
      </c>
      <c r="J95" t="s">
        <v>720</v>
      </c>
      <c r="K95" t="s">
        <v>3007</v>
      </c>
      <c r="L95" t="s">
        <v>3094</v>
      </c>
      <c r="M95" t="s">
        <v>3083</v>
      </c>
      <c r="N95" t="s">
        <v>3066</v>
      </c>
      <c r="O95" s="39" t="s">
        <v>3085</v>
      </c>
      <c r="P95" t="s">
        <v>2478</v>
      </c>
      <c r="Q95" t="s">
        <v>1962</v>
      </c>
      <c r="R95" s="10">
        <v>6.1</v>
      </c>
      <c r="T95" t="s">
        <v>2476</v>
      </c>
    </row>
    <row r="96" spans="1:20" x14ac:dyDescent="0.35">
      <c r="A96">
        <v>2023</v>
      </c>
      <c r="B96" t="s">
        <v>807</v>
      </c>
      <c r="C96" t="s">
        <v>718</v>
      </c>
      <c r="D96" t="s">
        <v>707</v>
      </c>
      <c r="E96" t="s">
        <v>707</v>
      </c>
      <c r="F96" t="s">
        <v>707</v>
      </c>
      <c r="G96" t="s">
        <v>2167</v>
      </c>
      <c r="H96" s="37" t="s">
        <v>1851</v>
      </c>
      <c r="I96" s="37" t="s">
        <v>720</v>
      </c>
      <c r="J96" t="s">
        <v>720</v>
      </c>
      <c r="K96" t="s">
        <v>3007</v>
      </c>
      <c r="L96" t="s">
        <v>3094</v>
      </c>
      <c r="M96" t="s">
        <v>3083</v>
      </c>
      <c r="N96" t="s">
        <v>3066</v>
      </c>
      <c r="O96" s="39" t="s">
        <v>3085</v>
      </c>
      <c r="P96" t="s">
        <v>2479</v>
      </c>
      <c r="Q96" t="s">
        <v>1962</v>
      </c>
      <c r="R96" s="10">
        <v>0.1</v>
      </c>
      <c r="T96" t="s">
        <v>2476</v>
      </c>
    </row>
    <row r="97" spans="1:20" x14ac:dyDescent="0.35">
      <c r="A97">
        <v>2023</v>
      </c>
      <c r="B97" t="s">
        <v>807</v>
      </c>
      <c r="C97" t="s">
        <v>718</v>
      </c>
      <c r="D97" t="s">
        <v>707</v>
      </c>
      <c r="E97" t="s">
        <v>707</v>
      </c>
      <c r="F97" t="s">
        <v>707</v>
      </c>
      <c r="G97" t="s">
        <v>2167</v>
      </c>
      <c r="H97" s="37" t="s">
        <v>1851</v>
      </c>
      <c r="I97" s="37" t="s">
        <v>720</v>
      </c>
      <c r="J97" t="s">
        <v>720</v>
      </c>
      <c r="K97" t="s">
        <v>3007</v>
      </c>
      <c r="L97" t="s">
        <v>3094</v>
      </c>
      <c r="M97" t="s">
        <v>3083</v>
      </c>
      <c r="N97" t="s">
        <v>3066</v>
      </c>
      <c r="O97" s="39" t="s">
        <v>3085</v>
      </c>
      <c r="P97" t="s">
        <v>2438</v>
      </c>
      <c r="Q97" t="s">
        <v>1962</v>
      </c>
      <c r="R97" s="10">
        <v>8.9</v>
      </c>
      <c r="T97" t="s">
        <v>2476</v>
      </c>
    </row>
    <row r="98" spans="1:20" x14ac:dyDescent="0.35">
      <c r="A98">
        <v>2023</v>
      </c>
      <c r="B98" t="s">
        <v>807</v>
      </c>
      <c r="C98" t="s">
        <v>718</v>
      </c>
      <c r="D98" t="s">
        <v>707</v>
      </c>
      <c r="E98" t="s">
        <v>707</v>
      </c>
      <c r="F98" t="s">
        <v>707</v>
      </c>
      <c r="G98" t="s">
        <v>2167</v>
      </c>
      <c r="H98" s="37" t="s">
        <v>1851</v>
      </c>
      <c r="I98" s="37" t="s">
        <v>720</v>
      </c>
      <c r="J98" t="s">
        <v>720</v>
      </c>
      <c r="K98" t="s">
        <v>3007</v>
      </c>
      <c r="L98" t="s">
        <v>3094</v>
      </c>
      <c r="M98" t="s">
        <v>3083</v>
      </c>
      <c r="N98" t="s">
        <v>3066</v>
      </c>
      <c r="O98" s="39" t="s">
        <v>3085</v>
      </c>
      <c r="P98" t="s">
        <v>2444</v>
      </c>
      <c r="Q98" t="s">
        <v>1962</v>
      </c>
      <c r="R98" s="10">
        <v>6.9</v>
      </c>
      <c r="T98" t="s">
        <v>2476</v>
      </c>
    </row>
    <row r="99" spans="1:20" x14ac:dyDescent="0.35">
      <c r="A99">
        <v>2023</v>
      </c>
      <c r="B99" t="s">
        <v>807</v>
      </c>
      <c r="C99" t="s">
        <v>718</v>
      </c>
      <c r="D99" t="s">
        <v>707</v>
      </c>
      <c r="E99" t="s">
        <v>707</v>
      </c>
      <c r="F99" t="s">
        <v>707</v>
      </c>
      <c r="G99" t="s">
        <v>2167</v>
      </c>
      <c r="H99" s="37" t="s">
        <v>1851</v>
      </c>
      <c r="I99" s="37" t="s">
        <v>720</v>
      </c>
      <c r="J99" t="s">
        <v>720</v>
      </c>
      <c r="K99" t="s">
        <v>3007</v>
      </c>
      <c r="L99" t="s">
        <v>3094</v>
      </c>
      <c r="M99" t="s">
        <v>3083</v>
      </c>
      <c r="N99" t="s">
        <v>3066</v>
      </c>
      <c r="O99" s="39" t="s">
        <v>3085</v>
      </c>
      <c r="P99" t="s">
        <v>2480</v>
      </c>
      <c r="Q99" t="s">
        <v>1962</v>
      </c>
      <c r="R99" s="10">
        <v>2.8</v>
      </c>
      <c r="T99" t="s">
        <v>2476</v>
      </c>
    </row>
    <row r="100" spans="1:20" x14ac:dyDescent="0.35">
      <c r="A100">
        <v>2023</v>
      </c>
      <c r="B100" t="s">
        <v>807</v>
      </c>
      <c r="C100" t="s">
        <v>718</v>
      </c>
      <c r="D100" t="s">
        <v>707</v>
      </c>
      <c r="E100" t="s">
        <v>707</v>
      </c>
      <c r="F100" t="s">
        <v>707</v>
      </c>
      <c r="G100" t="s">
        <v>2167</v>
      </c>
      <c r="H100" s="37" t="s">
        <v>1851</v>
      </c>
      <c r="I100" s="37" t="s">
        <v>720</v>
      </c>
      <c r="J100" t="s">
        <v>720</v>
      </c>
      <c r="K100" t="s">
        <v>3007</v>
      </c>
      <c r="L100" t="s">
        <v>3094</v>
      </c>
      <c r="M100" t="s">
        <v>3083</v>
      </c>
      <c r="N100" t="s">
        <v>3066</v>
      </c>
      <c r="O100" s="39" t="s">
        <v>3085</v>
      </c>
      <c r="P100" t="s">
        <v>2481</v>
      </c>
      <c r="Q100" t="s">
        <v>1962</v>
      </c>
      <c r="R100" s="10">
        <v>0.4</v>
      </c>
      <c r="T100" t="s">
        <v>2476</v>
      </c>
    </row>
    <row r="101" spans="1:20" x14ac:dyDescent="0.35">
      <c r="A101">
        <v>2023</v>
      </c>
      <c r="B101" t="s">
        <v>807</v>
      </c>
      <c r="C101" t="s">
        <v>718</v>
      </c>
      <c r="D101" t="s">
        <v>707</v>
      </c>
      <c r="E101" t="s">
        <v>707</v>
      </c>
      <c r="F101" t="s">
        <v>707</v>
      </c>
      <c r="G101" t="s">
        <v>2167</v>
      </c>
      <c r="H101" s="37" t="s">
        <v>1851</v>
      </c>
      <c r="I101" s="37" t="s">
        <v>720</v>
      </c>
      <c r="J101" t="s">
        <v>720</v>
      </c>
      <c r="K101" t="s">
        <v>3007</v>
      </c>
      <c r="L101" t="s">
        <v>3094</v>
      </c>
      <c r="M101" t="s">
        <v>3083</v>
      </c>
      <c r="N101" t="s">
        <v>3066</v>
      </c>
      <c r="O101" s="39" t="s">
        <v>3085</v>
      </c>
      <c r="P101" t="s">
        <v>2482</v>
      </c>
      <c r="Q101" t="s">
        <v>1962</v>
      </c>
      <c r="R101" s="10">
        <v>3.8</v>
      </c>
      <c r="T101" t="s">
        <v>2476</v>
      </c>
    </row>
    <row r="102" spans="1:20" x14ac:dyDescent="0.35">
      <c r="A102">
        <v>2023</v>
      </c>
      <c r="B102" t="s">
        <v>807</v>
      </c>
      <c r="C102" t="s">
        <v>718</v>
      </c>
      <c r="D102" t="s">
        <v>707</v>
      </c>
      <c r="E102" t="s">
        <v>707</v>
      </c>
      <c r="F102" t="s">
        <v>707</v>
      </c>
      <c r="G102" t="s">
        <v>2167</v>
      </c>
      <c r="H102" s="37" t="s">
        <v>1851</v>
      </c>
      <c r="I102" s="37" t="s">
        <v>720</v>
      </c>
      <c r="J102" t="s">
        <v>720</v>
      </c>
      <c r="K102" t="s">
        <v>3007</v>
      </c>
      <c r="L102" t="s">
        <v>3094</v>
      </c>
      <c r="M102" t="s">
        <v>3083</v>
      </c>
      <c r="N102" t="s">
        <v>3066</v>
      </c>
      <c r="O102" s="39" t="s">
        <v>3085</v>
      </c>
      <c r="P102" t="s">
        <v>2483</v>
      </c>
      <c r="Q102" t="s">
        <v>1962</v>
      </c>
      <c r="R102" s="10">
        <v>0.01</v>
      </c>
      <c r="T102" t="s">
        <v>2476</v>
      </c>
    </row>
    <row r="103" spans="1:20" x14ac:dyDescent="0.35">
      <c r="A103">
        <v>2023</v>
      </c>
      <c r="B103" t="s">
        <v>807</v>
      </c>
      <c r="C103" t="s">
        <v>718</v>
      </c>
      <c r="D103" t="s">
        <v>707</v>
      </c>
      <c r="E103" t="s">
        <v>707</v>
      </c>
      <c r="F103" t="s">
        <v>707</v>
      </c>
      <c r="G103" t="s">
        <v>2167</v>
      </c>
      <c r="H103" s="37" t="s">
        <v>1851</v>
      </c>
      <c r="I103" s="37" t="s">
        <v>720</v>
      </c>
      <c r="J103" t="s">
        <v>720</v>
      </c>
      <c r="K103" t="s">
        <v>3007</v>
      </c>
      <c r="L103" t="s">
        <v>3094</v>
      </c>
      <c r="M103" t="s">
        <v>3083</v>
      </c>
      <c r="N103" t="s">
        <v>3066</v>
      </c>
      <c r="O103" s="39" t="s">
        <v>3085</v>
      </c>
      <c r="P103" t="s">
        <v>2439</v>
      </c>
      <c r="Q103" t="s">
        <v>1962</v>
      </c>
      <c r="R103" s="10">
        <v>0.64</v>
      </c>
      <c r="T103" t="s">
        <v>2476</v>
      </c>
    </row>
    <row r="104" spans="1:20" x14ac:dyDescent="0.35">
      <c r="A104">
        <v>2023</v>
      </c>
      <c r="B104" t="s">
        <v>807</v>
      </c>
      <c r="C104" t="s">
        <v>718</v>
      </c>
      <c r="D104" t="s">
        <v>707</v>
      </c>
      <c r="E104" t="s">
        <v>707</v>
      </c>
      <c r="F104" t="s">
        <v>707</v>
      </c>
      <c r="G104" t="s">
        <v>2167</v>
      </c>
      <c r="H104" s="37" t="s">
        <v>1851</v>
      </c>
      <c r="I104" s="37" t="s">
        <v>720</v>
      </c>
      <c r="J104" t="s">
        <v>720</v>
      </c>
      <c r="K104" t="s">
        <v>3007</v>
      </c>
      <c r="L104" t="s">
        <v>3094</v>
      </c>
      <c r="M104" t="s">
        <v>3083</v>
      </c>
      <c r="N104" t="s">
        <v>3066</v>
      </c>
      <c r="O104" s="39" t="s">
        <v>3085</v>
      </c>
      <c r="P104" t="s">
        <v>2445</v>
      </c>
      <c r="Q104" t="s">
        <v>1962</v>
      </c>
      <c r="R104" s="10">
        <v>0.01</v>
      </c>
      <c r="T104" t="s">
        <v>2476</v>
      </c>
    </row>
    <row r="105" spans="1:20" x14ac:dyDescent="0.35">
      <c r="A105">
        <v>2023</v>
      </c>
      <c r="B105" t="s">
        <v>807</v>
      </c>
      <c r="C105" t="s">
        <v>1945</v>
      </c>
      <c r="D105" t="s">
        <v>707</v>
      </c>
      <c r="E105" t="s">
        <v>707</v>
      </c>
      <c r="F105" t="s">
        <v>707</v>
      </c>
      <c r="G105" t="s">
        <v>1944</v>
      </c>
      <c r="H105" s="37" t="s">
        <v>233</v>
      </c>
      <c r="I105" s="37" t="s">
        <v>720</v>
      </c>
      <c r="J105" t="s">
        <v>1544</v>
      </c>
      <c r="K105" t="s">
        <v>3007</v>
      </c>
      <c r="L105" t="s">
        <v>3094</v>
      </c>
      <c r="M105" t="s">
        <v>3083</v>
      </c>
      <c r="N105" t="s">
        <v>3066</v>
      </c>
      <c r="O105" s="39" t="s">
        <v>3085</v>
      </c>
      <c r="P105" t="s">
        <v>1605</v>
      </c>
      <c r="Q105" t="s">
        <v>1635</v>
      </c>
      <c r="R105" s="10">
        <v>6047</v>
      </c>
      <c r="T105" t="s">
        <v>1948</v>
      </c>
    </row>
    <row r="106" spans="1:20" x14ac:dyDescent="0.35">
      <c r="A106">
        <v>2023</v>
      </c>
      <c r="B106" t="s">
        <v>807</v>
      </c>
      <c r="C106" t="s">
        <v>1945</v>
      </c>
      <c r="D106" t="s">
        <v>707</v>
      </c>
      <c r="E106" t="s">
        <v>707</v>
      </c>
      <c r="F106" t="s">
        <v>707</v>
      </c>
      <c r="G106" t="s">
        <v>1944</v>
      </c>
      <c r="H106" s="37" t="s">
        <v>233</v>
      </c>
      <c r="I106" s="37" t="s">
        <v>720</v>
      </c>
      <c r="J106" t="s">
        <v>1544</v>
      </c>
      <c r="K106" t="s">
        <v>3007</v>
      </c>
      <c r="L106" t="s">
        <v>3094</v>
      </c>
      <c r="M106" t="s">
        <v>3083</v>
      </c>
      <c r="N106" t="s">
        <v>3066</v>
      </c>
      <c r="O106" s="39" t="s">
        <v>3085</v>
      </c>
      <c r="P106" t="s">
        <v>1606</v>
      </c>
      <c r="Q106" t="s">
        <v>1635</v>
      </c>
      <c r="R106" s="10">
        <v>383</v>
      </c>
      <c r="T106" t="s">
        <v>1948</v>
      </c>
    </row>
    <row r="107" spans="1:20" x14ac:dyDescent="0.35">
      <c r="A107">
        <v>2023</v>
      </c>
      <c r="B107" t="s">
        <v>807</v>
      </c>
      <c r="C107" t="s">
        <v>358</v>
      </c>
      <c r="D107" t="s">
        <v>707</v>
      </c>
      <c r="E107" t="s">
        <v>707</v>
      </c>
      <c r="F107" t="s">
        <v>707</v>
      </c>
      <c r="G107" t="s">
        <v>2181</v>
      </c>
      <c r="H107" s="37" t="s">
        <v>233</v>
      </c>
      <c r="I107" s="37" t="s">
        <v>274</v>
      </c>
      <c r="J107" t="s">
        <v>360</v>
      </c>
      <c r="K107" t="s">
        <v>3007</v>
      </c>
      <c r="L107" t="s">
        <v>3094</v>
      </c>
      <c r="M107" t="s">
        <v>3083</v>
      </c>
      <c r="N107" t="s">
        <v>3066</v>
      </c>
      <c r="O107" s="39" t="s">
        <v>3085</v>
      </c>
      <c r="P107" t="s">
        <v>1605</v>
      </c>
      <c r="Q107" t="s">
        <v>1635</v>
      </c>
      <c r="R107" s="10">
        <v>923132712</v>
      </c>
      <c r="S107" t="s">
        <v>2372</v>
      </c>
      <c r="T107" t="s">
        <v>1911</v>
      </c>
    </row>
    <row r="108" spans="1:20" x14ac:dyDescent="0.35">
      <c r="A108">
        <v>2023</v>
      </c>
      <c r="B108" t="s">
        <v>807</v>
      </c>
      <c r="C108" t="s">
        <v>358</v>
      </c>
      <c r="D108" t="s">
        <v>707</v>
      </c>
      <c r="E108" t="s">
        <v>707</v>
      </c>
      <c r="F108" t="s">
        <v>707</v>
      </c>
      <c r="G108" t="s">
        <v>2181</v>
      </c>
      <c r="H108" s="37" t="s">
        <v>233</v>
      </c>
      <c r="I108" s="37" t="s">
        <v>274</v>
      </c>
      <c r="J108" t="s">
        <v>360</v>
      </c>
      <c r="K108" t="s">
        <v>3007</v>
      </c>
      <c r="L108" t="s">
        <v>3094</v>
      </c>
      <c r="M108" t="s">
        <v>3083</v>
      </c>
      <c r="N108" t="s">
        <v>3066</v>
      </c>
      <c r="O108" s="39" t="s">
        <v>3085</v>
      </c>
      <c r="P108" t="s">
        <v>1606</v>
      </c>
      <c r="Q108" t="s">
        <v>1635</v>
      </c>
      <c r="R108" s="10">
        <v>119558</v>
      </c>
      <c r="S108" t="s">
        <v>2372</v>
      </c>
      <c r="T108" t="s">
        <v>1911</v>
      </c>
    </row>
    <row r="109" spans="1:20" x14ac:dyDescent="0.35">
      <c r="A109">
        <v>2028</v>
      </c>
      <c r="B109" t="s">
        <v>807</v>
      </c>
      <c r="C109" t="s">
        <v>101</v>
      </c>
      <c r="D109" t="s">
        <v>707</v>
      </c>
      <c r="E109" t="s">
        <v>707</v>
      </c>
      <c r="F109" t="s">
        <v>707</v>
      </c>
      <c r="G109" t="s">
        <v>1850</v>
      </c>
      <c r="H109" s="37"/>
      <c r="I109" s="37"/>
      <c r="K109" t="s">
        <v>3007</v>
      </c>
      <c r="L109" t="s">
        <v>3094</v>
      </c>
      <c r="M109" t="s">
        <v>3083</v>
      </c>
      <c r="N109" t="s">
        <v>3066</v>
      </c>
      <c r="O109" s="39" t="s">
        <v>3085</v>
      </c>
      <c r="P109" t="s">
        <v>1605</v>
      </c>
      <c r="Q109" t="s">
        <v>1786</v>
      </c>
      <c r="R109" s="10">
        <v>863</v>
      </c>
      <c r="T109" t="s">
        <v>1848</v>
      </c>
    </row>
    <row r="110" spans="1:20" x14ac:dyDescent="0.35">
      <c r="A110">
        <v>2029</v>
      </c>
      <c r="B110" t="s">
        <v>807</v>
      </c>
      <c r="C110" t="s">
        <v>101</v>
      </c>
      <c r="D110" t="s">
        <v>707</v>
      </c>
      <c r="E110" t="s">
        <v>707</v>
      </c>
      <c r="F110" t="s">
        <v>707</v>
      </c>
      <c r="G110" t="s">
        <v>1850</v>
      </c>
      <c r="H110" s="37"/>
      <c r="I110" s="37"/>
      <c r="K110" t="s">
        <v>3007</v>
      </c>
      <c r="L110" t="s">
        <v>3094</v>
      </c>
      <c r="M110" t="s">
        <v>3083</v>
      </c>
      <c r="N110" t="s">
        <v>3066</v>
      </c>
      <c r="O110" s="39" t="s">
        <v>3085</v>
      </c>
      <c r="P110" t="s">
        <v>1606</v>
      </c>
      <c r="Q110" t="s">
        <v>1786</v>
      </c>
      <c r="R110" s="10">
        <v>309</v>
      </c>
      <c r="T110" t="s">
        <v>1848</v>
      </c>
    </row>
    <row r="111" spans="1:20" x14ac:dyDescent="0.35">
      <c r="A111">
        <v>2030</v>
      </c>
      <c r="B111" t="s">
        <v>807</v>
      </c>
      <c r="C111" t="s">
        <v>101</v>
      </c>
      <c r="D111" t="s">
        <v>707</v>
      </c>
      <c r="E111" t="s">
        <v>707</v>
      </c>
      <c r="F111" t="s">
        <v>707</v>
      </c>
      <c r="G111" t="s">
        <v>1850</v>
      </c>
      <c r="H111" s="37"/>
      <c r="I111" s="37"/>
      <c r="K111" t="s">
        <v>3007</v>
      </c>
      <c r="L111" t="s">
        <v>3094</v>
      </c>
      <c r="M111" t="s">
        <v>3083</v>
      </c>
      <c r="N111" t="s">
        <v>3066</v>
      </c>
      <c r="O111" s="39" t="s">
        <v>3085</v>
      </c>
      <c r="P111" t="s">
        <v>1607</v>
      </c>
      <c r="Q111" t="s">
        <v>1786</v>
      </c>
      <c r="R111" s="10">
        <v>3400</v>
      </c>
      <c r="T111" t="s">
        <v>1848</v>
      </c>
    </row>
    <row r="112" spans="1:20" x14ac:dyDescent="0.35">
      <c r="A112">
        <v>2023</v>
      </c>
      <c r="B112" t="s">
        <v>807</v>
      </c>
      <c r="C112" t="s">
        <v>261</v>
      </c>
      <c r="D112" t="s">
        <v>707</v>
      </c>
      <c r="E112" t="s">
        <v>707</v>
      </c>
      <c r="F112" t="s">
        <v>707</v>
      </c>
      <c r="G112" t="s">
        <v>1956</v>
      </c>
      <c r="H112" s="37" t="s">
        <v>233</v>
      </c>
      <c r="I112" s="37" t="s">
        <v>249</v>
      </c>
      <c r="J112" t="s">
        <v>376</v>
      </c>
      <c r="K112" t="s">
        <v>3005</v>
      </c>
      <c r="L112" t="s">
        <v>3095</v>
      </c>
      <c r="O112" s="39"/>
      <c r="P112" t="s">
        <v>1971</v>
      </c>
      <c r="Q112" t="s">
        <v>1629</v>
      </c>
      <c r="R112" s="10">
        <v>775.26</v>
      </c>
      <c r="T112" t="s">
        <v>1957</v>
      </c>
    </row>
    <row r="113" spans="1:20" x14ac:dyDescent="0.35">
      <c r="A113">
        <v>2023</v>
      </c>
      <c r="B113" t="s">
        <v>807</v>
      </c>
      <c r="C113" t="s">
        <v>261</v>
      </c>
      <c r="D113" t="s">
        <v>707</v>
      </c>
      <c r="E113" t="s">
        <v>707</v>
      </c>
      <c r="F113" t="s">
        <v>707</v>
      </c>
      <c r="G113" t="s">
        <v>1956</v>
      </c>
      <c r="H113" s="37" t="s">
        <v>233</v>
      </c>
      <c r="I113" s="37" t="s">
        <v>249</v>
      </c>
      <c r="J113" t="s">
        <v>376</v>
      </c>
      <c r="K113" t="s">
        <v>3005</v>
      </c>
      <c r="L113" t="s">
        <v>3095</v>
      </c>
      <c r="O113" s="39"/>
      <c r="P113" t="s">
        <v>1970</v>
      </c>
      <c r="Q113" t="s">
        <v>1629</v>
      </c>
      <c r="R113" s="10">
        <v>20</v>
      </c>
      <c r="T113" t="s">
        <v>1957</v>
      </c>
    </row>
    <row r="114" spans="1:20" x14ac:dyDescent="0.35">
      <c r="A114">
        <v>2023</v>
      </c>
      <c r="B114" t="s">
        <v>807</v>
      </c>
      <c r="C114" t="s">
        <v>261</v>
      </c>
      <c r="D114" t="s">
        <v>707</v>
      </c>
      <c r="E114" t="s">
        <v>707</v>
      </c>
      <c r="F114" t="s">
        <v>707</v>
      </c>
      <c r="G114" t="s">
        <v>1956</v>
      </c>
      <c r="H114" s="37" t="s">
        <v>233</v>
      </c>
      <c r="I114" s="37" t="s">
        <v>249</v>
      </c>
      <c r="J114" t="s">
        <v>376</v>
      </c>
      <c r="K114" t="s">
        <v>3005</v>
      </c>
      <c r="L114" t="s">
        <v>3095</v>
      </c>
      <c r="O114" s="39"/>
      <c r="P114" t="s">
        <v>1972</v>
      </c>
      <c r="Q114" t="s">
        <v>1629</v>
      </c>
      <c r="R114" s="10">
        <v>14567.44</v>
      </c>
      <c r="T114" t="s">
        <v>1957</v>
      </c>
    </row>
    <row r="115" spans="1:20" x14ac:dyDescent="0.35">
      <c r="A115">
        <v>2023</v>
      </c>
      <c r="B115" t="s">
        <v>807</v>
      </c>
      <c r="C115" t="s">
        <v>261</v>
      </c>
      <c r="D115" t="s">
        <v>707</v>
      </c>
      <c r="E115" t="s">
        <v>707</v>
      </c>
      <c r="F115" t="s">
        <v>707</v>
      </c>
      <c r="G115" t="s">
        <v>1956</v>
      </c>
      <c r="H115" s="37" t="s">
        <v>233</v>
      </c>
      <c r="I115" s="37" t="s">
        <v>249</v>
      </c>
      <c r="J115" t="s">
        <v>376</v>
      </c>
      <c r="K115" t="s">
        <v>3005</v>
      </c>
      <c r="L115" t="s">
        <v>3095</v>
      </c>
      <c r="O115" s="39"/>
      <c r="P115" t="s">
        <v>1973</v>
      </c>
      <c r="Q115" t="s">
        <v>1629</v>
      </c>
      <c r="R115" s="10">
        <v>686</v>
      </c>
      <c r="T115" t="s">
        <v>1957</v>
      </c>
    </row>
    <row r="116" spans="1:20" x14ac:dyDescent="0.35">
      <c r="A116">
        <v>2023</v>
      </c>
      <c r="B116" t="s">
        <v>807</v>
      </c>
      <c r="C116" t="s">
        <v>795</v>
      </c>
      <c r="D116" t="s">
        <v>707</v>
      </c>
      <c r="E116" t="s">
        <v>707</v>
      </c>
      <c r="F116" t="s">
        <v>707</v>
      </c>
      <c r="G116" t="s">
        <v>2011</v>
      </c>
      <c r="H116" s="37" t="s">
        <v>11</v>
      </c>
      <c r="I116" s="37" t="s">
        <v>34</v>
      </c>
      <c r="J116" t="s">
        <v>157</v>
      </c>
      <c r="K116" t="s">
        <v>3005</v>
      </c>
      <c r="L116" t="s">
        <v>3095</v>
      </c>
      <c r="O116" s="39"/>
      <c r="P116" t="s">
        <v>2018</v>
      </c>
      <c r="Q116" t="s">
        <v>1629</v>
      </c>
      <c r="R116" s="10">
        <v>1710</v>
      </c>
      <c r="T116" t="s">
        <v>2020</v>
      </c>
    </row>
    <row r="117" spans="1:20" x14ac:dyDescent="0.35">
      <c r="A117">
        <v>2024</v>
      </c>
      <c r="B117" t="s">
        <v>807</v>
      </c>
      <c r="C117" t="s">
        <v>798</v>
      </c>
      <c r="D117" t="s">
        <v>707</v>
      </c>
      <c r="E117" t="s">
        <v>707</v>
      </c>
      <c r="F117" t="s">
        <v>707</v>
      </c>
      <c r="G117" t="s">
        <v>2085</v>
      </c>
      <c r="H117" s="37"/>
      <c r="I117" s="37"/>
      <c r="J117" t="s">
        <v>720</v>
      </c>
      <c r="K117" t="s">
        <v>3005</v>
      </c>
      <c r="L117" t="s">
        <v>3095</v>
      </c>
      <c r="O117" s="39"/>
      <c r="P117" t="s">
        <v>1826</v>
      </c>
      <c r="Q117" s="10" t="s">
        <v>1629</v>
      </c>
      <c r="R117" s="10">
        <v>8632</v>
      </c>
      <c r="T117" t="s">
        <v>1829</v>
      </c>
    </row>
    <row r="118" spans="1:20" x14ac:dyDescent="0.35">
      <c r="A118">
        <v>2024</v>
      </c>
      <c r="B118" t="s">
        <v>807</v>
      </c>
      <c r="C118" t="s">
        <v>798</v>
      </c>
      <c r="D118" t="s">
        <v>707</v>
      </c>
      <c r="E118" t="s">
        <v>707</v>
      </c>
      <c r="F118" t="s">
        <v>707</v>
      </c>
      <c r="G118" t="s">
        <v>2085</v>
      </c>
      <c r="H118" s="37"/>
      <c r="I118" s="37"/>
      <c r="J118" t="s">
        <v>720</v>
      </c>
      <c r="K118" t="s">
        <v>3005</v>
      </c>
      <c r="L118" t="s">
        <v>3095</v>
      </c>
      <c r="O118" s="39"/>
      <c r="P118" t="s">
        <v>1827</v>
      </c>
      <c r="Q118" s="10" t="s">
        <v>1629</v>
      </c>
      <c r="R118" s="10">
        <v>1118</v>
      </c>
      <c r="T118" t="s">
        <v>1829</v>
      </c>
    </row>
    <row r="119" spans="1:20" x14ac:dyDescent="0.35">
      <c r="A119">
        <v>2023</v>
      </c>
      <c r="B119" t="s">
        <v>807</v>
      </c>
      <c r="C119" t="s">
        <v>101</v>
      </c>
      <c r="D119" t="s">
        <v>707</v>
      </c>
      <c r="E119" t="s">
        <v>707</v>
      </c>
      <c r="F119" t="s">
        <v>707</v>
      </c>
      <c r="G119" t="s">
        <v>1850</v>
      </c>
      <c r="H119" s="37"/>
      <c r="I119" s="37"/>
      <c r="K119" t="s">
        <v>3005</v>
      </c>
      <c r="L119" t="s">
        <v>3095</v>
      </c>
      <c r="O119" s="39"/>
      <c r="P119" t="s">
        <v>1842</v>
      </c>
      <c r="Q119" t="s">
        <v>1629</v>
      </c>
      <c r="R119" s="10">
        <v>12932</v>
      </c>
      <c r="T119" t="s">
        <v>1848</v>
      </c>
    </row>
    <row r="120" spans="1:20" x14ac:dyDescent="0.35">
      <c r="A120">
        <v>2023</v>
      </c>
      <c r="B120" t="s">
        <v>807</v>
      </c>
      <c r="C120" t="s">
        <v>261</v>
      </c>
      <c r="D120" t="s">
        <v>707</v>
      </c>
      <c r="E120" t="s">
        <v>707</v>
      </c>
      <c r="F120" t="s">
        <v>707</v>
      </c>
      <c r="G120" t="s">
        <v>1956</v>
      </c>
      <c r="H120" s="37" t="s">
        <v>233</v>
      </c>
      <c r="I120" s="37" t="s">
        <v>249</v>
      </c>
      <c r="J120" t="s">
        <v>376</v>
      </c>
      <c r="K120" t="s">
        <v>3006</v>
      </c>
      <c r="L120" t="s">
        <v>3096</v>
      </c>
      <c r="M120" t="s">
        <v>3083</v>
      </c>
      <c r="N120" t="s">
        <v>3006</v>
      </c>
      <c r="O120" s="39" t="s">
        <v>3086</v>
      </c>
      <c r="P120" t="s">
        <v>1616</v>
      </c>
      <c r="Q120" t="s">
        <v>1886</v>
      </c>
      <c r="R120" s="10">
        <v>791.3</v>
      </c>
      <c r="T120" t="s">
        <v>1957</v>
      </c>
    </row>
    <row r="121" spans="1:20" x14ac:dyDescent="0.35">
      <c r="A121">
        <v>2023</v>
      </c>
      <c r="B121" t="s">
        <v>807</v>
      </c>
      <c r="C121" t="s">
        <v>261</v>
      </c>
      <c r="D121" t="s">
        <v>707</v>
      </c>
      <c r="E121" t="s">
        <v>707</v>
      </c>
      <c r="F121" t="s">
        <v>707</v>
      </c>
      <c r="G121" t="s">
        <v>1956</v>
      </c>
      <c r="H121" s="37" t="s">
        <v>233</v>
      </c>
      <c r="I121" s="37" t="s">
        <v>249</v>
      </c>
      <c r="J121" t="s">
        <v>376</v>
      </c>
      <c r="K121" t="s">
        <v>3006</v>
      </c>
      <c r="L121" t="s">
        <v>3097</v>
      </c>
      <c r="M121" t="s">
        <v>3083</v>
      </c>
      <c r="N121" t="s">
        <v>3006</v>
      </c>
      <c r="O121" s="39" t="s">
        <v>3086</v>
      </c>
      <c r="P121" t="s">
        <v>1618</v>
      </c>
      <c r="Q121" t="s">
        <v>1886</v>
      </c>
      <c r="R121" s="10">
        <v>734.4</v>
      </c>
      <c r="T121" t="s">
        <v>1957</v>
      </c>
    </row>
    <row r="122" spans="1:20" x14ac:dyDescent="0.35">
      <c r="A122">
        <v>2023</v>
      </c>
      <c r="B122" t="s">
        <v>807</v>
      </c>
      <c r="C122" t="s">
        <v>261</v>
      </c>
      <c r="D122" t="s">
        <v>707</v>
      </c>
      <c r="E122" t="s">
        <v>707</v>
      </c>
      <c r="F122" t="s">
        <v>707</v>
      </c>
      <c r="G122" t="s">
        <v>1956</v>
      </c>
      <c r="H122" s="37" t="s">
        <v>233</v>
      </c>
      <c r="I122" s="37" t="s">
        <v>249</v>
      </c>
      <c r="J122" t="s">
        <v>376</v>
      </c>
      <c r="K122" t="s">
        <v>3006</v>
      </c>
      <c r="L122" t="s">
        <v>3098</v>
      </c>
      <c r="M122" t="s">
        <v>3083</v>
      </c>
      <c r="N122" t="s">
        <v>3006</v>
      </c>
      <c r="O122" s="39" t="s">
        <v>3086</v>
      </c>
      <c r="P122" t="s">
        <v>1639</v>
      </c>
      <c r="Q122" t="s">
        <v>1886</v>
      </c>
      <c r="R122" s="10">
        <v>59.7</v>
      </c>
      <c r="T122" t="s">
        <v>1957</v>
      </c>
    </row>
    <row r="123" spans="1:20" x14ac:dyDescent="0.35">
      <c r="A123">
        <v>2023</v>
      </c>
      <c r="B123" t="s">
        <v>807</v>
      </c>
      <c r="C123" t="s">
        <v>242</v>
      </c>
      <c r="D123" t="s">
        <v>707</v>
      </c>
      <c r="E123" t="s">
        <v>707</v>
      </c>
      <c r="F123" t="s">
        <v>707</v>
      </c>
      <c r="G123" t="s">
        <v>1989</v>
      </c>
      <c r="H123" s="37" t="s">
        <v>233</v>
      </c>
      <c r="I123" s="37" t="s">
        <v>245</v>
      </c>
      <c r="J123" t="s">
        <v>244</v>
      </c>
      <c r="K123" t="s">
        <v>3006</v>
      </c>
      <c r="L123" t="s">
        <v>3096</v>
      </c>
      <c r="M123" t="s">
        <v>3083</v>
      </c>
      <c r="N123" t="s">
        <v>3006</v>
      </c>
      <c r="O123" s="39" t="s">
        <v>3086</v>
      </c>
      <c r="P123" t="s">
        <v>1994</v>
      </c>
      <c r="Q123" t="s">
        <v>1638</v>
      </c>
      <c r="R123" s="10">
        <v>259893138</v>
      </c>
      <c r="T123" t="s">
        <v>1892</v>
      </c>
    </row>
    <row r="124" spans="1:20" x14ac:dyDescent="0.35">
      <c r="A124">
        <v>2023</v>
      </c>
      <c r="B124" t="s">
        <v>807</v>
      </c>
      <c r="C124" t="s">
        <v>208</v>
      </c>
      <c r="D124" t="s">
        <v>707</v>
      </c>
      <c r="E124" t="s">
        <v>707</v>
      </c>
      <c r="F124" t="s">
        <v>707</v>
      </c>
      <c r="G124" t="s">
        <v>1756</v>
      </c>
      <c r="H124" s="37"/>
      <c r="I124" s="37"/>
      <c r="J124" t="s">
        <v>210</v>
      </c>
      <c r="K124" t="s">
        <v>3006</v>
      </c>
      <c r="L124" t="s">
        <v>3096</v>
      </c>
      <c r="M124" t="s">
        <v>3083</v>
      </c>
      <c r="N124" t="s">
        <v>3006</v>
      </c>
      <c r="O124" s="39" t="s">
        <v>3086</v>
      </c>
      <c r="P124" t="s">
        <v>1616</v>
      </c>
      <c r="Q124" t="s">
        <v>1638</v>
      </c>
      <c r="R124" s="10">
        <v>15173917.264</v>
      </c>
      <c r="S124" t="s">
        <v>1762</v>
      </c>
      <c r="T124" t="s">
        <v>1852</v>
      </c>
    </row>
    <row r="125" spans="1:20" x14ac:dyDescent="0.35">
      <c r="A125">
        <v>2023</v>
      </c>
      <c r="B125" t="s">
        <v>807</v>
      </c>
      <c r="C125" t="s">
        <v>208</v>
      </c>
      <c r="D125" t="s">
        <v>707</v>
      </c>
      <c r="E125" t="s">
        <v>707</v>
      </c>
      <c r="F125" t="s">
        <v>707</v>
      </c>
      <c r="G125" t="s">
        <v>1756</v>
      </c>
      <c r="H125" s="37"/>
      <c r="I125" s="37"/>
      <c r="J125" t="s">
        <v>210</v>
      </c>
      <c r="K125" t="s">
        <v>3006</v>
      </c>
      <c r="L125" t="s">
        <v>3096</v>
      </c>
      <c r="M125" t="s">
        <v>3083</v>
      </c>
      <c r="N125" t="s">
        <v>3006</v>
      </c>
      <c r="O125" s="39" t="s">
        <v>3086</v>
      </c>
      <c r="P125" t="s">
        <v>1757</v>
      </c>
      <c r="Q125" t="s">
        <v>1638</v>
      </c>
      <c r="R125" s="10">
        <v>14050183</v>
      </c>
      <c r="S125" t="s">
        <v>1762</v>
      </c>
      <c r="T125" t="s">
        <v>1852</v>
      </c>
    </row>
    <row r="126" spans="1:20" x14ac:dyDescent="0.35">
      <c r="A126">
        <v>2023</v>
      </c>
      <c r="B126" t="s">
        <v>807</v>
      </c>
      <c r="C126" t="s">
        <v>208</v>
      </c>
      <c r="D126" t="s">
        <v>707</v>
      </c>
      <c r="E126" t="s">
        <v>707</v>
      </c>
      <c r="F126" t="s">
        <v>707</v>
      </c>
      <c r="G126" t="s">
        <v>1756</v>
      </c>
      <c r="H126" s="37"/>
      <c r="I126" s="37"/>
      <c r="J126" t="s">
        <v>210</v>
      </c>
      <c r="K126" t="s">
        <v>3006</v>
      </c>
      <c r="L126" t="s">
        <v>3097</v>
      </c>
      <c r="M126" t="s">
        <v>3083</v>
      </c>
      <c r="N126" t="s">
        <v>3006</v>
      </c>
      <c r="O126" s="39" t="s">
        <v>3086</v>
      </c>
      <c r="P126" t="s">
        <v>1680</v>
      </c>
      <c r="Q126" t="s">
        <v>1638</v>
      </c>
      <c r="R126" s="10">
        <v>14790791</v>
      </c>
      <c r="S126" t="s">
        <v>1762</v>
      </c>
      <c r="T126" t="s">
        <v>1852</v>
      </c>
    </row>
    <row r="127" spans="1:20" x14ac:dyDescent="0.35">
      <c r="A127">
        <v>2023</v>
      </c>
      <c r="B127" t="s">
        <v>807</v>
      </c>
      <c r="C127" t="s">
        <v>795</v>
      </c>
      <c r="D127" t="s">
        <v>707</v>
      </c>
      <c r="E127" t="s">
        <v>707</v>
      </c>
      <c r="F127" t="s">
        <v>707</v>
      </c>
      <c r="G127" t="s">
        <v>2011</v>
      </c>
      <c r="H127" s="37" t="s">
        <v>11</v>
      </c>
      <c r="I127" s="37" t="s">
        <v>34</v>
      </c>
      <c r="J127" t="s">
        <v>157</v>
      </c>
      <c r="K127" t="s">
        <v>3006</v>
      </c>
      <c r="L127" t="s">
        <v>3096</v>
      </c>
      <c r="M127" t="s">
        <v>3083</v>
      </c>
      <c r="N127" t="s">
        <v>3006</v>
      </c>
      <c r="O127" s="39" t="s">
        <v>3086</v>
      </c>
      <c r="P127" t="s">
        <v>1616</v>
      </c>
      <c r="Q127" t="s">
        <v>1886</v>
      </c>
      <c r="R127" s="10">
        <v>16.399999999999999</v>
      </c>
      <c r="T127" t="s">
        <v>2020</v>
      </c>
    </row>
    <row r="128" spans="1:20" x14ac:dyDescent="0.35">
      <c r="A128">
        <v>2023</v>
      </c>
      <c r="B128" t="s">
        <v>807</v>
      </c>
      <c r="C128" t="s">
        <v>754</v>
      </c>
      <c r="D128" t="s">
        <v>707</v>
      </c>
      <c r="E128" t="s">
        <v>707</v>
      </c>
      <c r="F128" t="s">
        <v>707</v>
      </c>
      <c r="G128" t="s">
        <v>2023</v>
      </c>
      <c r="H128" s="37" t="s">
        <v>11</v>
      </c>
      <c r="I128" s="37" t="s">
        <v>98</v>
      </c>
      <c r="J128" t="s">
        <v>147</v>
      </c>
      <c r="K128" t="s">
        <v>3006</v>
      </c>
      <c r="L128" t="s">
        <v>3096</v>
      </c>
      <c r="M128" t="s">
        <v>3083</v>
      </c>
      <c r="N128" t="s">
        <v>3006</v>
      </c>
      <c r="O128" s="39" t="s">
        <v>3086</v>
      </c>
      <c r="P128" t="s">
        <v>1616</v>
      </c>
      <c r="Q128" t="s">
        <v>1617</v>
      </c>
      <c r="R128" s="10">
        <v>61691</v>
      </c>
      <c r="T128" t="s">
        <v>1911</v>
      </c>
    </row>
    <row r="129" spans="1:20" x14ac:dyDescent="0.35">
      <c r="A129">
        <v>2023</v>
      </c>
      <c r="B129" t="s">
        <v>807</v>
      </c>
      <c r="C129" t="s">
        <v>754</v>
      </c>
      <c r="D129" t="s">
        <v>707</v>
      </c>
      <c r="E129" t="s">
        <v>707</v>
      </c>
      <c r="F129" t="s">
        <v>707</v>
      </c>
      <c r="G129" t="s">
        <v>2023</v>
      </c>
      <c r="H129" s="37" t="s">
        <v>11</v>
      </c>
      <c r="I129" s="37" t="s">
        <v>98</v>
      </c>
      <c r="J129" t="s">
        <v>147</v>
      </c>
      <c r="K129" t="s">
        <v>3006</v>
      </c>
      <c r="L129" t="s">
        <v>3096</v>
      </c>
      <c r="M129" t="s">
        <v>3083</v>
      </c>
      <c r="N129" t="s">
        <v>3006</v>
      </c>
      <c r="O129" s="39" t="s">
        <v>3086</v>
      </c>
      <c r="P129" t="s">
        <v>1757</v>
      </c>
      <c r="Q129" t="s">
        <v>1617</v>
      </c>
      <c r="R129" s="10">
        <v>17935</v>
      </c>
      <c r="T129" t="s">
        <v>1911</v>
      </c>
    </row>
    <row r="130" spans="1:20" x14ac:dyDescent="0.35">
      <c r="A130">
        <v>2023</v>
      </c>
      <c r="B130" t="s">
        <v>807</v>
      </c>
      <c r="C130" t="s">
        <v>754</v>
      </c>
      <c r="D130" t="s">
        <v>707</v>
      </c>
      <c r="E130" t="s">
        <v>707</v>
      </c>
      <c r="F130" t="s">
        <v>707</v>
      </c>
      <c r="G130" t="s">
        <v>2023</v>
      </c>
      <c r="H130" s="37" t="s">
        <v>11</v>
      </c>
      <c r="I130" s="37" t="s">
        <v>98</v>
      </c>
      <c r="J130" t="s">
        <v>147</v>
      </c>
      <c r="K130" t="s">
        <v>3006</v>
      </c>
      <c r="L130" t="s">
        <v>3098</v>
      </c>
      <c r="M130" t="s">
        <v>3083</v>
      </c>
      <c r="N130" t="s">
        <v>3006</v>
      </c>
      <c r="O130" s="39" t="s">
        <v>3086</v>
      </c>
      <c r="P130" t="s">
        <v>1639</v>
      </c>
      <c r="Q130" t="s">
        <v>1617</v>
      </c>
      <c r="R130" s="10">
        <v>29125</v>
      </c>
      <c r="T130" t="s">
        <v>1911</v>
      </c>
    </row>
    <row r="131" spans="1:20" x14ac:dyDescent="0.35">
      <c r="A131">
        <v>2023</v>
      </c>
      <c r="B131" t="s">
        <v>807</v>
      </c>
      <c r="C131" t="s">
        <v>754</v>
      </c>
      <c r="D131" t="s">
        <v>707</v>
      </c>
      <c r="E131" t="s">
        <v>707</v>
      </c>
      <c r="F131" t="s">
        <v>707</v>
      </c>
      <c r="G131" t="s">
        <v>2023</v>
      </c>
      <c r="H131" s="37" t="s">
        <v>11</v>
      </c>
      <c r="I131" s="37" t="s">
        <v>98</v>
      </c>
      <c r="J131" t="s">
        <v>147</v>
      </c>
      <c r="K131" t="s">
        <v>3006</v>
      </c>
      <c r="L131" t="s">
        <v>3097</v>
      </c>
      <c r="M131" t="s">
        <v>3083</v>
      </c>
      <c r="N131" t="s">
        <v>3006</v>
      </c>
      <c r="O131" s="39" t="s">
        <v>3086</v>
      </c>
      <c r="P131" t="s">
        <v>1680</v>
      </c>
      <c r="Q131" t="s">
        <v>1617</v>
      </c>
      <c r="R131" s="10">
        <v>29416</v>
      </c>
      <c r="T131" t="s">
        <v>1911</v>
      </c>
    </row>
    <row r="132" spans="1:20" x14ac:dyDescent="0.35">
      <c r="A132">
        <v>2021</v>
      </c>
      <c r="B132" t="s">
        <v>807</v>
      </c>
      <c r="C132" t="s">
        <v>716</v>
      </c>
      <c r="D132" t="s">
        <v>707</v>
      </c>
      <c r="E132" t="s">
        <v>707</v>
      </c>
      <c r="F132" t="s">
        <v>707</v>
      </c>
      <c r="G132" t="s">
        <v>2087</v>
      </c>
      <c r="H132" s="37" t="s">
        <v>233</v>
      </c>
      <c r="I132" s="37" t="s">
        <v>720</v>
      </c>
      <c r="J132" t="s">
        <v>244</v>
      </c>
      <c r="K132" t="s">
        <v>3006</v>
      </c>
      <c r="L132" t="s">
        <v>3096</v>
      </c>
      <c r="M132" t="s">
        <v>3083</v>
      </c>
      <c r="N132" t="s">
        <v>3006</v>
      </c>
      <c r="O132" s="39" t="s">
        <v>3086</v>
      </c>
      <c r="P132" t="s">
        <v>1906</v>
      </c>
      <c r="Q132" t="s">
        <v>1886</v>
      </c>
      <c r="R132" s="10">
        <v>196.22</v>
      </c>
      <c r="T132" s="10" t="s">
        <v>2308</v>
      </c>
    </row>
    <row r="133" spans="1:20" x14ac:dyDescent="0.35">
      <c r="A133">
        <v>2021</v>
      </c>
      <c r="B133" t="s">
        <v>807</v>
      </c>
      <c r="C133" t="s">
        <v>716</v>
      </c>
      <c r="D133" t="s">
        <v>707</v>
      </c>
      <c r="E133" t="s">
        <v>707</v>
      </c>
      <c r="F133" t="s">
        <v>707</v>
      </c>
      <c r="G133" t="s">
        <v>2087</v>
      </c>
      <c r="H133" s="37" t="s">
        <v>233</v>
      </c>
      <c r="I133" s="37" t="s">
        <v>720</v>
      </c>
      <c r="J133" t="s">
        <v>244</v>
      </c>
      <c r="K133" t="s">
        <v>3006</v>
      </c>
      <c r="L133" t="s">
        <v>3097</v>
      </c>
      <c r="M133" t="s">
        <v>3083</v>
      </c>
      <c r="N133" t="s">
        <v>3006</v>
      </c>
      <c r="O133" s="39" t="s">
        <v>3086</v>
      </c>
      <c r="P133" t="s">
        <v>1680</v>
      </c>
      <c r="Q133" t="s">
        <v>1886</v>
      </c>
      <c r="R133" s="10">
        <v>121.49</v>
      </c>
      <c r="T133" s="10" t="s">
        <v>2308</v>
      </c>
    </row>
    <row r="134" spans="1:20" x14ac:dyDescent="0.35">
      <c r="A134">
        <v>2023</v>
      </c>
      <c r="B134" t="s">
        <v>807</v>
      </c>
      <c r="C134" t="s">
        <v>715</v>
      </c>
      <c r="D134" t="s">
        <v>707</v>
      </c>
      <c r="E134" t="s">
        <v>707</v>
      </c>
      <c r="F134" t="s">
        <v>707</v>
      </c>
      <c r="G134" t="s">
        <v>2104</v>
      </c>
      <c r="H134" s="37" t="s">
        <v>1851</v>
      </c>
      <c r="I134" s="37" t="s">
        <v>720</v>
      </c>
      <c r="J134" t="s">
        <v>720</v>
      </c>
      <c r="K134" t="s">
        <v>3006</v>
      </c>
      <c r="L134" t="s">
        <v>3096</v>
      </c>
      <c r="M134" t="s">
        <v>3083</v>
      </c>
      <c r="N134" t="s">
        <v>3006</v>
      </c>
      <c r="O134" s="39" t="s">
        <v>3086</v>
      </c>
      <c r="P134" t="s">
        <v>1616</v>
      </c>
      <c r="Q134" t="s">
        <v>1617</v>
      </c>
      <c r="R134" s="10">
        <v>959428</v>
      </c>
      <c r="T134" t="s">
        <v>2446</v>
      </c>
    </row>
    <row r="135" spans="1:20" x14ac:dyDescent="0.35">
      <c r="A135">
        <v>2023</v>
      </c>
      <c r="B135" t="s">
        <v>807</v>
      </c>
      <c r="C135" t="s">
        <v>715</v>
      </c>
      <c r="D135" t="s">
        <v>707</v>
      </c>
      <c r="E135" t="s">
        <v>707</v>
      </c>
      <c r="F135" t="s">
        <v>707</v>
      </c>
      <c r="G135" t="s">
        <v>2104</v>
      </c>
      <c r="H135" s="37" t="s">
        <v>1851</v>
      </c>
      <c r="I135" s="37" t="s">
        <v>720</v>
      </c>
      <c r="J135" t="s">
        <v>720</v>
      </c>
      <c r="K135" t="s">
        <v>3006</v>
      </c>
      <c r="L135" t="s">
        <v>3097</v>
      </c>
      <c r="M135" t="s">
        <v>3083</v>
      </c>
      <c r="N135" t="s">
        <v>3006</v>
      </c>
      <c r="O135" s="39" t="s">
        <v>3086</v>
      </c>
      <c r="P135" t="s">
        <v>1618</v>
      </c>
      <c r="Q135" t="s">
        <v>1617</v>
      </c>
      <c r="R135" s="10">
        <v>566617</v>
      </c>
      <c r="T135" t="s">
        <v>2446</v>
      </c>
    </row>
    <row r="136" spans="1:20" x14ac:dyDescent="0.35">
      <c r="A136">
        <v>2023</v>
      </c>
      <c r="B136" t="s">
        <v>807</v>
      </c>
      <c r="C136" t="s">
        <v>715</v>
      </c>
      <c r="D136" t="s">
        <v>707</v>
      </c>
      <c r="E136" t="s">
        <v>707</v>
      </c>
      <c r="F136" t="s">
        <v>707</v>
      </c>
      <c r="G136" t="s">
        <v>2104</v>
      </c>
      <c r="H136" s="37" t="s">
        <v>1851</v>
      </c>
      <c r="I136" s="37" t="s">
        <v>720</v>
      </c>
      <c r="J136" t="s">
        <v>720</v>
      </c>
      <c r="K136" t="s">
        <v>3006</v>
      </c>
      <c r="L136" t="s">
        <v>3098</v>
      </c>
      <c r="M136" t="s">
        <v>3083</v>
      </c>
      <c r="N136" t="s">
        <v>3006</v>
      </c>
      <c r="O136" s="39" t="s">
        <v>3086</v>
      </c>
      <c r="P136" t="s">
        <v>1639</v>
      </c>
      <c r="Q136" t="s">
        <v>1617</v>
      </c>
      <c r="R136" s="10">
        <v>486098</v>
      </c>
      <c r="T136" t="s">
        <v>2446</v>
      </c>
    </row>
    <row r="137" spans="1:20" x14ac:dyDescent="0.35">
      <c r="A137">
        <v>2023</v>
      </c>
      <c r="B137" t="s">
        <v>807</v>
      </c>
      <c r="C137" t="s">
        <v>8</v>
      </c>
      <c r="D137" t="s">
        <v>707</v>
      </c>
      <c r="E137" t="s">
        <v>707</v>
      </c>
      <c r="F137" t="s">
        <v>707</v>
      </c>
      <c r="G137" t="s">
        <v>1902</v>
      </c>
      <c r="H137" s="37" t="s">
        <v>11</v>
      </c>
      <c r="I137" s="37"/>
      <c r="K137" t="s">
        <v>3006</v>
      </c>
      <c r="L137" t="s">
        <v>3096</v>
      </c>
      <c r="M137" t="s">
        <v>3083</v>
      </c>
      <c r="N137" t="s">
        <v>3006</v>
      </c>
      <c r="O137" s="39" t="s">
        <v>3086</v>
      </c>
      <c r="P137" t="s">
        <v>1906</v>
      </c>
      <c r="Q137" t="s">
        <v>1904</v>
      </c>
      <c r="R137" s="10">
        <v>2424010553</v>
      </c>
      <c r="T137" t="s">
        <v>1911</v>
      </c>
    </row>
    <row r="138" spans="1:20" x14ac:dyDescent="0.35">
      <c r="A138">
        <v>2023</v>
      </c>
      <c r="B138" t="s">
        <v>807</v>
      </c>
      <c r="C138" t="s">
        <v>8</v>
      </c>
      <c r="D138" t="s">
        <v>707</v>
      </c>
      <c r="E138" t="s">
        <v>707</v>
      </c>
      <c r="F138" t="s">
        <v>707</v>
      </c>
      <c r="G138" t="s">
        <v>1902</v>
      </c>
      <c r="H138" s="37" t="s">
        <v>11</v>
      </c>
      <c r="I138" s="37"/>
      <c r="K138" t="s">
        <v>3006</v>
      </c>
      <c r="L138" t="s">
        <v>3098</v>
      </c>
      <c r="M138" t="s">
        <v>3083</v>
      </c>
      <c r="N138" t="s">
        <v>3006</v>
      </c>
      <c r="O138" s="39" t="s">
        <v>3086</v>
      </c>
      <c r="P138" t="s">
        <v>1905</v>
      </c>
      <c r="Q138" t="s">
        <v>1904</v>
      </c>
      <c r="R138" s="10">
        <v>2019639655</v>
      </c>
      <c r="T138" t="s">
        <v>1911</v>
      </c>
    </row>
    <row r="139" spans="1:20" x14ac:dyDescent="0.35">
      <c r="A139">
        <v>2023</v>
      </c>
      <c r="B139" t="s">
        <v>807</v>
      </c>
      <c r="C139" t="s">
        <v>8</v>
      </c>
      <c r="D139" t="s">
        <v>707</v>
      </c>
      <c r="E139" t="s">
        <v>707</v>
      </c>
      <c r="F139" t="s">
        <v>707</v>
      </c>
      <c r="G139" t="s">
        <v>1902</v>
      </c>
      <c r="H139" s="37" t="s">
        <v>11</v>
      </c>
      <c r="I139" s="37"/>
      <c r="K139" t="s">
        <v>3006</v>
      </c>
      <c r="L139" t="s">
        <v>3097</v>
      </c>
      <c r="M139" t="s">
        <v>3083</v>
      </c>
      <c r="N139" t="s">
        <v>3006</v>
      </c>
      <c r="O139" s="39" t="s">
        <v>3086</v>
      </c>
      <c r="P139" t="s">
        <v>1680</v>
      </c>
      <c r="Q139" t="s">
        <v>1904</v>
      </c>
      <c r="R139" s="10">
        <v>2663471722</v>
      </c>
      <c r="T139" t="s">
        <v>1911</v>
      </c>
    </row>
    <row r="140" spans="1:20" x14ac:dyDescent="0.35">
      <c r="A140">
        <v>2023</v>
      </c>
      <c r="B140" t="s">
        <v>807</v>
      </c>
      <c r="C140" t="s">
        <v>717</v>
      </c>
      <c r="D140" t="s">
        <v>707</v>
      </c>
      <c r="E140" t="s">
        <v>707</v>
      </c>
      <c r="F140" t="s">
        <v>707</v>
      </c>
      <c r="G140" t="s">
        <v>1853</v>
      </c>
      <c r="H140" s="37"/>
      <c r="I140" s="37"/>
      <c r="K140" t="s">
        <v>3006</v>
      </c>
      <c r="L140" t="s">
        <v>3096</v>
      </c>
      <c r="M140" t="s">
        <v>3083</v>
      </c>
      <c r="N140" t="s">
        <v>3006</v>
      </c>
      <c r="O140" s="39" t="s">
        <v>3086</v>
      </c>
      <c r="P140" t="s">
        <v>1616</v>
      </c>
      <c r="Q140" s="10" t="s">
        <v>1788</v>
      </c>
      <c r="R140">
        <v>17516</v>
      </c>
      <c r="T140" t="s">
        <v>1785</v>
      </c>
    </row>
    <row r="141" spans="1:20" x14ac:dyDescent="0.35">
      <c r="A141">
        <v>2023</v>
      </c>
      <c r="B141" t="s">
        <v>807</v>
      </c>
      <c r="C141" t="s">
        <v>717</v>
      </c>
      <c r="D141" t="s">
        <v>707</v>
      </c>
      <c r="E141" t="s">
        <v>707</v>
      </c>
      <c r="F141" t="s">
        <v>707</v>
      </c>
      <c r="G141" t="s">
        <v>1853</v>
      </c>
      <c r="H141" s="37"/>
      <c r="I141" s="37"/>
      <c r="K141" t="s">
        <v>3006</v>
      </c>
      <c r="L141" t="s">
        <v>3097</v>
      </c>
      <c r="M141" t="s">
        <v>3083</v>
      </c>
      <c r="N141" t="s">
        <v>3006</v>
      </c>
      <c r="O141" s="39" t="s">
        <v>3086</v>
      </c>
      <c r="P141" t="s">
        <v>1789</v>
      </c>
      <c r="Q141" s="10" t="s">
        <v>1788</v>
      </c>
      <c r="R141" s="10">
        <v>9590</v>
      </c>
      <c r="T141" t="s">
        <v>1785</v>
      </c>
    </row>
    <row r="142" spans="1:20" x14ac:dyDescent="0.35">
      <c r="A142">
        <v>2023</v>
      </c>
      <c r="B142" t="s">
        <v>807</v>
      </c>
      <c r="C142" t="s">
        <v>325</v>
      </c>
      <c r="D142" t="s">
        <v>707</v>
      </c>
      <c r="E142" t="s">
        <v>707</v>
      </c>
      <c r="F142" t="s">
        <v>707</v>
      </c>
      <c r="G142" t="s">
        <v>2137</v>
      </c>
      <c r="H142" s="37" t="s">
        <v>1851</v>
      </c>
      <c r="I142" s="37" t="s">
        <v>720</v>
      </c>
      <c r="J142" t="s">
        <v>2340</v>
      </c>
      <c r="K142" t="s">
        <v>3006</v>
      </c>
      <c r="L142" t="s">
        <v>3096</v>
      </c>
      <c r="M142" t="s">
        <v>3083</v>
      </c>
      <c r="N142" t="s">
        <v>3006</v>
      </c>
      <c r="O142" s="39" t="s">
        <v>3086</v>
      </c>
      <c r="P142" t="s">
        <v>1616</v>
      </c>
      <c r="Q142" t="s">
        <v>1617</v>
      </c>
      <c r="R142" s="10">
        <v>7761</v>
      </c>
      <c r="T142" t="s">
        <v>1911</v>
      </c>
    </row>
    <row r="143" spans="1:20" x14ac:dyDescent="0.35">
      <c r="A143">
        <v>2023</v>
      </c>
      <c r="B143" t="s">
        <v>807</v>
      </c>
      <c r="C143" t="s">
        <v>325</v>
      </c>
      <c r="D143" t="s">
        <v>707</v>
      </c>
      <c r="E143" t="s">
        <v>707</v>
      </c>
      <c r="F143" t="s">
        <v>707</v>
      </c>
      <c r="G143" t="s">
        <v>2137</v>
      </c>
      <c r="H143" s="37" t="s">
        <v>1851</v>
      </c>
      <c r="I143" s="37" t="s">
        <v>720</v>
      </c>
      <c r="J143" t="s">
        <v>2340</v>
      </c>
      <c r="K143" t="s">
        <v>3006</v>
      </c>
      <c r="L143" t="s">
        <v>3098</v>
      </c>
      <c r="M143" t="s">
        <v>3083</v>
      </c>
      <c r="N143" t="s">
        <v>3006</v>
      </c>
      <c r="O143" s="39" t="s">
        <v>3086</v>
      </c>
      <c r="P143" t="s">
        <v>2348</v>
      </c>
      <c r="Q143" t="s">
        <v>1617</v>
      </c>
      <c r="R143" s="10">
        <v>24321</v>
      </c>
      <c r="T143" t="s">
        <v>1911</v>
      </c>
    </row>
    <row r="144" spans="1:20" x14ac:dyDescent="0.35">
      <c r="A144">
        <v>2023</v>
      </c>
      <c r="B144" t="s">
        <v>807</v>
      </c>
      <c r="C144" t="s">
        <v>325</v>
      </c>
      <c r="D144" t="s">
        <v>707</v>
      </c>
      <c r="E144" t="s">
        <v>707</v>
      </c>
      <c r="F144" t="s">
        <v>707</v>
      </c>
      <c r="G144" t="s">
        <v>2137</v>
      </c>
      <c r="H144" s="37" t="s">
        <v>1851</v>
      </c>
      <c r="I144" s="37" t="s">
        <v>720</v>
      </c>
      <c r="J144" t="s">
        <v>2340</v>
      </c>
      <c r="K144" t="s">
        <v>3006</v>
      </c>
      <c r="L144" t="s">
        <v>3097</v>
      </c>
      <c r="M144" t="s">
        <v>3083</v>
      </c>
      <c r="N144" t="s">
        <v>3006</v>
      </c>
      <c r="O144" s="39" t="s">
        <v>3086</v>
      </c>
      <c r="P144" t="s">
        <v>1680</v>
      </c>
      <c r="Q144" t="s">
        <v>1617</v>
      </c>
      <c r="R144" s="10">
        <v>8466</v>
      </c>
      <c r="T144" t="s">
        <v>1911</v>
      </c>
    </row>
    <row r="145" spans="1:20" x14ac:dyDescent="0.35">
      <c r="A145">
        <v>2023</v>
      </c>
      <c r="B145" t="s">
        <v>807</v>
      </c>
      <c r="C145" t="s">
        <v>718</v>
      </c>
      <c r="D145" t="s">
        <v>707</v>
      </c>
      <c r="E145" t="s">
        <v>707</v>
      </c>
      <c r="F145" t="s">
        <v>707</v>
      </c>
      <c r="G145" t="s">
        <v>2167</v>
      </c>
      <c r="H145" s="37" t="s">
        <v>1851</v>
      </c>
      <c r="I145" s="37" t="s">
        <v>720</v>
      </c>
      <c r="J145" t="s">
        <v>720</v>
      </c>
      <c r="K145" t="s">
        <v>3006</v>
      </c>
      <c r="L145" t="s">
        <v>3096</v>
      </c>
      <c r="M145" t="s">
        <v>3083</v>
      </c>
      <c r="N145" t="s">
        <v>3006</v>
      </c>
      <c r="O145" s="39" t="s">
        <v>3086</v>
      </c>
      <c r="P145" t="s">
        <v>2488</v>
      </c>
      <c r="Q145" t="s">
        <v>2489</v>
      </c>
      <c r="R145" s="10">
        <v>1169</v>
      </c>
      <c r="T145" t="s">
        <v>2476</v>
      </c>
    </row>
    <row r="146" spans="1:20" x14ac:dyDescent="0.35">
      <c r="A146">
        <v>2023</v>
      </c>
      <c r="B146" t="s">
        <v>807</v>
      </c>
      <c r="C146" t="s">
        <v>718</v>
      </c>
      <c r="D146" t="s">
        <v>707</v>
      </c>
      <c r="E146" t="s">
        <v>707</v>
      </c>
      <c r="F146" t="s">
        <v>707</v>
      </c>
      <c r="G146" t="s">
        <v>2167</v>
      </c>
      <c r="H146" s="37" t="s">
        <v>1851</v>
      </c>
      <c r="I146" s="37" t="s">
        <v>720</v>
      </c>
      <c r="J146" t="s">
        <v>720</v>
      </c>
      <c r="K146" t="s">
        <v>3006</v>
      </c>
      <c r="L146" t="s">
        <v>3097</v>
      </c>
      <c r="M146" t="s">
        <v>3083</v>
      </c>
      <c r="N146" t="s">
        <v>3006</v>
      </c>
      <c r="O146" s="39" t="s">
        <v>3086</v>
      </c>
      <c r="P146" t="s">
        <v>1680</v>
      </c>
      <c r="Q146" t="s">
        <v>2489</v>
      </c>
      <c r="R146" s="10">
        <v>692</v>
      </c>
      <c r="T146" t="s">
        <v>2476</v>
      </c>
    </row>
    <row r="147" spans="1:20" x14ac:dyDescent="0.35">
      <c r="A147">
        <v>2023</v>
      </c>
      <c r="B147" t="s">
        <v>807</v>
      </c>
      <c r="C147" t="s">
        <v>718</v>
      </c>
      <c r="D147" t="s">
        <v>707</v>
      </c>
      <c r="E147" t="s">
        <v>707</v>
      </c>
      <c r="F147" t="s">
        <v>707</v>
      </c>
      <c r="G147" t="s">
        <v>2167</v>
      </c>
      <c r="H147" s="37" t="s">
        <v>1851</v>
      </c>
      <c r="I147" s="37" t="s">
        <v>720</v>
      </c>
      <c r="J147" t="s">
        <v>720</v>
      </c>
      <c r="K147" t="s">
        <v>3006</v>
      </c>
      <c r="L147" t="s">
        <v>3098</v>
      </c>
      <c r="M147" t="s">
        <v>3083</v>
      </c>
      <c r="N147" t="s">
        <v>3006</v>
      </c>
      <c r="O147" s="39" t="s">
        <v>3086</v>
      </c>
      <c r="P147" t="s">
        <v>1639</v>
      </c>
      <c r="Q147" t="s">
        <v>2489</v>
      </c>
      <c r="R147" s="10">
        <v>639</v>
      </c>
      <c r="T147" t="s">
        <v>2476</v>
      </c>
    </row>
    <row r="148" spans="1:20" x14ac:dyDescent="0.35">
      <c r="A148">
        <v>2023</v>
      </c>
      <c r="B148" t="s">
        <v>807</v>
      </c>
      <c r="C148" t="s">
        <v>718</v>
      </c>
      <c r="D148" t="s">
        <v>707</v>
      </c>
      <c r="E148" t="s">
        <v>707</v>
      </c>
      <c r="F148" t="s">
        <v>707</v>
      </c>
      <c r="G148" t="s">
        <v>2167</v>
      </c>
      <c r="H148" s="37" t="s">
        <v>1851</v>
      </c>
      <c r="I148" s="37" t="s">
        <v>720</v>
      </c>
      <c r="J148" t="s">
        <v>376</v>
      </c>
      <c r="K148" t="s">
        <v>3006</v>
      </c>
      <c r="L148" t="s">
        <v>3096</v>
      </c>
      <c r="M148" t="s">
        <v>3083</v>
      </c>
      <c r="N148" t="s">
        <v>3006</v>
      </c>
      <c r="O148" s="39" t="s">
        <v>3086</v>
      </c>
      <c r="P148" t="s">
        <v>2491</v>
      </c>
      <c r="Q148" t="s">
        <v>2489</v>
      </c>
      <c r="R148" s="10">
        <v>23</v>
      </c>
      <c r="T148" t="s">
        <v>2476</v>
      </c>
    </row>
    <row r="149" spans="1:20" x14ac:dyDescent="0.35">
      <c r="A149">
        <v>2023</v>
      </c>
      <c r="B149" t="s">
        <v>807</v>
      </c>
      <c r="C149" t="s">
        <v>718</v>
      </c>
      <c r="D149" t="s">
        <v>707</v>
      </c>
      <c r="E149" t="s">
        <v>707</v>
      </c>
      <c r="F149" t="s">
        <v>707</v>
      </c>
      <c r="G149" t="s">
        <v>2167</v>
      </c>
      <c r="H149" s="37" t="s">
        <v>1851</v>
      </c>
      <c r="I149" s="37" t="s">
        <v>720</v>
      </c>
      <c r="J149" t="s">
        <v>147</v>
      </c>
      <c r="K149" t="s">
        <v>3006</v>
      </c>
      <c r="L149" t="s">
        <v>3096</v>
      </c>
      <c r="M149" t="s">
        <v>3083</v>
      </c>
      <c r="N149" t="s">
        <v>3006</v>
      </c>
      <c r="O149" s="39" t="s">
        <v>3086</v>
      </c>
      <c r="P149" t="s">
        <v>2491</v>
      </c>
      <c r="Q149" t="s">
        <v>2489</v>
      </c>
      <c r="R149" s="10">
        <v>3</v>
      </c>
      <c r="T149" t="s">
        <v>2476</v>
      </c>
    </row>
    <row r="150" spans="1:20" x14ac:dyDescent="0.35">
      <c r="A150">
        <v>2023</v>
      </c>
      <c r="B150" t="s">
        <v>807</v>
      </c>
      <c r="C150" t="s">
        <v>718</v>
      </c>
      <c r="D150" t="s">
        <v>707</v>
      </c>
      <c r="E150" t="s">
        <v>707</v>
      </c>
      <c r="F150" t="s">
        <v>707</v>
      </c>
      <c r="G150" t="s">
        <v>2167</v>
      </c>
      <c r="H150" s="37" t="s">
        <v>1851</v>
      </c>
      <c r="I150" s="37" t="s">
        <v>720</v>
      </c>
      <c r="J150" t="s">
        <v>2490</v>
      </c>
      <c r="K150" t="s">
        <v>3006</v>
      </c>
      <c r="L150" t="s">
        <v>3096</v>
      </c>
      <c r="M150" t="s">
        <v>3083</v>
      </c>
      <c r="N150" t="s">
        <v>3006</v>
      </c>
      <c r="O150" s="39" t="s">
        <v>3086</v>
      </c>
      <c r="P150" t="s">
        <v>2491</v>
      </c>
      <c r="Q150" t="s">
        <v>2489</v>
      </c>
      <c r="R150" s="10">
        <v>44</v>
      </c>
      <c r="T150" t="s">
        <v>2476</v>
      </c>
    </row>
    <row r="151" spans="1:20" x14ac:dyDescent="0.35">
      <c r="A151">
        <v>2023</v>
      </c>
      <c r="B151" t="s">
        <v>807</v>
      </c>
      <c r="C151" t="s">
        <v>718</v>
      </c>
      <c r="D151" t="s">
        <v>707</v>
      </c>
      <c r="E151" t="s">
        <v>707</v>
      </c>
      <c r="F151" t="s">
        <v>707</v>
      </c>
      <c r="G151" t="s">
        <v>2167</v>
      </c>
      <c r="H151" s="37" t="s">
        <v>1851</v>
      </c>
      <c r="I151" s="37" t="s">
        <v>720</v>
      </c>
      <c r="J151" t="s">
        <v>340</v>
      </c>
      <c r="K151" t="s">
        <v>3006</v>
      </c>
      <c r="L151" t="s">
        <v>3096</v>
      </c>
      <c r="M151" t="s">
        <v>3083</v>
      </c>
      <c r="N151" t="s">
        <v>3006</v>
      </c>
      <c r="O151" s="39" t="s">
        <v>3086</v>
      </c>
      <c r="P151" t="s">
        <v>2491</v>
      </c>
      <c r="Q151" t="s">
        <v>2489</v>
      </c>
      <c r="R151" s="10">
        <v>185</v>
      </c>
      <c r="T151" t="s">
        <v>2476</v>
      </c>
    </row>
    <row r="152" spans="1:20" x14ac:dyDescent="0.35">
      <c r="A152">
        <v>2023</v>
      </c>
      <c r="B152" t="s">
        <v>807</v>
      </c>
      <c r="C152" t="s">
        <v>1945</v>
      </c>
      <c r="D152" t="s">
        <v>707</v>
      </c>
      <c r="E152" t="s">
        <v>707</v>
      </c>
      <c r="F152" t="s">
        <v>707</v>
      </c>
      <c r="G152" t="s">
        <v>1944</v>
      </c>
      <c r="H152" s="37" t="s">
        <v>233</v>
      </c>
      <c r="I152" s="37" t="s">
        <v>720</v>
      </c>
      <c r="J152" t="s">
        <v>1544</v>
      </c>
      <c r="K152" t="s">
        <v>3006</v>
      </c>
      <c r="L152" t="s">
        <v>3098</v>
      </c>
      <c r="M152" t="s">
        <v>3083</v>
      </c>
      <c r="N152" t="s">
        <v>3006</v>
      </c>
      <c r="O152" s="39" t="s">
        <v>3086</v>
      </c>
      <c r="P152" t="s">
        <v>1750</v>
      </c>
      <c r="Q152" t="s">
        <v>1638</v>
      </c>
      <c r="R152" s="10">
        <v>223236</v>
      </c>
      <c r="T152" t="s">
        <v>1948</v>
      </c>
    </row>
    <row r="153" spans="1:20" x14ac:dyDescent="0.35">
      <c r="A153">
        <v>2023</v>
      </c>
      <c r="B153" t="s">
        <v>807</v>
      </c>
      <c r="C153" t="s">
        <v>208</v>
      </c>
      <c r="D153" t="s">
        <v>707</v>
      </c>
      <c r="E153" t="s">
        <v>707</v>
      </c>
      <c r="F153" t="s">
        <v>707</v>
      </c>
      <c r="G153" t="s">
        <v>1756</v>
      </c>
      <c r="H153" s="37"/>
      <c r="I153" s="37"/>
      <c r="J153" t="s">
        <v>210</v>
      </c>
      <c r="K153" t="s">
        <v>3007</v>
      </c>
      <c r="L153" t="s">
        <v>3094</v>
      </c>
      <c r="M153" t="s">
        <v>3082</v>
      </c>
      <c r="N153" t="s">
        <v>1764</v>
      </c>
      <c r="O153" s="39" t="s">
        <v>3079</v>
      </c>
      <c r="P153" t="s">
        <v>707</v>
      </c>
      <c r="Q153" s="10" t="s">
        <v>1546</v>
      </c>
      <c r="R153" s="10">
        <v>79.864884310000008</v>
      </c>
      <c r="S153" t="s">
        <v>1762</v>
      </c>
      <c r="T153" t="s">
        <v>1852</v>
      </c>
    </row>
    <row r="154" spans="1:20" x14ac:dyDescent="0.35">
      <c r="A154">
        <v>2023</v>
      </c>
      <c r="B154" t="s">
        <v>807</v>
      </c>
      <c r="C154" t="s">
        <v>261</v>
      </c>
      <c r="D154" t="s">
        <v>707</v>
      </c>
      <c r="E154" t="s">
        <v>707</v>
      </c>
      <c r="F154" t="s">
        <v>707</v>
      </c>
      <c r="G154" t="s">
        <v>1956</v>
      </c>
      <c r="H154" s="37" t="s">
        <v>233</v>
      </c>
      <c r="I154" s="37" t="s">
        <v>249</v>
      </c>
      <c r="J154" t="s">
        <v>376</v>
      </c>
      <c r="K154" t="s">
        <v>3007</v>
      </c>
      <c r="L154" t="s">
        <v>3094</v>
      </c>
      <c r="M154" t="s">
        <v>3082</v>
      </c>
      <c r="N154" t="s">
        <v>1612</v>
      </c>
      <c r="O154" s="39" t="s">
        <v>3068</v>
      </c>
      <c r="P154" t="s">
        <v>707</v>
      </c>
      <c r="Q154" t="s">
        <v>1566</v>
      </c>
      <c r="R154" s="10">
        <v>205.16</v>
      </c>
      <c r="T154" t="s">
        <v>1957</v>
      </c>
    </row>
    <row r="155" spans="1:20" x14ac:dyDescent="0.35">
      <c r="A155">
        <v>2023</v>
      </c>
      <c r="B155" t="s">
        <v>807</v>
      </c>
      <c r="C155" t="s">
        <v>242</v>
      </c>
      <c r="D155" t="s">
        <v>707</v>
      </c>
      <c r="E155" t="s">
        <v>707</v>
      </c>
      <c r="F155" t="s">
        <v>707</v>
      </c>
      <c r="G155" t="s">
        <v>1989</v>
      </c>
      <c r="H155" s="37" t="s">
        <v>233</v>
      </c>
      <c r="I155" s="37" t="s">
        <v>245</v>
      </c>
      <c r="J155" t="s">
        <v>244</v>
      </c>
      <c r="K155" t="s">
        <v>3007</v>
      </c>
      <c r="L155" t="s">
        <v>3094</v>
      </c>
      <c r="M155" t="s">
        <v>3082</v>
      </c>
      <c r="N155" t="s">
        <v>1612</v>
      </c>
      <c r="O155" s="39" t="s">
        <v>3068</v>
      </c>
      <c r="P155" t="s">
        <v>707</v>
      </c>
      <c r="Q155" t="s">
        <v>1546</v>
      </c>
      <c r="R155" s="10">
        <v>766</v>
      </c>
      <c r="T155" t="s">
        <v>1892</v>
      </c>
    </row>
    <row r="156" spans="1:20" x14ac:dyDescent="0.35">
      <c r="A156">
        <v>2023</v>
      </c>
      <c r="B156" t="s">
        <v>807</v>
      </c>
      <c r="C156" t="s">
        <v>208</v>
      </c>
      <c r="D156" t="s">
        <v>707</v>
      </c>
      <c r="E156" t="s">
        <v>707</v>
      </c>
      <c r="F156" t="s">
        <v>707</v>
      </c>
      <c r="G156" t="s">
        <v>1756</v>
      </c>
      <c r="H156" s="37"/>
      <c r="I156" s="37"/>
      <c r="J156" t="s">
        <v>210</v>
      </c>
      <c r="K156" t="s">
        <v>3007</v>
      </c>
      <c r="L156" t="s">
        <v>3094</v>
      </c>
      <c r="M156" t="s">
        <v>3082</v>
      </c>
      <c r="N156" t="s">
        <v>1612</v>
      </c>
      <c r="O156" s="39" t="s">
        <v>3068</v>
      </c>
      <c r="P156" t="s">
        <v>707</v>
      </c>
      <c r="Q156" s="10" t="s">
        <v>1546</v>
      </c>
      <c r="R156" s="10">
        <v>87.328356343075427</v>
      </c>
      <c r="S156" t="s">
        <v>1762</v>
      </c>
      <c r="T156" t="s">
        <v>1852</v>
      </c>
    </row>
    <row r="157" spans="1:20" x14ac:dyDescent="0.35">
      <c r="A157">
        <v>2023</v>
      </c>
      <c r="B157" t="s">
        <v>807</v>
      </c>
      <c r="C157" t="s">
        <v>795</v>
      </c>
      <c r="D157" t="s">
        <v>707</v>
      </c>
      <c r="E157" t="s">
        <v>707</v>
      </c>
      <c r="F157" t="s">
        <v>707</v>
      </c>
      <c r="G157" t="s">
        <v>2011</v>
      </c>
      <c r="H157" s="37" t="s">
        <v>11</v>
      </c>
      <c r="I157" s="37" t="s">
        <v>34</v>
      </c>
      <c r="J157" t="s">
        <v>157</v>
      </c>
      <c r="K157" t="s">
        <v>3007</v>
      </c>
      <c r="L157" t="s">
        <v>3094</v>
      </c>
      <c r="M157" t="s">
        <v>3082</v>
      </c>
      <c r="N157" t="s">
        <v>1612</v>
      </c>
      <c r="O157" s="39" t="s">
        <v>3068</v>
      </c>
      <c r="P157" t="s">
        <v>707</v>
      </c>
      <c r="Q157" t="s">
        <v>1695</v>
      </c>
      <c r="R157" s="10">
        <v>422</v>
      </c>
      <c r="T157" t="s">
        <v>2020</v>
      </c>
    </row>
    <row r="158" spans="1:20" x14ac:dyDescent="0.35">
      <c r="A158">
        <v>2023</v>
      </c>
      <c r="B158" t="s">
        <v>807</v>
      </c>
      <c r="C158" t="s">
        <v>8</v>
      </c>
      <c r="D158" t="s">
        <v>707</v>
      </c>
      <c r="E158" t="s">
        <v>707</v>
      </c>
      <c r="F158" t="s">
        <v>707</v>
      </c>
      <c r="G158" t="s">
        <v>1902</v>
      </c>
      <c r="H158" s="37" t="s">
        <v>11</v>
      </c>
      <c r="I158" s="37"/>
      <c r="K158" t="s">
        <v>3007</v>
      </c>
      <c r="L158" t="s">
        <v>3094</v>
      </c>
      <c r="M158" t="s">
        <v>3082</v>
      </c>
      <c r="N158" t="s">
        <v>1612</v>
      </c>
      <c r="O158" s="39" t="s">
        <v>3068</v>
      </c>
      <c r="P158" t="s">
        <v>707</v>
      </c>
      <c r="Q158" t="s">
        <v>1546</v>
      </c>
      <c r="R158" s="10">
        <v>3.57</v>
      </c>
      <c r="T158" t="s">
        <v>1911</v>
      </c>
    </row>
    <row r="159" spans="1:20" x14ac:dyDescent="0.35">
      <c r="A159">
        <v>2021</v>
      </c>
      <c r="B159" t="s">
        <v>807</v>
      </c>
      <c r="C159" t="s">
        <v>716</v>
      </c>
      <c r="D159" t="s">
        <v>707</v>
      </c>
      <c r="E159" t="s">
        <v>707</v>
      </c>
      <c r="F159" t="s">
        <v>707</v>
      </c>
      <c r="G159" t="s">
        <v>2087</v>
      </c>
      <c r="H159" s="37" t="s">
        <v>233</v>
      </c>
      <c r="I159" s="37" t="s">
        <v>720</v>
      </c>
      <c r="J159" t="s">
        <v>244</v>
      </c>
      <c r="K159" t="s">
        <v>3007</v>
      </c>
      <c r="L159" t="s">
        <v>3094</v>
      </c>
      <c r="M159" t="s">
        <v>3083</v>
      </c>
      <c r="N159" t="s">
        <v>2306</v>
      </c>
      <c r="O159" s="39" t="s">
        <v>2306</v>
      </c>
      <c r="P159" t="s">
        <v>707</v>
      </c>
      <c r="Q159" t="s">
        <v>1566</v>
      </c>
      <c r="R159" s="10">
        <v>42.58</v>
      </c>
      <c r="T159" s="10" t="s">
        <v>2308</v>
      </c>
    </row>
    <row r="160" spans="1:20" x14ac:dyDescent="0.35">
      <c r="A160">
        <v>2023</v>
      </c>
      <c r="B160" t="s">
        <v>807</v>
      </c>
      <c r="C160" t="s">
        <v>718</v>
      </c>
      <c r="D160" t="s">
        <v>707</v>
      </c>
      <c r="E160" t="s">
        <v>707</v>
      </c>
      <c r="F160" t="s">
        <v>707</v>
      </c>
      <c r="G160" t="s">
        <v>2167</v>
      </c>
      <c r="H160" s="37" t="s">
        <v>1851</v>
      </c>
      <c r="I160" s="37" t="s">
        <v>720</v>
      </c>
      <c r="J160" t="s">
        <v>720</v>
      </c>
      <c r="K160" t="s">
        <v>3007</v>
      </c>
      <c r="L160" t="s">
        <v>3094</v>
      </c>
      <c r="M160" t="s">
        <v>3083</v>
      </c>
      <c r="N160" t="s">
        <v>2484</v>
      </c>
      <c r="O160" s="39" t="s">
        <v>2306</v>
      </c>
      <c r="P160" t="s">
        <v>707</v>
      </c>
      <c r="Q160" t="s">
        <v>1566</v>
      </c>
      <c r="R160" s="10">
        <v>2.61</v>
      </c>
      <c r="T160" t="s">
        <v>2476</v>
      </c>
    </row>
    <row r="161" spans="1:20" x14ac:dyDescent="0.35">
      <c r="A161">
        <v>2023</v>
      </c>
      <c r="B161" t="s">
        <v>807</v>
      </c>
      <c r="C161" t="s">
        <v>208</v>
      </c>
      <c r="D161" t="s">
        <v>707</v>
      </c>
      <c r="E161" t="s">
        <v>707</v>
      </c>
      <c r="F161" t="s">
        <v>707</v>
      </c>
      <c r="G161" t="s">
        <v>1756</v>
      </c>
      <c r="H161" s="37"/>
      <c r="I161" s="37"/>
      <c r="J161" t="s">
        <v>210</v>
      </c>
      <c r="K161" t="s">
        <v>3007</v>
      </c>
      <c r="L161" t="s">
        <v>3094</v>
      </c>
      <c r="M161" t="s">
        <v>3082</v>
      </c>
      <c r="N161" t="s">
        <v>1765</v>
      </c>
      <c r="O161" s="39" t="s">
        <v>3080</v>
      </c>
      <c r="P161" t="s">
        <v>707</v>
      </c>
      <c r="Q161" s="10" t="s">
        <v>1546</v>
      </c>
      <c r="R161" s="10">
        <v>0.48099999999999998</v>
      </c>
      <c r="S161" t="s">
        <v>1762</v>
      </c>
      <c r="T161" t="s">
        <v>1852</v>
      </c>
    </row>
    <row r="162" spans="1:20" x14ac:dyDescent="0.35">
      <c r="A162">
        <v>2023</v>
      </c>
      <c r="B162" t="s">
        <v>807</v>
      </c>
      <c r="C162" t="s">
        <v>242</v>
      </c>
      <c r="D162" t="s">
        <v>707</v>
      </c>
      <c r="E162" t="s">
        <v>707</v>
      </c>
      <c r="F162" t="s">
        <v>707</v>
      </c>
      <c r="G162" t="s">
        <v>1989</v>
      </c>
      <c r="H162" s="37" t="s">
        <v>233</v>
      </c>
      <c r="I162" s="37" t="s">
        <v>245</v>
      </c>
      <c r="J162" t="s">
        <v>244</v>
      </c>
      <c r="K162" t="s">
        <v>3007</v>
      </c>
      <c r="L162" t="s">
        <v>3094</v>
      </c>
      <c r="M162" t="s">
        <v>3082</v>
      </c>
      <c r="N162" t="s">
        <v>1615</v>
      </c>
      <c r="O162" s="39" t="s">
        <v>3069</v>
      </c>
      <c r="P162" t="s">
        <v>707</v>
      </c>
      <c r="Q162" t="s">
        <v>1546</v>
      </c>
      <c r="R162" s="10">
        <v>0.317</v>
      </c>
      <c r="T162" t="s">
        <v>1892</v>
      </c>
    </row>
    <row r="163" spans="1:20" x14ac:dyDescent="0.35">
      <c r="A163">
        <v>2023</v>
      </c>
      <c r="B163" t="s">
        <v>807</v>
      </c>
      <c r="C163" t="s">
        <v>242</v>
      </c>
      <c r="D163" t="s">
        <v>707</v>
      </c>
      <c r="E163" t="s">
        <v>707</v>
      </c>
      <c r="F163" t="s">
        <v>707</v>
      </c>
      <c r="G163" t="s">
        <v>1989</v>
      </c>
      <c r="H163" s="37" t="s">
        <v>233</v>
      </c>
      <c r="I163" s="37" t="s">
        <v>245</v>
      </c>
      <c r="J163" t="s">
        <v>244</v>
      </c>
      <c r="K163" t="s">
        <v>3007</v>
      </c>
      <c r="L163" t="s">
        <v>3094</v>
      </c>
      <c r="M163" t="s">
        <v>3082</v>
      </c>
      <c r="N163" t="s">
        <v>542</v>
      </c>
      <c r="O163" s="39" t="s">
        <v>3070</v>
      </c>
      <c r="P163" t="s">
        <v>707</v>
      </c>
      <c r="Q163" t="s">
        <v>1546</v>
      </c>
      <c r="R163" s="10">
        <v>5.18</v>
      </c>
      <c r="T163" t="s">
        <v>1892</v>
      </c>
    </row>
    <row r="164" spans="1:20" x14ac:dyDescent="0.35">
      <c r="A164">
        <v>2023</v>
      </c>
      <c r="B164" t="s">
        <v>807</v>
      </c>
      <c r="C164" t="s">
        <v>261</v>
      </c>
      <c r="D164" t="s">
        <v>707</v>
      </c>
      <c r="E164" t="s">
        <v>707</v>
      </c>
      <c r="F164" t="s">
        <v>707</v>
      </c>
      <c r="G164" t="s">
        <v>1956</v>
      </c>
      <c r="H164" s="37" t="s">
        <v>233</v>
      </c>
      <c r="I164" s="37" t="s">
        <v>249</v>
      </c>
      <c r="J164" t="s">
        <v>376</v>
      </c>
      <c r="K164" t="s">
        <v>3007</v>
      </c>
      <c r="L164" t="s">
        <v>3094</v>
      </c>
      <c r="M164" t="s">
        <v>3083</v>
      </c>
      <c r="N164" t="s">
        <v>1636</v>
      </c>
      <c r="O164" s="39" t="s">
        <v>3087</v>
      </c>
      <c r="P164" t="s">
        <v>707</v>
      </c>
      <c r="Q164" t="s">
        <v>1566</v>
      </c>
      <c r="R164" s="10">
        <v>17.8</v>
      </c>
      <c r="T164" t="s">
        <v>1957</v>
      </c>
    </row>
    <row r="165" spans="1:20" x14ac:dyDescent="0.35">
      <c r="A165">
        <v>2023</v>
      </c>
      <c r="B165" t="s">
        <v>807</v>
      </c>
      <c r="C165" t="s">
        <v>754</v>
      </c>
      <c r="D165" t="s">
        <v>707</v>
      </c>
      <c r="E165" t="s">
        <v>707</v>
      </c>
      <c r="F165" t="s">
        <v>707</v>
      </c>
      <c r="G165" t="s">
        <v>2023</v>
      </c>
      <c r="H165" s="37" t="s">
        <v>11</v>
      </c>
      <c r="I165" s="37" t="s">
        <v>98</v>
      </c>
      <c r="J165" t="s">
        <v>147</v>
      </c>
      <c r="K165" t="s">
        <v>3007</v>
      </c>
      <c r="L165" t="s">
        <v>3094</v>
      </c>
      <c r="M165" t="s">
        <v>3082</v>
      </c>
      <c r="N165" t="s">
        <v>1651</v>
      </c>
      <c r="O165" s="39" t="s">
        <v>3078</v>
      </c>
      <c r="P165" t="s">
        <v>707</v>
      </c>
      <c r="Q165" t="s">
        <v>1546</v>
      </c>
      <c r="R165" s="10">
        <v>7964</v>
      </c>
      <c r="T165" t="s">
        <v>1911</v>
      </c>
    </row>
    <row r="166" spans="1:20" x14ac:dyDescent="0.35">
      <c r="A166">
        <v>2023</v>
      </c>
      <c r="B166" t="s">
        <v>807</v>
      </c>
      <c r="C166" t="s">
        <v>242</v>
      </c>
      <c r="D166" t="s">
        <v>707</v>
      </c>
      <c r="E166" t="s">
        <v>707</v>
      </c>
      <c r="F166" t="s">
        <v>707</v>
      </c>
      <c r="G166" t="s">
        <v>1989</v>
      </c>
      <c r="H166" s="37" t="s">
        <v>233</v>
      </c>
      <c r="I166" s="37" t="s">
        <v>245</v>
      </c>
      <c r="J166" t="s">
        <v>244</v>
      </c>
      <c r="K166" t="s">
        <v>3007</v>
      </c>
      <c r="L166" t="s">
        <v>3094</v>
      </c>
      <c r="M166" t="s">
        <v>3083</v>
      </c>
      <c r="N166" t="s">
        <v>1636</v>
      </c>
      <c r="O166" s="39" t="s">
        <v>3087</v>
      </c>
      <c r="P166" t="s">
        <v>707</v>
      </c>
      <c r="Q166" t="s">
        <v>1546</v>
      </c>
      <c r="R166" s="10">
        <v>2329</v>
      </c>
      <c r="T166" t="s">
        <v>1892</v>
      </c>
    </row>
    <row r="167" spans="1:20" x14ac:dyDescent="0.35">
      <c r="A167">
        <v>2023</v>
      </c>
      <c r="B167" t="s">
        <v>807</v>
      </c>
      <c r="C167" t="s">
        <v>208</v>
      </c>
      <c r="D167" t="s">
        <v>707</v>
      </c>
      <c r="E167" t="s">
        <v>707</v>
      </c>
      <c r="F167" t="s">
        <v>707</v>
      </c>
      <c r="G167" t="s">
        <v>1756</v>
      </c>
      <c r="H167" s="37"/>
      <c r="I167" s="37"/>
      <c r="J167" t="s">
        <v>210</v>
      </c>
      <c r="K167" t="s">
        <v>3007</v>
      </c>
      <c r="L167" t="s">
        <v>3094</v>
      </c>
      <c r="M167" t="s">
        <v>3083</v>
      </c>
      <c r="N167" t="s">
        <v>1636</v>
      </c>
      <c r="O167" s="39" t="s">
        <v>3087</v>
      </c>
      <c r="P167" t="s">
        <v>707</v>
      </c>
      <c r="Q167" s="10" t="s">
        <v>1546</v>
      </c>
      <c r="R167" s="10">
        <v>181.69171559893115</v>
      </c>
      <c r="S167" t="s">
        <v>1762</v>
      </c>
      <c r="T167" t="s">
        <v>1852</v>
      </c>
    </row>
    <row r="168" spans="1:20" x14ac:dyDescent="0.35">
      <c r="A168">
        <v>2023</v>
      </c>
      <c r="B168" t="s">
        <v>807</v>
      </c>
      <c r="C168" t="s">
        <v>795</v>
      </c>
      <c r="D168" t="s">
        <v>707</v>
      </c>
      <c r="E168" t="s">
        <v>707</v>
      </c>
      <c r="F168" t="s">
        <v>707</v>
      </c>
      <c r="G168" t="s">
        <v>2011</v>
      </c>
      <c r="H168" s="37" t="s">
        <v>11</v>
      </c>
      <c r="I168" s="37" t="s">
        <v>34</v>
      </c>
      <c r="J168" t="s">
        <v>157</v>
      </c>
      <c r="K168" t="s">
        <v>3007</v>
      </c>
      <c r="L168" t="s">
        <v>3094</v>
      </c>
      <c r="M168" t="s">
        <v>3083</v>
      </c>
      <c r="N168" t="s">
        <v>1636</v>
      </c>
      <c r="O168" s="39" t="s">
        <v>3087</v>
      </c>
      <c r="P168" t="s">
        <v>707</v>
      </c>
      <c r="Q168" t="s">
        <v>1695</v>
      </c>
      <c r="R168" s="10">
        <v>232</v>
      </c>
      <c r="T168" t="s">
        <v>2020</v>
      </c>
    </row>
    <row r="169" spans="1:20" x14ac:dyDescent="0.35">
      <c r="A169">
        <v>2021</v>
      </c>
      <c r="B169" t="s">
        <v>807</v>
      </c>
      <c r="C169" t="s">
        <v>716</v>
      </c>
      <c r="D169" t="s">
        <v>707</v>
      </c>
      <c r="E169" t="s">
        <v>707</v>
      </c>
      <c r="F169" t="s">
        <v>707</v>
      </c>
      <c r="G169" t="s">
        <v>2087</v>
      </c>
      <c r="H169" s="37" t="s">
        <v>233</v>
      </c>
      <c r="I169" s="37" t="s">
        <v>720</v>
      </c>
      <c r="J169" t="s">
        <v>244</v>
      </c>
      <c r="K169" t="s">
        <v>3007</v>
      </c>
      <c r="L169" t="s">
        <v>3094</v>
      </c>
      <c r="M169" t="s">
        <v>3083</v>
      </c>
      <c r="N169" t="s">
        <v>1636</v>
      </c>
      <c r="O169" s="39" t="s">
        <v>3087</v>
      </c>
      <c r="P169" t="s">
        <v>707</v>
      </c>
      <c r="Q169" t="s">
        <v>1566</v>
      </c>
      <c r="R169" s="10">
        <v>25.2</v>
      </c>
      <c r="T169" s="10" t="s">
        <v>2308</v>
      </c>
    </row>
    <row r="170" spans="1:20" x14ac:dyDescent="0.35">
      <c r="A170">
        <v>2023</v>
      </c>
      <c r="B170" t="s">
        <v>807</v>
      </c>
      <c r="C170" t="s">
        <v>8</v>
      </c>
      <c r="D170" t="s">
        <v>707</v>
      </c>
      <c r="E170" t="s">
        <v>707</v>
      </c>
      <c r="F170" t="s">
        <v>707</v>
      </c>
      <c r="G170" t="s">
        <v>1902</v>
      </c>
      <c r="H170" s="37" t="s">
        <v>11</v>
      </c>
      <c r="I170" s="37"/>
      <c r="K170" t="s">
        <v>3007</v>
      </c>
      <c r="L170" t="s">
        <v>3094</v>
      </c>
      <c r="M170" t="s">
        <v>3083</v>
      </c>
      <c r="N170" t="s">
        <v>1636</v>
      </c>
      <c r="O170" s="39" t="s">
        <v>3087</v>
      </c>
      <c r="P170" t="s">
        <v>707</v>
      </c>
      <c r="Q170" t="s">
        <v>1546</v>
      </c>
      <c r="R170" s="10">
        <v>71.58</v>
      </c>
      <c r="T170" t="s">
        <v>1911</v>
      </c>
    </row>
    <row r="171" spans="1:20" x14ac:dyDescent="0.35">
      <c r="A171">
        <v>2023</v>
      </c>
      <c r="B171" t="s">
        <v>807</v>
      </c>
      <c r="C171" t="s">
        <v>718</v>
      </c>
      <c r="D171" t="s">
        <v>707</v>
      </c>
      <c r="E171" t="s">
        <v>707</v>
      </c>
      <c r="F171" t="s">
        <v>707</v>
      </c>
      <c r="G171" t="s">
        <v>2167</v>
      </c>
      <c r="H171" s="37" t="s">
        <v>1851</v>
      </c>
      <c r="I171" s="37" t="s">
        <v>720</v>
      </c>
      <c r="J171" t="s">
        <v>720</v>
      </c>
      <c r="K171" t="s">
        <v>3007</v>
      </c>
      <c r="L171" t="s">
        <v>3094</v>
      </c>
      <c r="M171" t="s">
        <v>3083</v>
      </c>
      <c r="N171" t="s">
        <v>1636</v>
      </c>
      <c r="O171" s="39" t="s">
        <v>3087</v>
      </c>
      <c r="P171" t="s">
        <v>707</v>
      </c>
      <c r="Q171" t="s">
        <v>1566</v>
      </c>
      <c r="R171" s="10">
        <v>67.2</v>
      </c>
      <c r="T171" t="s">
        <v>2476</v>
      </c>
    </row>
    <row r="172" spans="1:20" x14ac:dyDescent="0.35">
      <c r="A172">
        <v>2023</v>
      </c>
      <c r="B172" t="s">
        <v>807</v>
      </c>
      <c r="C172" t="s">
        <v>261</v>
      </c>
      <c r="D172" t="s">
        <v>707</v>
      </c>
      <c r="E172" t="s">
        <v>707</v>
      </c>
      <c r="F172" t="s">
        <v>707</v>
      </c>
      <c r="G172" t="s">
        <v>1956</v>
      </c>
      <c r="H172" s="37" t="s">
        <v>233</v>
      </c>
      <c r="I172" s="37" t="s">
        <v>249</v>
      </c>
      <c r="J172" t="s">
        <v>376</v>
      </c>
      <c r="K172" t="s">
        <v>3007</v>
      </c>
      <c r="L172" t="s">
        <v>3094</v>
      </c>
      <c r="M172" t="s">
        <v>3083</v>
      </c>
      <c r="N172" t="s">
        <v>3099</v>
      </c>
      <c r="O172" s="39" t="s">
        <v>3100</v>
      </c>
      <c r="P172" t="s">
        <v>707</v>
      </c>
      <c r="Q172" t="s">
        <v>1546</v>
      </c>
      <c r="R172" s="10">
        <v>7262</v>
      </c>
      <c r="T172" t="s">
        <v>1957</v>
      </c>
    </row>
    <row r="173" spans="1:20" x14ac:dyDescent="0.35">
      <c r="A173">
        <v>2023</v>
      </c>
      <c r="B173" t="s">
        <v>807</v>
      </c>
      <c r="C173" t="s">
        <v>242</v>
      </c>
      <c r="D173" t="s">
        <v>707</v>
      </c>
      <c r="E173" t="s">
        <v>707</v>
      </c>
      <c r="F173" t="s">
        <v>707</v>
      </c>
      <c r="G173" t="s">
        <v>1989</v>
      </c>
      <c r="H173" s="37" t="s">
        <v>233</v>
      </c>
      <c r="I173" s="37" t="s">
        <v>245</v>
      </c>
      <c r="J173" t="s">
        <v>244</v>
      </c>
      <c r="K173" t="s">
        <v>3007</v>
      </c>
      <c r="L173" t="s">
        <v>3094</v>
      </c>
      <c r="M173" t="s">
        <v>3083</v>
      </c>
      <c r="N173" t="s">
        <v>3101</v>
      </c>
      <c r="O173" s="39" t="s">
        <v>3102</v>
      </c>
      <c r="P173" t="s">
        <v>707</v>
      </c>
      <c r="Q173" t="s">
        <v>1546</v>
      </c>
      <c r="R173" s="10">
        <v>674</v>
      </c>
      <c r="T173" t="s">
        <v>1892</v>
      </c>
    </row>
    <row r="174" spans="1:20" x14ac:dyDescent="0.35">
      <c r="A174">
        <v>2023</v>
      </c>
      <c r="B174" t="s">
        <v>807</v>
      </c>
      <c r="C174" t="s">
        <v>208</v>
      </c>
      <c r="D174" t="s">
        <v>707</v>
      </c>
      <c r="E174" t="s">
        <v>707</v>
      </c>
      <c r="F174" t="s">
        <v>707</v>
      </c>
      <c r="G174" t="s">
        <v>1756</v>
      </c>
      <c r="H174" s="37"/>
      <c r="I174" s="37"/>
      <c r="J174" t="s">
        <v>210</v>
      </c>
      <c r="K174" t="s">
        <v>3007</v>
      </c>
      <c r="L174" t="s">
        <v>3094</v>
      </c>
      <c r="M174" t="s">
        <v>3083</v>
      </c>
      <c r="N174" t="s">
        <v>3101</v>
      </c>
      <c r="O174" s="39" t="s">
        <v>3102</v>
      </c>
      <c r="P174" t="s">
        <v>707</v>
      </c>
      <c r="Q174" s="10" t="s">
        <v>1546</v>
      </c>
      <c r="R174" s="10">
        <v>227.3527694436271</v>
      </c>
      <c r="S174" t="s">
        <v>1762</v>
      </c>
      <c r="T174" t="s">
        <v>1852</v>
      </c>
    </row>
    <row r="175" spans="1:20" x14ac:dyDescent="0.35">
      <c r="A175">
        <v>2023</v>
      </c>
      <c r="B175" t="s">
        <v>807</v>
      </c>
      <c r="C175" t="s">
        <v>795</v>
      </c>
      <c r="D175" t="s">
        <v>707</v>
      </c>
      <c r="E175" t="s">
        <v>707</v>
      </c>
      <c r="F175" t="s">
        <v>707</v>
      </c>
      <c r="G175" t="s">
        <v>2011</v>
      </c>
      <c r="H175" s="37" t="s">
        <v>11</v>
      </c>
      <c r="I175" s="37" t="s">
        <v>34</v>
      </c>
      <c r="J175" t="s">
        <v>157</v>
      </c>
      <c r="K175" t="s">
        <v>3007</v>
      </c>
      <c r="L175" t="s">
        <v>3094</v>
      </c>
      <c r="M175" t="s">
        <v>3083</v>
      </c>
      <c r="N175" t="s">
        <v>3101</v>
      </c>
      <c r="O175" s="39" t="s">
        <v>3102</v>
      </c>
      <c r="P175" t="s">
        <v>707</v>
      </c>
      <c r="Q175" t="s">
        <v>1695</v>
      </c>
      <c r="R175" s="10">
        <v>2633</v>
      </c>
      <c r="T175" t="s">
        <v>2020</v>
      </c>
    </row>
    <row r="176" spans="1:20" x14ac:dyDescent="0.35">
      <c r="A176">
        <v>2023</v>
      </c>
      <c r="B176" t="s">
        <v>807</v>
      </c>
      <c r="C176" t="s">
        <v>718</v>
      </c>
      <c r="D176" t="s">
        <v>707</v>
      </c>
      <c r="E176" t="s">
        <v>707</v>
      </c>
      <c r="F176" t="s">
        <v>707</v>
      </c>
      <c r="G176" t="s">
        <v>2167</v>
      </c>
      <c r="H176" s="37" t="s">
        <v>1851</v>
      </c>
      <c r="I176" s="37" t="s">
        <v>720</v>
      </c>
      <c r="J176" t="s">
        <v>720</v>
      </c>
      <c r="K176" t="s">
        <v>3007</v>
      </c>
      <c r="L176" t="s">
        <v>3094</v>
      </c>
      <c r="M176" t="s">
        <v>3083</v>
      </c>
      <c r="N176" t="s">
        <v>3101</v>
      </c>
      <c r="O176" s="39" t="s">
        <v>3102</v>
      </c>
      <c r="P176" t="s">
        <v>707</v>
      </c>
      <c r="Q176" t="s">
        <v>1566</v>
      </c>
      <c r="R176" s="10">
        <v>169.5</v>
      </c>
      <c r="T176" t="s">
        <v>2476</v>
      </c>
    </row>
    <row r="177" spans="1:20" x14ac:dyDescent="0.35">
      <c r="A177">
        <v>2023</v>
      </c>
      <c r="B177" t="s">
        <v>807</v>
      </c>
      <c r="C177" t="s">
        <v>795</v>
      </c>
      <c r="D177" t="s">
        <v>707</v>
      </c>
      <c r="E177" t="s">
        <v>707</v>
      </c>
      <c r="F177" t="s">
        <v>707</v>
      </c>
      <c r="G177" t="s">
        <v>2011</v>
      </c>
      <c r="H177" s="37" t="s">
        <v>11</v>
      </c>
      <c r="I177" s="37" t="s">
        <v>34</v>
      </c>
      <c r="J177" t="s">
        <v>157</v>
      </c>
      <c r="K177" t="s">
        <v>3007</v>
      </c>
      <c r="L177" t="s">
        <v>3094</v>
      </c>
      <c r="M177" t="s">
        <v>3083</v>
      </c>
      <c r="N177" t="s">
        <v>3103</v>
      </c>
      <c r="O177" s="39" t="s">
        <v>3104</v>
      </c>
      <c r="P177" t="s">
        <v>707</v>
      </c>
      <c r="Q177" t="s">
        <v>1695</v>
      </c>
      <c r="R177" s="10">
        <v>353</v>
      </c>
      <c r="T177" t="s">
        <v>2020</v>
      </c>
    </row>
    <row r="178" spans="1:20" x14ac:dyDescent="0.35">
      <c r="A178">
        <v>2023</v>
      </c>
      <c r="B178" t="s">
        <v>807</v>
      </c>
      <c r="C178" t="s">
        <v>718</v>
      </c>
      <c r="D178" t="s">
        <v>707</v>
      </c>
      <c r="E178" t="s">
        <v>707</v>
      </c>
      <c r="F178" t="s">
        <v>707</v>
      </c>
      <c r="G178" t="s">
        <v>2167</v>
      </c>
      <c r="H178" s="37" t="s">
        <v>1851</v>
      </c>
      <c r="I178" s="37" t="s">
        <v>720</v>
      </c>
      <c r="J178" t="s">
        <v>720</v>
      </c>
      <c r="K178" t="s">
        <v>3007</v>
      </c>
      <c r="L178" t="s">
        <v>3094</v>
      </c>
      <c r="M178" t="s">
        <v>3083</v>
      </c>
      <c r="N178" t="s">
        <v>3103</v>
      </c>
      <c r="O178" s="39" t="s">
        <v>3104</v>
      </c>
      <c r="P178" t="s">
        <v>707</v>
      </c>
      <c r="Q178" t="s">
        <v>1566</v>
      </c>
      <c r="R178" s="10">
        <v>7.7</v>
      </c>
      <c r="T178" t="s">
        <v>2476</v>
      </c>
    </row>
    <row r="179" spans="1:20" x14ac:dyDescent="0.35">
      <c r="A179">
        <v>2023</v>
      </c>
      <c r="B179" t="s">
        <v>807</v>
      </c>
      <c r="C179" t="s">
        <v>242</v>
      </c>
      <c r="D179" t="s">
        <v>707</v>
      </c>
      <c r="E179" t="s">
        <v>707</v>
      </c>
      <c r="F179" t="s">
        <v>707</v>
      </c>
      <c r="G179" t="s">
        <v>1989</v>
      </c>
      <c r="H179" s="37" t="s">
        <v>233</v>
      </c>
      <c r="I179" s="37" t="s">
        <v>245</v>
      </c>
      <c r="J179" t="s">
        <v>244</v>
      </c>
      <c r="K179" t="s">
        <v>3007</v>
      </c>
      <c r="L179" t="s">
        <v>3094</v>
      </c>
      <c r="M179" t="s">
        <v>3083</v>
      </c>
      <c r="N179" t="s">
        <v>3013</v>
      </c>
      <c r="O179" s="39" t="s">
        <v>3090</v>
      </c>
      <c r="P179" t="s">
        <v>707</v>
      </c>
      <c r="Q179" t="s">
        <v>1546</v>
      </c>
      <c r="R179" s="10">
        <v>0.56000000000000005</v>
      </c>
      <c r="T179" t="s">
        <v>1892</v>
      </c>
    </row>
    <row r="180" spans="1:20" x14ac:dyDescent="0.35">
      <c r="A180">
        <v>2023</v>
      </c>
      <c r="B180" t="s">
        <v>807</v>
      </c>
      <c r="C180" t="s">
        <v>795</v>
      </c>
      <c r="D180" t="s">
        <v>707</v>
      </c>
      <c r="E180" t="s">
        <v>707</v>
      </c>
      <c r="F180" t="s">
        <v>707</v>
      </c>
      <c r="G180" t="s">
        <v>2011</v>
      </c>
      <c r="H180" s="37" t="s">
        <v>11</v>
      </c>
      <c r="I180" s="37" t="s">
        <v>34</v>
      </c>
      <c r="J180" t="s">
        <v>157</v>
      </c>
      <c r="K180" t="s">
        <v>3007</v>
      </c>
      <c r="L180" t="s">
        <v>3094</v>
      </c>
      <c r="M180" t="s">
        <v>3082</v>
      </c>
      <c r="N180" t="s">
        <v>1650</v>
      </c>
      <c r="O180" s="39">
        <v>2025884</v>
      </c>
      <c r="P180" t="s">
        <v>707</v>
      </c>
      <c r="Q180" t="s">
        <v>1695</v>
      </c>
      <c r="R180" s="10">
        <v>15</v>
      </c>
      <c r="T180" t="s">
        <v>2020</v>
      </c>
    </row>
    <row r="181" spans="1:20" x14ac:dyDescent="0.35">
      <c r="A181">
        <v>2023</v>
      </c>
      <c r="B181" t="s">
        <v>807</v>
      </c>
      <c r="C181" t="s">
        <v>754</v>
      </c>
      <c r="D181" t="s">
        <v>707</v>
      </c>
      <c r="E181" t="s">
        <v>707</v>
      </c>
      <c r="F181" t="s">
        <v>707</v>
      </c>
      <c r="G181" t="s">
        <v>2023</v>
      </c>
      <c r="H181" s="37" t="s">
        <v>11</v>
      </c>
      <c r="I181" s="37" t="s">
        <v>98</v>
      </c>
      <c r="J181" t="s">
        <v>147</v>
      </c>
      <c r="K181" t="s">
        <v>3007</v>
      </c>
      <c r="L181" t="s">
        <v>3094</v>
      </c>
      <c r="M181" t="s">
        <v>3082</v>
      </c>
      <c r="N181" t="s">
        <v>1650</v>
      </c>
      <c r="O181" s="39">
        <v>2025884</v>
      </c>
      <c r="P181" t="s">
        <v>707</v>
      </c>
      <c r="Q181" t="s">
        <v>1546</v>
      </c>
      <c r="R181" s="10">
        <v>241</v>
      </c>
      <c r="T181" t="s">
        <v>1911</v>
      </c>
    </row>
    <row r="182" spans="1:20" x14ac:dyDescent="0.35">
      <c r="A182">
        <v>2023</v>
      </c>
      <c r="B182" t="s">
        <v>807</v>
      </c>
      <c r="C182" t="s">
        <v>242</v>
      </c>
      <c r="D182" t="s">
        <v>707</v>
      </c>
      <c r="E182" t="s">
        <v>707</v>
      </c>
      <c r="F182" t="s">
        <v>707</v>
      </c>
      <c r="G182" t="s">
        <v>1989</v>
      </c>
      <c r="H182" s="37" t="s">
        <v>233</v>
      </c>
      <c r="I182" s="37" t="s">
        <v>245</v>
      </c>
      <c r="J182" t="s">
        <v>244</v>
      </c>
      <c r="K182" t="s">
        <v>3007</v>
      </c>
      <c r="L182" t="s">
        <v>3094</v>
      </c>
      <c r="M182" t="s">
        <v>3083</v>
      </c>
      <c r="N182" t="s">
        <v>1637</v>
      </c>
      <c r="O182" s="39" t="s">
        <v>3091</v>
      </c>
      <c r="P182" t="s">
        <v>707</v>
      </c>
      <c r="Q182" t="s">
        <v>1546</v>
      </c>
      <c r="R182" s="10">
        <v>3493</v>
      </c>
      <c r="T182" t="s">
        <v>1892</v>
      </c>
    </row>
    <row r="183" spans="1:20" x14ac:dyDescent="0.35">
      <c r="A183">
        <v>2023</v>
      </c>
      <c r="B183" t="s">
        <v>807</v>
      </c>
      <c r="C183" t="s">
        <v>208</v>
      </c>
      <c r="D183" t="s">
        <v>707</v>
      </c>
      <c r="E183" t="s">
        <v>707</v>
      </c>
      <c r="F183" t="s">
        <v>707</v>
      </c>
      <c r="G183" t="s">
        <v>1756</v>
      </c>
      <c r="H183" s="37"/>
      <c r="I183" s="37"/>
      <c r="J183" t="s">
        <v>210</v>
      </c>
      <c r="K183" t="s">
        <v>3007</v>
      </c>
      <c r="L183" t="s">
        <v>3094</v>
      </c>
      <c r="M183" t="s">
        <v>3083</v>
      </c>
      <c r="N183" t="s">
        <v>1637</v>
      </c>
      <c r="O183" s="39" t="s">
        <v>3091</v>
      </c>
      <c r="P183" t="s">
        <v>707</v>
      </c>
      <c r="Q183" s="10" t="s">
        <v>1546</v>
      </c>
      <c r="R183" s="10">
        <v>0</v>
      </c>
      <c r="S183" t="s">
        <v>1762</v>
      </c>
      <c r="T183" t="s">
        <v>1852</v>
      </c>
    </row>
    <row r="184" spans="1:20" x14ac:dyDescent="0.35">
      <c r="A184">
        <v>2021</v>
      </c>
      <c r="B184" t="s">
        <v>807</v>
      </c>
      <c r="C184" t="s">
        <v>716</v>
      </c>
      <c r="D184" t="s">
        <v>707</v>
      </c>
      <c r="E184" t="s">
        <v>707</v>
      </c>
      <c r="F184" t="s">
        <v>707</v>
      </c>
      <c r="G184" t="s">
        <v>2087</v>
      </c>
      <c r="H184" s="37" t="s">
        <v>233</v>
      </c>
      <c r="I184" s="37" t="s">
        <v>720</v>
      </c>
      <c r="J184" t="s">
        <v>244</v>
      </c>
      <c r="K184" t="s">
        <v>3007</v>
      </c>
      <c r="L184" t="s">
        <v>3094</v>
      </c>
      <c r="M184" t="s">
        <v>3083</v>
      </c>
      <c r="N184" t="s">
        <v>1637</v>
      </c>
      <c r="O184" s="39" t="s">
        <v>3091</v>
      </c>
      <c r="P184" t="s">
        <v>707</v>
      </c>
      <c r="Q184" t="s">
        <v>1566</v>
      </c>
      <c r="R184" s="10">
        <v>41.6</v>
      </c>
      <c r="T184" s="10" t="s">
        <v>2308</v>
      </c>
    </row>
    <row r="185" spans="1:20" x14ac:dyDescent="0.35">
      <c r="A185">
        <v>2023</v>
      </c>
      <c r="B185" t="s">
        <v>807</v>
      </c>
      <c r="C185" t="s">
        <v>8</v>
      </c>
      <c r="D185" t="s">
        <v>707</v>
      </c>
      <c r="E185" t="s">
        <v>707</v>
      </c>
      <c r="F185" t="s">
        <v>707</v>
      </c>
      <c r="G185" t="s">
        <v>1902</v>
      </c>
      <c r="H185" s="37" t="s">
        <v>11</v>
      </c>
      <c r="I185" s="37"/>
      <c r="K185" t="s">
        <v>3007</v>
      </c>
      <c r="L185" t="s">
        <v>3094</v>
      </c>
      <c r="M185" t="s">
        <v>3083</v>
      </c>
      <c r="N185" t="s">
        <v>1637</v>
      </c>
      <c r="O185" s="39" t="s">
        <v>3091</v>
      </c>
      <c r="P185" t="s">
        <v>707</v>
      </c>
      <c r="Q185" t="s">
        <v>1546</v>
      </c>
      <c r="R185" s="10">
        <v>0.02</v>
      </c>
      <c r="T185" t="s">
        <v>1911</v>
      </c>
    </row>
    <row r="186" spans="1:20" x14ac:dyDescent="0.35">
      <c r="A186">
        <v>2023</v>
      </c>
      <c r="B186" t="s">
        <v>807</v>
      </c>
      <c r="C186" t="s">
        <v>718</v>
      </c>
      <c r="D186" t="s">
        <v>707</v>
      </c>
      <c r="E186" t="s">
        <v>707</v>
      </c>
      <c r="F186" t="s">
        <v>707</v>
      </c>
      <c r="G186" t="s">
        <v>2167</v>
      </c>
      <c r="H186" s="37" t="s">
        <v>1851</v>
      </c>
      <c r="I186" s="37" t="s">
        <v>720</v>
      </c>
      <c r="J186" t="s">
        <v>720</v>
      </c>
      <c r="K186" t="s">
        <v>3007</v>
      </c>
      <c r="L186" t="s">
        <v>3094</v>
      </c>
      <c r="M186" t="s">
        <v>3083</v>
      </c>
      <c r="N186" t="s">
        <v>1637</v>
      </c>
      <c r="O186" s="39" t="s">
        <v>3091</v>
      </c>
      <c r="P186" t="s">
        <v>707</v>
      </c>
      <c r="Q186" t="s">
        <v>1566</v>
      </c>
      <c r="R186" s="10">
        <v>72.8</v>
      </c>
      <c r="T186" t="s">
        <v>2476</v>
      </c>
    </row>
    <row r="187" spans="1:20" x14ac:dyDescent="0.35">
      <c r="A187">
        <v>2023</v>
      </c>
      <c r="B187" t="s">
        <v>807</v>
      </c>
      <c r="C187" t="s">
        <v>261</v>
      </c>
      <c r="D187" t="s">
        <v>707</v>
      </c>
      <c r="E187" t="s">
        <v>707</v>
      </c>
      <c r="F187" t="s">
        <v>707</v>
      </c>
      <c r="G187" t="s">
        <v>1956</v>
      </c>
      <c r="H187" s="37" t="s">
        <v>233</v>
      </c>
      <c r="I187" s="37" t="s">
        <v>249</v>
      </c>
      <c r="J187" t="s">
        <v>376</v>
      </c>
      <c r="K187" t="s">
        <v>3007</v>
      </c>
      <c r="L187" t="s">
        <v>3094</v>
      </c>
      <c r="M187" t="s">
        <v>3082</v>
      </c>
      <c r="N187" t="s">
        <v>1650</v>
      </c>
      <c r="O187" s="39">
        <v>2025884</v>
      </c>
      <c r="P187" t="s">
        <v>707</v>
      </c>
      <c r="Q187" t="s">
        <v>1566</v>
      </c>
      <c r="R187" s="10">
        <v>46.5</v>
      </c>
      <c r="T187" t="s">
        <v>1957</v>
      </c>
    </row>
    <row r="188" spans="1:20" x14ac:dyDescent="0.35">
      <c r="A188">
        <v>2023</v>
      </c>
      <c r="B188" t="s">
        <v>807</v>
      </c>
      <c r="C188" t="s">
        <v>208</v>
      </c>
      <c r="D188" t="s">
        <v>707</v>
      </c>
      <c r="E188" t="s">
        <v>707</v>
      </c>
      <c r="F188" t="s">
        <v>707</v>
      </c>
      <c r="G188" t="s">
        <v>1756</v>
      </c>
      <c r="H188" s="37"/>
      <c r="I188" s="37"/>
      <c r="J188" t="s">
        <v>210</v>
      </c>
      <c r="K188" t="s">
        <v>3007</v>
      </c>
      <c r="L188" t="s">
        <v>3094</v>
      </c>
      <c r="M188" t="s">
        <v>3082</v>
      </c>
      <c r="N188" t="s">
        <v>210</v>
      </c>
      <c r="O188" s="39" t="s">
        <v>3077</v>
      </c>
      <c r="P188" t="s">
        <v>707</v>
      </c>
      <c r="Q188" s="10" t="s">
        <v>1546</v>
      </c>
      <c r="R188" s="10">
        <v>0.27756999999999998</v>
      </c>
      <c r="S188" t="s">
        <v>1762</v>
      </c>
      <c r="T188" t="s">
        <v>1852</v>
      </c>
    </row>
    <row r="189" spans="1:20" x14ac:dyDescent="0.35">
      <c r="A189">
        <v>2023</v>
      </c>
      <c r="B189" t="s">
        <v>807</v>
      </c>
      <c r="C189" t="s">
        <v>261</v>
      </c>
      <c r="D189" t="s">
        <v>707</v>
      </c>
      <c r="E189" t="s">
        <v>707</v>
      </c>
      <c r="F189" t="s">
        <v>707</v>
      </c>
      <c r="G189" t="s">
        <v>1956</v>
      </c>
      <c r="H189" s="37" t="s">
        <v>233</v>
      </c>
      <c r="I189" s="37" t="s">
        <v>249</v>
      </c>
      <c r="J189" t="s">
        <v>376</v>
      </c>
      <c r="K189" t="s">
        <v>3007</v>
      </c>
      <c r="L189" t="s">
        <v>3094</v>
      </c>
      <c r="M189" t="s">
        <v>3083</v>
      </c>
      <c r="N189" t="s">
        <v>1737</v>
      </c>
      <c r="O189" s="39" t="s">
        <v>3073</v>
      </c>
      <c r="P189" t="s">
        <v>707</v>
      </c>
      <c r="Q189" t="s">
        <v>1546</v>
      </c>
      <c r="R189" s="10">
        <v>1509</v>
      </c>
      <c r="T189" t="s">
        <v>1957</v>
      </c>
    </row>
    <row r="190" spans="1:20" x14ac:dyDescent="0.35">
      <c r="A190">
        <v>2023</v>
      </c>
      <c r="B190" t="s">
        <v>807</v>
      </c>
      <c r="C190" t="s">
        <v>242</v>
      </c>
      <c r="D190" t="s">
        <v>707</v>
      </c>
      <c r="E190" t="s">
        <v>707</v>
      </c>
      <c r="F190" t="s">
        <v>707</v>
      </c>
      <c r="G190" t="s">
        <v>1989</v>
      </c>
      <c r="H190" s="37" t="s">
        <v>233</v>
      </c>
      <c r="I190" s="37" t="s">
        <v>245</v>
      </c>
      <c r="J190" t="s">
        <v>244</v>
      </c>
      <c r="K190" t="s">
        <v>3007</v>
      </c>
      <c r="L190" t="s">
        <v>3094</v>
      </c>
      <c r="M190" t="s">
        <v>3083</v>
      </c>
      <c r="N190" t="s">
        <v>1737</v>
      </c>
      <c r="O190" s="39" t="s">
        <v>3073</v>
      </c>
      <c r="P190" t="s">
        <v>707</v>
      </c>
      <c r="Q190" t="s">
        <v>1546</v>
      </c>
      <c r="R190" s="10">
        <v>117</v>
      </c>
      <c r="T190" t="s">
        <v>1892</v>
      </c>
    </row>
    <row r="191" spans="1:20" x14ac:dyDescent="0.35">
      <c r="A191">
        <v>2023</v>
      </c>
      <c r="B191" t="s">
        <v>807</v>
      </c>
      <c r="C191" t="s">
        <v>208</v>
      </c>
      <c r="D191" t="s">
        <v>707</v>
      </c>
      <c r="E191" t="s">
        <v>707</v>
      </c>
      <c r="F191" t="s">
        <v>707</v>
      </c>
      <c r="G191" t="s">
        <v>1756</v>
      </c>
      <c r="H191" s="37"/>
      <c r="I191" s="37"/>
      <c r="J191" t="s">
        <v>210</v>
      </c>
      <c r="K191" t="s">
        <v>3007</v>
      </c>
      <c r="L191" t="s">
        <v>3094</v>
      </c>
      <c r="M191" t="s">
        <v>3083</v>
      </c>
      <c r="N191" t="s">
        <v>1737</v>
      </c>
      <c r="O191" s="39" t="s">
        <v>3073</v>
      </c>
      <c r="P191" t="s">
        <v>707</v>
      </c>
      <c r="Q191" s="10" t="s">
        <v>1546</v>
      </c>
      <c r="R191" s="10">
        <v>77.03145938542302</v>
      </c>
      <c r="S191" t="s">
        <v>1762</v>
      </c>
      <c r="T191" t="s">
        <v>1852</v>
      </c>
    </row>
    <row r="192" spans="1:20" x14ac:dyDescent="0.35">
      <c r="A192">
        <v>2021</v>
      </c>
      <c r="B192" t="s">
        <v>807</v>
      </c>
      <c r="C192" t="s">
        <v>716</v>
      </c>
      <c r="D192" t="s">
        <v>707</v>
      </c>
      <c r="E192" t="s">
        <v>707</v>
      </c>
      <c r="F192" t="s">
        <v>707</v>
      </c>
      <c r="G192" t="s">
        <v>2087</v>
      </c>
      <c r="H192" s="37" t="s">
        <v>233</v>
      </c>
      <c r="I192" s="37" t="s">
        <v>720</v>
      </c>
      <c r="J192" t="s">
        <v>244</v>
      </c>
      <c r="K192" t="s">
        <v>3007</v>
      </c>
      <c r="L192" t="s">
        <v>3094</v>
      </c>
      <c r="M192" t="s">
        <v>3083</v>
      </c>
      <c r="N192" t="s">
        <v>1737</v>
      </c>
      <c r="O192" s="39" t="s">
        <v>3073</v>
      </c>
      <c r="P192" t="s">
        <v>707</v>
      </c>
      <c r="Q192" t="s">
        <v>1566</v>
      </c>
      <c r="R192" s="10">
        <v>1.4</v>
      </c>
      <c r="T192" s="10" t="s">
        <v>2308</v>
      </c>
    </row>
    <row r="195" spans="1:18" x14ac:dyDescent="0.35">
      <c r="A195">
        <v>2023</v>
      </c>
      <c r="B195" t="s">
        <v>807</v>
      </c>
      <c r="C195" t="s">
        <v>261</v>
      </c>
      <c r="D195" t="s">
        <v>707</v>
      </c>
      <c r="E195" t="s">
        <v>707</v>
      </c>
      <c r="F195" t="s">
        <v>707</v>
      </c>
      <c r="G195" t="s">
        <v>1956</v>
      </c>
      <c r="H195" s="37" t="s">
        <v>233</v>
      </c>
      <c r="I195" s="37" t="s">
        <v>249</v>
      </c>
      <c r="J195" t="s">
        <v>376</v>
      </c>
      <c r="K195" t="s">
        <v>3005</v>
      </c>
      <c r="L195" t="s">
        <v>1748</v>
      </c>
      <c r="M195" t="s">
        <v>1977</v>
      </c>
      <c r="N195" t="s">
        <v>707</v>
      </c>
      <c r="O195" t="s">
        <v>1566</v>
      </c>
      <c r="P195" s="10">
        <v>101.7</v>
      </c>
      <c r="R195" t="s">
        <v>1957</v>
      </c>
    </row>
    <row r="196" spans="1:18" x14ac:dyDescent="0.35">
      <c r="A196">
        <v>2023</v>
      </c>
      <c r="B196" t="s">
        <v>807</v>
      </c>
      <c r="C196" t="s">
        <v>261</v>
      </c>
      <c r="D196" t="s">
        <v>707</v>
      </c>
      <c r="E196" t="s">
        <v>707</v>
      </c>
      <c r="F196" t="s">
        <v>707</v>
      </c>
      <c r="G196" t="s">
        <v>1956</v>
      </c>
      <c r="H196" s="37" t="s">
        <v>233</v>
      </c>
      <c r="I196" s="37" t="s">
        <v>249</v>
      </c>
      <c r="J196" t="s">
        <v>376</v>
      </c>
      <c r="K196" t="s">
        <v>3005</v>
      </c>
      <c r="L196" t="s">
        <v>1748</v>
      </c>
      <c r="M196" t="s">
        <v>1698</v>
      </c>
      <c r="N196" t="s">
        <v>707</v>
      </c>
      <c r="O196" t="s">
        <v>1566</v>
      </c>
      <c r="P196" s="10">
        <v>133.80000000000001</v>
      </c>
      <c r="R196" t="s">
        <v>1957</v>
      </c>
    </row>
    <row r="197" spans="1:18" ht="15" customHeight="1" x14ac:dyDescent="0.35">
      <c r="A197">
        <v>2023</v>
      </c>
      <c r="B197" t="s">
        <v>807</v>
      </c>
      <c r="C197" t="s">
        <v>261</v>
      </c>
      <c r="D197" t="s">
        <v>707</v>
      </c>
      <c r="E197" t="s">
        <v>707</v>
      </c>
      <c r="F197" t="s">
        <v>707</v>
      </c>
      <c r="G197" t="s">
        <v>1956</v>
      </c>
      <c r="H197" s="37" t="s">
        <v>233</v>
      </c>
      <c r="I197" s="37" t="s">
        <v>249</v>
      </c>
      <c r="J197" t="s">
        <v>376</v>
      </c>
      <c r="K197" t="s">
        <v>3005</v>
      </c>
      <c r="L197" t="s">
        <v>1748</v>
      </c>
      <c r="M197" t="s">
        <v>1732</v>
      </c>
      <c r="N197" t="s">
        <v>707</v>
      </c>
      <c r="O197" t="s">
        <v>1566</v>
      </c>
      <c r="P197" s="10">
        <v>191.4</v>
      </c>
      <c r="R197" t="s">
        <v>1957</v>
      </c>
    </row>
    <row r="198" spans="1:18" ht="14.4" customHeight="1" x14ac:dyDescent="0.35">
      <c r="A198">
        <v>2023</v>
      </c>
      <c r="B198" t="s">
        <v>807</v>
      </c>
      <c r="C198" t="s">
        <v>261</v>
      </c>
      <c r="D198" t="s">
        <v>707</v>
      </c>
      <c r="E198" t="s">
        <v>707</v>
      </c>
      <c r="F198" t="s">
        <v>707</v>
      </c>
      <c r="G198" t="s">
        <v>1956</v>
      </c>
      <c r="H198" s="37" t="s">
        <v>233</v>
      </c>
      <c r="I198" s="37" t="s">
        <v>249</v>
      </c>
      <c r="J198" t="s">
        <v>376</v>
      </c>
      <c r="K198" t="s">
        <v>3005</v>
      </c>
      <c r="L198" t="s">
        <v>1748</v>
      </c>
      <c r="M198" t="s">
        <v>1791</v>
      </c>
      <c r="N198" t="s">
        <v>707</v>
      </c>
      <c r="O198" t="s">
        <v>1641</v>
      </c>
      <c r="P198" s="10">
        <v>1.5</v>
      </c>
      <c r="R198" t="s">
        <v>1957</v>
      </c>
    </row>
    <row r="199" spans="1:18" x14ac:dyDescent="0.35">
      <c r="A199">
        <v>2023</v>
      </c>
      <c r="B199" t="s">
        <v>807</v>
      </c>
      <c r="C199" t="s">
        <v>261</v>
      </c>
      <c r="D199" t="s">
        <v>707</v>
      </c>
      <c r="E199" t="s">
        <v>707</v>
      </c>
      <c r="F199" t="s">
        <v>707</v>
      </c>
      <c r="G199" t="s">
        <v>1956</v>
      </c>
      <c r="H199" s="37" t="s">
        <v>233</v>
      </c>
      <c r="I199" s="37" t="s">
        <v>249</v>
      </c>
      <c r="J199" t="s">
        <v>376</v>
      </c>
      <c r="K199" t="s">
        <v>3005</v>
      </c>
      <c r="L199" t="s">
        <v>1748</v>
      </c>
      <c r="M199" t="s">
        <v>1978</v>
      </c>
      <c r="N199" t="s">
        <v>707</v>
      </c>
      <c r="O199" t="s">
        <v>1641</v>
      </c>
      <c r="P199" s="10">
        <v>46.8</v>
      </c>
      <c r="R199" t="s">
        <v>1957</v>
      </c>
    </row>
    <row r="200" spans="1:18" x14ac:dyDescent="0.35">
      <c r="A200">
        <v>2023</v>
      </c>
      <c r="B200" t="s">
        <v>807</v>
      </c>
      <c r="C200" t="s">
        <v>261</v>
      </c>
      <c r="D200" t="s">
        <v>707</v>
      </c>
      <c r="E200" t="s">
        <v>707</v>
      </c>
      <c r="F200" t="s">
        <v>707</v>
      </c>
      <c r="G200" t="s">
        <v>1956</v>
      </c>
      <c r="H200" s="37" t="s">
        <v>233</v>
      </c>
      <c r="I200" s="37" t="s">
        <v>249</v>
      </c>
      <c r="J200" t="s">
        <v>376</v>
      </c>
      <c r="K200" t="s">
        <v>3005</v>
      </c>
      <c r="L200" t="s">
        <v>1748</v>
      </c>
      <c r="M200" t="s">
        <v>1979</v>
      </c>
      <c r="N200" t="s">
        <v>707</v>
      </c>
      <c r="O200" t="s">
        <v>1641</v>
      </c>
      <c r="P200" s="10">
        <v>1.5</v>
      </c>
      <c r="R200" t="s">
        <v>1957</v>
      </c>
    </row>
    <row r="201" spans="1:18" x14ac:dyDescent="0.35">
      <c r="A201">
        <v>2023</v>
      </c>
      <c r="B201" t="s">
        <v>807</v>
      </c>
      <c r="C201" t="s">
        <v>261</v>
      </c>
      <c r="D201" t="s">
        <v>707</v>
      </c>
      <c r="E201" t="s">
        <v>707</v>
      </c>
      <c r="F201" t="s">
        <v>707</v>
      </c>
      <c r="G201" t="s">
        <v>1956</v>
      </c>
      <c r="H201" s="37" t="s">
        <v>233</v>
      </c>
      <c r="I201" s="37" t="s">
        <v>249</v>
      </c>
      <c r="J201" t="s">
        <v>376</v>
      </c>
      <c r="K201" t="s">
        <v>3005</v>
      </c>
      <c r="L201" t="s">
        <v>1748</v>
      </c>
      <c r="M201" t="s">
        <v>1984</v>
      </c>
      <c r="N201" t="s">
        <v>707</v>
      </c>
      <c r="O201" t="s">
        <v>1641</v>
      </c>
      <c r="P201">
        <v>22.3</v>
      </c>
      <c r="R201" t="s">
        <v>1957</v>
      </c>
    </row>
    <row r="202" spans="1:18" x14ac:dyDescent="0.35">
      <c r="A202">
        <v>2023</v>
      </c>
      <c r="B202" t="s">
        <v>807</v>
      </c>
      <c r="C202" t="s">
        <v>242</v>
      </c>
      <c r="D202" t="s">
        <v>707</v>
      </c>
      <c r="E202" t="s">
        <v>707</v>
      </c>
      <c r="F202" t="s">
        <v>707</v>
      </c>
      <c r="G202" t="s">
        <v>1989</v>
      </c>
      <c r="H202" s="37" t="s">
        <v>233</v>
      </c>
      <c r="I202" s="37" t="s">
        <v>245</v>
      </c>
      <c r="J202" t="s">
        <v>244</v>
      </c>
      <c r="K202" t="s">
        <v>3005</v>
      </c>
      <c r="L202" t="s">
        <v>1748</v>
      </c>
      <c r="M202" t="s">
        <v>1699</v>
      </c>
      <c r="N202" t="s">
        <v>707</v>
      </c>
      <c r="O202" t="s">
        <v>1546</v>
      </c>
      <c r="P202">
        <v>1472636</v>
      </c>
      <c r="R202" t="s">
        <v>1892</v>
      </c>
    </row>
    <row r="203" spans="1:18" x14ac:dyDescent="0.35">
      <c r="A203">
        <v>2023</v>
      </c>
      <c r="B203" t="s">
        <v>807</v>
      </c>
      <c r="C203" t="s">
        <v>208</v>
      </c>
      <c r="D203" t="s">
        <v>707</v>
      </c>
      <c r="E203" t="s">
        <v>707</v>
      </c>
      <c r="F203" t="s">
        <v>707</v>
      </c>
      <c r="G203" t="s">
        <v>1756</v>
      </c>
      <c r="H203" s="37"/>
      <c r="I203" s="37"/>
      <c r="J203" t="s">
        <v>210</v>
      </c>
      <c r="K203" t="s">
        <v>3005</v>
      </c>
      <c r="L203" t="s">
        <v>1748</v>
      </c>
      <c r="M203" t="s">
        <v>1731</v>
      </c>
      <c r="N203" t="s">
        <v>707</v>
      </c>
      <c r="O203" t="s">
        <v>1546</v>
      </c>
      <c r="P203" s="10">
        <v>137431</v>
      </c>
      <c r="Q203" t="s">
        <v>1762</v>
      </c>
      <c r="R203" t="s">
        <v>1852</v>
      </c>
    </row>
    <row r="204" spans="1:18" x14ac:dyDescent="0.35">
      <c r="A204">
        <v>2023</v>
      </c>
      <c r="B204" t="s">
        <v>807</v>
      </c>
      <c r="C204" t="s">
        <v>208</v>
      </c>
      <c r="D204" t="s">
        <v>707</v>
      </c>
      <c r="E204" t="s">
        <v>707</v>
      </c>
      <c r="F204" t="s">
        <v>707</v>
      </c>
      <c r="G204" t="s">
        <v>1756</v>
      </c>
      <c r="H204" s="37"/>
      <c r="I204" s="37"/>
      <c r="J204" t="s">
        <v>210</v>
      </c>
      <c r="K204" t="s">
        <v>3005</v>
      </c>
      <c r="L204" t="s">
        <v>1748</v>
      </c>
      <c r="M204" t="s">
        <v>1697</v>
      </c>
      <c r="N204" t="s">
        <v>707</v>
      </c>
      <c r="O204" t="s">
        <v>1546</v>
      </c>
      <c r="P204" s="10">
        <v>11637.281794</v>
      </c>
      <c r="Q204" t="s">
        <v>1762</v>
      </c>
      <c r="R204" t="s">
        <v>1852</v>
      </c>
    </row>
    <row r="205" spans="1:18" x14ac:dyDescent="0.35">
      <c r="A205">
        <v>2023</v>
      </c>
      <c r="B205" t="s">
        <v>807</v>
      </c>
      <c r="C205" t="s">
        <v>208</v>
      </c>
      <c r="D205" t="s">
        <v>707</v>
      </c>
      <c r="E205" t="s">
        <v>707</v>
      </c>
      <c r="F205" t="s">
        <v>707</v>
      </c>
      <c r="G205" t="s">
        <v>1756</v>
      </c>
      <c r="H205" s="37"/>
      <c r="I205" s="37"/>
      <c r="J205" t="s">
        <v>210</v>
      </c>
      <c r="K205" t="s">
        <v>3005</v>
      </c>
      <c r="L205" t="s">
        <v>1748</v>
      </c>
      <c r="M205" t="s">
        <v>1758</v>
      </c>
      <c r="N205" t="s">
        <v>707</v>
      </c>
      <c r="O205" t="s">
        <v>1546</v>
      </c>
      <c r="P205" s="10">
        <v>7494.8230000000003</v>
      </c>
      <c r="Q205" t="s">
        <v>1762</v>
      </c>
      <c r="R205" t="s">
        <v>1852</v>
      </c>
    </row>
    <row r="206" spans="1:18" x14ac:dyDescent="0.35">
      <c r="A206">
        <v>2023</v>
      </c>
      <c r="B206" t="s">
        <v>807</v>
      </c>
      <c r="C206" t="s">
        <v>208</v>
      </c>
      <c r="D206" t="s">
        <v>707</v>
      </c>
      <c r="E206" t="s">
        <v>707</v>
      </c>
      <c r="F206" t="s">
        <v>707</v>
      </c>
      <c r="G206" t="s">
        <v>1756</v>
      </c>
      <c r="H206" s="37"/>
      <c r="I206" s="37"/>
      <c r="J206" t="s">
        <v>210</v>
      </c>
      <c r="K206" t="s">
        <v>3005</v>
      </c>
      <c r="L206" t="s">
        <v>1748</v>
      </c>
      <c r="M206" t="s">
        <v>1759</v>
      </c>
      <c r="N206" t="s">
        <v>707</v>
      </c>
      <c r="O206" t="s">
        <v>1546</v>
      </c>
      <c r="P206" s="10">
        <v>1898.6220000000001</v>
      </c>
      <c r="Q206" t="s">
        <v>1762</v>
      </c>
      <c r="R206" t="s">
        <v>1852</v>
      </c>
    </row>
    <row r="207" spans="1:18" x14ac:dyDescent="0.35">
      <c r="A207">
        <v>2023</v>
      </c>
      <c r="B207" t="s">
        <v>807</v>
      </c>
      <c r="C207" t="s">
        <v>208</v>
      </c>
      <c r="D207" t="s">
        <v>707</v>
      </c>
      <c r="E207" t="s">
        <v>707</v>
      </c>
      <c r="F207" t="s">
        <v>707</v>
      </c>
      <c r="G207" t="s">
        <v>1756</v>
      </c>
      <c r="H207" s="37"/>
      <c r="I207" s="37"/>
      <c r="J207" t="s">
        <v>210</v>
      </c>
      <c r="K207" t="s">
        <v>3005</v>
      </c>
      <c r="L207" t="s">
        <v>1748</v>
      </c>
      <c r="M207" t="s">
        <v>1760</v>
      </c>
      <c r="N207" t="s">
        <v>707</v>
      </c>
      <c r="O207" t="s">
        <v>1546</v>
      </c>
      <c r="P207" s="10">
        <v>1750.1487999999999</v>
      </c>
      <c r="Q207" t="s">
        <v>1762</v>
      </c>
      <c r="R207" t="s">
        <v>1852</v>
      </c>
    </row>
    <row r="208" spans="1:18" x14ac:dyDescent="0.35">
      <c r="A208">
        <v>2023</v>
      </c>
      <c r="B208" t="s">
        <v>807</v>
      </c>
      <c r="C208" t="s">
        <v>208</v>
      </c>
      <c r="D208" t="s">
        <v>707</v>
      </c>
      <c r="E208" t="s">
        <v>707</v>
      </c>
      <c r="F208" t="s">
        <v>707</v>
      </c>
      <c r="G208" t="s">
        <v>1756</v>
      </c>
      <c r="H208" s="37"/>
      <c r="I208" s="37"/>
      <c r="J208" t="s">
        <v>210</v>
      </c>
      <c r="K208" t="s">
        <v>3005</v>
      </c>
      <c r="L208" t="s">
        <v>1748</v>
      </c>
      <c r="M208" t="s">
        <v>1761</v>
      </c>
      <c r="N208" t="s">
        <v>707</v>
      </c>
      <c r="O208" t="s">
        <v>1546</v>
      </c>
      <c r="P208" s="10">
        <v>493.687994</v>
      </c>
      <c r="Q208" t="s">
        <v>1762</v>
      </c>
      <c r="R208" t="s">
        <v>1852</v>
      </c>
    </row>
    <row r="209" spans="1:18" x14ac:dyDescent="0.35">
      <c r="A209">
        <v>2023</v>
      </c>
      <c r="B209" t="s">
        <v>807</v>
      </c>
      <c r="C209" t="s">
        <v>795</v>
      </c>
      <c r="D209" t="s">
        <v>707</v>
      </c>
      <c r="E209" t="s">
        <v>707</v>
      </c>
      <c r="F209" t="s">
        <v>707</v>
      </c>
      <c r="G209" t="s">
        <v>2011</v>
      </c>
      <c r="H209" s="37" t="s">
        <v>11</v>
      </c>
      <c r="I209" s="37" t="s">
        <v>34</v>
      </c>
      <c r="J209" t="s">
        <v>157</v>
      </c>
      <c r="K209" t="s">
        <v>3005</v>
      </c>
      <c r="L209" t="s">
        <v>1748</v>
      </c>
      <c r="M209" t="s">
        <v>1622</v>
      </c>
      <c r="N209" t="s">
        <v>707</v>
      </c>
      <c r="O209" t="s">
        <v>1641</v>
      </c>
      <c r="P209" s="10">
        <v>26</v>
      </c>
      <c r="R209" t="s">
        <v>2020</v>
      </c>
    </row>
    <row r="210" spans="1:18" x14ac:dyDescent="0.35">
      <c r="A210">
        <v>2023</v>
      </c>
      <c r="B210" t="s">
        <v>807</v>
      </c>
      <c r="C210" t="s">
        <v>795</v>
      </c>
      <c r="D210" t="s">
        <v>707</v>
      </c>
      <c r="E210" t="s">
        <v>707</v>
      </c>
      <c r="F210" t="s">
        <v>707</v>
      </c>
      <c r="G210" t="s">
        <v>2011</v>
      </c>
      <c r="H210" s="37" t="s">
        <v>11</v>
      </c>
      <c r="I210" s="37" t="s">
        <v>34</v>
      </c>
      <c r="J210" t="s">
        <v>157</v>
      </c>
      <c r="K210" t="s">
        <v>3005</v>
      </c>
      <c r="L210" t="s">
        <v>1748</v>
      </c>
      <c r="M210" t="s">
        <v>2017</v>
      </c>
      <c r="N210" t="s">
        <v>707</v>
      </c>
      <c r="O210" t="s">
        <v>1641</v>
      </c>
      <c r="P210" s="10">
        <v>23.5</v>
      </c>
      <c r="R210" t="s">
        <v>2020</v>
      </c>
    </row>
    <row r="211" spans="1:18" ht="14.4" customHeight="1" x14ac:dyDescent="0.35">
      <c r="A211">
        <v>2023</v>
      </c>
      <c r="B211" t="s">
        <v>807</v>
      </c>
      <c r="C211" t="s">
        <v>795</v>
      </c>
      <c r="D211" t="s">
        <v>707</v>
      </c>
      <c r="E211" t="s">
        <v>707</v>
      </c>
      <c r="F211" t="s">
        <v>707</v>
      </c>
      <c r="G211" t="s">
        <v>2011</v>
      </c>
      <c r="H211" s="37" t="s">
        <v>11</v>
      </c>
      <c r="I211" s="37" t="s">
        <v>34</v>
      </c>
      <c r="J211" t="s">
        <v>157</v>
      </c>
      <c r="K211" t="s">
        <v>3005</v>
      </c>
      <c r="L211" t="s">
        <v>1748</v>
      </c>
      <c r="M211" t="s">
        <v>1732</v>
      </c>
      <c r="N211" t="s">
        <v>707</v>
      </c>
      <c r="O211" t="s">
        <v>1546</v>
      </c>
      <c r="P211" s="10">
        <v>6958</v>
      </c>
      <c r="R211" t="s">
        <v>2020</v>
      </c>
    </row>
    <row r="212" spans="1:18" ht="14.4" customHeight="1" x14ac:dyDescent="0.35">
      <c r="A212">
        <v>2023</v>
      </c>
      <c r="B212" t="s">
        <v>807</v>
      </c>
      <c r="C212" t="s">
        <v>795</v>
      </c>
      <c r="D212" t="s">
        <v>707</v>
      </c>
      <c r="E212" t="s">
        <v>707</v>
      </c>
      <c r="F212" t="s">
        <v>707</v>
      </c>
      <c r="G212" t="s">
        <v>2011</v>
      </c>
      <c r="H212" s="37" t="s">
        <v>11</v>
      </c>
      <c r="I212" s="37" t="s">
        <v>34</v>
      </c>
      <c r="J212" t="s">
        <v>157</v>
      </c>
      <c r="K212" t="s">
        <v>3005</v>
      </c>
      <c r="L212" t="s">
        <v>1748</v>
      </c>
      <c r="M212" t="s">
        <v>1698</v>
      </c>
      <c r="N212" t="s">
        <v>707</v>
      </c>
      <c r="O212" t="s">
        <v>1546</v>
      </c>
      <c r="P212" s="10">
        <v>1061</v>
      </c>
      <c r="R212" t="s">
        <v>2020</v>
      </c>
    </row>
    <row r="213" spans="1:18" x14ac:dyDescent="0.35">
      <c r="A213">
        <v>2021</v>
      </c>
      <c r="B213" t="s">
        <v>807</v>
      </c>
      <c r="C213" t="s">
        <v>716</v>
      </c>
      <c r="D213" t="s">
        <v>707</v>
      </c>
      <c r="E213" t="s">
        <v>707</v>
      </c>
      <c r="F213" t="s">
        <v>707</v>
      </c>
      <c r="G213" t="s">
        <v>2087</v>
      </c>
      <c r="H213" s="37" t="s">
        <v>233</v>
      </c>
      <c r="I213" s="37" t="s">
        <v>720</v>
      </c>
      <c r="J213" t="s">
        <v>244</v>
      </c>
      <c r="K213" t="s">
        <v>3005</v>
      </c>
      <c r="L213" t="s">
        <v>1748</v>
      </c>
      <c r="M213" t="s">
        <v>2312</v>
      </c>
      <c r="N213" t="s">
        <v>707</v>
      </c>
      <c r="O213" t="s">
        <v>1566</v>
      </c>
      <c r="P213" s="31">
        <v>8561.4</v>
      </c>
      <c r="R213" s="10" t="s">
        <v>2308</v>
      </c>
    </row>
    <row r="214" spans="1:18" x14ac:dyDescent="0.35">
      <c r="A214">
        <v>2021</v>
      </c>
      <c r="B214" t="s">
        <v>807</v>
      </c>
      <c r="C214" t="s">
        <v>716</v>
      </c>
      <c r="D214" t="s">
        <v>707</v>
      </c>
      <c r="E214" t="s">
        <v>707</v>
      </c>
      <c r="F214" t="s">
        <v>707</v>
      </c>
      <c r="G214" t="s">
        <v>2087</v>
      </c>
      <c r="H214" s="37" t="s">
        <v>233</v>
      </c>
      <c r="I214" s="37" t="s">
        <v>720</v>
      </c>
      <c r="J214" t="s">
        <v>244</v>
      </c>
      <c r="K214" t="s">
        <v>3005</v>
      </c>
      <c r="L214" t="s">
        <v>1748</v>
      </c>
      <c r="M214" t="s">
        <v>2313</v>
      </c>
      <c r="N214" t="s">
        <v>707</v>
      </c>
      <c r="O214" t="s">
        <v>1566</v>
      </c>
      <c r="P214" s="31">
        <v>2172.6999999999998</v>
      </c>
      <c r="R214" s="10" t="s">
        <v>2308</v>
      </c>
    </row>
    <row r="215" spans="1:18" x14ac:dyDescent="0.35">
      <c r="A215">
        <v>2021</v>
      </c>
      <c r="B215" t="s">
        <v>807</v>
      </c>
      <c r="C215" t="s">
        <v>716</v>
      </c>
      <c r="D215" t="s">
        <v>707</v>
      </c>
      <c r="E215" t="s">
        <v>707</v>
      </c>
      <c r="F215" t="s">
        <v>707</v>
      </c>
      <c r="G215" t="s">
        <v>2087</v>
      </c>
      <c r="H215" s="37" t="s">
        <v>233</v>
      </c>
      <c r="I215" s="37" t="s">
        <v>720</v>
      </c>
      <c r="J215" t="s">
        <v>244</v>
      </c>
      <c r="K215" t="s">
        <v>3005</v>
      </c>
      <c r="L215" t="s">
        <v>1748</v>
      </c>
      <c r="M215" t="s">
        <v>2021</v>
      </c>
      <c r="N215" t="s">
        <v>707</v>
      </c>
      <c r="O215" t="s">
        <v>1566</v>
      </c>
      <c r="P215" s="31">
        <v>2298.9</v>
      </c>
      <c r="R215" s="10" t="s">
        <v>2308</v>
      </c>
    </row>
    <row r="216" spans="1:18" x14ac:dyDescent="0.35">
      <c r="A216">
        <v>2021</v>
      </c>
      <c r="B216" t="s">
        <v>807</v>
      </c>
      <c r="C216" t="s">
        <v>716</v>
      </c>
      <c r="D216" t="s">
        <v>707</v>
      </c>
      <c r="E216" t="s">
        <v>707</v>
      </c>
      <c r="F216" t="s">
        <v>707</v>
      </c>
      <c r="G216" t="s">
        <v>2087</v>
      </c>
      <c r="H216" s="37" t="s">
        <v>233</v>
      </c>
      <c r="I216" s="37" t="s">
        <v>720</v>
      </c>
      <c r="J216" t="s">
        <v>244</v>
      </c>
      <c r="K216" t="s">
        <v>3005</v>
      </c>
      <c r="L216" t="s">
        <v>1748</v>
      </c>
      <c r="M216" t="s">
        <v>2314</v>
      </c>
      <c r="N216" t="s">
        <v>707</v>
      </c>
      <c r="O216" t="s">
        <v>1566</v>
      </c>
      <c r="P216" s="31">
        <v>8987.6</v>
      </c>
      <c r="R216" s="10" t="s">
        <v>2308</v>
      </c>
    </row>
    <row r="217" spans="1:18" ht="14.4" customHeight="1" x14ac:dyDescent="0.35">
      <c r="A217">
        <v>2021</v>
      </c>
      <c r="B217" t="s">
        <v>807</v>
      </c>
      <c r="C217" t="s">
        <v>716</v>
      </c>
      <c r="D217" t="s">
        <v>707</v>
      </c>
      <c r="E217" t="s">
        <v>707</v>
      </c>
      <c r="F217" t="s">
        <v>707</v>
      </c>
      <c r="G217" t="s">
        <v>2087</v>
      </c>
      <c r="H217" s="37" t="s">
        <v>233</v>
      </c>
      <c r="I217" s="37" t="s">
        <v>720</v>
      </c>
      <c r="J217" t="s">
        <v>244</v>
      </c>
      <c r="K217" t="s">
        <v>3005</v>
      </c>
      <c r="L217" t="s">
        <v>1748</v>
      </c>
      <c r="M217" t="s">
        <v>2315</v>
      </c>
      <c r="N217" t="s">
        <v>707</v>
      </c>
      <c r="O217" t="s">
        <v>1566</v>
      </c>
      <c r="P217">
        <v>837.9</v>
      </c>
      <c r="R217" s="10" t="s">
        <v>2308</v>
      </c>
    </row>
    <row r="218" spans="1:18" ht="14.4" customHeight="1" x14ac:dyDescent="0.35">
      <c r="A218">
        <v>2021</v>
      </c>
      <c r="B218" t="s">
        <v>807</v>
      </c>
      <c r="C218" t="s">
        <v>716</v>
      </c>
      <c r="D218" t="s">
        <v>707</v>
      </c>
      <c r="E218" t="s">
        <v>707</v>
      </c>
      <c r="F218" t="s">
        <v>707</v>
      </c>
      <c r="G218" t="s">
        <v>2087</v>
      </c>
      <c r="H218" s="37" t="s">
        <v>233</v>
      </c>
      <c r="I218" s="37" t="s">
        <v>720</v>
      </c>
      <c r="J218" t="s">
        <v>244</v>
      </c>
      <c r="K218" t="s">
        <v>3005</v>
      </c>
      <c r="L218" t="s">
        <v>1748</v>
      </c>
      <c r="M218" t="s">
        <v>2316</v>
      </c>
      <c r="N218" t="s">
        <v>707</v>
      </c>
      <c r="O218" t="s">
        <v>1566</v>
      </c>
      <c r="P218" s="25">
        <v>187131</v>
      </c>
      <c r="R218" s="10" t="s">
        <v>2308</v>
      </c>
    </row>
    <row r="219" spans="1:18" x14ac:dyDescent="0.35">
      <c r="A219">
        <v>2023</v>
      </c>
      <c r="B219" t="s">
        <v>807</v>
      </c>
      <c r="C219" t="s">
        <v>8</v>
      </c>
      <c r="D219" t="s">
        <v>707</v>
      </c>
      <c r="E219" t="s">
        <v>707</v>
      </c>
      <c r="F219" t="s">
        <v>707</v>
      </c>
      <c r="G219" t="s">
        <v>1902</v>
      </c>
      <c r="H219" s="37" t="s">
        <v>11</v>
      </c>
      <c r="I219" s="37"/>
      <c r="K219" t="s">
        <v>3005</v>
      </c>
      <c r="L219" t="s">
        <v>1748</v>
      </c>
      <c r="M219" t="s">
        <v>1907</v>
      </c>
      <c r="N219" t="s">
        <v>707</v>
      </c>
      <c r="O219" t="s">
        <v>1546</v>
      </c>
      <c r="P219">
        <v>5562353</v>
      </c>
      <c r="R219" t="s">
        <v>1911</v>
      </c>
    </row>
    <row r="220" spans="1:18" x14ac:dyDescent="0.35">
      <c r="A220">
        <v>2023</v>
      </c>
      <c r="B220" t="s">
        <v>807</v>
      </c>
      <c r="C220" t="s">
        <v>8</v>
      </c>
      <c r="D220" t="s">
        <v>707</v>
      </c>
      <c r="E220" t="s">
        <v>707</v>
      </c>
      <c r="F220" t="s">
        <v>707</v>
      </c>
      <c r="G220" t="s">
        <v>1902</v>
      </c>
      <c r="H220" s="37" t="s">
        <v>11</v>
      </c>
      <c r="I220" s="37"/>
      <c r="K220" t="s">
        <v>3005</v>
      </c>
      <c r="L220" t="s">
        <v>1748</v>
      </c>
      <c r="M220" t="s">
        <v>1622</v>
      </c>
      <c r="N220" t="s">
        <v>707</v>
      </c>
      <c r="O220" t="s">
        <v>1546</v>
      </c>
      <c r="P220">
        <v>2083146</v>
      </c>
      <c r="R220" t="s">
        <v>1911</v>
      </c>
    </row>
    <row r="221" spans="1:18" x14ac:dyDescent="0.35">
      <c r="A221">
        <v>2023</v>
      </c>
      <c r="B221" t="s">
        <v>807</v>
      </c>
      <c r="C221" t="s">
        <v>8</v>
      </c>
      <c r="D221" t="s">
        <v>707</v>
      </c>
      <c r="E221" t="s">
        <v>707</v>
      </c>
      <c r="F221" t="s">
        <v>707</v>
      </c>
      <c r="G221" t="s">
        <v>1902</v>
      </c>
      <c r="H221" s="37" t="s">
        <v>11</v>
      </c>
      <c r="I221" s="37"/>
      <c r="K221" t="s">
        <v>3005</v>
      </c>
      <c r="L221" t="s">
        <v>1748</v>
      </c>
      <c r="M221" t="s">
        <v>1908</v>
      </c>
      <c r="N221" t="s">
        <v>707</v>
      </c>
      <c r="O221" t="s">
        <v>1546</v>
      </c>
      <c r="P221">
        <v>1599</v>
      </c>
      <c r="R221" t="s">
        <v>1911</v>
      </c>
    </row>
    <row r="222" spans="1:18" x14ac:dyDescent="0.35">
      <c r="A222">
        <v>2023</v>
      </c>
      <c r="B222" t="s">
        <v>807</v>
      </c>
      <c r="C222" t="s">
        <v>8</v>
      </c>
      <c r="D222" t="s">
        <v>707</v>
      </c>
      <c r="E222" t="s">
        <v>707</v>
      </c>
      <c r="F222" t="s">
        <v>707</v>
      </c>
      <c r="G222" t="s">
        <v>1902</v>
      </c>
      <c r="H222" s="37" t="s">
        <v>11</v>
      </c>
      <c r="I222" s="37"/>
      <c r="K222" t="s">
        <v>3005</v>
      </c>
      <c r="L222" t="s">
        <v>1748</v>
      </c>
      <c r="M222" t="s">
        <v>1761</v>
      </c>
      <c r="N222" t="s">
        <v>707</v>
      </c>
      <c r="O222" t="s">
        <v>1546</v>
      </c>
      <c r="P222" s="10">
        <v>517</v>
      </c>
      <c r="R222" t="s">
        <v>1911</v>
      </c>
    </row>
    <row r="223" spans="1:18" x14ac:dyDescent="0.35">
      <c r="A223">
        <v>2023</v>
      </c>
      <c r="B223" t="s">
        <v>807</v>
      </c>
      <c r="C223" t="s">
        <v>717</v>
      </c>
      <c r="D223" t="s">
        <v>707</v>
      </c>
      <c r="E223" t="s">
        <v>707</v>
      </c>
      <c r="F223" t="s">
        <v>707</v>
      </c>
      <c r="G223" t="s">
        <v>1853</v>
      </c>
      <c r="H223" s="37"/>
      <c r="I223" s="37"/>
      <c r="K223" t="s">
        <v>3005</v>
      </c>
      <c r="L223" t="s">
        <v>1748</v>
      </c>
      <c r="M223" t="s">
        <v>1792</v>
      </c>
      <c r="N223" t="s">
        <v>707</v>
      </c>
      <c r="O223" s="10" t="s">
        <v>1546</v>
      </c>
      <c r="P223" s="10">
        <v>1033993</v>
      </c>
      <c r="R223" t="s">
        <v>1785</v>
      </c>
    </row>
    <row r="224" spans="1:18" x14ac:dyDescent="0.35">
      <c r="A224">
        <v>2023</v>
      </c>
      <c r="B224" t="s">
        <v>807</v>
      </c>
      <c r="C224" t="s">
        <v>717</v>
      </c>
      <c r="D224" t="s">
        <v>707</v>
      </c>
      <c r="E224" t="s">
        <v>707</v>
      </c>
      <c r="F224" t="s">
        <v>707</v>
      </c>
      <c r="G224" t="s">
        <v>1853</v>
      </c>
      <c r="H224" s="37"/>
      <c r="I224" s="37"/>
      <c r="K224" t="s">
        <v>3005</v>
      </c>
      <c r="L224" t="s">
        <v>1748</v>
      </c>
      <c r="M224" t="s">
        <v>1790</v>
      </c>
      <c r="N224" t="s">
        <v>707</v>
      </c>
      <c r="O224" s="10" t="s">
        <v>1546</v>
      </c>
      <c r="P224" s="10">
        <v>87553953</v>
      </c>
      <c r="R224" t="s">
        <v>1785</v>
      </c>
    </row>
    <row r="225" spans="1:18" x14ac:dyDescent="0.35">
      <c r="A225">
        <v>2023</v>
      </c>
      <c r="B225" t="s">
        <v>807</v>
      </c>
      <c r="C225" t="s">
        <v>717</v>
      </c>
      <c r="D225" t="s">
        <v>707</v>
      </c>
      <c r="E225" t="s">
        <v>707</v>
      </c>
      <c r="F225" t="s">
        <v>707</v>
      </c>
      <c r="G225" t="s">
        <v>1853</v>
      </c>
      <c r="H225" s="37"/>
      <c r="I225" s="37"/>
      <c r="K225" t="s">
        <v>3005</v>
      </c>
      <c r="L225" t="s">
        <v>1748</v>
      </c>
      <c r="M225" t="s">
        <v>1791</v>
      </c>
      <c r="N225" t="s">
        <v>707</v>
      </c>
      <c r="O225" s="10" t="s">
        <v>1546</v>
      </c>
      <c r="P225" s="10">
        <v>45174643</v>
      </c>
      <c r="R225" t="s">
        <v>1785</v>
      </c>
    </row>
    <row r="226" spans="1:18" x14ac:dyDescent="0.35">
      <c r="A226">
        <v>2023</v>
      </c>
      <c r="B226" t="s">
        <v>807</v>
      </c>
      <c r="C226" t="s">
        <v>325</v>
      </c>
      <c r="D226" t="s">
        <v>707</v>
      </c>
      <c r="E226" t="s">
        <v>707</v>
      </c>
      <c r="F226" t="s">
        <v>707</v>
      </c>
      <c r="G226" t="s">
        <v>2137</v>
      </c>
      <c r="H226" s="37" t="s">
        <v>1851</v>
      </c>
      <c r="I226" s="37" t="s">
        <v>720</v>
      </c>
      <c r="J226" t="s">
        <v>2340</v>
      </c>
      <c r="K226" t="s">
        <v>3005</v>
      </c>
      <c r="L226" t="s">
        <v>1748</v>
      </c>
      <c r="M226" t="s">
        <v>1908</v>
      </c>
      <c r="N226" t="s">
        <v>707</v>
      </c>
      <c r="O226" t="s">
        <v>1546</v>
      </c>
      <c r="P226">
        <v>3780</v>
      </c>
      <c r="R226" t="s">
        <v>1911</v>
      </c>
    </row>
    <row r="227" spans="1:18" x14ac:dyDescent="0.35">
      <c r="A227">
        <v>2023</v>
      </c>
      <c r="B227" t="s">
        <v>807</v>
      </c>
      <c r="C227" t="s">
        <v>325</v>
      </c>
      <c r="D227" t="s">
        <v>707</v>
      </c>
      <c r="E227" t="s">
        <v>707</v>
      </c>
      <c r="F227" t="s">
        <v>707</v>
      </c>
      <c r="G227" t="s">
        <v>2137</v>
      </c>
      <c r="H227" s="37" t="s">
        <v>1851</v>
      </c>
      <c r="I227" s="37" t="s">
        <v>720</v>
      </c>
      <c r="J227" t="s">
        <v>2340</v>
      </c>
      <c r="K227" t="s">
        <v>3005</v>
      </c>
      <c r="L227" t="s">
        <v>1748</v>
      </c>
      <c r="M227" t="s">
        <v>2343</v>
      </c>
      <c r="N227" t="s">
        <v>707</v>
      </c>
      <c r="O227" t="s">
        <v>1546</v>
      </c>
      <c r="P227">
        <v>3495</v>
      </c>
      <c r="R227" t="s">
        <v>1911</v>
      </c>
    </row>
    <row r="228" spans="1:18" x14ac:dyDescent="0.35">
      <c r="A228">
        <v>2023</v>
      </c>
      <c r="B228" t="s">
        <v>807</v>
      </c>
      <c r="C228" t="s">
        <v>325</v>
      </c>
      <c r="D228" t="s">
        <v>707</v>
      </c>
      <c r="E228" t="s">
        <v>707</v>
      </c>
      <c r="F228" t="s">
        <v>707</v>
      </c>
      <c r="G228" t="s">
        <v>2137</v>
      </c>
      <c r="H228" s="37" t="s">
        <v>1851</v>
      </c>
      <c r="I228" s="37" t="s">
        <v>720</v>
      </c>
      <c r="J228" t="s">
        <v>2340</v>
      </c>
      <c r="K228" t="s">
        <v>3005</v>
      </c>
      <c r="L228" t="s">
        <v>1748</v>
      </c>
      <c r="M228" t="s">
        <v>2344</v>
      </c>
      <c r="N228" t="s">
        <v>707</v>
      </c>
      <c r="O228" t="s">
        <v>1546</v>
      </c>
      <c r="P228">
        <v>285</v>
      </c>
      <c r="R228" t="s">
        <v>1911</v>
      </c>
    </row>
    <row r="229" spans="1:18" x14ac:dyDescent="0.35">
      <c r="A229">
        <v>2023</v>
      </c>
      <c r="B229" t="s">
        <v>807</v>
      </c>
      <c r="C229" t="s">
        <v>325</v>
      </c>
      <c r="D229" t="s">
        <v>707</v>
      </c>
      <c r="E229" t="s">
        <v>707</v>
      </c>
      <c r="F229" t="s">
        <v>707</v>
      </c>
      <c r="G229" t="s">
        <v>2137</v>
      </c>
      <c r="H229" s="37" t="s">
        <v>1851</v>
      </c>
      <c r="I229" s="37" t="s">
        <v>720</v>
      </c>
      <c r="J229" t="s">
        <v>2340</v>
      </c>
      <c r="K229" t="s">
        <v>3005</v>
      </c>
      <c r="L229" t="s">
        <v>1748</v>
      </c>
      <c r="M229" t="s">
        <v>2345</v>
      </c>
      <c r="N229" t="s">
        <v>707</v>
      </c>
      <c r="O229" t="s">
        <v>1546</v>
      </c>
      <c r="P229">
        <v>6259074</v>
      </c>
      <c r="R229" t="s">
        <v>1911</v>
      </c>
    </row>
    <row r="230" spans="1:18" x14ac:dyDescent="0.35">
      <c r="A230">
        <v>2023</v>
      </c>
      <c r="B230" t="s">
        <v>807</v>
      </c>
      <c r="C230" t="s">
        <v>325</v>
      </c>
      <c r="D230" t="s">
        <v>707</v>
      </c>
      <c r="E230" t="s">
        <v>707</v>
      </c>
      <c r="F230" t="s">
        <v>707</v>
      </c>
      <c r="G230" t="s">
        <v>2137</v>
      </c>
      <c r="H230" s="37" t="s">
        <v>1851</v>
      </c>
      <c r="I230" s="37" t="s">
        <v>720</v>
      </c>
      <c r="J230" t="s">
        <v>2340</v>
      </c>
      <c r="K230" t="s">
        <v>3005</v>
      </c>
      <c r="L230" t="s">
        <v>1748</v>
      </c>
      <c r="M230" t="s">
        <v>2346</v>
      </c>
      <c r="N230" t="s">
        <v>707</v>
      </c>
      <c r="O230" t="s">
        <v>1546</v>
      </c>
      <c r="P230">
        <v>2583084</v>
      </c>
      <c r="R230" t="s">
        <v>1911</v>
      </c>
    </row>
    <row r="231" spans="1:18" x14ac:dyDescent="0.35">
      <c r="A231">
        <v>2023</v>
      </c>
      <c r="B231" t="s">
        <v>807</v>
      </c>
      <c r="C231" t="s">
        <v>325</v>
      </c>
      <c r="D231" t="s">
        <v>707</v>
      </c>
      <c r="E231" t="s">
        <v>707</v>
      </c>
      <c r="F231" t="s">
        <v>707</v>
      </c>
      <c r="G231" t="s">
        <v>2137</v>
      </c>
      <c r="H231" s="37" t="s">
        <v>1851</v>
      </c>
      <c r="I231" s="37" t="s">
        <v>720</v>
      </c>
      <c r="J231" t="s">
        <v>2340</v>
      </c>
      <c r="K231" t="s">
        <v>3005</v>
      </c>
      <c r="L231" t="s">
        <v>1748</v>
      </c>
      <c r="M231" t="s">
        <v>2347</v>
      </c>
      <c r="N231" t="s">
        <v>707</v>
      </c>
      <c r="O231" t="s">
        <v>1546</v>
      </c>
      <c r="P231">
        <v>3675990</v>
      </c>
      <c r="R231" t="s">
        <v>1911</v>
      </c>
    </row>
    <row r="232" spans="1:18" x14ac:dyDescent="0.35">
      <c r="A232">
        <v>2023</v>
      </c>
      <c r="B232" t="s">
        <v>807</v>
      </c>
      <c r="C232" t="s">
        <v>325</v>
      </c>
      <c r="D232" t="s">
        <v>707</v>
      </c>
      <c r="E232" t="s">
        <v>707</v>
      </c>
      <c r="F232" t="s">
        <v>707</v>
      </c>
      <c r="G232" t="s">
        <v>2137</v>
      </c>
      <c r="H232" s="37" t="s">
        <v>1851</v>
      </c>
      <c r="I232" s="37" t="s">
        <v>720</v>
      </c>
      <c r="J232" t="s">
        <v>2340</v>
      </c>
      <c r="K232" t="s">
        <v>3005</v>
      </c>
      <c r="L232" t="s">
        <v>1748</v>
      </c>
      <c r="N232" t="s">
        <v>707</v>
      </c>
      <c r="P232" s="10"/>
      <c r="R232" t="s">
        <v>1911</v>
      </c>
    </row>
    <row r="233" spans="1:18" x14ac:dyDescent="0.35">
      <c r="A233">
        <v>2023</v>
      </c>
      <c r="B233" t="s">
        <v>807</v>
      </c>
      <c r="C233" t="s">
        <v>718</v>
      </c>
      <c r="D233" t="s">
        <v>707</v>
      </c>
      <c r="E233" t="s">
        <v>707</v>
      </c>
      <c r="F233" t="s">
        <v>707</v>
      </c>
      <c r="G233" t="s">
        <v>2167</v>
      </c>
      <c r="H233" s="37" t="s">
        <v>1851</v>
      </c>
      <c r="I233" s="37" t="s">
        <v>720</v>
      </c>
      <c r="J233" t="s">
        <v>720</v>
      </c>
      <c r="K233" t="s">
        <v>3005</v>
      </c>
      <c r="L233" t="s">
        <v>1748</v>
      </c>
      <c r="M233" t="s">
        <v>2485</v>
      </c>
      <c r="N233" t="s">
        <v>707</v>
      </c>
      <c r="O233" t="s">
        <v>1641</v>
      </c>
      <c r="P233" s="10">
        <v>9</v>
      </c>
      <c r="R233" t="s">
        <v>2476</v>
      </c>
    </row>
    <row r="234" spans="1:18" x14ac:dyDescent="0.35">
      <c r="A234">
        <v>2023</v>
      </c>
      <c r="B234" t="s">
        <v>807</v>
      </c>
      <c r="C234" t="s">
        <v>718</v>
      </c>
      <c r="D234" t="s">
        <v>707</v>
      </c>
      <c r="E234" t="s">
        <v>707</v>
      </c>
      <c r="F234" t="s">
        <v>707</v>
      </c>
      <c r="G234" t="s">
        <v>2167</v>
      </c>
      <c r="H234" s="37" t="s">
        <v>1851</v>
      </c>
      <c r="I234" s="37" t="s">
        <v>720</v>
      </c>
      <c r="J234" t="s">
        <v>720</v>
      </c>
      <c r="K234" t="s">
        <v>3005</v>
      </c>
      <c r="L234" t="s">
        <v>1748</v>
      </c>
      <c r="M234" t="s">
        <v>2486</v>
      </c>
      <c r="N234" t="s">
        <v>707</v>
      </c>
      <c r="O234" t="s">
        <v>1641</v>
      </c>
      <c r="P234" s="10">
        <v>974</v>
      </c>
      <c r="R234" t="s">
        <v>2476</v>
      </c>
    </row>
    <row r="235" spans="1:18" x14ac:dyDescent="0.35">
      <c r="A235">
        <v>2023</v>
      </c>
      <c r="B235" t="s">
        <v>807</v>
      </c>
      <c r="C235" t="s">
        <v>718</v>
      </c>
      <c r="D235" t="s">
        <v>707</v>
      </c>
      <c r="E235" t="s">
        <v>707</v>
      </c>
      <c r="F235" t="s">
        <v>707</v>
      </c>
      <c r="G235" t="s">
        <v>2167</v>
      </c>
      <c r="H235" s="37" t="s">
        <v>1851</v>
      </c>
      <c r="I235" s="37" t="s">
        <v>720</v>
      </c>
      <c r="J235" t="s">
        <v>720</v>
      </c>
      <c r="K235" t="s">
        <v>3005</v>
      </c>
      <c r="L235" t="s">
        <v>1748</v>
      </c>
      <c r="M235" t="s">
        <v>1697</v>
      </c>
      <c r="N235" t="s">
        <v>707</v>
      </c>
      <c r="O235" t="s">
        <v>1566</v>
      </c>
      <c r="P235" s="10">
        <v>1158</v>
      </c>
      <c r="R235" t="s">
        <v>2476</v>
      </c>
    </row>
    <row r="236" spans="1:18" x14ac:dyDescent="0.35">
      <c r="A236">
        <v>2023</v>
      </c>
      <c r="B236" t="s">
        <v>807</v>
      </c>
      <c r="C236" t="s">
        <v>718</v>
      </c>
      <c r="D236" t="s">
        <v>707</v>
      </c>
      <c r="E236" t="s">
        <v>707</v>
      </c>
      <c r="F236" t="s">
        <v>707</v>
      </c>
      <c r="G236" t="s">
        <v>2167</v>
      </c>
      <c r="H236" s="37" t="s">
        <v>1851</v>
      </c>
      <c r="I236" s="37" t="s">
        <v>720</v>
      </c>
      <c r="J236" t="s">
        <v>720</v>
      </c>
      <c r="K236" t="s">
        <v>3005</v>
      </c>
      <c r="L236" t="s">
        <v>1748</v>
      </c>
      <c r="M236" t="s">
        <v>2487</v>
      </c>
      <c r="N236" t="s">
        <v>707</v>
      </c>
      <c r="O236" t="s">
        <v>1566</v>
      </c>
      <c r="P236" s="10">
        <v>226</v>
      </c>
      <c r="R236" t="s">
        <v>2476</v>
      </c>
    </row>
    <row r="237" spans="1:18" x14ac:dyDescent="0.35">
      <c r="A237">
        <v>2023</v>
      </c>
      <c r="B237" t="s">
        <v>807</v>
      </c>
      <c r="C237" t="s">
        <v>1945</v>
      </c>
      <c r="D237" t="s">
        <v>707</v>
      </c>
      <c r="E237" t="s">
        <v>707</v>
      </c>
      <c r="F237" t="s">
        <v>707</v>
      </c>
      <c r="G237" t="s">
        <v>1944</v>
      </c>
      <c r="H237" s="37" t="s">
        <v>233</v>
      </c>
      <c r="I237" s="37" t="s">
        <v>720</v>
      </c>
      <c r="J237" t="s">
        <v>1544</v>
      </c>
      <c r="K237" t="s">
        <v>3005</v>
      </c>
      <c r="L237" t="s">
        <v>1748</v>
      </c>
      <c r="M237" t="s">
        <v>1949</v>
      </c>
      <c r="N237" t="s">
        <v>707</v>
      </c>
      <c r="O237" t="s">
        <v>1546</v>
      </c>
      <c r="P237" s="10">
        <v>1577</v>
      </c>
      <c r="R237" t="s">
        <v>1948</v>
      </c>
    </row>
    <row r="238" spans="1:18" x14ac:dyDescent="0.35">
      <c r="A238">
        <v>2023</v>
      </c>
      <c r="B238" t="s">
        <v>807</v>
      </c>
      <c r="C238" t="s">
        <v>1945</v>
      </c>
      <c r="D238" t="s">
        <v>707</v>
      </c>
      <c r="E238" t="s">
        <v>707</v>
      </c>
      <c r="F238" t="s">
        <v>707</v>
      </c>
      <c r="G238" t="s">
        <v>1944</v>
      </c>
      <c r="H238" s="37" t="s">
        <v>233</v>
      </c>
      <c r="I238" s="37" t="s">
        <v>720</v>
      </c>
      <c r="J238" t="s">
        <v>1544</v>
      </c>
      <c r="K238" t="s">
        <v>3005</v>
      </c>
      <c r="L238" t="s">
        <v>1748</v>
      </c>
      <c r="M238" t="s">
        <v>1698</v>
      </c>
      <c r="N238" t="s">
        <v>707</v>
      </c>
      <c r="O238" t="s">
        <v>1546</v>
      </c>
      <c r="P238" s="10">
        <v>1312</v>
      </c>
      <c r="R238" t="s">
        <v>1948</v>
      </c>
    </row>
    <row r="239" spans="1:18" x14ac:dyDescent="0.35">
      <c r="A239">
        <v>2024</v>
      </c>
      <c r="B239" t="s">
        <v>807</v>
      </c>
      <c r="C239" t="s">
        <v>101</v>
      </c>
      <c r="D239" t="s">
        <v>707</v>
      </c>
      <c r="E239" t="s">
        <v>707</v>
      </c>
      <c r="F239" t="s">
        <v>707</v>
      </c>
      <c r="G239" t="s">
        <v>1850</v>
      </c>
      <c r="H239" s="37"/>
      <c r="I239" s="37"/>
      <c r="K239" t="s">
        <v>3005</v>
      </c>
      <c r="L239" t="s">
        <v>1748</v>
      </c>
      <c r="M239" t="s">
        <v>1843</v>
      </c>
      <c r="N239" t="s">
        <v>707</v>
      </c>
      <c r="O239" t="s">
        <v>1546</v>
      </c>
      <c r="P239" s="10">
        <v>68000000</v>
      </c>
      <c r="R239" t="s">
        <v>1848</v>
      </c>
    </row>
    <row r="240" spans="1:18" x14ac:dyDescent="0.35">
      <c r="A240">
        <v>2025</v>
      </c>
      <c r="B240" t="s">
        <v>807</v>
      </c>
      <c r="C240" t="s">
        <v>101</v>
      </c>
      <c r="D240" t="s">
        <v>707</v>
      </c>
      <c r="E240" t="s">
        <v>707</v>
      </c>
      <c r="F240" t="s">
        <v>707</v>
      </c>
      <c r="G240" t="s">
        <v>1850</v>
      </c>
      <c r="H240" s="37"/>
      <c r="I240" s="37"/>
      <c r="K240" t="s">
        <v>3005</v>
      </c>
      <c r="L240" t="s">
        <v>1748</v>
      </c>
      <c r="M240" t="s">
        <v>1844</v>
      </c>
      <c r="N240" t="s">
        <v>707</v>
      </c>
      <c r="O240" t="s">
        <v>1546</v>
      </c>
      <c r="P240" s="10">
        <v>81000000</v>
      </c>
      <c r="R240" t="s">
        <v>1848</v>
      </c>
    </row>
    <row r="241" spans="1:20" x14ac:dyDescent="0.35">
      <c r="A241">
        <v>2026</v>
      </c>
      <c r="B241" t="s">
        <v>807</v>
      </c>
      <c r="C241" t="s">
        <v>101</v>
      </c>
      <c r="D241" t="s">
        <v>707</v>
      </c>
      <c r="E241" t="s">
        <v>707</v>
      </c>
      <c r="F241" t="s">
        <v>707</v>
      </c>
      <c r="G241" t="s">
        <v>1850</v>
      </c>
      <c r="H241" s="37"/>
      <c r="I241" s="37"/>
      <c r="K241" t="s">
        <v>3005</v>
      </c>
      <c r="L241" t="s">
        <v>1748</v>
      </c>
      <c r="M241" t="s">
        <v>1823</v>
      </c>
      <c r="N241" t="s">
        <v>707</v>
      </c>
      <c r="O241" t="s">
        <v>1546</v>
      </c>
      <c r="P241" s="10">
        <v>7979</v>
      </c>
      <c r="R241" t="s">
        <v>1848</v>
      </c>
    </row>
    <row r="242" spans="1:20" x14ac:dyDescent="0.35">
      <c r="A242">
        <v>2027</v>
      </c>
      <c r="B242" t="s">
        <v>807</v>
      </c>
      <c r="C242" t="s">
        <v>101</v>
      </c>
      <c r="D242" t="s">
        <v>707</v>
      </c>
      <c r="E242" t="s">
        <v>707</v>
      </c>
      <c r="F242" t="s">
        <v>707</v>
      </c>
      <c r="G242" t="s">
        <v>1850</v>
      </c>
      <c r="H242" s="37"/>
      <c r="I242" s="37"/>
      <c r="K242" t="s">
        <v>3005</v>
      </c>
      <c r="L242" t="s">
        <v>1748</v>
      </c>
      <c r="M242" t="s">
        <v>1822</v>
      </c>
      <c r="N242" t="s">
        <v>707</v>
      </c>
      <c r="O242" t="s">
        <v>1546</v>
      </c>
      <c r="P242" s="10">
        <v>37531</v>
      </c>
      <c r="R242" t="s">
        <v>1848</v>
      </c>
    </row>
    <row r="245" spans="1:20" x14ac:dyDescent="0.35">
      <c r="A245">
        <v>2023</v>
      </c>
      <c r="B245" t="s">
        <v>807</v>
      </c>
      <c r="C245" t="s">
        <v>2924</v>
      </c>
      <c r="D245" t="s">
        <v>261</v>
      </c>
      <c r="E245" t="s">
        <v>707</v>
      </c>
      <c r="F245" t="s">
        <v>707</v>
      </c>
      <c r="G245" t="s">
        <v>707</v>
      </c>
      <c r="H245" t="s">
        <v>1956</v>
      </c>
      <c r="I245" s="37" t="s">
        <v>233</v>
      </c>
      <c r="J245" s="37" t="s">
        <v>249</v>
      </c>
      <c r="K245" s="37" t="s">
        <v>376</v>
      </c>
      <c r="L245" t="s">
        <v>376</v>
      </c>
      <c r="M245" t="s">
        <v>3017</v>
      </c>
      <c r="N245" t="s">
        <v>2925</v>
      </c>
      <c r="O245" t="s">
        <v>2918</v>
      </c>
      <c r="P245" t="s">
        <v>3030</v>
      </c>
      <c r="Q245" t="s">
        <v>1988</v>
      </c>
      <c r="R245" s="31">
        <v>2114</v>
      </c>
      <c r="T245" t="s">
        <v>1987</v>
      </c>
    </row>
    <row r="246" spans="1:20" x14ac:dyDescent="0.35">
      <c r="A246">
        <v>2023</v>
      </c>
      <c r="B246" t="s">
        <v>807</v>
      </c>
      <c r="C246" t="s">
        <v>2924</v>
      </c>
      <c r="D246" t="s">
        <v>795</v>
      </c>
      <c r="E246" t="s">
        <v>707</v>
      </c>
      <c r="F246" t="s">
        <v>707</v>
      </c>
      <c r="G246" t="s">
        <v>707</v>
      </c>
      <c r="H246" t="s">
        <v>2011</v>
      </c>
      <c r="I246" s="37" t="s">
        <v>11</v>
      </c>
      <c r="J246" s="37" t="s">
        <v>34</v>
      </c>
      <c r="K246" s="37" t="s">
        <v>157</v>
      </c>
      <c r="L246" t="s">
        <v>157</v>
      </c>
      <c r="M246" t="s">
        <v>3016</v>
      </c>
      <c r="N246" t="s">
        <v>1552</v>
      </c>
      <c r="O246" t="s">
        <v>2918</v>
      </c>
      <c r="P246" t="s">
        <v>3030</v>
      </c>
      <c r="Q246" t="s">
        <v>1641</v>
      </c>
      <c r="R246" s="31">
        <v>14.16</v>
      </c>
      <c r="T246" t="s">
        <v>2020</v>
      </c>
    </row>
    <row r="247" spans="1:20" x14ac:dyDescent="0.35">
      <c r="A247">
        <v>2023</v>
      </c>
      <c r="B247" t="s">
        <v>807</v>
      </c>
      <c r="C247" t="s">
        <v>2924</v>
      </c>
      <c r="D247" t="s">
        <v>795</v>
      </c>
      <c r="E247" t="s">
        <v>707</v>
      </c>
      <c r="F247" t="s">
        <v>707</v>
      </c>
      <c r="G247" t="s">
        <v>707</v>
      </c>
      <c r="H247" t="s">
        <v>2011</v>
      </c>
      <c r="I247" s="37" t="s">
        <v>11</v>
      </c>
      <c r="J247" s="37" t="s">
        <v>34</v>
      </c>
      <c r="K247" s="37" t="s">
        <v>157</v>
      </c>
      <c r="L247" t="s">
        <v>157</v>
      </c>
      <c r="M247" t="s">
        <v>3014</v>
      </c>
      <c r="N247" t="s">
        <v>1594</v>
      </c>
      <c r="O247" t="s">
        <v>2918</v>
      </c>
      <c r="P247" t="s">
        <v>3030</v>
      </c>
      <c r="Q247" t="s">
        <v>1641</v>
      </c>
      <c r="R247" s="31">
        <v>40.869999999999997</v>
      </c>
      <c r="S247" t="s">
        <v>2019</v>
      </c>
      <c r="T247" t="s">
        <v>2020</v>
      </c>
    </row>
    <row r="248" spans="1:20" x14ac:dyDescent="0.35">
      <c r="A248">
        <v>2023</v>
      </c>
      <c r="B248" t="s">
        <v>807</v>
      </c>
      <c r="C248" t="s">
        <v>2923</v>
      </c>
      <c r="D248" t="s">
        <v>754</v>
      </c>
      <c r="E248" t="s">
        <v>707</v>
      </c>
      <c r="F248" t="s">
        <v>707</v>
      </c>
      <c r="G248" t="s">
        <v>707</v>
      </c>
      <c r="H248" t="s">
        <v>2023</v>
      </c>
      <c r="I248" s="37" t="s">
        <v>11</v>
      </c>
      <c r="J248" s="37" t="s">
        <v>98</v>
      </c>
      <c r="K248" s="37" t="s">
        <v>147</v>
      </c>
      <c r="L248" t="s">
        <v>147</v>
      </c>
      <c r="M248" t="s">
        <v>3016</v>
      </c>
      <c r="N248" t="s">
        <v>1806</v>
      </c>
      <c r="O248" t="s">
        <v>2918</v>
      </c>
      <c r="P248" t="s">
        <v>3030</v>
      </c>
      <c r="Q248" t="s">
        <v>2027</v>
      </c>
      <c r="R248" s="31">
        <v>2834</v>
      </c>
      <c r="T248" t="s">
        <v>1911</v>
      </c>
    </row>
    <row r="249" spans="1:20" x14ac:dyDescent="0.35">
      <c r="A249">
        <v>2023</v>
      </c>
      <c r="B249" t="s">
        <v>807</v>
      </c>
      <c r="C249" t="s">
        <v>2924</v>
      </c>
      <c r="D249" t="s">
        <v>715</v>
      </c>
      <c r="E249" t="s">
        <v>707</v>
      </c>
      <c r="F249" t="s">
        <v>707</v>
      </c>
      <c r="G249" t="s">
        <v>707</v>
      </c>
      <c r="I249" s="37" t="s">
        <v>274</v>
      </c>
      <c r="J249" s="37" t="s">
        <v>720</v>
      </c>
      <c r="K249" s="37" t="s">
        <v>286</v>
      </c>
      <c r="L249" t="s">
        <v>125</v>
      </c>
      <c r="M249" t="s">
        <v>3018</v>
      </c>
      <c r="N249" t="s">
        <v>2368</v>
      </c>
      <c r="O249" t="s">
        <v>2918</v>
      </c>
      <c r="P249" t="s">
        <v>3030</v>
      </c>
      <c r="Q249" t="s">
        <v>1566</v>
      </c>
      <c r="R249" s="31">
        <v>443.3</v>
      </c>
      <c r="S249" t="s">
        <v>2941</v>
      </c>
      <c r="T249" t="s">
        <v>2455</v>
      </c>
    </row>
    <row r="250" spans="1:20" x14ac:dyDescent="0.35">
      <c r="A250">
        <v>2023</v>
      </c>
      <c r="B250" t="s">
        <v>807</v>
      </c>
      <c r="C250" t="s">
        <v>2924</v>
      </c>
      <c r="D250" t="s">
        <v>715</v>
      </c>
      <c r="E250" t="s">
        <v>707</v>
      </c>
      <c r="F250" t="s">
        <v>707</v>
      </c>
      <c r="G250" t="s">
        <v>707</v>
      </c>
      <c r="I250" s="37" t="s">
        <v>274</v>
      </c>
      <c r="J250" s="37" t="s">
        <v>720</v>
      </c>
      <c r="K250" s="37" t="s">
        <v>286</v>
      </c>
      <c r="L250" t="s">
        <v>125</v>
      </c>
      <c r="M250" t="s">
        <v>3018</v>
      </c>
      <c r="N250" t="s">
        <v>2368</v>
      </c>
      <c r="O250" t="s">
        <v>2918</v>
      </c>
      <c r="P250" t="s">
        <v>3030</v>
      </c>
      <c r="Q250" t="s">
        <v>1566</v>
      </c>
      <c r="R250" s="31">
        <v>507.3</v>
      </c>
      <c r="S250" t="s">
        <v>2941</v>
      </c>
      <c r="T250" t="s">
        <v>2455</v>
      </c>
    </row>
    <row r="251" spans="1:20" x14ac:dyDescent="0.35">
      <c r="A251">
        <v>2023</v>
      </c>
      <c r="B251" t="s">
        <v>807</v>
      </c>
      <c r="C251" t="s">
        <v>2924</v>
      </c>
      <c r="D251" t="s">
        <v>715</v>
      </c>
      <c r="E251" t="s">
        <v>707</v>
      </c>
      <c r="F251" t="s">
        <v>707</v>
      </c>
      <c r="G251" t="s">
        <v>707</v>
      </c>
      <c r="H251" t="s">
        <v>2104</v>
      </c>
      <c r="I251" s="37" t="s">
        <v>1851</v>
      </c>
      <c r="J251" s="37" t="s">
        <v>720</v>
      </c>
      <c r="K251" s="37" t="s">
        <v>720</v>
      </c>
      <c r="L251" t="s">
        <v>1769</v>
      </c>
      <c r="M251" t="s">
        <v>3019</v>
      </c>
      <c r="N251" t="s">
        <v>3027</v>
      </c>
      <c r="O251" t="s">
        <v>2918</v>
      </c>
      <c r="P251" t="s">
        <v>3030</v>
      </c>
      <c r="Q251" t="s">
        <v>1566</v>
      </c>
      <c r="R251" s="31">
        <v>41.3</v>
      </c>
      <c r="S251" t="s">
        <v>2921</v>
      </c>
      <c r="T251" t="s">
        <v>2455</v>
      </c>
    </row>
    <row r="252" spans="1:20" x14ac:dyDescent="0.35">
      <c r="A252">
        <v>2023</v>
      </c>
      <c r="B252" t="s">
        <v>807</v>
      </c>
      <c r="C252" t="s">
        <v>2924</v>
      </c>
      <c r="D252" t="s">
        <v>715</v>
      </c>
      <c r="E252" t="s">
        <v>707</v>
      </c>
      <c r="F252" t="s">
        <v>707</v>
      </c>
      <c r="G252" t="s">
        <v>707</v>
      </c>
      <c r="H252" t="s">
        <v>2104</v>
      </c>
      <c r="I252" s="37" t="s">
        <v>1851</v>
      </c>
      <c r="J252" s="37" t="s">
        <v>720</v>
      </c>
      <c r="K252" s="37" t="s">
        <v>720</v>
      </c>
      <c r="L252" t="s">
        <v>125</v>
      </c>
      <c r="M252" t="s">
        <v>3019</v>
      </c>
      <c r="N252" t="s">
        <v>3027</v>
      </c>
      <c r="O252" t="s">
        <v>2918</v>
      </c>
      <c r="P252" t="s">
        <v>3030</v>
      </c>
      <c r="Q252" t="s">
        <v>1566</v>
      </c>
      <c r="R252" s="31">
        <v>1010.1</v>
      </c>
      <c r="S252" t="s">
        <v>2921</v>
      </c>
      <c r="T252" t="s">
        <v>2455</v>
      </c>
    </row>
    <row r="253" spans="1:20" x14ac:dyDescent="0.35">
      <c r="A253">
        <v>2023</v>
      </c>
      <c r="B253" t="s">
        <v>807</v>
      </c>
      <c r="C253" t="s">
        <v>2924</v>
      </c>
      <c r="D253" t="s">
        <v>715</v>
      </c>
      <c r="E253" t="s">
        <v>707</v>
      </c>
      <c r="F253" t="s">
        <v>707</v>
      </c>
      <c r="G253" t="s">
        <v>707</v>
      </c>
      <c r="H253" t="s">
        <v>2104</v>
      </c>
      <c r="I253" s="37" t="s">
        <v>1851</v>
      </c>
      <c r="J253" s="37" t="s">
        <v>720</v>
      </c>
      <c r="K253" s="37" t="s">
        <v>720</v>
      </c>
      <c r="L253" t="s">
        <v>2454</v>
      </c>
      <c r="M253" t="s">
        <v>3019</v>
      </c>
      <c r="N253" t="s">
        <v>3027</v>
      </c>
      <c r="O253" t="s">
        <v>2918</v>
      </c>
      <c r="P253" t="s">
        <v>3030</v>
      </c>
      <c r="Q253" t="s">
        <v>1566</v>
      </c>
      <c r="R253" s="31">
        <v>1162</v>
      </c>
      <c r="S253" t="s">
        <v>2921</v>
      </c>
      <c r="T253" t="s">
        <v>2455</v>
      </c>
    </row>
    <row r="254" spans="1:20" x14ac:dyDescent="0.35">
      <c r="A254">
        <v>2023</v>
      </c>
      <c r="B254" t="s">
        <v>807</v>
      </c>
      <c r="C254" t="s">
        <v>2924</v>
      </c>
      <c r="D254" t="s">
        <v>715</v>
      </c>
      <c r="E254" t="s">
        <v>707</v>
      </c>
      <c r="F254" t="s">
        <v>707</v>
      </c>
      <c r="G254" t="s">
        <v>707</v>
      </c>
      <c r="H254" t="s">
        <v>2104</v>
      </c>
      <c r="I254" s="37" t="s">
        <v>1851</v>
      </c>
      <c r="J254" s="37" t="s">
        <v>720</v>
      </c>
      <c r="K254" s="37" t="s">
        <v>720</v>
      </c>
      <c r="L254" t="s">
        <v>16</v>
      </c>
      <c r="M254" t="s">
        <v>3019</v>
      </c>
      <c r="N254" t="s">
        <v>3027</v>
      </c>
      <c r="O254" t="s">
        <v>2918</v>
      </c>
      <c r="P254" t="s">
        <v>3030</v>
      </c>
      <c r="Q254" t="s">
        <v>1550</v>
      </c>
      <c r="R254" s="31">
        <v>747</v>
      </c>
      <c r="S254" t="s">
        <v>2921</v>
      </c>
      <c r="T254" t="s">
        <v>2455</v>
      </c>
    </row>
    <row r="255" spans="1:20" x14ac:dyDescent="0.35">
      <c r="A255">
        <v>2023</v>
      </c>
      <c r="B255" t="s">
        <v>807</v>
      </c>
      <c r="C255" t="s">
        <v>2924</v>
      </c>
      <c r="D255" t="s">
        <v>715</v>
      </c>
      <c r="E255" t="s">
        <v>707</v>
      </c>
      <c r="F255" t="s">
        <v>707</v>
      </c>
      <c r="G255" t="s">
        <v>707</v>
      </c>
      <c r="H255" t="s">
        <v>2104</v>
      </c>
      <c r="I255" s="37" t="s">
        <v>1851</v>
      </c>
      <c r="J255" s="37" t="s">
        <v>720</v>
      </c>
      <c r="K255" s="37" t="s">
        <v>720</v>
      </c>
      <c r="L255" t="s">
        <v>1615</v>
      </c>
      <c r="M255" t="s">
        <v>3019</v>
      </c>
      <c r="N255" t="s">
        <v>3027</v>
      </c>
      <c r="O255" t="s">
        <v>2918</v>
      </c>
      <c r="P255" t="s">
        <v>3030</v>
      </c>
      <c r="Q255" t="s">
        <v>1566</v>
      </c>
      <c r="R255" s="31">
        <v>182.7</v>
      </c>
      <c r="S255" t="s">
        <v>2921</v>
      </c>
      <c r="T255" t="s">
        <v>2455</v>
      </c>
    </row>
    <row r="256" spans="1:20" x14ac:dyDescent="0.35">
      <c r="A256">
        <v>2023</v>
      </c>
      <c r="B256" t="s">
        <v>807</v>
      </c>
      <c r="C256" t="s">
        <v>2924</v>
      </c>
      <c r="D256" t="s">
        <v>715</v>
      </c>
      <c r="E256" t="s">
        <v>707</v>
      </c>
      <c r="F256" t="s">
        <v>707</v>
      </c>
      <c r="G256" t="s">
        <v>707</v>
      </c>
      <c r="H256" t="s">
        <v>2104</v>
      </c>
      <c r="I256" s="37" t="s">
        <v>1851</v>
      </c>
      <c r="J256" s="37" t="s">
        <v>720</v>
      </c>
      <c r="K256" s="37" t="s">
        <v>720</v>
      </c>
      <c r="L256" t="s">
        <v>557</v>
      </c>
      <c r="M256" t="s">
        <v>3019</v>
      </c>
      <c r="N256" t="s">
        <v>3027</v>
      </c>
      <c r="O256" t="s">
        <v>2918</v>
      </c>
      <c r="P256" t="s">
        <v>3030</v>
      </c>
      <c r="Q256" t="s">
        <v>1566</v>
      </c>
      <c r="R256" s="31">
        <v>97.6</v>
      </c>
      <c r="S256" t="s">
        <v>2921</v>
      </c>
      <c r="T256" t="s">
        <v>2455</v>
      </c>
    </row>
    <row r="257" spans="1:20" x14ac:dyDescent="0.35">
      <c r="A257">
        <v>2023</v>
      </c>
      <c r="B257" t="s">
        <v>807</v>
      </c>
      <c r="C257" t="s">
        <v>2924</v>
      </c>
      <c r="D257" t="s">
        <v>715</v>
      </c>
      <c r="E257" t="s">
        <v>707</v>
      </c>
      <c r="F257" t="s">
        <v>707</v>
      </c>
      <c r="G257" t="s">
        <v>707</v>
      </c>
      <c r="H257" t="s">
        <v>2104</v>
      </c>
      <c r="I257" s="37" t="s">
        <v>1851</v>
      </c>
      <c r="J257" s="37" t="s">
        <v>720</v>
      </c>
      <c r="K257" s="37" t="s">
        <v>720</v>
      </c>
      <c r="L257" t="s">
        <v>1549</v>
      </c>
      <c r="M257" t="s">
        <v>3019</v>
      </c>
      <c r="N257" t="s">
        <v>3027</v>
      </c>
      <c r="O257" t="s">
        <v>2918</v>
      </c>
      <c r="P257" t="s">
        <v>3030</v>
      </c>
      <c r="Q257" t="s">
        <v>1550</v>
      </c>
      <c r="R257" s="31">
        <v>20011</v>
      </c>
      <c r="S257" t="s">
        <v>2921</v>
      </c>
      <c r="T257" t="s">
        <v>2455</v>
      </c>
    </row>
    <row r="258" spans="1:20" x14ac:dyDescent="0.35">
      <c r="A258">
        <v>2023</v>
      </c>
      <c r="B258" t="s">
        <v>807</v>
      </c>
      <c r="C258" t="s">
        <v>2924</v>
      </c>
      <c r="D258" t="s">
        <v>715</v>
      </c>
      <c r="E258" t="s">
        <v>707</v>
      </c>
      <c r="F258" t="s">
        <v>707</v>
      </c>
      <c r="G258" t="s">
        <v>707</v>
      </c>
      <c r="H258" t="s">
        <v>2104</v>
      </c>
      <c r="I258" s="37" t="s">
        <v>1851</v>
      </c>
      <c r="J258" s="37" t="s">
        <v>720</v>
      </c>
      <c r="K258" s="37" t="s">
        <v>720</v>
      </c>
      <c r="L258" t="s">
        <v>1551</v>
      </c>
      <c r="M258" t="s">
        <v>3019</v>
      </c>
      <c r="N258" t="s">
        <v>3027</v>
      </c>
      <c r="O258" t="s">
        <v>2918</v>
      </c>
      <c r="P258" t="s">
        <v>3030</v>
      </c>
      <c r="Q258" t="s">
        <v>1566</v>
      </c>
      <c r="R258" s="31">
        <v>918.5</v>
      </c>
      <c r="S258" t="s">
        <v>2921</v>
      </c>
      <c r="T258" t="s">
        <v>2455</v>
      </c>
    </row>
    <row r="259" spans="1:20" x14ac:dyDescent="0.35">
      <c r="A259">
        <v>2023</v>
      </c>
      <c r="B259" t="s">
        <v>807</v>
      </c>
      <c r="C259" t="s">
        <v>2923</v>
      </c>
      <c r="D259" t="s">
        <v>1945</v>
      </c>
      <c r="E259" t="s">
        <v>720</v>
      </c>
      <c r="F259" t="s">
        <v>707</v>
      </c>
      <c r="G259" t="s">
        <v>707</v>
      </c>
      <c r="H259" t="s">
        <v>1944</v>
      </c>
      <c r="I259" s="37" t="s">
        <v>233</v>
      </c>
      <c r="J259" s="37" t="s">
        <v>274</v>
      </c>
      <c r="K259" s="37" t="s">
        <v>64</v>
      </c>
      <c r="L259" t="s">
        <v>16</v>
      </c>
      <c r="M259" t="s">
        <v>3018</v>
      </c>
      <c r="N259" t="s">
        <v>1946</v>
      </c>
      <c r="O259" t="s">
        <v>2918</v>
      </c>
      <c r="P259" t="s">
        <v>3030</v>
      </c>
      <c r="Q259" t="s">
        <v>1841</v>
      </c>
      <c r="R259" s="31">
        <v>0.99</v>
      </c>
      <c r="T259" t="s">
        <v>1948</v>
      </c>
    </row>
    <row r="260" spans="1:20" x14ac:dyDescent="0.35">
      <c r="A260">
        <v>2023</v>
      </c>
      <c r="B260" t="s">
        <v>807</v>
      </c>
      <c r="C260" t="s">
        <v>2923</v>
      </c>
      <c r="D260" t="s">
        <v>1945</v>
      </c>
      <c r="E260" t="s">
        <v>720</v>
      </c>
      <c r="F260" t="s">
        <v>707</v>
      </c>
      <c r="G260" t="s">
        <v>707</v>
      </c>
      <c r="H260" t="s">
        <v>1944</v>
      </c>
      <c r="I260" s="37" t="s">
        <v>233</v>
      </c>
      <c r="J260" s="37" t="s">
        <v>274</v>
      </c>
      <c r="K260" s="37" t="s">
        <v>64</v>
      </c>
      <c r="L260" t="s">
        <v>16</v>
      </c>
      <c r="M260" t="s">
        <v>3018</v>
      </c>
      <c r="N260" t="s">
        <v>2368</v>
      </c>
      <c r="O260" t="s">
        <v>2918</v>
      </c>
      <c r="P260" t="s">
        <v>3030</v>
      </c>
      <c r="Q260" t="s">
        <v>1841</v>
      </c>
      <c r="R260" s="31">
        <v>5.71</v>
      </c>
      <c r="T260" t="s">
        <v>1948</v>
      </c>
    </row>
    <row r="261" spans="1:20" x14ac:dyDescent="0.35">
      <c r="A261">
        <v>2023</v>
      </c>
      <c r="B261" t="s">
        <v>807</v>
      </c>
      <c r="C261" t="s">
        <v>2923</v>
      </c>
      <c r="D261" t="s">
        <v>1945</v>
      </c>
      <c r="E261" t="s">
        <v>720</v>
      </c>
      <c r="F261" t="s">
        <v>707</v>
      </c>
      <c r="G261" t="s">
        <v>707</v>
      </c>
      <c r="H261" t="s">
        <v>1944</v>
      </c>
      <c r="I261" s="37" t="s">
        <v>233</v>
      </c>
      <c r="J261" s="37" t="s">
        <v>274</v>
      </c>
      <c r="K261" s="37" t="s">
        <v>64</v>
      </c>
      <c r="L261" t="s">
        <v>16</v>
      </c>
      <c r="M261" t="s">
        <v>3018</v>
      </c>
      <c r="N261" t="s">
        <v>1947</v>
      </c>
      <c r="O261" t="s">
        <v>2918</v>
      </c>
      <c r="P261" t="s">
        <v>3030</v>
      </c>
      <c r="Q261" t="s">
        <v>1841</v>
      </c>
      <c r="R261" s="31">
        <v>1.6E-2</v>
      </c>
      <c r="T261" t="s">
        <v>1948</v>
      </c>
    </row>
    <row r="262" spans="1:20" x14ac:dyDescent="0.35">
      <c r="A262">
        <v>2023</v>
      </c>
      <c r="B262" t="s">
        <v>807</v>
      </c>
      <c r="C262" t="s">
        <v>2923</v>
      </c>
      <c r="D262" t="s">
        <v>1945</v>
      </c>
      <c r="E262" t="s">
        <v>720</v>
      </c>
      <c r="F262" t="s">
        <v>707</v>
      </c>
      <c r="G262" t="s">
        <v>707</v>
      </c>
      <c r="H262" t="s">
        <v>1944</v>
      </c>
      <c r="I262" s="37" t="s">
        <v>233</v>
      </c>
      <c r="J262" s="37" t="s">
        <v>274</v>
      </c>
      <c r="K262" s="37" t="s">
        <v>64</v>
      </c>
      <c r="L262" t="s">
        <v>1772</v>
      </c>
      <c r="M262" t="s">
        <v>3018</v>
      </c>
      <c r="N262" t="s">
        <v>1946</v>
      </c>
      <c r="O262" t="s">
        <v>2918</v>
      </c>
      <c r="P262" t="s">
        <v>3030</v>
      </c>
      <c r="Q262" t="s">
        <v>1841</v>
      </c>
      <c r="R262" s="31">
        <v>0.03</v>
      </c>
      <c r="T262" t="s">
        <v>1948</v>
      </c>
    </row>
    <row r="263" spans="1:20" x14ac:dyDescent="0.35">
      <c r="A263">
        <v>2023</v>
      </c>
      <c r="B263" t="s">
        <v>807</v>
      </c>
      <c r="C263" t="s">
        <v>2923</v>
      </c>
      <c r="D263" t="s">
        <v>1945</v>
      </c>
      <c r="E263" t="s">
        <v>720</v>
      </c>
      <c r="F263" t="s">
        <v>707</v>
      </c>
      <c r="G263" t="s">
        <v>707</v>
      </c>
      <c r="H263" t="s">
        <v>1944</v>
      </c>
      <c r="I263" s="37" t="s">
        <v>233</v>
      </c>
      <c r="J263" s="37" t="s">
        <v>274</v>
      </c>
      <c r="K263" s="37" t="s">
        <v>64</v>
      </c>
      <c r="L263" t="s">
        <v>1772</v>
      </c>
      <c r="M263" t="s">
        <v>3018</v>
      </c>
      <c r="N263" t="s">
        <v>1947</v>
      </c>
      <c r="O263" t="s">
        <v>2918</v>
      </c>
      <c r="P263" t="s">
        <v>3030</v>
      </c>
      <c r="Q263" t="s">
        <v>1841</v>
      </c>
      <c r="R263" s="31">
        <v>1E-3</v>
      </c>
      <c r="T263" t="s">
        <v>1948</v>
      </c>
    </row>
    <row r="264" spans="1:20" x14ac:dyDescent="0.35">
      <c r="A264">
        <v>2023</v>
      </c>
      <c r="B264" t="s">
        <v>807</v>
      </c>
      <c r="C264" t="s">
        <v>2923</v>
      </c>
      <c r="D264" t="s">
        <v>1945</v>
      </c>
      <c r="E264" t="s">
        <v>720</v>
      </c>
      <c r="F264" t="s">
        <v>707</v>
      </c>
      <c r="G264" t="s">
        <v>707</v>
      </c>
      <c r="H264" t="s">
        <v>1944</v>
      </c>
      <c r="I264" s="37" t="s">
        <v>233</v>
      </c>
      <c r="J264" s="37" t="s">
        <v>274</v>
      </c>
      <c r="K264" s="37" t="s">
        <v>64</v>
      </c>
      <c r="L264" t="s">
        <v>1549</v>
      </c>
      <c r="M264" t="s">
        <v>3018</v>
      </c>
      <c r="N264" t="s">
        <v>1946</v>
      </c>
      <c r="O264" t="s">
        <v>2918</v>
      </c>
      <c r="P264" t="s">
        <v>3030</v>
      </c>
      <c r="Q264" t="s">
        <v>1841</v>
      </c>
      <c r="R264" s="31">
        <v>24.8</v>
      </c>
      <c r="T264" t="s">
        <v>1948</v>
      </c>
    </row>
    <row r="265" spans="1:20" x14ac:dyDescent="0.35">
      <c r="A265">
        <v>2023</v>
      </c>
      <c r="B265" t="s">
        <v>807</v>
      </c>
      <c r="C265" t="s">
        <v>2923</v>
      </c>
      <c r="D265" t="s">
        <v>1945</v>
      </c>
      <c r="E265" t="s">
        <v>720</v>
      </c>
      <c r="F265" t="s">
        <v>707</v>
      </c>
      <c r="G265" t="s">
        <v>707</v>
      </c>
      <c r="H265" t="s">
        <v>1944</v>
      </c>
      <c r="I265" s="37" t="s">
        <v>233</v>
      </c>
      <c r="J265" s="37" t="s">
        <v>274</v>
      </c>
      <c r="K265" s="37" t="s">
        <v>64</v>
      </c>
      <c r="L265" t="s">
        <v>1549</v>
      </c>
      <c r="M265" t="s">
        <v>3018</v>
      </c>
      <c r="N265" t="s">
        <v>2368</v>
      </c>
      <c r="O265" t="s">
        <v>2918</v>
      </c>
      <c r="P265" t="s">
        <v>3030</v>
      </c>
      <c r="Q265" t="s">
        <v>1841</v>
      </c>
      <c r="R265" s="31">
        <v>2.2400000000000002</v>
      </c>
      <c r="T265" t="s">
        <v>1948</v>
      </c>
    </row>
    <row r="266" spans="1:20" x14ac:dyDescent="0.35">
      <c r="A266">
        <v>2023</v>
      </c>
      <c r="B266" t="s">
        <v>807</v>
      </c>
      <c r="C266" t="s">
        <v>2923</v>
      </c>
      <c r="D266" t="s">
        <v>1945</v>
      </c>
      <c r="E266" t="s">
        <v>720</v>
      </c>
      <c r="F266" t="s">
        <v>707</v>
      </c>
      <c r="G266" t="s">
        <v>707</v>
      </c>
      <c r="H266" t="s">
        <v>1944</v>
      </c>
      <c r="I266" s="37" t="s">
        <v>233</v>
      </c>
      <c r="J266" s="37" t="s">
        <v>274</v>
      </c>
      <c r="K266" s="37" t="s">
        <v>64</v>
      </c>
      <c r="L266" t="s">
        <v>1549</v>
      </c>
      <c r="M266" t="s">
        <v>3018</v>
      </c>
      <c r="N266" t="s">
        <v>1947</v>
      </c>
      <c r="O266" t="s">
        <v>2918</v>
      </c>
      <c r="P266" t="s">
        <v>3030</v>
      </c>
      <c r="Q266" t="s">
        <v>1841</v>
      </c>
      <c r="R266" s="31">
        <v>0.54800000000000004</v>
      </c>
      <c r="T266" t="s">
        <v>1948</v>
      </c>
    </row>
  </sheetData>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97D28-2919-4704-AAED-AE4DE07698F6}">
  <dimension ref="A1:H1"/>
  <sheetViews>
    <sheetView workbookViewId="0">
      <selection activeCell="H6" sqref="H6"/>
    </sheetView>
  </sheetViews>
  <sheetFormatPr baseColWidth="10" defaultColWidth="8.7265625" defaultRowHeight="14.5" x14ac:dyDescent="0.35"/>
  <cols>
    <col min="2" max="2" width="23.36328125" bestFit="1" customWidth="1"/>
    <col min="3" max="3" width="18.36328125" bestFit="1" customWidth="1"/>
    <col min="4" max="4" width="7.81640625" bestFit="1" customWidth="1"/>
    <col min="5" max="5" width="6" bestFit="1" customWidth="1"/>
    <col min="6" max="6" width="11.36328125" bestFit="1" customWidth="1"/>
    <col min="7" max="7" width="21.81640625" bestFit="1" customWidth="1"/>
    <col min="8" max="8" width="11.90625" bestFit="1" customWidth="1"/>
  </cols>
  <sheetData>
    <row r="1" spans="1:8" x14ac:dyDescent="0.35">
      <c r="A1" s="6" t="s">
        <v>1538</v>
      </c>
      <c r="B1" s="7" t="s">
        <v>0</v>
      </c>
      <c r="C1" s="6" t="s">
        <v>1</v>
      </c>
      <c r="D1" s="6" t="s">
        <v>2</v>
      </c>
      <c r="E1" s="6" t="s">
        <v>3</v>
      </c>
      <c r="F1" s="6" t="s">
        <v>4</v>
      </c>
      <c r="G1" s="6" t="s">
        <v>6</v>
      </c>
      <c r="H1" s="6"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14</vt:i4>
      </vt:variant>
    </vt:vector>
  </HeadingPairs>
  <TitlesOfParts>
    <vt:vector size="14" baseType="lpstr">
      <vt:lpstr>REPORTING</vt:lpstr>
      <vt:lpstr>MAIN</vt:lpstr>
      <vt:lpstr>IDs</vt:lpstr>
      <vt:lpstr>Archetype</vt:lpstr>
      <vt:lpstr>Production</vt:lpstr>
      <vt:lpstr>Reserves</vt:lpstr>
      <vt:lpstr>Technical_attributes</vt:lpstr>
      <vt:lpstr>Ownership</vt:lpstr>
      <vt:lpstr>Waste</vt:lpstr>
      <vt:lpstr>Env</vt:lpstr>
      <vt:lpstr>NRJ_mat</vt:lpstr>
      <vt:lpstr>Intensity</vt:lpstr>
      <vt:lpstr>Company_agg</vt:lpstr>
      <vt:lpstr>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Marin Pellan</cp:lastModifiedBy>
  <dcterms:created xsi:type="dcterms:W3CDTF">2025-02-18T18:20:32Z</dcterms:created>
  <dcterms:modified xsi:type="dcterms:W3CDTF">2025-10-29T19:25:19Z</dcterms:modified>
</cp:coreProperties>
</file>