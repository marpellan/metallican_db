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981" documentId="13_ncr:1_{63D31E95-E047-48E9-B879-4B527DA496BE}" xr6:coauthVersionLast="47" xr6:coauthVersionMax="47" xr10:uidLastSave="{A07D3528-E499-4C4E-B126-31BBD93A45FB}"/>
  <bookViews>
    <workbookView xWindow="-120" yWindow="-120" windowWidth="29040" windowHeight="15720" firstSheet="3" activeTab="10"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Archetype!$A$1:$Q$84</definedName>
    <definedName name="_xlnm._FilterDatabase" localSheetId="9" hidden="1">Env!$A$1:$T$293</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NRJ_mat!$A$1:$P$234</definedName>
    <definedName name="_xlnm._FilterDatabase" localSheetId="7" hidden="1">Ownership!$A$1:$N$271</definedName>
    <definedName name="_xlnm._FilterDatabase" localSheetId="4" hidden="1">Production!$A$1:$T$221</definedName>
    <definedName name="_xlnm._FilterDatabase" localSheetId="0" hidden="1">REPORTING!$A$1:$R$329</definedName>
    <definedName name="_xlnm._FilterDatabase" localSheetId="5" hidden="1">Reserves!$A$1:$V$395</definedName>
    <definedName name="_xlnm._FilterDatabase" localSheetId="6" hidden="1">Technical_attributes!$A$1:$S$151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5" i="14" l="1"/>
  <c r="R160" i="14"/>
  <c r="R214" i="14"/>
  <c r="R202" i="14"/>
  <c r="Q125" i="35" l="1"/>
  <c r="Q127" i="35"/>
  <c r="Q126" i="35"/>
  <c r="Q124" i="35"/>
  <c r="N114" i="16"/>
  <c r="N116" i="16"/>
  <c r="N115" i="16"/>
  <c r="N112" i="16"/>
  <c r="N113" i="16"/>
  <c r="N111" i="16"/>
  <c r="R194" i="24" l="1"/>
  <c r="R21" i="14"/>
  <c r="R84" i="14" l="1"/>
  <c r="R94" i="14"/>
  <c r="R23" i="14" l="1"/>
  <c r="N23" i="16"/>
  <c r="N24" i="16"/>
  <c r="N198" i="16"/>
  <c r="N199" i="16"/>
  <c r="N21" i="16"/>
  <c r="N196" i="16"/>
  <c r="R163" i="14" l="1"/>
  <c r="R198" i="14"/>
  <c r="N82" i="34" l="1"/>
  <c r="R234" i="24" l="1"/>
  <c r="R15" i="24"/>
  <c r="R238" i="24" l="1"/>
  <c r="N75" i="16" l="1"/>
  <c r="N76" i="16"/>
  <c r="N31" i="16"/>
  <c r="N32" i="16"/>
  <c r="N136" i="16" l="1"/>
  <c r="N137"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tc={D44BD020-A39E-4F88-8217-CCED600B2D9F}</author>
    <author>tc={2999F683-4B79-4245-9E25-39FBD3ABA5E4}</author>
    <author>tc={6CBFBEE9-BB42-4E27-A3B8-AEA61CEACAE4}</author>
  </authors>
  <commentList>
    <comment ref="L104"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06" authorId="1" shapeId="0" xr:uid="{D44BD020-A39E-4F88-8217-CCED600B2D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07" authorId="2" shapeId="0" xr:uid="{2999F683-4B79-4245-9E25-39FBD3ABA5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11" authorId="3"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3"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90"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90"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<sst xmlns="http://schemas.openxmlformats.org/spreadsheetml/2006/main" count="41254" uniqueCount="3228">
  <si>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</si>
  <si>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</si>
  <si>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</si>
  <si>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</si>
  <si>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</si>
  <si>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</si>
  <si>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</si>
  <si>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</si>
  <si>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</si>
  <si>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</si>
  <si>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</si>
  <si>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</si>
  <si>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</si>
  <si>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</si>
  <si>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</si>
  <si>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</si>
  <si>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</si>
  <si>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</si>
  <si>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</si>
  <si>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</si>
  <si>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</si>
  <si>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</si>
  <si>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</si>
  <si>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</si>
  <si>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</si>
  <si>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</si>
  <si>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</si>
  <si>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</si>
  <si>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</si>
  <si>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</si>
  <si>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</si>
  <si>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</si>
  <si>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</si>
  <si>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</si>
  <si>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</si>
  <si>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</si>
  <si>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</si>
  <si>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</si>
  <si>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</si>
  <si>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</si>
  <si>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</si>
  <si>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</si>
  <si>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</si>
  <si>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</si>
  <si>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</si>
  <si>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</si>
  <si>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</si>
  <si>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</si>
  <si>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</si>
  <si>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</si>
  <si>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</si>
  <si>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</si>
  <si>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</si>
  <si>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</si>
  <si>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</si>
  <si>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</si>
  <si>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</si>
  <si>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</si>
  <si>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</si>
  <si>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</si>
  <si>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</si>
  <si>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</si>
  <si>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</si>
  <si>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</si>
  <si>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</si>
  <si>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</si>
  <si>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</si>
  <si>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</si>
  <si>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</si>
  <si>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</si>
  <si>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</si>
  <si>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</si>
  <si>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</si>
  <si>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</si>
  <si>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</si>
  <si>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</si>
  <si>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</si>
  <si>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</si>
  <si>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</si>
  <si>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</si>
  <si>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</si>
  <si>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</si>
  <si>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</si>
  <si>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</si>
  <si>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</si>
  <si>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</si>
  <si>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</si>
  <si>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</si>
  <si>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</si>
  <si>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</si>
  <si>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</si>
  <si>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</si>
  <si>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</si>
  <si>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</si>
  <si>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</si>
  <si>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</si>
  <si>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</si>
  <si>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</si>
  <si>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</si>
  <si>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</si>
  <si>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</si>
  <si>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</si>
  <si>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</si>
  <si>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</si>
  <si>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</si>
  <si>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</si>
  <si>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</si>
  <si>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</si>
  <si>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</si>
  <si>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</si>
  <si>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</si>
  <si>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</si>
  <si>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</si>
  <si>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</si>
  <si>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</si>
  <si>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</si>
  <si>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</si>
  <si>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</si>
  <si>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</si>
  <si>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</si>
  <si>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</si>
  <si>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</si>
  <si>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</si>
  <si>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</si>
  <si>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</si>
  <si>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</si>
  <si>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</si>
  <si>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</si>
  <si>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</si>
  <si>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</si>
  <si>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</si>
  <si>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</si>
  <si>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</si>
  <si>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</si>
  <si>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</si>
  <si>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</si>
  <si>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</si>
  <si>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</si>
  <si>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</si>
  <si>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</si>
  <si>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</si>
  <si>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</si>
  <si>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</si>
  <si>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</si>
  <si>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</si>
  <si>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</si>
  <si>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</si>
  <si>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</si>
  <si>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</si>
  <si>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</si>
  <si>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</si>
  <si>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</si>
  <si>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</si>
  <si>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</si>
  <si>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</si>
  <si>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</si>
  <si>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</si>
  <si>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</si>
  <si>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</si>
  <si>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</si>
  <si>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</si>
  <si>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</si>
  <si>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</si>
  <si>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</si>
  <si>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</si>
  <si>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</si>
  <si>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</si>
  <si>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</si>
  <si>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</si>
  <si>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</si>
  <si>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</si>
  <si>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</si>
  <si>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</si>
  <si>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</si>
  <si>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</si>
  <si>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</si>
  <si>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</si>
  <si>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</si>
  <si>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</si>
  <si>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</si>
  <si>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</si>
  <si>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</si>
  <si>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</si>
  <si>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</si>
  <si>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</si>
  <si>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</si>
  <si>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</si>
  <si>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</si>
  <si>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</si>
  <si>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</si>
  <si>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</si>
  <si>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</si>
  <si>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</si>
  <si>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</si>
  <si>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</si>
  <si>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</si>
  <si>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</si>
  <si>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</si>
  <si>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</si>
  <si>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</si>
  <si>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</si>
  <si>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</si>
  <si>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</si>
  <si>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</si>
  <si>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</si>
  <si>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</si>
  <si>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</si>
  <si>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</si>
  <si>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</si>
  <si>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</si>
  <si>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</si>
  <si>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</si>
  <si>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</si>
  <si>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</si>
  <si>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</si>
  <si>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</si>
  <si>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</si>
  <si>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</si>
  <si>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</si>
  <si>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</si>
  <si>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</si>
  <si>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</si>
  <si>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</si>
  <si>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</si>
  <si>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</si>
  <si>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</si>
  <si>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</si>
  <si>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</si>
  <si>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</si>
  <si>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</si>
  <si>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</si>
  <si>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</si>
  <si>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</si>
  <si>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</si>
  <si>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</si>
  <si>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</si>
  <si>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</si>
  <si>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</si>
  <si>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</si>
  <si>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</si>
  <si>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</si>
  <si>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</si>
  <si>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</si>
  <si>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</si>
  <si>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</si>
  <si>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</si>
  <si>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</si>
  <si>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</si>
  <si>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</si>
  <si>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</si>
  <si>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</si>
  <si>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</si>
  <si>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</si>
  <si>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</si>
  <si>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</si>
  <si>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</si>
  <si>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</si>
  <si>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</si>
  <si>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</si>
  <si>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</si>
  <si>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</si>
  <si>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</si>
  <si>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</si>
  <si>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</si>
  <si>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</si>
  <si>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</si>
  <si>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</si>
  <si>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</si>
  <si>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</si>
  <si>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</si>
  <si>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</si>
  <si>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</si>
  <si>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</si>
  <si>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</si>
  <si>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</si>
  <si>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</si>
  <si>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</si>
  <si>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</si>
  <si>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</si>
  <si>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</si>
  <si>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</si>
  <si>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</si>
  <si>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</si>
  <si>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</si>
  <si>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</si>
  <si>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</si>
  <si>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</si>
  <si>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</si>
  <si>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</si>
  <si>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</si>
  <si>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</si>
  <si>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</si>
  <si>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</si>
  <si>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</si>
  <si>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</si>
  <si>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</si>
  <si>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</si>
  <si>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</si>
  <si>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</si>
  <si>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</si>
  <si>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</si>
  <si>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</si>
  <si>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</si>
  <si>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</si>
  <si>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</si>
  <si>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</si>
  <si>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</si>
  <si>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</si>
  <si>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</si>
  <si>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</si>
  <si>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</si>
  <si>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</si>
  <si>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</si>
  <si>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</si>
  <si>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</si>
  <si>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</si>
  <si>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</si>
  <si>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</si>
  <si>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</si>
  <si>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</si>
  <si>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</si>
  <si>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</si>
  <si>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</si>
  <si>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</si>
  <si>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</si>
  <si>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</si>
  <si>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</si>
  <si>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</si>
  <si>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</si>
  <si>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</si>
  <si>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</si>
  <si>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</si>
  <si>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</si>
  <si>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</si>
  <si>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</si>
  <si>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</si>
  <si>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</si>
  <si>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</si>
  <si>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</si>
  <si>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</si>
  <si>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</si>
  <si>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</si>
  <si>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</si>
  <si>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</si>
  <si>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</si>
  <si>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</si>
  <si>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</si>
  <si>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</si>
  <si>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</si>
  <si>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</si>
  <si>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</si>
  <si>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</si>
  <si>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</si>
  <si>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</si>
  <si>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</si>
  <si>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</si>
  <si>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</si>
  <si>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</si>
  <si>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</si>
  <si>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</si>
  <si>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</si>
  <si>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</si>
  <si>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</si>
  <si>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</si>
  <si>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</si>
  <si>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</si>
  <si>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</si>
  <si>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</si>
  <si>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</si>
  <si>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</si>
  <si>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</si>
  <si>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</si>
  <si>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</si>
  <si>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</si>
  <si>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</si>
  <si>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</si>
  <si>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</si>
  <si>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</si>
  <si>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</si>
  <si>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</si>
  <si>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</si>
  <si>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</si>
  <si>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</si>
  <si>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</si>
  <si>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</si>
  <si>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</si>
  <si>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</si>
  <si>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</si>
  <si>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</si>
  <si>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</si>
  <si>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</si>
  <si>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</si>
  <si>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</si>
  <si>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</si>
  <si>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</si>
  <si>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</si>
  <si>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</si>
  <si>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</si>
  <si>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</si>
  <si>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</si>
  <si>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</si>
  <si>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</si>
  <si>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</si>
  <si>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</si>
  <si>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</si>
  <si>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</si>
  <si>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</si>
  <si>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</si>
  <si>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</si>
  <si>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</si>
  <si>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</si>
  <si>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</si>
  <si>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</si>
  <si>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</si>
  <si>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</si>
  <si>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</si>
  <si>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</si>
  <si>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</si>
  <si>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</si>
  <si>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</si>
  <si>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</si>
  <si>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</si>
  <si>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</si>
  <si>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</si>
  <si>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</si>
  <si>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</si>
  <si>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</si>
  <si>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</si>
  <si>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</si>
  <si>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</si>
  <si>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</si>
  <si>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</si>
  <si>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</si>
  <si>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</si>
  <si>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</si>
  <si>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</si>
  <si>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</si>
  <si>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</si>
  <si>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</si>
  <si>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</si>
  <si>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</si>
  <si>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</si>
  <si>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</si>
  <si>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</si>
  <si>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</si>
  <si>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</si>
  <si>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</si>
  <si>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</si>
  <si>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</si>
  <si>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</si>
  <si>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</si>
  <si>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</si>
  <si>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</si>
  <si>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</si>
  <si>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</si>
  <si>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</si>
  <si>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</si>
  <si>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</si>
  <si>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</si>
  <si>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</si>
  <si>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</si>
  <si>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</si>
  <si>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</si>
  <si>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</si>
  <si>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</si>
  <si>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</si>
  <si>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</si>
  <si>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</si>
  <si>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</si>
  <si>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</si>
  <si>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</si>
  <si>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</si>
  <si>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</si>
  <si>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</si>
  <si>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</si>
  <si>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</si>
  <si>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</si>
  <si>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</si>
  <si>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</si>
  <si>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</si>
  <si>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</si>
  <si>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</si>
  <si>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</si>
  <si>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</si>
  <si>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</si>
  <si>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</si>
  <si>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</si>
  <si>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</si>
  <si>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</si>
  <si>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</si>
  <si>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</si>
  <si>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</si>
  <si>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</si>
  <si>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</si>
  <si>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</si>
  <si>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</si>
  <si>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</si>
  <si>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</si>
  <si>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</si>
  <si>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</si>
  <si>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</si>
  <si>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</si>
  <si>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</si>
  <si>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</si>
  <si>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</si>
  <si>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</si>
  <si>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</si>
  <si>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</si>
  <si>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</si>
  <si>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</si>
  <si>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</si>
  <si>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</si>
  <si>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</si>
  <si>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</si>
  <si>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</si>
  <si>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</si>
  <si>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</si>
  <si>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</si>
  <si>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</si>
  <si>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</si>
  <si>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</si>
  <si>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</si>
  <si>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</si>
  <si>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</si>
  <si>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</si>
  <si>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</si>
  <si>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</si>
  <si>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</si>
  <si>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</si>
  <si>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</si>
  <si>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</si>
  <si>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</si>
  <si>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</si>
  <si>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</si>
  <si>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</si>
  <si>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</si>
  <si>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</si>
  <si>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</si>
  <si>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</si>
  <si>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</si>
  <si>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</si>
  <si>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</si>
  <si>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</si>
  <si>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</si>
  <si>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</si>
  <si>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</si>
  <si>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</si>
  <si>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</si>
  <si>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</si>
  <si>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</si>
  <si>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</si>
  <si>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</si>
  <si>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</si>
  <si>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</si>
  <si>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</si>
  <si>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</si>
  <si>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</si>
  <si>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</si>
  <si>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</si>
  <si>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</si>
  <si>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</si>
  <si>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</si>
  <si>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</si>
  <si>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</si>
  <si>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</si>
  <si>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</si>
  <si>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</si>
  <si>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</si>
  <si>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</si>
  <si>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</si>
  <si>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</si>
  <si>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</si>
  <si>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</si>
  <si>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</si>
  <si>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</si>
  <si>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</si>
  <si>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</si>
  <si>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</si>
  <si>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</si>
  <si>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</si>
  <si>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</si>
  <si>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</si>
  <si>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</si>
  <si>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</si>
  <si>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</si>
  <si>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</si>
  <si>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</si>
  <si>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</si>
  <si>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</si>
  <si>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</si>
  <si>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</si>
  <si>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</si>
  <si>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</si>
  <si>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</si>
  <si>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</si>
  <si>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</si>
  <si>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</si>
  <si>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</si>
  <si>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</si>
  <si>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</si>
  <si>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</si>
  <si>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</si>
  <si>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</si>
  <si>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</si>
  <si>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</si>
  <si>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</si>
  <si>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</si>
  <si>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</si>
  <si>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</si>
  <si>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</si>
  <si>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</si>
  <si>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</si>
  <si>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</si>
  <si>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</si>
  <si>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</si>
  <si>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</si>
  <si>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</si>
  <si>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</si>
  <si>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</si>
  <si>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</si>
  <si>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</si>
  <si>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</si>
  <si>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</si>
  <si>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</si>
  <si>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</si>
  <si>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</si>
  <si>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</si>
  <si>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</si>
  <si>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</si>
  <si>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</si>
  <si>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</si>
  <si>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</si>
  <si>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</si>
  <si>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</si>
  <si>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</si>
  <si>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</si>
  <si>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</si>
  <si>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</si>
  <si>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</si>
  <si>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</si>
  <si>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</si>
  <si>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</si>
  <si>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</si>
  <si>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</si>
  <si>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</si>
  <si>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</si>
  <si>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</si>
  <si>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</si>
  <si>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</si>
  <si>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</si>
  <si>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</si>
  <si>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</si>
  <si>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</si>
  <si>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</si>
  <si>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</si>
  <si>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</si>
  <si>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</si>
  <si>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</si>
  <si>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</si>
  <si>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</si>
  <si>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</si>
  <si>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</si>
  <si>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</si>
  <si>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</si>
  <si>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</si>
  <si>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</si>
  <si>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</si>
  <si>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</si>
  <si>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</si>
  <si>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</si>
  <si>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</si>
  <si>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</si>
  <si>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</si>
  <si>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</si>
  <si>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</si>
  <si>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</si>
  <si>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</si>
  <si>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</si>
  <si>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</si>
  <si>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</si>
  <si>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</si>
  <si>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</si>
  <si>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</si>
  <si>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</si>
  <si>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</si>
  <si>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</si>
  <si>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</si>
  <si>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</si>
  <si>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</si>
  <si>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</si>
  <si>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</si>
  <si>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</si>
  <si>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</si>
  <si>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</si>
  <si>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</si>
  <si>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</si>
  <si>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</si>
  <si>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</si>
  <si>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</si>
  <si>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</si>
  <si>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</si>
  <si>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</si>
  <si>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</si>
  <si>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</si>
  <si>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</si>
  <si>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</si>
  <si>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</si>
  <si>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</si>
  <si>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</si>
  <si>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</si>
  <si>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</si>
  <si>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</si>
  <si>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</si>
  <si>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</si>
  <si>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</si>
  <si>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</si>
  <si>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</si>
  <si>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</si>
  <si>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</si>
  <si>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</si>
  <si>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</si>
  <si>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</si>
  <si>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</si>
  <si>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</si>
  <si>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</si>
  <si>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</si>
  <si>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</si>
  <si>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</si>
  <si>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</si>
  <si>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</si>
  <si>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</si>
  <si>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</si>
  <si>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</si>
  <si>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</si>
  <si>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</si>
  <si>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</si>
  <si>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</si>
  <si>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</si>
  <si>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</si>
  <si>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</si>
  <si>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</si>
  <si>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</si>
  <si>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</si>
  <si>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</si>
  <si>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</si>
  <si>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</si>
  <si>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</si>
  <si>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</si>
  <si>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</si>
  <si>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</si>
  <si>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</si>
  <si>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</si>
  <si>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</si>
  <si>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</si>
  <si>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</si>
  <si>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</si>
  <si>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</si>
  <si>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</si>
  <si>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</si>
  <si>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</si>
  <si>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</si>
  <si>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</si>
  <si>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</si>
  <si>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</si>
  <si>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</si>
  <si>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</si>
  <si>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</si>
  <si>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</si>
  <si>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</si>
  <si>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</si>
  <si>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</si>
  <si>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</si>
  <si>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</si>
  <si>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</si>
  <si>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</si>
  <si>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</si>
  <si>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</si>
  <si>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</si>
  <si>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</si>
  <si>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</si>
  <si>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</si>
  <si>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</si>
  <si>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</si>
  <si>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</si>
  <si>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</si>
  <si>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</si>
  <si>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</si>
  <si>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</si>
  <si>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</si>
  <si>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</si>
  <si>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</si>
  <si>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</si>
  <si>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</si>
  <si>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</si>
  <si>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</si>
  <si>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</si>
  <si>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</si>
  <si>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</si>
  <si>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</si>
  <si>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</si>
  <si>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</si>
  <si>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</si>
  <si>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</si>
  <si>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</si>
  <si>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</si>
  <si>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</si>
  <si>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</si>
  <si>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</si>
  <si>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</si>
  <si>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</si>
  <si>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</si>
  <si>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</si>
  <si>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</si>
  <si>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</si>
  <si>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</si>
  <si>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</si>
  <si>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</si>
  <si>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</si>
  <si>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</si>
  <si>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</si>
  <si>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</si>
  <si>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</si>
  <si>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</si>
  <si>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</si>
  <si>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</si>
  <si>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</si>
  <si>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</si>
  <si>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</si>
  <si>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</si>
  <si>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</si>
  <si>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</si>
  <si>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</si>
  <si>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</si>
  <si>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</si>
  <si>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</si>
  <si>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</si>
  <si>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</si>
  <si>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</si>
  <si>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</si>
  <si>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</si>
  <si>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</si>
  <si>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</si>
  <si>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</si>
  <si>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</si>
  <si>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</si>
  <si>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</si>
  <si>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</si>
  <si>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</si>
  <si>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</si>
  <si>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</si>
  <si>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</si>
  <si>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</si>
  <si>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</si>
  <si>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</si>
  <si>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</si>
  <si>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</si>
  <si>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</si>
  <si>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</si>
  <si>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</si>
  <si>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</si>
  <si>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</si>
  <si>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</si>
  <si>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</si>
  <si>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</si>
  <si>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</si>
  <si>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</si>
  <si>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</si>
  <si>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</si>
  <si>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</si>
  <si>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</si>
  <si>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</si>
  <si>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</si>
  <si>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</si>
  <si>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</si>
  <si>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</si>
  <si>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</si>
  <si>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</si>
  <si>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</si>
  <si>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</si>
  <si>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</si>
  <si>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</si>
  <si>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</si>
  <si>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</si>
  <si>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</si>
  <si>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</si>
  <si>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</si>
  <si>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</si>
  <si>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</si>
  <si>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</si>
  <si>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</si>
  <si>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</si>
  <si>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</si>
  <si>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</si>
  <si>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</si>
  <si>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</si>
  <si>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</si>
  <si>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</si>
  <si>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</si>
  <si>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</si>
  <si>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</si>
  <si>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</si>
  <si>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</si>
  <si>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</si>
  <si>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</si>
  <si>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</si>
  <si>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</si>
  <si>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</si>
  <si>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</si>
  <si>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</si>
  <si>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</si>
  <si>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</si>
  <si>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</si>
  <si>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</si>
  <si>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</si>
  <si>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</si>
  <si>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</si>
  <si>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</si>
  <si>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</si>
  <si>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</si>
  <si>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</si>
  <si>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</si>
  <si>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</si>
  <si>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</si>
  <si>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</si>
  <si>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</si>
  <si>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</si>
  <si>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</si>
  <si>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</si>
  <si>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</si>
  <si>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</si>
  <si>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</si>
  <si>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</si>
  <si>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</si>
  <si>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</si>
  <si>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</si>
  <si>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</si>
  <si>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</si>
  <si>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</si>
  <si>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</si>
  <si>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</si>
  <si>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</si>
  <si>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</si>
  <si>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</si>
  <si>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</si>
  <si>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</si>
  <si>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</si>
  <si>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</si>
  <si>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</si>
  <si>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</si>
  <si>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</si>
  <si>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</si>
  <si>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</si>
  <si>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</si>
  <si>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</si>
  <si>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</si>
  <si>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</si>
  <si>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</si>
  <si>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</si>
  <si>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</si>
  <si>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</si>
  <si>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</si>
  <si>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</si>
  <si>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</si>
  <si>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</si>
  <si>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</si>
  <si>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</si>
  <si>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</si>
  <si>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</si>
  <si>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</si>
  <si>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</si>
  <si>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</si>
  <si>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</si>
  <si>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</si>
  <si>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</si>
  <si>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</si>
  <si>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</si>
  <si>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</si>
  <si>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</si>
  <si>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</si>
  <si>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</si>
  <si>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</si>
  <si>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</si>
  <si>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</si>
  <si>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</si>
  <si>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</si>
  <si>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</si>
  <si>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</si>
  <si>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</si>
  <si>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</si>
  <si>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</si>
  <si>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</si>
  <si>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</si>
  <si>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</si>
  <si>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</si>
  <si>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</si>
  <si>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</si>
  <si>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</si>
  <si>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</si>
  <si>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</si>
  <si>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</si>
  <si>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</si>
  <si>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</si>
  <si>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</si>
  <si>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</si>
  <si>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</si>
  <si>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</si>
  <si>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</si>
  <si>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</si>
  <si>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</si>
  <si>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</si>
  <si>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</si>
  <si>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</si>
  <si>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</si>
  <si>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</si>
  <si>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</si>
  <si>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</si>
  <si>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</si>
  <si>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</si>
  <si>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</si>
  <si>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</si>
  <si>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</si>
  <si>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</si>
  <si>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</si>
  <si>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</si>
  <si>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</si>
  <si>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</si>
  <si>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</si>
  <si>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</si>
  <si>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</si>
  <si>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</si>
  <si>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</si>
  <si>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</si>
  <si>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</si>
  <si>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</si>
  <si>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</si>
  <si>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</si>
  <si>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</si>
  <si>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</si>
  <si>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</si>
  <si>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</si>
  <si>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</si>
  <si>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</si>
  <si>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</si>
  <si>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</si>
  <si>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</si>
  <si>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</si>
  <si>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</si>
  <si>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</si>
  <si>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</si>
  <si>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</si>
  <si>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</si>
  <si>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</si>
  <si>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</si>
  <si>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</si>
  <si>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</si>
  <si>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</si>
  <si>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</si>
  <si>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</si>
  <si>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</si>
  <si>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</si>
  <si>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</si>
  <si>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</si>
  <si>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</si>
  <si>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</si>
  <si>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</si>
  <si>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</si>
  <si>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</si>
  <si>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</si>
  <si>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</si>
  <si>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</si>
  <si>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</si>
  <si>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</si>
  <si>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</si>
  <si>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</si>
  <si>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</si>
  <si>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</si>
  <si>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</si>
  <si>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</si>
  <si>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</si>
  <si>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</si>
  <si>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</si>
  <si>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</si>
  <si>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</si>
  <si>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</si>
  <si>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</si>
  <si>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</si>
  <si>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</si>
  <si>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</si>
  <si>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</si>
  <si>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</si>
  <si>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</si>
  <si>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</si>
  <si>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</si>
  <si>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</si>
  <si>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</si>
  <si>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</si>
  <si>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</si>
  <si>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</si>
  <si>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</si>
  <si>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</si>
  <si>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</si>
  <si>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</si>
  <si>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</si>
  <si>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</si>
  <si>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</si>
  <si>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</si>
  <si>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</si>
  <si>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</si>
  <si>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</si>
  <si>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</si>
  <si>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</si>
  <si>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</si>
  <si>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</si>
  <si>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</si>
  <si>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</si>
  <si>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</si>
  <si>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</si>
  <si>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</si>
  <si>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</si>
  <si>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</si>
  <si>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</si>
  <si>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</si>
  <si>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</si>
  <si>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</si>
  <si>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</si>
  <si>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</si>
  <si>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</si>
  <si>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</si>
  <si>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</si>
  <si>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</si>
  <si>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</si>
  <si>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</si>
  <si>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</si>
  <si>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</si>
  <si>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</si>
  <si>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</si>
  <si>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</si>
  <si>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</si>
  <si>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</si>
  <si>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</si>
  <si>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</si>
  <si>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</si>
  <si>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</si>
  <si>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</si>
  <si>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</si>
  <si>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</si>
  <si>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</si>
  <si>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</si>
  <si>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</si>
  <si>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</si>
  <si>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</si>
  <si>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</si>
  <si>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</si>
  <si>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</si>
  <si>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</si>
  <si>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</si>
  <si>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</si>
  <si>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</si>
  <si>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</si>
  <si>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</si>
  <si>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</si>
  <si>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</si>
  <si>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</si>
  <si>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</si>
  <si>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</si>
  <si>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</si>
  <si>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</si>
  <si>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</si>
  <si>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</si>
  <si>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</si>
  <si>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</si>
  <si>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</si>
  <si>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</si>
  <si>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</si>
  <si>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</si>
  <si>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</si>
  <si>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</si>
  <si>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</si>
  <si>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</si>
  <si>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</si>
  <si>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</si>
  <si>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</si>
  <si>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</si>
  <si>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</si>
  <si>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</si>
  <si>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</si>
  <si>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</si>
  <si>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</si>
  <si>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</si>
  <si>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</si>
  <si>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</si>
  <si>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</si>
  <si>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</si>
  <si>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</si>
  <si>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</si>
  <si>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</si>
  <si>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</si>
  <si>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</si>
  <si>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</si>
  <si>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</si>
  <si>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</si>
  <si>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</si>
  <si>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</si>
  <si>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</si>
  <si>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</si>
  <si>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</si>
  <si>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</si>
  <si>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</si>
  <si>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</si>
  <si>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</si>
  <si>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</si>
  <si>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</si>
  <si>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</si>
  <si>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</si>
  <si>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</si>
  <si>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</si>
  <si>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</si>
  <si>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</si>
  <si>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</si>
  <si>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</si>
  <si>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</si>
  <si>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</si>
  <si>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</si>
  <si>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</si>
  <si>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</si>
  <si>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</si>
  <si>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</si>
  <si>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</si>
  <si>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</si>
  <si>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</si>
  <si>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</si>
  <si>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</si>
  <si>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</si>
  <si>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</si>
  <si>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</si>
  <si>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</si>
  <si>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</si>
  <si>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</si>
  <si>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</si>
  <si>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</si>
  <si>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</si>
  <si>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</si>
  <si>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</si>
  <si>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</si>
  <si>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</si>
  <si>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</si>
  <si>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</si>
  <si>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</si>
  <si>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</si>
  <si>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</si>
  <si>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</si>
  <si>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</si>
  <si>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</si>
  <si>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</si>
  <si>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</si>
  <si>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</si>
  <si>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</si>
  <si>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</si>
  <si>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</si>
  <si>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</si>
  <si>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</si>
  <si>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</si>
  <si>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</si>
  <si>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</si>
  <si>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</si>
  <si>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</si>
  <si>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</si>
  <si>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</si>
  <si>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</si>
  <si>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</si>
  <si>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</si>
  <si>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</si>
  <si>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</si>
  <si>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</si>
  <si>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</si>
  <si>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</si>
  <si>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</si>
  <si>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</si>
  <si>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</si>
  <si>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</si>
  <si>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</si>
  <si>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</si>
  <si>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</si>
  <si>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</si>
  <si>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</si>
  <si>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</si>
  <si>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</si>
  <si>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</si>
  <si>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</si>
  <si>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</si>
  <si>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</si>
  <si>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</si>
  <si>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</si>
  <si>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</si>
  <si>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</si>
  <si>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</si>
  <si>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</si>
  <si>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</si>
  <si>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</si>
  <si>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</si>
  <si>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</si>
  <si>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</si>
  <si>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</si>
  <si>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</si>
  <si>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</si>
  <si>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</si>
  <si>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</si>
  <si>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</si>
  <si>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</si>
  <si>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</si>
  <si>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</si>
  <si>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</si>
  <si>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</si>
  <si>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</si>
  <si>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</si>
  <si>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</si>
  <si>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</si>
  <si>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</si>
  <si>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</si>
  <si>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</si>
  <si>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</si>
  <si>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</si>
  <si>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</si>
  <si>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</si>
  <si>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</si>
  <si>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</si>
  <si>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</si>
  <si>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</si>
  <si>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</si>
  <si>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</si>
  <si>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</si>
  <si>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</si>
  <si>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</si>
  <si>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</si>
  <si>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</si>
  <si>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</si>
  <si>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</si>
  <si>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</si>
  <si>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</si>
  <si>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</si>
  <si>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</si>
  <si>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</si>
  <si>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</si>
  <si>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</si>
  <si>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</si>
  <si>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</si>
  <si>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</si>
  <si>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</si>
  <si>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</si>
  <si>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</si>
  <si>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</si>
  <si>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</si>
  <si>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</si>
  <si>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</si>
  <si>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</si>
  <si>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</si>
  <si>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</si>
  <si>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</si>
  <si>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</si>
  <si>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</si>
  <si>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</si>
  <si>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</si>
  <si>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</si>
  <si>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</si>
  <si>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</si>
  <si>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</si>
  <si>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</si>
  <si>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</si>
  <si>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</si>
  <si>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</si>
  <si>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</si>
  <si>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</si>
  <si>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</si>
  <si>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</si>
  <si>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</si>
  <si>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</si>
  <si>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</si>
  <si>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</si>
  <si>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</si>
  <si>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</si>
  <si>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</si>
  <si>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</si>
  <si>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</si>
  <si>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</si>
  <si>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</si>
  <si>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</si>
  <si>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</si>
  <si>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</si>
  <si>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</si>
  <si>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</si>
  <si>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</si>
  <si>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</si>
  <si>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</si>
  <si>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</si>
  <si>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</si>
  <si>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</si>
  <si>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</si>
  <si>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</si>
  <si>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</si>
  <si>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</si>
  <si>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</si>
  <si>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</si>
  <si>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</si>
  <si>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</si>
  <si>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</si>
  <si>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</si>
  <si>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</si>
  <si>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</si>
  <si>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</si>
  <si>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</si>
  <si>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</si>
  <si>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</si>
  <si>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</si>
  <si>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</si>
  <si>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</si>
  <si>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</si>
  <si>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</si>
  <si>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</si>
  <si>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</si>
  <si>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</si>
  <si>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</si>
  <si>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</si>
  <si>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</si>
  <si>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</si>
  <si>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</si>
  <si>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</si>
  <si>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</si>
  <si>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</si>
  <si>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</si>
  <si>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</si>
  <si>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</si>
  <si>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</si>
  <si>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</si>
  <si>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</si>
  <si>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</si>
  <si>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</si>
  <si>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</si>
  <si>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</si>
  <si>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</si>
  <si>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</si>
  <si>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</si>
  <si>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</si>
  <si>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</si>
  <si>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</si>
  <si>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</si>
  <si>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</si>
  <si>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</si>
  <si>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</si>
  <si>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</si>
  <si>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</si>
  <si>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</si>
  <si>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</si>
  <si>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</si>
  <si>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</si>
  <si>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</si>
  <si>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</si>
  <si>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</si>
  <si>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</si>
  <si>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</si>
  <si>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</si>
  <si>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</si>
  <si>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</si>
  <si>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</si>
  <si>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</si>
  <si>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</si>
  <si>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</si>
  <si>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</si>
  <si>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</si>
  <si>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</si>
  <si>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</si>
  <si>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</si>
  <si>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</si>
  <si>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</si>
  <si>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</si>
  <si>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</si>
  <si>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</si>
  <si>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</si>
  <si>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</si>
  <si>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</si>
  <si>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</si>
  <si>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</si>
  <si>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</si>
  <si>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</si>
  <si>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</si>
  <si>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</si>
  <si>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</si>
  <si>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</si>
  <si>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</si>
  <si>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</si>
  <si>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</si>
  <si>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</si>
  <si>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</si>
  <si>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</si>
  <si>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</si>
  <si>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</si>
  <si>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</si>
  <si>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</si>
  <si>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</si>
  <si>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</si>
  <si>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</si>
  <si>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</si>
  <si>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</si>
  <si>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</si>
  <si>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</si>
  <si>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</si>
  <si>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</si>
  <si>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</si>
  <si>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</si>
  <si>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</si>
  <si>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</si>
  <si>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</si>
  <si>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</si>
  <si>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</si>
  <si>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</si>
  <si>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</si>
  <si>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</si>
  <si>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</si>
  <si>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</si>
  <si>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</si>
  <si>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</si>
  <si>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</si>
  <si>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</si>
  <si>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</si>
  <si>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</si>
  <si>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</si>
  <si>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</si>
  <si>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</si>
  <si>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</si>
  <si>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</si>
  <si>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</si>
  <si>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</si>
  <si>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</si>
  <si>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</si>
  <si>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</si>
  <si>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</si>
  <si>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</si>
  <si>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</si>
  <si>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</si>
  <si>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</si>
  <si>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</si>
  <si>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</si>
  <si>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</si>
  <si>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</si>
  <si>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</si>
  <si>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</si>
  <si>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</si>
  <si>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</si>
  <si>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</si>
  <si>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</si>
  <si>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</si>
  <si>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</si>
  <si>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</si>
  <si>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</si>
  <si>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</si>
  <si>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</si>
  <si>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</si>
  <si>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</si>
  <si>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</si>
  <si>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</si>
  <si>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</si>
  <si>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</si>
  <si>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</si>
  <si>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</si>
  <si>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</si>
  <si>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</si>
  <si>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</si>
  <si>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</si>
  <si>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</si>
  <si>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</si>
  <si>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</si>
  <si>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</si>
  <si>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</si>
  <si>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</si>
  <si>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</si>
  <si>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</si>
  <si>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</si>
  <si>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</si>
  <si>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</si>
  <si>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</si>
  <si>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</si>
  <si>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</si>
  <si>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</si>
  <si>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</si>
  <si>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</si>
  <si>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</si>
  <si>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</si>
  <si>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</si>
  <si>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</si>
  <si>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</si>
  <si>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</si>
  <si>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</si>
  <si>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</si>
  <si>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</si>
  <si>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</si>
  <si>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</si>
  <si>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</si>
  <si>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</si>
  <si>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</si>
  <si>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</si>
  <si>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</si>
  <si>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</si>
  <si>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</si>
  <si>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</si>
  <si>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</si>
  <si>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</si>
  <si>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</si>
  <si>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</si>
  <si>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</si>
  <si>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</si>
  <si>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</si>
  <si>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</si>
  <si>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</si>
  <si>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</si>
  <si>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</si>
  <si>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</si>
  <si>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</si>
  <si>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</si>
  <si>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</si>
  <si>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</si>
  <si>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</si>
  <si>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</si>
  <si>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</si>
  <si>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</si>
  <si>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</si>
  <si>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</si>
  <si>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</si>
  <si>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</si>
  <si>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</si>
  <si>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</si>
  <si>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</si>
  <si>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</si>
  <si>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</si>
  <si>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</si>
  <si>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</si>
  <si>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</si>
  <si>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</si>
  <si>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</si>
  <si>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</si>
  <si>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</si>
  <si>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</si>
  <si>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</si>
  <si>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</si>
  <si>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</si>
  <si>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</si>
  <si>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</si>
  <si>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</si>
  <si>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</si>
  <si>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</si>
  <si>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</si>
  <si>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</si>
  <si>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</si>
  <si>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</si>
  <si>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</si>
  <si>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</si>
  <si>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</si>
  <si>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</si>
  <si>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</si>
  <si>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</si>
  <si>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</si>
  <si>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</si>
  <si>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Primary and secondary crushing, semi-autogenous grinding (SAG), ball mill, gravity concentration, cyanide leaching, and carbon-in-pulp (CIP)​</t>
  </si>
  <si>
    <t>Disseminated and structurally controlled lode gold deposit​</t>
  </si>
  <si>
    <t>Crushing, grinding, gravity concentration, cyanide leaching, and carbon-in-pulp (CIP) circuit​</t>
  </si>
  <si>
    <t>Mesothermal lode gold deposits, primarily iron-formation-hosted</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</si>
  <si>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</si>
  <si>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</si>
  <si>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</si>
  <si>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</si>
  <si>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</si>
  <si>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</si>
  <si>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</si>
  <si>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</si>
  <si>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</si>
  <si>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</si>
  <si>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</si>
  <si>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</si>
  <si>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</si>
  <si>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</si>
  <si>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</si>
  <si>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</si>
  <si>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</si>
  <si>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</si>
  <si>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</si>
  <si>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</si>
  <si>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</si>
  <si>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</si>
  <si>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</si>
  <si>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</si>
  <si>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</si>
  <si>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</si>
  <si>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</si>
  <si>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</si>
  <si>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</si>
  <si>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</si>
  <si>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</si>
  <si>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</si>
  <si>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</si>
  <si>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</si>
  <si>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</si>
  <si>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</si>
  <si>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</si>
  <si>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</si>
  <si>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</si>
  <si>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</si>
  <si>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</si>
  <si>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</si>
  <si>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</si>
  <si>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</si>
  <si>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</si>
  <si>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</si>
  <si>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</si>
  <si>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</si>
  <si>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</si>
  <si>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</si>
  <si>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</si>
  <si>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</si>
  <si>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</si>
  <si>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</si>
  <si>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</si>
  <si>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</si>
  <si>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</si>
  <si>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</si>
  <si>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</si>
  <si>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</si>
  <si>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</si>
  <si>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</si>
  <si>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</si>
  <si>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</si>
  <si>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</si>
  <si>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</si>
  <si>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</si>
  <si>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</si>
  <si>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</si>
  <si>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</si>
  <si>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</si>
  <si>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</si>
  <si>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</si>
  <si>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</si>
  <si>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</si>
  <si>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</si>
  <si>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</si>
  <si>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</si>
  <si>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</si>
  <si>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</si>
  <si>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</si>
  <si>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</si>
  <si>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</si>
  <si>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</si>
  <si>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</si>
  <si>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</si>
  <si>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</si>
  <si>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</si>
  <si>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</si>
  <si>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</si>
  <si>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</si>
  <si>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</si>
  <si>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</si>
  <si>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</si>
  <si>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</si>
  <si>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</si>
  <si>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</si>
  <si>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</si>
  <si>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</si>
  <si>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</si>
  <si>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</si>
  <si>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</si>
  <si>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</si>
  <si>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</si>
  <si>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</si>
  <si>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</si>
  <si>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</si>
  <si>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</si>
  <si>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</si>
  <si>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</si>
  <si>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</si>
  <si>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</si>
  <si>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</si>
  <si>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</si>
  <si>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</si>
  <si>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</si>
  <si>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</si>
  <si>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</si>
  <si>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</si>
  <si>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</si>
  <si>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</si>
  <si>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</si>
  <si>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</si>
  <si>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</si>
  <si>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</si>
  <si>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</si>
  <si>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</si>
  <si>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</si>
  <si>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</si>
  <si>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</si>
  <si>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</si>
  <si>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</si>
  <si>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</si>
  <si>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</si>
  <si>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</si>
  <si>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</si>
  <si>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</si>
  <si>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</si>
  <si>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</si>
  <si>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</si>
  <si>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</si>
  <si>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</si>
  <si>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</si>
  <si>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</si>
  <si>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</si>
  <si>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</si>
  <si>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</si>
  <si>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</si>
  <si>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</si>
  <si>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</si>
  <si>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</si>
  <si>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</si>
  <si>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</si>
  <si>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</si>
  <si>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</si>
  <si>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</si>
  <si>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</si>
  <si>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</si>
  <si>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</si>
  <si>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</si>
  <si>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</si>
  <si>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</si>
  <si>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</si>
  <si>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</si>
  <si>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</si>
  <si>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</si>
  <si>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</si>
  <si>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</si>
  <si>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</si>
  <si>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</si>
  <si>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</si>
  <si>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</si>
  <si>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</si>
  <si>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</si>
  <si>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</si>
  <si>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</si>
  <si>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</si>
  <si>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</si>
  <si>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</si>
  <si>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</si>
  <si>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</si>
  <si>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</si>
  <si>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</si>
  <si>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</si>
  <si>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</si>
  <si>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</si>
  <si>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</si>
  <si>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</si>
  <si>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</si>
  <si>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</si>
  <si>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</si>
  <si>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</si>
  <si>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</si>
  <si>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</si>
  <si>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</si>
  <si>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</si>
  <si>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</si>
  <si>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</si>
  <si>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</si>
  <si>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</si>
  <si>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</si>
  <si>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</si>
  <si>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</si>
  <si>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</si>
  <si>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</si>
  <si>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</si>
  <si>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</si>
  <si>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</si>
  <si>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</si>
  <si>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</si>
  <si>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AR_2023.pdf</t>
  </si>
  <si>
    <t>Total footprint</t>
  </si>
  <si>
    <t>Other metals</t>
  </si>
  <si>
    <t>dmt</t>
  </si>
  <si>
    <t>klbs</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</si>
  <si>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</si>
  <si>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</si>
  <si>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</si>
  <si>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</si>
  <si>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</si>
  <si>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</si>
  <si>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</si>
  <si>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</si>
  <si>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</si>
  <si>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</si>
  <si>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</si>
  <si>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</si>
  <si>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</si>
  <si>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</si>
  <si>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</si>
  <si>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</si>
  <si>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</si>
  <si>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</si>
  <si>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</si>
  <si>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</si>
  <si>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</si>
  <si>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</si>
  <si>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</si>
  <si>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</si>
  <si>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</si>
  <si>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</si>
  <si>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</si>
  <si>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</si>
  <si>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</si>
  <si>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</si>
  <si>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</si>
  <si>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</si>
  <si>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</si>
  <si>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</si>
  <si>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</si>
  <si>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</si>
  <si>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</si>
  <si>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</si>
  <si>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</si>
  <si>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</si>
  <si>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</si>
  <si>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</si>
  <si>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</si>
  <si>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</si>
  <si>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</si>
  <si>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</si>
  <si>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</si>
  <si>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</si>
  <si>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</si>
  <si>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</si>
  <si>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</si>
  <si>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</si>
  <si>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</si>
  <si>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</si>
  <si>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</si>
  <si>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</si>
  <si>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</si>
  <si>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</si>
  <si>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</si>
  <si>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</si>
  <si>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</si>
  <si>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</si>
  <si>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</si>
  <si>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</si>
  <si>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</si>
  <si>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</si>
  <si>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</si>
  <si>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</si>
  <si>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</si>
  <si>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</si>
  <si>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</si>
  <si>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</si>
  <si>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</si>
  <si>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</si>
  <si>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</si>
  <si>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</si>
  <si>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</si>
  <si>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</si>
  <si>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</si>
  <si>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</si>
  <si>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</si>
  <si>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</si>
  <si>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</si>
  <si>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</si>
  <si>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</si>
  <si>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</si>
  <si>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</si>
  <si>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</si>
  <si>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</si>
  <si>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</si>
  <si>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</si>
  <si>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</si>
  <si>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</si>
  <si>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</si>
  <si>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</si>
  <si>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</si>
  <si>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</si>
  <si>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</si>
  <si>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</si>
  <si>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</si>
  <si>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</si>
  <si>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</si>
  <si>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</si>
  <si>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</si>
  <si>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</si>
  <si>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</si>
  <si>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</si>
  <si>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</si>
  <si>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GHG intensity</t>
  </si>
  <si>
    <t>kWt/ore milled</t>
  </si>
  <si>
    <t>Rapport_Objectif_Emissions_GES_2023_EN</t>
  </si>
  <si>
    <t>m3/t ore</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</si>
  <si>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</si>
  <si>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</si>
  <si>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</si>
  <si>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</si>
  <si>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</si>
  <si>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</si>
  <si>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</si>
  <si>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</si>
  <si>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</si>
  <si>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</si>
  <si>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</si>
  <si>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</si>
  <si>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</si>
  <si>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</si>
  <si>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</si>
  <si>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</si>
  <si>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</si>
  <si>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</si>
  <si>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</si>
  <si>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</si>
  <si>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</si>
  <si>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</si>
  <si>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</si>
  <si>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</si>
  <si>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</si>
  <si>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</si>
  <si>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</si>
  <si>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</si>
  <si>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</si>
  <si>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</si>
  <si>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</si>
  <si>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</si>
  <si>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</si>
  <si>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</si>
  <si>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</si>
  <si>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</si>
  <si>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</si>
  <si>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</si>
  <si>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</si>
  <si>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</si>
  <si>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</si>
  <si>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</si>
  <si>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</si>
  <si>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</si>
  <si>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</si>
  <si>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</si>
  <si>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</si>
  <si>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</si>
  <si>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</si>
  <si>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</si>
  <si>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</si>
  <si>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</si>
  <si>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</si>
  <si>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</si>
  <si>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</si>
  <si>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</si>
  <si>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</si>
  <si>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</si>
  <si>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</si>
  <si>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</si>
  <si>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</si>
  <si>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</si>
  <si>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</si>
  <si>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</si>
  <si>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</si>
  <si>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</si>
  <si>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</si>
  <si>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</si>
  <si>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</si>
  <si>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</si>
  <si>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</si>
  <si>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</si>
  <si>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</si>
  <si>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</si>
  <si>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</si>
  <si>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</si>
  <si>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</si>
  <si>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</si>
  <si>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</si>
  <si>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</si>
  <si>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</si>
  <si>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</si>
  <si>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</si>
  <si>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</si>
  <si>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</si>
  <si>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</si>
  <si>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</si>
  <si>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</si>
  <si>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</si>
  <si>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</si>
  <si>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</si>
  <si>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</si>
  <si>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</si>
  <si>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</si>
  <si>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</si>
  <si>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</si>
  <si>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</si>
  <si>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</si>
  <si>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</si>
  <si>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</si>
  <si>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</si>
  <si>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</si>
  <si>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</si>
  <si>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</si>
  <si>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</si>
  <si>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</si>
  <si>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</si>
  <si>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</si>
  <si>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</si>
  <si>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</si>
  <si>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</si>
  <si>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</si>
  <si>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</si>
  <si>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</si>
  <si>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</si>
  <si>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</si>
  <si>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</si>
  <si>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</si>
  <si>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</si>
  <si>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</si>
  <si>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</si>
  <si>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</si>
  <si>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</si>
  <si>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</si>
  <si>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</si>
  <si>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</si>
  <si>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</si>
  <si>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</si>
  <si>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</si>
  <si>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</si>
  <si>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</si>
  <si>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</si>
  <si>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</si>
  <si>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</si>
  <si>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</si>
  <si>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</si>
  <si>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</si>
  <si>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</si>
  <si>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</si>
  <si>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</si>
  <si>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</si>
  <si>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</si>
  <si>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</si>
  <si>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</si>
  <si>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</si>
  <si>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</si>
  <si>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</si>
  <si>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</si>
  <si>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</si>
  <si>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</si>
  <si>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</si>
  <si>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</si>
  <si>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</si>
  <si>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</si>
  <si>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</si>
  <si>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</si>
  <si>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</si>
  <si>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</si>
  <si>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</si>
  <si>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</si>
  <si>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</si>
  <si>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</si>
  <si>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</si>
  <si>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</si>
  <si>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</si>
  <si>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</si>
  <si>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</si>
  <si>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</si>
  <si>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</si>
  <si>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</si>
  <si>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</si>
  <si>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</si>
  <si>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</si>
  <si>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</si>
  <si>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</si>
  <si>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</si>
  <si>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</si>
  <si>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</si>
  <si>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</si>
  <si>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</si>
  <si>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</si>
  <si>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</si>
  <si>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</si>
  <si>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</si>
  <si>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</si>
  <si>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</si>
  <si>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</si>
  <si>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</si>
  <si>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</si>
  <si>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</si>
  <si>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</si>
  <si>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</si>
  <si>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</si>
  <si>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</si>
  <si>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</si>
  <si>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</si>
  <si>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</si>
  <si>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</si>
  <si>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</si>
  <si>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</si>
  <si>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</si>
  <si>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</si>
  <si>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</si>
  <si>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</si>
  <si>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</si>
  <si>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</si>
  <si>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</si>
  <si>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</si>
  <si>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</si>
  <si>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</si>
  <si>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</si>
  <si>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</si>
  <si>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</si>
  <si>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</si>
  <si>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</si>
  <si>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</si>
  <si>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</si>
  <si>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</si>
  <si>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</si>
  <si>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</si>
  <si>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</si>
  <si>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</si>
  <si>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</si>
  <si>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</si>
  <si>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</si>
  <si>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</si>
  <si>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</si>
  <si>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</si>
  <si>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</si>
  <si>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</si>
  <si>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</si>
  <si>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</si>
  <si>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</si>
  <si>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</si>
  <si>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</si>
  <si>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</si>
  <si>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</si>
  <si>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</si>
  <si>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</si>
  <si>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</si>
  <si>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</si>
  <si>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</si>
  <si>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</si>
  <si>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</si>
  <si>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</si>
  <si>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</si>
  <si>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</si>
  <si>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</si>
  <si>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</si>
  <si>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</si>
  <si>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</si>
  <si>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</si>
  <si>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</si>
  <si>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</si>
  <si>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</si>
  <si>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</si>
  <si>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</si>
  <si>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</si>
  <si>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</si>
  <si>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</si>
  <si>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</si>
  <si>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</si>
  <si>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</si>
  <si>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</si>
  <si>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</si>
  <si>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</si>
  <si>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</si>
  <si>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</si>
  <si>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</si>
  <si>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</si>
  <si>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</si>
  <si>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</si>
  <si>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</si>
  <si>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</si>
  <si>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</si>
  <si>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</si>
  <si>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</si>
  <si>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</si>
  <si>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</si>
  <si>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</si>
  <si>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</si>
  <si>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</si>
  <si>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</si>
  <si>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</si>
  <si>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</si>
  <si>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</si>
  <si>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</si>
  <si>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</si>
  <si>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</si>
  <si>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</si>
  <si>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</si>
  <si>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</si>
  <si>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</si>
  <si>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</si>
  <si>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</si>
  <si>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</si>
  <si>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</si>
  <si>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</si>
  <si>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</si>
  <si>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</si>
  <si>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</si>
  <si>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</si>
  <si>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</si>
  <si>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</si>
  <si>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</si>
  <si>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</si>
  <si>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</si>
  <si>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</si>
  <si>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</si>
  <si>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</si>
  <si>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</si>
  <si>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</si>
  <si>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</si>
  <si>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</si>
  <si>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</si>
  <si>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</si>
  <si>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</si>
  <si>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</si>
  <si>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</si>
  <si>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</si>
  <si>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</si>
  <si>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</si>
  <si>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</si>
  <si>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</si>
  <si>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</si>
  <si>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</si>
  <si>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</si>
  <si>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</si>
  <si>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</si>
  <si>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</si>
  <si>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</si>
  <si>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</si>
  <si>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</si>
  <si>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</si>
  <si>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</si>
  <si>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</si>
  <si>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</si>
  <si>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</si>
  <si>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</si>
  <si>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</si>
  <si>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</si>
  <si>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</si>
  <si>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</si>
  <si>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</si>
  <si>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</si>
  <si>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</si>
  <si>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</si>
  <si>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</si>
  <si>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</si>
  <si>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</si>
  <si>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</si>
  <si>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</si>
  <si>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</si>
  <si>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</si>
  <si>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</si>
  <si>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</si>
  <si>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</si>
  <si>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</si>
  <si>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</si>
  <si>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</si>
  <si>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</si>
  <si>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</si>
  <si>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</si>
  <si>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</si>
  <si>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</si>
  <si>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</si>
  <si>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</si>
  <si>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</si>
  <si>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</si>
  <si>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</si>
  <si>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</si>
  <si>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Production reported in GEM. GHG and energy reported only. Might check water (but at company-level)</t>
  </si>
  <si>
    <t>Taseko Mines Limited (100%)</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</si>
  <si>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</si>
  <si>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</si>
  <si>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</si>
  <si>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</si>
  <si>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</si>
  <si>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</si>
  <si>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</si>
  <si>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</si>
  <si>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</si>
  <si>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</si>
  <si>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</si>
  <si>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</si>
  <si>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</si>
  <si>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</si>
  <si>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</si>
  <si>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</si>
  <si>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</si>
  <si>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</si>
  <si>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</si>
  <si>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</si>
  <si>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</si>
  <si>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</si>
  <si>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</si>
  <si>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</si>
  <si>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</si>
  <si>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</si>
  <si>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</si>
  <si>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</si>
  <si>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</si>
  <si>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</si>
  <si>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</si>
  <si>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</si>
  <si>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</si>
  <si>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</si>
  <si>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</si>
  <si>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</si>
  <si>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</si>
  <si>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</si>
  <si>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</si>
  <si>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</si>
  <si>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</si>
  <si>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</si>
  <si>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</si>
  <si>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</si>
  <si>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</si>
  <si>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</si>
  <si>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</si>
  <si>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</si>
  <si>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</si>
  <si>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</si>
  <si>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</si>
  <si>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</si>
  <si>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</si>
  <si>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</si>
  <si>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</si>
  <si>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</si>
  <si>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</si>
  <si>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</si>
  <si>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</si>
  <si>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</si>
  <si>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</si>
  <si>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</si>
  <si>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</si>
  <si>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</si>
  <si>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</si>
  <si>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</si>
  <si>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</si>
  <si>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</si>
  <si>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</si>
  <si>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</si>
  <si>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</si>
  <si>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</si>
  <si>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</si>
  <si>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</si>
  <si>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</si>
  <si>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</si>
  <si>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</si>
  <si>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</si>
  <si>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</si>
  <si>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</si>
  <si>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</si>
  <si>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</si>
  <si>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</si>
  <si>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</si>
  <si>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</si>
  <si>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</si>
  <si>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</si>
  <si>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</si>
  <si>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</si>
  <si>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</si>
  <si>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</si>
  <si>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</si>
  <si>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</si>
  <si>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</si>
  <si>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</si>
  <si>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</si>
  <si>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</si>
  <si>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</si>
  <si>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</si>
  <si>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</si>
  <si>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</si>
  <si>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</si>
  <si>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</si>
  <si>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</si>
  <si>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</si>
  <si>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</si>
  <si>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</si>
  <si>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</si>
  <si>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</si>
  <si>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</si>
  <si>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</si>
  <si>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</si>
  <si>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</si>
  <si>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</si>
  <si>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</si>
  <si>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</si>
  <si>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</si>
  <si>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</si>
  <si>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</si>
  <si>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</si>
  <si>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</si>
  <si>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</si>
  <si>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</si>
  <si>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</si>
  <si>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</si>
  <si>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</si>
  <si>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</si>
  <si>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</si>
  <si>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</si>
  <si>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</si>
  <si>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</si>
  <si>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</si>
  <si>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</si>
  <si>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</si>
  <si>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</si>
  <si>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</si>
  <si>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</si>
  <si>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</si>
  <si>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</si>
  <si>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</si>
  <si>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</si>
  <si>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</si>
  <si>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</si>
  <si>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</si>
  <si>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</si>
  <si>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</si>
  <si>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</si>
  <si>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</si>
  <si>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</si>
  <si>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</si>
  <si>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</si>
  <si>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</si>
  <si>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</si>
  <si>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</si>
  <si>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</si>
  <si>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</si>
  <si>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</si>
  <si>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</si>
  <si>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</si>
  <si>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</si>
  <si>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</si>
  <si>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</si>
  <si>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</si>
  <si>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</si>
  <si>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</si>
  <si>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</si>
  <si>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</si>
  <si>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</si>
  <si>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</si>
  <si>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</si>
  <si>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</si>
  <si>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</si>
  <si>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</si>
  <si>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</si>
  <si>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</si>
  <si>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</si>
  <si>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</si>
  <si>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</si>
  <si>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</si>
  <si>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</si>
  <si>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</si>
  <si>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</si>
  <si>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</si>
  <si>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</si>
  <si>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</si>
  <si>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</si>
  <si>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</si>
  <si>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</si>
  <si>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</si>
  <si>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</si>
  <si>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</si>
  <si>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</si>
  <si>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</si>
  <si>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</si>
  <si>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</si>
  <si>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</si>
  <si>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</si>
  <si>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</si>
  <si>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</si>
  <si>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</si>
  <si>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</si>
  <si>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</si>
  <si>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</si>
  <si>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</si>
  <si>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</si>
  <si>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</si>
  <si>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</si>
  <si>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</si>
  <si>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</si>
  <si>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</si>
  <si>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</si>
  <si>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</si>
  <si>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</si>
  <si>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</si>
  <si>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</si>
  <si>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</si>
  <si>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</si>
  <si>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</si>
  <si>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</si>
  <si>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</si>
  <si>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</si>
  <si>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</si>
  <si>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</si>
  <si>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</si>
  <si>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</si>
  <si>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</si>
  <si>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</si>
  <si>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</si>
  <si>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</si>
  <si>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</si>
  <si>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</si>
  <si>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</si>
  <si>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</si>
  <si>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</si>
  <si>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</si>
  <si>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</si>
  <si>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</si>
  <si>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</si>
  <si>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</si>
  <si>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</si>
  <si>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</si>
  <si>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</si>
  <si>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</si>
  <si>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</si>
  <si>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</si>
  <si>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</si>
  <si>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</si>
  <si>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</si>
  <si>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</si>
  <si>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</si>
  <si>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</si>
  <si>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</si>
  <si>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</si>
  <si>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</si>
  <si>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</si>
  <si>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</si>
  <si>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</si>
  <si>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</si>
  <si>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</si>
  <si>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</si>
  <si>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</si>
  <si>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</si>
  <si>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</si>
  <si>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</si>
  <si>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</si>
  <si>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</si>
  <si>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</si>
  <si>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</si>
  <si>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</si>
  <si>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</si>
  <si>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</si>
  <si>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</si>
  <si>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</si>
  <si>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</si>
  <si>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</si>
  <si>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</si>
  <si>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</si>
  <si>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</si>
  <si>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</si>
  <si>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</si>
  <si>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</si>
  <si>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</si>
  <si>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</si>
  <si>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</si>
  <si>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</si>
  <si>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</si>
  <si>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</si>
  <si>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</si>
  <si>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</si>
  <si>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</si>
  <si>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</si>
  <si>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</si>
  <si>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</si>
  <si>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</si>
  <si>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</si>
  <si>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</si>
  <si>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</si>
  <si>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</si>
  <si>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</si>
  <si>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</si>
  <si>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</si>
  <si>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</si>
  <si>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</si>
  <si>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</si>
  <si>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</si>
  <si>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</si>
  <si>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</si>
  <si>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</si>
  <si>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</si>
  <si>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</si>
  <si>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</si>
  <si>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</si>
  <si>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</si>
  <si>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</si>
  <si>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</si>
  <si>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</si>
  <si>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</si>
  <si>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</si>
  <si>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</si>
  <si>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</si>
  <si>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</si>
  <si>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</si>
  <si>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</si>
  <si>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</si>
  <si>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</si>
  <si>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</si>
  <si>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</si>
  <si>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</si>
  <si>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</si>
  <si>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</si>
  <si>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</si>
  <si>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</si>
  <si>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</si>
  <si>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</si>
  <si>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</si>
  <si>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</si>
  <si>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</si>
  <si>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</si>
  <si>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</si>
  <si>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</si>
  <si>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</si>
  <si>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</si>
  <si>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</si>
  <si>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</si>
  <si>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</si>
  <si>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</si>
  <si>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</si>
  <si>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</si>
  <si>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</si>
  <si>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</si>
  <si>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</si>
  <si>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</si>
  <si>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</si>
  <si>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</si>
  <si>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</si>
  <si>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</si>
  <si>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</si>
  <si>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</si>
  <si>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</si>
  <si>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</si>
  <si>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</si>
  <si>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</si>
  <si>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</si>
  <si>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</si>
  <si>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</si>
  <si>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</si>
  <si>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</si>
  <si>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</si>
  <si>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</si>
  <si>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</si>
  <si>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</si>
  <si>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</si>
  <si>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</si>
  <si>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</si>
  <si>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</si>
  <si>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</si>
  <si>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</si>
  <si>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</si>
  <si>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</si>
  <si>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</si>
  <si>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</si>
  <si>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</si>
  <si>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</si>
  <si>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</si>
  <si>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</si>
  <si>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</si>
  <si>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</si>
  <si>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</si>
  <si>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</si>
  <si>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</si>
  <si>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</si>
  <si>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</si>
  <si>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</si>
  <si>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</si>
  <si>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</si>
  <si>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</si>
  <si>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</si>
  <si>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</si>
  <si>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</si>
  <si>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</si>
  <si>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</si>
  <si>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</si>
  <si>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</si>
  <si>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</si>
  <si>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</si>
  <si>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</si>
  <si>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</si>
  <si>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</si>
  <si>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</si>
  <si>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</si>
  <si>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</si>
  <si>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</si>
  <si>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</si>
  <si>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</si>
  <si>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</si>
  <si>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</si>
  <si>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</si>
  <si>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</si>
  <si>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</si>
  <si>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</si>
  <si>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</si>
  <si>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</si>
  <si>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</si>
  <si>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</si>
  <si>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</si>
  <si>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</si>
  <si>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</si>
  <si>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</si>
  <si>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</si>
  <si>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</si>
  <si>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</si>
  <si>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</si>
  <si>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</si>
  <si>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</si>
  <si>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</si>
  <si>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</si>
  <si>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</si>
  <si>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</si>
  <si>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</si>
  <si>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</si>
  <si>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</si>
  <si>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</si>
  <si>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</si>
  <si>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</si>
  <si>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</si>
  <si>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</si>
  <si>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</si>
  <si>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</si>
  <si>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</si>
  <si>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</si>
  <si>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</si>
  <si>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</si>
  <si>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</si>
  <si>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</si>
  <si>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</si>
  <si>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</si>
  <si>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</si>
  <si>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</si>
  <si>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</si>
  <si>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</si>
  <si>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</si>
  <si>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</si>
  <si>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</si>
  <si>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</si>
  <si>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</si>
  <si>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</si>
  <si>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</si>
  <si>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</si>
  <si>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</si>
  <si>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</si>
  <si>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</si>
  <si>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</si>
  <si>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</si>
  <si>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</si>
  <si>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</si>
  <si>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</si>
  <si>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</si>
  <si>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</si>
  <si>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</si>
  <si>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</si>
  <si>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</si>
  <si>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</si>
  <si>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</si>
  <si>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</si>
  <si>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</si>
  <si>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</si>
  <si>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</si>
  <si>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</si>
  <si>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</si>
  <si>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</si>
  <si>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</si>
  <si>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</si>
  <si>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</si>
  <si>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</si>
  <si>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</si>
  <si>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</si>
  <si>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</si>
  <si>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</si>
  <si>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</si>
  <si>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</si>
  <si>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</si>
  <si>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</si>
  <si>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</si>
  <si>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</si>
  <si>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</si>
  <si>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</si>
  <si>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</si>
  <si>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</si>
  <si>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</si>
  <si>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</si>
  <si>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</si>
  <si>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</si>
  <si>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</si>
  <si>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</si>
  <si>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</si>
  <si>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</si>
  <si>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</si>
  <si>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</si>
  <si>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</si>
  <si>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</si>
  <si>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</si>
  <si>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</si>
  <si>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</si>
  <si>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</si>
  <si>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</si>
  <si>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</si>
  <si>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</si>
  <si>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</si>
  <si>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</si>
  <si>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</si>
  <si>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</si>
  <si>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</si>
  <si>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</si>
  <si>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</si>
  <si>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</si>
  <si>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</si>
  <si>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</si>
  <si>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</si>
  <si>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</si>
  <si>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</si>
  <si>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</si>
  <si>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</si>
  <si>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</si>
  <si>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</si>
  <si>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</si>
  <si>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</si>
  <si>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</si>
  <si>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</si>
  <si>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</si>
  <si>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</si>
  <si>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</si>
  <si>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</si>
  <si>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</si>
  <si>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</si>
  <si>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</si>
  <si>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</si>
  <si>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</si>
  <si>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</si>
  <si>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</si>
  <si>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</si>
  <si>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</si>
  <si>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</si>
  <si>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</si>
  <si>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</si>
  <si>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</si>
  <si>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</si>
  <si>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</si>
  <si>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</si>
  <si>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</si>
  <si>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</si>
  <si>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</si>
  <si>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</si>
  <si>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</si>
  <si>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</si>
  <si>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</si>
  <si>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</si>
  <si>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</si>
  <si>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</si>
  <si>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</si>
  <si>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</si>
  <si>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</si>
  <si>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</si>
  <si>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</si>
  <si>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</si>
  <si>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</si>
  <si>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</si>
  <si>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</si>
  <si>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</si>
  <si>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</si>
  <si>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</si>
  <si>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</si>
  <si>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</si>
  <si>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</si>
  <si>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</si>
  <si>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</si>
  <si>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</si>
  <si>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</si>
  <si>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</si>
  <si>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</si>
  <si>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</si>
  <si>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</si>
  <si>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</si>
  <si>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</si>
  <si>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</si>
  <si>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</si>
  <si>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</si>
  <si>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</si>
  <si>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</si>
  <si>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</si>
  <si>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</si>
  <si>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</si>
  <si>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</si>
  <si>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</si>
  <si>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</si>
  <si>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</si>
  <si>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</si>
  <si>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</si>
  <si>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</si>
  <si>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</si>
  <si>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</si>
  <si>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</si>
  <si>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</si>
  <si>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</si>
  <si>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</si>
  <si>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</si>
  <si>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</si>
  <si>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</si>
  <si>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</si>
  <si>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</si>
  <si>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</si>
  <si>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</si>
  <si>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</si>
  <si>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</si>
  <si>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</si>
  <si>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</si>
  <si>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</si>
  <si>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</si>
  <si>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</si>
  <si>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</si>
  <si>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</si>
  <si>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</si>
  <si>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</si>
  <si>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</si>
  <si>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</si>
  <si>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</si>
  <si>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</si>
  <si>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</si>
  <si>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</si>
  <si>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</si>
  <si>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</si>
  <si>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</si>
  <si>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</si>
  <si>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</si>
  <si>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</si>
  <si>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</si>
  <si>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</si>
  <si>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</si>
  <si>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</si>
  <si>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</si>
  <si>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</si>
  <si>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</si>
  <si>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</si>
  <si>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</si>
  <si>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</si>
  <si>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</si>
  <si>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</si>
  <si>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</si>
  <si>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</si>
  <si>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</si>
  <si>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</si>
  <si>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</si>
  <si>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</si>
  <si>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</si>
  <si>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</si>
  <si>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</si>
  <si>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</si>
  <si>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</si>
  <si>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</si>
  <si>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</si>
  <si>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</si>
  <si>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</si>
  <si>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</si>
  <si>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</si>
  <si>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</si>
  <si>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</si>
  <si>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</si>
  <si>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</si>
  <si>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</si>
  <si>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</si>
  <si>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</si>
  <si>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</si>
  <si>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</si>
  <si>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</si>
  <si>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</si>
  <si>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</si>
  <si>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</si>
  <si>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</si>
  <si>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</si>
  <si>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</si>
  <si>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</si>
  <si>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</si>
  <si>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</si>
  <si>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</si>
  <si>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</si>
  <si>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</si>
  <si>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</si>
  <si>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</si>
  <si>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</si>
  <si>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</si>
  <si>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</si>
  <si>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</si>
  <si>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</si>
  <si>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</si>
  <si>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</si>
  <si>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</si>
  <si>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</si>
  <si>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</si>
  <si>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</si>
  <si>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</si>
  <si>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</si>
  <si>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</si>
  <si>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</si>
  <si>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</si>
  <si>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</si>
  <si>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</si>
  <si>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</si>
  <si>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</si>
  <si>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</si>
  <si>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</si>
  <si>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</si>
  <si>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</si>
  <si>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</si>
  <si>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</si>
  <si>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</si>
  <si>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</si>
  <si>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</si>
  <si>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</si>
  <si>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</si>
  <si>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</si>
  <si>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</si>
  <si>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Truck &amp; Shovel / Loader;Underhand stoping;Longhole open stoping</t>
  </si>
  <si>
    <t>Truck &amp; Shovel / Loader;Longhole open stoping;Sub-level shrinkage;Sub-level caving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</si>
  <si>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</si>
  <si>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</si>
  <si>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</si>
  <si>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</si>
  <si>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</si>
  <si>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</si>
  <si>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</si>
  <si>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</si>
  <si>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</si>
  <si>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</si>
  <si>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</si>
  <si>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</si>
  <si>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</si>
  <si>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</si>
  <si>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</si>
  <si>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</si>
  <si>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</si>
  <si>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</si>
  <si>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</si>
  <si>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</si>
  <si>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</si>
  <si>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</si>
  <si>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</si>
  <si>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</si>
  <si>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</si>
  <si>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</si>
  <si>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</si>
  <si>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</si>
  <si>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</si>
  <si>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</si>
  <si>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</si>
  <si>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</si>
  <si>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</si>
  <si>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</si>
  <si>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</si>
  <si>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</si>
  <si>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</si>
  <si>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</si>
  <si>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</si>
  <si>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</si>
  <si>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</si>
  <si>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</si>
  <si>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</si>
  <si>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</si>
  <si>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</si>
  <si>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</si>
  <si>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</si>
  <si>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</si>
  <si>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</si>
  <si>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Volatile Organic Compounds (Total)</t>
  </si>
  <si>
    <t>Arsenic (and its compounds)</t>
  </si>
  <si>
    <t>Mercury (and its compounds)</t>
  </si>
  <si>
    <t>Lead (and its compounds)</t>
  </si>
  <si>
    <t>Selenium (and its compounds)</t>
  </si>
  <si>
    <t>PM10 - Particulate Matter &lt;= 10 Micrometers</t>
  </si>
  <si>
    <t>Carbon monoxide</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</si>
  <si>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</si>
  <si>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</si>
  <si>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</si>
  <si>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</si>
  <si>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</si>
  <si>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</si>
  <si>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</si>
  <si>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</si>
  <si>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</si>
  <si>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</si>
  <si>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</si>
  <si>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</si>
  <si>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</si>
  <si>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</si>
  <si>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</si>
  <si>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</si>
  <si>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</si>
  <si>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</si>
  <si>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metal in concentrate as it is a mine</t>
  </si>
  <si>
    <t>Calculated based on a 6,55% ore grade and 95% recovery rate</t>
  </si>
  <si>
    <t>Process the high-grade uranium ore which is supplied by the Cigar Lake mine</t>
  </si>
  <si>
    <t>Assumed 1% ore grade and 85% recovery rate (hypothesis, no data)</t>
  </si>
  <si>
    <t>Assumed 0,34% ore grade and 85% recovery rate, taking copper as the reference</t>
  </si>
  <si>
    <t>https://minfile.gov.bc.ca/summary.aspx?minfilno=092ISW012</t>
  </si>
  <si>
    <t>Explosives, treated as material input because in t</t>
  </si>
  <si>
    <t>Contained metal in doré</t>
  </si>
  <si>
    <t>Expressed initially in kl</t>
  </si>
  <si>
    <t>Total water discharged|High quality</t>
  </si>
  <si>
    <t>Total water consumption|Freshwater</t>
  </si>
  <si>
    <t>https://mrnf.gouv.qc.ca/en/mines/publications/quantity-mine-mouth-output-value-and-duties-paid-by-mining-companies/</t>
  </si>
  <si>
    <t>https://www.gem.wiki/Quebec_Iron_Bloom_Lake_Mine</t>
  </si>
  <si>
    <t>PGMs</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</si>
  <si>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</si>
  <si>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The sustainability report inversed zinc and copper</t>
  </si>
  <si>
    <t>The sustainability report gives a different figure, we relied on operational data</t>
  </si>
  <si>
    <t>https://www.teck.com/media/Teck-Highland-Valley-Copper-Site-Visit-2019-HVC-Presentation.pdf</t>
  </si>
  <si>
    <t>https://www.geologyontario.mines.gov.on.ca/mineral-inventory/MDI42A11NW00002</t>
  </si>
  <si>
    <t>Data initially in tCO2eq; back calculated with emission factors: 74.1kgCO2eq/GJ for diesel, 69.9kgCO2eq/GJ for gasoline, 59.9kgCO2eq/GJ for propane, BC mix 12kgCO2eq/MWh</t>
  </si>
  <si>
    <t>Data initially in tCO2eq; back calculated with emission factors: 74.1kgCO2eq/GJ for diesel, 69.9kgCO2eq/GJ for gasoline, 59.9kgCO2eq/GJ for propane, BC mix 12kgCO2eq/MWh. 62% of electricity come from the grid.</t>
  </si>
  <si>
    <t>Data initially in tCO2eq; back calculated with emission factors: 74.1kgCO2eq/GJ for diesel, 69.9kgCO2eq/GJ for gasoline, 59.9kgCO2eq/GJ for propane, BC mix 12kgCO2eq/MWh, explosives 3.75GJ/tCO2</t>
  </si>
  <si>
    <t>https://www.geologyontario.mndm.gov.on.ca/mndmfiles/mdi/data/records/MDI41I06NW00004.html</t>
  </si>
  <si>
    <t>https://www.geologyontario.mndm.gov.on.ca/mndmfiles/mdi/data/records/MDI41I10SW00006.html</t>
  </si>
  <si>
    <t>https://www.geologyontario.mndm.gov.on.ca/mndmfiles/mdi/data/records/MDI41I06NE00005.html</t>
  </si>
  <si>
    <t>https://www.geologyontario.mines.gov.on.ca/mineral-inventory/MDI41I06NE00002</t>
  </si>
  <si>
    <t>https://www.geologyontario.mines.gov.on.ca/mineral-inventory/MDI52H04NE00003</t>
  </si>
  <si>
    <t>Assumed contained metal in dore</t>
  </si>
  <si>
    <t>Underground, Open-pit, Concentrator</t>
  </si>
  <si>
    <t>Calculated as the average of the 3 facilities in the facility group</t>
  </si>
  <si>
    <t>Finished production by source (In Vale's reporting, "by source" refers to finished production from ore that originated from a specific mine), no data for site. 7.2kt additional feed from third-parties</t>
  </si>
  <si>
    <t>Finished production by site (In Vale's reporting, "by source" refers to finished production from ore that originated from a specific mine). Assumed 'Voisey's Bay &amp; Long Harbour' refers to the refinery production at Long Harbour</t>
  </si>
  <si>
    <t>Assumed 2% ore grade and 85% recovery rate, taking nickel as the reference</t>
  </si>
  <si>
    <t>Unit confirmed in the website: https://www.mcewenmining.com/operations/black-fox-complex/default.aspx</t>
  </si>
  <si>
    <t>https://miningdataonline.com/property/1524/Seabee-Gold-Mine.aspx</t>
  </si>
  <si>
    <t>Longhole open stoping; Mechanized Cut &amp; Fill; Post Pillar Cut &amp; Fill; Longitudinal retreat; Drift &amp; Fill; Transverse open stoping; Uppers Retreat</t>
  </si>
  <si>
    <t>Truck &amp; Shovel / Loader; Longhole stoping</t>
  </si>
  <si>
    <t>Longhole stoping; Longitudinal open stoping; Mechanized Cut &amp; Fill</t>
  </si>
  <si>
    <t>Open stoping</t>
  </si>
  <si>
    <t>Transverse open stoping; Longitudinal retreat; Longhole open stoping</t>
  </si>
  <si>
    <t>Truck &amp; Shovel / Loader; Longhole open stoping</t>
  </si>
  <si>
    <t>Surface – Truck &amp; Shovel, Underground – Stoping – Blast-Hole Stoping</t>
  </si>
  <si>
    <t>Truck &amp; Shovel / Loader; Blast Hole Stoping</t>
  </si>
  <si>
    <t>Underground – Stoping – Open Stoping</t>
  </si>
  <si>
    <t>Underground – Jet Boring Systen</t>
  </si>
  <si>
    <t>Explosives, treated as material usage</t>
  </si>
  <si>
    <t>15.10 Mlbs U3O8 reported on a 100% ownership. Ore processed calculated based on a 15,87% ore grade and 98,7% recovery rate</t>
  </si>
  <si>
    <t>GRP-91aaa60b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</si>
</sst>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2">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0" fillId="5" borderId="0" xfId="0" applyFill="1"/>
    <xf numFmtId="164" fontId="0" fillId="5" borderId="0" xfId="0" applyNumberFormat="1" applyFill="1"/>
    <xf numFmtId="0" fontId="0" fillId="6" borderId="0" xfId="0" applyFill="1"/>
    <xf numFmtId="164" fontId="0" fillId="6" borderId="0" xfId="0" applyNumberFormat="1" applyFill="1"/>
    <xf numFmtId="4" fontId="1" fillId="0" borderId="0" xfId="0" applyNumberFormat="1" applyFont="1"/>
    <xf numFmtId="0" fontId="12" fillId="0" borderId="6" xfId="0" applyFont="1" applyBorder="1" applyAlignment="1">
      <alignment horizontal="right"/>
    </xf>
    <xf numFmtId="0" fontId="0" fillId="0" borderId="6" xfId="0" applyBorder="1"/>
    <xf numFmtId="0" fontId="12" fillId="0" borderId="0" xfId="0" applyFont="1" applyAlignment="1">
      <alignment horizontal="right"/>
    </xf>
    <xf numFmtId="165" fontId="11" fillId="0" borderId="0" xfId="0" applyNumberFormat="1" applyFont="1" applyAlignment="1">
      <alignment horizontal="right"/>
    </xf>
    <xf numFmtId="4" fontId="0" fillId="0" borderId="6" xfId="0" applyNumberFormat="1" applyBorder="1"/>
    <xf numFmtId="0" fontId="0" fillId="0" borderId="0" xfId="0" quotePrefix="1"/>
    <xf numFmtId="166" fontId="0" fillId="0" borderId="0" xfId="0" applyNumberFormat="1"/>
  </cellXfs>
  <cellStyles count="2">
    <cellStyle name="Lien hypertexte"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04" dT="2025-05-06T14:26:15.08" personId="{38345E2C-A498-4DF2-856C-A1A5BD8FF5A2}" id="{69262AF1-40D0-4120-AEAB-8844FD9B638C}">
    <text>5PGM+Au, that is platinum, palladium, rhodium, ruthenium, osmium and gold</text>
  </threadedComment>
  <threadedComment ref="L106" dT="2025-05-06T14:26:15.08" personId="{38345E2C-A498-4DF2-856C-A1A5BD8FF5A2}" id="{D44BD020-A39E-4F88-8217-CCED600B2D9F}">
    <text>5PGM+Au, that is platinum, palladium, rhodium, ruthenium, osmium and gold</text>
  </threadedComment>
  <threadedComment ref="L107" dT="2025-05-06T14:26:15.08" personId="{38345E2C-A498-4DF2-856C-A1A5BD8FF5A2}" id="{2999F683-4B79-4245-9E25-39FBD3ABA5E4}">
    <text>5PGM+Au, that is platinum, palladium, rhodium, ruthenium, osmium and gold</text>
  </threadedComment>
  <threadedComment ref="R211"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3"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90" dT="2025-04-22T18:03:08.91" personId="{38345E2C-A498-4DF2-856C-A1A5BD8FF5A2}" id="{4F2EB63B-0014-4A53-9DEF-EDB5160CFC57}">
    <text>Hazardous air pollutants</text>
  </threadedComment>
  <threadedComment ref="P90"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iningdataonline.com/property/98/McClean-Lake-Mine.aspx" TargetMode="External"/><Relationship Id="rId13" Type="http://schemas.openxmlformats.org/officeDocument/2006/relationships/printerSettings" Target="../printerSettings/printerSettings2.bin"/><Relationship Id="rId3" Type="http://schemas.openxmlformats.org/officeDocument/2006/relationships/hyperlink" Target="https://miningdataonline.com/property/1/copper-mountain-mine.aspx" TargetMode="External"/><Relationship Id="rId7" Type="http://schemas.openxmlformats.org/officeDocument/2006/relationships/hyperlink" Target="https://miningdataonline.com/property/46/LaRonde-Mine.aspx" TargetMode="External"/><Relationship Id="rId12" Type="http://schemas.openxmlformats.org/officeDocument/2006/relationships/hyperlink" Target="https://miningdataonline.com/property/968/Renard-Mine.aspx" TargetMode="External"/><Relationship Id="rId2" Type="http://schemas.openxmlformats.org/officeDocument/2006/relationships/hyperlink" Target="https://miningdataonline.com/property/1524/Seabee-Gold-Mine.aspx" TargetMode="External"/><Relationship Id="rId1" Type="http://schemas.openxmlformats.org/officeDocument/2006/relationships/hyperlink" Target="https://miningdataonline.com/property/563/Manitoba-Snow-Lake-Operation.aspx" TargetMode="External"/><Relationship Id="rId6" Type="http://schemas.openxmlformats.org/officeDocument/2006/relationships/hyperlink" Target="https://miningdataonline.com/property/12/Niobec-Mine.aspx" TargetMode="External"/><Relationship Id="rId11" Type="http://schemas.openxmlformats.org/officeDocument/2006/relationships/hyperlink" Target="https://miningdataonline.com/property/13/Detour-Lake-Mine.aspx" TargetMode="External"/><Relationship Id="rId5" Type="http://schemas.openxmlformats.org/officeDocument/2006/relationships/hyperlink" Target="https://miningdataonline.com/property/173/McCreedy-West,--Morrison-Levack-Sudbury-Basin-Mine.aspx" TargetMode="External"/><Relationship Id="rId10" Type="http://schemas.openxmlformats.org/officeDocument/2006/relationships/hyperlink" Target="https://miningdataonline.com/property/47/Meadowbank-Mine.aspx" TargetMode="External"/><Relationship Id="rId4" Type="http://schemas.openxmlformats.org/officeDocument/2006/relationships/hyperlink" Target="https://miningdataonline.com/property/959/Meliadine-Mine.aspx" TargetMode="External"/><Relationship Id="rId9" Type="http://schemas.openxmlformats.org/officeDocument/2006/relationships/hyperlink" Target="https://miningdataonline.com/property/58/Minto-Mine.aspx"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geologyontario.mines.gov.on.ca/mineral-inventory/MDI42C14SE00005" TargetMode="External"/><Relationship Id="rId26" Type="http://schemas.openxmlformats.org/officeDocument/2006/relationships/hyperlink" Target="https://mrnf.gouv.qc.ca/en/mines/publications/quantity-mine-mouth-output-value-and-duties-paid-by-mining-companies/" TargetMode="External"/><Relationship Id="rId3" Type="http://schemas.openxmlformats.org/officeDocument/2006/relationships/hyperlink" Target="https://aluminium.ca/en/the-industry/" TargetMode="External"/><Relationship Id="rId21" Type="http://schemas.openxmlformats.org/officeDocument/2006/relationships/hyperlink" Target="https://magnamining.com/about/mccreedy-west-project/"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orano.group/canada/en/our-uranium-expertise/mining-and-milling" TargetMode="External"/><Relationship Id="rId25" Type="http://schemas.openxmlformats.org/officeDocument/2006/relationships/hyperlink" Target="https://mrnf.gouv.qc.ca/en/mines/publications/quantity-mine-mouth-output-value-and-duties-paid-by-mining-companies/" TargetMode="External"/><Relationship Id="rId2" Type="http://schemas.openxmlformats.org/officeDocument/2006/relationships/hyperlink" Target="https://aluminium.ca/en/the-industry/" TargetMode="External"/><Relationship Id="rId16" Type="http://schemas.openxmlformats.org/officeDocument/2006/relationships/hyperlink" Target="https://www.gov.nl.ca/iet/files/Mining-in-NL-Fall-2024.pdf" TargetMode="External"/><Relationship Id="rId20" Type="http://schemas.openxmlformats.org/officeDocument/2006/relationships/hyperlink" Target="https://www.geologyontario.mines.gov.on.ca/mineral-inventory/MDI42A11NW00002" TargetMode="External"/><Relationship Id="rId29"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openxmlformats.org/officeDocument/2006/relationships/hyperlink" Target="https://www.orano.group/canada/en/our-uranium-expertise/mining-and-milling" TargetMode="External"/><Relationship Id="rId5" Type="http://schemas.openxmlformats.org/officeDocument/2006/relationships/hyperlink" Target="https://aluminium.ca/en/the-industry/" TargetMode="External"/><Relationship Id="rId15" Type="http://schemas.openxmlformats.org/officeDocument/2006/relationships/hyperlink" Target="https://www.gem.wiki/ArcelorMittal_Mont_Wright_Mine" TargetMode="External"/><Relationship Id="rId23" Type="http://schemas.openxmlformats.org/officeDocument/2006/relationships/hyperlink" Target="https://www.cameco.com/businesses/uranium-operations/canada/cigar-lake" TargetMode="External"/><Relationship Id="rId28"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mrnf.gouv.qc.ca/en/mines/publications/quantity-mine-mouth-output-value-and-duties-paid-by-mining-companies/"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gem.wiki/Baffinland_Mary_River_Mine" TargetMode="External"/><Relationship Id="rId22" Type="http://schemas.openxmlformats.org/officeDocument/2006/relationships/hyperlink" Target="https://www.glencore.ca/en/sudburyino/who-we-are/at-a-glance" TargetMode="External"/><Relationship Id="rId27" Type="http://schemas.openxmlformats.org/officeDocument/2006/relationships/printerSettings" Target="../printerSettings/printerSettings3.bin"/><Relationship Id="rId30"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hyperlink" Target="https://magnamining.com/about/mccreedy-west-project/" TargetMode="Externa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109375" defaultRowHeight="15" x14ac:dyDescent="0.25"/>
  <cols>
    <col min="1" max="1" width="24.85546875" bestFit="1" customWidth="1"/>
    <col min="2" max="2" width="27.42578125" bestFit="1" customWidth="1"/>
    <col min="3" max="3" width="12.140625" bestFit="1" customWidth="1"/>
    <col min="4" max="4" width="44.85546875" bestFit="1" customWidth="1"/>
    <col min="5" max="5" width="15.140625" bestFit="1" customWidth="1"/>
    <col min="6" max="6" width="20.140625" bestFit="1" customWidth="1"/>
    <col min="7" max="7" width="30.85546875" bestFit="1" customWidth="1"/>
    <col min="8" max="8" width="131.42578125" bestFit="1" customWidth="1"/>
    <col min="9" max="9" width="35.85546875" bestFit="1" customWidth="1"/>
    <col min="10" max="10" width="19.5703125" bestFit="1" customWidth="1"/>
    <col min="11" max="11" width="13.42578125" bestFit="1" customWidth="1"/>
    <col min="12" max="12" width="17.85546875" bestFit="1" customWidth="1"/>
    <col min="13" max="13" width="28.5703125" bestFit="1" customWidth="1"/>
    <col min="14" max="14" width="15.85546875" bestFit="1" customWidth="1"/>
    <col min="15" max="15" width="35.42578125" bestFit="1" customWidth="1"/>
    <col min="16" max="16" width="151.42578125" bestFit="1" customWidth="1"/>
    <col min="17" max="17" width="154.42578125" bestFit="1" customWidth="1"/>
    <col min="18" max="18" width="50.5703125" bestFit="1" customWidth="1"/>
    <col min="19" max="19" width="50.5703125" customWidth="1"/>
    <col min="20" max="20" width="89.42578125" bestFit="1" customWidth="1"/>
    <col min="21" max="21" width="28.42578125" customWidth="1"/>
  </cols>
  <sheetData>
    <row r="1" spans="1:21" s="5" customFormat="1" x14ac:dyDescent="0.25">
      <c r="A1" s="4" t="s">
        <v>750</v>
      </c>
      <c r="B1" s="4" t="s">
        <v>803</v>
      </c>
      <c r="C1" s="1" t="s">
        <v>804</v>
      </c>
      <c r="D1" s="4" t="s">
        <v>801</v>
      </c>
      <c r="E1" s="4" t="s">
        <v>802</v>
      </c>
      <c r="F1" s="4" t="s">
        <v>824</v>
      </c>
      <c r="G1" s="4" t="s">
        <v>1668</v>
      </c>
      <c r="H1" s="1" t="s">
        <v>1669</v>
      </c>
      <c r="I1" s="1" t="s">
        <v>1670</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2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2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2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2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2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2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2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2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2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2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2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2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2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2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2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2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2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2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2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2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2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2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2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2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2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2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2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2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2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2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2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2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2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2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2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2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2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2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2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2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2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2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2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ht="30" x14ac:dyDescent="0.2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2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2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25">
      <c r="G48" s="18" t="s">
        <v>886</v>
      </c>
      <c r="H48" s="18" t="s">
        <v>676</v>
      </c>
      <c r="I48" s="18" t="s">
        <v>677</v>
      </c>
      <c r="J48" s="18" t="s">
        <v>1335</v>
      </c>
      <c r="K48" s="18" t="s">
        <v>374</v>
      </c>
      <c r="L48" s="18" t="s">
        <v>1115</v>
      </c>
      <c r="M48" s="18" t="s">
        <v>1116</v>
      </c>
      <c r="N48" s="18" t="s">
        <v>375</v>
      </c>
      <c r="P48" s="18" t="s">
        <v>678</v>
      </c>
      <c r="U48" s="18" t="s">
        <v>746</v>
      </c>
    </row>
    <row r="49" spans="1:21" x14ac:dyDescent="0.2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2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25">
      <c r="A51" t="s">
        <v>710</v>
      </c>
      <c r="B51">
        <v>2024</v>
      </c>
      <c r="C51" t="s">
        <v>707</v>
      </c>
      <c r="D51" t="s">
        <v>1763</v>
      </c>
      <c r="E51" t="s">
        <v>832</v>
      </c>
      <c r="F51"/>
      <c r="G51" t="s">
        <v>715</v>
      </c>
      <c r="H51" t="s">
        <v>142</v>
      </c>
      <c r="I51" t="s">
        <v>283</v>
      </c>
      <c r="J51" t="s">
        <v>1250</v>
      </c>
      <c r="K51" t="s">
        <v>10</v>
      </c>
      <c r="L51"/>
      <c r="M51"/>
      <c r="N51" t="s">
        <v>233</v>
      </c>
      <c r="O51" t="s">
        <v>274</v>
      </c>
      <c r="P51" t="s">
        <v>284</v>
      </c>
      <c r="Q51"/>
      <c r="R51" t="s">
        <v>962</v>
      </c>
      <c r="U51" s="18" t="s">
        <v>746</v>
      </c>
    </row>
    <row r="52" spans="1:21" x14ac:dyDescent="0.2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1800</v>
      </c>
      <c r="T52" s="30" t="s">
        <v>828</v>
      </c>
      <c r="U52" t="s">
        <v>710</v>
      </c>
    </row>
    <row r="53" spans="1:21" x14ac:dyDescent="0.2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2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2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2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25">
      <c r="A57" t="s">
        <v>710</v>
      </c>
      <c r="B57">
        <v>2024</v>
      </c>
      <c r="C57" t="s">
        <v>707</v>
      </c>
      <c r="D57" t="s">
        <v>1763</v>
      </c>
      <c r="E57" t="s">
        <v>832</v>
      </c>
      <c r="G57" t="s">
        <v>715</v>
      </c>
      <c r="H57" t="s">
        <v>142</v>
      </c>
      <c r="I57" t="s">
        <v>285</v>
      </c>
      <c r="J57" t="s">
        <v>1251</v>
      </c>
      <c r="K57" t="s">
        <v>10</v>
      </c>
      <c r="N57" t="s">
        <v>233</v>
      </c>
      <c r="O57" t="s">
        <v>274</v>
      </c>
      <c r="P57" t="s">
        <v>286</v>
      </c>
      <c r="R57" t="s">
        <v>962</v>
      </c>
      <c r="S57" t="s">
        <v>1530</v>
      </c>
      <c r="T57" t="s">
        <v>830</v>
      </c>
      <c r="U57" t="s">
        <v>710</v>
      </c>
    </row>
    <row r="58" spans="1:21" x14ac:dyDescent="0.2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2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2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2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2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2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2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2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2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2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2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25">
      <c r="H69" s="18" t="s">
        <v>592</v>
      </c>
      <c r="I69" s="18" t="s">
        <v>593</v>
      </c>
      <c r="J69" s="18" t="s">
        <v>1180</v>
      </c>
      <c r="K69" s="18" t="s">
        <v>374</v>
      </c>
      <c r="L69" s="18" t="s">
        <v>1115</v>
      </c>
      <c r="M69" s="18" t="s">
        <v>1116</v>
      </c>
      <c r="N69" s="18" t="s">
        <v>375</v>
      </c>
      <c r="P69" s="18" t="s">
        <v>594</v>
      </c>
      <c r="U69" s="18" t="s">
        <v>746</v>
      </c>
    </row>
    <row r="70" spans="1:21" s="18" customFormat="1" ht="30" x14ac:dyDescent="0.2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2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2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2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25">
      <c r="G74" s="18" t="s">
        <v>845</v>
      </c>
      <c r="H74" s="18" t="s">
        <v>458</v>
      </c>
      <c r="I74" s="18" t="s">
        <v>459</v>
      </c>
      <c r="J74" s="18" t="s">
        <v>1227</v>
      </c>
      <c r="K74" s="18" t="s">
        <v>374</v>
      </c>
      <c r="L74" s="18" t="s">
        <v>1115</v>
      </c>
      <c r="M74" s="18" t="s">
        <v>1116</v>
      </c>
      <c r="N74" s="18" t="s">
        <v>375</v>
      </c>
      <c r="P74" s="18" t="s">
        <v>460</v>
      </c>
      <c r="U74" s="18" t="s">
        <v>746</v>
      </c>
    </row>
    <row r="75" spans="1:21" s="18" customFormat="1" x14ac:dyDescent="0.2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2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2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2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2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2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2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2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2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2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25">
      <c r="G85" s="18" t="s">
        <v>578</v>
      </c>
      <c r="H85" s="18" t="s">
        <v>578</v>
      </c>
      <c r="I85" s="18" t="s">
        <v>579</v>
      </c>
      <c r="J85" s="18" t="s">
        <v>1447</v>
      </c>
      <c r="K85" s="18" t="s">
        <v>374</v>
      </c>
      <c r="L85" s="18" t="s">
        <v>1115</v>
      </c>
      <c r="M85" s="18" t="s">
        <v>1116</v>
      </c>
      <c r="N85" s="18" t="s">
        <v>375</v>
      </c>
      <c r="P85" s="18" t="s">
        <v>580</v>
      </c>
      <c r="U85" s="18" t="s">
        <v>746</v>
      </c>
    </row>
    <row r="86" spans="1:21" s="18" customFormat="1" x14ac:dyDescent="0.25">
      <c r="G86" s="18" t="s">
        <v>452</v>
      </c>
      <c r="H86" s="18" t="s">
        <v>452</v>
      </c>
      <c r="I86" s="18" t="s">
        <v>453</v>
      </c>
      <c r="J86" s="18" t="s">
        <v>1288</v>
      </c>
      <c r="K86" s="18" t="s">
        <v>374</v>
      </c>
      <c r="L86" s="18" t="s">
        <v>1115</v>
      </c>
      <c r="M86" s="18" t="s">
        <v>1116</v>
      </c>
      <c r="N86" s="18" t="s">
        <v>375</v>
      </c>
      <c r="P86" s="18" t="s">
        <v>454</v>
      </c>
      <c r="U86" s="18" t="s">
        <v>746</v>
      </c>
    </row>
    <row r="87" spans="1:21" s="18" customFormat="1" ht="30" x14ac:dyDescent="0.2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25">
      <c r="G88" s="18" t="s">
        <v>839</v>
      </c>
      <c r="H88" s="18" t="s">
        <v>628</v>
      </c>
      <c r="I88" s="18" t="s">
        <v>629</v>
      </c>
      <c r="J88" s="18" t="s">
        <v>1195</v>
      </c>
      <c r="K88" s="18" t="s">
        <v>374</v>
      </c>
      <c r="L88" s="18" t="s">
        <v>1115</v>
      </c>
      <c r="M88" s="18" t="s">
        <v>1116</v>
      </c>
      <c r="N88" s="18" t="s">
        <v>375</v>
      </c>
      <c r="P88" s="18" t="s">
        <v>627</v>
      </c>
      <c r="U88" s="18" t="s">
        <v>746</v>
      </c>
    </row>
    <row r="89" spans="1:21" s="18" customFormat="1" x14ac:dyDescent="0.2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2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2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30" x14ac:dyDescent="0.2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2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25">
      <c r="G94" s="18" t="s">
        <v>446</v>
      </c>
      <c r="H94" s="18" t="s">
        <v>446</v>
      </c>
      <c r="I94" s="18" t="s">
        <v>447</v>
      </c>
      <c r="J94" s="18" t="s">
        <v>1374</v>
      </c>
      <c r="K94" s="18" t="s">
        <v>374</v>
      </c>
      <c r="L94" s="18" t="s">
        <v>1115</v>
      </c>
      <c r="M94" s="18" t="s">
        <v>1116</v>
      </c>
      <c r="N94" s="18" t="s">
        <v>375</v>
      </c>
      <c r="P94" s="18" t="s">
        <v>448</v>
      </c>
      <c r="U94" s="18" t="s">
        <v>746</v>
      </c>
    </row>
    <row r="95" spans="1:21" x14ac:dyDescent="0.2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2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2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2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2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2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30" x14ac:dyDescent="0.2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2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25">
      <c r="A103" t="s">
        <v>710</v>
      </c>
      <c r="B103">
        <v>2024</v>
      </c>
      <c r="C103" t="s">
        <v>707</v>
      </c>
      <c r="D103" t="s">
        <v>1763</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2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2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2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2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2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2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25">
      <c r="A110" t="s">
        <v>710</v>
      </c>
      <c r="B110">
        <v>2024</v>
      </c>
      <c r="C110" t="s">
        <v>707</v>
      </c>
      <c r="D110" t="s">
        <v>1763</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2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2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2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2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25">
      <c r="H115" s="18" t="s">
        <v>430</v>
      </c>
      <c r="I115" s="18" t="s">
        <v>431</v>
      </c>
      <c r="J115" s="18" t="s">
        <v>1189</v>
      </c>
      <c r="K115" s="18" t="s">
        <v>374</v>
      </c>
      <c r="L115" s="18" t="s">
        <v>1115</v>
      </c>
      <c r="M115" s="18" t="s">
        <v>1116</v>
      </c>
      <c r="N115" s="18" t="s">
        <v>375</v>
      </c>
      <c r="P115" s="18" t="s">
        <v>81</v>
      </c>
      <c r="U115" s="18" t="s">
        <v>746</v>
      </c>
    </row>
    <row r="116" spans="1:21" s="18" customFormat="1" x14ac:dyDescent="0.2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2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2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25">
      <c r="G119" s="18" t="s">
        <v>390</v>
      </c>
      <c r="H119" s="18" t="s">
        <v>390</v>
      </c>
      <c r="I119" s="18" t="s">
        <v>391</v>
      </c>
      <c r="J119" s="18" t="s">
        <v>1376</v>
      </c>
      <c r="K119" s="18" t="s">
        <v>374</v>
      </c>
      <c r="L119" s="18" t="s">
        <v>1115</v>
      </c>
      <c r="M119" s="18" t="s">
        <v>1116</v>
      </c>
      <c r="N119" s="18" t="s">
        <v>375</v>
      </c>
      <c r="P119" s="18" t="s">
        <v>389</v>
      </c>
      <c r="U119" s="18" t="s">
        <v>746</v>
      </c>
    </row>
    <row r="120" spans="1:21" x14ac:dyDescent="0.2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2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2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2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2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2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2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2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2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25">
      <c r="A129" t="s">
        <v>710</v>
      </c>
      <c r="B129">
        <v>2024</v>
      </c>
      <c r="C129" t="s">
        <v>707</v>
      </c>
      <c r="D129" t="s">
        <v>1763</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2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2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2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2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2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2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2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2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25">
      <c r="H138" s="18" t="s">
        <v>512</v>
      </c>
      <c r="I138" s="18" t="s">
        <v>513</v>
      </c>
      <c r="J138" s="18" t="s">
        <v>1142</v>
      </c>
      <c r="K138" s="18" t="s">
        <v>374</v>
      </c>
      <c r="L138" s="18" t="s">
        <v>1115</v>
      </c>
      <c r="M138" s="18" t="s">
        <v>1116</v>
      </c>
      <c r="N138" s="18" t="s">
        <v>375</v>
      </c>
      <c r="P138" s="18" t="s">
        <v>509</v>
      </c>
      <c r="U138" s="18" t="s">
        <v>746</v>
      </c>
    </row>
    <row r="139" spans="1:21" s="18" customFormat="1" x14ac:dyDescent="0.25">
      <c r="H139" s="18" t="s">
        <v>609</v>
      </c>
      <c r="I139" s="18" t="s">
        <v>610</v>
      </c>
      <c r="J139" s="18" t="s">
        <v>1168</v>
      </c>
      <c r="K139" s="18" t="s">
        <v>374</v>
      </c>
      <c r="L139" s="18" t="s">
        <v>1115</v>
      </c>
      <c r="M139" s="18" t="s">
        <v>1116</v>
      </c>
      <c r="N139" s="18" t="s">
        <v>375</v>
      </c>
      <c r="P139" s="18" t="s">
        <v>611</v>
      </c>
      <c r="U139" s="18" t="s">
        <v>746</v>
      </c>
    </row>
    <row r="140" spans="1:21" s="18" customFormat="1" x14ac:dyDescent="0.2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2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25">
      <c r="G142" s="18" t="s">
        <v>906</v>
      </c>
      <c r="H142" s="18" t="s">
        <v>567</v>
      </c>
      <c r="I142" s="18" t="s">
        <v>568</v>
      </c>
      <c r="J142" s="18" t="s">
        <v>1394</v>
      </c>
      <c r="K142" s="18" t="s">
        <v>374</v>
      </c>
      <c r="L142" s="18" t="s">
        <v>1115</v>
      </c>
      <c r="M142" s="18" t="s">
        <v>1116</v>
      </c>
      <c r="N142" s="18" t="s">
        <v>375</v>
      </c>
      <c r="P142" s="18" t="s">
        <v>183</v>
      </c>
      <c r="U142" s="18" t="s">
        <v>746</v>
      </c>
    </row>
    <row r="143" spans="1:21" x14ac:dyDescent="0.2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2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25">
      <c r="A145" t="s">
        <v>710</v>
      </c>
      <c r="B145">
        <v>2024</v>
      </c>
      <c r="C145" t="s">
        <v>707</v>
      </c>
      <c r="D145" t="s">
        <v>1763</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2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2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2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2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2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2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2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2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2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2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2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2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2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25">
      <c r="G159" s="18" t="s">
        <v>910</v>
      </c>
      <c r="H159" s="18" t="s">
        <v>493</v>
      </c>
      <c r="I159" s="18" t="s">
        <v>494</v>
      </c>
      <c r="J159" s="18" t="s">
        <v>1430</v>
      </c>
      <c r="K159" s="18" t="s">
        <v>374</v>
      </c>
      <c r="L159" s="18" t="s">
        <v>1115</v>
      </c>
      <c r="M159" s="18" t="s">
        <v>1116</v>
      </c>
      <c r="N159" s="18" t="s">
        <v>375</v>
      </c>
      <c r="P159" s="18" t="s">
        <v>491</v>
      </c>
      <c r="U159" s="18" t="s">
        <v>746</v>
      </c>
    </row>
    <row r="160" spans="1:21" x14ac:dyDescent="0.2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2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2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2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2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2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2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2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2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2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2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2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2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2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2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2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2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2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2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2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25">
      <c r="G180" s="18" t="s">
        <v>554</v>
      </c>
      <c r="H180" s="18" t="s">
        <v>554</v>
      </c>
      <c r="I180" s="18" t="s">
        <v>29</v>
      </c>
      <c r="J180" s="18" t="s">
        <v>1237</v>
      </c>
      <c r="K180" s="18" t="s">
        <v>374</v>
      </c>
      <c r="L180" s="18" t="s">
        <v>1115</v>
      </c>
      <c r="M180" s="18" t="s">
        <v>1116</v>
      </c>
      <c r="N180" s="18" t="s">
        <v>375</v>
      </c>
      <c r="P180" s="18" t="s">
        <v>599</v>
      </c>
      <c r="U180" s="18" t="s">
        <v>746</v>
      </c>
    </row>
    <row r="181" spans="1:21" x14ac:dyDescent="0.2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25">
      <c r="G182" s="18" t="s">
        <v>849</v>
      </c>
      <c r="H182" s="18" t="s">
        <v>603</v>
      </c>
      <c r="I182" s="18" t="s">
        <v>604</v>
      </c>
      <c r="J182" s="18" t="s">
        <v>1234</v>
      </c>
      <c r="K182" s="18" t="s">
        <v>374</v>
      </c>
      <c r="L182" s="18" t="s">
        <v>1115</v>
      </c>
      <c r="M182" s="18" t="s">
        <v>1116</v>
      </c>
      <c r="N182" s="18" t="s">
        <v>375</v>
      </c>
      <c r="P182" s="18" t="s">
        <v>605</v>
      </c>
      <c r="U182" s="18" t="s">
        <v>746</v>
      </c>
    </row>
    <row r="183" spans="1:21" x14ac:dyDescent="0.2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2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2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2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2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2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2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2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2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2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25">
      <c r="G193" s="18" t="s">
        <v>914</v>
      </c>
      <c r="H193" s="18" t="s">
        <v>612</v>
      </c>
      <c r="I193" s="18" t="s">
        <v>613</v>
      </c>
      <c r="J193" s="18" t="s">
        <v>1442</v>
      </c>
      <c r="K193" s="18" t="s">
        <v>374</v>
      </c>
      <c r="L193" s="18" t="s">
        <v>1115</v>
      </c>
      <c r="M193" s="18" t="s">
        <v>1116</v>
      </c>
      <c r="N193" s="18" t="s">
        <v>375</v>
      </c>
      <c r="P193" s="18" t="s">
        <v>611</v>
      </c>
      <c r="U193" s="18" t="s">
        <v>746</v>
      </c>
    </row>
    <row r="194" spans="1:21" x14ac:dyDescent="0.2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2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2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2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2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2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2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2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2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2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2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2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2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2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2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25">
      <c r="H209" s="18" t="s">
        <v>700</v>
      </c>
      <c r="I209" s="18" t="s">
        <v>701</v>
      </c>
      <c r="J209" s="18" t="s">
        <v>1181</v>
      </c>
      <c r="K209" s="18" t="s">
        <v>374</v>
      </c>
      <c r="L209" s="18" t="s">
        <v>1115</v>
      </c>
      <c r="M209" s="18" t="s">
        <v>1116</v>
      </c>
      <c r="N209" s="18" t="s">
        <v>375</v>
      </c>
      <c r="P209" s="18" t="s">
        <v>699</v>
      </c>
      <c r="U209" s="18" t="s">
        <v>746</v>
      </c>
    </row>
    <row r="210" spans="1:21" s="18" customFormat="1" x14ac:dyDescent="0.2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2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2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2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25">
      <c r="H214" s="18" t="s">
        <v>695</v>
      </c>
      <c r="I214" s="18" t="s">
        <v>696</v>
      </c>
      <c r="J214" s="18" t="s">
        <v>1174</v>
      </c>
      <c r="K214" s="18" t="s">
        <v>374</v>
      </c>
      <c r="L214" s="18" t="s">
        <v>1115</v>
      </c>
      <c r="M214" s="18" t="s">
        <v>1116</v>
      </c>
      <c r="N214" s="18" t="s">
        <v>375</v>
      </c>
      <c r="P214" s="18" t="s">
        <v>693</v>
      </c>
      <c r="U214" s="18" t="s">
        <v>746</v>
      </c>
    </row>
    <row r="215" spans="1:21" s="18" customFormat="1" x14ac:dyDescent="0.2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2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2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25">
      <c r="G218" s="18" t="s">
        <v>876</v>
      </c>
      <c r="H218" s="18" t="s">
        <v>520</v>
      </c>
      <c r="I218" s="18" t="s">
        <v>528</v>
      </c>
      <c r="J218" s="18" t="s">
        <v>1312</v>
      </c>
      <c r="K218" s="18" t="s">
        <v>374</v>
      </c>
      <c r="L218" s="18" t="s">
        <v>1115</v>
      </c>
      <c r="M218" s="18" t="s">
        <v>1117</v>
      </c>
      <c r="N218" s="18" t="s">
        <v>375</v>
      </c>
      <c r="P218" s="18" t="s">
        <v>529</v>
      </c>
      <c r="U218" s="18" t="s">
        <v>746</v>
      </c>
    </row>
    <row r="219" spans="1:21" x14ac:dyDescent="0.2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2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25">
      <c r="A221" t="s">
        <v>710</v>
      </c>
      <c r="B221">
        <v>2024</v>
      </c>
      <c r="C221" t="s">
        <v>707</v>
      </c>
      <c r="D221" t="s">
        <v>1763</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25">
      <c r="G222" s="18" t="s">
        <v>879</v>
      </c>
      <c r="H222" s="18" t="s">
        <v>589</v>
      </c>
      <c r="I222" s="18" t="s">
        <v>590</v>
      </c>
      <c r="J222" s="18" t="s">
        <v>1327</v>
      </c>
      <c r="K222" s="18" t="s">
        <v>374</v>
      </c>
      <c r="L222" s="18" t="s">
        <v>1115</v>
      </c>
      <c r="M222" s="18" t="s">
        <v>1116</v>
      </c>
      <c r="N222" s="18" t="s">
        <v>375</v>
      </c>
      <c r="P222" s="18" t="s">
        <v>591</v>
      </c>
      <c r="U222" s="18" t="s">
        <v>746</v>
      </c>
    </row>
    <row r="223" spans="1:21" x14ac:dyDescent="0.2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2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2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2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2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2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45" x14ac:dyDescent="0.2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2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2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2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2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2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2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2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2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2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2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2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2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2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2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2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2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2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2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25">
      <c r="A248" t="s">
        <v>710</v>
      </c>
      <c r="B248">
        <v>2024</v>
      </c>
      <c r="C248" t="s">
        <v>707</v>
      </c>
      <c r="D248" t="s">
        <v>1763</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2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25">
      <c r="G250" s="18" t="s">
        <v>505</v>
      </c>
      <c r="H250" s="18" t="s">
        <v>505</v>
      </c>
      <c r="I250" s="18" t="s">
        <v>506</v>
      </c>
      <c r="J250" s="18" t="s">
        <v>1434</v>
      </c>
      <c r="K250" s="18" t="s">
        <v>374</v>
      </c>
      <c r="L250" s="18" t="s">
        <v>1115</v>
      </c>
      <c r="M250" s="18" t="s">
        <v>1118</v>
      </c>
      <c r="N250" s="18" t="s">
        <v>375</v>
      </c>
      <c r="P250" s="18" t="s">
        <v>498</v>
      </c>
      <c r="U250" s="18" t="s">
        <v>746</v>
      </c>
    </row>
    <row r="251" spans="1:21" x14ac:dyDescent="0.2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2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2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2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2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2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2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30" x14ac:dyDescent="0.2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2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2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2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30" x14ac:dyDescent="0.2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2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25">
      <c r="G264" s="18" t="s">
        <v>878</v>
      </c>
      <c r="H264" s="18" t="s">
        <v>665</v>
      </c>
      <c r="I264" s="18" t="s">
        <v>666</v>
      </c>
      <c r="J264" s="18" t="s">
        <v>1326</v>
      </c>
      <c r="K264" s="18" t="s">
        <v>374</v>
      </c>
      <c r="L264" s="18" t="s">
        <v>1115</v>
      </c>
      <c r="M264" s="18" t="s">
        <v>1116</v>
      </c>
      <c r="N264" s="18" t="s">
        <v>375</v>
      </c>
      <c r="P264" s="18" t="s">
        <v>210</v>
      </c>
      <c r="U264" s="18" t="s">
        <v>746</v>
      </c>
    </row>
    <row r="265" spans="1:21" x14ac:dyDescent="0.2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2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2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2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2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2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2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2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2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2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2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2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2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2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2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2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2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2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2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2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2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2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2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2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25">
      <c r="G289" s="18" t="s">
        <v>907</v>
      </c>
      <c r="H289" s="18" t="s">
        <v>640</v>
      </c>
      <c r="I289" s="18" t="s">
        <v>641</v>
      </c>
      <c r="J289" s="18" t="s">
        <v>1409</v>
      </c>
      <c r="K289" s="18" t="s">
        <v>374</v>
      </c>
      <c r="L289" s="18" t="s">
        <v>1115</v>
      </c>
      <c r="M289" s="18" t="s">
        <v>1116</v>
      </c>
      <c r="N289" s="18" t="s">
        <v>375</v>
      </c>
      <c r="P289" s="18" t="s">
        <v>642</v>
      </c>
      <c r="U289" s="18" t="s">
        <v>746</v>
      </c>
    </row>
    <row r="290" spans="1:21" x14ac:dyDescent="0.25">
      <c r="A290" t="s">
        <v>710</v>
      </c>
      <c r="B290">
        <v>2024</v>
      </c>
      <c r="C290" t="s">
        <v>707</v>
      </c>
      <c r="D290" t="s">
        <v>1763</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25">
      <c r="A291" t="s">
        <v>710</v>
      </c>
      <c r="B291">
        <v>2024</v>
      </c>
      <c r="C291" t="s">
        <v>707</v>
      </c>
      <c r="D291" t="s">
        <v>1763</v>
      </c>
      <c r="E291" t="s">
        <v>832</v>
      </c>
      <c r="G291" t="s">
        <v>715</v>
      </c>
      <c r="H291" t="s">
        <v>142</v>
      </c>
      <c r="I291" t="s">
        <v>140</v>
      </c>
      <c r="J291" t="s">
        <v>1254</v>
      </c>
      <c r="K291" t="s">
        <v>10</v>
      </c>
      <c r="N291" t="s">
        <v>233</v>
      </c>
      <c r="O291" t="s">
        <v>357</v>
      </c>
      <c r="P291" t="s">
        <v>356</v>
      </c>
      <c r="R291" t="s">
        <v>962</v>
      </c>
      <c r="T291" t="s">
        <v>707</v>
      </c>
      <c r="U291" t="s">
        <v>746</v>
      </c>
    </row>
    <row r="292" spans="1:21" x14ac:dyDescent="0.2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2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2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2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2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25">
      <c r="H297" s="18" t="s">
        <v>418</v>
      </c>
      <c r="I297" s="18" t="s">
        <v>419</v>
      </c>
      <c r="J297" s="18" t="s">
        <v>1182</v>
      </c>
      <c r="K297" s="18" t="s">
        <v>374</v>
      </c>
      <c r="L297" s="18" t="s">
        <v>1115</v>
      </c>
      <c r="M297" s="18" t="s">
        <v>1116</v>
      </c>
      <c r="N297" s="18" t="s">
        <v>375</v>
      </c>
      <c r="P297" s="18" t="s">
        <v>420</v>
      </c>
      <c r="U297" s="18" t="s">
        <v>746</v>
      </c>
    </row>
    <row r="298" spans="1:21" x14ac:dyDescent="0.2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2371</v>
      </c>
      <c r="T298" t="s">
        <v>707</v>
      </c>
      <c r="U298" t="s">
        <v>746</v>
      </c>
    </row>
    <row r="299" spans="1:21" x14ac:dyDescent="0.2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2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2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2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2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2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2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2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2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2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2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2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2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2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2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2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2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25">
      <c r="G316" s="18" t="s">
        <v>876</v>
      </c>
      <c r="H316" s="18" t="s">
        <v>520</v>
      </c>
      <c r="I316" s="18" t="s">
        <v>521</v>
      </c>
      <c r="J316" s="18" t="s">
        <v>1311</v>
      </c>
      <c r="K316" s="18" t="s">
        <v>374</v>
      </c>
      <c r="L316" s="18" t="s">
        <v>1115</v>
      </c>
      <c r="M316" s="18" t="s">
        <v>1116</v>
      </c>
      <c r="N316" s="18" t="s">
        <v>375</v>
      </c>
      <c r="P316" s="18" t="s">
        <v>509</v>
      </c>
      <c r="U316" s="18" t="s">
        <v>746</v>
      </c>
    </row>
    <row r="317" spans="1:21" x14ac:dyDescent="0.2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2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2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2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2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2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2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2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2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2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2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2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2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109375" defaultRowHeight="15" x14ac:dyDescent="0.25"/>
  <cols>
    <col min="1" max="1" width="18" bestFit="1" customWidth="1"/>
    <col min="2" max="2" width="35.85546875" bestFit="1" customWidth="1"/>
    <col min="3" max="3" width="31.42578125" bestFit="1" customWidth="1"/>
    <col min="4" max="4" width="15.140625" bestFit="1" customWidth="1"/>
    <col min="5" max="5" width="131.42578125" bestFit="1" customWidth="1"/>
    <col min="6" max="6" width="46.5703125" bestFit="1" customWidth="1"/>
    <col min="7" max="7" width="13.5703125" bestFit="1" customWidth="1"/>
    <col min="8" max="8" width="12.5703125" bestFit="1" customWidth="1"/>
    <col min="9" max="9" width="12" bestFit="1" customWidth="1"/>
    <col min="10" max="10" width="31.5703125" bestFit="1" customWidth="1"/>
    <col min="11" max="11" width="30.85546875" bestFit="1" customWidth="1"/>
    <col min="12" max="12" width="24.5703125" bestFit="1" customWidth="1"/>
    <col min="13" max="13" width="13.42578125" bestFit="1" customWidth="1"/>
    <col min="14" max="14" width="13.140625" bestFit="1" customWidth="1"/>
    <col min="15" max="15" width="28.5703125" bestFit="1" customWidth="1"/>
    <col min="16" max="16" width="12.85546875" bestFit="1" customWidth="1"/>
    <col min="17" max="17" width="35.42578125" bestFit="1" customWidth="1"/>
    <col min="18" max="18" width="27.85546875" bestFit="1" customWidth="1"/>
    <col min="19" max="19" width="32.5703125" bestFit="1" customWidth="1"/>
    <col min="20" max="20" width="151.42578125" bestFit="1" customWidth="1"/>
    <col min="21" max="21" width="71" bestFit="1" customWidth="1"/>
  </cols>
  <sheetData>
    <row r="1" spans="1:21" x14ac:dyDescent="0.25">
      <c r="A1" s="32" t="s">
        <v>2</v>
      </c>
      <c r="B1" s="32" t="s">
        <v>1670</v>
      </c>
      <c r="C1" s="32" t="s">
        <v>2011</v>
      </c>
      <c r="D1" s="32" t="s">
        <v>2012</v>
      </c>
      <c r="E1" s="32" t="s">
        <v>1669</v>
      </c>
      <c r="F1" s="32" t="s">
        <v>1668</v>
      </c>
      <c r="G1" s="32" t="s">
        <v>2010</v>
      </c>
      <c r="H1" s="32" t="s">
        <v>2531</v>
      </c>
      <c r="I1" s="32" t="s">
        <v>2532</v>
      </c>
      <c r="J1" s="32" t="s">
        <v>2538</v>
      </c>
      <c r="K1" s="32" t="s">
        <v>2533</v>
      </c>
      <c r="L1" s="32" t="s">
        <v>2534</v>
      </c>
      <c r="M1" s="32" t="s">
        <v>3</v>
      </c>
      <c r="N1" s="32" t="s">
        <v>1113</v>
      </c>
      <c r="O1" s="32" t="s">
        <v>1114</v>
      </c>
      <c r="P1" s="32" t="s">
        <v>4</v>
      </c>
      <c r="Q1" s="32" t="s">
        <v>6</v>
      </c>
      <c r="R1" s="32" t="s">
        <v>2535</v>
      </c>
      <c r="S1" s="32" t="s">
        <v>2536</v>
      </c>
      <c r="T1" s="32" t="s">
        <v>5</v>
      </c>
      <c r="U1" s="32" t="s">
        <v>2537</v>
      </c>
    </row>
    <row r="2" spans="1:21" s="18" customFormat="1" x14ac:dyDescent="0.25">
      <c r="A2" s="18" t="s">
        <v>1272</v>
      </c>
      <c r="B2" s="18" t="s">
        <v>464</v>
      </c>
      <c r="E2" s="18" t="s">
        <v>79</v>
      </c>
      <c r="F2" s="18" t="s">
        <v>717</v>
      </c>
      <c r="G2" s="18" t="s">
        <v>1848</v>
      </c>
      <c r="H2" s="18">
        <v>-100.134</v>
      </c>
      <c r="I2" s="18">
        <v>54.855699999999999</v>
      </c>
      <c r="J2" s="18" t="s">
        <v>2707</v>
      </c>
      <c r="L2" s="18" t="s">
        <v>2562</v>
      </c>
      <c r="M2" s="18" t="s">
        <v>374</v>
      </c>
      <c r="N2" s="18" t="s">
        <v>1115</v>
      </c>
      <c r="O2" s="18" t="s">
        <v>1116</v>
      </c>
      <c r="P2" s="18" t="s">
        <v>375</v>
      </c>
      <c r="S2" s="18" t="s">
        <v>16</v>
      </c>
      <c r="T2" s="18" t="s">
        <v>90</v>
      </c>
      <c r="U2" s="18" t="s">
        <v>2902</v>
      </c>
    </row>
    <row r="3" spans="1:21" x14ac:dyDescent="0.25">
      <c r="A3" s="18" t="s">
        <v>1123</v>
      </c>
      <c r="B3" s="18" t="s">
        <v>702</v>
      </c>
      <c r="C3" s="18"/>
      <c r="D3" s="18"/>
      <c r="E3" s="18" t="s">
        <v>62</v>
      </c>
      <c r="F3" s="18" t="s">
        <v>774</v>
      </c>
      <c r="G3" s="18" t="s">
        <v>2013</v>
      </c>
      <c r="H3" s="18">
        <v>-77.679010000000005</v>
      </c>
      <c r="I3" s="18">
        <v>48.521540000000002</v>
      </c>
      <c r="J3" s="18" t="s">
        <v>2540</v>
      </c>
      <c r="K3" s="18"/>
      <c r="L3" s="18" t="s">
        <v>2539</v>
      </c>
      <c r="M3" s="18" t="s">
        <v>374</v>
      </c>
      <c r="N3" s="18" t="s">
        <v>1115</v>
      </c>
      <c r="O3" s="18" t="s">
        <v>1116</v>
      </c>
      <c r="P3" s="18" t="s">
        <v>375</v>
      </c>
      <c r="Q3" s="18"/>
      <c r="R3" s="18"/>
      <c r="S3" s="18" t="s">
        <v>1551</v>
      </c>
      <c r="T3" s="18" t="s">
        <v>703</v>
      </c>
      <c r="U3" s="18" t="s">
        <v>2902</v>
      </c>
    </row>
    <row r="4" spans="1:21" s="18" customFormat="1" x14ac:dyDescent="0.25">
      <c r="A4" s="18" t="s">
        <v>1132</v>
      </c>
      <c r="B4" s="18" t="s">
        <v>429</v>
      </c>
      <c r="E4" s="18" t="s">
        <v>14</v>
      </c>
      <c r="F4" s="18" t="s">
        <v>14</v>
      </c>
      <c r="G4" s="18" t="s">
        <v>2016</v>
      </c>
      <c r="H4" s="18">
        <v>-77.58</v>
      </c>
      <c r="I4" s="18">
        <v>48.04</v>
      </c>
      <c r="J4" s="18" t="s">
        <v>2544</v>
      </c>
      <c r="L4" s="18" t="s">
        <v>2539</v>
      </c>
      <c r="M4" s="18" t="s">
        <v>374</v>
      </c>
      <c r="N4" s="18" t="s">
        <v>1115</v>
      </c>
      <c r="O4" s="18" t="s">
        <v>1116</v>
      </c>
      <c r="P4" s="18" t="s">
        <v>375</v>
      </c>
      <c r="S4" s="18" t="s">
        <v>16</v>
      </c>
      <c r="T4" s="18" t="s">
        <v>81</v>
      </c>
      <c r="U4" s="18" t="s">
        <v>2902</v>
      </c>
    </row>
    <row r="5" spans="1:21" x14ac:dyDescent="0.25">
      <c r="A5" s="18" t="s">
        <v>1449</v>
      </c>
      <c r="B5" s="18" t="s">
        <v>692</v>
      </c>
      <c r="C5" s="18"/>
      <c r="D5" s="18"/>
      <c r="E5" s="18" t="s">
        <v>691</v>
      </c>
      <c r="F5" s="18" t="s">
        <v>916</v>
      </c>
      <c r="G5" s="18" t="s">
        <v>2207</v>
      </c>
      <c r="H5" s="18">
        <v>-124.86599</v>
      </c>
      <c r="I5" s="18">
        <v>57.380879999999998</v>
      </c>
      <c r="J5" s="18" t="s">
        <v>2891</v>
      </c>
      <c r="K5" s="18"/>
      <c r="L5" s="18" t="s">
        <v>2575</v>
      </c>
      <c r="M5" s="18" t="s">
        <v>374</v>
      </c>
      <c r="N5" s="18" t="s">
        <v>1115</v>
      </c>
      <c r="O5" s="18" t="s">
        <v>1116</v>
      </c>
      <c r="P5" s="18" t="s">
        <v>375</v>
      </c>
      <c r="Q5" s="18"/>
      <c r="R5" s="18"/>
      <c r="S5" s="18" t="s">
        <v>1551</v>
      </c>
      <c r="T5" s="18" t="s">
        <v>693</v>
      </c>
      <c r="U5" s="18" t="s">
        <v>2902</v>
      </c>
    </row>
    <row r="6" spans="1:21" x14ac:dyDescent="0.25">
      <c r="A6" s="18" t="s">
        <v>1397</v>
      </c>
      <c r="B6" s="18" t="s">
        <v>595</v>
      </c>
      <c r="C6" s="18"/>
      <c r="D6" s="18"/>
      <c r="E6" s="18" t="s">
        <v>135</v>
      </c>
      <c r="F6" s="18" t="s">
        <v>135</v>
      </c>
      <c r="G6" s="18" t="s">
        <v>2182</v>
      </c>
      <c r="H6" s="18">
        <v>-123.77829</v>
      </c>
      <c r="I6" s="18">
        <v>56.447099999999999</v>
      </c>
      <c r="J6" s="18" t="s">
        <v>2845</v>
      </c>
      <c r="K6" s="18"/>
      <c r="L6" s="18" t="s">
        <v>2575</v>
      </c>
      <c r="M6" s="18" t="s">
        <v>374</v>
      </c>
      <c r="N6" s="18" t="s">
        <v>1115</v>
      </c>
      <c r="O6" s="18" t="s">
        <v>1116</v>
      </c>
      <c r="P6" s="18" t="s">
        <v>375</v>
      </c>
      <c r="Q6" s="18"/>
      <c r="R6" s="18"/>
      <c r="S6" s="18" t="s">
        <v>177</v>
      </c>
      <c r="T6" s="18" t="s">
        <v>177</v>
      </c>
      <c r="U6" s="18" t="s">
        <v>2902</v>
      </c>
    </row>
    <row r="7" spans="1:21" x14ac:dyDescent="0.25">
      <c r="A7" t="s">
        <v>1141</v>
      </c>
      <c r="B7" t="s">
        <v>243</v>
      </c>
      <c r="E7" t="s">
        <v>242</v>
      </c>
      <c r="F7" t="s">
        <v>779</v>
      </c>
      <c r="G7" t="s">
        <v>1981</v>
      </c>
      <c r="H7">
        <v>-84.366640000000004</v>
      </c>
      <c r="I7">
        <v>46.52055</v>
      </c>
      <c r="J7" t="s">
        <v>2573</v>
      </c>
      <c r="L7" t="s">
        <v>2551</v>
      </c>
      <c r="M7" t="s">
        <v>10</v>
      </c>
      <c r="P7" t="s">
        <v>233</v>
      </c>
      <c r="Q7" t="s">
        <v>245</v>
      </c>
      <c r="R7" t="s">
        <v>340</v>
      </c>
      <c r="S7" t="s">
        <v>244</v>
      </c>
      <c r="T7" t="s">
        <v>244</v>
      </c>
      <c r="U7" t="s">
        <v>2903</v>
      </c>
    </row>
    <row r="8" spans="1:21" x14ac:dyDescent="0.25">
      <c r="A8" t="s">
        <v>1350</v>
      </c>
      <c r="B8" t="s">
        <v>247</v>
      </c>
      <c r="C8" t="s">
        <v>2150</v>
      </c>
      <c r="D8" t="s">
        <v>2151</v>
      </c>
      <c r="E8" t="s">
        <v>246</v>
      </c>
      <c r="F8" t="s">
        <v>718</v>
      </c>
      <c r="G8" t="s">
        <v>2149</v>
      </c>
      <c r="H8">
        <v>-71.689700000000002</v>
      </c>
      <c r="I8">
        <v>48.584699999999998</v>
      </c>
      <c r="J8" t="s">
        <v>2792</v>
      </c>
      <c r="L8" t="s">
        <v>2539</v>
      </c>
      <c r="M8" t="s">
        <v>10</v>
      </c>
      <c r="P8" t="s">
        <v>233</v>
      </c>
      <c r="Q8" t="s">
        <v>249</v>
      </c>
      <c r="R8" t="s">
        <v>376</v>
      </c>
      <c r="S8" t="s">
        <v>248</v>
      </c>
      <c r="T8" t="s">
        <v>248</v>
      </c>
      <c r="U8" t="s">
        <v>2903</v>
      </c>
    </row>
    <row r="9" spans="1:21" x14ac:dyDescent="0.25">
      <c r="A9" t="s">
        <v>1352</v>
      </c>
      <c r="B9" t="s">
        <v>251</v>
      </c>
      <c r="C9" t="s">
        <v>2150</v>
      </c>
      <c r="D9" t="s">
        <v>2151</v>
      </c>
      <c r="E9" t="s">
        <v>250</v>
      </c>
      <c r="F9" t="s">
        <v>718</v>
      </c>
      <c r="G9" t="s">
        <v>2149</v>
      </c>
      <c r="H9">
        <v>-66.442899999999995</v>
      </c>
      <c r="I9">
        <v>50.1571</v>
      </c>
      <c r="J9" t="s">
        <v>2798</v>
      </c>
      <c r="L9" t="s">
        <v>2539</v>
      </c>
      <c r="M9" t="s">
        <v>10</v>
      </c>
      <c r="P9" t="s">
        <v>233</v>
      </c>
      <c r="Q9" t="s">
        <v>249</v>
      </c>
      <c r="R9" t="s">
        <v>376</v>
      </c>
      <c r="S9" t="s">
        <v>252</v>
      </c>
      <c r="T9" t="s">
        <v>252</v>
      </c>
      <c r="U9" t="s">
        <v>2903</v>
      </c>
    </row>
    <row r="10" spans="1:21" x14ac:dyDescent="0.25">
      <c r="A10" t="s">
        <v>1144</v>
      </c>
      <c r="B10" t="s">
        <v>254</v>
      </c>
      <c r="E10" t="s">
        <v>253</v>
      </c>
      <c r="F10" t="s">
        <v>780</v>
      </c>
      <c r="G10" t="s">
        <v>2027</v>
      </c>
      <c r="H10">
        <v>-113.387962</v>
      </c>
      <c r="I10">
        <v>53.492783000000003</v>
      </c>
      <c r="J10" t="s">
        <v>2578</v>
      </c>
      <c r="L10" t="s">
        <v>2577</v>
      </c>
      <c r="M10" t="s">
        <v>10</v>
      </c>
      <c r="P10" t="s">
        <v>233</v>
      </c>
      <c r="Q10" t="s">
        <v>255</v>
      </c>
      <c r="R10" t="s">
        <v>340</v>
      </c>
      <c r="S10" t="s">
        <v>244</v>
      </c>
      <c r="T10" t="s">
        <v>244</v>
      </c>
      <c r="U10" t="s">
        <v>2903</v>
      </c>
    </row>
    <row r="11" spans="1:21" x14ac:dyDescent="0.25">
      <c r="A11" t="s">
        <v>1131</v>
      </c>
      <c r="B11" t="s">
        <v>15</v>
      </c>
      <c r="C11" t="s">
        <v>2017</v>
      </c>
      <c r="D11" t="s">
        <v>1749</v>
      </c>
      <c r="E11" t="s">
        <v>14</v>
      </c>
      <c r="F11" t="s">
        <v>14</v>
      </c>
      <c r="G11" t="s">
        <v>2016</v>
      </c>
      <c r="H11">
        <v>-96.697000000000003</v>
      </c>
      <c r="I11">
        <v>65.415000000000006</v>
      </c>
      <c r="J11" t="s">
        <v>2547</v>
      </c>
      <c r="K11" t="s">
        <v>2545</v>
      </c>
      <c r="L11" t="s">
        <v>2546</v>
      </c>
      <c r="M11" t="s">
        <v>10</v>
      </c>
      <c r="P11" t="s">
        <v>11</v>
      </c>
      <c r="Q11" t="s">
        <v>17</v>
      </c>
      <c r="R11" t="s">
        <v>2542</v>
      </c>
      <c r="S11" t="s">
        <v>16</v>
      </c>
      <c r="T11" t="s">
        <v>16</v>
      </c>
      <c r="U11" t="s">
        <v>2903</v>
      </c>
    </row>
    <row r="12" spans="1:21" x14ac:dyDescent="0.25">
      <c r="A12" t="s">
        <v>1158</v>
      </c>
      <c r="B12" t="s">
        <v>257</v>
      </c>
      <c r="E12" t="s">
        <v>256</v>
      </c>
      <c r="F12" t="s">
        <v>155</v>
      </c>
      <c r="G12" t="s">
        <v>2030</v>
      </c>
      <c r="H12">
        <v>-79.805204000000003</v>
      </c>
      <c r="I12">
        <v>43.269131999999999</v>
      </c>
      <c r="J12" t="s">
        <v>2585</v>
      </c>
      <c r="L12" t="s">
        <v>2551</v>
      </c>
      <c r="M12" t="s">
        <v>10</v>
      </c>
      <c r="P12" t="s">
        <v>233</v>
      </c>
      <c r="Q12" t="s">
        <v>258</v>
      </c>
      <c r="R12" t="s">
        <v>340</v>
      </c>
      <c r="S12" t="s">
        <v>244</v>
      </c>
      <c r="T12" t="s">
        <v>244</v>
      </c>
      <c r="U12" t="s">
        <v>2903</v>
      </c>
    </row>
    <row r="13" spans="1:21" s="18" customFormat="1" x14ac:dyDescent="0.25">
      <c r="A13" t="s">
        <v>1349</v>
      </c>
      <c r="B13" t="s">
        <v>259</v>
      </c>
      <c r="C13" t="s">
        <v>2150</v>
      </c>
      <c r="D13" t="s">
        <v>2151</v>
      </c>
      <c r="E13" t="s">
        <v>246</v>
      </c>
      <c r="F13" t="s">
        <v>718</v>
      </c>
      <c r="G13" t="s">
        <v>2149</v>
      </c>
      <c r="H13">
        <v>-71.165520999999998</v>
      </c>
      <c r="I13">
        <v>48.430174000000001</v>
      </c>
      <c r="J13" t="s">
        <v>2793</v>
      </c>
      <c r="K13"/>
      <c r="L13" t="s">
        <v>2539</v>
      </c>
      <c r="M13" t="s">
        <v>10</v>
      </c>
      <c r="N13"/>
      <c r="O13"/>
      <c r="P13" t="s">
        <v>233</v>
      </c>
      <c r="Q13" t="s">
        <v>249</v>
      </c>
      <c r="R13" t="s">
        <v>376</v>
      </c>
      <c r="S13" t="s">
        <v>248</v>
      </c>
      <c r="T13" t="s">
        <v>260</v>
      </c>
      <c r="U13" t="s">
        <v>2903</v>
      </c>
    </row>
    <row r="14" spans="1:21" s="18" customFormat="1" x14ac:dyDescent="0.25">
      <c r="A14" s="18" t="s">
        <v>1367</v>
      </c>
      <c r="B14" s="18" t="s">
        <v>508</v>
      </c>
      <c r="E14" s="18" t="s">
        <v>507</v>
      </c>
      <c r="F14" s="18" t="s">
        <v>897</v>
      </c>
      <c r="G14" s="18" t="s">
        <v>2160</v>
      </c>
      <c r="H14" s="18">
        <v>-78.195570000000004</v>
      </c>
      <c r="I14" s="18">
        <v>48.362070000000003</v>
      </c>
      <c r="J14" s="18" t="s">
        <v>2810</v>
      </c>
      <c r="L14" s="18" t="s">
        <v>2539</v>
      </c>
      <c r="M14" s="18" t="s">
        <v>374</v>
      </c>
      <c r="N14" s="18" t="s">
        <v>1115</v>
      </c>
      <c r="O14" s="18" t="s">
        <v>1116</v>
      </c>
      <c r="P14" s="18" t="s">
        <v>375</v>
      </c>
      <c r="S14" s="18" t="s">
        <v>509</v>
      </c>
      <c r="T14" s="18" t="s">
        <v>509</v>
      </c>
      <c r="U14" s="18" t="s">
        <v>2902</v>
      </c>
    </row>
    <row r="15" spans="1:21" x14ac:dyDescent="0.25">
      <c r="A15" s="18" t="s">
        <v>1143</v>
      </c>
      <c r="B15" s="18" t="s">
        <v>552</v>
      </c>
      <c r="C15" s="18"/>
      <c r="D15" s="18"/>
      <c r="E15" s="18" t="s">
        <v>551</v>
      </c>
      <c r="F15" s="18" t="s">
        <v>707</v>
      </c>
      <c r="G15" s="18" t="s">
        <v>2904</v>
      </c>
      <c r="H15" s="18">
        <v>-129.41900000000001</v>
      </c>
      <c r="I15" s="18">
        <v>55.421999999999997</v>
      </c>
      <c r="J15" s="18" t="s">
        <v>2576</v>
      </c>
      <c r="K15" s="18"/>
      <c r="L15" s="18" t="s">
        <v>2575</v>
      </c>
      <c r="M15" s="18" t="s">
        <v>374</v>
      </c>
      <c r="N15" s="18" t="s">
        <v>1115</v>
      </c>
      <c r="O15" s="18" t="s">
        <v>1116</v>
      </c>
      <c r="P15" s="18" t="s">
        <v>375</v>
      </c>
      <c r="Q15" s="18"/>
      <c r="R15" s="18"/>
      <c r="S15" s="18" t="s">
        <v>1869</v>
      </c>
      <c r="T15" s="18" t="s">
        <v>553</v>
      </c>
      <c r="U15" s="18" t="s">
        <v>2902</v>
      </c>
    </row>
    <row r="16" spans="1:21" x14ac:dyDescent="0.25">
      <c r="A16" t="s">
        <v>1137</v>
      </c>
      <c r="B16" t="s">
        <v>262</v>
      </c>
      <c r="E16" t="s">
        <v>261</v>
      </c>
      <c r="F16" t="s">
        <v>261</v>
      </c>
      <c r="G16" t="s">
        <v>1948</v>
      </c>
      <c r="H16">
        <v>-68.149100000000004</v>
      </c>
      <c r="I16">
        <v>49.2562</v>
      </c>
      <c r="J16" t="s">
        <v>2569</v>
      </c>
      <c r="L16" t="s">
        <v>2539</v>
      </c>
      <c r="M16" t="s">
        <v>10</v>
      </c>
      <c r="P16" t="s">
        <v>233</v>
      </c>
      <c r="Q16" t="s">
        <v>249</v>
      </c>
      <c r="R16" t="s">
        <v>376</v>
      </c>
      <c r="S16" t="s">
        <v>248</v>
      </c>
      <c r="T16" t="s">
        <v>248</v>
      </c>
      <c r="U16" t="s">
        <v>2903</v>
      </c>
    </row>
    <row r="17" spans="1:21" x14ac:dyDescent="0.25">
      <c r="A17" s="18" t="s">
        <v>1209</v>
      </c>
      <c r="B17" s="18" t="s">
        <v>497</v>
      </c>
      <c r="C17" s="18"/>
      <c r="D17" s="18"/>
      <c r="E17" s="18" t="s">
        <v>496</v>
      </c>
      <c r="F17" s="18" t="s">
        <v>496</v>
      </c>
      <c r="G17" s="18" t="s">
        <v>2061</v>
      </c>
      <c r="H17" s="18">
        <v>-113.93655</v>
      </c>
      <c r="I17" s="18">
        <v>51.776960000000003</v>
      </c>
      <c r="J17" s="18" t="s">
        <v>2644</v>
      </c>
      <c r="K17" s="18"/>
      <c r="L17" s="18" t="s">
        <v>2577</v>
      </c>
      <c r="M17" s="18" t="s">
        <v>374</v>
      </c>
      <c r="N17" s="18" t="s">
        <v>1115</v>
      </c>
      <c r="O17" s="18" t="s">
        <v>1118</v>
      </c>
      <c r="P17" s="18" t="s">
        <v>375</v>
      </c>
      <c r="Q17" s="18"/>
      <c r="R17" s="18"/>
      <c r="S17" s="18" t="s">
        <v>498</v>
      </c>
      <c r="T17" s="18" t="s">
        <v>498</v>
      </c>
      <c r="U17" s="18" t="s">
        <v>2902</v>
      </c>
    </row>
    <row r="18" spans="1:21" x14ac:dyDescent="0.25">
      <c r="A18" s="18" t="s">
        <v>1300</v>
      </c>
      <c r="B18" s="18" t="s">
        <v>547</v>
      </c>
      <c r="C18" s="18"/>
      <c r="D18" s="18"/>
      <c r="E18" s="18" t="s">
        <v>546</v>
      </c>
      <c r="F18" s="18" t="s">
        <v>869</v>
      </c>
      <c r="G18" s="18" t="s">
        <v>2121</v>
      </c>
      <c r="H18" s="18">
        <v>-67.625470000000007</v>
      </c>
      <c r="I18" s="18">
        <v>46.22531</v>
      </c>
      <c r="J18" s="18" t="s">
        <v>2743</v>
      </c>
      <c r="K18" s="18"/>
      <c r="L18" s="18" t="s">
        <v>2605</v>
      </c>
      <c r="M18" s="18" t="s">
        <v>374</v>
      </c>
      <c r="N18" s="18" t="s">
        <v>1115</v>
      </c>
      <c r="O18" s="18" t="s">
        <v>1116</v>
      </c>
      <c r="P18" s="18" t="s">
        <v>375</v>
      </c>
      <c r="Q18" s="18"/>
      <c r="R18" s="18"/>
      <c r="S18" s="18" t="s">
        <v>542</v>
      </c>
      <c r="T18" s="18" t="s">
        <v>548</v>
      </c>
      <c r="U18" s="18" t="s">
        <v>2902</v>
      </c>
    </row>
    <row r="19" spans="1:21" s="18" customFormat="1" x14ac:dyDescent="0.25">
      <c r="A19" s="18" t="s">
        <v>1211</v>
      </c>
      <c r="B19" s="18" t="s">
        <v>387</v>
      </c>
      <c r="E19" s="18" t="s">
        <v>386</v>
      </c>
      <c r="F19" s="18" t="s">
        <v>386</v>
      </c>
      <c r="G19" s="18" t="s">
        <v>2064</v>
      </c>
      <c r="H19" s="18">
        <v>-79.622290000000007</v>
      </c>
      <c r="I19" s="18">
        <v>47.406350000000003</v>
      </c>
      <c r="J19" s="18" t="s">
        <v>2646</v>
      </c>
      <c r="L19" s="18" t="s">
        <v>2551</v>
      </c>
      <c r="M19" s="18" t="s">
        <v>374</v>
      </c>
      <c r="N19" s="18" t="s">
        <v>1115</v>
      </c>
      <c r="O19" s="18" t="s">
        <v>1117</v>
      </c>
      <c r="P19" s="18" t="s">
        <v>375</v>
      </c>
      <c r="S19" s="18" t="s">
        <v>1765</v>
      </c>
      <c r="T19" s="18" t="s">
        <v>388</v>
      </c>
      <c r="U19" s="18" t="s">
        <v>2902</v>
      </c>
    </row>
    <row r="20" spans="1:21" x14ac:dyDescent="0.25">
      <c r="A20" t="s">
        <v>1167</v>
      </c>
      <c r="B20" t="s">
        <v>264</v>
      </c>
      <c r="E20" t="s">
        <v>263</v>
      </c>
      <c r="F20" t="s">
        <v>27</v>
      </c>
      <c r="G20" t="s">
        <v>2037</v>
      </c>
      <c r="H20">
        <v>-115.210061</v>
      </c>
      <c r="I20">
        <v>51.060021999999996</v>
      </c>
      <c r="J20" t="s">
        <v>2598</v>
      </c>
      <c r="L20" t="s">
        <v>2577</v>
      </c>
      <c r="M20" t="s">
        <v>10</v>
      </c>
      <c r="P20" t="s">
        <v>233</v>
      </c>
      <c r="Q20" t="s">
        <v>266</v>
      </c>
      <c r="R20" t="s">
        <v>2597</v>
      </c>
      <c r="S20" t="s">
        <v>265</v>
      </c>
      <c r="T20" t="s">
        <v>265</v>
      </c>
      <c r="U20" t="s">
        <v>2903</v>
      </c>
    </row>
    <row r="21" spans="1:21" x14ac:dyDescent="0.25">
      <c r="A21" t="s">
        <v>1193</v>
      </c>
      <c r="B21" t="s">
        <v>206</v>
      </c>
      <c r="E21" t="s">
        <v>205</v>
      </c>
      <c r="F21" t="s">
        <v>707</v>
      </c>
      <c r="G21" t="s">
        <v>2904</v>
      </c>
      <c r="H21">
        <v>-55.195999999999998</v>
      </c>
      <c r="I21">
        <v>48.715909000000003</v>
      </c>
      <c r="J21" t="s">
        <v>2630</v>
      </c>
      <c r="K21" t="s">
        <v>2629</v>
      </c>
      <c r="L21" t="s">
        <v>2601</v>
      </c>
      <c r="M21" t="s">
        <v>10</v>
      </c>
      <c r="P21" t="s">
        <v>11</v>
      </c>
      <c r="Q21" t="s">
        <v>13</v>
      </c>
      <c r="R21" t="s">
        <v>1876</v>
      </c>
      <c r="S21" t="s">
        <v>207</v>
      </c>
      <c r="T21" t="s">
        <v>207</v>
      </c>
      <c r="U21" t="s">
        <v>2903</v>
      </c>
    </row>
    <row r="22" spans="1:21" s="18" customFormat="1" x14ac:dyDescent="0.25">
      <c r="A22" t="s">
        <v>1140</v>
      </c>
      <c r="B22" t="s">
        <v>268</v>
      </c>
      <c r="C22"/>
      <c r="D22"/>
      <c r="E22" t="s">
        <v>267</v>
      </c>
      <c r="F22" t="s">
        <v>740</v>
      </c>
      <c r="G22" t="s">
        <v>2022</v>
      </c>
      <c r="H22">
        <v>-72.385199999999998</v>
      </c>
      <c r="I22">
        <v>46.381</v>
      </c>
      <c r="J22" t="s">
        <v>2572</v>
      </c>
      <c r="K22"/>
      <c r="L22" t="s">
        <v>2539</v>
      </c>
      <c r="M22" t="s">
        <v>10</v>
      </c>
      <c r="N22"/>
      <c r="O22"/>
      <c r="P22" t="s">
        <v>233</v>
      </c>
      <c r="Q22" t="s">
        <v>249</v>
      </c>
      <c r="R22" t="s">
        <v>376</v>
      </c>
      <c r="S22" t="s">
        <v>248</v>
      </c>
      <c r="T22" t="s">
        <v>248</v>
      </c>
      <c r="U22" t="s">
        <v>2903</v>
      </c>
    </row>
    <row r="23" spans="1:21" s="18" customFormat="1" x14ac:dyDescent="0.25">
      <c r="A23" s="18" t="s">
        <v>1214</v>
      </c>
      <c r="B23" s="18" t="s">
        <v>544</v>
      </c>
      <c r="E23" s="18" t="s">
        <v>543</v>
      </c>
      <c r="F23" s="18" t="s">
        <v>543</v>
      </c>
      <c r="G23" s="18" t="s">
        <v>2066</v>
      </c>
      <c r="H23" s="18">
        <v>-72.433334000000002</v>
      </c>
      <c r="I23" s="18">
        <v>46.333331999999999</v>
      </c>
      <c r="J23" s="18" t="s">
        <v>2648</v>
      </c>
      <c r="L23" s="18" t="s">
        <v>2539</v>
      </c>
      <c r="M23" s="18" t="s">
        <v>374</v>
      </c>
      <c r="N23" s="18" t="s">
        <v>1115</v>
      </c>
      <c r="O23" s="18" t="s">
        <v>1117</v>
      </c>
      <c r="P23" s="18" t="s">
        <v>375</v>
      </c>
      <c r="S23" s="18" t="s">
        <v>545</v>
      </c>
      <c r="T23" s="18" t="s">
        <v>545</v>
      </c>
      <c r="U23" s="18" t="s">
        <v>2902</v>
      </c>
    </row>
    <row r="24" spans="1:21" x14ac:dyDescent="0.25">
      <c r="A24" t="s">
        <v>1221</v>
      </c>
      <c r="B24" t="s">
        <v>270</v>
      </c>
      <c r="E24" t="s">
        <v>269</v>
      </c>
      <c r="F24" t="s">
        <v>269</v>
      </c>
      <c r="G24" t="s">
        <v>2070</v>
      </c>
      <c r="H24">
        <v>-72.39</v>
      </c>
      <c r="I24">
        <v>46.37</v>
      </c>
      <c r="J24" t="s">
        <v>2653</v>
      </c>
      <c r="L24" t="s">
        <v>2539</v>
      </c>
      <c r="M24" t="s">
        <v>10</v>
      </c>
      <c r="P24" t="s">
        <v>233</v>
      </c>
      <c r="R24" t="s">
        <v>2440</v>
      </c>
      <c r="S24" t="s">
        <v>2652</v>
      </c>
      <c r="T24" t="s">
        <v>271</v>
      </c>
      <c r="U24" t="s">
        <v>2903</v>
      </c>
    </row>
    <row r="25" spans="1:21" x14ac:dyDescent="0.25">
      <c r="A25" t="s">
        <v>1339</v>
      </c>
      <c r="B25" t="s">
        <v>47</v>
      </c>
      <c r="C25" t="s">
        <v>1536</v>
      </c>
      <c r="D25" t="s">
        <v>1751</v>
      </c>
      <c r="E25" t="s">
        <v>46</v>
      </c>
      <c r="F25" t="s">
        <v>756</v>
      </c>
      <c r="G25" t="s">
        <v>2148</v>
      </c>
      <c r="H25">
        <v>-81.177999999999997</v>
      </c>
      <c r="I25">
        <v>48.552999999999997</v>
      </c>
      <c r="J25" t="s">
        <v>2790</v>
      </c>
      <c r="K25" t="s">
        <v>2586</v>
      </c>
      <c r="L25" t="s">
        <v>2551</v>
      </c>
      <c r="M25" t="s">
        <v>10</v>
      </c>
      <c r="P25" t="s">
        <v>11</v>
      </c>
      <c r="Q25" t="s">
        <v>13</v>
      </c>
      <c r="R25" t="s">
        <v>2542</v>
      </c>
      <c r="S25" t="s">
        <v>16</v>
      </c>
      <c r="T25" t="s">
        <v>16</v>
      </c>
      <c r="U25" t="s">
        <v>2903</v>
      </c>
    </row>
    <row r="26" spans="1:21" x14ac:dyDescent="0.25">
      <c r="A26" s="18" t="s">
        <v>1388</v>
      </c>
      <c r="B26" s="18" t="s">
        <v>414</v>
      </c>
      <c r="C26" s="18"/>
      <c r="D26" s="18"/>
      <c r="E26" s="18" t="s">
        <v>413</v>
      </c>
      <c r="F26" s="18" t="s">
        <v>905</v>
      </c>
      <c r="G26" s="18" t="s">
        <v>2178</v>
      </c>
      <c r="H26" s="18">
        <v>-127.431</v>
      </c>
      <c r="I26" s="18">
        <v>53.802</v>
      </c>
      <c r="J26" s="18" t="s">
        <v>2839</v>
      </c>
      <c r="K26" s="18"/>
      <c r="L26" s="18" t="s">
        <v>2575</v>
      </c>
      <c r="M26" s="18" t="s">
        <v>374</v>
      </c>
      <c r="N26" s="18" t="s">
        <v>1115</v>
      </c>
      <c r="O26" s="18" t="s">
        <v>1116</v>
      </c>
      <c r="P26" s="18" t="s">
        <v>375</v>
      </c>
      <c r="Q26" s="18"/>
      <c r="R26" s="18"/>
      <c r="S26" s="18" t="s">
        <v>125</v>
      </c>
      <c r="T26" s="18" t="s">
        <v>415</v>
      </c>
      <c r="U26" s="18" t="s">
        <v>2902</v>
      </c>
    </row>
    <row r="27" spans="1:21" x14ac:dyDescent="0.25">
      <c r="A27" s="18" t="s">
        <v>1330</v>
      </c>
      <c r="B27" s="18" t="s">
        <v>470</v>
      </c>
      <c r="C27" s="18"/>
      <c r="D27" s="18"/>
      <c r="E27" s="18" t="s">
        <v>469</v>
      </c>
      <c r="F27" s="18" t="s">
        <v>469</v>
      </c>
      <c r="G27" s="18" t="s">
        <v>2139</v>
      </c>
      <c r="H27" s="18">
        <v>-78.059920000000005</v>
      </c>
      <c r="I27" s="18">
        <v>46.118139999999997</v>
      </c>
      <c r="J27" s="18" t="s">
        <v>2781</v>
      </c>
      <c r="K27" s="18"/>
      <c r="L27" s="18" t="s">
        <v>2551</v>
      </c>
      <c r="M27" s="18" t="s">
        <v>374</v>
      </c>
      <c r="N27" s="18" t="s">
        <v>1115</v>
      </c>
      <c r="O27" s="18" t="s">
        <v>1116</v>
      </c>
      <c r="P27" s="18" t="s">
        <v>375</v>
      </c>
      <c r="Q27" s="18"/>
      <c r="R27" s="18"/>
      <c r="S27" s="18" t="s">
        <v>468</v>
      </c>
      <c r="T27" s="18" t="s">
        <v>468</v>
      </c>
      <c r="U27" s="18" t="s">
        <v>2902</v>
      </c>
    </row>
    <row r="28" spans="1:21" x14ac:dyDescent="0.25">
      <c r="A28" s="18" t="s">
        <v>1383</v>
      </c>
      <c r="B28" s="18" t="s">
        <v>490</v>
      </c>
      <c r="C28" s="18"/>
      <c r="D28" s="18"/>
      <c r="E28" s="18" t="s">
        <v>489</v>
      </c>
      <c r="F28" s="18" t="s">
        <v>489</v>
      </c>
      <c r="G28" s="18" t="s">
        <v>2176</v>
      </c>
      <c r="H28" s="18">
        <v>-74.062112999999997</v>
      </c>
      <c r="I28" s="18">
        <v>49.800452999999997</v>
      </c>
      <c r="J28" s="18" t="s">
        <v>2836</v>
      </c>
      <c r="K28" s="18"/>
      <c r="L28" s="18" t="s">
        <v>2539</v>
      </c>
      <c r="M28" s="18" t="s">
        <v>374</v>
      </c>
      <c r="N28" s="18" t="s">
        <v>1115</v>
      </c>
      <c r="O28" s="18" t="s">
        <v>1116</v>
      </c>
      <c r="P28" s="18" t="s">
        <v>375</v>
      </c>
      <c r="Q28" s="18"/>
      <c r="R28" s="18"/>
      <c r="S28" s="18" t="s">
        <v>340</v>
      </c>
      <c r="T28" s="18" t="s">
        <v>491</v>
      </c>
      <c r="U28" s="18" t="s">
        <v>2902</v>
      </c>
    </row>
    <row r="29" spans="1:21" x14ac:dyDescent="0.25">
      <c r="A29" s="18" t="s">
        <v>1384</v>
      </c>
      <c r="B29" s="18" t="s">
        <v>492</v>
      </c>
      <c r="C29" s="18"/>
      <c r="D29" s="18"/>
      <c r="E29" s="18" t="s">
        <v>489</v>
      </c>
      <c r="F29" s="18" t="s">
        <v>489</v>
      </c>
      <c r="G29" s="18" t="s">
        <v>2176</v>
      </c>
      <c r="H29" s="18">
        <v>-70.854840999999993</v>
      </c>
      <c r="I29" s="18">
        <v>48.399647999999999</v>
      </c>
      <c r="J29" s="18" t="s">
        <v>2837</v>
      </c>
      <c r="K29" s="18"/>
      <c r="L29" s="18" t="s">
        <v>2539</v>
      </c>
      <c r="M29" s="18" t="s">
        <v>374</v>
      </c>
      <c r="N29" s="18" t="s">
        <v>1115</v>
      </c>
      <c r="O29" s="18" t="s">
        <v>1117</v>
      </c>
      <c r="P29" s="18" t="s">
        <v>375</v>
      </c>
      <c r="Q29" s="18"/>
      <c r="R29" s="18"/>
      <c r="S29" s="18" t="s">
        <v>340</v>
      </c>
      <c r="T29" s="18" t="s">
        <v>491</v>
      </c>
      <c r="U29" s="18" t="s">
        <v>2902</v>
      </c>
    </row>
    <row r="30" spans="1:21" x14ac:dyDescent="0.25">
      <c r="A30" t="s">
        <v>1179</v>
      </c>
      <c r="B30" t="s">
        <v>272</v>
      </c>
      <c r="E30" t="s">
        <v>208</v>
      </c>
      <c r="F30" t="s">
        <v>208</v>
      </c>
      <c r="G30" t="s">
        <v>1752</v>
      </c>
      <c r="H30">
        <v>-83.017246</v>
      </c>
      <c r="I30">
        <v>46.180895999999997</v>
      </c>
      <c r="J30" t="s">
        <v>2607</v>
      </c>
      <c r="L30" t="s">
        <v>2551</v>
      </c>
      <c r="M30" t="s">
        <v>10</v>
      </c>
      <c r="P30" t="s">
        <v>233</v>
      </c>
      <c r="Q30" t="s">
        <v>274</v>
      </c>
      <c r="R30" t="s">
        <v>210</v>
      </c>
      <c r="S30" t="s">
        <v>273</v>
      </c>
      <c r="T30" t="s">
        <v>273</v>
      </c>
      <c r="U30" t="s">
        <v>2903</v>
      </c>
    </row>
    <row r="31" spans="1:21" x14ac:dyDescent="0.25">
      <c r="A31" t="s">
        <v>1192</v>
      </c>
      <c r="B31" t="s">
        <v>162</v>
      </c>
      <c r="E31" t="s">
        <v>161</v>
      </c>
      <c r="F31" t="s">
        <v>795</v>
      </c>
      <c r="G31" t="s">
        <v>1993</v>
      </c>
      <c r="H31">
        <v>-67.28</v>
      </c>
      <c r="I31">
        <v>52.84</v>
      </c>
      <c r="J31" t="s">
        <v>2628</v>
      </c>
      <c r="K31" t="s">
        <v>2579</v>
      </c>
      <c r="L31" t="s">
        <v>2539</v>
      </c>
      <c r="M31" t="s">
        <v>10</v>
      </c>
      <c r="P31" t="s">
        <v>11</v>
      </c>
      <c r="Q31" t="s">
        <v>34</v>
      </c>
      <c r="R31" t="s">
        <v>340</v>
      </c>
      <c r="S31" t="s">
        <v>157</v>
      </c>
      <c r="T31" t="s">
        <v>157</v>
      </c>
      <c r="U31" t="s">
        <v>2903</v>
      </c>
    </row>
    <row r="32" spans="1:21" s="18" customFormat="1" x14ac:dyDescent="0.25">
      <c r="A32" s="18" t="s">
        <v>1293</v>
      </c>
      <c r="B32" s="18" t="s">
        <v>500</v>
      </c>
      <c r="E32" s="18" t="s">
        <v>499</v>
      </c>
      <c r="F32" s="18" t="s">
        <v>499</v>
      </c>
      <c r="G32" s="18" t="s">
        <v>2115</v>
      </c>
      <c r="H32" s="18">
        <v>-117.163427</v>
      </c>
      <c r="I32" s="18">
        <v>54.946792000000002</v>
      </c>
      <c r="J32" s="18" t="s">
        <v>2735</v>
      </c>
      <c r="L32" s="18" t="s">
        <v>2577</v>
      </c>
      <c r="M32" s="18" t="s">
        <v>374</v>
      </c>
      <c r="N32" s="18" t="s">
        <v>1115</v>
      </c>
      <c r="O32" s="18" t="s">
        <v>1118</v>
      </c>
      <c r="P32" s="18" t="s">
        <v>375</v>
      </c>
      <c r="S32" s="18" t="s">
        <v>498</v>
      </c>
      <c r="T32" s="18" t="s">
        <v>498</v>
      </c>
      <c r="U32" s="18" t="s">
        <v>2902</v>
      </c>
    </row>
    <row r="33" spans="1:21" x14ac:dyDescent="0.25">
      <c r="A33" t="s">
        <v>1320</v>
      </c>
      <c r="B33" t="s">
        <v>40</v>
      </c>
      <c r="C33" t="s">
        <v>1587</v>
      </c>
      <c r="D33" t="s">
        <v>1750</v>
      </c>
      <c r="E33" t="s">
        <v>39</v>
      </c>
      <c r="F33" t="s">
        <v>39</v>
      </c>
      <c r="G33" t="s">
        <v>2133</v>
      </c>
      <c r="H33">
        <v>-83.260981000000001</v>
      </c>
      <c r="I33">
        <v>47.871882999999997</v>
      </c>
      <c r="J33" t="s">
        <v>2762</v>
      </c>
      <c r="K33" t="s">
        <v>2761</v>
      </c>
      <c r="L33" t="s">
        <v>2551</v>
      </c>
      <c r="M33" t="s">
        <v>10</v>
      </c>
      <c r="P33" t="s">
        <v>11</v>
      </c>
      <c r="Q33" t="s">
        <v>17</v>
      </c>
      <c r="R33" t="s">
        <v>2542</v>
      </c>
      <c r="S33" t="s">
        <v>16</v>
      </c>
      <c r="T33" t="s">
        <v>16</v>
      </c>
      <c r="U33" t="s">
        <v>2903</v>
      </c>
    </row>
    <row r="34" spans="1:21" s="18" customFormat="1" x14ac:dyDescent="0.25">
      <c r="A34" t="s">
        <v>1161</v>
      </c>
      <c r="B34" t="s">
        <v>276</v>
      </c>
      <c r="C34"/>
      <c r="D34"/>
      <c r="E34" t="s">
        <v>275</v>
      </c>
      <c r="F34" t="s">
        <v>785</v>
      </c>
      <c r="G34" t="s">
        <v>2032</v>
      </c>
      <c r="H34">
        <v>-79.722125000000005</v>
      </c>
      <c r="I34">
        <v>43.691065999999999</v>
      </c>
      <c r="J34" t="s">
        <v>2590</v>
      </c>
      <c r="K34"/>
      <c r="L34" t="s">
        <v>2551</v>
      </c>
      <c r="M34" t="s">
        <v>10</v>
      </c>
      <c r="N34"/>
      <c r="O34"/>
      <c r="P34" t="s">
        <v>233</v>
      </c>
      <c r="Q34" t="s">
        <v>274</v>
      </c>
      <c r="R34" t="s">
        <v>2542</v>
      </c>
      <c r="S34" t="s">
        <v>16</v>
      </c>
      <c r="T34" t="s">
        <v>64</v>
      </c>
      <c r="U34" t="s">
        <v>2903</v>
      </c>
    </row>
    <row r="35" spans="1:21" s="18" customFormat="1" x14ac:dyDescent="0.25">
      <c r="A35" t="s">
        <v>1323</v>
      </c>
      <c r="B35" t="s">
        <v>77</v>
      </c>
      <c r="C35"/>
      <c r="D35"/>
      <c r="E35" t="s">
        <v>39</v>
      </c>
      <c r="F35" t="s">
        <v>39</v>
      </c>
      <c r="G35" t="s">
        <v>2133</v>
      </c>
      <c r="H35">
        <v>-130.21782999999999</v>
      </c>
      <c r="I35">
        <v>56.475540000000002</v>
      </c>
      <c r="J35" t="s">
        <v>2764</v>
      </c>
      <c r="K35" t="s">
        <v>2763</v>
      </c>
      <c r="L35" t="s">
        <v>2575</v>
      </c>
      <c r="M35" t="s">
        <v>10</v>
      </c>
      <c r="N35"/>
      <c r="O35"/>
      <c r="P35" t="s">
        <v>11</v>
      </c>
      <c r="Q35" t="s">
        <v>13</v>
      </c>
      <c r="R35" t="s">
        <v>2542</v>
      </c>
      <c r="S35" t="s">
        <v>16</v>
      </c>
      <c r="T35" t="s">
        <v>64</v>
      </c>
      <c r="U35" t="s">
        <v>2903</v>
      </c>
    </row>
    <row r="36" spans="1:21" x14ac:dyDescent="0.25">
      <c r="A36" s="18" t="s">
        <v>1171</v>
      </c>
      <c r="B36" s="18" t="s">
        <v>687</v>
      </c>
      <c r="C36" s="18"/>
      <c r="D36" s="18"/>
      <c r="E36" s="18" t="s">
        <v>686</v>
      </c>
      <c r="F36" s="18" t="s">
        <v>707</v>
      </c>
      <c r="G36" s="18" t="s">
        <v>2904</v>
      </c>
      <c r="H36" s="18">
        <v>-56.855964999999998</v>
      </c>
      <c r="I36" s="18">
        <v>48.829017999999998</v>
      </c>
      <c r="J36" s="18" t="s">
        <v>2602</v>
      </c>
      <c r="K36" s="18"/>
      <c r="L36" s="18" t="s">
        <v>2601</v>
      </c>
      <c r="M36" s="18" t="s">
        <v>374</v>
      </c>
      <c r="N36" s="18" t="s">
        <v>1115</v>
      </c>
      <c r="O36" s="18" t="s">
        <v>1116</v>
      </c>
      <c r="P36" s="18" t="s">
        <v>375</v>
      </c>
      <c r="Q36" s="18"/>
      <c r="R36" s="18"/>
      <c r="S36" s="18" t="s">
        <v>1551</v>
      </c>
      <c r="T36" s="18" t="s">
        <v>688</v>
      </c>
      <c r="U36" s="18" t="s">
        <v>2902</v>
      </c>
    </row>
    <row r="37" spans="1:21" x14ac:dyDescent="0.25">
      <c r="A37" s="18" t="s">
        <v>1335</v>
      </c>
      <c r="B37" s="18" t="s">
        <v>677</v>
      </c>
      <c r="C37" s="18"/>
      <c r="D37" s="18"/>
      <c r="E37" s="18" t="s">
        <v>676</v>
      </c>
      <c r="F37" s="18" t="s">
        <v>886</v>
      </c>
      <c r="G37" s="18" t="s">
        <v>2144</v>
      </c>
      <c r="H37" s="18">
        <v>-77.936644000000001</v>
      </c>
      <c r="I37" s="18">
        <v>49.773162999999997</v>
      </c>
      <c r="J37" s="18" t="s">
        <v>2786</v>
      </c>
      <c r="K37" s="18"/>
      <c r="L37" s="18" t="s">
        <v>2539</v>
      </c>
      <c r="M37" s="18" t="s">
        <v>374</v>
      </c>
      <c r="N37" s="18" t="s">
        <v>1115</v>
      </c>
      <c r="O37" s="18" t="s">
        <v>1116</v>
      </c>
      <c r="P37" s="18" t="s">
        <v>375</v>
      </c>
      <c r="Q37" s="18"/>
      <c r="R37" s="18"/>
      <c r="S37" s="18" t="s">
        <v>1551</v>
      </c>
      <c r="T37" s="18" t="s">
        <v>678</v>
      </c>
      <c r="U37" s="18" t="s">
        <v>2902</v>
      </c>
    </row>
    <row r="38" spans="1:21" x14ac:dyDescent="0.25">
      <c r="A38" t="s">
        <v>1243</v>
      </c>
      <c r="B38" t="s">
        <v>282</v>
      </c>
      <c r="E38" t="s">
        <v>281</v>
      </c>
      <c r="F38" t="s">
        <v>714</v>
      </c>
      <c r="G38" t="s">
        <v>2085</v>
      </c>
      <c r="H38">
        <v>-80.28</v>
      </c>
      <c r="I38">
        <v>43.37</v>
      </c>
      <c r="J38" t="s">
        <v>2675</v>
      </c>
      <c r="L38" t="s">
        <v>2551</v>
      </c>
      <c r="M38" t="s">
        <v>10</v>
      </c>
      <c r="P38" t="s">
        <v>233</v>
      </c>
      <c r="Q38" t="s">
        <v>255</v>
      </c>
      <c r="R38" t="s">
        <v>340</v>
      </c>
      <c r="S38" t="s">
        <v>244</v>
      </c>
      <c r="T38" t="s">
        <v>244</v>
      </c>
      <c r="U38" t="s">
        <v>2903</v>
      </c>
    </row>
    <row r="39" spans="1:21" s="18" customFormat="1" x14ac:dyDescent="0.25">
      <c r="A39" t="s">
        <v>1252</v>
      </c>
      <c r="B39" t="s">
        <v>283</v>
      </c>
      <c r="C39"/>
      <c r="D39"/>
      <c r="E39" t="s">
        <v>142</v>
      </c>
      <c r="F39" t="s">
        <v>715</v>
      </c>
      <c r="G39" t="s">
        <v>2086</v>
      </c>
      <c r="H39">
        <v>-74.097205000000002</v>
      </c>
      <c r="I39">
        <v>45.228312000000003</v>
      </c>
      <c r="J39" t="s">
        <v>2678</v>
      </c>
      <c r="K39"/>
      <c r="L39" t="s">
        <v>2539</v>
      </c>
      <c r="M39" t="s">
        <v>10</v>
      </c>
      <c r="N39"/>
      <c r="O39"/>
      <c r="P39" t="s">
        <v>233</v>
      </c>
      <c r="Q39" t="s">
        <v>274</v>
      </c>
      <c r="R39" t="s">
        <v>2597</v>
      </c>
      <c r="S39" t="s">
        <v>1551</v>
      </c>
      <c r="T39" t="s">
        <v>284</v>
      </c>
      <c r="U39" t="s">
        <v>2903</v>
      </c>
    </row>
    <row r="40" spans="1:21" s="18" customFormat="1" x14ac:dyDescent="0.25">
      <c r="A40" t="s">
        <v>1125</v>
      </c>
      <c r="B40" t="s">
        <v>65</v>
      </c>
      <c r="C40"/>
      <c r="D40"/>
      <c r="E40" t="s">
        <v>14</v>
      </c>
      <c r="F40" t="s">
        <v>14</v>
      </c>
      <c r="G40" t="s">
        <v>2016</v>
      </c>
      <c r="H40">
        <v>-78.130824000000004</v>
      </c>
      <c r="I40">
        <v>48.122222999999998</v>
      </c>
      <c r="J40" t="s">
        <v>2549</v>
      </c>
      <c r="K40" t="s">
        <v>2548</v>
      </c>
      <c r="L40" t="s">
        <v>2539</v>
      </c>
      <c r="M40" t="s">
        <v>10</v>
      </c>
      <c r="N40"/>
      <c r="O40"/>
      <c r="P40" t="s">
        <v>11</v>
      </c>
      <c r="Q40" t="s">
        <v>19</v>
      </c>
      <c r="R40" t="s">
        <v>2542</v>
      </c>
      <c r="S40" t="s">
        <v>16</v>
      </c>
      <c r="T40" t="s">
        <v>64</v>
      </c>
      <c r="U40" t="s">
        <v>2903</v>
      </c>
    </row>
    <row r="41" spans="1:21" x14ac:dyDescent="0.25">
      <c r="A41" s="18" t="s">
        <v>1258</v>
      </c>
      <c r="B41" s="18" t="s">
        <v>409</v>
      </c>
      <c r="C41" s="18"/>
      <c r="D41" s="18"/>
      <c r="E41" s="18" t="s">
        <v>408</v>
      </c>
      <c r="F41" s="18" t="s">
        <v>408</v>
      </c>
      <c r="G41" s="18" t="s">
        <v>2092</v>
      </c>
      <c r="H41" s="18">
        <v>-136.69999999999999</v>
      </c>
      <c r="I41" s="18">
        <v>62.33</v>
      </c>
      <c r="J41" s="18" t="s">
        <v>2695</v>
      </c>
      <c r="K41" s="18"/>
      <c r="L41" s="18" t="s">
        <v>2599</v>
      </c>
      <c r="M41" s="18" t="s">
        <v>374</v>
      </c>
      <c r="N41" s="18" t="s">
        <v>1115</v>
      </c>
      <c r="O41" s="18" t="s">
        <v>1116</v>
      </c>
      <c r="P41" s="18" t="s">
        <v>375</v>
      </c>
      <c r="Q41" s="18"/>
      <c r="R41" s="18"/>
      <c r="S41" s="18" t="s">
        <v>125</v>
      </c>
      <c r="T41" s="18" t="s">
        <v>410</v>
      </c>
      <c r="U41" s="18" t="s">
        <v>2902</v>
      </c>
    </row>
    <row r="42" spans="1:21" s="18" customFormat="1" x14ac:dyDescent="0.25">
      <c r="A42" t="s">
        <v>1282</v>
      </c>
      <c r="B42" t="s">
        <v>164</v>
      </c>
      <c r="C42"/>
      <c r="D42"/>
      <c r="E42" t="s">
        <v>163</v>
      </c>
      <c r="F42" t="s">
        <v>861</v>
      </c>
      <c r="G42" t="s">
        <v>2105</v>
      </c>
      <c r="H42">
        <v>-66.936774</v>
      </c>
      <c r="I42">
        <v>53.039755</v>
      </c>
      <c r="J42" t="s">
        <v>2726</v>
      </c>
      <c r="K42" t="s">
        <v>2725</v>
      </c>
      <c r="L42" t="s">
        <v>2601</v>
      </c>
      <c r="M42" t="s">
        <v>10</v>
      </c>
      <c r="N42"/>
      <c r="O42"/>
      <c r="P42" t="s">
        <v>11</v>
      </c>
      <c r="Q42" t="s">
        <v>19</v>
      </c>
      <c r="R42" t="s">
        <v>340</v>
      </c>
      <c r="S42" t="s">
        <v>157</v>
      </c>
      <c r="T42" t="s">
        <v>157</v>
      </c>
      <c r="U42" t="s">
        <v>2903</v>
      </c>
    </row>
    <row r="43" spans="1:21" x14ac:dyDescent="0.25">
      <c r="A43" t="s">
        <v>1263</v>
      </c>
      <c r="B43" t="s">
        <v>72</v>
      </c>
      <c r="E43" t="s">
        <v>8</v>
      </c>
      <c r="F43" t="s">
        <v>8</v>
      </c>
      <c r="G43" t="s">
        <v>1895</v>
      </c>
      <c r="H43">
        <v>-79.231307000000001</v>
      </c>
      <c r="I43">
        <v>49.571899999999999</v>
      </c>
      <c r="J43" t="s">
        <v>2701</v>
      </c>
      <c r="K43" t="s">
        <v>2700</v>
      </c>
      <c r="L43" t="s">
        <v>2539</v>
      </c>
      <c r="M43" t="s">
        <v>10</v>
      </c>
      <c r="P43" t="s">
        <v>11</v>
      </c>
      <c r="Q43" t="s">
        <v>23</v>
      </c>
      <c r="R43" t="s">
        <v>2542</v>
      </c>
      <c r="S43" t="s">
        <v>16</v>
      </c>
      <c r="T43" t="s">
        <v>64</v>
      </c>
      <c r="U43" t="s">
        <v>2903</v>
      </c>
    </row>
    <row r="44" spans="1:21" x14ac:dyDescent="0.25">
      <c r="A44" s="18" t="s">
        <v>1441</v>
      </c>
      <c r="B44" s="18" t="s">
        <v>396</v>
      </c>
      <c r="C44" s="18"/>
      <c r="D44" s="18"/>
      <c r="E44" s="18" t="s">
        <v>395</v>
      </c>
      <c r="F44" s="18" t="s">
        <v>395</v>
      </c>
      <c r="G44" s="18" t="s">
        <v>2205</v>
      </c>
      <c r="H44" s="18">
        <v>-138.83332999999999</v>
      </c>
      <c r="I44" s="18">
        <v>62.733330000000002</v>
      </c>
      <c r="J44" s="18" t="s">
        <v>2889</v>
      </c>
      <c r="K44" s="18"/>
      <c r="L44" s="18" t="s">
        <v>2599</v>
      </c>
      <c r="M44" s="18" t="s">
        <v>374</v>
      </c>
      <c r="N44" s="18" t="s">
        <v>1115</v>
      </c>
      <c r="O44" s="18" t="s">
        <v>1116</v>
      </c>
      <c r="P44" s="18" t="s">
        <v>375</v>
      </c>
      <c r="Q44" s="18"/>
      <c r="R44" s="18"/>
      <c r="S44" s="18" t="s">
        <v>125</v>
      </c>
      <c r="T44" s="18" t="s">
        <v>397</v>
      </c>
      <c r="U44" s="18" t="s">
        <v>2902</v>
      </c>
    </row>
    <row r="45" spans="1:21" x14ac:dyDescent="0.25">
      <c r="A45" t="s">
        <v>1250</v>
      </c>
      <c r="B45" t="s">
        <v>285</v>
      </c>
      <c r="C45" t="s">
        <v>285</v>
      </c>
      <c r="D45" t="s">
        <v>2908</v>
      </c>
      <c r="E45" t="s">
        <v>142</v>
      </c>
      <c r="F45" t="s">
        <v>715</v>
      </c>
      <c r="G45" t="s">
        <v>2086</v>
      </c>
      <c r="H45">
        <v>-73.511778000000007</v>
      </c>
      <c r="I45">
        <v>45.627518000000002</v>
      </c>
      <c r="J45" t="s">
        <v>2680</v>
      </c>
      <c r="L45" t="s">
        <v>2539</v>
      </c>
      <c r="M45" t="s">
        <v>10</v>
      </c>
      <c r="P45" t="s">
        <v>233</v>
      </c>
      <c r="Q45" t="s">
        <v>274</v>
      </c>
      <c r="R45" t="s">
        <v>2597</v>
      </c>
      <c r="S45" t="s">
        <v>2679</v>
      </c>
      <c r="T45" t="s">
        <v>286</v>
      </c>
      <c r="U45" t="s">
        <v>2903</v>
      </c>
    </row>
    <row r="46" spans="1:21" x14ac:dyDescent="0.25">
      <c r="A46" t="s">
        <v>1175</v>
      </c>
      <c r="B46" t="s">
        <v>209</v>
      </c>
      <c r="E46" t="s">
        <v>208</v>
      </c>
      <c r="F46" t="s">
        <v>208</v>
      </c>
      <c r="G46" t="s">
        <v>1752</v>
      </c>
      <c r="H46">
        <v>-104.54123</v>
      </c>
      <c r="I46">
        <v>58.068190000000001</v>
      </c>
      <c r="J46" t="s">
        <v>2609</v>
      </c>
      <c r="K46" t="s">
        <v>2608</v>
      </c>
      <c r="L46" t="s">
        <v>2588</v>
      </c>
      <c r="M46" t="s">
        <v>10</v>
      </c>
      <c r="P46" t="s">
        <v>11</v>
      </c>
      <c r="Q46" t="s">
        <v>44</v>
      </c>
      <c r="R46" t="s">
        <v>210</v>
      </c>
      <c r="S46" t="s">
        <v>210</v>
      </c>
      <c r="T46" t="s">
        <v>210</v>
      </c>
      <c r="U46" t="s">
        <v>2903</v>
      </c>
    </row>
    <row r="47" spans="1:21" x14ac:dyDescent="0.25">
      <c r="A47" t="s">
        <v>1420</v>
      </c>
      <c r="B47" t="s">
        <v>190</v>
      </c>
      <c r="C47" t="s">
        <v>2192</v>
      </c>
      <c r="D47" t="s">
        <v>2193</v>
      </c>
      <c r="E47" t="s">
        <v>178</v>
      </c>
      <c r="F47" t="s">
        <v>719</v>
      </c>
      <c r="G47" t="s">
        <v>2191</v>
      </c>
      <c r="H47">
        <v>-81.056781999999998</v>
      </c>
      <c r="I47">
        <v>46.495821999999997</v>
      </c>
      <c r="J47" t="s">
        <v>2863</v>
      </c>
      <c r="K47" t="s">
        <v>140</v>
      </c>
      <c r="L47" t="s">
        <v>2551</v>
      </c>
      <c r="M47" t="s">
        <v>10</v>
      </c>
      <c r="P47" t="s">
        <v>11</v>
      </c>
      <c r="Q47" t="s">
        <v>21</v>
      </c>
      <c r="R47" t="s">
        <v>2597</v>
      </c>
      <c r="S47" t="s">
        <v>557</v>
      </c>
      <c r="T47" t="s">
        <v>189</v>
      </c>
      <c r="U47" t="s">
        <v>2903</v>
      </c>
    </row>
    <row r="48" spans="1:21" s="18" customFormat="1" x14ac:dyDescent="0.25">
      <c r="A48" t="s">
        <v>1423</v>
      </c>
      <c r="B48" t="s">
        <v>191</v>
      </c>
      <c r="C48" t="s">
        <v>2192</v>
      </c>
      <c r="D48" t="s">
        <v>2193</v>
      </c>
      <c r="E48" t="s">
        <v>178</v>
      </c>
      <c r="F48" t="s">
        <v>719</v>
      </c>
      <c r="G48" t="s">
        <v>2191</v>
      </c>
      <c r="H48">
        <v>-81.339699999999993</v>
      </c>
      <c r="I48">
        <v>46.677100000000003</v>
      </c>
      <c r="J48" t="s">
        <v>2864</v>
      </c>
      <c r="K48" t="s">
        <v>140</v>
      </c>
      <c r="L48" t="s">
        <v>2551</v>
      </c>
      <c r="M48" t="s">
        <v>10</v>
      </c>
      <c r="N48"/>
      <c r="O48"/>
      <c r="P48" t="s">
        <v>11</v>
      </c>
      <c r="Q48" t="s">
        <v>44</v>
      </c>
      <c r="R48" t="s">
        <v>2597</v>
      </c>
      <c r="S48" t="s">
        <v>557</v>
      </c>
      <c r="T48" t="s">
        <v>189</v>
      </c>
      <c r="U48" t="s">
        <v>2903</v>
      </c>
    </row>
    <row r="49" spans="1:21" s="18" customFormat="1" x14ac:dyDescent="0.25">
      <c r="A49" t="s">
        <v>1155</v>
      </c>
      <c r="B49" t="s">
        <v>288</v>
      </c>
      <c r="C49" t="s">
        <v>2397</v>
      </c>
      <c r="D49" t="s">
        <v>2907</v>
      </c>
      <c r="E49" t="s">
        <v>287</v>
      </c>
      <c r="F49" t="s">
        <v>155</v>
      </c>
      <c r="G49" t="s">
        <v>2030</v>
      </c>
      <c r="H49">
        <v>-73.249081000000004</v>
      </c>
      <c r="I49">
        <v>45.837722999999997</v>
      </c>
      <c r="J49" t="s">
        <v>2582</v>
      </c>
      <c r="K49"/>
      <c r="L49" t="s">
        <v>2539</v>
      </c>
      <c r="M49" t="s">
        <v>10</v>
      </c>
      <c r="N49"/>
      <c r="O49"/>
      <c r="P49" t="s">
        <v>233</v>
      </c>
      <c r="Q49" t="s">
        <v>255</v>
      </c>
      <c r="R49" t="s">
        <v>340</v>
      </c>
      <c r="S49" t="s">
        <v>244</v>
      </c>
      <c r="T49" t="s">
        <v>244</v>
      </c>
      <c r="U49" t="s">
        <v>2903</v>
      </c>
    </row>
    <row r="50" spans="1:21" s="18" customFormat="1" x14ac:dyDescent="0.25">
      <c r="A50" t="s">
        <v>1156</v>
      </c>
      <c r="B50" t="s">
        <v>289</v>
      </c>
      <c r="C50" t="s">
        <v>2397</v>
      </c>
      <c r="D50" t="s">
        <v>2907</v>
      </c>
      <c r="E50" t="s">
        <v>287</v>
      </c>
      <c r="F50" t="s">
        <v>155</v>
      </c>
      <c r="G50" t="s">
        <v>2030</v>
      </c>
      <c r="H50">
        <v>-73.263267999999997</v>
      </c>
      <c r="I50">
        <v>45.819938</v>
      </c>
      <c r="J50" t="s">
        <v>2583</v>
      </c>
      <c r="K50"/>
      <c r="L50" t="s">
        <v>2539</v>
      </c>
      <c r="M50" t="s">
        <v>10</v>
      </c>
      <c r="N50"/>
      <c r="O50"/>
      <c r="P50" t="s">
        <v>233</v>
      </c>
      <c r="Q50" t="s">
        <v>255</v>
      </c>
      <c r="R50" t="s">
        <v>340</v>
      </c>
      <c r="S50" t="s">
        <v>244</v>
      </c>
      <c r="T50" t="s">
        <v>244</v>
      </c>
      <c r="U50" t="s">
        <v>2903</v>
      </c>
    </row>
    <row r="51" spans="1:21" s="18" customFormat="1" x14ac:dyDescent="0.25">
      <c r="A51" t="s">
        <v>1421</v>
      </c>
      <c r="B51" t="s">
        <v>192</v>
      </c>
      <c r="C51" t="s">
        <v>2192</v>
      </c>
      <c r="D51" t="s">
        <v>2193</v>
      </c>
      <c r="E51" t="s">
        <v>178</v>
      </c>
      <c r="F51" t="s">
        <v>719</v>
      </c>
      <c r="G51" t="s">
        <v>2191</v>
      </c>
      <c r="H51">
        <v>-81.068205000000006</v>
      </c>
      <c r="I51">
        <v>46.491444999999999</v>
      </c>
      <c r="J51" t="s">
        <v>2865</v>
      </c>
      <c r="K51" t="s">
        <v>140</v>
      </c>
      <c r="L51" t="s">
        <v>2551</v>
      </c>
      <c r="M51" t="s">
        <v>10</v>
      </c>
      <c r="N51"/>
      <c r="O51"/>
      <c r="P51" t="s">
        <v>11</v>
      </c>
      <c r="Q51" t="s">
        <v>44</v>
      </c>
      <c r="R51" t="s">
        <v>2597</v>
      </c>
      <c r="S51" t="s">
        <v>557</v>
      </c>
      <c r="T51" t="s">
        <v>189</v>
      </c>
      <c r="U51" t="s">
        <v>2903</v>
      </c>
    </row>
    <row r="52" spans="1:21" s="18" customFormat="1" x14ac:dyDescent="0.25">
      <c r="A52" t="s">
        <v>1427</v>
      </c>
      <c r="B52" t="s">
        <v>192</v>
      </c>
      <c r="C52" t="s">
        <v>2192</v>
      </c>
      <c r="D52" t="s">
        <v>2193</v>
      </c>
      <c r="E52" t="s">
        <v>178</v>
      </c>
      <c r="F52" t="s">
        <v>719</v>
      </c>
      <c r="G52" t="s">
        <v>2191</v>
      </c>
      <c r="H52">
        <v>-81.056899999999999</v>
      </c>
      <c r="I52">
        <v>46.4801</v>
      </c>
      <c r="J52" t="s">
        <v>2867</v>
      </c>
      <c r="K52"/>
      <c r="L52" t="s">
        <v>2551</v>
      </c>
      <c r="M52" t="s">
        <v>10</v>
      </c>
      <c r="N52"/>
      <c r="O52"/>
      <c r="P52" t="s">
        <v>233</v>
      </c>
      <c r="Q52" t="s">
        <v>292</v>
      </c>
      <c r="R52" t="s">
        <v>2597</v>
      </c>
      <c r="S52" t="s">
        <v>2866</v>
      </c>
      <c r="T52" t="s">
        <v>291</v>
      </c>
      <c r="U52" t="s">
        <v>2903</v>
      </c>
    </row>
    <row r="53" spans="1:21" x14ac:dyDescent="0.25">
      <c r="A53" t="s">
        <v>1270</v>
      </c>
      <c r="B53" t="s">
        <v>132</v>
      </c>
      <c r="E53" t="s">
        <v>79</v>
      </c>
      <c r="F53" t="s">
        <v>717</v>
      </c>
      <c r="G53" t="s">
        <v>1848</v>
      </c>
      <c r="H53">
        <v>-120.533</v>
      </c>
      <c r="I53">
        <v>49.331000000000003</v>
      </c>
      <c r="J53" t="s">
        <v>2709</v>
      </c>
      <c r="K53" t="s">
        <v>2708</v>
      </c>
      <c r="L53" t="s">
        <v>2575</v>
      </c>
      <c r="M53" t="s">
        <v>10</v>
      </c>
      <c r="P53" t="s">
        <v>11</v>
      </c>
      <c r="Q53" t="s">
        <v>19</v>
      </c>
      <c r="R53" t="s">
        <v>2597</v>
      </c>
      <c r="S53" t="s">
        <v>125</v>
      </c>
      <c r="T53" t="s">
        <v>130</v>
      </c>
      <c r="U53" t="s">
        <v>2903</v>
      </c>
    </row>
    <row r="54" spans="1:21" s="18" customFormat="1" x14ac:dyDescent="0.25">
      <c r="A54" s="18" t="s">
        <v>1279</v>
      </c>
      <c r="B54" s="18" t="s">
        <v>651</v>
      </c>
      <c r="E54" s="18" t="s">
        <v>650</v>
      </c>
      <c r="F54" s="18" t="s">
        <v>650</v>
      </c>
      <c r="G54" s="18" t="s">
        <v>2104</v>
      </c>
      <c r="H54" s="18">
        <v>-63.899099999999997</v>
      </c>
      <c r="I54" s="18">
        <v>55.350250000000003</v>
      </c>
      <c r="J54" s="18" t="s">
        <v>2724</v>
      </c>
      <c r="L54" s="18" t="s">
        <v>2539</v>
      </c>
      <c r="M54" s="18" t="s">
        <v>374</v>
      </c>
      <c r="N54" s="18" t="s">
        <v>1115</v>
      </c>
      <c r="O54" s="18" t="s">
        <v>1116</v>
      </c>
      <c r="P54" s="18" t="s">
        <v>375</v>
      </c>
      <c r="S54" s="18" t="s">
        <v>649</v>
      </c>
      <c r="T54" s="18" t="s">
        <v>652</v>
      </c>
      <c r="U54" s="18" t="s">
        <v>2902</v>
      </c>
    </row>
    <row r="55" spans="1:21" s="18" customFormat="1" x14ac:dyDescent="0.25">
      <c r="A55" s="18" t="s">
        <v>1180</v>
      </c>
      <c r="B55" s="18" t="s">
        <v>593</v>
      </c>
      <c r="E55" s="18" t="s">
        <v>592</v>
      </c>
      <c r="F55" s="18" t="s">
        <v>707</v>
      </c>
      <c r="G55" s="18" t="s">
        <v>2904</v>
      </c>
      <c r="H55" s="18">
        <v>-81.373090000000005</v>
      </c>
      <c r="I55" s="18">
        <v>48.83972</v>
      </c>
      <c r="J55" s="18" t="s">
        <v>2616</v>
      </c>
      <c r="L55" s="18" t="s">
        <v>2551</v>
      </c>
      <c r="M55" s="18" t="s">
        <v>374</v>
      </c>
      <c r="N55" s="18" t="s">
        <v>1115</v>
      </c>
      <c r="O55" s="18" t="s">
        <v>1116</v>
      </c>
      <c r="P55" s="18" t="s">
        <v>375</v>
      </c>
      <c r="S55" s="18" t="s">
        <v>557</v>
      </c>
      <c r="T55" s="18" t="s">
        <v>594</v>
      </c>
      <c r="U55" s="18" t="s">
        <v>2902</v>
      </c>
    </row>
    <row r="56" spans="1:21" x14ac:dyDescent="0.25">
      <c r="A56" s="18" t="s">
        <v>1295</v>
      </c>
      <c r="B56" s="18" t="s">
        <v>572</v>
      </c>
      <c r="C56" s="18"/>
      <c r="D56" s="18"/>
      <c r="E56" s="18" t="s">
        <v>571</v>
      </c>
      <c r="F56" s="18" t="s">
        <v>867</v>
      </c>
      <c r="G56" s="18" t="s">
        <v>2117</v>
      </c>
      <c r="H56" s="18">
        <v>-81.361670000000004</v>
      </c>
      <c r="I56" s="18">
        <v>46.424720000000001</v>
      </c>
      <c r="J56" s="18" t="s">
        <v>2737</v>
      </c>
      <c r="K56" s="18"/>
      <c r="L56" s="18" t="s">
        <v>2551</v>
      </c>
      <c r="M56" s="18" t="s">
        <v>374</v>
      </c>
      <c r="N56" s="18" t="s">
        <v>1115</v>
      </c>
      <c r="O56" s="18" t="s">
        <v>1116</v>
      </c>
      <c r="P56" s="18" t="s">
        <v>375</v>
      </c>
      <c r="Q56" s="18"/>
      <c r="R56" s="18"/>
      <c r="S56" s="18" t="s">
        <v>557</v>
      </c>
      <c r="T56" s="18" t="s">
        <v>573</v>
      </c>
      <c r="U56" s="18" t="s">
        <v>2902</v>
      </c>
    </row>
    <row r="57" spans="1:21" x14ac:dyDescent="0.25">
      <c r="A57" t="s">
        <v>1422</v>
      </c>
      <c r="B57" t="s">
        <v>193</v>
      </c>
      <c r="C57" t="s">
        <v>2192</v>
      </c>
      <c r="D57" t="s">
        <v>2193</v>
      </c>
      <c r="E57" t="s">
        <v>178</v>
      </c>
      <c r="F57" t="s">
        <v>719</v>
      </c>
      <c r="G57" t="s">
        <v>2191</v>
      </c>
      <c r="H57">
        <v>-81.186099999999996</v>
      </c>
      <c r="I57">
        <v>46.473999999999997</v>
      </c>
      <c r="J57" t="s">
        <v>2868</v>
      </c>
      <c r="K57" t="s">
        <v>140</v>
      </c>
      <c r="L57" t="s">
        <v>2551</v>
      </c>
      <c r="M57" t="s">
        <v>10</v>
      </c>
      <c r="P57" t="s">
        <v>11</v>
      </c>
      <c r="Q57" t="s">
        <v>44</v>
      </c>
      <c r="R57" t="s">
        <v>2597</v>
      </c>
      <c r="S57" t="s">
        <v>557</v>
      </c>
      <c r="T57" t="s">
        <v>189</v>
      </c>
      <c r="U57" t="s">
        <v>2903</v>
      </c>
    </row>
    <row r="58" spans="1:21" x14ac:dyDescent="0.25">
      <c r="A58" s="18" t="s">
        <v>1328</v>
      </c>
      <c r="B58" s="18" t="s">
        <v>597</v>
      </c>
      <c r="C58" s="18"/>
      <c r="D58" s="18"/>
      <c r="E58" s="18" t="s">
        <v>596</v>
      </c>
      <c r="F58" s="18" t="s">
        <v>880</v>
      </c>
      <c r="G58" s="18" t="s">
        <v>2137</v>
      </c>
      <c r="H58" s="18">
        <v>-72.764399999999995</v>
      </c>
      <c r="I58" s="18">
        <v>49.460030000000003</v>
      </c>
      <c r="J58" s="18" t="s">
        <v>2779</v>
      </c>
      <c r="K58" s="18"/>
      <c r="L58" s="18" t="s">
        <v>2539</v>
      </c>
      <c r="M58" s="18" t="s">
        <v>374</v>
      </c>
      <c r="N58" s="18" t="s">
        <v>1115</v>
      </c>
      <c r="O58" s="18" t="s">
        <v>1116</v>
      </c>
      <c r="P58" s="18" t="s">
        <v>375</v>
      </c>
      <c r="Q58" s="18"/>
      <c r="R58" s="18"/>
      <c r="S58" s="18" t="s">
        <v>177</v>
      </c>
      <c r="T58" s="18" t="s">
        <v>598</v>
      </c>
      <c r="U58" s="18" t="s">
        <v>2902</v>
      </c>
    </row>
    <row r="59" spans="1:21" s="18" customFormat="1" x14ac:dyDescent="0.25">
      <c r="A59" s="18" t="s">
        <v>1235</v>
      </c>
      <c r="B59" s="18" t="s">
        <v>559</v>
      </c>
      <c r="E59" s="18" t="s">
        <v>558</v>
      </c>
      <c r="F59" s="18" t="s">
        <v>850</v>
      </c>
      <c r="G59" s="18" t="s">
        <v>2081</v>
      </c>
      <c r="H59" s="18">
        <v>-125.359691</v>
      </c>
      <c r="I59" s="18">
        <v>54.894513000000003</v>
      </c>
      <c r="J59" s="18" t="s">
        <v>2669</v>
      </c>
      <c r="L59" s="18" t="s">
        <v>2575</v>
      </c>
      <c r="M59" s="18" t="s">
        <v>374</v>
      </c>
      <c r="N59" s="18" t="s">
        <v>1115</v>
      </c>
      <c r="O59" s="18" t="s">
        <v>1116</v>
      </c>
      <c r="P59" s="18" t="s">
        <v>375</v>
      </c>
      <c r="S59" s="18" t="s">
        <v>557</v>
      </c>
      <c r="T59" s="18" t="s">
        <v>560</v>
      </c>
      <c r="U59" s="18" t="s">
        <v>2902</v>
      </c>
    </row>
    <row r="60" spans="1:21" s="18" customFormat="1" x14ac:dyDescent="0.25">
      <c r="A60" s="18" t="s">
        <v>1227</v>
      </c>
      <c r="B60" s="18" t="s">
        <v>459</v>
      </c>
      <c r="E60" s="18" t="s">
        <v>458</v>
      </c>
      <c r="F60" s="18" t="s">
        <v>845</v>
      </c>
      <c r="G60" s="18" t="s">
        <v>2074</v>
      </c>
      <c r="H60" s="18">
        <v>-127.30826</v>
      </c>
      <c r="I60" s="18">
        <v>53.360700000000001</v>
      </c>
      <c r="J60" s="18" t="s">
        <v>2660</v>
      </c>
      <c r="L60" s="18" t="s">
        <v>2575</v>
      </c>
      <c r="M60" s="18" t="s">
        <v>374</v>
      </c>
      <c r="N60" s="18" t="s">
        <v>1115</v>
      </c>
      <c r="O60" s="18" t="s">
        <v>1116</v>
      </c>
      <c r="P60" s="18" t="s">
        <v>375</v>
      </c>
      <c r="S60" s="18" t="s">
        <v>16</v>
      </c>
      <c r="T60" s="18" t="s">
        <v>460</v>
      </c>
      <c r="U60" s="18" t="s">
        <v>2902</v>
      </c>
    </row>
    <row r="61" spans="1:21" s="18" customFormat="1" x14ac:dyDescent="0.25">
      <c r="A61" t="s">
        <v>1138</v>
      </c>
      <c r="B61" t="s">
        <v>293</v>
      </c>
      <c r="C61"/>
      <c r="D61"/>
      <c r="E61" t="s">
        <v>261</v>
      </c>
      <c r="F61" t="s">
        <v>261</v>
      </c>
      <c r="G61" t="s">
        <v>1948</v>
      </c>
      <c r="H61">
        <v>-71.946700000000007</v>
      </c>
      <c r="I61">
        <v>46.693899999999999</v>
      </c>
      <c r="J61" t="s">
        <v>2570</v>
      </c>
      <c r="K61"/>
      <c r="L61" t="s">
        <v>2539</v>
      </c>
      <c r="M61" t="s">
        <v>10</v>
      </c>
      <c r="N61"/>
      <c r="O61"/>
      <c r="P61" t="s">
        <v>233</v>
      </c>
      <c r="Q61" t="s">
        <v>249</v>
      </c>
      <c r="R61" t="s">
        <v>376</v>
      </c>
      <c r="S61" t="s">
        <v>252</v>
      </c>
      <c r="T61" t="s">
        <v>252</v>
      </c>
      <c r="U61" t="s">
        <v>2903</v>
      </c>
    </row>
    <row r="62" spans="1:21" s="18" customFormat="1" x14ac:dyDescent="0.25">
      <c r="A62" t="s">
        <v>1127</v>
      </c>
      <c r="B62" t="s">
        <v>18</v>
      </c>
      <c r="C62"/>
      <c r="D62"/>
      <c r="E62" t="s">
        <v>14</v>
      </c>
      <c r="F62" t="s">
        <v>14</v>
      </c>
      <c r="G62" t="s">
        <v>2016</v>
      </c>
      <c r="H62">
        <v>-79.717630999999997</v>
      </c>
      <c r="I62">
        <v>50.018143000000002</v>
      </c>
      <c r="J62" t="s">
        <v>2552</v>
      </c>
      <c r="K62" t="s">
        <v>2550</v>
      </c>
      <c r="L62" t="s">
        <v>2551</v>
      </c>
      <c r="M62" t="s">
        <v>10</v>
      </c>
      <c r="N62"/>
      <c r="O62"/>
      <c r="P62" t="s">
        <v>11</v>
      </c>
      <c r="Q62" t="s">
        <v>19</v>
      </c>
      <c r="R62" t="s">
        <v>2542</v>
      </c>
      <c r="S62" t="s">
        <v>16</v>
      </c>
      <c r="T62" t="s">
        <v>16</v>
      </c>
      <c r="U62" t="s">
        <v>2903</v>
      </c>
    </row>
    <row r="63" spans="1:21" s="18" customFormat="1" x14ac:dyDescent="0.25">
      <c r="A63" t="s">
        <v>1354</v>
      </c>
      <c r="B63" t="s">
        <v>152</v>
      </c>
      <c r="C63"/>
      <c r="D63"/>
      <c r="E63" t="s">
        <v>151</v>
      </c>
      <c r="F63" t="s">
        <v>718</v>
      </c>
      <c r="G63" t="s">
        <v>2149</v>
      </c>
      <c r="H63">
        <v>-110.27200000000001</v>
      </c>
      <c r="I63">
        <v>64.495000000000005</v>
      </c>
      <c r="J63" t="s">
        <v>2799</v>
      </c>
      <c r="K63" t="s">
        <v>2603</v>
      </c>
      <c r="L63" t="s">
        <v>2591</v>
      </c>
      <c r="M63" t="s">
        <v>10</v>
      </c>
      <c r="N63"/>
      <c r="O63"/>
      <c r="P63" t="s">
        <v>11</v>
      </c>
      <c r="Q63" t="s">
        <v>148</v>
      </c>
      <c r="R63" t="s">
        <v>147</v>
      </c>
      <c r="S63" t="s">
        <v>147</v>
      </c>
      <c r="T63" t="s">
        <v>147</v>
      </c>
      <c r="U63" t="s">
        <v>2903</v>
      </c>
    </row>
    <row r="64" spans="1:21" s="18" customFormat="1" x14ac:dyDescent="0.25">
      <c r="A64" s="18" t="s">
        <v>1307</v>
      </c>
      <c r="B64" s="18" t="s">
        <v>538</v>
      </c>
      <c r="E64" s="18" t="s">
        <v>537</v>
      </c>
      <c r="F64" s="18" t="s">
        <v>875</v>
      </c>
      <c r="G64" s="18" t="s">
        <v>2127</v>
      </c>
      <c r="H64" s="18">
        <v>-116.575</v>
      </c>
      <c r="I64" s="18">
        <v>50.904000000000003</v>
      </c>
      <c r="J64" s="18" t="s">
        <v>2750</v>
      </c>
      <c r="L64" s="18" t="s">
        <v>2575</v>
      </c>
      <c r="M64" s="18" t="s">
        <v>374</v>
      </c>
      <c r="N64" s="18" t="s">
        <v>1115</v>
      </c>
      <c r="O64" s="18" t="s">
        <v>1116</v>
      </c>
      <c r="P64" s="18" t="s">
        <v>375</v>
      </c>
      <c r="S64" s="18" t="s">
        <v>536</v>
      </c>
      <c r="T64" s="18" t="s">
        <v>536</v>
      </c>
      <c r="U64" s="18" t="s">
        <v>2902</v>
      </c>
    </row>
    <row r="65" spans="1:21" x14ac:dyDescent="0.25">
      <c r="A65" t="s">
        <v>1398</v>
      </c>
      <c r="B65" t="s">
        <v>168</v>
      </c>
      <c r="E65" t="s">
        <v>167</v>
      </c>
      <c r="F65" t="s">
        <v>167</v>
      </c>
      <c r="G65" t="s">
        <v>2183</v>
      </c>
      <c r="H65">
        <v>-67.081916000000007</v>
      </c>
      <c r="I65">
        <v>54.890827999999999</v>
      </c>
      <c r="J65" t="s">
        <v>2850</v>
      </c>
      <c r="K65" t="s">
        <v>2849</v>
      </c>
      <c r="L65" t="s">
        <v>2601</v>
      </c>
      <c r="M65" t="s">
        <v>10</v>
      </c>
      <c r="P65" t="s">
        <v>11</v>
      </c>
      <c r="Q65" t="s">
        <v>34</v>
      </c>
      <c r="R65" t="s">
        <v>340</v>
      </c>
      <c r="S65" t="s">
        <v>157</v>
      </c>
      <c r="T65" t="s">
        <v>157</v>
      </c>
      <c r="U65" t="s">
        <v>2903</v>
      </c>
    </row>
    <row r="66" spans="1:21" s="18" customFormat="1" x14ac:dyDescent="0.25">
      <c r="A66" t="s">
        <v>1399</v>
      </c>
      <c r="B66" t="s">
        <v>169</v>
      </c>
      <c r="C66"/>
      <c r="D66"/>
      <c r="E66" t="s">
        <v>167</v>
      </c>
      <c r="F66" t="s">
        <v>167</v>
      </c>
      <c r="G66" t="s">
        <v>2183</v>
      </c>
      <c r="H66">
        <v>-67.34778</v>
      </c>
      <c r="I66">
        <v>55.09939</v>
      </c>
      <c r="J66" t="s">
        <v>2852</v>
      </c>
      <c r="K66" t="s">
        <v>2851</v>
      </c>
      <c r="L66" t="s">
        <v>2539</v>
      </c>
      <c r="M66" t="s">
        <v>10</v>
      </c>
      <c r="N66"/>
      <c r="O66"/>
      <c r="P66" t="s">
        <v>11</v>
      </c>
      <c r="Q66" t="s">
        <v>34</v>
      </c>
      <c r="R66" t="s">
        <v>340</v>
      </c>
      <c r="S66" t="s">
        <v>157</v>
      </c>
      <c r="T66" t="s">
        <v>157</v>
      </c>
      <c r="U66" t="s">
        <v>2903</v>
      </c>
    </row>
    <row r="67" spans="1:21" s="18" customFormat="1" x14ac:dyDescent="0.25">
      <c r="A67" s="18" t="s">
        <v>1297</v>
      </c>
      <c r="B67" s="18" t="s">
        <v>565</v>
      </c>
      <c r="E67" s="18" t="s">
        <v>564</v>
      </c>
      <c r="F67" s="18" t="s">
        <v>564</v>
      </c>
      <c r="G67" s="18" t="s">
        <v>2118</v>
      </c>
      <c r="H67" s="18">
        <v>-78.442499999999995</v>
      </c>
      <c r="I67" s="18">
        <v>48.64667</v>
      </c>
      <c r="J67" s="18" t="s">
        <v>2739</v>
      </c>
      <c r="L67" s="18" t="s">
        <v>2539</v>
      </c>
      <c r="M67" s="18" t="s">
        <v>374</v>
      </c>
      <c r="N67" s="18" t="s">
        <v>1115</v>
      </c>
      <c r="O67" s="18" t="s">
        <v>1116</v>
      </c>
      <c r="P67" s="18" t="s">
        <v>375</v>
      </c>
      <c r="S67" s="18" t="s">
        <v>557</v>
      </c>
      <c r="T67" s="18" t="s">
        <v>566</v>
      </c>
      <c r="U67" s="18" t="s">
        <v>2902</v>
      </c>
    </row>
    <row r="68" spans="1:21" s="18" customFormat="1" x14ac:dyDescent="0.25">
      <c r="A68" t="s">
        <v>1431</v>
      </c>
      <c r="B68" t="s">
        <v>57</v>
      </c>
      <c r="C68"/>
      <c r="D68"/>
      <c r="E68" t="s">
        <v>56</v>
      </c>
      <c r="F68" t="s">
        <v>56</v>
      </c>
      <c r="G68" t="s">
        <v>2196</v>
      </c>
      <c r="H68">
        <v>-135.84559999999999</v>
      </c>
      <c r="I68">
        <v>64.032200000000003</v>
      </c>
      <c r="J68" t="s">
        <v>2879</v>
      </c>
      <c r="K68" t="s">
        <v>2702</v>
      </c>
      <c r="L68" t="s">
        <v>2599</v>
      </c>
      <c r="M68" t="s">
        <v>10</v>
      </c>
      <c r="N68"/>
      <c r="O68"/>
      <c r="P68" t="s">
        <v>11</v>
      </c>
      <c r="Q68" t="s">
        <v>19</v>
      </c>
      <c r="R68" t="s">
        <v>2542</v>
      </c>
      <c r="S68" t="s">
        <v>16</v>
      </c>
      <c r="T68" t="s">
        <v>16</v>
      </c>
      <c r="U68" t="s">
        <v>2903</v>
      </c>
    </row>
    <row r="69" spans="1:21" s="18" customFormat="1" x14ac:dyDescent="0.25">
      <c r="A69" t="s">
        <v>1439</v>
      </c>
      <c r="B69" t="s">
        <v>59</v>
      </c>
      <c r="C69"/>
      <c r="D69"/>
      <c r="E69" t="s">
        <v>58</v>
      </c>
      <c r="F69" t="s">
        <v>730</v>
      </c>
      <c r="G69" t="s">
        <v>2202</v>
      </c>
      <c r="H69">
        <v>-85.4619</v>
      </c>
      <c r="I69">
        <v>47.9861</v>
      </c>
      <c r="J69" t="s">
        <v>2885</v>
      </c>
      <c r="K69" t="s">
        <v>2884</v>
      </c>
      <c r="L69" t="s">
        <v>2551</v>
      </c>
      <c r="M69" t="s">
        <v>10</v>
      </c>
      <c r="N69"/>
      <c r="O69"/>
      <c r="P69" t="s">
        <v>11</v>
      </c>
      <c r="Q69" t="s">
        <v>13</v>
      </c>
      <c r="R69" t="s">
        <v>2542</v>
      </c>
      <c r="S69" t="s">
        <v>16</v>
      </c>
      <c r="T69" t="s">
        <v>16</v>
      </c>
      <c r="U69" t="s">
        <v>2903</v>
      </c>
    </row>
    <row r="70" spans="1:21" s="18" customFormat="1" x14ac:dyDescent="0.25">
      <c r="A70" s="18" t="s">
        <v>1447</v>
      </c>
      <c r="B70" s="18" t="s">
        <v>579</v>
      </c>
      <c r="E70" s="18" t="s">
        <v>578</v>
      </c>
      <c r="F70" s="18" t="s">
        <v>578</v>
      </c>
      <c r="G70" s="18" t="s">
        <v>2206</v>
      </c>
      <c r="H70" s="18">
        <v>-86.303799999999995</v>
      </c>
      <c r="I70" s="18">
        <v>52.742019999999997</v>
      </c>
      <c r="J70" s="18" t="s">
        <v>2890</v>
      </c>
      <c r="L70" s="18" t="s">
        <v>2551</v>
      </c>
      <c r="M70" s="18" t="s">
        <v>374</v>
      </c>
      <c r="N70" s="18" t="s">
        <v>1115</v>
      </c>
      <c r="O70" s="18" t="s">
        <v>1116</v>
      </c>
      <c r="P70" s="18" t="s">
        <v>375</v>
      </c>
      <c r="S70" s="18" t="s">
        <v>557</v>
      </c>
      <c r="T70" s="18" t="s">
        <v>580</v>
      </c>
      <c r="U70" s="18" t="s">
        <v>2902</v>
      </c>
    </row>
    <row r="71" spans="1:21" x14ac:dyDescent="0.25">
      <c r="A71" s="18" t="s">
        <v>1288</v>
      </c>
      <c r="B71" s="18" t="s">
        <v>453</v>
      </c>
      <c r="C71" s="18"/>
      <c r="D71" s="18"/>
      <c r="E71" s="18" t="s">
        <v>452</v>
      </c>
      <c r="F71" s="18" t="s">
        <v>452</v>
      </c>
      <c r="G71" s="18" t="s">
        <v>2110</v>
      </c>
      <c r="H71" s="18">
        <v>-99.771429999999995</v>
      </c>
      <c r="I71" s="18">
        <v>54.785339999999998</v>
      </c>
      <c r="J71" s="18" t="s">
        <v>2730</v>
      </c>
      <c r="K71" s="18"/>
      <c r="L71" s="18" t="s">
        <v>2562</v>
      </c>
      <c r="M71" s="18" t="s">
        <v>374</v>
      </c>
      <c r="N71" s="18" t="s">
        <v>1115</v>
      </c>
      <c r="O71" s="18" t="s">
        <v>1116</v>
      </c>
      <c r="P71" s="18" t="s">
        <v>375</v>
      </c>
      <c r="Q71" s="18"/>
      <c r="R71" s="18"/>
      <c r="S71" s="18" t="s">
        <v>16</v>
      </c>
      <c r="T71" s="18" t="s">
        <v>454</v>
      </c>
      <c r="U71" s="18" t="s">
        <v>2902</v>
      </c>
    </row>
    <row r="72" spans="1:21" s="18" customFormat="1" x14ac:dyDescent="0.25">
      <c r="A72" t="s">
        <v>1172</v>
      </c>
      <c r="B72" t="s">
        <v>146</v>
      </c>
      <c r="C72"/>
      <c r="D72"/>
      <c r="E72" t="s">
        <v>145</v>
      </c>
      <c r="F72" t="s">
        <v>145</v>
      </c>
      <c r="G72" t="s">
        <v>2039</v>
      </c>
      <c r="H72">
        <v>-110.61799999999999</v>
      </c>
      <c r="I72">
        <v>64.715000000000003</v>
      </c>
      <c r="J72" t="s">
        <v>2604</v>
      </c>
      <c r="K72" t="s">
        <v>2603</v>
      </c>
      <c r="L72" t="s">
        <v>2591</v>
      </c>
      <c r="M72" t="s">
        <v>10</v>
      </c>
      <c r="N72"/>
      <c r="O72"/>
      <c r="P72" t="s">
        <v>11</v>
      </c>
      <c r="Q72" t="s">
        <v>148</v>
      </c>
      <c r="R72" t="s">
        <v>147</v>
      </c>
      <c r="S72" t="s">
        <v>147</v>
      </c>
      <c r="T72" t="s">
        <v>147</v>
      </c>
      <c r="U72" t="s">
        <v>2903</v>
      </c>
    </row>
    <row r="73" spans="1:21" x14ac:dyDescent="0.25">
      <c r="A73" s="18" t="s">
        <v>1195</v>
      </c>
      <c r="B73" s="18" t="s">
        <v>629</v>
      </c>
      <c r="C73" s="18"/>
      <c r="D73" s="18"/>
      <c r="E73" s="18" t="s">
        <v>628</v>
      </c>
      <c r="F73" s="18" t="s">
        <v>839</v>
      </c>
      <c r="G73" s="18" t="s">
        <v>2054</v>
      </c>
      <c r="H73" s="18">
        <v>-68.404169999999993</v>
      </c>
      <c r="I73" s="18">
        <v>56.945830000000001</v>
      </c>
      <c r="J73" s="18" t="s">
        <v>2632</v>
      </c>
      <c r="K73" s="18"/>
      <c r="L73" s="18" t="s">
        <v>2539</v>
      </c>
      <c r="M73" s="18" t="s">
        <v>374</v>
      </c>
      <c r="N73" s="18" t="s">
        <v>1115</v>
      </c>
      <c r="O73" s="18" t="s">
        <v>1116</v>
      </c>
      <c r="P73" s="18" t="s">
        <v>375</v>
      </c>
      <c r="Q73" s="18"/>
      <c r="R73" s="18"/>
      <c r="S73" s="18" t="s">
        <v>627</v>
      </c>
      <c r="T73" s="18" t="s">
        <v>627</v>
      </c>
      <c r="U73" s="18" t="s">
        <v>2902</v>
      </c>
    </row>
    <row r="74" spans="1:21" s="18" customFormat="1" x14ac:dyDescent="0.25">
      <c r="A74" t="s">
        <v>1316</v>
      </c>
      <c r="B74" t="s">
        <v>41</v>
      </c>
      <c r="C74"/>
      <c r="D74"/>
      <c r="E74" t="s">
        <v>39</v>
      </c>
      <c r="F74" t="s">
        <v>39</v>
      </c>
      <c r="G74" t="s">
        <v>2133</v>
      </c>
      <c r="H74">
        <v>-76.086669999999998</v>
      </c>
      <c r="I74">
        <v>52.698889999999999</v>
      </c>
      <c r="J74" t="s">
        <v>2775</v>
      </c>
      <c r="K74" t="s">
        <v>2774</v>
      </c>
      <c r="L74" t="s">
        <v>2539</v>
      </c>
      <c r="M74" t="s">
        <v>10</v>
      </c>
      <c r="N74"/>
      <c r="O74"/>
      <c r="P74" t="s">
        <v>11</v>
      </c>
      <c r="Q74" t="s">
        <v>13</v>
      </c>
      <c r="R74" t="s">
        <v>2542</v>
      </c>
      <c r="S74" t="s">
        <v>16</v>
      </c>
      <c r="T74" t="s">
        <v>16</v>
      </c>
      <c r="U74" t="s">
        <v>2903</v>
      </c>
    </row>
    <row r="75" spans="1:21" x14ac:dyDescent="0.25">
      <c r="A75" t="s">
        <v>1257</v>
      </c>
      <c r="B75" t="s">
        <v>33</v>
      </c>
      <c r="E75" t="s">
        <v>32</v>
      </c>
      <c r="F75" t="s">
        <v>855</v>
      </c>
      <c r="G75" t="s">
        <v>2091</v>
      </c>
      <c r="H75">
        <v>-120.31487</v>
      </c>
      <c r="I75">
        <v>49.8538</v>
      </c>
      <c r="J75" t="s">
        <v>2694</v>
      </c>
      <c r="K75" t="s">
        <v>2693</v>
      </c>
      <c r="L75" t="s">
        <v>2575</v>
      </c>
      <c r="M75" t="s">
        <v>10</v>
      </c>
      <c r="P75" t="s">
        <v>11</v>
      </c>
      <c r="Q75" t="s">
        <v>34</v>
      </c>
      <c r="R75" t="s">
        <v>2542</v>
      </c>
      <c r="S75" t="s">
        <v>16</v>
      </c>
      <c r="T75" t="s">
        <v>16</v>
      </c>
      <c r="U75" t="s">
        <v>2903</v>
      </c>
    </row>
    <row r="76" spans="1:21" x14ac:dyDescent="0.25">
      <c r="A76" t="s">
        <v>1212</v>
      </c>
      <c r="B76" t="s">
        <v>295</v>
      </c>
      <c r="E76" t="s">
        <v>294</v>
      </c>
      <c r="F76" t="s">
        <v>797</v>
      </c>
      <c r="G76" t="s">
        <v>2065</v>
      </c>
      <c r="H76">
        <v>-71.131238999999994</v>
      </c>
      <c r="I76">
        <v>48.412768999999997</v>
      </c>
      <c r="J76" t="s">
        <v>2647</v>
      </c>
      <c r="L76" t="s">
        <v>2539</v>
      </c>
      <c r="M76" t="s">
        <v>10</v>
      </c>
      <c r="P76" t="s">
        <v>233</v>
      </c>
      <c r="R76" t="s">
        <v>2440</v>
      </c>
      <c r="S76" t="s">
        <v>296</v>
      </c>
      <c r="T76" t="s">
        <v>296</v>
      </c>
      <c r="U76" t="s">
        <v>2903</v>
      </c>
    </row>
    <row r="77" spans="1:21" x14ac:dyDescent="0.25">
      <c r="A77" s="18" t="s">
        <v>1139</v>
      </c>
      <c r="B77" s="18" t="s">
        <v>373</v>
      </c>
      <c r="C77" s="18"/>
      <c r="D77" s="18"/>
      <c r="E77" s="18" t="s">
        <v>372</v>
      </c>
      <c r="F77" s="18" t="s">
        <v>740</v>
      </c>
      <c r="G77" s="18" t="s">
        <v>2022</v>
      </c>
      <c r="H77" s="18">
        <v>-71.175650000000005</v>
      </c>
      <c r="I77" s="18">
        <v>48.432139999999997</v>
      </c>
      <c r="J77" s="18" t="s">
        <v>2571</v>
      </c>
      <c r="K77" s="18"/>
      <c r="L77" s="18" t="s">
        <v>2539</v>
      </c>
      <c r="M77" s="18" t="s">
        <v>374</v>
      </c>
      <c r="N77" s="18" t="s">
        <v>1115</v>
      </c>
      <c r="O77" s="18" t="s">
        <v>1117</v>
      </c>
      <c r="P77" s="18" t="s">
        <v>375</v>
      </c>
      <c r="Q77" s="18"/>
      <c r="R77" s="18"/>
      <c r="S77" s="18" t="s">
        <v>376</v>
      </c>
      <c r="T77" s="18" t="s">
        <v>376</v>
      </c>
      <c r="U77" s="18" t="s">
        <v>2902</v>
      </c>
    </row>
    <row r="78" spans="1:21" x14ac:dyDescent="0.25">
      <c r="A78" s="18" t="s">
        <v>1374</v>
      </c>
      <c r="B78" s="18" t="s">
        <v>447</v>
      </c>
      <c r="C78" s="18"/>
      <c r="D78" s="18"/>
      <c r="E78" s="18" t="s">
        <v>446</v>
      </c>
      <c r="F78" s="18" t="s">
        <v>446</v>
      </c>
      <c r="G78" s="18" t="s">
        <v>2166</v>
      </c>
      <c r="H78" s="18">
        <v>-130.43</v>
      </c>
      <c r="I78" s="18">
        <v>56.652999999999999</v>
      </c>
      <c r="J78" s="18" t="s">
        <v>2822</v>
      </c>
      <c r="K78" s="18"/>
      <c r="L78" s="18" t="s">
        <v>2575</v>
      </c>
      <c r="M78" s="18" t="s">
        <v>374</v>
      </c>
      <c r="N78" s="18" t="s">
        <v>1115</v>
      </c>
      <c r="O78" s="18" t="s">
        <v>1116</v>
      </c>
      <c r="P78" s="18" t="s">
        <v>375</v>
      </c>
      <c r="Q78" s="18"/>
      <c r="R78" s="18"/>
      <c r="S78" s="18" t="s">
        <v>16</v>
      </c>
      <c r="T78" s="18" t="s">
        <v>448</v>
      </c>
      <c r="U78" s="18" t="s">
        <v>2902</v>
      </c>
    </row>
    <row r="79" spans="1:21" x14ac:dyDescent="0.25">
      <c r="A79" t="s">
        <v>1216</v>
      </c>
      <c r="B79" t="s">
        <v>298</v>
      </c>
      <c r="E79" t="s">
        <v>297</v>
      </c>
      <c r="F79" t="s">
        <v>716</v>
      </c>
      <c r="G79" t="s">
        <v>2069</v>
      </c>
      <c r="H79">
        <v>-104.62384299999999</v>
      </c>
      <c r="I79">
        <v>50.515262999999997</v>
      </c>
      <c r="J79" t="s">
        <v>2651</v>
      </c>
      <c r="L79" t="s">
        <v>2588</v>
      </c>
      <c r="M79" t="s">
        <v>10</v>
      </c>
      <c r="P79" t="s">
        <v>233</v>
      </c>
      <c r="Q79" t="s">
        <v>255</v>
      </c>
      <c r="R79" t="s">
        <v>340</v>
      </c>
      <c r="S79" t="s">
        <v>244</v>
      </c>
      <c r="T79" t="s">
        <v>244</v>
      </c>
      <c r="U79" t="s">
        <v>2903</v>
      </c>
    </row>
    <row r="80" spans="1:21" s="18" customFormat="1" x14ac:dyDescent="0.25">
      <c r="A80" s="18" t="s">
        <v>1187</v>
      </c>
      <c r="B80" s="18" t="s">
        <v>585</v>
      </c>
      <c r="E80" s="18" t="s">
        <v>584</v>
      </c>
      <c r="F80" s="18" t="s">
        <v>707</v>
      </c>
      <c r="G80" s="18" t="s">
        <v>2904</v>
      </c>
      <c r="H80" s="18">
        <v>-96.833060000000003</v>
      </c>
      <c r="I80" s="18">
        <v>62.873060000000002</v>
      </c>
      <c r="J80" s="18" t="s">
        <v>2620</v>
      </c>
      <c r="L80" s="18" t="s">
        <v>2546</v>
      </c>
      <c r="M80" s="18" t="s">
        <v>374</v>
      </c>
      <c r="N80" s="18" t="s">
        <v>1115</v>
      </c>
      <c r="O80" s="18" t="s">
        <v>1116</v>
      </c>
      <c r="P80" s="18" t="s">
        <v>375</v>
      </c>
      <c r="S80" s="18" t="s">
        <v>557</v>
      </c>
      <c r="T80" s="18" t="s">
        <v>586</v>
      </c>
      <c r="U80" s="18" t="s">
        <v>2902</v>
      </c>
    </row>
    <row r="81" spans="1:21" s="18" customFormat="1" x14ac:dyDescent="0.25">
      <c r="A81" t="s">
        <v>1153</v>
      </c>
      <c r="B81" t="s">
        <v>156</v>
      </c>
      <c r="C81" t="s">
        <v>2905</v>
      </c>
      <c r="D81" t="s">
        <v>2906</v>
      </c>
      <c r="E81" t="s">
        <v>155</v>
      </c>
      <c r="F81" t="s">
        <v>155</v>
      </c>
      <c r="G81" t="s">
        <v>2030</v>
      </c>
      <c r="H81">
        <v>-67.363934999999998</v>
      </c>
      <c r="I81">
        <v>52.352997999999999</v>
      </c>
      <c r="J81" t="s">
        <v>2580</v>
      </c>
      <c r="K81" t="s">
        <v>2579</v>
      </c>
      <c r="L81" t="s">
        <v>2539</v>
      </c>
      <c r="M81" t="s">
        <v>10</v>
      </c>
      <c r="N81"/>
      <c r="O81"/>
      <c r="P81" t="s">
        <v>11</v>
      </c>
      <c r="Q81" t="s">
        <v>34</v>
      </c>
      <c r="R81" t="s">
        <v>340</v>
      </c>
      <c r="S81" t="s">
        <v>157</v>
      </c>
      <c r="T81" t="s">
        <v>157</v>
      </c>
      <c r="U81" t="s">
        <v>2903</v>
      </c>
    </row>
    <row r="82" spans="1:21" s="18" customFormat="1" x14ac:dyDescent="0.25">
      <c r="A82" s="18" t="s">
        <v>1232</v>
      </c>
      <c r="B82" s="18" t="s">
        <v>383</v>
      </c>
      <c r="E82" s="18" t="s">
        <v>382</v>
      </c>
      <c r="F82" s="18" t="s">
        <v>382</v>
      </c>
      <c r="G82" s="18" t="s">
        <v>2079</v>
      </c>
      <c r="H82" s="18">
        <v>-112.513502</v>
      </c>
      <c r="I82" s="18">
        <v>53.797615</v>
      </c>
      <c r="J82" s="18" t="s">
        <v>2665</v>
      </c>
      <c r="L82" s="18" t="s">
        <v>2577</v>
      </c>
      <c r="M82" s="18" t="s">
        <v>374</v>
      </c>
      <c r="N82" s="18" t="s">
        <v>1115</v>
      </c>
      <c r="O82" s="18" t="s">
        <v>1117</v>
      </c>
      <c r="P82" s="18" t="s">
        <v>375</v>
      </c>
      <c r="S82" s="18" t="s">
        <v>1765</v>
      </c>
      <c r="T82" s="18" t="s">
        <v>384</v>
      </c>
      <c r="U82" s="18" t="s">
        <v>2902</v>
      </c>
    </row>
    <row r="83" spans="1:21" s="18" customFormat="1" x14ac:dyDescent="0.25">
      <c r="A83" t="s">
        <v>1304</v>
      </c>
      <c r="B83" t="s">
        <v>38</v>
      </c>
      <c r="C83"/>
      <c r="D83"/>
      <c r="E83" t="s">
        <v>37</v>
      </c>
      <c r="F83" t="s">
        <v>872</v>
      </c>
      <c r="G83" t="s">
        <v>2125</v>
      </c>
      <c r="H83">
        <v>-80.340813999999995</v>
      </c>
      <c r="I83">
        <v>48.534362000000002</v>
      </c>
      <c r="J83" t="s">
        <v>2748</v>
      </c>
      <c r="K83" t="s">
        <v>2747</v>
      </c>
      <c r="L83" t="s">
        <v>2551</v>
      </c>
      <c r="M83" t="s">
        <v>10</v>
      </c>
      <c r="N83"/>
      <c r="O83"/>
      <c r="P83" t="s">
        <v>11</v>
      </c>
      <c r="Q83" t="s">
        <v>23</v>
      </c>
      <c r="R83" t="s">
        <v>2542</v>
      </c>
      <c r="S83" t="s">
        <v>16</v>
      </c>
      <c r="T83" t="s">
        <v>16</v>
      </c>
      <c r="U83" t="s">
        <v>2903</v>
      </c>
    </row>
    <row r="84" spans="1:21" s="18" customFormat="1" x14ac:dyDescent="0.25">
      <c r="A84" t="s">
        <v>1247</v>
      </c>
      <c r="B84" t="s">
        <v>195</v>
      </c>
      <c r="C84" t="s">
        <v>2087</v>
      </c>
      <c r="D84" t="s">
        <v>2088</v>
      </c>
      <c r="E84" t="s">
        <v>142</v>
      </c>
      <c r="F84" t="s">
        <v>715</v>
      </c>
      <c r="G84" t="s">
        <v>2086</v>
      </c>
      <c r="H84">
        <v>-81.340400000000002</v>
      </c>
      <c r="I84">
        <v>46.6633</v>
      </c>
      <c r="J84" t="s">
        <v>2681</v>
      </c>
      <c r="K84" t="s">
        <v>140</v>
      </c>
      <c r="L84" t="s">
        <v>2551</v>
      </c>
      <c r="M84" t="s">
        <v>10</v>
      </c>
      <c r="N84"/>
      <c r="O84"/>
      <c r="P84" t="s">
        <v>11</v>
      </c>
      <c r="Q84" t="s">
        <v>44</v>
      </c>
      <c r="R84" t="s">
        <v>2597</v>
      </c>
      <c r="S84" t="s">
        <v>557</v>
      </c>
      <c r="T84" t="s">
        <v>196</v>
      </c>
      <c r="U84" t="s">
        <v>2903</v>
      </c>
    </row>
    <row r="85" spans="1:21" s="18" customFormat="1" x14ac:dyDescent="0.25">
      <c r="A85" t="s">
        <v>1247</v>
      </c>
      <c r="B85" t="s">
        <v>195</v>
      </c>
      <c r="C85" t="s">
        <v>1767</v>
      </c>
      <c r="D85" t="s">
        <v>2909</v>
      </c>
      <c r="E85" t="s">
        <v>142</v>
      </c>
      <c r="F85" t="s">
        <v>715</v>
      </c>
      <c r="G85" t="s">
        <v>2086</v>
      </c>
      <c r="H85">
        <v>-81.340400000000002</v>
      </c>
      <c r="I85">
        <v>46.6633</v>
      </c>
      <c r="J85" t="s">
        <v>2681</v>
      </c>
      <c r="K85" t="s">
        <v>140</v>
      </c>
      <c r="L85" t="s">
        <v>2551</v>
      </c>
      <c r="M85" t="s">
        <v>10</v>
      </c>
      <c r="N85"/>
      <c r="O85"/>
      <c r="P85" t="s">
        <v>11</v>
      </c>
      <c r="Q85" t="s">
        <v>44</v>
      </c>
      <c r="R85" t="s">
        <v>2597</v>
      </c>
      <c r="S85" t="s">
        <v>557</v>
      </c>
      <c r="T85" t="s">
        <v>196</v>
      </c>
      <c r="U85" t="s">
        <v>2903</v>
      </c>
    </row>
    <row r="86" spans="1:21" s="18" customFormat="1" x14ac:dyDescent="0.25">
      <c r="A86" s="18" t="s">
        <v>1414</v>
      </c>
      <c r="B86" s="18" t="s">
        <v>450</v>
      </c>
      <c r="E86" s="18" t="s">
        <v>449</v>
      </c>
      <c r="F86" s="18" t="s">
        <v>908</v>
      </c>
      <c r="G86" s="18" t="s">
        <v>2186</v>
      </c>
      <c r="H86" s="18">
        <v>-137.19999999999999</v>
      </c>
      <c r="I86" s="18">
        <v>62.3</v>
      </c>
      <c r="J86" s="18" t="s">
        <v>2859</v>
      </c>
      <c r="L86" s="18" t="s">
        <v>2599</v>
      </c>
      <c r="M86" s="18" t="s">
        <v>374</v>
      </c>
      <c r="N86" s="18" t="s">
        <v>1115</v>
      </c>
      <c r="O86" s="18" t="s">
        <v>1116</v>
      </c>
      <c r="P86" s="18" t="s">
        <v>375</v>
      </c>
      <c r="S86" s="18" t="s">
        <v>16</v>
      </c>
      <c r="T86" s="18" t="s">
        <v>451</v>
      </c>
      <c r="U86" s="18" t="s">
        <v>2902</v>
      </c>
    </row>
    <row r="87" spans="1:21" s="18" customFormat="1" x14ac:dyDescent="0.25">
      <c r="A87" t="s">
        <v>1204</v>
      </c>
      <c r="B87" t="s">
        <v>150</v>
      </c>
      <c r="C87"/>
      <c r="D87"/>
      <c r="E87" t="s">
        <v>149</v>
      </c>
      <c r="F87" t="s">
        <v>754</v>
      </c>
      <c r="G87" t="s">
        <v>2005</v>
      </c>
      <c r="H87">
        <v>-109.21194</v>
      </c>
      <c r="I87">
        <v>63.445279999999997</v>
      </c>
      <c r="J87" t="s">
        <v>2639</v>
      </c>
      <c r="K87" t="s">
        <v>2603</v>
      </c>
      <c r="L87" t="s">
        <v>2591</v>
      </c>
      <c r="M87" t="s">
        <v>10</v>
      </c>
      <c r="N87"/>
      <c r="O87"/>
      <c r="P87" t="s">
        <v>11</v>
      </c>
      <c r="Q87" t="s">
        <v>98</v>
      </c>
      <c r="R87" t="s">
        <v>147</v>
      </c>
      <c r="S87" t="s">
        <v>147</v>
      </c>
      <c r="T87" t="s">
        <v>147</v>
      </c>
      <c r="U87" t="s">
        <v>2903</v>
      </c>
    </row>
    <row r="88" spans="1:21" s="18" customFormat="1" x14ac:dyDescent="0.25">
      <c r="A88" s="18" t="s">
        <v>1325</v>
      </c>
      <c r="B88" s="18" t="s">
        <v>401</v>
      </c>
      <c r="E88" s="18" t="s">
        <v>400</v>
      </c>
      <c r="F88" s="18" t="s">
        <v>39</v>
      </c>
      <c r="G88" s="18" t="s">
        <v>2133</v>
      </c>
      <c r="H88" s="18">
        <v>-131.44999999999999</v>
      </c>
      <c r="I88" s="18">
        <v>57.13</v>
      </c>
      <c r="J88" s="18" t="s">
        <v>2776</v>
      </c>
      <c r="L88" s="18" t="s">
        <v>2575</v>
      </c>
      <c r="M88" s="18" t="s">
        <v>374</v>
      </c>
      <c r="N88" s="18" t="s">
        <v>1115</v>
      </c>
      <c r="O88" s="18" t="s">
        <v>1116</v>
      </c>
      <c r="P88" s="18" t="s">
        <v>375</v>
      </c>
      <c r="S88" s="18" t="s">
        <v>125</v>
      </c>
      <c r="T88" s="18" t="s">
        <v>130</v>
      </c>
      <c r="U88" s="18" t="s">
        <v>2902</v>
      </c>
    </row>
    <row r="89" spans="1:21" s="18" customFormat="1" x14ac:dyDescent="0.25">
      <c r="A89" t="s">
        <v>1419</v>
      </c>
      <c r="B89" t="s">
        <v>194</v>
      </c>
      <c r="C89" t="s">
        <v>2192</v>
      </c>
      <c r="D89" t="s">
        <v>2193</v>
      </c>
      <c r="E89" t="s">
        <v>178</v>
      </c>
      <c r="F89" t="s">
        <v>719</v>
      </c>
      <c r="G89" t="s">
        <v>2191</v>
      </c>
      <c r="H89">
        <v>-80.856999999999999</v>
      </c>
      <c r="I89">
        <v>46.567999999999998</v>
      </c>
      <c r="J89" t="s">
        <v>2869</v>
      </c>
      <c r="K89" t="s">
        <v>140</v>
      </c>
      <c r="L89" t="s">
        <v>2551</v>
      </c>
      <c r="M89" t="s">
        <v>10</v>
      </c>
      <c r="N89"/>
      <c r="O89"/>
      <c r="P89" t="s">
        <v>11</v>
      </c>
      <c r="Q89" t="s">
        <v>44</v>
      </c>
      <c r="R89" t="s">
        <v>2597</v>
      </c>
      <c r="S89" t="s">
        <v>557</v>
      </c>
      <c r="T89" t="s">
        <v>189</v>
      </c>
      <c r="U89" t="s">
        <v>2903</v>
      </c>
    </row>
    <row r="90" spans="1:21" s="18" customFormat="1" x14ac:dyDescent="0.25">
      <c r="A90" t="s">
        <v>1251</v>
      </c>
      <c r="B90" t="s">
        <v>301</v>
      </c>
      <c r="C90"/>
      <c r="D90"/>
      <c r="E90" t="s">
        <v>142</v>
      </c>
      <c r="F90" t="s">
        <v>715</v>
      </c>
      <c r="G90" t="s">
        <v>2086</v>
      </c>
      <c r="H90">
        <v>-73.676344999999998</v>
      </c>
      <c r="I90">
        <v>45.448518</v>
      </c>
      <c r="J90" t="s">
        <v>2682</v>
      </c>
      <c r="K90"/>
      <c r="L90" t="s">
        <v>2539</v>
      </c>
      <c r="M90" t="s">
        <v>10</v>
      </c>
      <c r="N90"/>
      <c r="O90"/>
      <c r="P90" t="s">
        <v>233</v>
      </c>
      <c r="Q90" t="s">
        <v>303</v>
      </c>
      <c r="R90" t="s">
        <v>2597</v>
      </c>
      <c r="S90" t="s">
        <v>302</v>
      </c>
      <c r="T90" t="s">
        <v>302</v>
      </c>
      <c r="U90" t="s">
        <v>2903</v>
      </c>
    </row>
    <row r="91" spans="1:21" s="18" customFormat="1" x14ac:dyDescent="0.25">
      <c r="A91" s="18" t="s">
        <v>1359</v>
      </c>
      <c r="B91" s="18" t="s">
        <v>511</v>
      </c>
      <c r="E91" s="18" t="s">
        <v>510</v>
      </c>
      <c r="F91" s="18" t="s">
        <v>892</v>
      </c>
      <c r="G91" s="18" t="s">
        <v>2154</v>
      </c>
      <c r="H91" s="18">
        <v>-88.002979999999994</v>
      </c>
      <c r="I91" s="18">
        <v>49.452359999999999</v>
      </c>
      <c r="J91" s="18" t="s">
        <v>2804</v>
      </c>
      <c r="L91" s="18" t="s">
        <v>2551</v>
      </c>
      <c r="M91" s="18" t="s">
        <v>374</v>
      </c>
      <c r="N91" s="18" t="s">
        <v>1115</v>
      </c>
      <c r="O91" s="18" t="s">
        <v>1116</v>
      </c>
      <c r="P91" s="18" t="s">
        <v>375</v>
      </c>
      <c r="S91" s="18" t="s">
        <v>509</v>
      </c>
      <c r="T91" s="18" t="s">
        <v>509</v>
      </c>
      <c r="U91" s="18" t="s">
        <v>2902</v>
      </c>
    </row>
    <row r="92" spans="1:21" s="18" customFormat="1" x14ac:dyDescent="0.25">
      <c r="A92" t="s">
        <v>1395</v>
      </c>
      <c r="B92" t="s">
        <v>136</v>
      </c>
      <c r="C92"/>
      <c r="D92"/>
      <c r="E92" t="s">
        <v>135</v>
      </c>
      <c r="F92" t="s">
        <v>135</v>
      </c>
      <c r="G92" t="s">
        <v>2182</v>
      </c>
      <c r="H92">
        <v>-122.28716</v>
      </c>
      <c r="I92">
        <v>52.528494999999999</v>
      </c>
      <c r="J92" t="s">
        <v>2847</v>
      </c>
      <c r="K92" t="s">
        <v>2846</v>
      </c>
      <c r="L92" t="s">
        <v>2575</v>
      </c>
      <c r="M92" t="s">
        <v>10</v>
      </c>
      <c r="N92"/>
      <c r="O92"/>
      <c r="P92" t="s">
        <v>11</v>
      </c>
      <c r="Q92" t="s">
        <v>19</v>
      </c>
      <c r="R92" t="s">
        <v>2597</v>
      </c>
      <c r="S92" t="s">
        <v>125</v>
      </c>
      <c r="T92" t="s">
        <v>137</v>
      </c>
      <c r="U92" t="s">
        <v>2903</v>
      </c>
    </row>
    <row r="93" spans="1:21" s="18" customFormat="1" x14ac:dyDescent="0.25">
      <c r="A93" s="18" t="s">
        <v>1324</v>
      </c>
      <c r="B93" s="18" t="s">
        <v>402</v>
      </c>
      <c r="E93" s="18" t="s">
        <v>39</v>
      </c>
      <c r="F93" s="18" t="s">
        <v>39</v>
      </c>
      <c r="G93" s="18" t="s">
        <v>2133</v>
      </c>
      <c r="H93" s="18">
        <v>-130.25</v>
      </c>
      <c r="I93" s="18">
        <v>57.63</v>
      </c>
      <c r="J93" s="18" t="s">
        <v>2765</v>
      </c>
      <c r="L93" s="18" t="s">
        <v>2575</v>
      </c>
      <c r="M93" s="18" t="s">
        <v>374</v>
      </c>
      <c r="N93" s="18" t="s">
        <v>1115</v>
      </c>
      <c r="O93" s="18" t="s">
        <v>1116</v>
      </c>
      <c r="P93" s="18" t="s">
        <v>375</v>
      </c>
      <c r="S93" s="18" t="s">
        <v>125</v>
      </c>
      <c r="T93" s="18" t="s">
        <v>130</v>
      </c>
      <c r="U93" s="18" t="s">
        <v>2902</v>
      </c>
    </row>
    <row r="94" spans="1:21" x14ac:dyDescent="0.25">
      <c r="A94" s="18" t="s">
        <v>1189</v>
      </c>
      <c r="B94" s="18" t="s">
        <v>431</v>
      </c>
      <c r="C94" s="18"/>
      <c r="D94" s="18"/>
      <c r="E94" s="18" t="s">
        <v>430</v>
      </c>
      <c r="F94" s="18" t="s">
        <v>707</v>
      </c>
      <c r="G94" s="18" t="s">
        <v>2904</v>
      </c>
      <c r="H94" s="18">
        <v>-118.59</v>
      </c>
      <c r="I94" s="18">
        <v>49.09</v>
      </c>
      <c r="J94" s="18" t="s">
        <v>2623</v>
      </c>
      <c r="K94" s="18"/>
      <c r="L94" s="18" t="s">
        <v>2575</v>
      </c>
      <c r="M94" s="18" t="s">
        <v>374</v>
      </c>
      <c r="N94" s="18" t="s">
        <v>1115</v>
      </c>
      <c r="O94" s="18" t="s">
        <v>1116</v>
      </c>
      <c r="P94" s="18" t="s">
        <v>375</v>
      </c>
      <c r="Q94" s="18"/>
      <c r="R94" s="18"/>
      <c r="S94" s="18" t="s">
        <v>16</v>
      </c>
      <c r="T94" s="18" t="s">
        <v>81</v>
      </c>
      <c r="U94" s="18" t="s">
        <v>2902</v>
      </c>
    </row>
    <row r="95" spans="1:21" x14ac:dyDescent="0.25">
      <c r="A95" t="s">
        <v>1124</v>
      </c>
      <c r="B95" t="s">
        <v>66</v>
      </c>
      <c r="E95" t="s">
        <v>14</v>
      </c>
      <c r="F95" t="s">
        <v>14</v>
      </c>
      <c r="G95" t="s">
        <v>2016</v>
      </c>
      <c r="H95">
        <v>-77.8733</v>
      </c>
      <c r="I95">
        <v>48.092599999999997</v>
      </c>
      <c r="J95" t="s">
        <v>2554</v>
      </c>
      <c r="K95" t="s">
        <v>2553</v>
      </c>
      <c r="L95" t="s">
        <v>2539</v>
      </c>
      <c r="M95" t="s">
        <v>10</v>
      </c>
      <c r="P95" t="s">
        <v>11</v>
      </c>
      <c r="Q95" t="s">
        <v>13</v>
      </c>
      <c r="R95" t="s">
        <v>2542</v>
      </c>
      <c r="S95" t="s">
        <v>16</v>
      </c>
      <c r="T95" t="s">
        <v>64</v>
      </c>
      <c r="U95" t="s">
        <v>2903</v>
      </c>
    </row>
    <row r="96" spans="1:21" x14ac:dyDescent="0.25">
      <c r="A96" t="s">
        <v>1346</v>
      </c>
      <c r="B96" t="s">
        <v>304</v>
      </c>
      <c r="C96" t="s">
        <v>2150</v>
      </c>
      <c r="D96" t="s">
        <v>2151</v>
      </c>
      <c r="E96" t="s">
        <v>246</v>
      </c>
      <c r="F96" t="s">
        <v>718</v>
      </c>
      <c r="G96" t="s">
        <v>2149</v>
      </c>
      <c r="H96">
        <v>-70.925799999999995</v>
      </c>
      <c r="I96">
        <v>48.305799999999998</v>
      </c>
      <c r="J96" t="s">
        <v>2794</v>
      </c>
      <c r="L96" t="s">
        <v>2539</v>
      </c>
      <c r="M96" t="s">
        <v>10</v>
      </c>
      <c r="P96" t="s">
        <v>233</v>
      </c>
      <c r="Q96" t="s">
        <v>249</v>
      </c>
      <c r="R96" t="s">
        <v>376</v>
      </c>
      <c r="S96" t="s">
        <v>248</v>
      </c>
      <c r="T96" t="s">
        <v>248</v>
      </c>
      <c r="U96" t="s">
        <v>2903</v>
      </c>
    </row>
    <row r="97" spans="1:21" x14ac:dyDescent="0.25">
      <c r="A97" s="18" t="s">
        <v>1376</v>
      </c>
      <c r="B97" s="18" t="s">
        <v>391</v>
      </c>
      <c r="C97" s="18"/>
      <c r="D97" s="18"/>
      <c r="E97" s="18" t="s">
        <v>390</v>
      </c>
      <c r="F97" s="18" t="s">
        <v>390</v>
      </c>
      <c r="G97" s="18" t="s">
        <v>2168</v>
      </c>
      <c r="H97" s="18">
        <v>-56.134399999999999</v>
      </c>
      <c r="I97" s="18">
        <v>48.375799999999998</v>
      </c>
      <c r="J97" s="18" t="s">
        <v>2824</v>
      </c>
      <c r="K97" s="18"/>
      <c r="L97" s="18" t="s">
        <v>2601</v>
      </c>
      <c r="M97" s="18" t="s">
        <v>374</v>
      </c>
      <c r="N97" s="18" t="s">
        <v>1115</v>
      </c>
      <c r="O97" s="18" t="s">
        <v>1116</v>
      </c>
      <c r="P97" s="18" t="s">
        <v>375</v>
      </c>
      <c r="Q97" s="18"/>
      <c r="R97" s="18"/>
      <c r="S97" s="18" t="s">
        <v>125</v>
      </c>
      <c r="T97" s="18" t="s">
        <v>389</v>
      </c>
      <c r="U97" s="18" t="s">
        <v>2902</v>
      </c>
    </row>
    <row r="98" spans="1:21" x14ac:dyDescent="0.25">
      <c r="A98" t="s">
        <v>1380</v>
      </c>
      <c r="B98" t="s">
        <v>307</v>
      </c>
      <c r="E98" t="s">
        <v>306</v>
      </c>
      <c r="F98" t="s">
        <v>903</v>
      </c>
      <c r="G98" t="s">
        <v>2172</v>
      </c>
      <c r="H98">
        <v>-79.819000000000003</v>
      </c>
      <c r="I98">
        <v>43.274999999999999</v>
      </c>
      <c r="J98" t="s">
        <v>2832</v>
      </c>
      <c r="L98" t="s">
        <v>2551</v>
      </c>
      <c r="M98" t="s">
        <v>10</v>
      </c>
      <c r="P98" t="s">
        <v>233</v>
      </c>
      <c r="Q98" t="s">
        <v>245</v>
      </c>
      <c r="R98" t="s">
        <v>340</v>
      </c>
      <c r="S98" t="s">
        <v>244</v>
      </c>
      <c r="T98" t="s">
        <v>244</v>
      </c>
      <c r="U98" t="s">
        <v>2903</v>
      </c>
    </row>
    <row r="99" spans="1:21" x14ac:dyDescent="0.25">
      <c r="A99" t="s">
        <v>1166</v>
      </c>
      <c r="B99" t="s">
        <v>28</v>
      </c>
      <c r="E99" t="s">
        <v>27</v>
      </c>
      <c r="F99" t="s">
        <v>159</v>
      </c>
      <c r="G99" t="s">
        <v>2035</v>
      </c>
      <c r="H99">
        <v>-85.915980000000005</v>
      </c>
      <c r="I99">
        <v>48.695726000000001</v>
      </c>
      <c r="J99" t="s">
        <v>2596</v>
      </c>
      <c r="K99" t="s">
        <v>29</v>
      </c>
      <c r="L99" t="s">
        <v>2551</v>
      </c>
      <c r="M99" t="s">
        <v>10</v>
      </c>
      <c r="P99" t="s">
        <v>11</v>
      </c>
      <c r="Q99" t="s">
        <v>23</v>
      </c>
      <c r="R99" t="s">
        <v>2542</v>
      </c>
      <c r="S99" t="s">
        <v>16</v>
      </c>
      <c r="T99" t="s">
        <v>16</v>
      </c>
      <c r="U99" t="s">
        <v>2903</v>
      </c>
    </row>
    <row r="100" spans="1:21" x14ac:dyDescent="0.25">
      <c r="A100" s="18" t="s">
        <v>1309</v>
      </c>
      <c r="B100" s="18" t="s">
        <v>422</v>
      </c>
      <c r="C100" s="18"/>
      <c r="D100" s="18"/>
      <c r="E100" s="18" t="s">
        <v>421</v>
      </c>
      <c r="F100" s="18" t="s">
        <v>421</v>
      </c>
      <c r="G100" s="18" t="s">
        <v>2129</v>
      </c>
      <c r="H100" s="18">
        <v>-110.8436</v>
      </c>
      <c r="I100" s="18">
        <v>67.375559999999993</v>
      </c>
      <c r="J100" s="18" t="s">
        <v>2753</v>
      </c>
      <c r="K100" s="18"/>
      <c r="L100" s="18" t="s">
        <v>2546</v>
      </c>
      <c r="M100" s="18" t="s">
        <v>374</v>
      </c>
      <c r="N100" s="18" t="s">
        <v>1115</v>
      </c>
      <c r="O100" s="18" t="s">
        <v>1116</v>
      </c>
      <c r="P100" s="18" t="s">
        <v>375</v>
      </c>
      <c r="Q100" s="18"/>
      <c r="R100" s="18"/>
      <c r="S100" s="18" t="s">
        <v>125</v>
      </c>
      <c r="T100" s="18" t="s">
        <v>423</v>
      </c>
      <c r="U100" s="18" t="s">
        <v>2902</v>
      </c>
    </row>
    <row r="101" spans="1:21" x14ac:dyDescent="0.25">
      <c r="A101" t="s">
        <v>1400</v>
      </c>
      <c r="B101" t="s">
        <v>126</v>
      </c>
      <c r="E101" t="s">
        <v>101</v>
      </c>
      <c r="F101" t="s">
        <v>101</v>
      </c>
      <c r="G101" t="s">
        <v>1845</v>
      </c>
      <c r="H101">
        <v>-121.0483</v>
      </c>
      <c r="I101">
        <v>50.485500000000002</v>
      </c>
      <c r="J101" t="s">
        <v>2854</v>
      </c>
      <c r="K101" t="s">
        <v>2853</v>
      </c>
      <c r="L101" t="s">
        <v>2575</v>
      </c>
      <c r="M101" t="s">
        <v>10</v>
      </c>
      <c r="P101" t="s">
        <v>11</v>
      </c>
      <c r="Q101" t="s">
        <v>19</v>
      </c>
      <c r="R101" t="s">
        <v>2597</v>
      </c>
      <c r="S101" t="s">
        <v>125</v>
      </c>
      <c r="T101" t="s">
        <v>127</v>
      </c>
      <c r="U101" t="s">
        <v>2903</v>
      </c>
    </row>
    <row r="102" spans="1:21" x14ac:dyDescent="0.25">
      <c r="A102" t="s">
        <v>1319</v>
      </c>
      <c r="B102" t="s">
        <v>42</v>
      </c>
      <c r="C102" t="s">
        <v>1587</v>
      </c>
      <c r="D102" t="s">
        <v>1750</v>
      </c>
      <c r="E102" t="s">
        <v>39</v>
      </c>
      <c r="F102" t="s">
        <v>39</v>
      </c>
      <c r="G102" t="s">
        <v>2133</v>
      </c>
      <c r="H102">
        <v>-81.313140000000004</v>
      </c>
      <c r="I102">
        <v>48.473300000000002</v>
      </c>
      <c r="J102" t="s">
        <v>2766</v>
      </c>
      <c r="K102" t="s">
        <v>2586</v>
      </c>
      <c r="L102" t="s">
        <v>2551</v>
      </c>
      <c r="M102" t="s">
        <v>10</v>
      </c>
      <c r="P102" t="s">
        <v>11</v>
      </c>
      <c r="Q102" t="s">
        <v>34</v>
      </c>
      <c r="R102" t="s">
        <v>2542</v>
      </c>
      <c r="S102" t="s">
        <v>16</v>
      </c>
      <c r="T102" t="s">
        <v>16</v>
      </c>
      <c r="U102" t="s">
        <v>2903</v>
      </c>
    </row>
    <row r="103" spans="1:21" x14ac:dyDescent="0.25">
      <c r="A103" s="18" t="s">
        <v>1203</v>
      </c>
      <c r="B103" s="18" t="s">
        <v>216</v>
      </c>
      <c r="C103" s="18"/>
      <c r="D103" s="18"/>
      <c r="E103" s="18" t="s">
        <v>704</v>
      </c>
      <c r="F103" s="18" t="s">
        <v>840</v>
      </c>
      <c r="G103" s="18" t="s">
        <v>2057</v>
      </c>
      <c r="H103" s="18">
        <v>-73.450824999999995</v>
      </c>
      <c r="I103" s="18">
        <v>45.574620000000003</v>
      </c>
      <c r="J103" s="18" t="s">
        <v>2638</v>
      </c>
      <c r="K103" s="18"/>
      <c r="L103" s="18" t="s">
        <v>2577</v>
      </c>
      <c r="M103" s="18" t="s">
        <v>374</v>
      </c>
      <c r="N103" s="18" t="s">
        <v>1115</v>
      </c>
      <c r="O103" s="18" t="s">
        <v>1118</v>
      </c>
      <c r="P103" s="18" t="s">
        <v>375</v>
      </c>
      <c r="Q103" s="18"/>
      <c r="R103" s="18"/>
      <c r="S103" s="18" t="s">
        <v>2637</v>
      </c>
      <c r="T103" s="18" t="s">
        <v>705</v>
      </c>
      <c r="U103" s="18" t="s">
        <v>2902</v>
      </c>
    </row>
    <row r="104" spans="1:21" x14ac:dyDescent="0.25">
      <c r="A104" t="s">
        <v>1253</v>
      </c>
      <c r="B104" t="s">
        <v>308</v>
      </c>
      <c r="C104" t="s">
        <v>285</v>
      </c>
      <c r="D104" t="s">
        <v>2908</v>
      </c>
      <c r="E104" t="s">
        <v>142</v>
      </c>
      <c r="F104" t="s">
        <v>715</v>
      </c>
      <c r="G104" t="s">
        <v>2086</v>
      </c>
      <c r="H104">
        <v>-79.015100000000004</v>
      </c>
      <c r="I104">
        <v>48.253399999999999</v>
      </c>
      <c r="J104" t="s">
        <v>2684</v>
      </c>
      <c r="L104" t="s">
        <v>2539</v>
      </c>
      <c r="M104" t="s">
        <v>10</v>
      </c>
      <c r="P104" t="s">
        <v>233</v>
      </c>
      <c r="Q104" t="s">
        <v>249</v>
      </c>
      <c r="R104" t="s">
        <v>2597</v>
      </c>
      <c r="S104" t="s">
        <v>2683</v>
      </c>
      <c r="T104" t="s">
        <v>309</v>
      </c>
      <c r="U104" t="s">
        <v>2903</v>
      </c>
    </row>
    <row r="105" spans="1:21" x14ac:dyDescent="0.25">
      <c r="A105" s="18" t="s">
        <v>1417</v>
      </c>
      <c r="B105" s="18" t="s">
        <v>660</v>
      </c>
      <c r="C105" s="18"/>
      <c r="D105" s="18"/>
      <c r="E105" s="18" t="s">
        <v>659</v>
      </c>
      <c r="F105" s="18" t="s">
        <v>659</v>
      </c>
      <c r="G105" s="18" t="s">
        <v>2189</v>
      </c>
      <c r="H105" s="18">
        <v>-103.73639</v>
      </c>
      <c r="I105" s="18">
        <v>58.153329999999997</v>
      </c>
      <c r="J105" s="18" t="s">
        <v>2861</v>
      </c>
      <c r="K105" s="18"/>
      <c r="L105" s="18" t="s">
        <v>2588</v>
      </c>
      <c r="M105" s="18" t="s">
        <v>374</v>
      </c>
      <c r="N105" s="18" t="s">
        <v>1115</v>
      </c>
      <c r="O105" s="18" t="s">
        <v>1116</v>
      </c>
      <c r="P105" s="18" t="s">
        <v>375</v>
      </c>
      <c r="Q105" s="18"/>
      <c r="R105" s="18"/>
      <c r="S105" s="18" t="s">
        <v>210</v>
      </c>
      <c r="T105" s="18" t="s">
        <v>210</v>
      </c>
      <c r="U105" s="18" t="s">
        <v>2902</v>
      </c>
    </row>
    <row r="106" spans="1:21" x14ac:dyDescent="0.25">
      <c r="A106" t="s">
        <v>1317</v>
      </c>
      <c r="B106" t="s">
        <v>43</v>
      </c>
      <c r="C106" t="s">
        <v>1587</v>
      </c>
      <c r="D106" t="s">
        <v>1750</v>
      </c>
      <c r="E106" t="s">
        <v>39</v>
      </c>
      <c r="F106" t="s">
        <v>39</v>
      </c>
      <c r="G106" t="s">
        <v>2133</v>
      </c>
      <c r="H106">
        <v>-81.1083</v>
      </c>
      <c r="I106">
        <v>48.551900000000003</v>
      </c>
      <c r="J106" t="s">
        <v>2768</v>
      </c>
      <c r="K106" t="s">
        <v>2767</v>
      </c>
      <c r="L106" t="s">
        <v>2551</v>
      </c>
      <c r="M106" t="s">
        <v>10</v>
      </c>
      <c r="P106" t="s">
        <v>11</v>
      </c>
      <c r="Q106" t="s">
        <v>44</v>
      </c>
      <c r="R106" t="s">
        <v>2542</v>
      </c>
      <c r="S106" t="s">
        <v>16</v>
      </c>
      <c r="T106" t="s">
        <v>16</v>
      </c>
      <c r="U106" t="s">
        <v>2903</v>
      </c>
    </row>
    <row r="107" spans="1:21" x14ac:dyDescent="0.25">
      <c r="A107" s="18" t="s">
        <v>1368</v>
      </c>
      <c r="B107" s="18" t="s">
        <v>436</v>
      </c>
      <c r="C107" s="18"/>
      <c r="D107" s="18"/>
      <c r="E107" s="18" t="s">
        <v>435</v>
      </c>
      <c r="F107" s="18" t="s">
        <v>898</v>
      </c>
      <c r="G107" s="18" t="s">
        <v>2161</v>
      </c>
      <c r="H107" s="18">
        <v>-131.0925</v>
      </c>
      <c r="I107" s="18">
        <v>56.666670000000003</v>
      </c>
      <c r="J107" s="18" t="s">
        <v>2813</v>
      </c>
      <c r="K107" s="18"/>
      <c r="L107" s="18" t="s">
        <v>2575</v>
      </c>
      <c r="M107" s="18" t="s">
        <v>374</v>
      </c>
      <c r="N107" s="18" t="s">
        <v>1115</v>
      </c>
      <c r="O107" s="18" t="s">
        <v>1116</v>
      </c>
      <c r="P107" s="18" t="s">
        <v>375</v>
      </c>
      <c r="Q107" s="18"/>
      <c r="R107" s="18"/>
      <c r="S107" s="18" t="s">
        <v>16</v>
      </c>
      <c r="T107" s="18" t="s">
        <v>437</v>
      </c>
      <c r="U107" s="18" t="s">
        <v>2902</v>
      </c>
    </row>
    <row r="108" spans="1:21" s="18" customFormat="1" x14ac:dyDescent="0.25">
      <c r="A108" t="s">
        <v>1136</v>
      </c>
      <c r="B108" t="s">
        <v>25</v>
      </c>
      <c r="C108"/>
      <c r="D108"/>
      <c r="E108" t="s">
        <v>24</v>
      </c>
      <c r="F108" t="s">
        <v>736</v>
      </c>
      <c r="G108" t="s">
        <v>2019</v>
      </c>
      <c r="H108">
        <v>-84.449603999999994</v>
      </c>
      <c r="I108">
        <v>48.285666999999997</v>
      </c>
      <c r="J108" t="s">
        <v>2566</v>
      </c>
      <c r="K108" t="s">
        <v>2565</v>
      </c>
      <c r="L108" t="s">
        <v>2551</v>
      </c>
      <c r="M108" t="s">
        <v>10</v>
      </c>
      <c r="N108"/>
      <c r="O108"/>
      <c r="P108" t="s">
        <v>11</v>
      </c>
      <c r="Q108" t="s">
        <v>13</v>
      </c>
      <c r="R108" t="s">
        <v>2542</v>
      </c>
      <c r="S108" t="s">
        <v>16</v>
      </c>
      <c r="T108" t="s">
        <v>16</v>
      </c>
      <c r="U108" t="s">
        <v>2903</v>
      </c>
    </row>
    <row r="109" spans="1:21" x14ac:dyDescent="0.25">
      <c r="A109" t="s">
        <v>1266</v>
      </c>
      <c r="B109" t="s">
        <v>312</v>
      </c>
      <c r="E109" t="s">
        <v>311</v>
      </c>
      <c r="F109" t="s">
        <v>311</v>
      </c>
      <c r="G109" t="s">
        <v>2098</v>
      </c>
      <c r="H109">
        <v>-74.704435000000004</v>
      </c>
      <c r="I109">
        <v>45.611899999999999</v>
      </c>
      <c r="J109" t="s">
        <v>2706</v>
      </c>
      <c r="L109" t="s">
        <v>2551</v>
      </c>
      <c r="M109" t="s">
        <v>10</v>
      </c>
      <c r="P109" t="s">
        <v>233</v>
      </c>
      <c r="Q109" t="s">
        <v>255</v>
      </c>
      <c r="R109" t="s">
        <v>340</v>
      </c>
      <c r="S109" t="s">
        <v>244</v>
      </c>
      <c r="T109" t="s">
        <v>244</v>
      </c>
      <c r="U109" t="s">
        <v>2903</v>
      </c>
    </row>
    <row r="110" spans="1:21" x14ac:dyDescent="0.25">
      <c r="A110" s="18" t="s">
        <v>1310</v>
      </c>
      <c r="B110" s="18" t="s">
        <v>679</v>
      </c>
      <c r="C110" s="18"/>
      <c r="D110" s="18"/>
      <c r="E110" s="18" t="s">
        <v>421</v>
      </c>
      <c r="F110" s="18" t="s">
        <v>421</v>
      </c>
      <c r="G110" s="18" t="s">
        <v>2129</v>
      </c>
      <c r="H110" s="18">
        <v>-112.79889</v>
      </c>
      <c r="I110" s="18">
        <v>65.630560000000003</v>
      </c>
      <c r="J110" s="18" t="s">
        <v>2754</v>
      </c>
      <c r="K110" s="18"/>
      <c r="L110" s="18" t="s">
        <v>2546</v>
      </c>
      <c r="M110" s="18" t="s">
        <v>374</v>
      </c>
      <c r="N110" s="18" t="s">
        <v>1115</v>
      </c>
      <c r="O110" s="18" t="s">
        <v>1116</v>
      </c>
      <c r="P110" s="18" t="s">
        <v>375</v>
      </c>
      <c r="Q110" s="18"/>
      <c r="R110" s="18"/>
      <c r="S110" s="18" t="s">
        <v>1551</v>
      </c>
      <c r="T110" s="18" t="s">
        <v>680</v>
      </c>
      <c r="U110" s="18" t="s">
        <v>2902</v>
      </c>
    </row>
    <row r="111" spans="1:21" x14ac:dyDescent="0.25">
      <c r="A111" s="18" t="s">
        <v>1142</v>
      </c>
      <c r="B111" s="18" t="s">
        <v>513</v>
      </c>
      <c r="C111" s="18"/>
      <c r="D111" s="18"/>
      <c r="E111" s="18" t="s">
        <v>512</v>
      </c>
      <c r="F111" s="18" t="s">
        <v>707</v>
      </c>
      <c r="G111" s="18" t="s">
        <v>2904</v>
      </c>
      <c r="H111" s="18">
        <v>-77.066670000000002</v>
      </c>
      <c r="I111" s="18">
        <v>52.233330000000002</v>
      </c>
      <c r="J111" s="18" t="s">
        <v>2574</v>
      </c>
      <c r="K111" s="18"/>
      <c r="L111" s="18" t="s">
        <v>2539</v>
      </c>
      <c r="M111" s="18" t="s">
        <v>374</v>
      </c>
      <c r="N111" s="18" t="s">
        <v>1115</v>
      </c>
      <c r="O111" s="18" t="s">
        <v>1116</v>
      </c>
      <c r="P111" s="18" t="s">
        <v>375</v>
      </c>
      <c r="Q111" s="18"/>
      <c r="R111" s="18"/>
      <c r="S111" s="18" t="s">
        <v>509</v>
      </c>
      <c r="T111" s="18" t="s">
        <v>509</v>
      </c>
      <c r="U111" s="18" t="s">
        <v>2902</v>
      </c>
    </row>
    <row r="112" spans="1:21" x14ac:dyDescent="0.25">
      <c r="A112" s="18" t="s">
        <v>1191</v>
      </c>
      <c r="B112" s="18" t="s">
        <v>403</v>
      </c>
      <c r="C112" s="18"/>
      <c r="D112" s="18"/>
      <c r="E112" s="18" t="s">
        <v>128</v>
      </c>
      <c r="F112" s="18" t="s">
        <v>793</v>
      </c>
      <c r="G112" s="18" t="s">
        <v>2046</v>
      </c>
      <c r="H112" s="18">
        <v>-126.77117</v>
      </c>
      <c r="I112" s="18">
        <v>57.050370000000001</v>
      </c>
      <c r="J112" s="18" t="s">
        <v>2624</v>
      </c>
      <c r="K112" s="18"/>
      <c r="L112" s="18" t="s">
        <v>2575</v>
      </c>
      <c r="M112" s="18" t="s">
        <v>374</v>
      </c>
      <c r="N112" s="18" t="s">
        <v>1115</v>
      </c>
      <c r="O112" s="18" t="s">
        <v>1116</v>
      </c>
      <c r="P112" s="18" t="s">
        <v>375</v>
      </c>
      <c r="Q112" s="18"/>
      <c r="R112" s="18"/>
      <c r="S112" s="18" t="s">
        <v>125</v>
      </c>
      <c r="T112" s="18" t="s">
        <v>130</v>
      </c>
      <c r="U112" s="18" t="s">
        <v>2902</v>
      </c>
    </row>
    <row r="113" spans="1:21" x14ac:dyDescent="0.25">
      <c r="A113" s="18" t="s">
        <v>1394</v>
      </c>
      <c r="B113" s="18" t="s">
        <v>568</v>
      </c>
      <c r="C113" s="18"/>
      <c r="D113" s="18"/>
      <c r="E113" s="18" t="s">
        <v>567</v>
      </c>
      <c r="F113" s="18" t="s">
        <v>906</v>
      </c>
      <c r="G113" s="18" t="s">
        <v>2181</v>
      </c>
      <c r="H113" s="18">
        <v>-93.634699999999995</v>
      </c>
      <c r="I113" s="18">
        <v>49.48357</v>
      </c>
      <c r="J113" s="18" t="s">
        <v>2844</v>
      </c>
      <c r="K113" s="18"/>
      <c r="L113" s="18" t="s">
        <v>2551</v>
      </c>
      <c r="M113" s="18" t="s">
        <v>374</v>
      </c>
      <c r="N113" s="18" t="s">
        <v>1115</v>
      </c>
      <c r="O113" s="18" t="s">
        <v>1116</v>
      </c>
      <c r="P113" s="18" t="s">
        <v>375</v>
      </c>
      <c r="Q113" s="18"/>
      <c r="R113" s="18"/>
      <c r="S113" s="18" t="s">
        <v>557</v>
      </c>
      <c r="T113" s="18" t="s">
        <v>183</v>
      </c>
      <c r="U113" s="18" t="s">
        <v>2902</v>
      </c>
    </row>
    <row r="114" spans="1:21" s="18" customFormat="1" x14ac:dyDescent="0.25">
      <c r="A114" t="s">
        <v>1264</v>
      </c>
      <c r="B114" t="s">
        <v>9</v>
      </c>
      <c r="C114"/>
      <c r="D114"/>
      <c r="E114" t="s">
        <v>8</v>
      </c>
      <c r="F114" t="s">
        <v>8</v>
      </c>
      <c r="G114" t="s">
        <v>1895</v>
      </c>
      <c r="H114">
        <v>-135.48330000000001</v>
      </c>
      <c r="I114">
        <v>63.916699999999999</v>
      </c>
      <c r="J114" t="s">
        <v>2704</v>
      </c>
      <c r="K114" t="s">
        <v>2702</v>
      </c>
      <c r="L114" t="s">
        <v>2599</v>
      </c>
      <c r="M114" t="s">
        <v>10</v>
      </c>
      <c r="N114"/>
      <c r="O114"/>
      <c r="P114" t="s">
        <v>11</v>
      </c>
      <c r="Q114" t="s">
        <v>13</v>
      </c>
      <c r="R114" t="s">
        <v>2703</v>
      </c>
      <c r="S114" t="s">
        <v>1549</v>
      </c>
      <c r="T114" t="s">
        <v>12</v>
      </c>
      <c r="U114" t="s">
        <v>2903</v>
      </c>
    </row>
    <row r="115" spans="1:21" s="18" customFormat="1" x14ac:dyDescent="0.25">
      <c r="A115" t="s">
        <v>1177</v>
      </c>
      <c r="B115" t="s">
        <v>211</v>
      </c>
      <c r="C115" t="s">
        <v>706</v>
      </c>
      <c r="D115" t="s">
        <v>2043</v>
      </c>
      <c r="E115" t="s">
        <v>208</v>
      </c>
      <c r="F115" t="s">
        <v>208</v>
      </c>
      <c r="G115" t="s">
        <v>1752</v>
      </c>
      <c r="H115">
        <v>-105.64700000000001</v>
      </c>
      <c r="I115">
        <v>57.207000000000001</v>
      </c>
      <c r="J115" t="s">
        <v>2611</v>
      </c>
      <c r="K115" t="s">
        <v>2610</v>
      </c>
      <c r="L115" t="s">
        <v>2588</v>
      </c>
      <c r="M115" t="s">
        <v>10</v>
      </c>
      <c r="N115"/>
      <c r="O115"/>
      <c r="P115" t="s">
        <v>11</v>
      </c>
      <c r="Q115" t="s">
        <v>21</v>
      </c>
      <c r="R115" t="s">
        <v>210</v>
      </c>
      <c r="S115" t="s">
        <v>210</v>
      </c>
      <c r="T115" t="s">
        <v>210</v>
      </c>
      <c r="U115" t="s">
        <v>2903</v>
      </c>
    </row>
    <row r="116" spans="1:21" s="18" customFormat="1" x14ac:dyDescent="0.25">
      <c r="A116" t="s">
        <v>1249</v>
      </c>
      <c r="B116" t="s">
        <v>143</v>
      </c>
      <c r="C116"/>
      <c r="D116"/>
      <c r="E116" t="s">
        <v>142</v>
      </c>
      <c r="F116" t="s">
        <v>715</v>
      </c>
      <c r="G116" t="s">
        <v>2086</v>
      </c>
      <c r="H116">
        <v>-81.37</v>
      </c>
      <c r="I116">
        <v>48.689399999999999</v>
      </c>
      <c r="J116" t="s">
        <v>2685</v>
      </c>
      <c r="K116" t="s">
        <v>2586</v>
      </c>
      <c r="L116" t="s">
        <v>2551</v>
      </c>
      <c r="M116" t="s">
        <v>10</v>
      </c>
      <c r="N116"/>
      <c r="O116"/>
      <c r="P116" t="s">
        <v>11</v>
      </c>
      <c r="Q116" t="s">
        <v>13</v>
      </c>
      <c r="R116" t="s">
        <v>2597</v>
      </c>
      <c r="S116" t="s">
        <v>125</v>
      </c>
      <c r="T116" t="s">
        <v>144</v>
      </c>
      <c r="U116" t="s">
        <v>2903</v>
      </c>
    </row>
    <row r="117" spans="1:21" s="18" customFormat="1" x14ac:dyDescent="0.25">
      <c r="A117" t="s">
        <v>1437</v>
      </c>
      <c r="B117" t="s">
        <v>60</v>
      </c>
      <c r="C117"/>
      <c r="D117"/>
      <c r="E117" t="s">
        <v>58</v>
      </c>
      <c r="F117" t="s">
        <v>730</v>
      </c>
      <c r="G117" t="s">
        <v>2202</v>
      </c>
      <c r="H117">
        <v>-77.91</v>
      </c>
      <c r="I117">
        <v>48.12</v>
      </c>
      <c r="J117" t="s">
        <v>2886</v>
      </c>
      <c r="K117" t="s">
        <v>2553</v>
      </c>
      <c r="L117" t="s">
        <v>2539</v>
      </c>
      <c r="M117" t="s">
        <v>10</v>
      </c>
      <c r="N117"/>
      <c r="O117"/>
      <c r="P117" t="s">
        <v>11</v>
      </c>
      <c r="Q117" t="s">
        <v>19</v>
      </c>
      <c r="R117" t="s">
        <v>2542</v>
      </c>
      <c r="S117" t="s">
        <v>16</v>
      </c>
      <c r="T117" t="s">
        <v>16</v>
      </c>
      <c r="U117" t="s">
        <v>2903</v>
      </c>
    </row>
    <row r="118" spans="1:21" s="18" customFormat="1" x14ac:dyDescent="0.25">
      <c r="A118" s="18" t="s">
        <v>1261</v>
      </c>
      <c r="B118" s="18" t="s">
        <v>502</v>
      </c>
      <c r="E118" s="18" t="s">
        <v>501</v>
      </c>
      <c r="F118" s="18" t="s">
        <v>857</v>
      </c>
      <c r="G118" s="18" t="s">
        <v>2095</v>
      </c>
      <c r="H118" s="18">
        <v>-109.19120556</v>
      </c>
      <c r="I118" s="18">
        <v>51.738941390000001</v>
      </c>
      <c r="J118" s="18" t="s">
        <v>2698</v>
      </c>
      <c r="L118" s="18" t="s">
        <v>2588</v>
      </c>
      <c r="M118" s="18" t="s">
        <v>374</v>
      </c>
      <c r="N118" s="18" t="s">
        <v>1115</v>
      </c>
      <c r="O118" s="18" t="s">
        <v>1118</v>
      </c>
      <c r="P118" s="18" t="s">
        <v>375</v>
      </c>
      <c r="S118" s="18" t="s">
        <v>498</v>
      </c>
      <c r="T118" s="18" t="s">
        <v>498</v>
      </c>
      <c r="U118" s="18" t="s">
        <v>2902</v>
      </c>
    </row>
    <row r="119" spans="1:21" x14ac:dyDescent="0.25">
      <c r="A119" t="s">
        <v>1287</v>
      </c>
      <c r="B119" t="s">
        <v>314</v>
      </c>
      <c r="E119" t="s">
        <v>313</v>
      </c>
      <c r="F119" t="s">
        <v>863</v>
      </c>
      <c r="G119" t="s">
        <v>2109</v>
      </c>
      <c r="H119">
        <v>-76.512100000000004</v>
      </c>
      <c r="I119">
        <v>44.261499999999998</v>
      </c>
      <c r="J119" t="s">
        <v>2729</v>
      </c>
      <c r="L119" t="s">
        <v>2551</v>
      </c>
      <c r="M119" t="s">
        <v>10</v>
      </c>
      <c r="P119" t="s">
        <v>233</v>
      </c>
      <c r="U119" t="s">
        <v>2903</v>
      </c>
    </row>
    <row r="120" spans="1:21" x14ac:dyDescent="0.25">
      <c r="A120" t="s">
        <v>1351</v>
      </c>
      <c r="B120" t="s">
        <v>315</v>
      </c>
      <c r="E120" t="s">
        <v>246</v>
      </c>
      <c r="F120" t="s">
        <v>718</v>
      </c>
      <c r="G120" t="s">
        <v>2149</v>
      </c>
      <c r="H120">
        <v>-128.69540000000001</v>
      </c>
      <c r="I120">
        <v>53.997599999999998</v>
      </c>
      <c r="J120" t="s">
        <v>2795</v>
      </c>
      <c r="L120" t="s">
        <v>2575</v>
      </c>
      <c r="M120" t="s">
        <v>10</v>
      </c>
      <c r="P120" t="s">
        <v>233</v>
      </c>
      <c r="Q120" t="s">
        <v>249</v>
      </c>
      <c r="R120" t="s">
        <v>376</v>
      </c>
      <c r="S120" t="s">
        <v>248</v>
      </c>
      <c r="T120" t="s">
        <v>248</v>
      </c>
      <c r="U120" t="s">
        <v>2903</v>
      </c>
    </row>
    <row r="121" spans="1:21" s="18" customFormat="1" x14ac:dyDescent="0.25">
      <c r="A121" s="18" t="s">
        <v>1208</v>
      </c>
      <c r="B121" s="18" t="s">
        <v>444</v>
      </c>
      <c r="E121" s="18" t="s">
        <v>443</v>
      </c>
      <c r="F121" s="18" t="s">
        <v>443</v>
      </c>
      <c r="G121" s="18" t="s">
        <v>2060</v>
      </c>
      <c r="H121" s="18">
        <v>-129.57777999999999</v>
      </c>
      <c r="I121" s="18">
        <v>55.753610000000002</v>
      </c>
      <c r="J121" s="18" t="s">
        <v>2643</v>
      </c>
      <c r="L121" s="18" t="s">
        <v>2575</v>
      </c>
      <c r="M121" s="18" t="s">
        <v>374</v>
      </c>
      <c r="N121" s="18" t="s">
        <v>1115</v>
      </c>
      <c r="O121" s="18" t="s">
        <v>1116</v>
      </c>
      <c r="P121" s="18" t="s">
        <v>375</v>
      </c>
      <c r="S121" s="18" t="s">
        <v>16</v>
      </c>
      <c r="T121" s="18" t="s">
        <v>445</v>
      </c>
      <c r="U121" s="18" t="s">
        <v>2902</v>
      </c>
    </row>
    <row r="122" spans="1:21" x14ac:dyDescent="0.25">
      <c r="A122" s="18" t="s">
        <v>1360</v>
      </c>
      <c r="B122" s="18" t="s">
        <v>456</v>
      </c>
      <c r="C122" s="18"/>
      <c r="D122" s="18"/>
      <c r="E122" s="18" t="s">
        <v>455</v>
      </c>
      <c r="F122" s="18" t="s">
        <v>893</v>
      </c>
      <c r="G122" s="18" t="s">
        <v>2155</v>
      </c>
      <c r="H122" s="18">
        <v>-137.3175</v>
      </c>
      <c r="I122" s="18">
        <v>62.141170000000002</v>
      </c>
      <c r="J122" s="18" t="s">
        <v>2805</v>
      </c>
      <c r="K122" s="18"/>
      <c r="L122" s="18" t="s">
        <v>2599</v>
      </c>
      <c r="M122" s="18" t="s">
        <v>374</v>
      </c>
      <c r="N122" s="18" t="s">
        <v>1115</v>
      </c>
      <c r="O122" s="18" t="s">
        <v>1116</v>
      </c>
      <c r="P122" s="18" t="s">
        <v>375</v>
      </c>
      <c r="Q122" s="18"/>
      <c r="R122" s="18"/>
      <c r="S122" s="18" t="s">
        <v>16</v>
      </c>
      <c r="T122" s="18" t="s">
        <v>457</v>
      </c>
      <c r="U122" s="18" t="s">
        <v>2902</v>
      </c>
    </row>
    <row r="123" spans="1:21" s="18" customFormat="1" x14ac:dyDescent="0.25">
      <c r="A123" s="18" t="s">
        <v>1369</v>
      </c>
      <c r="B123" s="18" t="s">
        <v>438</v>
      </c>
      <c r="E123" s="18" t="s">
        <v>435</v>
      </c>
      <c r="F123" s="18" t="s">
        <v>898</v>
      </c>
      <c r="G123" s="18" t="s">
        <v>2161</v>
      </c>
      <c r="H123" s="18">
        <v>-130.33555999999999</v>
      </c>
      <c r="I123" s="18">
        <v>56.466659999999997</v>
      </c>
      <c r="J123" s="18" t="s">
        <v>2814</v>
      </c>
      <c r="L123" s="18" t="s">
        <v>2575</v>
      </c>
      <c r="M123" s="18" t="s">
        <v>374</v>
      </c>
      <c r="N123" s="18" t="s">
        <v>1115</v>
      </c>
      <c r="O123" s="18" t="s">
        <v>1116</v>
      </c>
      <c r="P123" s="18" t="s">
        <v>375</v>
      </c>
      <c r="S123" s="18" t="s">
        <v>16</v>
      </c>
      <c r="T123" s="18" t="s">
        <v>439</v>
      </c>
      <c r="U123" s="18" t="s">
        <v>2902</v>
      </c>
    </row>
    <row r="124" spans="1:21" x14ac:dyDescent="0.25">
      <c r="A124" s="18" t="s">
        <v>1170</v>
      </c>
      <c r="B124" s="18" t="s">
        <v>690</v>
      </c>
      <c r="C124" s="18"/>
      <c r="D124" s="18"/>
      <c r="E124" s="18" t="s">
        <v>689</v>
      </c>
      <c r="F124" s="18" t="s">
        <v>707</v>
      </c>
      <c r="G124" s="18" t="s">
        <v>2904</v>
      </c>
      <c r="H124" s="18">
        <v>-130.59894</v>
      </c>
      <c r="I124" s="18">
        <v>61.471080000000001</v>
      </c>
      <c r="J124" s="18" t="s">
        <v>2600</v>
      </c>
      <c r="K124" s="18"/>
      <c r="L124" s="18" t="s">
        <v>2599</v>
      </c>
      <c r="M124" s="18" t="s">
        <v>374</v>
      </c>
      <c r="N124" s="18" t="s">
        <v>1115</v>
      </c>
      <c r="O124" s="18" t="s">
        <v>1116</v>
      </c>
      <c r="P124" s="18" t="s">
        <v>375</v>
      </c>
      <c r="Q124" s="18"/>
      <c r="R124" s="18"/>
      <c r="S124" s="18" t="s">
        <v>1551</v>
      </c>
      <c r="T124" s="18" t="s">
        <v>688</v>
      </c>
      <c r="U124" s="18" t="s">
        <v>2902</v>
      </c>
    </row>
    <row r="125" spans="1:21" x14ac:dyDescent="0.25">
      <c r="A125" s="18" t="s">
        <v>1289</v>
      </c>
      <c r="B125" s="18" t="s">
        <v>427</v>
      </c>
      <c r="C125" s="18"/>
      <c r="D125" s="18"/>
      <c r="E125" s="18" t="s">
        <v>426</v>
      </c>
      <c r="F125" s="18" t="s">
        <v>864</v>
      </c>
      <c r="G125" s="18" t="s">
        <v>2111</v>
      </c>
      <c r="H125" s="18">
        <v>-128.38736</v>
      </c>
      <c r="I125" s="18">
        <v>58.209960000000002</v>
      </c>
      <c r="J125" s="18" t="s">
        <v>2731</v>
      </c>
      <c r="K125" s="18"/>
      <c r="L125" s="18" t="s">
        <v>2575</v>
      </c>
      <c r="M125" s="18" t="s">
        <v>374</v>
      </c>
      <c r="N125" s="18" t="s">
        <v>1115</v>
      </c>
      <c r="O125" s="18" t="s">
        <v>1116</v>
      </c>
      <c r="P125" s="18" t="s">
        <v>375</v>
      </c>
      <c r="Q125" s="18"/>
      <c r="R125" s="18"/>
      <c r="S125" s="18" t="s">
        <v>125</v>
      </c>
      <c r="T125" s="18" t="s">
        <v>428</v>
      </c>
      <c r="U125" s="18" t="s">
        <v>2902</v>
      </c>
    </row>
    <row r="126" spans="1:21" x14ac:dyDescent="0.25">
      <c r="A126" s="18" t="s">
        <v>1332</v>
      </c>
      <c r="B126" s="18" t="s">
        <v>405</v>
      </c>
      <c r="C126" s="18"/>
      <c r="D126" s="18"/>
      <c r="E126" s="18" t="s">
        <v>404</v>
      </c>
      <c r="F126" s="18" t="s">
        <v>883</v>
      </c>
      <c r="G126" s="18" t="s">
        <v>2141</v>
      </c>
      <c r="H126" s="18">
        <v>-125.27126800000001</v>
      </c>
      <c r="I126" s="18">
        <v>55.415303000000002</v>
      </c>
      <c r="J126" s="18" t="s">
        <v>2783</v>
      </c>
      <c r="K126" s="18"/>
      <c r="L126" s="18" t="s">
        <v>2575</v>
      </c>
      <c r="M126" s="18" t="s">
        <v>374</v>
      </c>
      <c r="N126" s="18" t="s">
        <v>1115</v>
      </c>
      <c r="O126" s="18" t="s">
        <v>1116</v>
      </c>
      <c r="P126" s="18" t="s">
        <v>375</v>
      </c>
      <c r="Q126" s="18"/>
      <c r="R126" s="18"/>
      <c r="S126" s="18" t="s">
        <v>125</v>
      </c>
      <c r="T126" s="18" t="s">
        <v>130</v>
      </c>
      <c r="U126" s="18" t="s">
        <v>2902</v>
      </c>
    </row>
    <row r="127" spans="1:21" s="18" customFormat="1" x14ac:dyDescent="0.25">
      <c r="A127" s="18" t="s">
        <v>1375</v>
      </c>
      <c r="B127" s="18" t="s">
        <v>646</v>
      </c>
      <c r="E127" s="18" t="s">
        <v>645</v>
      </c>
      <c r="F127" s="18" t="s">
        <v>645</v>
      </c>
      <c r="G127" s="18" t="s">
        <v>2167</v>
      </c>
      <c r="H127" s="18">
        <v>-65.265640000000005</v>
      </c>
      <c r="I127" s="18">
        <v>51.049750000000003</v>
      </c>
      <c r="J127" s="18" t="s">
        <v>2823</v>
      </c>
      <c r="L127" s="18" t="s">
        <v>2539</v>
      </c>
      <c r="M127" s="18" t="s">
        <v>374</v>
      </c>
      <c r="N127" s="18" t="s">
        <v>1115</v>
      </c>
      <c r="O127" s="18" t="s">
        <v>1116</v>
      </c>
      <c r="P127" s="18" t="s">
        <v>375</v>
      </c>
      <c r="S127" s="18" t="s">
        <v>627</v>
      </c>
      <c r="T127" s="18" t="s">
        <v>647</v>
      </c>
      <c r="U127" s="18" t="s">
        <v>2902</v>
      </c>
    </row>
    <row r="128" spans="1:21" x14ac:dyDescent="0.25">
      <c r="A128" s="18" t="s">
        <v>1294</v>
      </c>
      <c r="B128" s="18" t="s">
        <v>472</v>
      </c>
      <c r="C128" s="18"/>
      <c r="D128" s="18"/>
      <c r="E128" s="18" t="s">
        <v>471</v>
      </c>
      <c r="F128" s="18" t="s">
        <v>866</v>
      </c>
      <c r="G128" s="18" t="s">
        <v>2116</v>
      </c>
      <c r="H128" s="18">
        <v>-74.997140000000002</v>
      </c>
      <c r="I128" s="18">
        <v>46.036560000000001</v>
      </c>
      <c r="J128" s="18" t="s">
        <v>2736</v>
      </c>
      <c r="K128" s="18"/>
      <c r="L128" s="18" t="s">
        <v>2539</v>
      </c>
      <c r="M128" s="18" t="s">
        <v>374</v>
      </c>
      <c r="N128" s="18" t="s">
        <v>1115</v>
      </c>
      <c r="O128" s="18" t="s">
        <v>1116</v>
      </c>
      <c r="P128" s="18" t="s">
        <v>375</v>
      </c>
      <c r="Q128" s="18"/>
      <c r="R128" s="18"/>
      <c r="S128" s="18" t="s">
        <v>468</v>
      </c>
      <c r="T128" s="18" t="s">
        <v>468</v>
      </c>
      <c r="U128" s="18" t="s">
        <v>2902</v>
      </c>
    </row>
    <row r="129" spans="1:21" s="18" customFormat="1" x14ac:dyDescent="0.25">
      <c r="A129" t="s">
        <v>1277</v>
      </c>
      <c r="B129" t="s">
        <v>203</v>
      </c>
      <c r="C129"/>
      <c r="D129"/>
      <c r="E129" t="s">
        <v>202</v>
      </c>
      <c r="F129" t="s">
        <v>859</v>
      </c>
      <c r="G129" t="s">
        <v>2101</v>
      </c>
      <c r="H129">
        <v>-89.610500000000002</v>
      </c>
      <c r="I129">
        <v>49.1691</v>
      </c>
      <c r="J129" t="s">
        <v>2721</v>
      </c>
      <c r="K129" t="s">
        <v>2719</v>
      </c>
      <c r="L129" t="s">
        <v>2551</v>
      </c>
      <c r="M129" t="s">
        <v>10</v>
      </c>
      <c r="N129"/>
      <c r="O129"/>
      <c r="P129" t="s">
        <v>11</v>
      </c>
      <c r="Q129" t="s">
        <v>23</v>
      </c>
      <c r="R129" t="s">
        <v>2542</v>
      </c>
      <c r="S129" t="s">
        <v>2720</v>
      </c>
      <c r="T129" t="s">
        <v>204</v>
      </c>
      <c r="U129" t="s">
        <v>2903</v>
      </c>
    </row>
    <row r="130" spans="1:21" s="18" customFormat="1" x14ac:dyDescent="0.25">
      <c r="A130" s="18" t="s">
        <v>1430</v>
      </c>
      <c r="B130" s="18" t="s">
        <v>494</v>
      </c>
      <c r="E130" s="18" t="s">
        <v>493</v>
      </c>
      <c r="F130" s="18" t="s">
        <v>910</v>
      </c>
      <c r="G130" s="18" t="s">
        <v>2195</v>
      </c>
      <c r="H130" s="18">
        <v>-73.956819999999993</v>
      </c>
      <c r="I130" s="18">
        <v>49.845730000000003</v>
      </c>
      <c r="J130" s="18" t="s">
        <v>2878</v>
      </c>
      <c r="L130" s="18" t="s">
        <v>2539</v>
      </c>
      <c r="M130" s="18" t="s">
        <v>374</v>
      </c>
      <c r="N130" s="18" t="s">
        <v>1115</v>
      </c>
      <c r="O130" s="18" t="s">
        <v>1116</v>
      </c>
      <c r="P130" s="18" t="s">
        <v>375</v>
      </c>
      <c r="S130" s="18" t="s">
        <v>340</v>
      </c>
      <c r="T130" s="18" t="s">
        <v>491</v>
      </c>
      <c r="U130" s="18" t="s">
        <v>2902</v>
      </c>
    </row>
    <row r="131" spans="1:21" s="18" customFormat="1" x14ac:dyDescent="0.25">
      <c r="A131" s="18" t="s">
        <v>1302</v>
      </c>
      <c r="B131" s="18" t="s">
        <v>474</v>
      </c>
      <c r="E131" s="18" t="s">
        <v>473</v>
      </c>
      <c r="F131" s="18" t="s">
        <v>871</v>
      </c>
      <c r="G131" s="18" t="s">
        <v>2123</v>
      </c>
      <c r="H131" s="18">
        <v>-69.099999999999994</v>
      </c>
      <c r="I131" s="18">
        <v>51.14</v>
      </c>
      <c r="J131" s="18" t="s">
        <v>2745</v>
      </c>
      <c r="L131" s="18" t="s">
        <v>2539</v>
      </c>
      <c r="M131" s="18" t="s">
        <v>374</v>
      </c>
      <c r="N131" s="18" t="s">
        <v>1115</v>
      </c>
      <c r="O131" s="18" t="s">
        <v>1116</v>
      </c>
      <c r="P131" s="18" t="s">
        <v>375</v>
      </c>
      <c r="S131" s="18" t="s">
        <v>468</v>
      </c>
      <c r="T131" s="18" t="s">
        <v>468</v>
      </c>
      <c r="U131" s="18" t="s">
        <v>2902</v>
      </c>
    </row>
    <row r="132" spans="1:21" x14ac:dyDescent="0.25">
      <c r="A132" s="18" t="s">
        <v>1230</v>
      </c>
      <c r="B132" s="18" t="s">
        <v>480</v>
      </c>
      <c r="C132" s="18"/>
      <c r="D132" s="18"/>
      <c r="E132" s="18" t="s">
        <v>479</v>
      </c>
      <c r="F132" s="18" t="s">
        <v>848</v>
      </c>
      <c r="G132" s="18" t="s">
        <v>2077</v>
      </c>
      <c r="H132" s="18">
        <v>-67.181790000000007</v>
      </c>
      <c r="I132" s="18">
        <v>52.54974</v>
      </c>
      <c r="J132" s="18" t="s">
        <v>2663</v>
      </c>
      <c r="K132" s="18"/>
      <c r="L132" s="18" t="s">
        <v>2539</v>
      </c>
      <c r="M132" s="18" t="s">
        <v>374</v>
      </c>
      <c r="N132" s="18" t="s">
        <v>1115</v>
      </c>
      <c r="O132" s="18" t="s">
        <v>1116</v>
      </c>
      <c r="P132" s="18" t="s">
        <v>375</v>
      </c>
      <c r="Q132" s="18"/>
      <c r="R132" s="18"/>
      <c r="S132" s="18" t="s">
        <v>468</v>
      </c>
      <c r="T132" s="18" t="s">
        <v>468</v>
      </c>
      <c r="U132" s="18" t="s">
        <v>2902</v>
      </c>
    </row>
    <row r="133" spans="1:21" x14ac:dyDescent="0.25">
      <c r="A133" s="18" t="s">
        <v>1306</v>
      </c>
      <c r="B133" s="18" t="s">
        <v>476</v>
      </c>
      <c r="C133" s="18"/>
      <c r="D133" s="18"/>
      <c r="E133" s="18" t="s">
        <v>475</v>
      </c>
      <c r="F133" s="18" t="s">
        <v>874</v>
      </c>
      <c r="G133" s="18" t="s">
        <v>2126</v>
      </c>
      <c r="H133" s="18">
        <v>-67.075969999999998</v>
      </c>
      <c r="I133" s="18">
        <v>52.605110000000003</v>
      </c>
      <c r="J133" s="18" t="s">
        <v>2749</v>
      </c>
      <c r="K133" s="18"/>
      <c r="L133" s="18" t="s">
        <v>2539</v>
      </c>
      <c r="M133" s="18" t="s">
        <v>374</v>
      </c>
      <c r="N133" s="18" t="s">
        <v>1115</v>
      </c>
      <c r="O133" s="18" t="s">
        <v>1116</v>
      </c>
      <c r="P133" s="18" t="s">
        <v>375</v>
      </c>
      <c r="Q133" s="18"/>
      <c r="R133" s="18"/>
      <c r="S133" s="18" t="s">
        <v>468</v>
      </c>
      <c r="T133" s="18" t="s">
        <v>468</v>
      </c>
      <c r="U133" s="18" t="s">
        <v>2902</v>
      </c>
    </row>
    <row r="134" spans="1:21" x14ac:dyDescent="0.25">
      <c r="A134" t="s">
        <v>1353</v>
      </c>
      <c r="B134" t="s">
        <v>170</v>
      </c>
      <c r="C134" t="s">
        <v>2152</v>
      </c>
      <c r="D134" t="s">
        <v>2153</v>
      </c>
      <c r="E134" t="s">
        <v>151</v>
      </c>
      <c r="F134" t="s">
        <v>718</v>
      </c>
      <c r="G134" t="s">
        <v>2149</v>
      </c>
      <c r="H134">
        <v>-63.415999999999997</v>
      </c>
      <c r="I134">
        <v>50.554099999999998</v>
      </c>
      <c r="J134" t="s">
        <v>2801</v>
      </c>
      <c r="K134" t="s">
        <v>2800</v>
      </c>
      <c r="L134" t="s">
        <v>2539</v>
      </c>
      <c r="M134" t="s">
        <v>10</v>
      </c>
      <c r="P134" t="s">
        <v>11</v>
      </c>
      <c r="Q134" t="s">
        <v>34</v>
      </c>
      <c r="R134" t="s">
        <v>1876</v>
      </c>
      <c r="S134" t="s">
        <v>171</v>
      </c>
      <c r="T134" t="s">
        <v>171</v>
      </c>
      <c r="U134" t="s">
        <v>2903</v>
      </c>
    </row>
    <row r="135" spans="1:21" s="18" customFormat="1" x14ac:dyDescent="0.25">
      <c r="A135" t="s">
        <v>1381</v>
      </c>
      <c r="B135" t="s">
        <v>316</v>
      </c>
      <c r="C135"/>
      <c r="D135"/>
      <c r="E135" t="s">
        <v>306</v>
      </c>
      <c r="F135" t="s">
        <v>903</v>
      </c>
      <c r="G135" t="s">
        <v>2172</v>
      </c>
      <c r="H135">
        <v>-80.093699999999998</v>
      </c>
      <c r="I135">
        <v>42.8001</v>
      </c>
      <c r="J135" t="s">
        <v>2833</v>
      </c>
      <c r="K135"/>
      <c r="L135" t="s">
        <v>2551</v>
      </c>
      <c r="M135" t="s">
        <v>10</v>
      </c>
      <c r="N135"/>
      <c r="O135"/>
      <c r="P135" t="s">
        <v>233</v>
      </c>
      <c r="Q135" t="s">
        <v>245</v>
      </c>
      <c r="R135" t="s">
        <v>340</v>
      </c>
      <c r="S135" t="s">
        <v>244</v>
      </c>
      <c r="T135" t="s">
        <v>244</v>
      </c>
      <c r="U135" t="s">
        <v>2903</v>
      </c>
    </row>
    <row r="136" spans="1:21" x14ac:dyDescent="0.25">
      <c r="A136" t="s">
        <v>1269</v>
      </c>
      <c r="B136" t="s">
        <v>89</v>
      </c>
      <c r="C136" t="s">
        <v>1778</v>
      </c>
      <c r="D136" t="s">
        <v>1849</v>
      </c>
      <c r="E136" t="s">
        <v>79</v>
      </c>
      <c r="F136" t="s">
        <v>717</v>
      </c>
      <c r="G136" t="s">
        <v>1848</v>
      </c>
      <c r="H136">
        <v>-100.13333</v>
      </c>
      <c r="I136">
        <v>54.866669999999999</v>
      </c>
      <c r="J136" t="s">
        <v>2710</v>
      </c>
      <c r="K136" t="s">
        <v>1778</v>
      </c>
      <c r="L136" t="s">
        <v>2562</v>
      </c>
      <c r="M136" t="s">
        <v>10</v>
      </c>
      <c r="P136" t="s">
        <v>11</v>
      </c>
      <c r="Q136" t="s">
        <v>44</v>
      </c>
      <c r="R136" t="s">
        <v>2626</v>
      </c>
      <c r="S136" t="s">
        <v>16</v>
      </c>
      <c r="T136" t="s">
        <v>90</v>
      </c>
      <c r="U136" t="s">
        <v>2903</v>
      </c>
    </row>
    <row r="137" spans="1:21" x14ac:dyDescent="0.25">
      <c r="A137" t="s">
        <v>1210</v>
      </c>
      <c r="B137" t="s">
        <v>31</v>
      </c>
      <c r="E137" t="s">
        <v>30</v>
      </c>
      <c r="F137" t="s">
        <v>30</v>
      </c>
      <c r="G137" t="s">
        <v>2062</v>
      </c>
      <c r="H137">
        <v>-77.739624000000006</v>
      </c>
      <c r="I137">
        <v>48.079220999999997</v>
      </c>
      <c r="J137" t="s">
        <v>2645</v>
      </c>
      <c r="K137" t="s">
        <v>2553</v>
      </c>
      <c r="L137" t="s">
        <v>2539</v>
      </c>
      <c r="M137" t="s">
        <v>10</v>
      </c>
      <c r="P137" t="s">
        <v>11</v>
      </c>
      <c r="Q137" t="s">
        <v>13</v>
      </c>
      <c r="R137" t="s">
        <v>2542</v>
      </c>
      <c r="S137" t="s">
        <v>16</v>
      </c>
      <c r="T137" t="s">
        <v>16</v>
      </c>
      <c r="U137" t="s">
        <v>2903</v>
      </c>
    </row>
    <row r="138" spans="1:21" s="18" customFormat="1" x14ac:dyDescent="0.25">
      <c r="A138" t="s">
        <v>1126</v>
      </c>
      <c r="B138" t="s">
        <v>91</v>
      </c>
      <c r="C138"/>
      <c r="D138"/>
      <c r="E138" t="s">
        <v>14</v>
      </c>
      <c r="F138" t="s">
        <v>14</v>
      </c>
      <c r="G138" t="s">
        <v>2016</v>
      </c>
      <c r="H138">
        <v>-78.427999999999997</v>
      </c>
      <c r="I138">
        <v>48.251600000000003</v>
      </c>
      <c r="J138" t="s">
        <v>2556</v>
      </c>
      <c r="K138" t="s">
        <v>2555</v>
      </c>
      <c r="L138" t="s">
        <v>2539</v>
      </c>
      <c r="M138" t="s">
        <v>10</v>
      </c>
      <c r="N138"/>
      <c r="O138"/>
      <c r="P138" t="s">
        <v>11</v>
      </c>
      <c r="Q138" t="s">
        <v>13</v>
      </c>
      <c r="R138" t="s">
        <v>2542</v>
      </c>
      <c r="S138" t="s">
        <v>16</v>
      </c>
      <c r="T138" t="s">
        <v>92</v>
      </c>
      <c r="U138" t="s">
        <v>2903</v>
      </c>
    </row>
    <row r="139" spans="1:21" x14ac:dyDescent="0.25">
      <c r="A139" t="s">
        <v>1347</v>
      </c>
      <c r="B139" t="s">
        <v>317</v>
      </c>
      <c r="C139" t="s">
        <v>2150</v>
      </c>
      <c r="D139" t="s">
        <v>2151</v>
      </c>
      <c r="E139" t="s">
        <v>246</v>
      </c>
      <c r="F139" t="s">
        <v>718</v>
      </c>
      <c r="G139" t="s">
        <v>2149</v>
      </c>
      <c r="H139">
        <v>-71.128699999999995</v>
      </c>
      <c r="I139">
        <v>48.301299999999998</v>
      </c>
      <c r="J139" t="s">
        <v>2796</v>
      </c>
      <c r="L139" t="s">
        <v>2539</v>
      </c>
      <c r="M139" t="s">
        <v>10</v>
      </c>
      <c r="P139" t="s">
        <v>233</v>
      </c>
      <c r="Q139" t="s">
        <v>249</v>
      </c>
      <c r="R139" t="s">
        <v>376</v>
      </c>
      <c r="S139" t="s">
        <v>248</v>
      </c>
      <c r="T139" t="s">
        <v>248</v>
      </c>
      <c r="U139" t="s">
        <v>2903</v>
      </c>
    </row>
    <row r="140" spans="1:21" s="18" customFormat="1" x14ac:dyDescent="0.25">
      <c r="A140" s="18" t="s">
        <v>1292</v>
      </c>
      <c r="B140" s="18" t="s">
        <v>378</v>
      </c>
      <c r="E140" s="18" t="s">
        <v>377</v>
      </c>
      <c r="F140" s="18" t="s">
        <v>377</v>
      </c>
      <c r="G140" s="18" t="s">
        <v>2114</v>
      </c>
      <c r="H140" s="18">
        <v>-73.349997999999999</v>
      </c>
      <c r="I140" s="18">
        <v>45.533332999999999</v>
      </c>
      <c r="J140" s="18" t="s">
        <v>2734</v>
      </c>
      <c r="L140" s="18" t="s">
        <v>2539</v>
      </c>
      <c r="M140" s="18" t="s">
        <v>374</v>
      </c>
      <c r="N140" s="18" t="s">
        <v>1115</v>
      </c>
      <c r="O140" s="18" t="s">
        <v>1117</v>
      </c>
      <c r="P140" s="18" t="s">
        <v>375</v>
      </c>
      <c r="S140" s="18" t="s">
        <v>379</v>
      </c>
      <c r="T140" s="18" t="s">
        <v>379</v>
      </c>
      <c r="U140" s="18" t="s">
        <v>2902</v>
      </c>
    </row>
    <row r="141" spans="1:21" s="18" customFormat="1" x14ac:dyDescent="0.25">
      <c r="A141" s="18" t="s">
        <v>1356</v>
      </c>
      <c r="B141" s="18" t="s">
        <v>495</v>
      </c>
      <c r="C141" s="18" t="s">
        <v>2152</v>
      </c>
      <c r="D141" s="18" t="s">
        <v>2153</v>
      </c>
      <c r="E141" s="18" t="s">
        <v>151</v>
      </c>
      <c r="F141" s="18" t="s">
        <v>718</v>
      </c>
      <c r="G141" s="18" t="s">
        <v>2149</v>
      </c>
      <c r="H141" s="18">
        <v>-73.139626000000007</v>
      </c>
      <c r="I141" s="18">
        <v>46.043726999999997</v>
      </c>
      <c r="J141" s="18" t="s">
        <v>2802</v>
      </c>
      <c r="L141" s="18" t="s">
        <v>2539</v>
      </c>
      <c r="M141" s="18" t="s">
        <v>374</v>
      </c>
      <c r="N141" s="18" t="s">
        <v>1115</v>
      </c>
      <c r="O141" s="18" t="s">
        <v>1117</v>
      </c>
      <c r="P141" s="18" t="s">
        <v>375</v>
      </c>
      <c r="S141" s="18" t="s">
        <v>174</v>
      </c>
      <c r="T141" s="18" t="s">
        <v>174</v>
      </c>
      <c r="U141" s="18" t="s">
        <v>2902</v>
      </c>
    </row>
    <row r="142" spans="1:21" s="18" customFormat="1" x14ac:dyDescent="0.25">
      <c r="A142" t="s">
        <v>1429</v>
      </c>
      <c r="B142" t="s">
        <v>318</v>
      </c>
      <c r="C142"/>
      <c r="D142"/>
      <c r="E142" t="s">
        <v>181</v>
      </c>
      <c r="F142" t="s">
        <v>719</v>
      </c>
      <c r="G142" t="s">
        <v>2191</v>
      </c>
      <c r="H142">
        <v>-53.811791999999997</v>
      </c>
      <c r="I142">
        <v>47.410938000000002</v>
      </c>
      <c r="J142" t="s">
        <v>2876</v>
      </c>
      <c r="K142"/>
      <c r="L142" t="s">
        <v>2601</v>
      </c>
      <c r="M142" t="s">
        <v>10</v>
      </c>
      <c r="N142"/>
      <c r="O142"/>
      <c r="P142" t="s">
        <v>233</v>
      </c>
      <c r="Q142" t="s">
        <v>274</v>
      </c>
      <c r="R142" t="s">
        <v>2597</v>
      </c>
      <c r="S142" t="s">
        <v>557</v>
      </c>
      <c r="T142" t="s">
        <v>183</v>
      </c>
      <c r="U142" t="s">
        <v>2903</v>
      </c>
    </row>
    <row r="143" spans="1:21" s="18" customFormat="1" x14ac:dyDescent="0.25">
      <c r="A143" s="18" t="s">
        <v>1199</v>
      </c>
      <c r="B143" s="18" t="s">
        <v>570</v>
      </c>
      <c r="E143" s="18" t="s">
        <v>569</v>
      </c>
      <c r="F143" s="18" t="s">
        <v>736</v>
      </c>
      <c r="G143" s="18" t="s">
        <v>2019</v>
      </c>
      <c r="H143" s="18">
        <v>-101.03485999999999</v>
      </c>
      <c r="I143" s="18">
        <v>56.852170000000001</v>
      </c>
      <c r="J143" s="18" t="s">
        <v>2633</v>
      </c>
      <c r="L143" s="18" t="s">
        <v>2562</v>
      </c>
      <c r="M143" s="18" t="s">
        <v>374</v>
      </c>
      <c r="N143" s="18" t="s">
        <v>1115</v>
      </c>
      <c r="O143" s="18" t="s">
        <v>1116</v>
      </c>
      <c r="P143" s="18" t="s">
        <v>375</v>
      </c>
      <c r="S143" s="18" t="s">
        <v>557</v>
      </c>
      <c r="T143" s="18" t="s">
        <v>183</v>
      </c>
      <c r="U143" s="18" t="s">
        <v>2902</v>
      </c>
    </row>
    <row r="144" spans="1:21" s="18" customFormat="1" x14ac:dyDescent="0.25">
      <c r="A144" t="s">
        <v>1128</v>
      </c>
      <c r="B144" t="s">
        <v>67</v>
      </c>
      <c r="C144"/>
      <c r="D144"/>
      <c r="E144" t="s">
        <v>14</v>
      </c>
      <c r="F144" t="s">
        <v>14</v>
      </c>
      <c r="G144" t="s">
        <v>2016</v>
      </c>
      <c r="H144">
        <v>-80.071636999999996</v>
      </c>
      <c r="I144">
        <v>48.142527999999999</v>
      </c>
      <c r="J144" t="s">
        <v>2558</v>
      </c>
      <c r="K144" t="s">
        <v>2557</v>
      </c>
      <c r="L144" t="s">
        <v>2551</v>
      </c>
      <c r="M144" t="s">
        <v>10</v>
      </c>
      <c r="N144"/>
      <c r="O144"/>
      <c r="P144" t="s">
        <v>11</v>
      </c>
      <c r="Q144" t="s">
        <v>13</v>
      </c>
      <c r="R144" t="s">
        <v>2542</v>
      </c>
      <c r="S144" t="s">
        <v>16</v>
      </c>
      <c r="T144" t="s">
        <v>64</v>
      </c>
      <c r="U144" t="s">
        <v>2903</v>
      </c>
    </row>
    <row r="145" spans="1:21" s="18" customFormat="1" x14ac:dyDescent="0.25">
      <c r="A145" s="18" t="s">
        <v>1225</v>
      </c>
      <c r="B145" s="18" t="s">
        <v>694</v>
      </c>
      <c r="E145" s="18" t="s">
        <v>654</v>
      </c>
      <c r="F145" s="18" t="s">
        <v>843</v>
      </c>
      <c r="G145" s="18" t="s">
        <v>2073</v>
      </c>
      <c r="H145" s="18">
        <v>-130.15143</v>
      </c>
      <c r="I145" s="18">
        <v>63.16057</v>
      </c>
      <c r="J145" s="18" t="s">
        <v>2658</v>
      </c>
      <c r="L145" s="18" t="s">
        <v>2599</v>
      </c>
      <c r="M145" s="18" t="s">
        <v>374</v>
      </c>
      <c r="N145" s="18" t="s">
        <v>1115</v>
      </c>
      <c r="O145" s="18" t="s">
        <v>1116</v>
      </c>
      <c r="P145" s="18" t="s">
        <v>375</v>
      </c>
      <c r="S145" s="18" t="s">
        <v>1551</v>
      </c>
      <c r="T145" s="18" t="s">
        <v>693</v>
      </c>
      <c r="U145" s="18" t="s">
        <v>2902</v>
      </c>
    </row>
    <row r="146" spans="1:21" s="18" customFormat="1" x14ac:dyDescent="0.25">
      <c r="A146" s="18" t="s">
        <v>1224</v>
      </c>
      <c r="B146" s="18" t="s">
        <v>655</v>
      </c>
      <c r="E146" s="18" t="s">
        <v>654</v>
      </c>
      <c r="F146" s="18" t="s">
        <v>843</v>
      </c>
      <c r="G146" s="18" t="s">
        <v>2073</v>
      </c>
      <c r="H146" s="18">
        <v>-130.1525</v>
      </c>
      <c r="I146" s="18">
        <v>63.282222222199998</v>
      </c>
      <c r="J146" s="18" t="s">
        <v>2659</v>
      </c>
      <c r="L146" s="18" t="s">
        <v>2599</v>
      </c>
      <c r="M146" s="18" t="s">
        <v>374</v>
      </c>
      <c r="N146" s="18" t="s">
        <v>1115</v>
      </c>
      <c r="O146" s="18" t="s">
        <v>1116</v>
      </c>
      <c r="P146" s="18" t="s">
        <v>375</v>
      </c>
      <c r="S146" s="18" t="s">
        <v>653</v>
      </c>
      <c r="T146" s="18" t="s">
        <v>653</v>
      </c>
      <c r="U146" s="18" t="s">
        <v>2902</v>
      </c>
    </row>
    <row r="147" spans="1:21" s="18" customFormat="1" x14ac:dyDescent="0.25">
      <c r="A147" t="s">
        <v>1159</v>
      </c>
      <c r="B147" t="s">
        <v>69</v>
      </c>
      <c r="C147"/>
      <c r="D147"/>
      <c r="E147" t="s">
        <v>68</v>
      </c>
      <c r="F147" t="s">
        <v>784</v>
      </c>
      <c r="G147" t="s">
        <v>2031</v>
      </c>
      <c r="H147">
        <v>-84.457440000000005</v>
      </c>
      <c r="I147">
        <v>48.288690000000003</v>
      </c>
      <c r="J147" t="s">
        <v>2587</v>
      </c>
      <c r="K147" t="s">
        <v>2586</v>
      </c>
      <c r="L147" t="s">
        <v>2551</v>
      </c>
      <c r="M147" t="s">
        <v>10</v>
      </c>
      <c r="N147"/>
      <c r="O147"/>
      <c r="P147" t="s">
        <v>11</v>
      </c>
      <c r="Q147" t="s">
        <v>19</v>
      </c>
      <c r="R147" t="s">
        <v>2542</v>
      </c>
      <c r="S147" t="s">
        <v>16</v>
      </c>
      <c r="T147" t="s">
        <v>64</v>
      </c>
      <c r="U147" t="s">
        <v>2903</v>
      </c>
    </row>
    <row r="148" spans="1:21" s="18" customFormat="1" x14ac:dyDescent="0.25">
      <c r="A148" s="18" t="s">
        <v>1260</v>
      </c>
      <c r="B148" s="18" t="s">
        <v>582</v>
      </c>
      <c r="E148" s="18" t="s">
        <v>581</v>
      </c>
      <c r="F148" s="18" t="s">
        <v>856</v>
      </c>
      <c r="G148" s="18" t="s">
        <v>2094</v>
      </c>
      <c r="H148" s="18">
        <v>-95.609530000000007</v>
      </c>
      <c r="I148" s="18">
        <v>50.629800000000003</v>
      </c>
      <c r="J148" s="18" t="s">
        <v>2697</v>
      </c>
      <c r="L148" s="18" t="s">
        <v>2562</v>
      </c>
      <c r="M148" s="18" t="s">
        <v>374</v>
      </c>
      <c r="N148" s="18" t="s">
        <v>1115</v>
      </c>
      <c r="O148" s="18" t="s">
        <v>1116</v>
      </c>
      <c r="P148" s="18" t="s">
        <v>375</v>
      </c>
      <c r="S148" s="18" t="s">
        <v>557</v>
      </c>
      <c r="T148" s="18" t="s">
        <v>583</v>
      </c>
      <c r="U148" s="18" t="s">
        <v>2902</v>
      </c>
    </row>
    <row r="149" spans="1:21" s="18" customFormat="1" x14ac:dyDescent="0.25">
      <c r="A149" t="s">
        <v>1244</v>
      </c>
      <c r="B149" t="s">
        <v>319</v>
      </c>
      <c r="C149"/>
      <c r="D149"/>
      <c r="E149" t="s">
        <v>281</v>
      </c>
      <c r="F149" t="s">
        <v>714</v>
      </c>
      <c r="G149" t="s">
        <v>2085</v>
      </c>
      <c r="H149">
        <v>-96.893632999999994</v>
      </c>
      <c r="I149">
        <v>50.130273000000003</v>
      </c>
      <c r="J149" t="s">
        <v>2676</v>
      </c>
      <c r="K149"/>
      <c r="L149" t="s">
        <v>2562</v>
      </c>
      <c r="M149" t="s">
        <v>10</v>
      </c>
      <c r="N149"/>
      <c r="O149"/>
      <c r="P149" t="s">
        <v>233</v>
      </c>
      <c r="Q149" t="s">
        <v>255</v>
      </c>
      <c r="R149" t="s">
        <v>340</v>
      </c>
      <c r="S149" t="s">
        <v>244</v>
      </c>
      <c r="T149" t="s">
        <v>244</v>
      </c>
      <c r="U149" t="s">
        <v>2903</v>
      </c>
    </row>
    <row r="150" spans="1:21" x14ac:dyDescent="0.25">
      <c r="A150" s="18" t="s">
        <v>1237</v>
      </c>
      <c r="B150" s="18" t="s">
        <v>29</v>
      </c>
      <c r="C150" s="18"/>
      <c r="D150" s="18"/>
      <c r="E150" s="18" t="s">
        <v>554</v>
      </c>
      <c r="F150" s="18" t="s">
        <v>554</v>
      </c>
      <c r="G150" s="18" t="s">
        <v>2083</v>
      </c>
      <c r="H150" s="18">
        <v>-86.326300000000003</v>
      </c>
      <c r="I150" s="18">
        <v>48.787579999999998</v>
      </c>
      <c r="J150" s="18" t="s">
        <v>2671</v>
      </c>
      <c r="K150" s="18"/>
      <c r="L150" s="18" t="s">
        <v>2551</v>
      </c>
      <c r="M150" s="18" t="s">
        <v>374</v>
      </c>
      <c r="N150" s="18" t="s">
        <v>1115</v>
      </c>
      <c r="O150" s="18" t="s">
        <v>1116</v>
      </c>
      <c r="P150" s="18" t="s">
        <v>375</v>
      </c>
      <c r="Q150" s="18"/>
      <c r="R150" s="18"/>
      <c r="S150" s="18" t="s">
        <v>1769</v>
      </c>
      <c r="T150" s="18" t="s">
        <v>599</v>
      </c>
      <c r="U150" s="18" t="s">
        <v>2902</v>
      </c>
    </row>
    <row r="151" spans="1:21" x14ac:dyDescent="0.25">
      <c r="A151" s="18" t="s">
        <v>1291</v>
      </c>
      <c r="B151" s="18" t="s">
        <v>531</v>
      </c>
      <c r="C151" s="18"/>
      <c r="D151" s="18"/>
      <c r="E151" s="18" t="s">
        <v>530</v>
      </c>
      <c r="F151" s="18" t="s">
        <v>865</v>
      </c>
      <c r="G151" s="18" t="s">
        <v>2113</v>
      </c>
      <c r="H151" s="18">
        <v>-79.341499999999996</v>
      </c>
      <c r="I151" s="18">
        <v>43.833100000000002</v>
      </c>
      <c r="J151" s="18" t="s">
        <v>2733</v>
      </c>
      <c r="K151" s="18"/>
      <c r="L151" s="18" t="s">
        <v>2551</v>
      </c>
      <c r="M151" s="18" t="s">
        <v>374</v>
      </c>
      <c r="N151" s="18" t="s">
        <v>1115</v>
      </c>
      <c r="O151" s="18" t="s">
        <v>1117</v>
      </c>
      <c r="P151" s="18" t="s">
        <v>375</v>
      </c>
      <c r="Q151" s="18"/>
      <c r="R151" s="18"/>
      <c r="S151" s="18" t="s">
        <v>532</v>
      </c>
      <c r="T151" s="18" t="s">
        <v>532</v>
      </c>
      <c r="U151" s="18" t="s">
        <v>2902</v>
      </c>
    </row>
    <row r="152" spans="1:21" s="18" customFormat="1" x14ac:dyDescent="0.25">
      <c r="A152" s="18" t="s">
        <v>1234</v>
      </c>
      <c r="B152" s="18" t="s">
        <v>604</v>
      </c>
      <c r="E152" s="18" t="s">
        <v>603</v>
      </c>
      <c r="F152" s="18" t="s">
        <v>849</v>
      </c>
      <c r="G152" s="18" t="s">
        <v>2080</v>
      </c>
      <c r="H152" s="18">
        <v>-83.414444000000003</v>
      </c>
      <c r="I152" s="18">
        <v>50.314444000000002</v>
      </c>
      <c r="J152" s="18" t="s">
        <v>2668</v>
      </c>
      <c r="L152" s="18" t="s">
        <v>2551</v>
      </c>
      <c r="M152" s="18" t="s">
        <v>374</v>
      </c>
      <c r="N152" s="18" t="s">
        <v>1115</v>
      </c>
      <c r="O152" s="18" t="s">
        <v>1116</v>
      </c>
      <c r="P152" s="18" t="s">
        <v>375</v>
      </c>
      <c r="S152" s="18" t="s">
        <v>2667</v>
      </c>
      <c r="T152" s="18" t="s">
        <v>605</v>
      </c>
      <c r="U152" s="18" t="s">
        <v>2902</v>
      </c>
    </row>
    <row r="153" spans="1:21" x14ac:dyDescent="0.25">
      <c r="A153" t="s">
        <v>1165</v>
      </c>
      <c r="B153" t="s">
        <v>160</v>
      </c>
      <c r="E153" t="s">
        <v>159</v>
      </c>
      <c r="F153" t="s">
        <v>707</v>
      </c>
      <c r="G153" t="s">
        <v>2904</v>
      </c>
      <c r="H153">
        <v>-78.556869000000006</v>
      </c>
      <c r="I153">
        <v>71.340446</v>
      </c>
      <c r="J153" t="s">
        <v>2595</v>
      </c>
      <c r="K153" t="s">
        <v>2594</v>
      </c>
      <c r="L153" t="s">
        <v>2546</v>
      </c>
      <c r="M153" t="s">
        <v>10</v>
      </c>
      <c r="P153" t="s">
        <v>11</v>
      </c>
      <c r="Q153" t="s">
        <v>34</v>
      </c>
      <c r="R153" t="s">
        <v>340</v>
      </c>
      <c r="S153" t="s">
        <v>157</v>
      </c>
      <c r="T153" t="s">
        <v>157</v>
      </c>
      <c r="U153" t="s">
        <v>2903</v>
      </c>
    </row>
    <row r="154" spans="1:21" s="18" customFormat="1" x14ac:dyDescent="0.25">
      <c r="A154" s="18" t="s">
        <v>1334</v>
      </c>
      <c r="B154" s="18" t="s">
        <v>478</v>
      </c>
      <c r="E154" s="18" t="s">
        <v>477</v>
      </c>
      <c r="F154" s="18" t="s">
        <v>885</v>
      </c>
      <c r="G154" s="18" t="s">
        <v>2143</v>
      </c>
      <c r="H154" s="18">
        <v>-73.921199999999999</v>
      </c>
      <c r="I154" s="18">
        <v>46.617280000000001</v>
      </c>
      <c r="J154" s="18" t="s">
        <v>2785</v>
      </c>
      <c r="L154" s="18" t="s">
        <v>2539</v>
      </c>
      <c r="M154" s="18" t="s">
        <v>374</v>
      </c>
      <c r="N154" s="18" t="s">
        <v>1115</v>
      </c>
      <c r="O154" s="18" t="s">
        <v>1116</v>
      </c>
      <c r="P154" s="18" t="s">
        <v>375</v>
      </c>
      <c r="S154" s="18" t="s">
        <v>468</v>
      </c>
      <c r="T154" s="18" t="s">
        <v>468</v>
      </c>
      <c r="U154" s="18" t="s">
        <v>2902</v>
      </c>
    </row>
    <row r="155" spans="1:21" x14ac:dyDescent="0.25">
      <c r="A155" t="s">
        <v>1176</v>
      </c>
      <c r="B155" t="s">
        <v>212</v>
      </c>
      <c r="C155" t="s">
        <v>706</v>
      </c>
      <c r="D155" t="s">
        <v>2043</v>
      </c>
      <c r="E155" t="s">
        <v>208</v>
      </c>
      <c r="F155" t="s">
        <v>208</v>
      </c>
      <c r="G155" t="s">
        <v>1752</v>
      </c>
      <c r="H155">
        <v>-105.053</v>
      </c>
      <c r="I155">
        <v>57.7637</v>
      </c>
      <c r="J155" t="s">
        <v>2613</v>
      </c>
      <c r="K155" t="s">
        <v>2612</v>
      </c>
      <c r="L155" t="s">
        <v>2588</v>
      </c>
      <c r="M155" t="s">
        <v>10</v>
      </c>
      <c r="P155" t="s">
        <v>11</v>
      </c>
      <c r="Q155" t="s">
        <v>44</v>
      </c>
      <c r="R155" t="s">
        <v>210</v>
      </c>
      <c r="S155" t="s">
        <v>210</v>
      </c>
      <c r="T155" t="s">
        <v>210</v>
      </c>
      <c r="U155" t="s">
        <v>2903</v>
      </c>
    </row>
    <row r="156" spans="1:21" x14ac:dyDescent="0.25">
      <c r="A156" t="s">
        <v>1336</v>
      </c>
      <c r="B156" t="s">
        <v>214</v>
      </c>
      <c r="E156" t="s">
        <v>213</v>
      </c>
      <c r="F156" t="s">
        <v>887</v>
      </c>
      <c r="G156" t="s">
        <v>2145</v>
      </c>
      <c r="H156">
        <v>-103.8361</v>
      </c>
      <c r="I156">
        <v>58.347200000000001</v>
      </c>
      <c r="J156" t="s">
        <v>2787</v>
      </c>
      <c r="K156" t="s">
        <v>214</v>
      </c>
      <c r="L156" t="s">
        <v>2588</v>
      </c>
      <c r="M156" t="s">
        <v>10</v>
      </c>
      <c r="P156" t="s">
        <v>11</v>
      </c>
      <c r="Q156" t="s">
        <v>21</v>
      </c>
      <c r="R156" t="s">
        <v>210</v>
      </c>
      <c r="S156" t="s">
        <v>210</v>
      </c>
      <c r="T156" t="s">
        <v>210</v>
      </c>
      <c r="U156" t="s">
        <v>2903</v>
      </c>
    </row>
    <row r="157" spans="1:21" s="18" customFormat="1" x14ac:dyDescent="0.25">
      <c r="A157" t="s">
        <v>1285</v>
      </c>
      <c r="B157" t="s">
        <v>139</v>
      </c>
      <c r="C157"/>
      <c r="D157"/>
      <c r="E157" t="s">
        <v>138</v>
      </c>
      <c r="F157" t="s">
        <v>725</v>
      </c>
      <c r="G157" t="s">
        <v>2106</v>
      </c>
      <c r="H157">
        <v>-81.398939999999996</v>
      </c>
      <c r="I157">
        <v>46.638058999999998</v>
      </c>
      <c r="J157" t="s">
        <v>2727</v>
      </c>
      <c r="K157" t="s">
        <v>140</v>
      </c>
      <c r="L157" t="s">
        <v>2551</v>
      </c>
      <c r="M157" t="s">
        <v>10</v>
      </c>
      <c r="N157"/>
      <c r="O157"/>
      <c r="P157" t="s">
        <v>11</v>
      </c>
      <c r="Q157" t="s">
        <v>44</v>
      </c>
      <c r="R157" t="s">
        <v>2626</v>
      </c>
      <c r="S157" t="s">
        <v>125</v>
      </c>
      <c r="T157" t="s">
        <v>141</v>
      </c>
      <c r="U157" t="s">
        <v>2903</v>
      </c>
    </row>
    <row r="158" spans="1:21" s="18" customFormat="1" x14ac:dyDescent="0.25">
      <c r="A158" s="18" t="s">
        <v>1231</v>
      </c>
      <c r="B158" s="18" t="s">
        <v>425</v>
      </c>
      <c r="E158" s="18" t="s">
        <v>424</v>
      </c>
      <c r="F158" s="18" t="s">
        <v>424</v>
      </c>
      <c r="G158" s="18" t="s">
        <v>2078</v>
      </c>
      <c r="H158" s="18">
        <v>-102.89498</v>
      </c>
      <c r="I158" s="18">
        <v>54.659770000000002</v>
      </c>
      <c r="J158" s="18" t="s">
        <v>2664</v>
      </c>
      <c r="L158" s="18" t="s">
        <v>2588</v>
      </c>
      <c r="M158" s="18" t="s">
        <v>374</v>
      </c>
      <c r="N158" s="18" t="s">
        <v>1115</v>
      </c>
      <c r="O158" s="18" t="s">
        <v>1116</v>
      </c>
      <c r="P158" s="18" t="s">
        <v>375</v>
      </c>
      <c r="S158" s="18" t="s">
        <v>125</v>
      </c>
      <c r="T158" s="18" t="s">
        <v>423</v>
      </c>
      <c r="U158" s="18" t="s">
        <v>2902</v>
      </c>
    </row>
    <row r="159" spans="1:21" x14ac:dyDescent="0.25">
      <c r="A159" t="s">
        <v>1130</v>
      </c>
      <c r="B159" t="s">
        <v>20</v>
      </c>
      <c r="C159" t="s">
        <v>2017</v>
      </c>
      <c r="D159" t="s">
        <v>1749</v>
      </c>
      <c r="E159" t="s">
        <v>14</v>
      </c>
      <c r="F159" t="s">
        <v>14</v>
      </c>
      <c r="G159" t="s">
        <v>2016</v>
      </c>
      <c r="H159">
        <v>-96.071313000000004</v>
      </c>
      <c r="I159">
        <v>65.019995600000001</v>
      </c>
      <c r="J159" t="s">
        <v>2559</v>
      </c>
      <c r="K159" t="s">
        <v>2545</v>
      </c>
      <c r="L159" t="s">
        <v>2546</v>
      </c>
      <c r="M159" t="s">
        <v>10</v>
      </c>
      <c r="P159" t="s">
        <v>11</v>
      </c>
      <c r="Q159" t="s">
        <v>21</v>
      </c>
      <c r="R159" t="s">
        <v>2542</v>
      </c>
      <c r="S159" t="s">
        <v>16</v>
      </c>
      <c r="T159" t="s">
        <v>16</v>
      </c>
      <c r="U159" t="s">
        <v>2903</v>
      </c>
    </row>
    <row r="160" spans="1:21" s="18" customFormat="1" x14ac:dyDescent="0.25">
      <c r="A160" t="s">
        <v>1129</v>
      </c>
      <c r="B160" t="s">
        <v>22</v>
      </c>
      <c r="C160"/>
      <c r="D160"/>
      <c r="E160" t="s">
        <v>14</v>
      </c>
      <c r="F160" t="s">
        <v>14</v>
      </c>
      <c r="G160" t="s">
        <v>2016</v>
      </c>
      <c r="H160">
        <v>-92.220206000000005</v>
      </c>
      <c r="I160">
        <v>63.031528999999999</v>
      </c>
      <c r="J160" t="s">
        <v>2561</v>
      </c>
      <c r="K160" t="s">
        <v>2560</v>
      </c>
      <c r="L160" t="s">
        <v>2546</v>
      </c>
      <c r="M160" t="s">
        <v>10</v>
      </c>
      <c r="N160"/>
      <c r="O160"/>
      <c r="P160" t="s">
        <v>11</v>
      </c>
      <c r="Q160" t="s">
        <v>23</v>
      </c>
      <c r="R160" t="s">
        <v>2542</v>
      </c>
      <c r="S160" t="s">
        <v>16</v>
      </c>
      <c r="T160" t="s">
        <v>16</v>
      </c>
      <c r="U160" t="s">
        <v>2903</v>
      </c>
    </row>
    <row r="161" spans="1:21" s="18" customFormat="1" x14ac:dyDescent="0.25">
      <c r="A161" s="18" t="s">
        <v>1338</v>
      </c>
      <c r="B161" s="18" t="s">
        <v>662</v>
      </c>
      <c r="E161" s="18" t="s">
        <v>661</v>
      </c>
      <c r="F161" s="18" t="s">
        <v>661</v>
      </c>
      <c r="G161" s="18" t="s">
        <v>2147</v>
      </c>
      <c r="H161" s="18">
        <v>-59.984000000000002</v>
      </c>
      <c r="I161" s="18">
        <v>54.584000000000003</v>
      </c>
      <c r="J161" s="18" t="s">
        <v>2789</v>
      </c>
      <c r="L161" s="18" t="s">
        <v>2601</v>
      </c>
      <c r="M161" s="18" t="s">
        <v>374</v>
      </c>
      <c r="N161" s="18" t="s">
        <v>1115</v>
      </c>
      <c r="O161" s="18" t="s">
        <v>1116</v>
      </c>
      <c r="P161" s="18" t="s">
        <v>375</v>
      </c>
      <c r="S161" s="18" t="s">
        <v>210</v>
      </c>
      <c r="T161" s="18" t="s">
        <v>210</v>
      </c>
      <c r="U161" s="18" t="s">
        <v>2902</v>
      </c>
    </row>
    <row r="162" spans="1:21" s="18" customFormat="1" x14ac:dyDescent="0.25">
      <c r="A162" s="18" t="s">
        <v>1229</v>
      </c>
      <c r="B162" s="18" t="s">
        <v>556</v>
      </c>
      <c r="E162" s="18" t="s">
        <v>555</v>
      </c>
      <c r="F162" s="18" t="s">
        <v>847</v>
      </c>
      <c r="G162" s="18" t="s">
        <v>2076</v>
      </c>
      <c r="H162" s="18">
        <v>-99.219120000000004</v>
      </c>
      <c r="I162" s="18">
        <v>54.109200000000001</v>
      </c>
      <c r="J162" s="18" t="s">
        <v>2662</v>
      </c>
      <c r="L162" s="18" t="s">
        <v>2562</v>
      </c>
      <c r="M162" s="18" t="s">
        <v>374</v>
      </c>
      <c r="N162" s="18" t="s">
        <v>1115</v>
      </c>
      <c r="O162" s="18" t="s">
        <v>1116</v>
      </c>
      <c r="P162" s="18" t="s">
        <v>375</v>
      </c>
      <c r="S162" s="18" t="s">
        <v>557</v>
      </c>
      <c r="T162" s="18" t="s">
        <v>557</v>
      </c>
      <c r="U162" s="18" t="s">
        <v>2902</v>
      </c>
    </row>
    <row r="163" spans="1:21" s="18" customFormat="1" x14ac:dyDescent="0.25">
      <c r="A163" t="s">
        <v>1222</v>
      </c>
      <c r="B163" t="s">
        <v>131</v>
      </c>
      <c r="C163"/>
      <c r="D163"/>
      <c r="E163" t="s">
        <v>123</v>
      </c>
      <c r="F163" t="s">
        <v>406</v>
      </c>
      <c r="G163" t="s">
        <v>2071</v>
      </c>
      <c r="H163">
        <v>-56.087000000000003</v>
      </c>
      <c r="I163">
        <v>49.914999999999999</v>
      </c>
      <c r="J163" t="s">
        <v>2655</v>
      </c>
      <c r="K163" t="s">
        <v>2654</v>
      </c>
      <c r="L163" t="s">
        <v>2601</v>
      </c>
      <c r="M163" t="s">
        <v>10</v>
      </c>
      <c r="N163"/>
      <c r="O163"/>
      <c r="P163" t="s">
        <v>11</v>
      </c>
      <c r="Q163" t="s">
        <v>44</v>
      </c>
      <c r="R163" t="s">
        <v>2597</v>
      </c>
      <c r="S163" t="s">
        <v>125</v>
      </c>
      <c r="T163" t="s">
        <v>130</v>
      </c>
      <c r="U163" t="s">
        <v>2903</v>
      </c>
    </row>
    <row r="164" spans="1:21" s="18" customFormat="1" x14ac:dyDescent="0.25">
      <c r="A164" t="s">
        <v>1308</v>
      </c>
      <c r="B164" t="s">
        <v>134</v>
      </c>
      <c r="C164"/>
      <c r="D164"/>
      <c r="E164" t="s">
        <v>133</v>
      </c>
      <c r="F164" t="s">
        <v>133</v>
      </c>
      <c r="G164" t="s">
        <v>2128</v>
      </c>
      <c r="H164">
        <v>-137.23858000000001</v>
      </c>
      <c r="I164">
        <v>62.618875000000003</v>
      </c>
      <c r="J164" t="s">
        <v>2752</v>
      </c>
      <c r="K164" t="s">
        <v>2751</v>
      </c>
      <c r="L164" t="s">
        <v>2599</v>
      </c>
      <c r="M164" t="s">
        <v>10</v>
      </c>
      <c r="N164"/>
      <c r="O164"/>
      <c r="P164" t="s">
        <v>11</v>
      </c>
      <c r="Q164" t="s">
        <v>23</v>
      </c>
      <c r="R164" t="s">
        <v>2597</v>
      </c>
      <c r="S164" t="s">
        <v>125</v>
      </c>
      <c r="T164" t="s">
        <v>130</v>
      </c>
      <c r="U164" t="s">
        <v>2903</v>
      </c>
    </row>
    <row r="165" spans="1:21" x14ac:dyDescent="0.25">
      <c r="A165" t="s">
        <v>1438</v>
      </c>
      <c r="B165" t="s">
        <v>61</v>
      </c>
      <c r="E165" t="s">
        <v>58</v>
      </c>
      <c r="F165" t="s">
        <v>730</v>
      </c>
      <c r="G165" t="s">
        <v>2202</v>
      </c>
      <c r="H165">
        <v>-85.452500000000001</v>
      </c>
      <c r="I165">
        <v>48.110280000000003</v>
      </c>
      <c r="J165" t="s">
        <v>2887</v>
      </c>
      <c r="K165" t="s">
        <v>2884</v>
      </c>
      <c r="L165" t="s">
        <v>2551</v>
      </c>
      <c r="M165" t="s">
        <v>10</v>
      </c>
      <c r="P165" t="s">
        <v>11</v>
      </c>
      <c r="Q165" t="s">
        <v>34</v>
      </c>
      <c r="R165" t="s">
        <v>2542</v>
      </c>
      <c r="S165" t="s">
        <v>16</v>
      </c>
      <c r="T165" t="s">
        <v>16</v>
      </c>
      <c r="U165" t="s">
        <v>2903</v>
      </c>
    </row>
    <row r="166" spans="1:21" x14ac:dyDescent="0.25">
      <c r="A166" s="18" t="s">
        <v>1365</v>
      </c>
      <c r="B166" s="18" t="s">
        <v>515</v>
      </c>
      <c r="C166" s="18"/>
      <c r="D166" s="18"/>
      <c r="E166" s="18" t="s">
        <v>514</v>
      </c>
      <c r="F166" s="18" t="s">
        <v>514</v>
      </c>
      <c r="G166" s="18" t="s">
        <v>2159</v>
      </c>
      <c r="H166" s="18">
        <v>-74.912149999999997</v>
      </c>
      <c r="I166" s="18">
        <v>50.731760000000001</v>
      </c>
      <c r="J166" s="18" t="s">
        <v>2809</v>
      </c>
      <c r="K166" s="18"/>
      <c r="L166" s="18" t="s">
        <v>2539</v>
      </c>
      <c r="M166" s="18" t="s">
        <v>374</v>
      </c>
      <c r="N166" s="18" t="s">
        <v>1115</v>
      </c>
      <c r="O166" s="18" t="s">
        <v>1116</v>
      </c>
      <c r="P166" s="18" t="s">
        <v>375</v>
      </c>
      <c r="Q166" s="18"/>
      <c r="R166" s="18"/>
      <c r="S166" s="18" t="s">
        <v>509</v>
      </c>
      <c r="T166" s="18" t="s">
        <v>509</v>
      </c>
      <c r="U166" s="18" t="s">
        <v>2902</v>
      </c>
    </row>
    <row r="167" spans="1:21" x14ac:dyDescent="0.25">
      <c r="A167" s="18" t="s">
        <v>1435</v>
      </c>
      <c r="B167" s="18" t="s">
        <v>487</v>
      </c>
      <c r="C167" s="18"/>
      <c r="D167" s="18"/>
      <c r="E167" s="18" t="s">
        <v>486</v>
      </c>
      <c r="F167" s="18" t="s">
        <v>912</v>
      </c>
      <c r="G167" s="18" t="s">
        <v>2200</v>
      </c>
      <c r="H167" s="18">
        <v>-74.127578</v>
      </c>
      <c r="I167" s="18">
        <v>49.918163</v>
      </c>
      <c r="J167" s="18" t="s">
        <v>2882</v>
      </c>
      <c r="K167" s="18"/>
      <c r="L167" s="18" t="s">
        <v>2539</v>
      </c>
      <c r="M167" s="18" t="s">
        <v>374</v>
      </c>
      <c r="N167" s="18" t="s">
        <v>1115</v>
      </c>
      <c r="O167" s="18" t="s">
        <v>1116</v>
      </c>
      <c r="P167" s="18" t="s">
        <v>375</v>
      </c>
      <c r="Q167" s="18"/>
      <c r="R167" s="18"/>
      <c r="S167" s="18" t="s">
        <v>340</v>
      </c>
      <c r="T167" s="18" t="s">
        <v>488</v>
      </c>
      <c r="U167" s="18" t="s">
        <v>2902</v>
      </c>
    </row>
    <row r="168" spans="1:21" x14ac:dyDescent="0.25">
      <c r="A168" t="s">
        <v>1152</v>
      </c>
      <c r="B168" t="s">
        <v>158</v>
      </c>
      <c r="C168" t="s">
        <v>2905</v>
      </c>
      <c r="D168" t="s">
        <v>2906</v>
      </c>
      <c r="E168" t="s">
        <v>155</v>
      </c>
      <c r="F168" t="s">
        <v>155</v>
      </c>
      <c r="G168" t="s">
        <v>2030</v>
      </c>
      <c r="H168">
        <v>-67.330057999999994</v>
      </c>
      <c r="I168">
        <v>52.757052999999999</v>
      </c>
      <c r="J168" t="s">
        <v>2581</v>
      </c>
      <c r="K168" t="s">
        <v>2579</v>
      </c>
      <c r="L168" t="s">
        <v>2539</v>
      </c>
      <c r="M168" t="s">
        <v>10</v>
      </c>
      <c r="P168" t="s">
        <v>11</v>
      </c>
      <c r="Q168" t="s">
        <v>19</v>
      </c>
      <c r="R168" t="s">
        <v>340</v>
      </c>
      <c r="S168" t="s">
        <v>157</v>
      </c>
      <c r="T168" t="s">
        <v>157</v>
      </c>
      <c r="U168" t="s">
        <v>2903</v>
      </c>
    </row>
    <row r="169" spans="1:21" s="18" customFormat="1" x14ac:dyDescent="0.25">
      <c r="A169" s="18" t="s">
        <v>1134</v>
      </c>
      <c r="B169" s="18" t="s">
        <v>461</v>
      </c>
      <c r="E169" s="18" t="s">
        <v>14</v>
      </c>
      <c r="F169" s="18" t="s">
        <v>14</v>
      </c>
      <c r="G169" s="18" t="s">
        <v>2016</v>
      </c>
      <c r="H169" s="18">
        <v>-92.914016000000004</v>
      </c>
      <c r="I169" s="18">
        <v>54.446415000000002</v>
      </c>
      <c r="J169" s="18" t="s">
        <v>2563</v>
      </c>
      <c r="L169" s="18" t="s">
        <v>2562</v>
      </c>
      <c r="M169" s="18" t="s">
        <v>374</v>
      </c>
      <c r="N169" s="18" t="s">
        <v>1115</v>
      </c>
      <c r="O169" s="18" t="s">
        <v>1116</v>
      </c>
      <c r="P169" s="18" t="s">
        <v>375</v>
      </c>
      <c r="S169" s="18" t="s">
        <v>16</v>
      </c>
      <c r="T169" s="18" t="s">
        <v>462</v>
      </c>
      <c r="U169" s="18" t="s">
        <v>2902</v>
      </c>
    </row>
    <row r="170" spans="1:21" x14ac:dyDescent="0.25">
      <c r="A170" t="s">
        <v>1379</v>
      </c>
      <c r="B170" t="s">
        <v>55</v>
      </c>
      <c r="E170" t="s">
        <v>54</v>
      </c>
      <c r="F170" t="s">
        <v>54</v>
      </c>
      <c r="G170" t="s">
        <v>2171</v>
      </c>
      <c r="H170">
        <v>-62.942920000000001</v>
      </c>
      <c r="I170">
        <v>44.982430000000001</v>
      </c>
      <c r="J170" t="s">
        <v>2831</v>
      </c>
      <c r="K170" t="s">
        <v>2829</v>
      </c>
      <c r="L170" t="s">
        <v>2830</v>
      </c>
      <c r="M170" t="s">
        <v>10</v>
      </c>
      <c r="P170" t="s">
        <v>11</v>
      </c>
      <c r="Q170" t="s">
        <v>19</v>
      </c>
      <c r="R170" t="s">
        <v>2542</v>
      </c>
      <c r="S170" t="s">
        <v>16</v>
      </c>
      <c r="T170" t="s">
        <v>16</v>
      </c>
      <c r="U170" t="s">
        <v>2903</v>
      </c>
    </row>
    <row r="171" spans="1:21" x14ac:dyDescent="0.25">
      <c r="A171" t="s">
        <v>1190</v>
      </c>
      <c r="B171" t="s">
        <v>129</v>
      </c>
      <c r="E171" t="s">
        <v>128</v>
      </c>
      <c r="F171" t="s">
        <v>793</v>
      </c>
      <c r="G171" t="s">
        <v>2046</v>
      </c>
      <c r="H171">
        <v>-124.03100000000001</v>
      </c>
      <c r="I171">
        <v>55.118000000000002</v>
      </c>
      <c r="J171" t="s">
        <v>2627</v>
      </c>
      <c r="K171" t="s">
        <v>2625</v>
      </c>
      <c r="L171" t="s">
        <v>2575</v>
      </c>
      <c r="M171" t="s">
        <v>10</v>
      </c>
      <c r="P171" t="s">
        <v>11</v>
      </c>
      <c r="Q171" t="s">
        <v>19</v>
      </c>
      <c r="R171" t="s">
        <v>2626</v>
      </c>
      <c r="S171" t="s">
        <v>125</v>
      </c>
      <c r="T171" t="s">
        <v>130</v>
      </c>
      <c r="U171" t="s">
        <v>2903</v>
      </c>
    </row>
    <row r="172" spans="1:21" x14ac:dyDescent="0.25">
      <c r="A172" t="s">
        <v>1278</v>
      </c>
      <c r="B172" t="s">
        <v>83</v>
      </c>
      <c r="E172" t="s">
        <v>82</v>
      </c>
      <c r="F172" t="s">
        <v>82</v>
      </c>
      <c r="G172" t="s">
        <v>2103</v>
      </c>
      <c r="H172">
        <v>-121.633931</v>
      </c>
      <c r="I172">
        <v>52.544958999999999</v>
      </c>
      <c r="J172" t="s">
        <v>2723</v>
      </c>
      <c r="K172" t="s">
        <v>2722</v>
      </c>
      <c r="L172" t="s">
        <v>2575</v>
      </c>
      <c r="M172" t="s">
        <v>10</v>
      </c>
      <c r="P172" t="s">
        <v>11</v>
      </c>
      <c r="Q172" t="s">
        <v>19</v>
      </c>
      <c r="R172" t="s">
        <v>2597</v>
      </c>
      <c r="S172" t="s">
        <v>16</v>
      </c>
      <c r="T172" t="s">
        <v>84</v>
      </c>
      <c r="U172" t="s">
        <v>2903</v>
      </c>
    </row>
    <row r="173" spans="1:21" x14ac:dyDescent="0.25">
      <c r="A173" s="18" t="s">
        <v>1181</v>
      </c>
      <c r="B173" s="18" t="s">
        <v>701</v>
      </c>
      <c r="C173" s="18"/>
      <c r="D173" s="18"/>
      <c r="E173" s="18" t="s">
        <v>700</v>
      </c>
      <c r="F173" s="18" t="s">
        <v>707</v>
      </c>
      <c r="G173" s="18" t="s">
        <v>2904</v>
      </c>
      <c r="H173" s="18">
        <v>-66.431669999999997</v>
      </c>
      <c r="I173" s="18">
        <v>47.525280000000002</v>
      </c>
      <c r="J173" s="18" t="s">
        <v>2617</v>
      </c>
      <c r="K173" s="18"/>
      <c r="L173" s="18" t="s">
        <v>2605</v>
      </c>
      <c r="M173" s="18" t="s">
        <v>374</v>
      </c>
      <c r="N173" s="18" t="s">
        <v>1115</v>
      </c>
      <c r="O173" s="18" t="s">
        <v>1116</v>
      </c>
      <c r="P173" s="18" t="s">
        <v>375</v>
      </c>
      <c r="Q173" s="18"/>
      <c r="R173" s="18"/>
      <c r="S173" s="18" t="s">
        <v>1551</v>
      </c>
      <c r="T173" s="18" t="s">
        <v>699</v>
      </c>
      <c r="U173" s="18" t="s">
        <v>2902</v>
      </c>
    </row>
    <row r="174" spans="1:21" x14ac:dyDescent="0.25">
      <c r="A174" t="s">
        <v>1321</v>
      </c>
      <c r="B174" t="s">
        <v>78</v>
      </c>
      <c r="E174" t="s">
        <v>39</v>
      </c>
      <c r="F174" t="s">
        <v>39</v>
      </c>
      <c r="G174" t="s">
        <v>2133</v>
      </c>
      <c r="H174">
        <v>-90.363600000000005</v>
      </c>
      <c r="I174">
        <v>52.612699999999997</v>
      </c>
      <c r="J174" t="s">
        <v>2770</v>
      </c>
      <c r="K174" t="s">
        <v>2769</v>
      </c>
      <c r="L174" t="s">
        <v>2551</v>
      </c>
      <c r="M174" t="s">
        <v>10</v>
      </c>
      <c r="P174" t="s">
        <v>11</v>
      </c>
      <c r="Q174" t="s">
        <v>13</v>
      </c>
      <c r="R174" t="s">
        <v>2542</v>
      </c>
      <c r="S174" t="s">
        <v>16</v>
      </c>
      <c r="T174" t="s">
        <v>64</v>
      </c>
      <c r="U174" t="s">
        <v>2903</v>
      </c>
    </row>
    <row r="175" spans="1:21" x14ac:dyDescent="0.25">
      <c r="A175" t="s">
        <v>1410</v>
      </c>
      <c r="B175" t="s">
        <v>229</v>
      </c>
      <c r="E175" t="s">
        <v>228</v>
      </c>
      <c r="F175" t="s">
        <v>228</v>
      </c>
      <c r="G175" t="s">
        <v>2185</v>
      </c>
      <c r="H175">
        <v>-125.59</v>
      </c>
      <c r="I175">
        <v>49.57</v>
      </c>
      <c r="J175" t="s">
        <v>2858</v>
      </c>
      <c r="K175" t="s">
        <v>188</v>
      </c>
      <c r="L175" t="s">
        <v>2575</v>
      </c>
      <c r="M175" t="s">
        <v>10</v>
      </c>
      <c r="P175" t="s">
        <v>11</v>
      </c>
      <c r="Q175" t="s">
        <v>44</v>
      </c>
      <c r="R175" t="s">
        <v>2626</v>
      </c>
      <c r="S175" t="s">
        <v>1551</v>
      </c>
      <c r="T175" t="s">
        <v>230</v>
      </c>
      <c r="U175" t="s">
        <v>2903</v>
      </c>
    </row>
    <row r="176" spans="1:21" s="18" customFormat="1" x14ac:dyDescent="0.25">
      <c r="A176" s="18" t="s">
        <v>1174</v>
      </c>
      <c r="B176" s="18" t="s">
        <v>696</v>
      </c>
      <c r="E176" s="18" t="s">
        <v>695</v>
      </c>
      <c r="F176" s="18" t="s">
        <v>707</v>
      </c>
      <c r="G176" s="18" t="s">
        <v>2904</v>
      </c>
      <c r="H176" s="18">
        <v>-66.097710000000006</v>
      </c>
      <c r="I176" s="18">
        <v>47.889389999999999</v>
      </c>
      <c r="J176" s="18" t="s">
        <v>2606</v>
      </c>
      <c r="L176" s="18" t="s">
        <v>2605</v>
      </c>
      <c r="M176" s="18" t="s">
        <v>374</v>
      </c>
      <c r="N176" s="18" t="s">
        <v>1115</v>
      </c>
      <c r="O176" s="18" t="s">
        <v>1116</v>
      </c>
      <c r="P176" s="18" t="s">
        <v>375</v>
      </c>
      <c r="S176" s="18" t="s">
        <v>1551</v>
      </c>
      <c r="T176" s="18" t="s">
        <v>693</v>
      </c>
      <c r="U176" s="18" t="s">
        <v>2902</v>
      </c>
    </row>
    <row r="177" spans="1:21" s="18" customFormat="1" x14ac:dyDescent="0.25">
      <c r="A177" s="18" t="s">
        <v>1164</v>
      </c>
      <c r="B177" s="18" t="s">
        <v>643</v>
      </c>
      <c r="E177" s="18" t="s">
        <v>516</v>
      </c>
      <c r="F177" s="18" t="s">
        <v>741</v>
      </c>
      <c r="G177" s="18" t="s">
        <v>2034</v>
      </c>
      <c r="H177" s="18">
        <v>-112.59972</v>
      </c>
      <c r="I177" s="18">
        <v>62.11806</v>
      </c>
      <c r="J177" s="18" t="s">
        <v>2592</v>
      </c>
      <c r="L177" s="18" t="s">
        <v>2591</v>
      </c>
      <c r="M177" s="18" t="s">
        <v>374</v>
      </c>
      <c r="N177" s="18" t="s">
        <v>1115</v>
      </c>
      <c r="O177" s="18" t="s">
        <v>1116</v>
      </c>
      <c r="P177" s="18" t="s">
        <v>375</v>
      </c>
      <c r="S177" s="18" t="s">
        <v>627</v>
      </c>
      <c r="T177" s="18" t="s">
        <v>644</v>
      </c>
      <c r="U177" s="18" t="s">
        <v>2902</v>
      </c>
    </row>
    <row r="178" spans="1:21" s="18" customFormat="1" x14ac:dyDescent="0.25">
      <c r="A178" s="18" t="s">
        <v>1433</v>
      </c>
      <c r="B178" s="18" t="s">
        <v>631</v>
      </c>
      <c r="E178" s="18" t="s">
        <v>630</v>
      </c>
      <c r="F178" s="18" t="s">
        <v>911</v>
      </c>
      <c r="G178" s="18" t="s">
        <v>2198</v>
      </c>
      <c r="H178" s="18">
        <v>-112.59972</v>
      </c>
      <c r="I178" s="18">
        <v>62.11806</v>
      </c>
      <c r="J178" s="18" t="s">
        <v>2592</v>
      </c>
      <c r="L178" s="18" t="s">
        <v>2591</v>
      </c>
      <c r="M178" s="18" t="s">
        <v>374</v>
      </c>
      <c r="N178" s="18" t="s">
        <v>1115</v>
      </c>
      <c r="O178" s="18" t="s">
        <v>1116</v>
      </c>
      <c r="P178" s="18" t="s">
        <v>375</v>
      </c>
      <c r="S178" s="18" t="s">
        <v>627</v>
      </c>
      <c r="T178" s="18" t="s">
        <v>627</v>
      </c>
      <c r="U178" s="18" t="s">
        <v>2902</v>
      </c>
    </row>
    <row r="179" spans="1:21" s="18" customFormat="1" x14ac:dyDescent="0.25">
      <c r="A179" s="18" t="s">
        <v>1312</v>
      </c>
      <c r="B179" s="18" t="s">
        <v>528</v>
      </c>
      <c r="E179" s="18" t="s">
        <v>520</v>
      </c>
      <c r="F179" s="18" t="s">
        <v>876</v>
      </c>
      <c r="G179" s="18" t="s">
        <v>2130</v>
      </c>
      <c r="H179" s="18">
        <v>-72.433334000000002</v>
      </c>
      <c r="I179" s="18">
        <v>46.333331999999999</v>
      </c>
      <c r="J179" s="18" t="s">
        <v>2648</v>
      </c>
      <c r="L179" s="18" t="s">
        <v>2539</v>
      </c>
      <c r="M179" s="18" t="s">
        <v>374</v>
      </c>
      <c r="N179" s="18" t="s">
        <v>1115</v>
      </c>
      <c r="O179" s="18" t="s">
        <v>1117</v>
      </c>
      <c r="P179" s="18" t="s">
        <v>375</v>
      </c>
      <c r="S179" s="18" t="s">
        <v>529</v>
      </c>
      <c r="T179" s="18" t="s">
        <v>529</v>
      </c>
      <c r="U179" s="18" t="s">
        <v>2902</v>
      </c>
    </row>
    <row r="180" spans="1:21" s="18" customFormat="1" x14ac:dyDescent="0.25">
      <c r="A180" t="s">
        <v>1315</v>
      </c>
      <c r="B180" t="s">
        <v>85</v>
      </c>
      <c r="C180"/>
      <c r="D180"/>
      <c r="E180" t="s">
        <v>75</v>
      </c>
      <c r="F180" t="s">
        <v>755</v>
      </c>
      <c r="G180" t="s">
        <v>2132</v>
      </c>
      <c r="H180">
        <v>-120.514</v>
      </c>
      <c r="I180">
        <v>50.661000000000001</v>
      </c>
      <c r="J180" t="s">
        <v>2758</v>
      </c>
      <c r="K180" t="s">
        <v>2757</v>
      </c>
      <c r="L180" t="s">
        <v>2575</v>
      </c>
      <c r="M180" t="s">
        <v>10</v>
      </c>
      <c r="N180"/>
      <c r="O180"/>
      <c r="P180" t="s">
        <v>11</v>
      </c>
      <c r="Q180" t="s">
        <v>13</v>
      </c>
      <c r="R180" t="s">
        <v>2626</v>
      </c>
      <c r="S180" t="s">
        <v>16</v>
      </c>
      <c r="T180" t="s">
        <v>84</v>
      </c>
      <c r="U180" t="s">
        <v>2903</v>
      </c>
    </row>
    <row r="181" spans="1:21" s="18" customFormat="1" x14ac:dyDescent="0.25">
      <c r="A181" t="s">
        <v>1268</v>
      </c>
      <c r="B181" t="s">
        <v>80</v>
      </c>
      <c r="C181" t="s">
        <v>1778</v>
      </c>
      <c r="D181" t="s">
        <v>1849</v>
      </c>
      <c r="E181" t="s">
        <v>79</v>
      </c>
      <c r="F181" t="s">
        <v>717</v>
      </c>
      <c r="G181" t="s">
        <v>1848</v>
      </c>
      <c r="H181">
        <v>-100.024002</v>
      </c>
      <c r="I181">
        <v>54.886349000000003</v>
      </c>
      <c r="J181" t="s">
        <v>2711</v>
      </c>
      <c r="K181" t="s">
        <v>1778</v>
      </c>
      <c r="L181" t="s">
        <v>2562</v>
      </c>
      <c r="M181" t="s">
        <v>10</v>
      </c>
      <c r="N181"/>
      <c r="O181"/>
      <c r="P181" t="s">
        <v>11</v>
      </c>
      <c r="Q181" t="s">
        <v>21</v>
      </c>
      <c r="R181" t="s">
        <v>2626</v>
      </c>
      <c r="S181" t="s">
        <v>16</v>
      </c>
      <c r="T181" t="s">
        <v>81</v>
      </c>
      <c r="U181" t="s">
        <v>2903</v>
      </c>
    </row>
    <row r="182" spans="1:21" s="18" customFormat="1" x14ac:dyDescent="0.25">
      <c r="A182" t="s">
        <v>1246</v>
      </c>
      <c r="B182" t="s">
        <v>184</v>
      </c>
      <c r="C182" t="s">
        <v>2087</v>
      </c>
      <c r="D182" t="s">
        <v>2088</v>
      </c>
      <c r="E182" t="s">
        <v>142</v>
      </c>
      <c r="F182" t="s">
        <v>715</v>
      </c>
      <c r="G182" t="s">
        <v>2086</v>
      </c>
      <c r="H182">
        <v>-80.796792999999994</v>
      </c>
      <c r="I182">
        <v>46.657981999999997</v>
      </c>
      <c r="J182" t="s">
        <v>2686</v>
      </c>
      <c r="K182" t="s">
        <v>140</v>
      </c>
      <c r="L182" t="s">
        <v>2551</v>
      </c>
      <c r="M182" t="s">
        <v>10</v>
      </c>
      <c r="N182"/>
      <c r="O182"/>
      <c r="P182" t="s">
        <v>11</v>
      </c>
      <c r="Q182" t="s">
        <v>44</v>
      </c>
      <c r="R182" t="s">
        <v>2597</v>
      </c>
      <c r="S182" t="s">
        <v>557</v>
      </c>
      <c r="T182" t="s">
        <v>185</v>
      </c>
      <c r="U182" t="s">
        <v>2903</v>
      </c>
    </row>
    <row r="183" spans="1:21" s="18" customFormat="1" x14ac:dyDescent="0.25">
      <c r="A183" t="s">
        <v>1246</v>
      </c>
      <c r="B183" t="s">
        <v>184</v>
      </c>
      <c r="C183" t="s">
        <v>1767</v>
      </c>
      <c r="D183" t="s">
        <v>2909</v>
      </c>
      <c r="E183" t="s">
        <v>142</v>
      </c>
      <c r="F183" t="s">
        <v>715</v>
      </c>
      <c r="G183" t="s">
        <v>2086</v>
      </c>
      <c r="H183">
        <v>-80.796792999999994</v>
      </c>
      <c r="I183">
        <v>46.657981999999997</v>
      </c>
      <c r="J183" t="s">
        <v>2686</v>
      </c>
      <c r="K183" t="s">
        <v>140</v>
      </c>
      <c r="L183" t="s">
        <v>2551</v>
      </c>
      <c r="M183" t="s">
        <v>10</v>
      </c>
      <c r="N183"/>
      <c r="O183"/>
      <c r="P183" t="s">
        <v>11</v>
      </c>
      <c r="Q183" t="s">
        <v>44</v>
      </c>
      <c r="R183" t="s">
        <v>2597</v>
      </c>
      <c r="S183" t="s">
        <v>557</v>
      </c>
      <c r="T183" t="s">
        <v>185</v>
      </c>
      <c r="U183" t="s">
        <v>2903</v>
      </c>
    </row>
    <row r="184" spans="1:21" s="18" customFormat="1" x14ac:dyDescent="0.25">
      <c r="A184" s="18" t="s">
        <v>1327</v>
      </c>
      <c r="B184" s="18" t="s">
        <v>590</v>
      </c>
      <c r="E184" s="18" t="s">
        <v>589</v>
      </c>
      <c r="F184" s="18" t="s">
        <v>879</v>
      </c>
      <c r="G184" s="18" t="s">
        <v>2136</v>
      </c>
      <c r="H184" s="18">
        <v>-139.53333000000001</v>
      </c>
      <c r="I184" s="18">
        <v>61.466670000000001</v>
      </c>
      <c r="J184" s="18" t="s">
        <v>2778</v>
      </c>
      <c r="L184" s="18" t="s">
        <v>2599</v>
      </c>
      <c r="M184" s="18" t="s">
        <v>374</v>
      </c>
      <c r="N184" s="18" t="s">
        <v>1115</v>
      </c>
      <c r="O184" s="18" t="s">
        <v>1116</v>
      </c>
      <c r="P184" s="18" t="s">
        <v>375</v>
      </c>
      <c r="S184" s="18" t="s">
        <v>557</v>
      </c>
      <c r="T184" s="18" t="s">
        <v>591</v>
      </c>
      <c r="U184" s="18" t="s">
        <v>2902</v>
      </c>
    </row>
    <row r="185" spans="1:21" s="18" customFormat="1" x14ac:dyDescent="0.25">
      <c r="A185" s="18" t="s">
        <v>1233</v>
      </c>
      <c r="B185" s="18" t="s">
        <v>385</v>
      </c>
      <c r="E185" s="18" t="s">
        <v>382</v>
      </c>
      <c r="F185" s="18" t="s">
        <v>382</v>
      </c>
      <c r="G185" s="18" t="s">
        <v>2079</v>
      </c>
      <c r="H185" s="18">
        <v>-116.74583</v>
      </c>
      <c r="I185" s="18">
        <v>63.55</v>
      </c>
      <c r="J185" s="18" t="s">
        <v>2666</v>
      </c>
      <c r="L185" s="18" t="s">
        <v>2591</v>
      </c>
      <c r="M185" s="18" t="s">
        <v>374</v>
      </c>
      <c r="N185" s="18" t="s">
        <v>1115</v>
      </c>
      <c r="O185" s="18" t="s">
        <v>1116</v>
      </c>
      <c r="P185" s="18" t="s">
        <v>375</v>
      </c>
      <c r="S185" s="18" t="s">
        <v>1765</v>
      </c>
      <c r="T185" s="18" t="s">
        <v>384</v>
      </c>
      <c r="U185" s="18" t="s">
        <v>2902</v>
      </c>
    </row>
    <row r="186" spans="1:21" s="18" customFormat="1" x14ac:dyDescent="0.25">
      <c r="A186" t="s">
        <v>1299</v>
      </c>
      <c r="B186" t="s">
        <v>176</v>
      </c>
      <c r="C186"/>
      <c r="D186"/>
      <c r="E186" t="s">
        <v>175</v>
      </c>
      <c r="F186" t="s">
        <v>868</v>
      </c>
      <c r="G186" t="s">
        <v>2120</v>
      </c>
      <c r="H186">
        <v>-71.156929000000005</v>
      </c>
      <c r="I186">
        <v>48.532147999999999</v>
      </c>
      <c r="J186" t="s">
        <v>2742</v>
      </c>
      <c r="K186" t="s">
        <v>2741</v>
      </c>
      <c r="L186" t="s">
        <v>2539</v>
      </c>
      <c r="M186" t="s">
        <v>10</v>
      </c>
      <c r="N186"/>
      <c r="O186"/>
      <c r="P186" t="s">
        <v>11</v>
      </c>
      <c r="Q186" t="s">
        <v>13</v>
      </c>
      <c r="R186" t="s">
        <v>1876</v>
      </c>
      <c r="S186" t="s">
        <v>177</v>
      </c>
      <c r="T186" t="s">
        <v>177</v>
      </c>
      <c r="U186" t="s">
        <v>2903</v>
      </c>
    </row>
    <row r="187" spans="1:21" x14ac:dyDescent="0.25">
      <c r="A187" t="s">
        <v>1298</v>
      </c>
      <c r="B187" t="s">
        <v>326</v>
      </c>
      <c r="E187" t="s">
        <v>325</v>
      </c>
      <c r="F187" t="s">
        <v>325</v>
      </c>
      <c r="G187" t="s">
        <v>2119</v>
      </c>
      <c r="H187">
        <v>-71.158168000000003</v>
      </c>
      <c r="I187">
        <v>48.531737999999997</v>
      </c>
      <c r="J187" t="s">
        <v>2740</v>
      </c>
      <c r="L187" t="s">
        <v>2539</v>
      </c>
      <c r="M187" t="s">
        <v>10</v>
      </c>
      <c r="P187" t="s">
        <v>233</v>
      </c>
      <c r="R187" t="s">
        <v>2440</v>
      </c>
      <c r="S187" t="s">
        <v>327</v>
      </c>
      <c r="T187" t="s">
        <v>327</v>
      </c>
      <c r="U187" t="s">
        <v>2903</v>
      </c>
    </row>
    <row r="188" spans="1:21" s="18" customFormat="1" x14ac:dyDescent="0.25">
      <c r="A188" t="s">
        <v>1366</v>
      </c>
      <c r="B188" t="s">
        <v>173</v>
      </c>
      <c r="C188"/>
      <c r="D188"/>
      <c r="E188" t="s">
        <v>172</v>
      </c>
      <c r="F188" t="s">
        <v>896</v>
      </c>
      <c r="G188" t="s">
        <v>2160</v>
      </c>
      <c r="H188">
        <v>-77.809340000000006</v>
      </c>
      <c r="I188">
        <v>48.411499999999997</v>
      </c>
      <c r="J188" t="s">
        <v>2812</v>
      </c>
      <c r="K188" t="s">
        <v>2811</v>
      </c>
      <c r="L188" t="s">
        <v>2539</v>
      </c>
      <c r="M188" t="s">
        <v>10</v>
      </c>
      <c r="N188"/>
      <c r="O188"/>
      <c r="P188" t="s">
        <v>11</v>
      </c>
      <c r="Q188" t="s">
        <v>17</v>
      </c>
      <c r="R188" t="s">
        <v>1876</v>
      </c>
      <c r="S188" t="s">
        <v>174</v>
      </c>
      <c r="T188" t="s">
        <v>174</v>
      </c>
      <c r="U188" t="s">
        <v>2903</v>
      </c>
    </row>
    <row r="189" spans="1:21" s="18" customFormat="1" x14ac:dyDescent="0.25">
      <c r="A189" s="18" t="s">
        <v>1331</v>
      </c>
      <c r="B189" s="18" t="s">
        <v>393</v>
      </c>
      <c r="E189" s="18" t="s">
        <v>392</v>
      </c>
      <c r="F189" s="18" t="s">
        <v>882</v>
      </c>
      <c r="G189" s="18" t="s">
        <v>2140</v>
      </c>
      <c r="H189" s="18">
        <v>-127.85639</v>
      </c>
      <c r="I189" s="18">
        <v>50.675559999999997</v>
      </c>
      <c r="J189" s="18" t="s">
        <v>2782</v>
      </c>
      <c r="L189" s="18" t="s">
        <v>2575</v>
      </c>
      <c r="M189" s="18" t="s">
        <v>374</v>
      </c>
      <c r="N189" s="18" t="s">
        <v>1115</v>
      </c>
      <c r="O189" s="18" t="s">
        <v>1116</v>
      </c>
      <c r="P189" s="18" t="s">
        <v>375</v>
      </c>
      <c r="S189" s="18" t="s">
        <v>125</v>
      </c>
      <c r="T189" s="18" t="s">
        <v>394</v>
      </c>
      <c r="U189" s="18" t="s">
        <v>2902</v>
      </c>
    </row>
    <row r="190" spans="1:21" x14ac:dyDescent="0.25">
      <c r="A190" t="s">
        <v>1223</v>
      </c>
      <c r="B190" t="s">
        <v>124</v>
      </c>
      <c r="E190" t="s">
        <v>123</v>
      </c>
      <c r="F190" t="s">
        <v>406</v>
      </c>
      <c r="G190" t="s">
        <v>2071</v>
      </c>
      <c r="H190">
        <v>-55.775300000000001</v>
      </c>
      <c r="I190">
        <v>49.844999999999999</v>
      </c>
      <c r="J190" t="s">
        <v>2657</v>
      </c>
      <c r="K190" t="s">
        <v>2656</v>
      </c>
      <c r="L190" t="s">
        <v>2601</v>
      </c>
      <c r="M190" t="s">
        <v>10</v>
      </c>
      <c r="P190" t="s">
        <v>11</v>
      </c>
      <c r="Q190" t="s">
        <v>21</v>
      </c>
      <c r="R190" t="s">
        <v>2597</v>
      </c>
      <c r="S190" t="s">
        <v>125</v>
      </c>
      <c r="T190" t="s">
        <v>125</v>
      </c>
      <c r="U190" t="s">
        <v>2903</v>
      </c>
    </row>
    <row r="191" spans="1:21" x14ac:dyDescent="0.25">
      <c r="A191" t="s">
        <v>1188</v>
      </c>
      <c r="B191" t="s">
        <v>198</v>
      </c>
      <c r="E191" t="s">
        <v>197</v>
      </c>
      <c r="F191" t="s">
        <v>753</v>
      </c>
      <c r="G191" t="s">
        <v>2044</v>
      </c>
      <c r="H191">
        <v>-74.137500000000003</v>
      </c>
      <c r="I191">
        <v>61.420856000000001</v>
      </c>
      <c r="J191" t="s">
        <v>2622</v>
      </c>
      <c r="K191" t="s">
        <v>2621</v>
      </c>
      <c r="L191" t="s">
        <v>2539</v>
      </c>
      <c r="M191" t="s">
        <v>10</v>
      </c>
      <c r="P191" t="s">
        <v>11</v>
      </c>
      <c r="Q191" t="s">
        <v>23</v>
      </c>
      <c r="R191" t="s">
        <v>2597</v>
      </c>
      <c r="S191" t="s">
        <v>557</v>
      </c>
      <c r="T191" t="s">
        <v>199</v>
      </c>
      <c r="U191" t="s">
        <v>2903</v>
      </c>
    </row>
    <row r="192" spans="1:21" x14ac:dyDescent="0.25">
      <c r="A192" s="18" t="s">
        <v>1255</v>
      </c>
      <c r="B192" s="18" t="s">
        <v>574</v>
      </c>
      <c r="C192" s="18"/>
      <c r="D192" s="18"/>
      <c r="E192" s="18" t="s">
        <v>142</v>
      </c>
      <c r="F192" s="18" t="s">
        <v>715</v>
      </c>
      <c r="G192" s="18" t="s">
        <v>2086</v>
      </c>
      <c r="H192" s="18">
        <v>-81.383877999999996</v>
      </c>
      <c r="I192" s="18">
        <v>46.632019</v>
      </c>
      <c r="J192" s="18" t="s">
        <v>2687</v>
      </c>
      <c r="K192" s="18"/>
      <c r="L192" s="18" t="s">
        <v>2551</v>
      </c>
      <c r="M192" s="18" t="s">
        <v>374</v>
      </c>
      <c r="N192" s="18" t="s">
        <v>1115</v>
      </c>
      <c r="O192" s="18" t="s">
        <v>1116</v>
      </c>
      <c r="P192" s="18" t="s">
        <v>375</v>
      </c>
      <c r="Q192" s="18"/>
      <c r="R192" s="18"/>
      <c r="S192" s="18" t="s">
        <v>557</v>
      </c>
      <c r="T192" s="18" t="s">
        <v>575</v>
      </c>
      <c r="U192" s="18" t="s">
        <v>2902</v>
      </c>
    </row>
    <row r="193" spans="1:21" x14ac:dyDescent="0.25">
      <c r="A193" s="18" t="s">
        <v>1290</v>
      </c>
      <c r="B193" s="18" t="s">
        <v>381</v>
      </c>
      <c r="C193" s="18"/>
      <c r="D193" s="18"/>
      <c r="E193" s="18" t="s">
        <v>380</v>
      </c>
      <c r="F193" s="18" t="s">
        <v>380</v>
      </c>
      <c r="G193" s="18" t="s">
        <v>2112</v>
      </c>
      <c r="H193" s="18">
        <v>-76.5</v>
      </c>
      <c r="I193" s="18">
        <v>44.233333999999999</v>
      </c>
      <c r="J193" s="18" t="s">
        <v>2732</v>
      </c>
      <c r="K193" s="18"/>
      <c r="L193" s="18" t="s">
        <v>2551</v>
      </c>
      <c r="M193" s="18" t="s">
        <v>374</v>
      </c>
      <c r="N193" s="18" t="s">
        <v>1115</v>
      </c>
      <c r="O193" s="18" t="s">
        <v>1120</v>
      </c>
      <c r="P193" s="18" t="s">
        <v>375</v>
      </c>
      <c r="Q193" s="18"/>
      <c r="R193" s="18"/>
      <c r="S193" s="18" t="s">
        <v>379</v>
      </c>
      <c r="T193" s="18" t="s">
        <v>379</v>
      </c>
      <c r="U193" s="18" t="s">
        <v>2902</v>
      </c>
    </row>
    <row r="194" spans="1:21" x14ac:dyDescent="0.25">
      <c r="A194" s="18" t="s">
        <v>1387</v>
      </c>
      <c r="B194" s="18" t="s">
        <v>399</v>
      </c>
      <c r="C194" s="18"/>
      <c r="D194" s="18"/>
      <c r="E194" s="18" t="s">
        <v>398</v>
      </c>
      <c r="F194" s="18" t="s">
        <v>904</v>
      </c>
      <c r="G194" s="18" t="s">
        <v>2177</v>
      </c>
      <c r="H194" s="18">
        <v>-127.08333</v>
      </c>
      <c r="I194" s="18">
        <v>53.633330000000001</v>
      </c>
      <c r="J194" s="18" t="s">
        <v>2838</v>
      </c>
      <c r="K194" s="18"/>
      <c r="L194" s="18" t="s">
        <v>2575</v>
      </c>
      <c r="M194" s="18" t="s">
        <v>374</v>
      </c>
      <c r="N194" s="18" t="s">
        <v>1115</v>
      </c>
      <c r="O194" s="18" t="s">
        <v>1116</v>
      </c>
      <c r="P194" s="18" t="s">
        <v>375</v>
      </c>
      <c r="Q194" s="18"/>
      <c r="R194" s="18"/>
      <c r="S194" s="18" t="s">
        <v>125</v>
      </c>
      <c r="T194" s="18" t="s">
        <v>397</v>
      </c>
      <c r="U194" s="18" t="s">
        <v>2902</v>
      </c>
    </row>
    <row r="195" spans="1:21" x14ac:dyDescent="0.25">
      <c r="A195" t="s">
        <v>1362</v>
      </c>
      <c r="B195" t="s">
        <v>329</v>
      </c>
      <c r="E195" t="s">
        <v>328</v>
      </c>
      <c r="F195" t="s">
        <v>328</v>
      </c>
      <c r="G195" t="s">
        <v>1936</v>
      </c>
      <c r="H195">
        <v>-75.699219999999997</v>
      </c>
      <c r="I195">
        <v>45.431331999999998</v>
      </c>
      <c r="J195" t="s">
        <v>2807</v>
      </c>
      <c r="L195" t="s">
        <v>2551</v>
      </c>
      <c r="M195" t="s">
        <v>10</v>
      </c>
      <c r="P195" t="s">
        <v>233</v>
      </c>
      <c r="Q195" t="s">
        <v>274</v>
      </c>
      <c r="R195" t="s">
        <v>2542</v>
      </c>
      <c r="S195" t="s">
        <v>16</v>
      </c>
      <c r="T195" t="s">
        <v>64</v>
      </c>
      <c r="U195" t="s">
        <v>2903</v>
      </c>
    </row>
    <row r="196" spans="1:21" x14ac:dyDescent="0.25">
      <c r="A196" t="s">
        <v>1303</v>
      </c>
      <c r="B196" t="s">
        <v>331</v>
      </c>
      <c r="E196" t="s">
        <v>330</v>
      </c>
      <c r="F196" t="s">
        <v>330</v>
      </c>
      <c r="G196" t="s">
        <v>2124</v>
      </c>
      <c r="H196">
        <v>-75.562391000000005</v>
      </c>
      <c r="I196">
        <v>45.298042000000002</v>
      </c>
      <c r="J196" t="s">
        <v>2746</v>
      </c>
      <c r="L196" t="s">
        <v>2551</v>
      </c>
      <c r="M196" t="s">
        <v>10</v>
      </c>
      <c r="P196" t="s">
        <v>233</v>
      </c>
      <c r="R196" t="s">
        <v>2440</v>
      </c>
      <c r="S196" t="s">
        <v>2635</v>
      </c>
      <c r="T196" t="s">
        <v>332</v>
      </c>
      <c r="U196" t="s">
        <v>2903</v>
      </c>
    </row>
    <row r="197" spans="1:21" x14ac:dyDescent="0.25">
      <c r="A197" s="18" t="s">
        <v>1236</v>
      </c>
      <c r="B197" s="18" t="s">
        <v>526</v>
      </c>
      <c r="C197" s="18"/>
      <c r="D197" s="18"/>
      <c r="E197" s="18" t="s">
        <v>525</v>
      </c>
      <c r="F197" s="18" t="s">
        <v>851</v>
      </c>
      <c r="G197" s="18" t="s">
        <v>2082</v>
      </c>
      <c r="H197" s="18">
        <v>-93.377269999999996</v>
      </c>
      <c r="I197" s="18">
        <v>52.600259999999999</v>
      </c>
      <c r="J197" s="18" t="s">
        <v>2670</v>
      </c>
      <c r="K197" s="18"/>
      <c r="L197" s="18" t="s">
        <v>2551</v>
      </c>
      <c r="M197" s="18" t="s">
        <v>374</v>
      </c>
      <c r="N197" s="18" t="s">
        <v>1115</v>
      </c>
      <c r="O197" s="18" t="s">
        <v>1116</v>
      </c>
      <c r="P197" s="18" t="s">
        <v>375</v>
      </c>
      <c r="Q197" s="18"/>
      <c r="R197" s="18"/>
      <c r="S197" s="18" t="s">
        <v>509</v>
      </c>
      <c r="T197" s="18" t="s">
        <v>527</v>
      </c>
      <c r="U197" s="18" t="s">
        <v>2902</v>
      </c>
    </row>
    <row r="198" spans="1:21" x14ac:dyDescent="0.25">
      <c r="A198" s="18" t="s">
        <v>1228</v>
      </c>
      <c r="B198" s="18" t="s">
        <v>664</v>
      </c>
      <c r="C198" s="18"/>
      <c r="D198" s="18"/>
      <c r="E198" s="18" t="s">
        <v>663</v>
      </c>
      <c r="F198" s="18" t="s">
        <v>846</v>
      </c>
      <c r="G198" s="18" t="s">
        <v>2075</v>
      </c>
      <c r="H198" s="18">
        <v>-109.364</v>
      </c>
      <c r="I198" s="18">
        <v>57.639000000000003</v>
      </c>
      <c r="J198" s="18" t="s">
        <v>2661</v>
      </c>
      <c r="K198" s="18"/>
      <c r="L198" s="18" t="s">
        <v>2588</v>
      </c>
      <c r="M198" s="18" t="s">
        <v>374</v>
      </c>
      <c r="N198" s="18" t="s">
        <v>1115</v>
      </c>
      <c r="O198" s="18" t="s">
        <v>1116</v>
      </c>
      <c r="P198" s="18" t="s">
        <v>375</v>
      </c>
      <c r="Q198" s="18"/>
      <c r="R198" s="18"/>
      <c r="S198" s="18" t="s">
        <v>210</v>
      </c>
      <c r="T198" s="18" t="s">
        <v>210</v>
      </c>
      <c r="U198" s="18" t="s">
        <v>2902</v>
      </c>
    </row>
    <row r="199" spans="1:21" x14ac:dyDescent="0.25">
      <c r="A199" s="18" t="s">
        <v>1337</v>
      </c>
      <c r="B199" s="18" t="s">
        <v>682</v>
      </c>
      <c r="C199" s="18"/>
      <c r="D199" s="18"/>
      <c r="E199" s="18" t="s">
        <v>681</v>
      </c>
      <c r="F199" s="18" t="s">
        <v>888</v>
      </c>
      <c r="G199" s="18" t="s">
        <v>2146</v>
      </c>
      <c r="H199" s="18">
        <v>-114.38652</v>
      </c>
      <c r="I199" s="18">
        <v>60.872160000000001</v>
      </c>
      <c r="J199" s="18" t="s">
        <v>2788</v>
      </c>
      <c r="K199" s="18"/>
      <c r="L199" s="18" t="s">
        <v>2591</v>
      </c>
      <c r="M199" s="18" t="s">
        <v>374</v>
      </c>
      <c r="N199" s="18" t="s">
        <v>1115</v>
      </c>
      <c r="O199" s="18" t="s">
        <v>1116</v>
      </c>
      <c r="P199" s="18" t="s">
        <v>375</v>
      </c>
      <c r="Q199" s="18"/>
      <c r="R199" s="18"/>
      <c r="S199" s="18" t="s">
        <v>1551</v>
      </c>
      <c r="T199" s="18" t="s">
        <v>683</v>
      </c>
      <c r="U199" s="18" t="s">
        <v>2902</v>
      </c>
    </row>
    <row r="200" spans="1:21" x14ac:dyDescent="0.25">
      <c r="A200" t="s">
        <v>1301</v>
      </c>
      <c r="B200" t="s">
        <v>36</v>
      </c>
      <c r="E200" t="s">
        <v>35</v>
      </c>
      <c r="F200" t="s">
        <v>870</v>
      </c>
      <c r="G200" t="s">
        <v>2122</v>
      </c>
      <c r="H200">
        <v>-56.124447000000004</v>
      </c>
      <c r="I200">
        <v>49.961419999999997</v>
      </c>
      <c r="J200" t="s">
        <v>2744</v>
      </c>
      <c r="K200" t="s">
        <v>2654</v>
      </c>
      <c r="L200" t="s">
        <v>2601</v>
      </c>
      <c r="M200" t="s">
        <v>10</v>
      </c>
      <c r="P200" t="s">
        <v>11</v>
      </c>
      <c r="Q200" t="s">
        <v>19</v>
      </c>
      <c r="R200" t="s">
        <v>2542</v>
      </c>
      <c r="S200" t="s">
        <v>16</v>
      </c>
      <c r="T200" t="s">
        <v>16</v>
      </c>
      <c r="U200" t="s">
        <v>2903</v>
      </c>
    </row>
    <row r="201" spans="1:21" s="18" customFormat="1" x14ac:dyDescent="0.25">
      <c r="A201" t="s">
        <v>1318</v>
      </c>
      <c r="B201" t="s">
        <v>45</v>
      </c>
      <c r="C201"/>
      <c r="D201"/>
      <c r="E201" t="s">
        <v>39</v>
      </c>
      <c r="F201" t="s">
        <v>39</v>
      </c>
      <c r="G201" t="s">
        <v>2133</v>
      </c>
      <c r="H201">
        <v>-81.242718999999994</v>
      </c>
      <c r="I201">
        <v>48.463510999999997</v>
      </c>
      <c r="J201" t="s">
        <v>2771</v>
      </c>
      <c r="K201" t="s">
        <v>2586</v>
      </c>
      <c r="L201" t="s">
        <v>2551</v>
      </c>
      <c r="M201" t="s">
        <v>10</v>
      </c>
      <c r="N201"/>
      <c r="O201"/>
      <c r="P201" t="s">
        <v>11</v>
      </c>
      <c r="Q201" t="s">
        <v>21</v>
      </c>
      <c r="R201" t="s">
        <v>2542</v>
      </c>
      <c r="S201" t="s">
        <v>16</v>
      </c>
      <c r="T201" t="s">
        <v>16</v>
      </c>
      <c r="U201" t="s">
        <v>2903</v>
      </c>
    </row>
    <row r="202" spans="1:21" x14ac:dyDescent="0.25">
      <c r="A202" t="s">
        <v>1426</v>
      </c>
      <c r="B202" t="s">
        <v>333</v>
      </c>
      <c r="E202" t="s">
        <v>178</v>
      </c>
      <c r="F202" t="s">
        <v>719</v>
      </c>
      <c r="G202" t="s">
        <v>2191</v>
      </c>
      <c r="H202">
        <v>-79.239999999999995</v>
      </c>
      <c r="I202">
        <v>42.883000000000003</v>
      </c>
      <c r="J202" t="s">
        <v>2871</v>
      </c>
      <c r="L202" t="s">
        <v>2551</v>
      </c>
      <c r="M202" t="s">
        <v>10</v>
      </c>
      <c r="P202" t="s">
        <v>233</v>
      </c>
      <c r="Q202" t="s">
        <v>274</v>
      </c>
      <c r="R202" t="s">
        <v>2597</v>
      </c>
      <c r="S202" t="s">
        <v>2870</v>
      </c>
      <c r="T202" t="s">
        <v>334</v>
      </c>
      <c r="U202" t="s">
        <v>2903</v>
      </c>
    </row>
    <row r="203" spans="1:21" s="18" customFormat="1" x14ac:dyDescent="0.25">
      <c r="A203" t="s">
        <v>1178</v>
      </c>
      <c r="B203" t="s">
        <v>335</v>
      </c>
      <c r="C203"/>
      <c r="D203"/>
      <c r="E203" t="s">
        <v>208</v>
      </c>
      <c r="F203" t="s">
        <v>208</v>
      </c>
      <c r="G203" t="s">
        <v>1752</v>
      </c>
      <c r="H203">
        <v>-78.294300000000007</v>
      </c>
      <c r="I203">
        <v>43.942900000000002</v>
      </c>
      <c r="J203" t="s">
        <v>2615</v>
      </c>
      <c r="K203"/>
      <c r="L203" t="s">
        <v>2551</v>
      </c>
      <c r="M203" t="s">
        <v>10</v>
      </c>
      <c r="N203"/>
      <c r="O203"/>
      <c r="P203" t="s">
        <v>233</v>
      </c>
      <c r="Q203" t="s">
        <v>337</v>
      </c>
      <c r="R203" t="s">
        <v>210</v>
      </c>
      <c r="S203" t="s">
        <v>2614</v>
      </c>
      <c r="T203" t="s">
        <v>336</v>
      </c>
      <c r="U203" t="s">
        <v>2903</v>
      </c>
    </row>
    <row r="204" spans="1:21" s="18" customFormat="1" x14ac:dyDescent="0.25">
      <c r="A204" t="s">
        <v>1157</v>
      </c>
      <c r="B204" t="s">
        <v>339</v>
      </c>
      <c r="C204" t="s">
        <v>2905</v>
      </c>
      <c r="D204" t="s">
        <v>2906</v>
      </c>
      <c r="E204" t="s">
        <v>338</v>
      </c>
      <c r="F204" t="s">
        <v>155</v>
      </c>
      <c r="G204" t="s">
        <v>2030</v>
      </c>
      <c r="H204">
        <v>-66.797531000000006</v>
      </c>
      <c r="I204">
        <v>50.032130000000002</v>
      </c>
      <c r="J204" t="s">
        <v>2584</v>
      </c>
      <c r="K204"/>
      <c r="L204" t="s">
        <v>2539</v>
      </c>
      <c r="M204" t="s">
        <v>10</v>
      </c>
      <c r="N204"/>
      <c r="O204"/>
      <c r="P204" t="s">
        <v>233</v>
      </c>
      <c r="Q204" t="s">
        <v>341</v>
      </c>
      <c r="R204" t="s">
        <v>340</v>
      </c>
      <c r="S204" t="s">
        <v>340</v>
      </c>
      <c r="T204" t="s">
        <v>340</v>
      </c>
      <c r="U204" t="s">
        <v>2903</v>
      </c>
    </row>
    <row r="205" spans="1:21" s="18" customFormat="1" x14ac:dyDescent="0.25">
      <c r="A205" s="18" t="s">
        <v>1333</v>
      </c>
      <c r="B205" s="18" t="s">
        <v>698</v>
      </c>
      <c r="E205" s="18" t="s">
        <v>697</v>
      </c>
      <c r="F205" s="18" t="s">
        <v>884</v>
      </c>
      <c r="G205" s="18" t="s">
        <v>2142</v>
      </c>
      <c r="H205" s="18">
        <v>-124.79938</v>
      </c>
      <c r="I205" s="18">
        <v>61.557130000000001</v>
      </c>
      <c r="J205" s="18" t="s">
        <v>2784</v>
      </c>
      <c r="L205" s="18" t="s">
        <v>2591</v>
      </c>
      <c r="M205" s="18" t="s">
        <v>374</v>
      </c>
      <c r="N205" s="18" t="s">
        <v>1115</v>
      </c>
      <c r="O205" s="18" t="s">
        <v>1116</v>
      </c>
      <c r="P205" s="18" t="s">
        <v>375</v>
      </c>
      <c r="S205" s="18" t="s">
        <v>1551</v>
      </c>
      <c r="T205" s="18" t="s">
        <v>693</v>
      </c>
      <c r="U205" s="18" t="s">
        <v>2902</v>
      </c>
    </row>
    <row r="206" spans="1:21" s="18" customFormat="1" x14ac:dyDescent="0.25">
      <c r="A206" s="18" t="s">
        <v>1160</v>
      </c>
      <c r="B206" s="18" t="s">
        <v>504</v>
      </c>
      <c r="E206" s="18" t="s">
        <v>503</v>
      </c>
      <c r="F206" s="18" t="s">
        <v>707</v>
      </c>
      <c r="G206" s="18" t="s">
        <v>2904</v>
      </c>
      <c r="H206" s="18">
        <v>-103.63518000000001</v>
      </c>
      <c r="I206" s="18">
        <v>49.213630000000002</v>
      </c>
      <c r="J206" s="18" t="s">
        <v>2589</v>
      </c>
      <c r="L206" s="18" t="s">
        <v>2588</v>
      </c>
      <c r="M206" s="18" t="s">
        <v>374</v>
      </c>
      <c r="N206" s="18" t="s">
        <v>1115</v>
      </c>
      <c r="O206" s="18" t="s">
        <v>1118</v>
      </c>
      <c r="P206" s="18" t="s">
        <v>375</v>
      </c>
      <c r="S206" s="18" t="s">
        <v>498</v>
      </c>
      <c r="T206" s="18" t="s">
        <v>498</v>
      </c>
      <c r="U206" s="18" t="s">
        <v>2902</v>
      </c>
    </row>
    <row r="207" spans="1:21" x14ac:dyDescent="0.25">
      <c r="A207" s="18" t="s">
        <v>1265</v>
      </c>
      <c r="B207" s="18" t="s">
        <v>463</v>
      </c>
      <c r="C207" s="18"/>
      <c r="D207" s="18"/>
      <c r="E207" s="18" t="s">
        <v>8</v>
      </c>
      <c r="F207" s="18" t="s">
        <v>8</v>
      </c>
      <c r="G207" s="18" t="s">
        <v>1895</v>
      </c>
      <c r="H207" s="18">
        <v>-134.41278</v>
      </c>
      <c r="I207" s="18">
        <v>64.196669999999997</v>
      </c>
      <c r="J207" s="18" t="s">
        <v>2705</v>
      </c>
      <c r="K207" s="18"/>
      <c r="L207" s="18" t="s">
        <v>2599</v>
      </c>
      <c r="M207" s="18" t="s">
        <v>374</v>
      </c>
      <c r="N207" s="18" t="s">
        <v>1115</v>
      </c>
      <c r="O207" s="18" t="s">
        <v>1116</v>
      </c>
      <c r="P207" s="18" t="s">
        <v>375</v>
      </c>
      <c r="Q207" s="18"/>
      <c r="R207" s="18"/>
      <c r="S207" s="18" t="s">
        <v>16</v>
      </c>
      <c r="T207" s="18" t="s">
        <v>462</v>
      </c>
      <c r="U207" s="18" t="s">
        <v>2902</v>
      </c>
    </row>
    <row r="208" spans="1:21" s="18" customFormat="1" x14ac:dyDescent="0.25">
      <c r="A208" t="s">
        <v>1245</v>
      </c>
      <c r="B208" t="s">
        <v>200</v>
      </c>
      <c r="C208" t="s">
        <v>1767</v>
      </c>
      <c r="D208" t="s">
        <v>2909</v>
      </c>
      <c r="E208" t="s">
        <v>142</v>
      </c>
      <c r="F208" t="s">
        <v>715</v>
      </c>
      <c r="G208" t="s">
        <v>2086</v>
      </c>
      <c r="H208">
        <v>-73.674668999999994</v>
      </c>
      <c r="I208">
        <v>61.687170999999999</v>
      </c>
      <c r="J208" t="s">
        <v>2689</v>
      </c>
      <c r="K208" t="s">
        <v>2688</v>
      </c>
      <c r="L208" t="s">
        <v>2539</v>
      </c>
      <c r="M208" t="s">
        <v>10</v>
      </c>
      <c r="N208"/>
      <c r="O208"/>
      <c r="P208" t="s">
        <v>11</v>
      </c>
      <c r="Q208" t="s">
        <v>13</v>
      </c>
      <c r="R208" t="s">
        <v>2597</v>
      </c>
      <c r="S208" t="s">
        <v>557</v>
      </c>
      <c r="T208" t="s">
        <v>201</v>
      </c>
      <c r="U208" t="s">
        <v>2903</v>
      </c>
    </row>
    <row r="209" spans="1:21" s="18" customFormat="1" x14ac:dyDescent="0.25">
      <c r="A209" s="18" t="s">
        <v>1271</v>
      </c>
      <c r="B209" s="18" t="s">
        <v>411</v>
      </c>
      <c r="E209" s="18" t="s">
        <v>79</v>
      </c>
      <c r="F209" s="18" t="s">
        <v>717</v>
      </c>
      <c r="G209" s="18" t="s">
        <v>1848</v>
      </c>
      <c r="H209" s="18">
        <v>-100.5916</v>
      </c>
      <c r="I209" s="18">
        <v>54.746299999999998</v>
      </c>
      <c r="J209" s="18" t="s">
        <v>2712</v>
      </c>
      <c r="L209" s="18" t="s">
        <v>2562</v>
      </c>
      <c r="M209" s="18" t="s">
        <v>374</v>
      </c>
      <c r="N209" s="18" t="s">
        <v>1115</v>
      </c>
      <c r="O209" s="18" t="s">
        <v>1116</v>
      </c>
      <c r="P209" s="18" t="s">
        <v>375</v>
      </c>
      <c r="S209" s="18" t="s">
        <v>125</v>
      </c>
      <c r="T209" s="18" t="s">
        <v>412</v>
      </c>
      <c r="U209" s="18" t="s">
        <v>2902</v>
      </c>
    </row>
    <row r="210" spans="1:21" s="18" customFormat="1" x14ac:dyDescent="0.25">
      <c r="A210" s="18" t="s">
        <v>1434</v>
      </c>
      <c r="B210" s="18" t="s">
        <v>506</v>
      </c>
      <c r="E210" s="18" t="s">
        <v>505</v>
      </c>
      <c r="F210" s="18" t="s">
        <v>505</v>
      </c>
      <c r="G210" s="18" t="s">
        <v>2199</v>
      </c>
      <c r="H210" s="18">
        <v>-119.30174</v>
      </c>
      <c r="I210" s="18">
        <v>58.506639999999997</v>
      </c>
      <c r="J210" s="18" t="s">
        <v>2881</v>
      </c>
      <c r="L210" s="18" t="s">
        <v>2577</v>
      </c>
      <c r="M210" s="18" t="s">
        <v>374</v>
      </c>
      <c r="N210" s="18" t="s">
        <v>1115</v>
      </c>
      <c r="O210" s="18" t="s">
        <v>1118</v>
      </c>
      <c r="P210" s="18" t="s">
        <v>375</v>
      </c>
      <c r="S210" s="18" t="s">
        <v>498</v>
      </c>
      <c r="T210" s="18" t="s">
        <v>498</v>
      </c>
      <c r="U210" s="18" t="s">
        <v>2902</v>
      </c>
    </row>
    <row r="211" spans="1:21" x14ac:dyDescent="0.25">
      <c r="A211" t="s">
        <v>1314</v>
      </c>
      <c r="B211" t="s">
        <v>76</v>
      </c>
      <c r="E211" t="s">
        <v>75</v>
      </c>
      <c r="F211" t="s">
        <v>755</v>
      </c>
      <c r="G211" t="s">
        <v>2132</v>
      </c>
      <c r="H211">
        <v>-94.012</v>
      </c>
      <c r="I211">
        <v>48.832999999999998</v>
      </c>
      <c r="J211" t="s">
        <v>2760</v>
      </c>
      <c r="K211" t="s">
        <v>2759</v>
      </c>
      <c r="L211" t="s">
        <v>2551</v>
      </c>
      <c r="M211" t="s">
        <v>10</v>
      </c>
      <c r="P211" t="s">
        <v>11</v>
      </c>
      <c r="Q211" t="s">
        <v>23</v>
      </c>
      <c r="R211" t="s">
        <v>2542</v>
      </c>
      <c r="S211" t="s">
        <v>16</v>
      </c>
      <c r="T211" t="s">
        <v>64</v>
      </c>
      <c r="U211" t="s">
        <v>2903</v>
      </c>
    </row>
    <row r="212" spans="1:21" s="18" customFormat="1" x14ac:dyDescent="0.25">
      <c r="A212" s="18" t="s">
        <v>1416</v>
      </c>
      <c r="B212" s="18" t="s">
        <v>635</v>
      </c>
      <c r="E212" s="18" t="s">
        <v>634</v>
      </c>
      <c r="F212" s="18" t="s">
        <v>634</v>
      </c>
      <c r="G212" s="18" t="s">
        <v>2188</v>
      </c>
      <c r="H212" s="18">
        <v>-76.5</v>
      </c>
      <c r="I212" s="18">
        <v>44.233333999999999</v>
      </c>
      <c r="J212" s="18" t="s">
        <v>2732</v>
      </c>
      <c r="L212" s="18" t="s">
        <v>2551</v>
      </c>
      <c r="M212" s="18" t="s">
        <v>374</v>
      </c>
      <c r="N212" s="18" t="s">
        <v>1115</v>
      </c>
      <c r="O212" s="18" t="s">
        <v>1121</v>
      </c>
      <c r="P212" s="18" t="s">
        <v>375</v>
      </c>
      <c r="S212" s="18" t="s">
        <v>627</v>
      </c>
      <c r="T212" s="18" t="s">
        <v>627</v>
      </c>
      <c r="U212" s="18" t="s">
        <v>2902</v>
      </c>
    </row>
    <row r="213" spans="1:21" s="18" customFormat="1" x14ac:dyDescent="0.25">
      <c r="A213" s="18" t="s">
        <v>1364</v>
      </c>
      <c r="B213" s="18" t="s">
        <v>633</v>
      </c>
      <c r="E213" s="18" t="s">
        <v>632</v>
      </c>
      <c r="F213" s="18" t="s">
        <v>632</v>
      </c>
      <c r="G213" s="18" t="s">
        <v>2158</v>
      </c>
      <c r="H213" s="18">
        <v>-106.62737</v>
      </c>
      <c r="I213" s="18">
        <v>52.140032699999999</v>
      </c>
      <c r="J213" s="18" t="s">
        <v>2808</v>
      </c>
      <c r="L213" s="18" t="s">
        <v>2588</v>
      </c>
      <c r="M213" s="18" t="s">
        <v>374</v>
      </c>
      <c r="N213" s="18" t="s">
        <v>1115</v>
      </c>
      <c r="O213" s="18" t="s">
        <v>1117</v>
      </c>
      <c r="P213" s="18" t="s">
        <v>375</v>
      </c>
      <c r="S213" s="18" t="s">
        <v>627</v>
      </c>
      <c r="T213" s="18" t="s">
        <v>627</v>
      </c>
      <c r="U213" s="18" t="s">
        <v>2902</v>
      </c>
    </row>
    <row r="214" spans="1:21" s="18" customFormat="1" x14ac:dyDescent="0.25">
      <c r="A214" s="18" t="s">
        <v>1440</v>
      </c>
      <c r="B214" s="18" t="s">
        <v>540</v>
      </c>
      <c r="E214" s="18" t="s">
        <v>539</v>
      </c>
      <c r="F214" s="18" t="s">
        <v>913</v>
      </c>
      <c r="G214" s="18" t="s">
        <v>2204</v>
      </c>
      <c r="H214" s="18">
        <v>-117.884</v>
      </c>
      <c r="I214" s="18">
        <v>49.082000000000001</v>
      </c>
      <c r="J214" s="18" t="s">
        <v>2888</v>
      </c>
      <c r="L214" s="18" t="s">
        <v>2575</v>
      </c>
      <c r="M214" s="18" t="s">
        <v>374</v>
      </c>
      <c r="N214" s="18" t="s">
        <v>1115</v>
      </c>
      <c r="O214" s="18" t="s">
        <v>1116</v>
      </c>
      <c r="P214" s="18" t="s">
        <v>375</v>
      </c>
      <c r="S214" s="18" t="s">
        <v>536</v>
      </c>
      <c r="T214" s="18" t="s">
        <v>536</v>
      </c>
      <c r="U214" s="18" t="s">
        <v>2902</v>
      </c>
    </row>
    <row r="215" spans="1:21" x14ac:dyDescent="0.25">
      <c r="A215" t="s">
        <v>1322</v>
      </c>
      <c r="B215" t="s">
        <v>86</v>
      </c>
      <c r="E215" t="s">
        <v>39</v>
      </c>
      <c r="F215" t="s">
        <v>39</v>
      </c>
      <c r="G215" t="s">
        <v>2133</v>
      </c>
      <c r="H215">
        <v>-129.78333000000001</v>
      </c>
      <c r="I215">
        <v>57.7</v>
      </c>
      <c r="J215" t="s">
        <v>2773</v>
      </c>
      <c r="K215" t="s">
        <v>2772</v>
      </c>
      <c r="L215" t="s">
        <v>2575</v>
      </c>
      <c r="M215" t="s">
        <v>10</v>
      </c>
      <c r="P215" t="s">
        <v>11</v>
      </c>
      <c r="Q215" t="s">
        <v>19</v>
      </c>
      <c r="R215" t="s">
        <v>2597</v>
      </c>
      <c r="S215" t="s">
        <v>16</v>
      </c>
      <c r="T215" t="s">
        <v>84</v>
      </c>
      <c r="U215" t="s">
        <v>2903</v>
      </c>
    </row>
    <row r="216" spans="1:21" x14ac:dyDescent="0.25">
      <c r="A216" t="s">
        <v>1215</v>
      </c>
      <c r="B216" t="s">
        <v>71</v>
      </c>
      <c r="E216" t="s">
        <v>70</v>
      </c>
      <c r="F216" t="s">
        <v>798</v>
      </c>
      <c r="G216" t="s">
        <v>2067</v>
      </c>
      <c r="H216">
        <v>-93.732922000000002</v>
      </c>
      <c r="I216">
        <v>51.050556999999998</v>
      </c>
      <c r="J216" t="s">
        <v>2650</v>
      </c>
      <c r="K216" t="s">
        <v>2649</v>
      </c>
      <c r="L216" t="s">
        <v>2551</v>
      </c>
      <c r="M216" t="s">
        <v>10</v>
      </c>
      <c r="P216" t="s">
        <v>11</v>
      </c>
      <c r="Q216" t="s">
        <v>13</v>
      </c>
      <c r="R216" t="s">
        <v>2542</v>
      </c>
      <c r="S216" t="s">
        <v>16</v>
      </c>
      <c r="T216" t="s">
        <v>64</v>
      </c>
      <c r="U216" t="s">
        <v>2903</v>
      </c>
    </row>
    <row r="217" spans="1:21" x14ac:dyDescent="0.25">
      <c r="A217" s="18" t="s">
        <v>1239</v>
      </c>
      <c r="B217" s="18" t="s">
        <v>637</v>
      </c>
      <c r="C217" s="18"/>
      <c r="D217" s="18"/>
      <c r="E217" s="18" t="s">
        <v>636</v>
      </c>
      <c r="F217" s="18" t="s">
        <v>853</v>
      </c>
      <c r="G217" s="18" t="s">
        <v>2084</v>
      </c>
      <c r="H217" s="18">
        <v>-73.340812</v>
      </c>
      <c r="I217" s="18">
        <v>45.525976</v>
      </c>
      <c r="J217" s="18" t="s">
        <v>2672</v>
      </c>
      <c r="K217" s="18"/>
      <c r="L217" s="18" t="s">
        <v>2539</v>
      </c>
      <c r="M217" s="18" t="s">
        <v>374</v>
      </c>
      <c r="N217" s="18" t="s">
        <v>1115</v>
      </c>
      <c r="O217" s="18" t="s">
        <v>1118</v>
      </c>
      <c r="P217" s="18" t="s">
        <v>375</v>
      </c>
      <c r="Q217" s="18"/>
      <c r="R217" s="18"/>
      <c r="S217" s="18" t="s">
        <v>627</v>
      </c>
      <c r="T217" s="18" t="s">
        <v>627</v>
      </c>
      <c r="U217" s="18" t="s">
        <v>2902</v>
      </c>
    </row>
    <row r="218" spans="1:21" s="18" customFormat="1" x14ac:dyDescent="0.25">
      <c r="A218" t="s">
        <v>1382</v>
      </c>
      <c r="B218" t="s">
        <v>154</v>
      </c>
      <c r="C218"/>
      <c r="D218"/>
      <c r="E218" t="s">
        <v>153</v>
      </c>
      <c r="F218" t="s">
        <v>153</v>
      </c>
      <c r="G218" t="s">
        <v>2174</v>
      </c>
      <c r="H218">
        <v>-72.190579</v>
      </c>
      <c r="I218">
        <v>52.813912999999999</v>
      </c>
      <c r="J218" t="s">
        <v>2835</v>
      </c>
      <c r="K218" t="s">
        <v>2834</v>
      </c>
      <c r="L218" t="s">
        <v>2539</v>
      </c>
      <c r="M218" t="s">
        <v>10</v>
      </c>
      <c r="N218"/>
      <c r="O218"/>
      <c r="P218" t="s">
        <v>11</v>
      </c>
      <c r="Q218" t="s">
        <v>23</v>
      </c>
      <c r="R218" t="s">
        <v>147</v>
      </c>
      <c r="S218" t="s">
        <v>147</v>
      </c>
      <c r="T218" t="s">
        <v>147</v>
      </c>
      <c r="U218" t="s">
        <v>2903</v>
      </c>
    </row>
    <row r="219" spans="1:21" s="18" customFormat="1" x14ac:dyDescent="0.25">
      <c r="A219" s="18" t="s">
        <v>1361</v>
      </c>
      <c r="B219" s="18" t="s">
        <v>441</v>
      </c>
      <c r="E219" s="18" t="s">
        <v>440</v>
      </c>
      <c r="F219" s="18" t="s">
        <v>894</v>
      </c>
      <c r="G219" s="18" t="s">
        <v>2156</v>
      </c>
      <c r="H219" s="18">
        <v>-118.121</v>
      </c>
      <c r="I219" s="18">
        <v>51.286999999999999</v>
      </c>
      <c r="J219" s="18" t="s">
        <v>2806</v>
      </c>
      <c r="L219" s="18" t="s">
        <v>2575</v>
      </c>
      <c r="M219" s="18" t="s">
        <v>374</v>
      </c>
      <c r="N219" s="18" t="s">
        <v>1115</v>
      </c>
      <c r="O219" s="18" t="s">
        <v>1116</v>
      </c>
      <c r="P219" s="18" t="s">
        <v>375</v>
      </c>
      <c r="S219" s="18" t="s">
        <v>16</v>
      </c>
      <c r="T219" s="18" t="s">
        <v>442</v>
      </c>
      <c r="U219" s="18" t="s">
        <v>2902</v>
      </c>
    </row>
    <row r="220" spans="1:21" s="18" customFormat="1" x14ac:dyDescent="0.25">
      <c r="A220" t="s">
        <v>1355</v>
      </c>
      <c r="B220" t="s">
        <v>345</v>
      </c>
      <c r="C220" t="s">
        <v>2152</v>
      </c>
      <c r="D220" t="s">
        <v>2153</v>
      </c>
      <c r="E220" t="s">
        <v>151</v>
      </c>
      <c r="F220" t="s">
        <v>718</v>
      </c>
      <c r="G220" t="s">
        <v>2149</v>
      </c>
      <c r="H220">
        <v>-73.138424000000001</v>
      </c>
      <c r="I220">
        <v>46.045907</v>
      </c>
      <c r="J220" t="s">
        <v>2803</v>
      </c>
      <c r="K220"/>
      <c r="L220" t="s">
        <v>2539</v>
      </c>
      <c r="M220" t="s">
        <v>10</v>
      </c>
      <c r="N220"/>
      <c r="O220"/>
      <c r="P220" t="s">
        <v>233</v>
      </c>
      <c r="Q220" t="s">
        <v>255</v>
      </c>
      <c r="R220" t="s">
        <v>340</v>
      </c>
      <c r="S220" t="s">
        <v>244</v>
      </c>
      <c r="T220" t="s">
        <v>346</v>
      </c>
      <c r="U220" t="s">
        <v>2903</v>
      </c>
    </row>
    <row r="221" spans="1:21" x14ac:dyDescent="0.25">
      <c r="A221" s="18" t="s">
        <v>1313</v>
      </c>
      <c r="B221" s="18" t="s">
        <v>601</v>
      </c>
      <c r="C221" s="18"/>
      <c r="D221" s="18"/>
      <c r="E221" s="18" t="s">
        <v>600</v>
      </c>
      <c r="F221" s="18" t="s">
        <v>877</v>
      </c>
      <c r="G221" s="18" t="s">
        <v>2131</v>
      </c>
      <c r="H221" s="18">
        <v>-80.276060000000001</v>
      </c>
      <c r="I221" s="18">
        <v>46.705910000000003</v>
      </c>
      <c r="J221" s="18" t="s">
        <v>2756</v>
      </c>
      <c r="K221" s="18"/>
      <c r="L221" s="18" t="s">
        <v>2551</v>
      </c>
      <c r="M221" s="18" t="s">
        <v>374</v>
      </c>
      <c r="N221" s="18" t="s">
        <v>1115</v>
      </c>
      <c r="O221" s="18" t="s">
        <v>1116</v>
      </c>
      <c r="P221" s="18" t="s">
        <v>375</v>
      </c>
      <c r="Q221" s="18"/>
      <c r="R221" s="18"/>
      <c r="S221" s="18" t="s">
        <v>1769</v>
      </c>
      <c r="T221" s="18" t="s">
        <v>602</v>
      </c>
      <c r="U221" s="18" t="s">
        <v>2902</v>
      </c>
    </row>
    <row r="222" spans="1:21" x14ac:dyDescent="0.25">
      <c r="A222" s="18" t="s">
        <v>1326</v>
      </c>
      <c r="B222" s="18" t="s">
        <v>666</v>
      </c>
      <c r="C222" s="18"/>
      <c r="D222" s="18"/>
      <c r="E222" s="18" t="s">
        <v>665</v>
      </c>
      <c r="F222" s="18" t="s">
        <v>878</v>
      </c>
      <c r="G222" s="18" t="s">
        <v>2135</v>
      </c>
      <c r="H222" s="18">
        <v>-108.99250000000001</v>
      </c>
      <c r="I222" s="18">
        <v>57.591439999999999</v>
      </c>
      <c r="J222" s="18" t="s">
        <v>2777</v>
      </c>
      <c r="K222" s="18"/>
      <c r="L222" s="18" t="s">
        <v>2588</v>
      </c>
      <c r="M222" s="18" t="s">
        <v>374</v>
      </c>
      <c r="N222" s="18" t="s">
        <v>1115</v>
      </c>
      <c r="O222" s="18" t="s">
        <v>1116</v>
      </c>
      <c r="P222" s="18" t="s">
        <v>375</v>
      </c>
      <c r="Q222" s="18"/>
      <c r="R222" s="18"/>
      <c r="S222" s="18" t="s">
        <v>210</v>
      </c>
      <c r="T222" s="18" t="s">
        <v>210</v>
      </c>
      <c r="U222" s="18" t="s">
        <v>2902</v>
      </c>
    </row>
    <row r="223" spans="1:21" x14ac:dyDescent="0.25">
      <c r="A223" s="18" t="s">
        <v>1200</v>
      </c>
      <c r="B223" s="18" t="s">
        <v>523</v>
      </c>
      <c r="C223" s="18"/>
      <c r="D223" s="18"/>
      <c r="E223" s="18" t="s">
        <v>522</v>
      </c>
      <c r="F223" s="18" t="s">
        <v>522</v>
      </c>
      <c r="G223" s="18" t="s">
        <v>2055</v>
      </c>
      <c r="H223" s="18">
        <v>-76.171999999999997</v>
      </c>
      <c r="I223" s="18">
        <v>52.022485000000003</v>
      </c>
      <c r="J223" s="18" t="s">
        <v>2634</v>
      </c>
      <c r="K223" s="18"/>
      <c r="L223" s="18" t="s">
        <v>2539</v>
      </c>
      <c r="M223" s="18" t="s">
        <v>374</v>
      </c>
      <c r="N223" s="18" t="s">
        <v>1115</v>
      </c>
      <c r="O223" s="18" t="s">
        <v>1116</v>
      </c>
      <c r="P223" s="18" t="s">
        <v>375</v>
      </c>
      <c r="Q223" s="18"/>
      <c r="R223" s="18"/>
      <c r="S223" s="18" t="s">
        <v>509</v>
      </c>
      <c r="T223" s="18" t="s">
        <v>524</v>
      </c>
      <c r="U223" s="18" t="s">
        <v>2902</v>
      </c>
    </row>
    <row r="224" spans="1:21" x14ac:dyDescent="0.25">
      <c r="A224" t="s">
        <v>1377</v>
      </c>
      <c r="B224" t="s">
        <v>52</v>
      </c>
      <c r="C224" t="s">
        <v>1943</v>
      </c>
      <c r="D224" t="s">
        <v>1942</v>
      </c>
      <c r="E224" t="s">
        <v>51</v>
      </c>
      <c r="F224" t="s">
        <v>902</v>
      </c>
      <c r="G224" t="s">
        <v>2169</v>
      </c>
      <c r="H224">
        <v>-103.414571</v>
      </c>
      <c r="I224">
        <v>55.66778</v>
      </c>
      <c r="J224" t="s">
        <v>2826</v>
      </c>
      <c r="K224" t="s">
        <v>2825</v>
      </c>
      <c r="L224" t="s">
        <v>2588</v>
      </c>
      <c r="M224" t="s">
        <v>10</v>
      </c>
      <c r="P224" t="s">
        <v>11</v>
      </c>
      <c r="Q224" t="s">
        <v>44</v>
      </c>
      <c r="R224" t="s">
        <v>2542</v>
      </c>
      <c r="S224" t="s">
        <v>16</v>
      </c>
      <c r="T224" t="s">
        <v>16</v>
      </c>
      <c r="U224" t="s">
        <v>2903</v>
      </c>
    </row>
    <row r="225" spans="1:21" x14ac:dyDescent="0.25">
      <c r="A225" s="18" t="s">
        <v>1201</v>
      </c>
      <c r="B225" s="18" t="s">
        <v>671</v>
      </c>
      <c r="C225" s="18"/>
      <c r="D225" s="18"/>
      <c r="E225" s="18" t="s">
        <v>670</v>
      </c>
      <c r="F225" s="18" t="s">
        <v>670</v>
      </c>
      <c r="G225" s="18" t="s">
        <v>2056</v>
      </c>
      <c r="H225" s="18">
        <v>-111.90375</v>
      </c>
      <c r="I225" s="18">
        <v>57.687109999999997</v>
      </c>
      <c r="J225" s="18" t="s">
        <v>2636</v>
      </c>
      <c r="K225" s="18"/>
      <c r="L225" s="18" t="s">
        <v>2577</v>
      </c>
      <c r="M225" s="18" t="s">
        <v>374</v>
      </c>
      <c r="N225" s="18" t="s">
        <v>1115</v>
      </c>
      <c r="O225" s="18" t="s">
        <v>1118</v>
      </c>
      <c r="P225" s="18" t="s">
        <v>375</v>
      </c>
      <c r="Q225" s="18"/>
      <c r="R225" s="18"/>
      <c r="S225" s="18" t="s">
        <v>2635</v>
      </c>
      <c r="T225" s="18" t="s">
        <v>672</v>
      </c>
      <c r="U225" s="18" t="s">
        <v>2902</v>
      </c>
    </row>
    <row r="226" spans="1:21" x14ac:dyDescent="0.25">
      <c r="A226" s="18" t="s">
        <v>1357</v>
      </c>
      <c r="B226" s="18" t="s">
        <v>648</v>
      </c>
      <c r="C226" s="18" t="s">
        <v>2152</v>
      </c>
      <c r="D226" s="18" t="s">
        <v>2153</v>
      </c>
      <c r="E226" s="18" t="s">
        <v>151</v>
      </c>
      <c r="F226" s="18" t="s">
        <v>718</v>
      </c>
      <c r="G226" s="18" t="s">
        <v>2149</v>
      </c>
      <c r="H226" s="18">
        <v>-73.139626000000007</v>
      </c>
      <c r="I226" s="18">
        <v>46.043726999999997</v>
      </c>
      <c r="J226" s="18" t="s">
        <v>2802</v>
      </c>
      <c r="K226" s="18"/>
      <c r="L226" s="18" t="s">
        <v>2539</v>
      </c>
      <c r="M226" s="18" t="s">
        <v>374</v>
      </c>
      <c r="N226" s="18" t="s">
        <v>1115</v>
      </c>
      <c r="O226" s="18" t="s">
        <v>1118</v>
      </c>
      <c r="P226" s="18" t="s">
        <v>375</v>
      </c>
      <c r="Q226" s="18"/>
      <c r="R226" s="18"/>
      <c r="S226" s="18" t="s">
        <v>649</v>
      </c>
      <c r="T226" s="18" t="s">
        <v>649</v>
      </c>
      <c r="U226" s="18" t="s">
        <v>2902</v>
      </c>
    </row>
    <row r="227" spans="1:21" s="18" customFormat="1" x14ac:dyDescent="0.25">
      <c r="A227" s="18" t="s">
        <v>1406</v>
      </c>
      <c r="B227" s="18" t="s">
        <v>416</v>
      </c>
      <c r="E227" s="18" t="s">
        <v>101</v>
      </c>
      <c r="F227" s="18" t="s">
        <v>101</v>
      </c>
      <c r="G227" s="18" t="s">
        <v>1845</v>
      </c>
      <c r="H227" s="18">
        <v>-131</v>
      </c>
      <c r="I227" s="18">
        <v>57.366669999999999</v>
      </c>
      <c r="J227" s="18" t="s">
        <v>2855</v>
      </c>
      <c r="L227" s="18" t="s">
        <v>2575</v>
      </c>
      <c r="M227" s="18" t="s">
        <v>374</v>
      </c>
      <c r="N227" s="18" t="s">
        <v>1115</v>
      </c>
      <c r="O227" s="18" t="s">
        <v>1116</v>
      </c>
      <c r="P227" s="18" t="s">
        <v>375</v>
      </c>
      <c r="S227" s="18" t="s">
        <v>125</v>
      </c>
      <c r="T227" s="18" t="s">
        <v>417</v>
      </c>
      <c r="U227" s="18" t="s">
        <v>2902</v>
      </c>
    </row>
    <row r="228" spans="1:21" s="18" customFormat="1" x14ac:dyDescent="0.25">
      <c r="A228" t="s">
        <v>1392</v>
      </c>
      <c r="B228" t="s">
        <v>166</v>
      </c>
      <c r="C228"/>
      <c r="D228"/>
      <c r="E228" t="s">
        <v>165</v>
      </c>
      <c r="F228" t="s">
        <v>761</v>
      </c>
      <c r="G228" t="s">
        <v>2180</v>
      </c>
      <c r="H228">
        <v>-66.912572999999995</v>
      </c>
      <c r="I228">
        <v>52.907128999999998</v>
      </c>
      <c r="J228" t="s">
        <v>2842</v>
      </c>
      <c r="K228" t="s">
        <v>2841</v>
      </c>
      <c r="L228" t="s">
        <v>2601</v>
      </c>
      <c r="M228" t="s">
        <v>10</v>
      </c>
      <c r="N228"/>
      <c r="O228"/>
      <c r="P228" t="s">
        <v>11</v>
      </c>
      <c r="Q228" t="s">
        <v>19</v>
      </c>
      <c r="R228" t="s">
        <v>340</v>
      </c>
      <c r="S228" t="s">
        <v>157</v>
      </c>
      <c r="T228" t="s">
        <v>157</v>
      </c>
      <c r="U228" t="s">
        <v>2903</v>
      </c>
    </row>
    <row r="229" spans="1:21" s="18" customFormat="1" x14ac:dyDescent="0.25">
      <c r="A229" s="18" t="s">
        <v>1393</v>
      </c>
      <c r="B229" s="18" t="s">
        <v>541</v>
      </c>
      <c r="E229" s="18" t="s">
        <v>165</v>
      </c>
      <c r="F229" s="18" t="s">
        <v>761</v>
      </c>
      <c r="G229" s="18" t="s">
        <v>2180</v>
      </c>
      <c r="H229" s="18">
        <v>-66.912220000000005</v>
      </c>
      <c r="I229" s="18">
        <v>52.918059999999997</v>
      </c>
      <c r="J229" s="18" t="s">
        <v>2843</v>
      </c>
      <c r="L229" s="18" t="s">
        <v>2601</v>
      </c>
      <c r="M229" s="18" t="s">
        <v>374</v>
      </c>
      <c r="N229" s="18" t="s">
        <v>1115</v>
      </c>
      <c r="O229" s="18" t="s">
        <v>1118</v>
      </c>
      <c r="P229" s="18" t="s">
        <v>375</v>
      </c>
      <c r="S229" s="18" t="s">
        <v>542</v>
      </c>
      <c r="T229" s="18" t="s">
        <v>542</v>
      </c>
      <c r="U229" s="18" t="s">
        <v>2902</v>
      </c>
    </row>
    <row r="230" spans="1:21" s="18" customFormat="1" x14ac:dyDescent="0.25">
      <c r="A230" t="s">
        <v>1378</v>
      </c>
      <c r="B230" t="s">
        <v>53</v>
      </c>
      <c r="C230" t="s">
        <v>1943</v>
      </c>
      <c r="D230" t="s">
        <v>1942</v>
      </c>
      <c r="E230" t="s">
        <v>51</v>
      </c>
      <c r="F230" t="s">
        <v>902</v>
      </c>
      <c r="G230" t="s">
        <v>2169</v>
      </c>
      <c r="H230">
        <v>-103.622257</v>
      </c>
      <c r="I230">
        <v>55.683771999999998</v>
      </c>
      <c r="J230" t="s">
        <v>2828</v>
      </c>
      <c r="K230" t="s">
        <v>2827</v>
      </c>
      <c r="L230" t="s">
        <v>2588</v>
      </c>
      <c r="M230" t="s">
        <v>10</v>
      </c>
      <c r="N230"/>
      <c r="O230"/>
      <c r="P230" t="s">
        <v>11</v>
      </c>
      <c r="Q230" t="s">
        <v>21</v>
      </c>
      <c r="R230" t="s">
        <v>2542</v>
      </c>
      <c r="S230" t="s">
        <v>16</v>
      </c>
      <c r="T230" t="s">
        <v>16</v>
      </c>
      <c r="U230" t="s">
        <v>2903</v>
      </c>
    </row>
    <row r="231" spans="1:21" x14ac:dyDescent="0.25">
      <c r="A231" t="s">
        <v>1241</v>
      </c>
      <c r="B231" t="s">
        <v>351</v>
      </c>
      <c r="E231" t="s">
        <v>350</v>
      </c>
      <c r="F231" t="s">
        <v>714</v>
      </c>
      <c r="G231" t="s">
        <v>2085</v>
      </c>
      <c r="H231">
        <v>-96.911165999999994</v>
      </c>
      <c r="I231">
        <v>50.133771000000003</v>
      </c>
      <c r="J231" t="s">
        <v>2673</v>
      </c>
      <c r="L231" t="s">
        <v>2562</v>
      </c>
      <c r="M231" t="s">
        <v>10</v>
      </c>
      <c r="P231" t="s">
        <v>233</v>
      </c>
      <c r="U231" t="s">
        <v>2903</v>
      </c>
    </row>
    <row r="232" spans="1:21" x14ac:dyDescent="0.25">
      <c r="A232" s="18" t="s">
        <v>1370</v>
      </c>
      <c r="B232" s="18" t="s">
        <v>685</v>
      </c>
      <c r="C232" s="18"/>
      <c r="D232" s="18"/>
      <c r="E232" s="18" t="s">
        <v>684</v>
      </c>
      <c r="F232" s="18" t="s">
        <v>899</v>
      </c>
      <c r="G232" s="18" t="s">
        <v>2162</v>
      </c>
      <c r="H232" s="18">
        <v>-129.20011</v>
      </c>
      <c r="I232" s="18">
        <v>62.455419999999997</v>
      </c>
      <c r="J232" s="18" t="s">
        <v>2815</v>
      </c>
      <c r="K232" s="18"/>
      <c r="L232" s="18" t="s">
        <v>2599</v>
      </c>
      <c r="M232" s="18" t="s">
        <v>374</v>
      </c>
      <c r="N232" s="18" t="s">
        <v>1115</v>
      </c>
      <c r="O232" s="18" t="s">
        <v>1116</v>
      </c>
      <c r="P232" s="18" t="s">
        <v>375</v>
      </c>
      <c r="Q232" s="18"/>
      <c r="R232" s="18"/>
      <c r="S232" s="18" t="s">
        <v>1551</v>
      </c>
      <c r="T232" s="18" t="s">
        <v>683</v>
      </c>
      <c r="U232" s="18" t="s">
        <v>2902</v>
      </c>
    </row>
    <row r="233" spans="1:21" s="18" customFormat="1" x14ac:dyDescent="0.25">
      <c r="A233" s="18" t="s">
        <v>1163</v>
      </c>
      <c r="B233" s="18" t="s">
        <v>517</v>
      </c>
      <c r="E233" s="18" t="s">
        <v>516</v>
      </c>
      <c r="F233" s="18" t="s">
        <v>741</v>
      </c>
      <c r="G233" s="18" t="s">
        <v>2034</v>
      </c>
      <c r="H233" s="18">
        <v>-94.582579999999993</v>
      </c>
      <c r="I233" s="18">
        <v>50.265999999999998</v>
      </c>
      <c r="J233" s="18" t="s">
        <v>2593</v>
      </c>
      <c r="L233" s="18" t="s">
        <v>2551</v>
      </c>
      <c r="M233" s="18" t="s">
        <v>374</v>
      </c>
      <c r="N233" s="18" t="s">
        <v>1115</v>
      </c>
      <c r="O233" s="18" t="s">
        <v>1116</v>
      </c>
      <c r="P233" s="18" t="s">
        <v>375</v>
      </c>
      <c r="S233" s="18" t="s">
        <v>509</v>
      </c>
      <c r="T233" s="18" t="s">
        <v>509</v>
      </c>
      <c r="U233" s="18" t="s">
        <v>2902</v>
      </c>
    </row>
    <row r="234" spans="1:21" s="18" customFormat="1" x14ac:dyDescent="0.25">
      <c r="A234" s="18" t="s">
        <v>1259</v>
      </c>
      <c r="B234" s="18" t="s">
        <v>519</v>
      </c>
      <c r="E234" s="18" t="s">
        <v>518</v>
      </c>
      <c r="F234" s="18" t="s">
        <v>518</v>
      </c>
      <c r="G234" s="18" t="s">
        <v>2093</v>
      </c>
      <c r="H234" s="18">
        <v>-88.449100000000001</v>
      </c>
      <c r="I234" s="18">
        <v>50.409869999999998</v>
      </c>
      <c r="J234" s="18" t="s">
        <v>2696</v>
      </c>
      <c r="L234" s="18" t="s">
        <v>2551</v>
      </c>
      <c r="M234" s="18" t="s">
        <v>374</v>
      </c>
      <c r="N234" s="18" t="s">
        <v>1115</v>
      </c>
      <c r="O234" s="18" t="s">
        <v>1119</v>
      </c>
      <c r="P234" s="18" t="s">
        <v>375</v>
      </c>
      <c r="S234" s="18" t="s">
        <v>509</v>
      </c>
      <c r="T234" s="18" t="s">
        <v>509</v>
      </c>
      <c r="U234" s="18" t="s">
        <v>2902</v>
      </c>
    </row>
    <row r="235" spans="1:21" s="18" customFormat="1" x14ac:dyDescent="0.25">
      <c r="A235" s="18" t="s">
        <v>1296</v>
      </c>
      <c r="B235" s="18" t="s">
        <v>587</v>
      </c>
      <c r="E235" s="18" t="s">
        <v>571</v>
      </c>
      <c r="F235" s="18" t="s">
        <v>867</v>
      </c>
      <c r="G235" s="18" t="s">
        <v>2117</v>
      </c>
      <c r="H235" s="18">
        <v>-81.859440000000006</v>
      </c>
      <c r="I235" s="18">
        <v>46.33417</v>
      </c>
      <c r="J235" s="18" t="s">
        <v>2738</v>
      </c>
      <c r="L235" s="18" t="s">
        <v>2551</v>
      </c>
      <c r="M235" s="18" t="s">
        <v>374</v>
      </c>
      <c r="N235" s="18" t="s">
        <v>1115</v>
      </c>
      <c r="O235" s="18" t="s">
        <v>1116</v>
      </c>
      <c r="P235" s="18" t="s">
        <v>375</v>
      </c>
      <c r="S235" s="18" t="s">
        <v>557</v>
      </c>
      <c r="T235" s="18" t="s">
        <v>588</v>
      </c>
      <c r="U235" s="18" t="s">
        <v>2902</v>
      </c>
    </row>
    <row r="236" spans="1:21" x14ac:dyDescent="0.25">
      <c r="A236" s="18" t="s">
        <v>1432</v>
      </c>
      <c r="B236" s="18" t="s">
        <v>534</v>
      </c>
      <c r="C236" s="18"/>
      <c r="D236" s="18"/>
      <c r="E236" s="18" t="s">
        <v>533</v>
      </c>
      <c r="F236" s="18" t="s">
        <v>533</v>
      </c>
      <c r="G236" s="18" t="s">
        <v>2197</v>
      </c>
      <c r="H236" s="18">
        <v>-75.476240000000004</v>
      </c>
      <c r="I236" s="18">
        <v>50.622250000000001</v>
      </c>
      <c r="J236" s="18" t="s">
        <v>2880</v>
      </c>
      <c r="K236" s="18"/>
      <c r="L236" s="18" t="s">
        <v>2539</v>
      </c>
      <c r="M236" s="18" t="s">
        <v>374</v>
      </c>
      <c r="N236" s="18" t="s">
        <v>1115</v>
      </c>
      <c r="O236" s="18" t="s">
        <v>1116</v>
      </c>
      <c r="P236" s="18" t="s">
        <v>375</v>
      </c>
      <c r="Q236" s="18"/>
      <c r="R236" s="18"/>
      <c r="S236" s="18" t="s">
        <v>174</v>
      </c>
      <c r="T236" s="18" t="s">
        <v>535</v>
      </c>
      <c r="U236" s="18" t="s">
        <v>2902</v>
      </c>
    </row>
    <row r="237" spans="1:21" s="18" customFormat="1" x14ac:dyDescent="0.25">
      <c r="A237" s="18" t="s">
        <v>1329</v>
      </c>
      <c r="B237" s="18" t="s">
        <v>658</v>
      </c>
      <c r="E237" s="18" t="s">
        <v>657</v>
      </c>
      <c r="F237" s="18" t="s">
        <v>881</v>
      </c>
      <c r="G237" s="18" t="s">
        <v>2138</v>
      </c>
      <c r="H237" s="18">
        <v>-67.045000000000002</v>
      </c>
      <c r="I237" s="18">
        <v>46.365000000000002</v>
      </c>
      <c r="J237" s="18" t="s">
        <v>2780</v>
      </c>
      <c r="L237" s="18" t="s">
        <v>2605</v>
      </c>
      <c r="M237" s="18" t="s">
        <v>374</v>
      </c>
      <c r="N237" s="18" t="s">
        <v>1115</v>
      </c>
      <c r="O237" s="18" t="s">
        <v>1116</v>
      </c>
      <c r="P237" s="18" t="s">
        <v>375</v>
      </c>
      <c r="S237" s="18" t="s">
        <v>653</v>
      </c>
      <c r="T237" s="18" t="s">
        <v>656</v>
      </c>
      <c r="U237" s="18" t="s">
        <v>2902</v>
      </c>
    </row>
    <row r="238" spans="1:21" x14ac:dyDescent="0.25">
      <c r="A238" t="s">
        <v>1122</v>
      </c>
      <c r="B238" t="s">
        <v>63</v>
      </c>
      <c r="E238" t="s">
        <v>62</v>
      </c>
      <c r="F238" t="s">
        <v>774</v>
      </c>
      <c r="G238" t="s">
        <v>2013</v>
      </c>
      <c r="H238">
        <v>-77.974339999999998</v>
      </c>
      <c r="I238">
        <v>49.13259</v>
      </c>
      <c r="J238" t="s">
        <v>2543</v>
      </c>
      <c r="K238" t="s">
        <v>2541</v>
      </c>
      <c r="L238" t="s">
        <v>2539</v>
      </c>
      <c r="M238" t="s">
        <v>10</v>
      </c>
      <c r="P238" t="s">
        <v>11</v>
      </c>
      <c r="Q238" t="s">
        <v>21</v>
      </c>
      <c r="R238" t="s">
        <v>2542</v>
      </c>
      <c r="S238" t="s">
        <v>16</v>
      </c>
      <c r="T238" t="s">
        <v>64</v>
      </c>
      <c r="U238" t="s">
        <v>2903</v>
      </c>
    </row>
    <row r="239" spans="1:21" x14ac:dyDescent="0.25">
      <c r="A239" t="s">
        <v>1389</v>
      </c>
      <c r="B239" t="s">
        <v>355</v>
      </c>
      <c r="E239" t="s">
        <v>354</v>
      </c>
      <c r="F239" t="s">
        <v>354</v>
      </c>
      <c r="G239" t="s">
        <v>2179</v>
      </c>
      <c r="H239">
        <v>-73.124998000000005</v>
      </c>
      <c r="I239">
        <v>46.045864999999999</v>
      </c>
      <c r="J239" t="s">
        <v>2840</v>
      </c>
      <c r="L239" t="s">
        <v>2539</v>
      </c>
      <c r="M239" t="s">
        <v>10</v>
      </c>
      <c r="P239" t="s">
        <v>233</v>
      </c>
      <c r="Q239" t="s">
        <v>255</v>
      </c>
      <c r="R239" t="s">
        <v>340</v>
      </c>
      <c r="S239" t="s">
        <v>244</v>
      </c>
      <c r="T239" t="s">
        <v>244</v>
      </c>
      <c r="U239" t="s">
        <v>2903</v>
      </c>
    </row>
    <row r="240" spans="1:21" x14ac:dyDescent="0.25">
      <c r="A240" t="s">
        <v>1267</v>
      </c>
      <c r="B240" t="s">
        <v>87</v>
      </c>
      <c r="C240" t="s">
        <v>1778</v>
      </c>
      <c r="D240" t="s">
        <v>1849</v>
      </c>
      <c r="E240" t="s">
        <v>79</v>
      </c>
      <c r="F240" t="s">
        <v>717</v>
      </c>
      <c r="G240" t="s">
        <v>1848</v>
      </c>
      <c r="H240">
        <v>-99.945099999999996</v>
      </c>
      <c r="I240">
        <v>54.856920000000002</v>
      </c>
      <c r="J240" t="s">
        <v>2713</v>
      </c>
      <c r="K240" t="s">
        <v>1778</v>
      </c>
      <c r="L240" t="s">
        <v>2562</v>
      </c>
      <c r="M240" t="s">
        <v>10</v>
      </c>
      <c r="P240" t="s">
        <v>11</v>
      </c>
      <c r="Q240" t="s">
        <v>21</v>
      </c>
      <c r="R240" t="s">
        <v>2626</v>
      </c>
      <c r="S240" t="s">
        <v>16</v>
      </c>
      <c r="T240" t="s">
        <v>88</v>
      </c>
      <c r="U240" t="s">
        <v>2903</v>
      </c>
    </row>
    <row r="241" spans="1:21" s="18" customFormat="1" x14ac:dyDescent="0.25">
      <c r="A241" s="18" t="s">
        <v>1409</v>
      </c>
      <c r="B241" s="18" t="s">
        <v>641</v>
      </c>
      <c r="E241" s="18" t="s">
        <v>640</v>
      </c>
      <c r="F241" s="18" t="s">
        <v>907</v>
      </c>
      <c r="G241" s="18" t="s">
        <v>2184</v>
      </c>
      <c r="H241" s="18">
        <v>-64.2</v>
      </c>
      <c r="I241" s="18">
        <v>56.35</v>
      </c>
      <c r="J241" s="18" t="s">
        <v>2857</v>
      </c>
      <c r="L241" s="18" t="s">
        <v>2539</v>
      </c>
      <c r="M241" s="18" t="s">
        <v>374</v>
      </c>
      <c r="N241" s="18" t="s">
        <v>1115</v>
      </c>
      <c r="O241" s="18" t="s">
        <v>1116</v>
      </c>
      <c r="P241" s="18" t="s">
        <v>375</v>
      </c>
      <c r="S241" s="18" t="s">
        <v>627</v>
      </c>
      <c r="T241" s="18" t="s">
        <v>642</v>
      </c>
      <c r="U241" s="18" t="s">
        <v>2902</v>
      </c>
    </row>
    <row r="242" spans="1:21" x14ac:dyDescent="0.25">
      <c r="A242" t="s">
        <v>1248</v>
      </c>
      <c r="B242" t="s">
        <v>188</v>
      </c>
      <c r="C242" t="s">
        <v>2087</v>
      </c>
      <c r="D242" t="s">
        <v>2088</v>
      </c>
      <c r="E242" t="s">
        <v>142</v>
      </c>
      <c r="F242" t="s">
        <v>715</v>
      </c>
      <c r="G242" t="s">
        <v>2086</v>
      </c>
      <c r="H242">
        <v>-81.342699999999994</v>
      </c>
      <c r="I242">
        <v>46.673400000000001</v>
      </c>
      <c r="J242" t="s">
        <v>2690</v>
      </c>
      <c r="K242" t="s">
        <v>140</v>
      </c>
      <c r="L242" t="s">
        <v>2551</v>
      </c>
      <c r="M242" t="s">
        <v>10</v>
      </c>
      <c r="P242" t="s">
        <v>11</v>
      </c>
      <c r="Q242" t="s">
        <v>21</v>
      </c>
      <c r="R242" t="s">
        <v>2597</v>
      </c>
      <c r="S242" t="s">
        <v>557</v>
      </c>
      <c r="T242" t="s">
        <v>189</v>
      </c>
      <c r="U242" t="s">
        <v>2903</v>
      </c>
    </row>
    <row r="243" spans="1:21" s="18" customFormat="1" x14ac:dyDescent="0.25">
      <c r="A243" t="s">
        <v>1248</v>
      </c>
      <c r="B243" t="s">
        <v>188</v>
      </c>
      <c r="C243" t="s">
        <v>1767</v>
      </c>
      <c r="D243" t="s">
        <v>2909</v>
      </c>
      <c r="E243" t="s">
        <v>142</v>
      </c>
      <c r="F243" t="s">
        <v>715</v>
      </c>
      <c r="G243" t="s">
        <v>2086</v>
      </c>
      <c r="H243">
        <v>-81.342699999999994</v>
      </c>
      <c r="I243">
        <v>46.673400000000001</v>
      </c>
      <c r="J243" t="s">
        <v>2690</v>
      </c>
      <c r="K243" t="s">
        <v>140</v>
      </c>
      <c r="L243" t="s">
        <v>2551</v>
      </c>
      <c r="M243" t="s">
        <v>10</v>
      </c>
      <c r="N243"/>
      <c r="O243"/>
      <c r="P243" t="s">
        <v>11</v>
      </c>
      <c r="Q243" t="s">
        <v>21</v>
      </c>
      <c r="R243" t="s">
        <v>2597</v>
      </c>
      <c r="S243" t="s">
        <v>557</v>
      </c>
      <c r="T243" t="s">
        <v>189</v>
      </c>
      <c r="U243" t="s">
        <v>2903</v>
      </c>
    </row>
    <row r="244" spans="1:21" x14ac:dyDescent="0.25">
      <c r="A244" t="s">
        <v>1254</v>
      </c>
      <c r="B244" t="s">
        <v>140</v>
      </c>
      <c r="C244" t="s">
        <v>1767</v>
      </c>
      <c r="D244" t="s">
        <v>2909</v>
      </c>
      <c r="E244" t="s">
        <v>142</v>
      </c>
      <c r="F244" t="s">
        <v>715</v>
      </c>
      <c r="G244" t="s">
        <v>2086</v>
      </c>
      <c r="H244">
        <v>-80.799300000000002</v>
      </c>
      <c r="I244">
        <v>46.576300000000003</v>
      </c>
      <c r="J244" t="s">
        <v>2692</v>
      </c>
      <c r="L244" t="s">
        <v>2551</v>
      </c>
      <c r="M244" t="s">
        <v>10</v>
      </c>
      <c r="P244" t="s">
        <v>233</v>
      </c>
      <c r="Q244" t="s">
        <v>357</v>
      </c>
      <c r="R244" t="s">
        <v>2597</v>
      </c>
      <c r="S244" t="s">
        <v>2691</v>
      </c>
      <c r="T244" t="s">
        <v>356</v>
      </c>
      <c r="U244" t="s">
        <v>2903</v>
      </c>
    </row>
    <row r="245" spans="1:21" s="18" customFormat="1" x14ac:dyDescent="0.25">
      <c r="A245" t="s">
        <v>1372</v>
      </c>
      <c r="B245" t="s">
        <v>50</v>
      </c>
      <c r="C245"/>
      <c r="D245"/>
      <c r="E245" t="s">
        <v>49</v>
      </c>
      <c r="F245" t="s">
        <v>900</v>
      </c>
      <c r="G245" t="s">
        <v>2164</v>
      </c>
      <c r="H245">
        <v>-85.004009999999994</v>
      </c>
      <c r="I245">
        <v>48.804960000000001</v>
      </c>
      <c r="J245" t="s">
        <v>2818</v>
      </c>
      <c r="K245" t="s">
        <v>2817</v>
      </c>
      <c r="L245" t="s">
        <v>2551</v>
      </c>
      <c r="M245" t="s">
        <v>10</v>
      </c>
      <c r="N245"/>
      <c r="O245"/>
      <c r="P245" t="s">
        <v>11</v>
      </c>
      <c r="Q245" t="s">
        <v>13</v>
      </c>
      <c r="R245" t="s">
        <v>2542</v>
      </c>
      <c r="S245" t="s">
        <v>16</v>
      </c>
      <c r="T245" t="s">
        <v>16</v>
      </c>
      <c r="U245" t="s">
        <v>2903</v>
      </c>
    </row>
    <row r="246" spans="1:21" s="18" customFormat="1" x14ac:dyDescent="0.25">
      <c r="A246" s="18" t="s">
        <v>1436</v>
      </c>
      <c r="B246" s="18" t="s">
        <v>675</v>
      </c>
      <c r="E246" s="18" t="s">
        <v>674</v>
      </c>
      <c r="F246" s="18" t="s">
        <v>674</v>
      </c>
      <c r="G246" s="18" t="s">
        <v>2201</v>
      </c>
      <c r="H246" s="18">
        <v>-87.383610000000004</v>
      </c>
      <c r="I246" s="18">
        <v>48.977499999999999</v>
      </c>
      <c r="J246" s="18" t="s">
        <v>2883</v>
      </c>
      <c r="L246" s="18" t="s">
        <v>2551</v>
      </c>
      <c r="M246" s="18" t="s">
        <v>374</v>
      </c>
      <c r="N246" s="18" t="s">
        <v>1115</v>
      </c>
      <c r="O246" s="18" t="s">
        <v>1116</v>
      </c>
      <c r="P246" s="18" t="s">
        <v>375</v>
      </c>
      <c r="S246" s="18" t="s">
        <v>1551</v>
      </c>
      <c r="T246" s="18" t="s">
        <v>673</v>
      </c>
      <c r="U246" s="18" t="s">
        <v>2902</v>
      </c>
    </row>
    <row r="247" spans="1:21" s="18" customFormat="1" x14ac:dyDescent="0.25">
      <c r="A247" s="18" t="s">
        <v>1273</v>
      </c>
      <c r="B247" s="18" t="s">
        <v>465</v>
      </c>
      <c r="E247" s="18" t="s">
        <v>79</v>
      </c>
      <c r="F247" s="18" t="s">
        <v>717</v>
      </c>
      <c r="G247" s="18" t="s">
        <v>1848</v>
      </c>
      <c r="H247" s="18">
        <v>-99.634299999999996</v>
      </c>
      <c r="I247" s="18">
        <v>54.113300000000002</v>
      </c>
      <c r="J247" s="18" t="s">
        <v>2714</v>
      </c>
      <c r="L247" s="18" t="s">
        <v>2562</v>
      </c>
      <c r="M247" s="18" t="s">
        <v>374</v>
      </c>
      <c r="N247" s="18" t="s">
        <v>1115</v>
      </c>
      <c r="O247" s="18" t="s">
        <v>1116</v>
      </c>
      <c r="P247" s="18" t="s">
        <v>375</v>
      </c>
      <c r="S247" s="18" t="s">
        <v>16</v>
      </c>
      <c r="T247" s="18" t="s">
        <v>90</v>
      </c>
      <c r="U247" s="18" t="s">
        <v>2902</v>
      </c>
    </row>
    <row r="248" spans="1:21" s="18" customFormat="1" x14ac:dyDescent="0.25">
      <c r="A248" t="s">
        <v>1373</v>
      </c>
      <c r="B248" t="s">
        <v>120</v>
      </c>
      <c r="C248"/>
      <c r="D248"/>
      <c r="E248" t="s">
        <v>119</v>
      </c>
      <c r="F248" t="s">
        <v>901</v>
      </c>
      <c r="G248" t="s">
        <v>2165</v>
      </c>
      <c r="H248">
        <v>-95.450199999999995</v>
      </c>
      <c r="I248">
        <v>50.429099999999998</v>
      </c>
      <c r="J248" t="s">
        <v>2821</v>
      </c>
      <c r="K248" t="s">
        <v>2819</v>
      </c>
      <c r="L248" t="s">
        <v>2562</v>
      </c>
      <c r="M248" t="s">
        <v>10</v>
      </c>
      <c r="N248"/>
      <c r="O248"/>
      <c r="P248" t="s">
        <v>11</v>
      </c>
      <c r="Q248" t="s">
        <v>122</v>
      </c>
      <c r="R248" t="s">
        <v>2597</v>
      </c>
      <c r="S248" t="s">
        <v>2820</v>
      </c>
      <c r="T248" t="s">
        <v>121</v>
      </c>
      <c r="U248" t="s">
        <v>2903</v>
      </c>
    </row>
    <row r="249" spans="1:21" x14ac:dyDescent="0.25">
      <c r="A249" t="s">
        <v>1371</v>
      </c>
      <c r="B249" t="s">
        <v>359</v>
      </c>
      <c r="E249" t="s">
        <v>358</v>
      </c>
      <c r="F249" t="s">
        <v>764</v>
      </c>
      <c r="G249" t="s">
        <v>2163</v>
      </c>
      <c r="H249">
        <v>-113.19011</v>
      </c>
      <c r="I249">
        <v>53.719929</v>
      </c>
      <c r="J249" t="s">
        <v>2816</v>
      </c>
      <c r="L249" t="s">
        <v>2577</v>
      </c>
      <c r="M249" t="s">
        <v>10</v>
      </c>
      <c r="P249" t="s">
        <v>233</v>
      </c>
      <c r="Q249" t="s">
        <v>274</v>
      </c>
      <c r="R249" t="s">
        <v>2597</v>
      </c>
      <c r="S249" t="s">
        <v>557</v>
      </c>
      <c r="T249" t="s">
        <v>360</v>
      </c>
      <c r="U249" t="s">
        <v>2903</v>
      </c>
    </row>
    <row r="250" spans="1:21" x14ac:dyDescent="0.25">
      <c r="A250" s="18" t="s">
        <v>1182</v>
      </c>
      <c r="B250" s="18" t="s">
        <v>419</v>
      </c>
      <c r="C250" s="18"/>
      <c r="D250" s="18"/>
      <c r="E250" s="18" t="s">
        <v>418</v>
      </c>
      <c r="F250" s="18" t="s">
        <v>707</v>
      </c>
      <c r="G250" s="18" t="s">
        <v>2904</v>
      </c>
      <c r="H250" s="18">
        <v>-90.346940000000004</v>
      </c>
      <c r="I250" s="18">
        <v>51.496670000000002</v>
      </c>
      <c r="J250" s="18" t="s">
        <v>2618</v>
      </c>
      <c r="K250" s="18"/>
      <c r="L250" s="18" t="s">
        <v>2551</v>
      </c>
      <c r="M250" s="18" t="s">
        <v>374</v>
      </c>
      <c r="N250" s="18" t="s">
        <v>1115</v>
      </c>
      <c r="O250" s="18" t="s">
        <v>1116</v>
      </c>
      <c r="P250" s="18" t="s">
        <v>375</v>
      </c>
      <c r="Q250" s="18"/>
      <c r="R250" s="18"/>
      <c r="S250" s="18" t="s">
        <v>125</v>
      </c>
      <c r="T250" s="18" t="s">
        <v>420</v>
      </c>
      <c r="U250" s="18" t="s">
        <v>2902</v>
      </c>
    </row>
    <row r="251" spans="1:21" x14ac:dyDescent="0.25">
      <c r="A251" t="s">
        <v>1425</v>
      </c>
      <c r="B251" t="s">
        <v>179</v>
      </c>
      <c r="E251" t="s">
        <v>178</v>
      </c>
      <c r="F251" t="s">
        <v>719</v>
      </c>
      <c r="G251" t="s">
        <v>2191</v>
      </c>
      <c r="H251">
        <v>-97.844399999999993</v>
      </c>
      <c r="I251">
        <v>55.715200000000003</v>
      </c>
      <c r="J251" t="s">
        <v>2873</v>
      </c>
      <c r="K251" t="s">
        <v>2872</v>
      </c>
      <c r="L251" t="s">
        <v>2562</v>
      </c>
      <c r="M251" t="s">
        <v>10</v>
      </c>
      <c r="P251" t="s">
        <v>11</v>
      </c>
      <c r="Q251" t="s">
        <v>23</v>
      </c>
      <c r="R251" t="s">
        <v>2597</v>
      </c>
      <c r="S251" t="s">
        <v>557</v>
      </c>
      <c r="T251" t="s">
        <v>180</v>
      </c>
      <c r="U251" t="s">
        <v>2903</v>
      </c>
    </row>
    <row r="252" spans="1:21" x14ac:dyDescent="0.25">
      <c r="A252" s="18" t="s">
        <v>1194</v>
      </c>
      <c r="B252" s="18" t="s">
        <v>607</v>
      </c>
      <c r="C252" s="18"/>
      <c r="D252" s="18"/>
      <c r="E252" s="18" t="s">
        <v>606</v>
      </c>
      <c r="F252" s="18" t="s">
        <v>838</v>
      </c>
      <c r="G252" s="18" t="s">
        <v>2053</v>
      </c>
      <c r="H252" s="18">
        <v>-88.930999999999997</v>
      </c>
      <c r="I252" s="18">
        <v>48.79</v>
      </c>
      <c r="J252" s="18" t="s">
        <v>2631</v>
      </c>
      <c r="K252" s="18"/>
      <c r="L252" s="18" t="s">
        <v>2551</v>
      </c>
      <c r="M252" s="18" t="s">
        <v>374</v>
      </c>
      <c r="N252" s="18" t="s">
        <v>1115</v>
      </c>
      <c r="O252" s="18" t="s">
        <v>1116</v>
      </c>
      <c r="P252" s="18" t="s">
        <v>375</v>
      </c>
      <c r="Q252" s="18"/>
      <c r="R252" s="18"/>
      <c r="S252" s="18" t="s">
        <v>1768</v>
      </c>
      <c r="T252" s="18" t="s">
        <v>608</v>
      </c>
      <c r="U252" s="18" t="s">
        <v>2902</v>
      </c>
    </row>
    <row r="253" spans="1:21" x14ac:dyDescent="0.25">
      <c r="A253" t="s">
        <v>1340</v>
      </c>
      <c r="B253" t="s">
        <v>48</v>
      </c>
      <c r="C253" t="s">
        <v>1536</v>
      </c>
      <c r="D253" t="s">
        <v>1751</v>
      </c>
      <c r="E253" t="s">
        <v>46</v>
      </c>
      <c r="F253" t="s">
        <v>756</v>
      </c>
      <c r="G253" t="s">
        <v>2148</v>
      </c>
      <c r="H253">
        <v>-81.549825999999996</v>
      </c>
      <c r="I253">
        <v>48.383274999999998</v>
      </c>
      <c r="J253" t="s">
        <v>2791</v>
      </c>
      <c r="K253" t="s">
        <v>2586</v>
      </c>
      <c r="L253" t="s">
        <v>2551</v>
      </c>
      <c r="M253" t="s">
        <v>10</v>
      </c>
      <c r="P253" t="s">
        <v>11</v>
      </c>
      <c r="Q253" t="s">
        <v>44</v>
      </c>
      <c r="R253" t="s">
        <v>2542</v>
      </c>
      <c r="S253" t="s">
        <v>16</v>
      </c>
      <c r="T253" t="s">
        <v>16</v>
      </c>
      <c r="U253" t="s">
        <v>2903</v>
      </c>
    </row>
    <row r="254" spans="1:21" x14ac:dyDescent="0.25">
      <c r="A254" t="s">
        <v>1424</v>
      </c>
      <c r="B254" t="s">
        <v>186</v>
      </c>
      <c r="C254" t="s">
        <v>2192</v>
      </c>
      <c r="D254" t="s">
        <v>2193</v>
      </c>
      <c r="E254" t="s">
        <v>178</v>
      </c>
      <c r="F254" t="s">
        <v>719</v>
      </c>
      <c r="G254" t="s">
        <v>2191</v>
      </c>
      <c r="H254">
        <v>-81.454839000000007</v>
      </c>
      <c r="I254">
        <v>46.381174000000001</v>
      </c>
      <c r="J254" t="s">
        <v>2875</v>
      </c>
      <c r="K254" t="s">
        <v>2874</v>
      </c>
      <c r="L254" t="s">
        <v>2551</v>
      </c>
      <c r="M254" t="s">
        <v>10</v>
      </c>
      <c r="P254" t="s">
        <v>11</v>
      </c>
      <c r="Q254" t="s">
        <v>44</v>
      </c>
      <c r="R254" t="s">
        <v>2597</v>
      </c>
      <c r="S254" t="s">
        <v>557</v>
      </c>
      <c r="T254" t="s">
        <v>187</v>
      </c>
      <c r="U254" t="s">
        <v>2903</v>
      </c>
    </row>
    <row r="255" spans="1:21" x14ac:dyDescent="0.25">
      <c r="A255" s="18" t="s">
        <v>1274</v>
      </c>
      <c r="B255" s="18" t="s">
        <v>466</v>
      </c>
      <c r="C255" s="18"/>
      <c r="D255" s="18"/>
      <c r="E255" s="18" t="s">
        <v>79</v>
      </c>
      <c r="F255" s="18" t="s">
        <v>717</v>
      </c>
      <c r="G255" s="18" t="s">
        <v>1848</v>
      </c>
      <c r="H255" s="18">
        <v>-99.228399999999993</v>
      </c>
      <c r="I255" s="18">
        <v>53.962299999999999</v>
      </c>
      <c r="J255" s="18" t="s">
        <v>2715</v>
      </c>
      <c r="K255" s="18"/>
      <c r="L255" s="18" t="s">
        <v>2562</v>
      </c>
      <c r="M255" s="18" t="s">
        <v>374</v>
      </c>
      <c r="N255" s="18" t="s">
        <v>1115</v>
      </c>
      <c r="O255" s="18" t="s">
        <v>1116</v>
      </c>
      <c r="P255" s="18" t="s">
        <v>375</v>
      </c>
      <c r="Q255" s="18"/>
      <c r="R255" s="18"/>
      <c r="S255" s="18" t="s">
        <v>16</v>
      </c>
      <c r="T255" s="18" t="s">
        <v>90</v>
      </c>
      <c r="U255" s="18" t="s">
        <v>2902</v>
      </c>
    </row>
    <row r="256" spans="1:21" x14ac:dyDescent="0.25">
      <c r="A256" t="s">
        <v>1405</v>
      </c>
      <c r="B256" t="s">
        <v>361</v>
      </c>
      <c r="E256" t="s">
        <v>101</v>
      </c>
      <c r="F256" t="s">
        <v>101</v>
      </c>
      <c r="G256" t="s">
        <v>1845</v>
      </c>
      <c r="H256">
        <v>-117.7137</v>
      </c>
      <c r="I256">
        <v>49.099899999999998</v>
      </c>
      <c r="J256" t="s">
        <v>2856</v>
      </c>
      <c r="L256" t="s">
        <v>2575</v>
      </c>
      <c r="M256" t="s">
        <v>10</v>
      </c>
      <c r="P256" t="s">
        <v>233</v>
      </c>
      <c r="Q256" t="s">
        <v>292</v>
      </c>
      <c r="R256" t="s">
        <v>2597</v>
      </c>
      <c r="S256" t="s">
        <v>1551</v>
      </c>
      <c r="T256" t="s">
        <v>362</v>
      </c>
      <c r="U256" t="s">
        <v>2903</v>
      </c>
    </row>
    <row r="257" spans="1:21" x14ac:dyDescent="0.25">
      <c r="A257" s="18" t="s">
        <v>1415</v>
      </c>
      <c r="B257" s="18" t="s">
        <v>434</v>
      </c>
      <c r="C257" s="18"/>
      <c r="D257" s="18"/>
      <c r="E257" s="18" t="s">
        <v>433</v>
      </c>
      <c r="F257" s="18" t="s">
        <v>433</v>
      </c>
      <c r="G257" s="18" t="s">
        <v>2187</v>
      </c>
      <c r="H257" s="18">
        <v>-74.459999999999994</v>
      </c>
      <c r="I257" s="18">
        <v>51.01</v>
      </c>
      <c r="J257" s="18" t="s">
        <v>2860</v>
      </c>
      <c r="K257" s="18"/>
      <c r="L257" s="18" t="s">
        <v>2539</v>
      </c>
      <c r="M257" s="18" t="s">
        <v>374</v>
      </c>
      <c r="N257" s="18" t="s">
        <v>1115</v>
      </c>
      <c r="O257" s="18" t="s">
        <v>1116</v>
      </c>
      <c r="P257" s="18" t="s">
        <v>375</v>
      </c>
      <c r="Q257" s="18"/>
      <c r="R257" s="18"/>
      <c r="S257" s="18" t="s">
        <v>16</v>
      </c>
      <c r="T257" s="18" t="s">
        <v>84</v>
      </c>
      <c r="U257" s="18" t="s">
        <v>2902</v>
      </c>
    </row>
    <row r="258" spans="1:21" x14ac:dyDescent="0.25">
      <c r="A258" s="18" t="s">
        <v>1262</v>
      </c>
      <c r="B258" s="18" t="s">
        <v>562</v>
      </c>
      <c r="C258" s="18"/>
      <c r="D258" s="18"/>
      <c r="E258" s="18" t="s">
        <v>561</v>
      </c>
      <c r="F258" s="18" t="s">
        <v>858</v>
      </c>
      <c r="G258" s="18" t="s">
        <v>2096</v>
      </c>
      <c r="H258" s="18">
        <v>-128.86282</v>
      </c>
      <c r="I258" s="18">
        <v>58.478560000000002</v>
      </c>
      <c r="J258" s="18" t="s">
        <v>2699</v>
      </c>
      <c r="K258" s="18"/>
      <c r="L258" s="18" t="s">
        <v>2575</v>
      </c>
      <c r="M258" s="18" t="s">
        <v>374</v>
      </c>
      <c r="N258" s="18" t="s">
        <v>1115</v>
      </c>
      <c r="O258" s="18" t="s">
        <v>1116</v>
      </c>
      <c r="P258" s="18" t="s">
        <v>375</v>
      </c>
      <c r="Q258" s="18"/>
      <c r="R258" s="18"/>
      <c r="S258" s="18" t="s">
        <v>557</v>
      </c>
      <c r="T258" s="18" t="s">
        <v>563</v>
      </c>
      <c r="U258" s="18" t="s">
        <v>2902</v>
      </c>
    </row>
    <row r="259" spans="1:21" x14ac:dyDescent="0.25">
      <c r="A259" s="18" t="s">
        <v>1133</v>
      </c>
      <c r="B259" s="18" t="s">
        <v>432</v>
      </c>
      <c r="C259" s="18"/>
      <c r="D259" s="18"/>
      <c r="E259" s="18" t="s">
        <v>14</v>
      </c>
      <c r="F259" s="18" t="s">
        <v>14</v>
      </c>
      <c r="G259" s="18" t="s">
        <v>2016</v>
      </c>
      <c r="H259" s="18">
        <v>-79.760000000000005</v>
      </c>
      <c r="I259" s="18">
        <v>48.16</v>
      </c>
      <c r="J259" s="18" t="s">
        <v>2564</v>
      </c>
      <c r="K259" s="18"/>
      <c r="L259" s="18" t="s">
        <v>2551</v>
      </c>
      <c r="M259" s="18" t="s">
        <v>374</v>
      </c>
      <c r="N259" s="18" t="s">
        <v>1115</v>
      </c>
      <c r="O259" s="18" t="s">
        <v>1116</v>
      </c>
      <c r="P259" s="18" t="s">
        <v>375</v>
      </c>
      <c r="Q259" s="18"/>
      <c r="R259" s="18"/>
      <c r="S259" s="18" t="s">
        <v>16</v>
      </c>
      <c r="T259" s="18" t="s">
        <v>81</v>
      </c>
      <c r="U259" s="18" t="s">
        <v>2902</v>
      </c>
    </row>
    <row r="260" spans="1:21" x14ac:dyDescent="0.25">
      <c r="A260" t="s">
        <v>1348</v>
      </c>
      <c r="B260" t="s">
        <v>363</v>
      </c>
      <c r="C260" t="s">
        <v>2150</v>
      </c>
      <c r="D260" t="s">
        <v>2151</v>
      </c>
      <c r="E260" t="s">
        <v>246</v>
      </c>
      <c r="F260" t="s">
        <v>718</v>
      </c>
      <c r="G260" t="s">
        <v>2149</v>
      </c>
      <c r="H260">
        <v>-71.157919000000007</v>
      </c>
      <c r="I260">
        <v>48.428476000000003</v>
      </c>
      <c r="J260" t="s">
        <v>2797</v>
      </c>
      <c r="L260" t="s">
        <v>2539</v>
      </c>
      <c r="M260" t="s">
        <v>10</v>
      </c>
      <c r="P260" t="s">
        <v>233</v>
      </c>
      <c r="Q260" t="s">
        <v>274</v>
      </c>
      <c r="R260" t="s">
        <v>376</v>
      </c>
      <c r="S260" t="s">
        <v>364</v>
      </c>
      <c r="T260" t="s">
        <v>364</v>
      </c>
      <c r="U260" t="s">
        <v>2903</v>
      </c>
    </row>
    <row r="261" spans="1:21" s="18" customFormat="1" x14ac:dyDescent="0.25">
      <c r="A261" s="18" t="s">
        <v>1286</v>
      </c>
      <c r="B261" s="18" t="s">
        <v>576</v>
      </c>
      <c r="E261" s="18" t="s">
        <v>138</v>
      </c>
      <c r="F261" s="18" t="s">
        <v>725</v>
      </c>
      <c r="G261" s="18" t="s">
        <v>2106</v>
      </c>
      <c r="H261" s="18">
        <v>-81.383330000000001</v>
      </c>
      <c r="I261" s="18">
        <v>46.416670000000003</v>
      </c>
      <c r="J261" s="18" t="s">
        <v>2728</v>
      </c>
      <c r="L261" s="18" t="s">
        <v>2551</v>
      </c>
      <c r="M261" s="18" t="s">
        <v>374</v>
      </c>
      <c r="N261" s="18" t="s">
        <v>1115</v>
      </c>
      <c r="O261" s="18" t="s">
        <v>1116</v>
      </c>
      <c r="P261" s="18" t="s">
        <v>375</v>
      </c>
      <c r="S261" s="18" t="s">
        <v>557</v>
      </c>
      <c r="T261" s="18" t="s">
        <v>577</v>
      </c>
      <c r="U261" s="18" t="s">
        <v>2902</v>
      </c>
    </row>
    <row r="262" spans="1:21" x14ac:dyDescent="0.25">
      <c r="A262" t="s">
        <v>1428</v>
      </c>
      <c r="B262" t="s">
        <v>182</v>
      </c>
      <c r="E262" t="s">
        <v>181</v>
      </c>
      <c r="F262" t="s">
        <v>719</v>
      </c>
      <c r="G262" t="s">
        <v>2191</v>
      </c>
      <c r="H262">
        <v>-62.090854999999998</v>
      </c>
      <c r="I262">
        <v>56.331659000000002</v>
      </c>
      <c r="J262" t="s">
        <v>2877</v>
      </c>
      <c r="K262" t="s">
        <v>182</v>
      </c>
      <c r="L262" t="s">
        <v>2601</v>
      </c>
      <c r="M262" t="s">
        <v>10</v>
      </c>
      <c r="P262" t="s">
        <v>11</v>
      </c>
      <c r="Q262" t="s">
        <v>23</v>
      </c>
      <c r="R262" t="s">
        <v>2597</v>
      </c>
      <c r="S262" t="s">
        <v>557</v>
      </c>
      <c r="T262" t="s">
        <v>183</v>
      </c>
      <c r="U262" t="s">
        <v>2903</v>
      </c>
    </row>
    <row r="263" spans="1:21" s="18" customFormat="1" x14ac:dyDescent="0.25">
      <c r="A263" s="18" t="s">
        <v>1206</v>
      </c>
      <c r="B263" s="18" t="s">
        <v>668</v>
      </c>
      <c r="E263" s="18" t="s">
        <v>667</v>
      </c>
      <c r="F263" s="18" t="s">
        <v>842</v>
      </c>
      <c r="G263" s="18" t="s">
        <v>2059</v>
      </c>
      <c r="H263" s="18">
        <v>-104.03032</v>
      </c>
      <c r="I263" s="18">
        <v>58.347799999999999</v>
      </c>
      <c r="J263" s="18" t="s">
        <v>2641</v>
      </c>
      <c r="L263" s="18" t="s">
        <v>2588</v>
      </c>
      <c r="M263" s="18" t="s">
        <v>374</v>
      </c>
      <c r="N263" s="18" t="s">
        <v>1115</v>
      </c>
      <c r="O263" s="18" t="s">
        <v>1116</v>
      </c>
      <c r="P263" s="18" t="s">
        <v>375</v>
      </c>
      <c r="S263" s="18" t="s">
        <v>210</v>
      </c>
      <c r="T263" s="18" t="s">
        <v>210</v>
      </c>
      <c r="U263" s="18" t="s">
        <v>2902</v>
      </c>
    </row>
    <row r="264" spans="1:21" s="18" customFormat="1" x14ac:dyDescent="0.25">
      <c r="A264" t="s">
        <v>1418</v>
      </c>
      <c r="B264" t="s">
        <v>368</v>
      </c>
      <c r="C264"/>
      <c r="D264"/>
      <c r="E264" t="s">
        <v>367</v>
      </c>
      <c r="F264" t="s">
        <v>909</v>
      </c>
      <c r="G264" t="s">
        <v>2190</v>
      </c>
      <c r="H264">
        <v>-79.235065000000006</v>
      </c>
      <c r="I264">
        <v>42.998265000000004</v>
      </c>
      <c r="J264" t="s">
        <v>2862</v>
      </c>
      <c r="K264"/>
      <c r="L264" t="s">
        <v>2551</v>
      </c>
      <c r="M264" t="s">
        <v>10</v>
      </c>
      <c r="N264"/>
      <c r="O264"/>
      <c r="P264" t="s">
        <v>233</v>
      </c>
      <c r="Q264" t="s">
        <v>255</v>
      </c>
      <c r="R264" t="s">
        <v>340</v>
      </c>
      <c r="S264" t="s">
        <v>244</v>
      </c>
      <c r="T264" t="s">
        <v>244</v>
      </c>
      <c r="U264" t="s">
        <v>2903</v>
      </c>
    </row>
    <row r="265" spans="1:21" s="18" customFormat="1" x14ac:dyDescent="0.25">
      <c r="A265" t="s">
        <v>1276</v>
      </c>
      <c r="B265" t="s">
        <v>74</v>
      </c>
      <c r="C265"/>
      <c r="D265"/>
      <c r="E265" t="s">
        <v>73</v>
      </c>
      <c r="F265" t="s">
        <v>73</v>
      </c>
      <c r="G265" t="s">
        <v>2100</v>
      </c>
      <c r="H265">
        <v>-78.501999999999995</v>
      </c>
      <c r="I265">
        <v>48.256</v>
      </c>
      <c r="J265" t="s">
        <v>2718</v>
      </c>
      <c r="K265" t="s">
        <v>2717</v>
      </c>
      <c r="L265" t="s">
        <v>2539</v>
      </c>
      <c r="M265" t="s">
        <v>10</v>
      </c>
      <c r="N265"/>
      <c r="O265"/>
      <c r="P265" t="s">
        <v>11</v>
      </c>
      <c r="Q265" t="s">
        <v>13</v>
      </c>
      <c r="R265" t="s">
        <v>2542</v>
      </c>
      <c r="S265" t="s">
        <v>16</v>
      </c>
      <c r="T265" t="s">
        <v>64</v>
      </c>
      <c r="U265" t="s">
        <v>2903</v>
      </c>
    </row>
    <row r="266" spans="1:21" s="18" customFormat="1" x14ac:dyDescent="0.25">
      <c r="A266" s="18" t="s">
        <v>1311</v>
      </c>
      <c r="B266" s="18" t="s">
        <v>521</v>
      </c>
      <c r="E266" s="18" t="s">
        <v>520</v>
      </c>
      <c r="F266" s="18" t="s">
        <v>876</v>
      </c>
      <c r="G266" s="18" t="s">
        <v>2130</v>
      </c>
      <c r="H266" s="18">
        <v>-75.85333</v>
      </c>
      <c r="I266" s="18">
        <v>51.679720000000003</v>
      </c>
      <c r="J266" s="18" t="s">
        <v>2755</v>
      </c>
      <c r="L266" s="18" t="s">
        <v>2539</v>
      </c>
      <c r="M266" s="18" t="s">
        <v>374</v>
      </c>
      <c r="N266" s="18" t="s">
        <v>1115</v>
      </c>
      <c r="O266" s="18" t="s">
        <v>1116</v>
      </c>
      <c r="P266" s="18" t="s">
        <v>375</v>
      </c>
      <c r="S266" s="18" t="s">
        <v>509</v>
      </c>
      <c r="T266" s="18" t="s">
        <v>509</v>
      </c>
      <c r="U266" s="18" t="s">
        <v>2902</v>
      </c>
    </row>
    <row r="267" spans="1:21" s="18" customFormat="1" x14ac:dyDescent="0.25">
      <c r="A267" s="18" t="s">
        <v>1207</v>
      </c>
      <c r="B267" s="18" t="s">
        <v>669</v>
      </c>
      <c r="E267" s="18" t="s">
        <v>667</v>
      </c>
      <c r="F267" s="18" t="s">
        <v>842</v>
      </c>
      <c r="G267" s="18" t="s">
        <v>2059</v>
      </c>
      <c r="H267" s="18">
        <v>-105.38137</v>
      </c>
      <c r="I267" s="18">
        <v>57.508879999999998</v>
      </c>
      <c r="J267" s="18" t="s">
        <v>2642</v>
      </c>
      <c r="L267" s="18" t="s">
        <v>2588</v>
      </c>
      <c r="M267" s="18" t="s">
        <v>374</v>
      </c>
      <c r="N267" s="18" t="s">
        <v>1115</v>
      </c>
      <c r="O267" s="18" t="s">
        <v>1116</v>
      </c>
      <c r="P267" s="18" t="s">
        <v>375</v>
      </c>
      <c r="S267" s="18" t="s">
        <v>210</v>
      </c>
      <c r="T267" s="18" t="s">
        <v>210</v>
      </c>
      <c r="U267" s="18" t="s">
        <v>2902</v>
      </c>
    </row>
    <row r="268" spans="1:21" x14ac:dyDescent="0.25">
      <c r="A268" t="s">
        <v>1240</v>
      </c>
      <c r="B268" t="s">
        <v>370</v>
      </c>
      <c r="E268" t="s">
        <v>350</v>
      </c>
      <c r="F268" t="s">
        <v>714</v>
      </c>
      <c r="G268" t="s">
        <v>2085</v>
      </c>
      <c r="H268">
        <v>-78.910675999999995</v>
      </c>
      <c r="I268">
        <v>43.851906</v>
      </c>
      <c r="J268" t="s">
        <v>2674</v>
      </c>
      <c r="L268" t="s">
        <v>2551</v>
      </c>
      <c r="M268" t="s">
        <v>10</v>
      </c>
      <c r="P268" t="s">
        <v>233</v>
      </c>
      <c r="U268" t="s">
        <v>2903</v>
      </c>
    </row>
    <row r="269" spans="1:21" x14ac:dyDescent="0.25">
      <c r="A269" t="s">
        <v>1242</v>
      </c>
      <c r="B269" t="s">
        <v>371</v>
      </c>
      <c r="E269" t="s">
        <v>281</v>
      </c>
      <c r="F269" t="s">
        <v>714</v>
      </c>
      <c r="G269" t="s">
        <v>2085</v>
      </c>
      <c r="H269">
        <v>-78.91</v>
      </c>
      <c r="I269">
        <v>43.86</v>
      </c>
      <c r="J269" t="s">
        <v>2677</v>
      </c>
      <c r="L269" t="s">
        <v>2551</v>
      </c>
      <c r="M269" t="s">
        <v>10</v>
      </c>
      <c r="P269" t="s">
        <v>233</v>
      </c>
      <c r="Q269" t="s">
        <v>255</v>
      </c>
      <c r="R269" t="s">
        <v>340</v>
      </c>
      <c r="S269" t="s">
        <v>244</v>
      </c>
      <c r="T269" t="s">
        <v>244</v>
      </c>
      <c r="U269" t="s">
        <v>2903</v>
      </c>
    </row>
    <row r="270" spans="1:21" x14ac:dyDescent="0.25">
      <c r="A270" s="18" t="s">
        <v>1205</v>
      </c>
      <c r="B270" s="18" t="s">
        <v>639</v>
      </c>
      <c r="C270" s="18"/>
      <c r="D270" s="18"/>
      <c r="E270" s="18" t="s">
        <v>638</v>
      </c>
      <c r="F270" s="18" t="s">
        <v>841</v>
      </c>
      <c r="G270" s="18" t="s">
        <v>2058</v>
      </c>
      <c r="H270" s="18">
        <v>-122.09912</v>
      </c>
      <c r="I270" s="18">
        <v>54.531410000000001</v>
      </c>
      <c r="J270" s="18" t="s">
        <v>2640</v>
      </c>
      <c r="K270" s="18"/>
      <c r="L270" s="18" t="s">
        <v>2575</v>
      </c>
      <c r="M270" s="18" t="s">
        <v>374</v>
      </c>
      <c r="N270" s="18" t="s">
        <v>1115</v>
      </c>
      <c r="O270" s="18" t="s">
        <v>1116</v>
      </c>
      <c r="P270" s="18" t="s">
        <v>375</v>
      </c>
      <c r="Q270" s="18"/>
      <c r="R270" s="18"/>
      <c r="S270" s="18" t="s">
        <v>627</v>
      </c>
      <c r="T270" s="18" t="s">
        <v>627</v>
      </c>
      <c r="U270" s="18" t="s">
        <v>2902</v>
      </c>
    </row>
    <row r="271" spans="1:21" s="18" customFormat="1" x14ac:dyDescent="0.25">
      <c r="A271" s="18" t="s">
        <v>1275</v>
      </c>
      <c r="B271" s="18" t="s">
        <v>467</v>
      </c>
      <c r="E271" s="18" t="s">
        <v>79</v>
      </c>
      <c r="F271" s="18" t="s">
        <v>717</v>
      </c>
      <c r="G271" s="18" t="s">
        <v>1848</v>
      </c>
      <c r="H271" s="18">
        <v>-100.05248</v>
      </c>
      <c r="I271" s="18">
        <v>55.021360000000001</v>
      </c>
      <c r="J271" s="18" t="s">
        <v>2716</v>
      </c>
      <c r="L271" s="18" t="s">
        <v>2562</v>
      </c>
      <c r="M271" s="18" t="s">
        <v>374</v>
      </c>
      <c r="N271" s="18" t="s">
        <v>1115</v>
      </c>
      <c r="O271" s="18" t="s">
        <v>1116</v>
      </c>
      <c r="P271" s="18" t="s">
        <v>375</v>
      </c>
      <c r="S271" s="18" t="s">
        <v>16</v>
      </c>
      <c r="T271" s="18" t="s">
        <v>90</v>
      </c>
      <c r="U271" s="18" t="s">
        <v>2902</v>
      </c>
    </row>
    <row r="272" spans="1:21" s="18" customFormat="1" x14ac:dyDescent="0.25">
      <c r="A272" s="18" t="s">
        <v>1183</v>
      </c>
      <c r="B272" s="18" t="s">
        <v>550</v>
      </c>
      <c r="E272" s="18" t="s">
        <v>549</v>
      </c>
      <c r="F272" s="18" t="s">
        <v>707</v>
      </c>
      <c r="G272" s="18" t="s">
        <v>2904</v>
      </c>
      <c r="H272" s="18">
        <v>-67.64</v>
      </c>
      <c r="I272" s="18">
        <v>46.18</v>
      </c>
      <c r="J272" s="18" t="s">
        <v>2619</v>
      </c>
      <c r="L272" s="18" t="s">
        <v>2605</v>
      </c>
      <c r="M272" s="18" t="s">
        <v>374</v>
      </c>
      <c r="N272" s="18" t="s">
        <v>1115</v>
      </c>
      <c r="O272" s="18" t="s">
        <v>1116</v>
      </c>
      <c r="P272" s="18" t="s">
        <v>375</v>
      </c>
      <c r="S272" s="18" t="s">
        <v>542</v>
      </c>
      <c r="T272" s="18" t="s">
        <v>548</v>
      </c>
      <c r="U272" s="18" t="s">
        <v>2902</v>
      </c>
    </row>
    <row r="273" spans="1:21" s="18" customFormat="1" x14ac:dyDescent="0.25">
      <c r="A273" s="18" t="s">
        <v>1396</v>
      </c>
      <c r="B273" s="18" t="s">
        <v>407</v>
      </c>
      <c r="E273" s="18" t="s">
        <v>135</v>
      </c>
      <c r="F273" s="18" t="s">
        <v>135</v>
      </c>
      <c r="G273" s="18" t="s">
        <v>2182</v>
      </c>
      <c r="H273" s="18">
        <v>-119.81699999999999</v>
      </c>
      <c r="I273" s="18">
        <v>51.52</v>
      </c>
      <c r="J273" s="18" t="s">
        <v>2848</v>
      </c>
      <c r="L273" s="18" t="s">
        <v>2575</v>
      </c>
      <c r="M273" s="18" t="s">
        <v>374</v>
      </c>
      <c r="N273" s="18" t="s">
        <v>1115</v>
      </c>
      <c r="O273" s="18" t="s">
        <v>1116</v>
      </c>
      <c r="P273" s="18" t="s">
        <v>375</v>
      </c>
      <c r="S273" s="18" t="s">
        <v>125</v>
      </c>
      <c r="T273" s="18" t="s">
        <v>130</v>
      </c>
      <c r="U273" s="18" t="s">
        <v>2902</v>
      </c>
    </row>
    <row r="274" spans="1:21" s="18" customFormat="1" x14ac:dyDescent="0.25">
      <c r="A274" t="s">
        <v>1135</v>
      </c>
      <c r="B274" t="s">
        <v>26</v>
      </c>
      <c r="C274"/>
      <c r="D274"/>
      <c r="E274" t="s">
        <v>24</v>
      </c>
      <c r="F274" t="s">
        <v>736</v>
      </c>
      <c r="G274" t="s">
        <v>2019</v>
      </c>
      <c r="H274">
        <v>-80.674440000000004</v>
      </c>
      <c r="I274">
        <v>47.946669999999997</v>
      </c>
      <c r="J274" t="s">
        <v>2568</v>
      </c>
      <c r="K274" t="s">
        <v>2567</v>
      </c>
      <c r="L274" t="s">
        <v>2551</v>
      </c>
      <c r="M274" t="s">
        <v>10</v>
      </c>
      <c r="N274"/>
      <c r="O274"/>
      <c r="P274" t="s">
        <v>11</v>
      </c>
      <c r="Q274" t="s">
        <v>13</v>
      </c>
      <c r="R274" t="s">
        <v>2542</v>
      </c>
      <c r="S274" t="s">
        <v>16</v>
      </c>
      <c r="T274" t="s">
        <v>16</v>
      </c>
      <c r="U274" t="s">
        <v>2903</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109375" defaultRowHeight="15" x14ac:dyDescent="0.25"/>
  <cols>
    <col min="1" max="1" width="49.85546875" bestFit="1" customWidth="1"/>
    <col min="2" max="2" width="45.5703125" customWidth="1"/>
    <col min="3" max="3" width="35.85546875" bestFit="1" customWidth="1"/>
    <col min="4" max="4" width="18" customWidth="1"/>
    <col min="5" max="5" width="15.85546875" bestFit="1" customWidth="1"/>
    <col min="6" max="6" width="35.42578125" bestFit="1" customWidth="1"/>
    <col min="7" max="7" width="151.42578125" bestFit="1" customWidth="1"/>
    <col min="8" max="8" width="13.42578125" bestFit="1" customWidth="1"/>
    <col min="9" max="9" width="13.5703125" bestFit="1" customWidth="1"/>
    <col min="10" max="10" width="31.42578125" bestFit="1" customWidth="1"/>
    <col min="11" max="11" width="19.5703125" bestFit="1" customWidth="1"/>
    <col min="12" max="12" width="50.5703125" bestFit="1" customWidth="1"/>
    <col min="13" max="13" width="87.5703125" customWidth="1"/>
    <col min="14" max="14" width="89.42578125" bestFit="1" customWidth="1"/>
    <col min="15" max="15" width="28.42578125" bestFit="1" customWidth="1"/>
    <col min="16" max="16" width="39" bestFit="1" customWidth="1"/>
    <col min="17" max="17" width="18.140625" customWidth="1"/>
    <col min="18" max="18" width="190.85546875" bestFit="1" customWidth="1"/>
  </cols>
  <sheetData>
    <row r="1" spans="1:18" x14ac:dyDescent="0.25">
      <c r="A1" s="32" t="s">
        <v>1668</v>
      </c>
      <c r="B1" s="32" t="s">
        <v>0</v>
      </c>
      <c r="C1" s="32" t="s">
        <v>1670</v>
      </c>
      <c r="D1" s="32" t="s">
        <v>2</v>
      </c>
      <c r="E1" s="1" t="s">
        <v>4</v>
      </c>
      <c r="F1" s="14" t="s">
        <v>6</v>
      </c>
      <c r="G1" s="1" t="s">
        <v>1777</v>
      </c>
      <c r="H1" s="32" t="s">
        <v>3</v>
      </c>
      <c r="I1" s="32" t="s">
        <v>2010</v>
      </c>
      <c r="J1" s="32" t="s">
        <v>2011</v>
      </c>
      <c r="K1" s="32" t="s">
        <v>2012</v>
      </c>
      <c r="L1" s="15" t="s">
        <v>813</v>
      </c>
      <c r="M1" s="16" t="s">
        <v>837</v>
      </c>
      <c r="N1" s="16" t="s">
        <v>814</v>
      </c>
      <c r="O1" s="4" t="s">
        <v>745</v>
      </c>
      <c r="P1" s="4" t="s">
        <v>2268</v>
      </c>
      <c r="Q1" s="4" t="s">
        <v>2433</v>
      </c>
      <c r="R1" s="16" t="s">
        <v>7</v>
      </c>
    </row>
    <row r="2" spans="1:18" s="18" customFormat="1" x14ac:dyDescent="0.25">
      <c r="A2" s="18" t="s">
        <v>717</v>
      </c>
      <c r="B2" s="18" t="s">
        <v>79</v>
      </c>
      <c r="C2" s="18" t="s">
        <v>464</v>
      </c>
      <c r="D2" s="18" t="s">
        <v>1272</v>
      </c>
      <c r="E2" s="18" t="s">
        <v>375</v>
      </c>
      <c r="G2" s="18" t="s">
        <v>90</v>
      </c>
      <c r="H2" s="18" t="s">
        <v>374</v>
      </c>
      <c r="I2" s="18" t="s">
        <v>1848</v>
      </c>
      <c r="L2" s="18" t="s">
        <v>980</v>
      </c>
      <c r="M2" s="18" t="s">
        <v>707</v>
      </c>
      <c r="N2" s="18" t="s">
        <v>983</v>
      </c>
      <c r="O2" s="18" t="s">
        <v>710</v>
      </c>
    </row>
    <row r="3" spans="1:18" x14ac:dyDescent="0.25">
      <c r="A3" s="18" t="s">
        <v>774</v>
      </c>
      <c r="B3" s="18" t="s">
        <v>62</v>
      </c>
      <c r="C3" s="18" t="s">
        <v>702</v>
      </c>
      <c r="D3" s="18" t="s">
        <v>1123</v>
      </c>
      <c r="E3" s="18" t="s">
        <v>375</v>
      </c>
      <c r="F3" s="18"/>
      <c r="G3" s="18" t="s">
        <v>703</v>
      </c>
      <c r="H3" s="18" t="s">
        <v>374</v>
      </c>
      <c r="I3" s="18" t="s">
        <v>2013</v>
      </c>
      <c r="J3" s="18"/>
      <c r="K3" s="18"/>
      <c r="L3" s="18"/>
      <c r="M3" s="18"/>
      <c r="N3" s="18"/>
      <c r="O3" s="18" t="s">
        <v>746</v>
      </c>
      <c r="P3" s="18"/>
      <c r="Q3" s="18"/>
      <c r="R3" s="18"/>
    </row>
    <row r="4" spans="1:18" s="18" customFormat="1" x14ac:dyDescent="0.25">
      <c r="A4" s="18" t="s">
        <v>14</v>
      </c>
      <c r="B4" s="18" t="s">
        <v>14</v>
      </c>
      <c r="C4" s="18" t="s">
        <v>429</v>
      </c>
      <c r="D4" s="18" t="s">
        <v>1132</v>
      </c>
      <c r="E4" s="18" t="s">
        <v>375</v>
      </c>
      <c r="G4" s="18" t="s">
        <v>81</v>
      </c>
      <c r="H4" s="18" t="s">
        <v>374</v>
      </c>
      <c r="I4" s="18" t="s">
        <v>2016</v>
      </c>
      <c r="L4" s="18" t="s">
        <v>768</v>
      </c>
      <c r="M4" s="19" t="s">
        <v>1501</v>
      </c>
      <c r="N4" s="19" t="s">
        <v>1500</v>
      </c>
      <c r="O4" s="18" t="s">
        <v>710</v>
      </c>
    </row>
    <row r="5" spans="1:18" x14ac:dyDescent="0.25">
      <c r="A5" s="18" t="s">
        <v>916</v>
      </c>
      <c r="B5" s="18" t="s">
        <v>691</v>
      </c>
      <c r="C5" s="18" t="s">
        <v>692</v>
      </c>
      <c r="D5" s="18" t="s">
        <v>1449</v>
      </c>
      <c r="E5" s="18" t="s">
        <v>375</v>
      </c>
      <c r="F5" s="18"/>
      <c r="G5" s="18" t="s">
        <v>693</v>
      </c>
      <c r="H5" s="18" t="s">
        <v>374</v>
      </c>
      <c r="I5" s="18" t="s">
        <v>2207</v>
      </c>
      <c r="J5" s="18"/>
      <c r="K5" s="18"/>
      <c r="L5" s="18"/>
      <c r="M5" s="18"/>
      <c r="N5" s="18"/>
      <c r="O5" s="18" t="s">
        <v>746</v>
      </c>
      <c r="P5" s="18"/>
      <c r="Q5" s="18"/>
      <c r="R5" s="18"/>
    </row>
    <row r="6" spans="1:18" x14ac:dyDescent="0.25">
      <c r="A6" s="18" t="s">
        <v>135</v>
      </c>
      <c r="B6" s="18" t="s">
        <v>135</v>
      </c>
      <c r="C6" s="18" t="s">
        <v>595</v>
      </c>
      <c r="D6" s="18" t="s">
        <v>1397</v>
      </c>
      <c r="E6" s="18" t="s">
        <v>375</v>
      </c>
      <c r="F6" s="18"/>
      <c r="G6" s="18" t="s">
        <v>177</v>
      </c>
      <c r="H6" s="18" t="s">
        <v>374</v>
      </c>
      <c r="I6" s="18" t="s">
        <v>2182</v>
      </c>
      <c r="J6" s="18"/>
      <c r="K6" s="18"/>
      <c r="L6" s="18" t="s">
        <v>727</v>
      </c>
      <c r="M6" s="18"/>
      <c r="N6" s="18"/>
      <c r="O6" s="18" t="s">
        <v>746</v>
      </c>
      <c r="P6" s="18"/>
      <c r="Q6" s="18"/>
      <c r="R6" s="18"/>
    </row>
    <row r="7" spans="1:18" x14ac:dyDescent="0.25">
      <c r="A7" t="s">
        <v>779</v>
      </c>
      <c r="B7" t="s">
        <v>242</v>
      </c>
      <c r="C7" t="s">
        <v>243</v>
      </c>
      <c r="D7" t="s">
        <v>1141</v>
      </c>
      <c r="E7" t="s">
        <v>233</v>
      </c>
      <c r="F7" t="s">
        <v>245</v>
      </c>
      <c r="G7" t="s">
        <v>244</v>
      </c>
      <c r="H7" t="s">
        <v>10</v>
      </c>
      <c r="I7" t="s">
        <v>1981</v>
      </c>
      <c r="L7" t="s">
        <v>778</v>
      </c>
      <c r="M7" s="22" t="s">
        <v>2025</v>
      </c>
      <c r="N7" t="s">
        <v>707</v>
      </c>
      <c r="O7" t="s">
        <v>746</v>
      </c>
      <c r="P7" t="s">
        <v>807</v>
      </c>
      <c r="R7" t="s">
        <v>2026</v>
      </c>
    </row>
    <row r="8" spans="1:18" x14ac:dyDescent="0.25">
      <c r="A8" t="s">
        <v>718</v>
      </c>
      <c r="B8" t="s">
        <v>246</v>
      </c>
      <c r="C8" t="s">
        <v>247</v>
      </c>
      <c r="D8" t="s">
        <v>1350</v>
      </c>
      <c r="E8" t="s">
        <v>233</v>
      </c>
      <c r="F8" t="s">
        <v>249</v>
      </c>
      <c r="G8" t="s">
        <v>248</v>
      </c>
      <c r="H8" t="s">
        <v>10</v>
      </c>
      <c r="I8" t="s">
        <v>2149</v>
      </c>
      <c r="J8" t="s">
        <v>2150</v>
      </c>
      <c r="K8" t="s">
        <v>2151</v>
      </c>
      <c r="L8" t="s">
        <v>1055</v>
      </c>
      <c r="M8" t="s">
        <v>1062</v>
      </c>
      <c r="N8" t="s">
        <v>707</v>
      </c>
      <c r="O8" t="s">
        <v>749</v>
      </c>
      <c r="P8" t="s">
        <v>2310</v>
      </c>
      <c r="Q8" t="s">
        <v>2475</v>
      </c>
      <c r="R8" t="s">
        <v>2280</v>
      </c>
    </row>
    <row r="9" spans="1:18" x14ac:dyDescent="0.25">
      <c r="A9" t="s">
        <v>718</v>
      </c>
      <c r="B9" t="s">
        <v>250</v>
      </c>
      <c r="C9" t="s">
        <v>251</v>
      </c>
      <c r="D9" t="s">
        <v>1352</v>
      </c>
      <c r="E9" t="s">
        <v>233</v>
      </c>
      <c r="F9" t="s">
        <v>249</v>
      </c>
      <c r="G9" t="s">
        <v>252</v>
      </c>
      <c r="H9" t="s">
        <v>10</v>
      </c>
      <c r="I9" t="s">
        <v>2149</v>
      </c>
      <c r="J9" t="s">
        <v>2150</v>
      </c>
      <c r="K9" t="s">
        <v>2151</v>
      </c>
      <c r="L9" t="s">
        <v>1058</v>
      </c>
      <c r="M9" t="s">
        <v>1062</v>
      </c>
      <c r="N9" t="s">
        <v>707</v>
      </c>
      <c r="O9" t="s">
        <v>749</v>
      </c>
      <c r="P9" t="s">
        <v>2310</v>
      </c>
      <c r="Q9" t="s">
        <v>2475</v>
      </c>
      <c r="R9" t="s">
        <v>2280</v>
      </c>
    </row>
    <row r="10" spans="1:18" x14ac:dyDescent="0.25">
      <c r="A10" t="s">
        <v>780</v>
      </c>
      <c r="B10" t="s">
        <v>253</v>
      </c>
      <c r="C10" t="s">
        <v>254</v>
      </c>
      <c r="D10" t="s">
        <v>1144</v>
      </c>
      <c r="E10" t="s">
        <v>233</v>
      </c>
      <c r="F10" t="s">
        <v>255</v>
      </c>
      <c r="G10" t="s">
        <v>244</v>
      </c>
      <c r="H10" t="s">
        <v>10</v>
      </c>
      <c r="I10" t="s">
        <v>2027</v>
      </c>
      <c r="L10" s="2" t="s">
        <v>782</v>
      </c>
      <c r="M10" s="2"/>
      <c r="N10" t="s">
        <v>707</v>
      </c>
      <c r="O10" t="s">
        <v>746</v>
      </c>
      <c r="P10" t="s">
        <v>720</v>
      </c>
      <c r="R10" t="s">
        <v>2028</v>
      </c>
    </row>
    <row r="11" spans="1:18" x14ac:dyDescent="0.25">
      <c r="A11" t="s">
        <v>14</v>
      </c>
      <c r="B11" t="s">
        <v>14</v>
      </c>
      <c r="C11" t="s">
        <v>15</v>
      </c>
      <c r="D11" t="s">
        <v>1131</v>
      </c>
      <c r="E11" t="s">
        <v>11</v>
      </c>
      <c r="F11" t="s">
        <v>17</v>
      </c>
      <c r="G11" t="s">
        <v>16</v>
      </c>
      <c r="H11" t="s">
        <v>10</v>
      </c>
      <c r="I11" t="s">
        <v>2016</v>
      </c>
      <c r="J11" t="s">
        <v>2017</v>
      </c>
      <c r="K11" t="s">
        <v>1749</v>
      </c>
      <c r="L11" s="2" t="s">
        <v>768</v>
      </c>
      <c r="M11" s="2" t="s">
        <v>1501</v>
      </c>
      <c r="N11" s="2" t="s">
        <v>1500</v>
      </c>
      <c r="O11" t="s">
        <v>710</v>
      </c>
      <c r="P11" t="s">
        <v>772</v>
      </c>
      <c r="R11" t="s">
        <v>2018</v>
      </c>
    </row>
    <row r="12" spans="1:18" x14ac:dyDescent="0.25">
      <c r="A12" t="s">
        <v>155</v>
      </c>
      <c r="B12" t="s">
        <v>256</v>
      </c>
      <c r="C12" t="s">
        <v>257</v>
      </c>
      <c r="D12" t="s">
        <v>1158</v>
      </c>
      <c r="E12" t="s">
        <v>233</v>
      </c>
      <c r="F12" t="s">
        <v>258</v>
      </c>
      <c r="G12" t="s">
        <v>244</v>
      </c>
      <c r="H12" t="s">
        <v>10</v>
      </c>
      <c r="I12" t="s">
        <v>2030</v>
      </c>
      <c r="L12" t="s">
        <v>769</v>
      </c>
      <c r="N12" t="s">
        <v>707</v>
      </c>
      <c r="O12" t="s">
        <v>747</v>
      </c>
      <c r="P12" t="s">
        <v>2310</v>
      </c>
      <c r="R12" t="s">
        <v>2413</v>
      </c>
    </row>
    <row r="13" spans="1:18" s="18" customFormat="1" x14ac:dyDescent="0.25">
      <c r="A13" t="s">
        <v>718</v>
      </c>
      <c r="B13" t="s">
        <v>246</v>
      </c>
      <c r="C13" t="s">
        <v>259</v>
      </c>
      <c r="D13" t="s">
        <v>1349</v>
      </c>
      <c r="E13" t="s">
        <v>233</v>
      </c>
      <c r="F13" t="s">
        <v>249</v>
      </c>
      <c r="G13" t="s">
        <v>260</v>
      </c>
      <c r="H13" t="s">
        <v>10</v>
      </c>
      <c r="I13" t="s">
        <v>2149</v>
      </c>
      <c r="J13" t="s">
        <v>2150</v>
      </c>
      <c r="K13" t="s">
        <v>2151</v>
      </c>
      <c r="L13" t="s">
        <v>1055</v>
      </c>
      <c r="M13" t="s">
        <v>1062</v>
      </c>
      <c r="N13" t="s">
        <v>707</v>
      </c>
      <c r="O13" t="s">
        <v>749</v>
      </c>
      <c r="P13" t="s">
        <v>2310</v>
      </c>
      <c r="Q13" t="s">
        <v>2475</v>
      </c>
      <c r="R13" t="s">
        <v>2280</v>
      </c>
    </row>
    <row r="14" spans="1:18" s="18" customFormat="1" x14ac:dyDescent="0.25">
      <c r="A14" s="18" t="s">
        <v>897</v>
      </c>
      <c r="B14" s="18" t="s">
        <v>507</v>
      </c>
      <c r="C14" s="18" t="s">
        <v>508</v>
      </c>
      <c r="D14" s="18" t="s">
        <v>1367</v>
      </c>
      <c r="E14" s="18" t="s">
        <v>375</v>
      </c>
      <c r="G14" s="18" t="s">
        <v>509</v>
      </c>
      <c r="H14" s="18" t="s">
        <v>374</v>
      </c>
      <c r="I14" s="18" t="s">
        <v>2160</v>
      </c>
      <c r="O14" s="18" t="s">
        <v>746</v>
      </c>
    </row>
    <row r="15" spans="1:18" x14ac:dyDescent="0.2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25">
      <c r="A16" t="s">
        <v>261</v>
      </c>
      <c r="B16" t="s">
        <v>261</v>
      </c>
      <c r="C16" t="s">
        <v>262</v>
      </c>
      <c r="D16" t="s">
        <v>1137</v>
      </c>
      <c r="E16" t="s">
        <v>233</v>
      </c>
      <c r="F16" t="s">
        <v>249</v>
      </c>
      <c r="G16" t="s">
        <v>248</v>
      </c>
      <c r="H16" t="s">
        <v>10</v>
      </c>
      <c r="I16" t="s">
        <v>1948</v>
      </c>
      <c r="L16" t="s">
        <v>738</v>
      </c>
      <c r="M16" t="s">
        <v>2020</v>
      </c>
      <c r="N16" t="s">
        <v>707</v>
      </c>
      <c r="O16" t="s">
        <v>746</v>
      </c>
      <c r="P16" t="s">
        <v>807</v>
      </c>
      <c r="R16" t="s">
        <v>2021</v>
      </c>
    </row>
    <row r="17" spans="1:18" x14ac:dyDescent="0.25">
      <c r="A17" s="18" t="s">
        <v>496</v>
      </c>
      <c r="B17" s="18" t="s">
        <v>496</v>
      </c>
      <c r="C17" s="18" t="s">
        <v>497</v>
      </c>
      <c r="D17" s="18" t="s">
        <v>1209</v>
      </c>
      <c r="E17" s="18" t="s">
        <v>375</v>
      </c>
      <c r="F17" s="18"/>
      <c r="G17" s="18" t="s">
        <v>498</v>
      </c>
      <c r="H17" s="18" t="s">
        <v>374</v>
      </c>
      <c r="I17" s="18" t="s">
        <v>2061</v>
      </c>
      <c r="J17" s="18"/>
      <c r="K17" s="18"/>
      <c r="L17" s="18"/>
      <c r="M17" s="18"/>
      <c r="N17" s="18"/>
      <c r="O17" s="18" t="s">
        <v>746</v>
      </c>
      <c r="P17" s="18"/>
      <c r="Q17" s="18"/>
      <c r="R17" s="18"/>
    </row>
    <row r="18" spans="1:18" x14ac:dyDescent="0.25">
      <c r="A18" s="18" t="s">
        <v>869</v>
      </c>
      <c r="B18" s="18" t="s">
        <v>546</v>
      </c>
      <c r="C18" s="18" t="s">
        <v>547</v>
      </c>
      <c r="D18" s="18" t="s">
        <v>1300</v>
      </c>
      <c r="E18" s="18" t="s">
        <v>375</v>
      </c>
      <c r="F18" s="18"/>
      <c r="G18" s="18" t="s">
        <v>548</v>
      </c>
      <c r="H18" s="18" t="s">
        <v>374</v>
      </c>
      <c r="I18" s="18" t="s">
        <v>2121</v>
      </c>
      <c r="J18" s="18"/>
      <c r="K18" s="18"/>
      <c r="L18" s="18"/>
      <c r="M18" s="18"/>
      <c r="N18" s="18"/>
      <c r="O18" s="18" t="s">
        <v>746</v>
      </c>
      <c r="P18" s="18"/>
      <c r="Q18" s="18"/>
      <c r="R18" s="18"/>
    </row>
    <row r="19" spans="1:18" s="18" customFormat="1" x14ac:dyDescent="0.25">
      <c r="A19" s="18" t="s">
        <v>386</v>
      </c>
      <c r="B19" s="18" t="s">
        <v>386</v>
      </c>
      <c r="C19" s="18" t="s">
        <v>387</v>
      </c>
      <c r="D19" s="18" t="s">
        <v>1211</v>
      </c>
      <c r="E19" s="18" t="s">
        <v>375</v>
      </c>
      <c r="G19" s="18" t="s">
        <v>388</v>
      </c>
      <c r="H19" s="18" t="s">
        <v>374</v>
      </c>
      <c r="I19" s="18" t="s">
        <v>2064</v>
      </c>
      <c r="O19" s="18" t="s">
        <v>746</v>
      </c>
    </row>
    <row r="20" spans="1:18" x14ac:dyDescent="0.25">
      <c r="A20" t="s">
        <v>720</v>
      </c>
      <c r="B20" t="s">
        <v>263</v>
      </c>
      <c r="C20" t="s">
        <v>264</v>
      </c>
      <c r="D20" t="s">
        <v>1167</v>
      </c>
      <c r="E20" t="s">
        <v>233</v>
      </c>
      <c r="F20" t="s">
        <v>266</v>
      </c>
      <c r="G20" t="s">
        <v>265</v>
      </c>
      <c r="H20" t="s">
        <v>10</v>
      </c>
      <c r="I20" t="s">
        <v>2029</v>
      </c>
      <c r="L20" t="s">
        <v>789</v>
      </c>
      <c r="M20" t="s">
        <v>2038</v>
      </c>
      <c r="N20" t="s">
        <v>707</v>
      </c>
      <c r="O20" t="s">
        <v>746</v>
      </c>
      <c r="P20" t="s">
        <v>720</v>
      </c>
      <c r="R20" t="s">
        <v>2028</v>
      </c>
    </row>
    <row r="21" spans="1:18" x14ac:dyDescent="0.25">
      <c r="A21" t="s">
        <v>720</v>
      </c>
      <c r="B21" t="s">
        <v>205</v>
      </c>
      <c r="C21" t="s">
        <v>206</v>
      </c>
      <c r="D21" t="s">
        <v>1193</v>
      </c>
      <c r="E21" t="s">
        <v>11</v>
      </c>
      <c r="F21" t="s">
        <v>13</v>
      </c>
      <c r="G21" t="s">
        <v>207</v>
      </c>
      <c r="H21" t="s">
        <v>10</v>
      </c>
      <c r="I21" t="s">
        <v>2029</v>
      </c>
      <c r="L21" t="s">
        <v>720</v>
      </c>
      <c r="M21" t="s">
        <v>720</v>
      </c>
      <c r="N21" t="s">
        <v>720</v>
      </c>
      <c r="O21" t="s">
        <v>746</v>
      </c>
      <c r="P21" t="s">
        <v>720</v>
      </c>
      <c r="R21" t="s">
        <v>2052</v>
      </c>
    </row>
    <row r="22" spans="1:18" s="18" customFormat="1" ht="30" x14ac:dyDescent="0.25">
      <c r="A22" t="s">
        <v>740</v>
      </c>
      <c r="B22" t="s">
        <v>267</v>
      </c>
      <c r="C22" t="s">
        <v>268</v>
      </c>
      <c r="D22" t="s">
        <v>1140</v>
      </c>
      <c r="E22" t="s">
        <v>233</v>
      </c>
      <c r="F22" t="s">
        <v>249</v>
      </c>
      <c r="G22" t="s">
        <v>248</v>
      </c>
      <c r="H22" t="s">
        <v>10</v>
      </c>
      <c r="I22" t="s">
        <v>2022</v>
      </c>
      <c r="J22"/>
      <c r="K22"/>
      <c r="L22" t="s">
        <v>738</v>
      </c>
      <c r="M22" s="30" t="s">
        <v>2023</v>
      </c>
      <c r="N22" t="s">
        <v>707</v>
      </c>
      <c r="O22" t="s">
        <v>746</v>
      </c>
      <c r="P22" t="s">
        <v>807</v>
      </c>
      <c r="Q22"/>
      <c r="R22" t="s">
        <v>2024</v>
      </c>
    </row>
    <row r="23" spans="1:18" s="18" customFormat="1" x14ac:dyDescent="0.25">
      <c r="A23" s="18" t="s">
        <v>543</v>
      </c>
      <c r="B23" s="18" t="s">
        <v>543</v>
      </c>
      <c r="C23" s="18" t="s">
        <v>544</v>
      </c>
      <c r="D23" s="18" t="s">
        <v>1214</v>
      </c>
      <c r="E23" s="18" t="s">
        <v>375</v>
      </c>
      <c r="G23" s="18" t="s">
        <v>545</v>
      </c>
      <c r="H23" s="18" t="s">
        <v>374</v>
      </c>
      <c r="I23" s="18" t="s">
        <v>2066</v>
      </c>
      <c r="O23" s="18" t="s">
        <v>746</v>
      </c>
    </row>
    <row r="24" spans="1:18" x14ac:dyDescent="0.25">
      <c r="A24" t="s">
        <v>269</v>
      </c>
      <c r="B24" t="s">
        <v>269</v>
      </c>
      <c r="C24" t="s">
        <v>270</v>
      </c>
      <c r="D24" t="s">
        <v>1221</v>
      </c>
      <c r="E24" t="s">
        <v>233</v>
      </c>
      <c r="F24" t="s">
        <v>249</v>
      </c>
      <c r="G24" t="s">
        <v>271</v>
      </c>
      <c r="H24" t="s">
        <v>10</v>
      </c>
      <c r="I24" t="s">
        <v>2070</v>
      </c>
      <c r="L24" s="3" t="s">
        <v>945</v>
      </c>
      <c r="M24" s="3" t="s">
        <v>944</v>
      </c>
      <c r="N24" t="s">
        <v>707</v>
      </c>
      <c r="O24" t="s">
        <v>746</v>
      </c>
      <c r="P24" t="s">
        <v>720</v>
      </c>
      <c r="R24" t="s">
        <v>2284</v>
      </c>
    </row>
    <row r="25" spans="1:18" x14ac:dyDescent="0.25">
      <c r="A25" t="s">
        <v>756</v>
      </c>
      <c r="B25" t="s">
        <v>46</v>
      </c>
      <c r="C25" t="s">
        <v>47</v>
      </c>
      <c r="D25" t="s">
        <v>1339</v>
      </c>
      <c r="E25" t="s">
        <v>11</v>
      </c>
      <c r="F25" t="s">
        <v>13</v>
      </c>
      <c r="G25" t="s">
        <v>16</v>
      </c>
      <c r="H25" t="s">
        <v>10</v>
      </c>
      <c r="I25" t="s">
        <v>2148</v>
      </c>
      <c r="J25" t="s">
        <v>1536</v>
      </c>
      <c r="K25" t="s">
        <v>1751</v>
      </c>
      <c r="L25" s="2" t="s">
        <v>763</v>
      </c>
      <c r="M25" s="2" t="s">
        <v>1044</v>
      </c>
      <c r="N25" s="2" t="s">
        <v>1043</v>
      </c>
      <c r="O25" t="s">
        <v>710</v>
      </c>
      <c r="P25" t="s">
        <v>772</v>
      </c>
      <c r="R25" t="s">
        <v>2018</v>
      </c>
    </row>
    <row r="26" spans="1:18" x14ac:dyDescent="0.25">
      <c r="A26" s="18" t="s">
        <v>905</v>
      </c>
      <c r="B26" s="18" t="s">
        <v>413</v>
      </c>
      <c r="C26" s="18" t="s">
        <v>414</v>
      </c>
      <c r="D26" s="18" t="s">
        <v>1388</v>
      </c>
      <c r="E26" s="18" t="s">
        <v>375</v>
      </c>
      <c r="F26" s="18"/>
      <c r="G26" s="18" t="s">
        <v>415</v>
      </c>
      <c r="H26" s="18" t="s">
        <v>374</v>
      </c>
      <c r="I26" s="18" t="s">
        <v>2178</v>
      </c>
      <c r="J26" s="18"/>
      <c r="K26" s="18"/>
      <c r="L26" s="18"/>
      <c r="M26" s="18"/>
      <c r="N26" s="18"/>
      <c r="O26" s="18" t="s">
        <v>746</v>
      </c>
      <c r="P26" s="18"/>
      <c r="Q26" s="18"/>
      <c r="R26" s="18"/>
    </row>
    <row r="27" spans="1:18" x14ac:dyDescent="0.25">
      <c r="A27" s="18" t="s">
        <v>469</v>
      </c>
      <c r="B27" s="18" t="s">
        <v>469</v>
      </c>
      <c r="C27" s="18" t="s">
        <v>470</v>
      </c>
      <c r="D27" s="18" t="s">
        <v>1330</v>
      </c>
      <c r="E27" s="18" t="s">
        <v>375</v>
      </c>
      <c r="F27" s="18"/>
      <c r="G27" s="18" t="s">
        <v>468</v>
      </c>
      <c r="H27" s="18" t="s">
        <v>374</v>
      </c>
      <c r="I27" s="18" t="s">
        <v>2139</v>
      </c>
      <c r="J27" s="18"/>
      <c r="K27" s="18"/>
      <c r="L27" s="18"/>
      <c r="M27" s="18"/>
      <c r="N27" s="18"/>
      <c r="O27" s="18" t="s">
        <v>746</v>
      </c>
      <c r="P27" s="18"/>
      <c r="Q27" s="18"/>
      <c r="R27" s="18"/>
    </row>
    <row r="28" spans="1:18" x14ac:dyDescent="0.25">
      <c r="A28" s="18" t="s">
        <v>489</v>
      </c>
      <c r="B28" s="18" t="s">
        <v>489</v>
      </c>
      <c r="C28" s="18" t="s">
        <v>490</v>
      </c>
      <c r="D28" s="18" t="s">
        <v>1383</v>
      </c>
      <c r="E28" s="18" t="s">
        <v>375</v>
      </c>
      <c r="F28" s="18"/>
      <c r="G28" s="18" t="s">
        <v>491</v>
      </c>
      <c r="H28" s="18" t="s">
        <v>374</v>
      </c>
      <c r="I28" s="18" t="s">
        <v>2176</v>
      </c>
      <c r="J28" s="18"/>
      <c r="K28" s="18"/>
      <c r="L28" s="18"/>
      <c r="M28" s="18"/>
      <c r="N28" s="18"/>
      <c r="O28" s="18" t="s">
        <v>746</v>
      </c>
      <c r="P28" s="18"/>
      <c r="Q28" s="18"/>
      <c r="R28" s="18"/>
    </row>
    <row r="29" spans="1:18" x14ac:dyDescent="0.25">
      <c r="A29" s="18" t="s">
        <v>489</v>
      </c>
      <c r="B29" s="18" t="s">
        <v>489</v>
      </c>
      <c r="C29" s="18" t="s">
        <v>492</v>
      </c>
      <c r="D29" s="18" t="s">
        <v>1384</v>
      </c>
      <c r="E29" s="18" t="s">
        <v>375</v>
      </c>
      <c r="F29" s="18"/>
      <c r="G29" s="18" t="s">
        <v>491</v>
      </c>
      <c r="H29" s="18" t="s">
        <v>374</v>
      </c>
      <c r="I29" s="18" t="s">
        <v>2176</v>
      </c>
      <c r="J29" s="18"/>
      <c r="K29" s="18"/>
      <c r="L29" s="18"/>
      <c r="M29" s="18"/>
      <c r="N29" s="18"/>
      <c r="O29" s="18" t="s">
        <v>746</v>
      </c>
      <c r="P29" s="18"/>
      <c r="Q29" s="18"/>
      <c r="R29" s="18"/>
    </row>
    <row r="30" spans="1:18" x14ac:dyDescent="0.25">
      <c r="A30" t="s">
        <v>208</v>
      </c>
      <c r="B30" t="s">
        <v>208</v>
      </c>
      <c r="C30" t="s">
        <v>272</v>
      </c>
      <c r="D30" t="s">
        <v>1179</v>
      </c>
      <c r="E30" t="s">
        <v>233</v>
      </c>
      <c r="F30" t="s">
        <v>274</v>
      </c>
      <c r="G30" t="s">
        <v>273</v>
      </c>
      <c r="H30" t="s">
        <v>10</v>
      </c>
      <c r="I30" t="s">
        <v>1752</v>
      </c>
      <c r="L30" t="s">
        <v>770</v>
      </c>
      <c r="M30" t="s">
        <v>1531</v>
      </c>
      <c r="N30" t="s">
        <v>707</v>
      </c>
      <c r="O30" t="s">
        <v>710</v>
      </c>
      <c r="P30" t="s">
        <v>807</v>
      </c>
      <c r="R30" t="s">
        <v>2042</v>
      </c>
    </row>
    <row r="31" spans="1:18" x14ac:dyDescent="0.25">
      <c r="A31" t="s">
        <v>795</v>
      </c>
      <c r="B31" t="s">
        <v>161</v>
      </c>
      <c r="C31" t="s">
        <v>162</v>
      </c>
      <c r="D31" t="s">
        <v>1192</v>
      </c>
      <c r="E31" t="s">
        <v>11</v>
      </c>
      <c r="F31" t="s">
        <v>34</v>
      </c>
      <c r="G31" t="s">
        <v>157</v>
      </c>
      <c r="H31" t="s">
        <v>10</v>
      </c>
      <c r="I31" t="s">
        <v>1993</v>
      </c>
      <c r="L31" t="s">
        <v>794</v>
      </c>
      <c r="M31" t="s">
        <v>2049</v>
      </c>
      <c r="N31" s="22" t="s">
        <v>2050</v>
      </c>
      <c r="O31" t="s">
        <v>746</v>
      </c>
      <c r="P31" t="s">
        <v>2310</v>
      </c>
      <c r="R31" t="s">
        <v>2051</v>
      </c>
    </row>
    <row r="32" spans="1:18" s="18" customFormat="1" x14ac:dyDescent="0.25">
      <c r="A32" s="18" t="s">
        <v>499</v>
      </c>
      <c r="B32" s="18" t="s">
        <v>499</v>
      </c>
      <c r="C32" s="18" t="s">
        <v>500</v>
      </c>
      <c r="D32" s="18" t="s">
        <v>1293</v>
      </c>
      <c r="E32" s="18" t="s">
        <v>375</v>
      </c>
      <c r="G32" s="18" t="s">
        <v>498</v>
      </c>
      <c r="H32" s="18" t="s">
        <v>374</v>
      </c>
      <c r="I32" s="18" t="s">
        <v>2115</v>
      </c>
      <c r="O32" s="18" t="s">
        <v>746</v>
      </c>
    </row>
    <row r="33" spans="1:18" x14ac:dyDescent="0.25">
      <c r="A33" t="s">
        <v>39</v>
      </c>
      <c r="B33" t="s">
        <v>39</v>
      </c>
      <c r="C33" t="s">
        <v>40</v>
      </c>
      <c r="D33" t="s">
        <v>1320</v>
      </c>
      <c r="E33" t="s">
        <v>11</v>
      </c>
      <c r="F33" t="s">
        <v>17</v>
      </c>
      <c r="G33" t="s">
        <v>16</v>
      </c>
      <c r="H33" t="s">
        <v>10</v>
      </c>
      <c r="I33" t="s">
        <v>2133</v>
      </c>
      <c r="J33" t="s">
        <v>1587</v>
      </c>
      <c r="K33" t="s">
        <v>1750</v>
      </c>
      <c r="L33" t="s">
        <v>1030</v>
      </c>
      <c r="M33" t="s">
        <v>1026</v>
      </c>
      <c r="N33" s="22" t="s">
        <v>1029</v>
      </c>
      <c r="O33" t="s">
        <v>710</v>
      </c>
      <c r="P33" t="s">
        <v>772</v>
      </c>
      <c r="R33" t="s">
        <v>2018</v>
      </c>
    </row>
    <row r="34" spans="1:18" s="18" customFormat="1" x14ac:dyDescent="0.25">
      <c r="A34" t="s">
        <v>785</v>
      </c>
      <c r="B34" t="s">
        <v>275</v>
      </c>
      <c r="C34" t="s">
        <v>276</v>
      </c>
      <c r="D34" t="s">
        <v>1161</v>
      </c>
      <c r="E34" t="s">
        <v>233</v>
      </c>
      <c r="F34" t="s">
        <v>274</v>
      </c>
      <c r="G34" t="s">
        <v>64</v>
      </c>
      <c r="H34" t="s">
        <v>10</v>
      </c>
      <c r="I34" t="s">
        <v>2032</v>
      </c>
      <c r="J34"/>
      <c r="K34"/>
      <c r="L34" t="s">
        <v>786</v>
      </c>
      <c r="M34"/>
      <c r="N34" t="s">
        <v>707</v>
      </c>
      <c r="O34" t="s">
        <v>746</v>
      </c>
      <c r="P34" t="s">
        <v>807</v>
      </c>
      <c r="Q34"/>
      <c r="R34" t="s">
        <v>2033</v>
      </c>
    </row>
    <row r="35" spans="1:18" s="18" customFormat="1" x14ac:dyDescent="0.25">
      <c r="A35" t="s">
        <v>39</v>
      </c>
      <c r="B35" t="s">
        <v>39</v>
      </c>
      <c r="C35" t="s">
        <v>77</v>
      </c>
      <c r="D35" t="s">
        <v>1323</v>
      </c>
      <c r="E35" t="s">
        <v>11</v>
      </c>
      <c r="F35" t="s">
        <v>13</v>
      </c>
      <c r="G35" t="s">
        <v>64</v>
      </c>
      <c r="H35" t="s">
        <v>10</v>
      </c>
      <c r="I35" t="s">
        <v>2133</v>
      </c>
      <c r="J35"/>
      <c r="K35"/>
      <c r="L35" t="s">
        <v>1030</v>
      </c>
      <c r="M35"/>
      <c r="N35" s="22" t="s">
        <v>1035</v>
      </c>
      <c r="O35" t="s">
        <v>710</v>
      </c>
      <c r="P35" t="s">
        <v>772</v>
      </c>
      <c r="Q35"/>
      <c r="R35" t="s">
        <v>2018</v>
      </c>
    </row>
    <row r="36" spans="1:18" x14ac:dyDescent="0.2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25">
      <c r="A37" s="18" t="s">
        <v>886</v>
      </c>
      <c r="B37" s="18" t="s">
        <v>676</v>
      </c>
      <c r="C37" s="18" t="s">
        <v>677</v>
      </c>
      <c r="D37" s="18" t="s">
        <v>1335</v>
      </c>
      <c r="E37" s="18" t="s">
        <v>375</v>
      </c>
      <c r="F37" s="18"/>
      <c r="G37" s="18" t="s">
        <v>678</v>
      </c>
      <c r="H37" s="18" t="s">
        <v>374</v>
      </c>
      <c r="I37" s="18" t="s">
        <v>2144</v>
      </c>
      <c r="J37" s="18"/>
      <c r="K37" s="18"/>
      <c r="L37" s="18"/>
      <c r="M37" s="18"/>
      <c r="N37" s="18"/>
      <c r="O37" s="18" t="s">
        <v>746</v>
      </c>
      <c r="P37" s="18"/>
      <c r="Q37" s="18"/>
      <c r="R37" s="18"/>
    </row>
    <row r="38" spans="1:18" x14ac:dyDescent="0.25">
      <c r="A38" t="s">
        <v>714</v>
      </c>
      <c r="B38" t="s">
        <v>281</v>
      </c>
      <c r="C38" t="s">
        <v>282</v>
      </c>
      <c r="D38" t="s">
        <v>1243</v>
      </c>
      <c r="E38" t="s">
        <v>233</v>
      </c>
      <c r="F38" t="s">
        <v>255</v>
      </c>
      <c r="G38" t="s">
        <v>244</v>
      </c>
      <c r="H38" t="s">
        <v>10</v>
      </c>
      <c r="I38" t="s">
        <v>2085</v>
      </c>
      <c r="L38" t="s">
        <v>951</v>
      </c>
      <c r="M38" t="s">
        <v>707</v>
      </c>
      <c r="N38" t="s">
        <v>707</v>
      </c>
      <c r="O38" t="s">
        <v>746</v>
      </c>
      <c r="P38" t="s">
        <v>807</v>
      </c>
      <c r="R38" t="s">
        <v>2304</v>
      </c>
    </row>
    <row r="39" spans="1:18" s="18" customFormat="1" x14ac:dyDescent="0.25">
      <c r="A39" t="s">
        <v>715</v>
      </c>
      <c r="B39" t="s">
        <v>142</v>
      </c>
      <c r="C39" t="s">
        <v>283</v>
      </c>
      <c r="D39" t="s">
        <v>1252</v>
      </c>
      <c r="E39" t="s">
        <v>233</v>
      </c>
      <c r="F39" t="s">
        <v>274</v>
      </c>
      <c r="G39" t="s">
        <v>284</v>
      </c>
      <c r="H39" t="s">
        <v>10</v>
      </c>
      <c r="I39" t="s">
        <v>2086</v>
      </c>
      <c r="J39"/>
      <c r="K39"/>
      <c r="L39" t="s">
        <v>962</v>
      </c>
      <c r="M39" t="s">
        <v>967</v>
      </c>
      <c r="N39" t="s">
        <v>707</v>
      </c>
      <c r="O39" t="s">
        <v>710</v>
      </c>
      <c r="P39" t="s">
        <v>2396</v>
      </c>
      <c r="Q39" t="s">
        <v>2434</v>
      </c>
      <c r="R39" t="s">
        <v>2448</v>
      </c>
    </row>
    <row r="40" spans="1:18" s="18" customFormat="1" x14ac:dyDescent="0.25">
      <c r="A40" t="s">
        <v>14</v>
      </c>
      <c r="B40" t="s">
        <v>14</v>
      </c>
      <c r="C40" t="s">
        <v>65</v>
      </c>
      <c r="D40" t="s">
        <v>1125</v>
      </c>
      <c r="E40" t="s">
        <v>11</v>
      </c>
      <c r="F40" t="s">
        <v>13</v>
      </c>
      <c r="G40" t="s">
        <v>64</v>
      </c>
      <c r="H40" t="s">
        <v>10</v>
      </c>
      <c r="I40" t="s">
        <v>2016</v>
      </c>
      <c r="J40"/>
      <c r="K40"/>
      <c r="L40" s="2" t="s">
        <v>768</v>
      </c>
      <c r="M40" s="2" t="s">
        <v>1506</v>
      </c>
      <c r="N40" s="2" t="s">
        <v>1507</v>
      </c>
      <c r="O40" t="s">
        <v>710</v>
      </c>
      <c r="P40" t="s">
        <v>772</v>
      </c>
      <c r="Q40"/>
      <c r="R40" t="s">
        <v>2018</v>
      </c>
    </row>
    <row r="41" spans="1:18" x14ac:dyDescent="0.25">
      <c r="A41" s="18" t="s">
        <v>408</v>
      </c>
      <c r="B41" s="18" t="s">
        <v>408</v>
      </c>
      <c r="C41" s="18" t="s">
        <v>409</v>
      </c>
      <c r="D41" s="18" t="s">
        <v>1258</v>
      </c>
      <c r="E41" s="18" t="s">
        <v>375</v>
      </c>
      <c r="F41" s="18"/>
      <c r="G41" s="18" t="s">
        <v>410</v>
      </c>
      <c r="H41" s="18" t="s">
        <v>374</v>
      </c>
      <c r="I41" s="18" t="s">
        <v>2092</v>
      </c>
      <c r="J41" s="18"/>
      <c r="K41" s="18"/>
      <c r="L41" s="18"/>
      <c r="M41" s="18"/>
      <c r="N41" s="18"/>
      <c r="O41" s="18" t="s">
        <v>746</v>
      </c>
      <c r="P41" s="18"/>
      <c r="Q41" s="18"/>
      <c r="R41" s="18"/>
    </row>
    <row r="42" spans="1:18" s="18" customFormat="1" x14ac:dyDescent="0.25">
      <c r="A42" t="s">
        <v>861</v>
      </c>
      <c r="B42" t="s">
        <v>163</v>
      </c>
      <c r="C42" t="s">
        <v>164</v>
      </c>
      <c r="D42" t="s">
        <v>1282</v>
      </c>
      <c r="E42" t="s">
        <v>11</v>
      </c>
      <c r="F42" t="s">
        <v>19</v>
      </c>
      <c r="G42" t="s">
        <v>157</v>
      </c>
      <c r="H42" t="s">
        <v>10</v>
      </c>
      <c r="I42" t="s">
        <v>2105</v>
      </c>
      <c r="J42"/>
      <c r="K42"/>
      <c r="L42" s="22" t="s">
        <v>995</v>
      </c>
      <c r="M42" s="2" t="s">
        <v>1064</v>
      </c>
      <c r="N42" s="22" t="s">
        <v>996</v>
      </c>
      <c r="O42" t="s">
        <v>746</v>
      </c>
      <c r="P42" t="s">
        <v>2310</v>
      </c>
      <c r="Q42"/>
      <c r="R42" t="s">
        <v>2318</v>
      </c>
    </row>
    <row r="43" spans="1:18" x14ac:dyDescent="0.25">
      <c r="A43" t="s">
        <v>8</v>
      </c>
      <c r="B43" t="s">
        <v>8</v>
      </c>
      <c r="C43" t="s">
        <v>72</v>
      </c>
      <c r="D43" t="s">
        <v>1263</v>
      </c>
      <c r="E43" t="s">
        <v>11</v>
      </c>
      <c r="F43" t="s">
        <v>13</v>
      </c>
      <c r="G43" t="s">
        <v>64</v>
      </c>
      <c r="H43" t="s">
        <v>10</v>
      </c>
      <c r="I43" t="s">
        <v>1895</v>
      </c>
      <c r="L43" t="s">
        <v>722</v>
      </c>
      <c r="M43" t="s">
        <v>973</v>
      </c>
      <c r="N43" s="22" t="s">
        <v>975</v>
      </c>
      <c r="O43" t="s">
        <v>710</v>
      </c>
      <c r="R43" t="s">
        <v>2097</v>
      </c>
    </row>
    <row r="44" spans="1:18" x14ac:dyDescent="0.25">
      <c r="A44" s="18" t="s">
        <v>395</v>
      </c>
      <c r="B44" s="18" t="s">
        <v>395</v>
      </c>
      <c r="C44" s="18" t="s">
        <v>396</v>
      </c>
      <c r="D44" s="18" t="s">
        <v>1441</v>
      </c>
      <c r="E44" s="18" t="s">
        <v>375</v>
      </c>
      <c r="F44" s="18"/>
      <c r="G44" s="18" t="s">
        <v>397</v>
      </c>
      <c r="H44" s="18" t="s">
        <v>374</v>
      </c>
      <c r="I44" s="18" t="s">
        <v>2205</v>
      </c>
      <c r="J44" s="18"/>
      <c r="K44" s="18"/>
      <c r="L44" s="18"/>
      <c r="M44" s="18"/>
      <c r="N44" s="18"/>
      <c r="O44" s="18" t="s">
        <v>746</v>
      </c>
      <c r="P44" s="18"/>
      <c r="Q44" s="18"/>
      <c r="R44" s="18"/>
    </row>
    <row r="45" spans="1:18" x14ac:dyDescent="0.25">
      <c r="A45" t="s">
        <v>715</v>
      </c>
      <c r="B45" t="s">
        <v>142</v>
      </c>
      <c r="C45" t="s">
        <v>285</v>
      </c>
      <c r="D45" t="s">
        <v>1250</v>
      </c>
      <c r="E45" t="s">
        <v>233</v>
      </c>
      <c r="F45" t="s">
        <v>274</v>
      </c>
      <c r="G45" t="s">
        <v>286</v>
      </c>
      <c r="H45" t="s">
        <v>10</v>
      </c>
      <c r="I45" t="s">
        <v>2086</v>
      </c>
      <c r="L45" t="s">
        <v>962</v>
      </c>
      <c r="M45" t="s">
        <v>966</v>
      </c>
      <c r="N45" t="s">
        <v>707</v>
      </c>
      <c r="O45" t="s">
        <v>710</v>
      </c>
      <c r="P45" t="s">
        <v>2396</v>
      </c>
      <c r="Q45" t="s">
        <v>2434</v>
      </c>
      <c r="R45" t="s">
        <v>2449</v>
      </c>
    </row>
    <row r="46" spans="1:18" x14ac:dyDescent="0.25">
      <c r="A46" t="s">
        <v>208</v>
      </c>
      <c r="B46" t="s">
        <v>208</v>
      </c>
      <c r="C46" t="s">
        <v>209</v>
      </c>
      <c r="D46" t="s">
        <v>1175</v>
      </c>
      <c r="E46" t="s">
        <v>11</v>
      </c>
      <c r="F46" t="s">
        <v>44</v>
      </c>
      <c r="G46" t="s">
        <v>210</v>
      </c>
      <c r="H46" t="s">
        <v>10</v>
      </c>
      <c r="I46" t="s">
        <v>1752</v>
      </c>
      <c r="L46" t="s">
        <v>770</v>
      </c>
      <c r="M46" t="s">
        <v>1528</v>
      </c>
      <c r="N46" t="s">
        <v>829</v>
      </c>
      <c r="O46" t="s">
        <v>710</v>
      </c>
      <c r="P46" t="s">
        <v>807</v>
      </c>
      <c r="R46" t="s">
        <v>2042</v>
      </c>
    </row>
    <row r="47" spans="1:18" x14ac:dyDescent="0.25">
      <c r="A47" t="s">
        <v>719</v>
      </c>
      <c r="B47" t="s">
        <v>178</v>
      </c>
      <c r="C47" t="s">
        <v>190</v>
      </c>
      <c r="D47" t="s">
        <v>1420</v>
      </c>
      <c r="E47" t="s">
        <v>11</v>
      </c>
      <c r="F47" t="s">
        <v>21</v>
      </c>
      <c r="G47" t="s">
        <v>189</v>
      </c>
      <c r="H47" t="s">
        <v>10</v>
      </c>
      <c r="I47" t="s">
        <v>2191</v>
      </c>
      <c r="J47" t="s">
        <v>2192</v>
      </c>
      <c r="K47" t="s">
        <v>2193</v>
      </c>
      <c r="L47" t="s">
        <v>1472</v>
      </c>
      <c r="M47" t="s">
        <v>1475</v>
      </c>
      <c r="N47" t="s">
        <v>1476</v>
      </c>
      <c r="O47" t="s">
        <v>710</v>
      </c>
      <c r="P47" t="s">
        <v>2310</v>
      </c>
      <c r="R47" t="s">
        <v>2194</v>
      </c>
    </row>
    <row r="48" spans="1:18" s="18" customFormat="1" x14ac:dyDescent="0.25">
      <c r="A48" t="s">
        <v>719</v>
      </c>
      <c r="B48" t="s">
        <v>178</v>
      </c>
      <c r="C48" t="s">
        <v>191</v>
      </c>
      <c r="D48" t="s">
        <v>1423</v>
      </c>
      <c r="E48" t="s">
        <v>11</v>
      </c>
      <c r="F48" t="s">
        <v>44</v>
      </c>
      <c r="G48" t="s">
        <v>189</v>
      </c>
      <c r="H48" t="s">
        <v>10</v>
      </c>
      <c r="I48" t="s">
        <v>2191</v>
      </c>
      <c r="J48" t="s">
        <v>2192</v>
      </c>
      <c r="K48" t="s">
        <v>2193</v>
      </c>
      <c r="L48" t="s">
        <v>1472</v>
      </c>
      <c r="M48" t="s">
        <v>1475</v>
      </c>
      <c r="N48" s="22" t="s">
        <v>1476</v>
      </c>
      <c r="O48" t="s">
        <v>710</v>
      </c>
      <c r="P48" t="s">
        <v>2310</v>
      </c>
      <c r="Q48"/>
      <c r="R48" t="s">
        <v>2194</v>
      </c>
    </row>
    <row r="49" spans="1:18" s="18" customFormat="1" x14ac:dyDescent="0.25">
      <c r="A49" t="s">
        <v>155</v>
      </c>
      <c r="B49" t="s">
        <v>287</v>
      </c>
      <c r="C49" t="s">
        <v>288</v>
      </c>
      <c r="D49" t="s">
        <v>1155</v>
      </c>
      <c r="E49" t="s">
        <v>233</v>
      </c>
      <c r="F49" t="s">
        <v>255</v>
      </c>
      <c r="G49" t="s">
        <v>244</v>
      </c>
      <c r="H49" t="s">
        <v>10</v>
      </c>
      <c r="I49" t="s">
        <v>2030</v>
      </c>
      <c r="J49"/>
      <c r="K49"/>
      <c r="L49" t="s">
        <v>812</v>
      </c>
      <c r="M49"/>
      <c r="N49" t="s">
        <v>707</v>
      </c>
      <c r="O49" t="s">
        <v>747</v>
      </c>
      <c r="P49" t="s">
        <v>2396</v>
      </c>
      <c r="Q49"/>
      <c r="R49" t="s">
        <v>2413</v>
      </c>
    </row>
    <row r="50" spans="1:18" s="18" customFormat="1" x14ac:dyDescent="0.25">
      <c r="A50" t="s">
        <v>155</v>
      </c>
      <c r="B50" t="s">
        <v>287</v>
      </c>
      <c r="C50" t="s">
        <v>289</v>
      </c>
      <c r="D50" t="s">
        <v>1156</v>
      </c>
      <c r="E50" t="s">
        <v>233</v>
      </c>
      <c r="F50" t="s">
        <v>255</v>
      </c>
      <c r="G50" t="s">
        <v>244</v>
      </c>
      <c r="H50" t="s">
        <v>10</v>
      </c>
      <c r="I50" t="s">
        <v>2030</v>
      </c>
      <c r="J50"/>
      <c r="K50"/>
      <c r="L50" t="s">
        <v>812</v>
      </c>
      <c r="M50"/>
      <c r="N50" t="s">
        <v>707</v>
      </c>
      <c r="O50" t="s">
        <v>747</v>
      </c>
      <c r="P50" t="s">
        <v>2396</v>
      </c>
      <c r="Q50"/>
      <c r="R50" t="s">
        <v>2413</v>
      </c>
    </row>
    <row r="51" spans="1:18" s="34" customFormat="1" x14ac:dyDescent="0.25">
      <c r="A51" s="34" t="s">
        <v>719</v>
      </c>
      <c r="B51" s="34" t="s">
        <v>178</v>
      </c>
      <c r="C51" s="34" t="s">
        <v>192</v>
      </c>
      <c r="D51" s="34" t="s">
        <v>1421</v>
      </c>
      <c r="E51" s="34" t="s">
        <v>11</v>
      </c>
      <c r="F51" s="34" t="s">
        <v>44</v>
      </c>
      <c r="G51" s="34" t="s">
        <v>189</v>
      </c>
      <c r="H51" s="34" t="s">
        <v>10</v>
      </c>
      <c r="I51" s="34" t="s">
        <v>2191</v>
      </c>
      <c r="J51" s="34" t="s">
        <v>2192</v>
      </c>
      <c r="K51" s="34" t="s">
        <v>2193</v>
      </c>
      <c r="L51" s="34" t="s">
        <v>1472</v>
      </c>
      <c r="M51" s="34" t="s">
        <v>1475</v>
      </c>
      <c r="N51" s="34" t="s">
        <v>1476</v>
      </c>
      <c r="O51" s="34" t="s">
        <v>710</v>
      </c>
      <c r="P51" s="34" t="s">
        <v>2310</v>
      </c>
      <c r="R51" s="34" t="s">
        <v>2194</v>
      </c>
    </row>
    <row r="52" spans="1:18" s="34" customFormat="1" x14ac:dyDescent="0.25">
      <c r="A52" s="34" t="s">
        <v>719</v>
      </c>
      <c r="B52" s="34" t="s">
        <v>178</v>
      </c>
      <c r="C52" s="34" t="s">
        <v>192</v>
      </c>
      <c r="D52" s="34" t="s">
        <v>1427</v>
      </c>
      <c r="E52" s="34" t="s">
        <v>233</v>
      </c>
      <c r="F52" s="34" t="s">
        <v>44</v>
      </c>
      <c r="G52" s="34" t="s">
        <v>291</v>
      </c>
      <c r="H52" s="34" t="s">
        <v>10</v>
      </c>
      <c r="I52" s="34" t="s">
        <v>2191</v>
      </c>
      <c r="J52" s="34" t="s">
        <v>2192</v>
      </c>
      <c r="K52" s="34" t="s">
        <v>2193</v>
      </c>
      <c r="L52" s="34" t="s">
        <v>1472</v>
      </c>
      <c r="M52" s="34" t="s">
        <v>1475</v>
      </c>
      <c r="N52" s="34" t="s">
        <v>707</v>
      </c>
      <c r="O52" s="34" t="s">
        <v>710</v>
      </c>
      <c r="P52" s="34" t="s">
        <v>2310</v>
      </c>
      <c r="R52" s="34" t="s">
        <v>2194</v>
      </c>
    </row>
    <row r="53" spans="1:18" x14ac:dyDescent="0.25">
      <c r="A53" t="s">
        <v>717</v>
      </c>
      <c r="B53" t="s">
        <v>79</v>
      </c>
      <c r="C53" t="s">
        <v>132</v>
      </c>
      <c r="D53" t="s">
        <v>1270</v>
      </c>
      <c r="E53" t="s">
        <v>11</v>
      </c>
      <c r="F53" t="s">
        <v>21</v>
      </c>
      <c r="G53" t="s">
        <v>130</v>
      </c>
      <c r="H53" t="s">
        <v>10</v>
      </c>
      <c r="I53" t="s">
        <v>1848</v>
      </c>
      <c r="L53" t="s">
        <v>980</v>
      </c>
      <c r="M53" t="s">
        <v>707</v>
      </c>
      <c r="N53" t="s">
        <v>984</v>
      </c>
      <c r="O53" t="s">
        <v>710</v>
      </c>
      <c r="P53" t="s">
        <v>2310</v>
      </c>
      <c r="R53" t="s">
        <v>2099</v>
      </c>
    </row>
    <row r="54" spans="1:18" s="18" customFormat="1" x14ac:dyDescent="0.25">
      <c r="A54" s="18" t="s">
        <v>650</v>
      </c>
      <c r="B54" s="18" t="s">
        <v>650</v>
      </c>
      <c r="C54" s="18" t="s">
        <v>651</v>
      </c>
      <c r="D54" s="18" t="s">
        <v>1279</v>
      </c>
      <c r="E54" s="18" t="s">
        <v>375</v>
      </c>
      <c r="G54" s="18" t="s">
        <v>652</v>
      </c>
      <c r="H54" s="18" t="s">
        <v>374</v>
      </c>
      <c r="I54" s="18" t="s">
        <v>2104</v>
      </c>
      <c r="O54" s="18" t="s">
        <v>746</v>
      </c>
    </row>
    <row r="55" spans="1:18" s="18" customFormat="1" x14ac:dyDescent="0.25">
      <c r="B55" s="18" t="s">
        <v>592</v>
      </c>
      <c r="C55" s="18" t="s">
        <v>593</v>
      </c>
      <c r="D55" s="18" t="s">
        <v>1180</v>
      </c>
      <c r="E55" s="18" t="s">
        <v>375</v>
      </c>
      <c r="G55" s="18" t="s">
        <v>594</v>
      </c>
      <c r="H55" s="18" t="s">
        <v>374</v>
      </c>
      <c r="O55" s="18" t="s">
        <v>746</v>
      </c>
    </row>
    <row r="56" spans="1:18" x14ac:dyDescent="0.25">
      <c r="A56" s="18" t="s">
        <v>867</v>
      </c>
      <c r="B56" s="18" t="s">
        <v>571</v>
      </c>
      <c r="C56" s="18" t="s">
        <v>572</v>
      </c>
      <c r="D56" s="18" t="s">
        <v>1295</v>
      </c>
      <c r="E56" s="18" t="s">
        <v>375</v>
      </c>
      <c r="F56" s="18"/>
      <c r="G56" s="18" t="s">
        <v>573</v>
      </c>
      <c r="H56" s="18" t="s">
        <v>374</v>
      </c>
      <c r="I56" s="18" t="s">
        <v>2117</v>
      </c>
      <c r="J56" s="18"/>
      <c r="K56" s="18"/>
      <c r="L56" s="18"/>
      <c r="M56" s="18"/>
      <c r="N56" s="18"/>
      <c r="O56" s="18" t="s">
        <v>746</v>
      </c>
      <c r="P56" s="18"/>
      <c r="Q56" s="18"/>
      <c r="R56" s="18"/>
    </row>
    <row r="57" spans="1:18" x14ac:dyDescent="0.25">
      <c r="A57" t="s">
        <v>719</v>
      </c>
      <c r="B57" t="s">
        <v>178</v>
      </c>
      <c r="C57" t="s">
        <v>193</v>
      </c>
      <c r="D57" t="s">
        <v>1422</v>
      </c>
      <c r="E57" t="s">
        <v>11</v>
      </c>
      <c r="F57" t="s">
        <v>44</v>
      </c>
      <c r="G57" t="s">
        <v>189</v>
      </c>
      <c r="H57" t="s">
        <v>10</v>
      </c>
      <c r="I57" t="s">
        <v>2191</v>
      </c>
      <c r="J57" t="s">
        <v>2192</v>
      </c>
      <c r="K57" t="s">
        <v>2193</v>
      </c>
      <c r="L57" t="s">
        <v>1472</v>
      </c>
      <c r="M57" t="s">
        <v>1475</v>
      </c>
      <c r="N57" s="22" t="s">
        <v>1476</v>
      </c>
      <c r="O57" t="s">
        <v>710</v>
      </c>
      <c r="P57" t="s">
        <v>2310</v>
      </c>
      <c r="R57" t="s">
        <v>2194</v>
      </c>
    </row>
    <row r="58" spans="1:18" x14ac:dyDescent="0.25">
      <c r="A58" s="18" t="s">
        <v>880</v>
      </c>
      <c r="B58" s="18" t="s">
        <v>596</v>
      </c>
      <c r="C58" s="18" t="s">
        <v>597</v>
      </c>
      <c r="D58" s="18" t="s">
        <v>1328</v>
      </c>
      <c r="E58" s="18" t="s">
        <v>375</v>
      </c>
      <c r="F58" s="18"/>
      <c r="G58" s="18" t="s">
        <v>598</v>
      </c>
      <c r="H58" s="18" t="s">
        <v>374</v>
      </c>
      <c r="I58" s="18" t="s">
        <v>2137</v>
      </c>
      <c r="J58" s="18"/>
      <c r="K58" s="18"/>
      <c r="L58" s="18"/>
      <c r="M58" s="18"/>
      <c r="N58" s="18"/>
      <c r="O58" s="18" t="s">
        <v>746</v>
      </c>
      <c r="P58" s="18"/>
      <c r="Q58" s="18"/>
      <c r="R58" s="18"/>
    </row>
    <row r="59" spans="1:18" s="18" customFormat="1" x14ac:dyDescent="0.25">
      <c r="A59" s="18" t="s">
        <v>850</v>
      </c>
      <c r="B59" s="18" t="s">
        <v>558</v>
      </c>
      <c r="C59" s="18" t="s">
        <v>559</v>
      </c>
      <c r="D59" s="18" t="s">
        <v>1235</v>
      </c>
      <c r="E59" s="18" t="s">
        <v>375</v>
      </c>
      <c r="G59" s="18" t="s">
        <v>560</v>
      </c>
      <c r="H59" s="18" t="s">
        <v>374</v>
      </c>
      <c r="I59" s="18" t="s">
        <v>2081</v>
      </c>
      <c r="O59" s="18" t="s">
        <v>746</v>
      </c>
    </row>
    <row r="60" spans="1:18" s="18" customFormat="1" x14ac:dyDescent="0.25">
      <c r="A60" s="18" t="s">
        <v>845</v>
      </c>
      <c r="B60" s="18" t="s">
        <v>458</v>
      </c>
      <c r="C60" s="18" t="s">
        <v>459</v>
      </c>
      <c r="D60" s="18" t="s">
        <v>1227</v>
      </c>
      <c r="E60" s="18" t="s">
        <v>375</v>
      </c>
      <c r="G60" s="18" t="s">
        <v>460</v>
      </c>
      <c r="H60" s="18" t="s">
        <v>374</v>
      </c>
      <c r="I60" s="18" t="s">
        <v>2074</v>
      </c>
      <c r="O60" s="18" t="s">
        <v>746</v>
      </c>
    </row>
    <row r="61" spans="1:18" s="18" customFormat="1" x14ac:dyDescent="0.25">
      <c r="A61" t="s">
        <v>261</v>
      </c>
      <c r="B61" t="s">
        <v>261</v>
      </c>
      <c r="C61" t="s">
        <v>293</v>
      </c>
      <c r="D61" t="s">
        <v>1138</v>
      </c>
      <c r="E61" t="s">
        <v>233</v>
      </c>
      <c r="F61" t="s">
        <v>249</v>
      </c>
      <c r="G61" t="s">
        <v>252</v>
      </c>
      <c r="H61" t="s">
        <v>10</v>
      </c>
      <c r="I61" t="s">
        <v>1948</v>
      </c>
      <c r="J61"/>
      <c r="K61"/>
      <c r="L61" t="s">
        <v>738</v>
      </c>
      <c r="M61" t="s">
        <v>2020</v>
      </c>
      <c r="N61" t="s">
        <v>707</v>
      </c>
      <c r="O61" t="s">
        <v>746</v>
      </c>
      <c r="P61" t="s">
        <v>807</v>
      </c>
      <c r="Q61"/>
      <c r="R61" t="s">
        <v>2021</v>
      </c>
    </row>
    <row r="62" spans="1:18" s="18" customFormat="1" x14ac:dyDescent="0.25">
      <c r="A62" t="s">
        <v>14</v>
      </c>
      <c r="B62" t="s">
        <v>14</v>
      </c>
      <c r="C62" t="s">
        <v>18</v>
      </c>
      <c r="D62" t="s">
        <v>1127</v>
      </c>
      <c r="E62" t="s">
        <v>11</v>
      </c>
      <c r="F62" t="s">
        <v>19</v>
      </c>
      <c r="G62" t="s">
        <v>16</v>
      </c>
      <c r="H62" t="s">
        <v>10</v>
      </c>
      <c r="I62" t="s">
        <v>2016</v>
      </c>
      <c r="J62"/>
      <c r="K62"/>
      <c r="L62" s="2" t="s">
        <v>768</v>
      </c>
      <c r="M62" s="2" t="s">
        <v>1502</v>
      </c>
      <c r="N62" s="2" t="s">
        <v>1503</v>
      </c>
      <c r="O62" t="s">
        <v>710</v>
      </c>
      <c r="P62" t="s">
        <v>772</v>
      </c>
      <c r="Q62"/>
      <c r="R62" t="s">
        <v>2018</v>
      </c>
    </row>
    <row r="63" spans="1:18" s="18" customFormat="1" x14ac:dyDescent="0.25">
      <c r="A63" t="s">
        <v>718</v>
      </c>
      <c r="B63" t="s">
        <v>151</v>
      </c>
      <c r="C63" t="s">
        <v>152</v>
      </c>
      <c r="D63" t="s">
        <v>1354</v>
      </c>
      <c r="E63" t="s">
        <v>11</v>
      </c>
      <c r="F63" t="s">
        <v>148</v>
      </c>
      <c r="G63" t="s">
        <v>147</v>
      </c>
      <c r="H63" t="s">
        <v>10</v>
      </c>
      <c r="I63" t="s">
        <v>2149</v>
      </c>
      <c r="J63"/>
      <c r="K63"/>
      <c r="L63" t="s">
        <v>1055</v>
      </c>
      <c r="M63" t="s">
        <v>1059</v>
      </c>
      <c r="N63" s="22" t="s">
        <v>1060</v>
      </c>
      <c r="O63" t="s">
        <v>749</v>
      </c>
      <c r="P63" t="s">
        <v>2310</v>
      </c>
      <c r="Q63" t="s">
        <v>2475</v>
      </c>
      <c r="R63" t="s">
        <v>2280</v>
      </c>
    </row>
    <row r="64" spans="1:18" s="18" customFormat="1" x14ac:dyDescent="0.25">
      <c r="A64" s="18" t="s">
        <v>875</v>
      </c>
      <c r="B64" s="18" t="s">
        <v>537</v>
      </c>
      <c r="C64" s="18" t="s">
        <v>538</v>
      </c>
      <c r="D64" s="18" t="s">
        <v>1307</v>
      </c>
      <c r="E64" s="18" t="s">
        <v>375</v>
      </c>
      <c r="G64" s="18" t="s">
        <v>536</v>
      </c>
      <c r="H64" s="18" t="s">
        <v>374</v>
      </c>
      <c r="I64" s="18" t="s">
        <v>2127</v>
      </c>
      <c r="O64" s="18" t="s">
        <v>746</v>
      </c>
    </row>
    <row r="65" spans="1:18" x14ac:dyDescent="0.25">
      <c r="A65" t="s">
        <v>167</v>
      </c>
      <c r="B65" t="s">
        <v>167</v>
      </c>
      <c r="C65" t="s">
        <v>168</v>
      </c>
      <c r="D65" t="s">
        <v>1398</v>
      </c>
      <c r="E65" t="s">
        <v>11</v>
      </c>
      <c r="F65" t="s">
        <v>34</v>
      </c>
      <c r="G65" t="s">
        <v>157</v>
      </c>
      <c r="H65" t="s">
        <v>10</v>
      </c>
      <c r="I65" t="s">
        <v>2183</v>
      </c>
      <c r="L65" t="s">
        <v>1100</v>
      </c>
      <c r="M65" t="s">
        <v>707</v>
      </c>
      <c r="N65" s="22" t="s">
        <v>1101</v>
      </c>
      <c r="O65" t="s">
        <v>748</v>
      </c>
      <c r="P65" t="s">
        <v>720</v>
      </c>
      <c r="R65" t="s">
        <v>2367</v>
      </c>
    </row>
    <row r="66" spans="1:18" s="18" customFormat="1" x14ac:dyDescent="0.25">
      <c r="A66" t="s">
        <v>167</v>
      </c>
      <c r="B66" t="s">
        <v>167</v>
      </c>
      <c r="C66" t="s">
        <v>169</v>
      </c>
      <c r="D66" t="s">
        <v>1399</v>
      </c>
      <c r="E66" t="s">
        <v>11</v>
      </c>
      <c r="F66" t="s">
        <v>34</v>
      </c>
      <c r="G66" t="s">
        <v>157</v>
      </c>
      <c r="H66" t="s">
        <v>10</v>
      </c>
      <c r="I66" t="s">
        <v>2183</v>
      </c>
      <c r="J66"/>
      <c r="K66"/>
      <c r="L66" t="s">
        <v>1100</v>
      </c>
      <c r="M66"/>
      <c r="N66"/>
      <c r="O66" t="s">
        <v>748</v>
      </c>
      <c r="P66" t="s">
        <v>720</v>
      </c>
      <c r="Q66"/>
      <c r="R66" t="s">
        <v>2367</v>
      </c>
    </row>
    <row r="67" spans="1:18" s="18" customFormat="1" x14ac:dyDescent="0.25">
      <c r="A67" s="18" t="s">
        <v>564</v>
      </c>
      <c r="B67" s="18" t="s">
        <v>564</v>
      </c>
      <c r="C67" s="18" t="s">
        <v>565</v>
      </c>
      <c r="D67" s="18" t="s">
        <v>1297</v>
      </c>
      <c r="E67" s="18" t="s">
        <v>375</v>
      </c>
      <c r="G67" s="18" t="s">
        <v>566</v>
      </c>
      <c r="H67" s="18" t="s">
        <v>374</v>
      </c>
      <c r="I67" s="18" t="s">
        <v>2118</v>
      </c>
      <c r="O67" s="18" t="s">
        <v>746</v>
      </c>
    </row>
    <row r="68" spans="1:18" s="18" customFormat="1" x14ac:dyDescent="0.25">
      <c r="A68" t="s">
        <v>56</v>
      </c>
      <c r="B68" t="s">
        <v>56</v>
      </c>
      <c r="C68" t="s">
        <v>57</v>
      </c>
      <c r="D68" t="s">
        <v>1431</v>
      </c>
      <c r="E68" t="s">
        <v>11</v>
      </c>
      <c r="F68" t="s">
        <v>19</v>
      </c>
      <c r="G68" t="s">
        <v>16</v>
      </c>
      <c r="H68" t="s">
        <v>10</v>
      </c>
      <c r="I68" t="s">
        <v>2196</v>
      </c>
      <c r="J68"/>
      <c r="K68"/>
      <c r="L68" s="22" t="s">
        <v>1111</v>
      </c>
      <c r="M68"/>
      <c r="N68" s="22" t="s">
        <v>1112</v>
      </c>
      <c r="O68" t="s">
        <v>746</v>
      </c>
      <c r="P68" t="s">
        <v>720</v>
      </c>
      <c r="Q68"/>
      <c r="R68" t="s">
        <v>2372</v>
      </c>
    </row>
    <row r="69" spans="1:18" s="18" customFormat="1" x14ac:dyDescent="0.25">
      <c r="A69" t="s">
        <v>730</v>
      </c>
      <c r="B69" t="s">
        <v>58</v>
      </c>
      <c r="C69" t="s">
        <v>59</v>
      </c>
      <c r="D69" t="s">
        <v>1439</v>
      </c>
      <c r="E69" t="s">
        <v>11</v>
      </c>
      <c r="F69" t="s">
        <v>13</v>
      </c>
      <c r="G69" t="s">
        <v>16</v>
      </c>
      <c r="H69" t="s">
        <v>10</v>
      </c>
      <c r="I69" t="s">
        <v>2202</v>
      </c>
      <c r="J69"/>
      <c r="K69"/>
      <c r="L69" t="s">
        <v>729</v>
      </c>
      <c r="M69" t="s">
        <v>1487</v>
      </c>
      <c r="N69" s="22" t="s">
        <v>1489</v>
      </c>
      <c r="O69" t="s">
        <v>746</v>
      </c>
      <c r="P69" t="s">
        <v>772</v>
      </c>
      <c r="Q69"/>
      <c r="R69" t="s">
        <v>2203</v>
      </c>
    </row>
    <row r="70" spans="1:18" s="18" customFormat="1" x14ac:dyDescent="0.25">
      <c r="A70" s="18" t="s">
        <v>578</v>
      </c>
      <c r="B70" s="18" t="s">
        <v>578</v>
      </c>
      <c r="C70" s="18" t="s">
        <v>579</v>
      </c>
      <c r="D70" s="18" t="s">
        <v>1447</v>
      </c>
      <c r="E70" s="18" t="s">
        <v>375</v>
      </c>
      <c r="G70" s="18" t="s">
        <v>580</v>
      </c>
      <c r="H70" s="18" t="s">
        <v>374</v>
      </c>
      <c r="I70" s="18" t="s">
        <v>2206</v>
      </c>
      <c r="O70" s="18" t="s">
        <v>746</v>
      </c>
    </row>
    <row r="71" spans="1:18" x14ac:dyDescent="0.25">
      <c r="A71" s="18" t="s">
        <v>452</v>
      </c>
      <c r="B71" s="18" t="s">
        <v>452</v>
      </c>
      <c r="C71" s="18" t="s">
        <v>453</v>
      </c>
      <c r="D71" s="18" t="s">
        <v>1288</v>
      </c>
      <c r="E71" s="18" t="s">
        <v>375</v>
      </c>
      <c r="F71" s="18"/>
      <c r="G71" s="18" t="s">
        <v>454</v>
      </c>
      <c r="H71" s="18" t="s">
        <v>374</v>
      </c>
      <c r="I71" s="18" t="s">
        <v>2110</v>
      </c>
      <c r="J71" s="18"/>
      <c r="K71" s="18"/>
      <c r="L71" s="18"/>
      <c r="M71" s="18"/>
      <c r="N71" s="18"/>
      <c r="O71" s="18" t="s">
        <v>746</v>
      </c>
      <c r="P71" s="18"/>
      <c r="Q71" s="18"/>
      <c r="R71" s="18"/>
    </row>
    <row r="72" spans="1:18" s="18" customFormat="1" ht="30" x14ac:dyDescent="0.25">
      <c r="A72" t="s">
        <v>145</v>
      </c>
      <c r="B72" t="s">
        <v>145</v>
      </c>
      <c r="C72" t="s">
        <v>146</v>
      </c>
      <c r="D72" t="s">
        <v>1172</v>
      </c>
      <c r="E72" t="s">
        <v>11</v>
      </c>
      <c r="F72" t="s">
        <v>148</v>
      </c>
      <c r="G72" t="s">
        <v>147</v>
      </c>
      <c r="H72" t="s">
        <v>10</v>
      </c>
      <c r="I72" t="s">
        <v>2039</v>
      </c>
      <c r="J72"/>
      <c r="K72"/>
      <c r="L72" s="17" t="s">
        <v>1527</v>
      </c>
      <c r="M72" s="17" t="s">
        <v>2040</v>
      </c>
      <c r="N72" s="30" t="s">
        <v>828</v>
      </c>
      <c r="O72" t="s">
        <v>710</v>
      </c>
      <c r="P72" s="17" t="s">
        <v>772</v>
      </c>
      <c r="Q72" s="17"/>
      <c r="R72" t="s">
        <v>2041</v>
      </c>
    </row>
    <row r="73" spans="1:18" x14ac:dyDescent="0.25">
      <c r="A73" s="18" t="s">
        <v>839</v>
      </c>
      <c r="B73" s="18" t="s">
        <v>628</v>
      </c>
      <c r="C73" s="18" t="s">
        <v>629</v>
      </c>
      <c r="D73" s="18" t="s">
        <v>1195</v>
      </c>
      <c r="E73" s="18" t="s">
        <v>375</v>
      </c>
      <c r="F73" s="18"/>
      <c r="G73" s="18" t="s">
        <v>627</v>
      </c>
      <c r="H73" s="18" t="s">
        <v>374</v>
      </c>
      <c r="I73" s="18" t="s">
        <v>2054</v>
      </c>
      <c r="J73" s="18"/>
      <c r="K73" s="18"/>
      <c r="L73" s="18"/>
      <c r="M73" s="18"/>
      <c r="N73" s="18"/>
      <c r="O73" s="18" t="s">
        <v>746</v>
      </c>
      <c r="P73" s="18"/>
      <c r="Q73" s="18"/>
      <c r="R73" s="18"/>
    </row>
    <row r="74" spans="1:18" s="18" customFormat="1" x14ac:dyDescent="0.25">
      <c r="A74" t="s">
        <v>39</v>
      </c>
      <c r="B74" t="s">
        <v>39</v>
      </c>
      <c r="C74" t="s">
        <v>41</v>
      </c>
      <c r="D74" t="s">
        <v>1316</v>
      </c>
      <c r="E74" t="s">
        <v>11</v>
      </c>
      <c r="F74" t="s">
        <v>13</v>
      </c>
      <c r="G74" t="s">
        <v>16</v>
      </c>
      <c r="H74" t="s">
        <v>10</v>
      </c>
      <c r="I74" t="s">
        <v>2133</v>
      </c>
      <c r="J74"/>
      <c r="K74"/>
      <c r="L74" t="s">
        <v>1030</v>
      </c>
      <c r="M74" s="2"/>
      <c r="N74" s="22" t="s">
        <v>1031</v>
      </c>
      <c r="O74" t="s">
        <v>710</v>
      </c>
      <c r="P74" t="s">
        <v>772</v>
      </c>
      <c r="Q74"/>
      <c r="R74" t="s">
        <v>2018</v>
      </c>
    </row>
    <row r="75" spans="1:18" x14ac:dyDescent="0.25">
      <c r="A75" t="s">
        <v>855</v>
      </c>
      <c r="B75" t="s">
        <v>32</v>
      </c>
      <c r="C75" t="s">
        <v>33</v>
      </c>
      <c r="D75" t="s">
        <v>1257</v>
      </c>
      <c r="E75" t="s">
        <v>11</v>
      </c>
      <c r="F75" t="s">
        <v>34</v>
      </c>
      <c r="G75" t="s">
        <v>16</v>
      </c>
      <c r="H75" t="s">
        <v>10</v>
      </c>
      <c r="I75" t="s">
        <v>2091</v>
      </c>
      <c r="L75" t="s">
        <v>955</v>
      </c>
      <c r="M75" t="s">
        <v>956</v>
      </c>
      <c r="N75" t="s">
        <v>957</v>
      </c>
      <c r="O75" t="s">
        <v>746</v>
      </c>
      <c r="P75" t="s">
        <v>772</v>
      </c>
      <c r="R75" t="s">
        <v>2920</v>
      </c>
    </row>
    <row r="76" spans="1:18" x14ac:dyDescent="0.25">
      <c r="A76" t="s">
        <v>797</v>
      </c>
      <c r="B76" t="s">
        <v>294</v>
      </c>
      <c r="C76" t="s">
        <v>295</v>
      </c>
      <c r="D76" t="s">
        <v>1212</v>
      </c>
      <c r="E76" t="s">
        <v>233</v>
      </c>
      <c r="F76" t="s">
        <v>249</v>
      </c>
      <c r="G76" t="s">
        <v>296</v>
      </c>
      <c r="H76" t="s">
        <v>10</v>
      </c>
      <c r="I76" t="s">
        <v>2065</v>
      </c>
      <c r="L76" s="3" t="s">
        <v>937</v>
      </c>
      <c r="M76" s="30" t="s">
        <v>936</v>
      </c>
      <c r="N76" t="s">
        <v>707</v>
      </c>
      <c r="O76" t="s">
        <v>746</v>
      </c>
      <c r="P76" t="s">
        <v>807</v>
      </c>
      <c r="R76" t="s">
        <v>2374</v>
      </c>
    </row>
    <row r="77" spans="1:18" x14ac:dyDescent="0.25">
      <c r="A77" s="18" t="s">
        <v>740</v>
      </c>
      <c r="B77" s="18" t="s">
        <v>372</v>
      </c>
      <c r="C77" s="18" t="s">
        <v>373</v>
      </c>
      <c r="D77" s="18" t="s">
        <v>1139</v>
      </c>
      <c r="E77" s="18" t="s">
        <v>375</v>
      </c>
      <c r="F77" s="18"/>
      <c r="G77" s="18" t="s">
        <v>376</v>
      </c>
      <c r="H77" s="18" t="s">
        <v>374</v>
      </c>
      <c r="I77" s="18" t="s">
        <v>2022</v>
      </c>
      <c r="J77" s="18"/>
      <c r="K77" s="18"/>
      <c r="L77" s="18"/>
      <c r="M77" s="18"/>
      <c r="N77" s="18"/>
      <c r="O77" s="18" t="s">
        <v>746</v>
      </c>
      <c r="P77" s="18"/>
      <c r="Q77" s="18"/>
      <c r="R77" s="18"/>
    </row>
    <row r="78" spans="1:18" x14ac:dyDescent="0.25">
      <c r="A78" s="18" t="s">
        <v>446</v>
      </c>
      <c r="B78" s="18" t="s">
        <v>446</v>
      </c>
      <c r="C78" s="18" t="s">
        <v>447</v>
      </c>
      <c r="D78" s="18" t="s">
        <v>1374</v>
      </c>
      <c r="E78" s="18" t="s">
        <v>375</v>
      </c>
      <c r="F78" s="18"/>
      <c r="G78" s="18" t="s">
        <v>448</v>
      </c>
      <c r="H78" s="18" t="s">
        <v>374</v>
      </c>
      <c r="I78" s="18" t="s">
        <v>2166</v>
      </c>
      <c r="J78" s="18"/>
      <c r="K78" s="18"/>
      <c r="L78" s="18"/>
      <c r="M78" s="18"/>
      <c r="N78" s="18"/>
      <c r="O78" s="18" t="s">
        <v>746</v>
      </c>
      <c r="P78" s="18"/>
      <c r="Q78" s="18"/>
      <c r="R78" s="18"/>
    </row>
    <row r="79" spans="1:18" x14ac:dyDescent="0.25">
      <c r="A79" t="s">
        <v>716</v>
      </c>
      <c r="B79" t="s">
        <v>297</v>
      </c>
      <c r="C79" t="s">
        <v>298</v>
      </c>
      <c r="D79" t="s">
        <v>1216</v>
      </c>
      <c r="E79" t="s">
        <v>233</v>
      </c>
      <c r="F79" t="s">
        <v>255</v>
      </c>
      <c r="G79" t="s">
        <v>244</v>
      </c>
      <c r="H79" t="s">
        <v>10</v>
      </c>
      <c r="I79" t="s">
        <v>2069</v>
      </c>
      <c r="L79" t="s">
        <v>943</v>
      </c>
      <c r="M79" t="s">
        <v>2283</v>
      </c>
      <c r="N79" t="s">
        <v>707</v>
      </c>
      <c r="O79" t="s">
        <v>746</v>
      </c>
      <c r="P79" t="s">
        <v>807</v>
      </c>
      <c r="R79" t="s">
        <v>2300</v>
      </c>
    </row>
    <row r="80" spans="1:18" s="18" customFormat="1" x14ac:dyDescent="0.25">
      <c r="B80" s="18" t="s">
        <v>584</v>
      </c>
      <c r="C80" s="18" t="s">
        <v>585</v>
      </c>
      <c r="D80" s="18" t="s">
        <v>1187</v>
      </c>
      <c r="E80" s="18" t="s">
        <v>375</v>
      </c>
      <c r="G80" s="18" t="s">
        <v>586</v>
      </c>
      <c r="H80" s="18" t="s">
        <v>374</v>
      </c>
      <c r="O80" s="18" t="s">
        <v>746</v>
      </c>
    </row>
    <row r="81" spans="1:18" s="18" customFormat="1" x14ac:dyDescent="0.25">
      <c r="A81" t="s">
        <v>155</v>
      </c>
      <c r="B81" t="s">
        <v>155</v>
      </c>
      <c r="C81" t="s">
        <v>156</v>
      </c>
      <c r="D81" t="s">
        <v>1153</v>
      </c>
      <c r="E81" t="s">
        <v>11</v>
      </c>
      <c r="F81" t="s">
        <v>34</v>
      </c>
      <c r="G81" t="s">
        <v>157</v>
      </c>
      <c r="H81" t="s">
        <v>10</v>
      </c>
      <c r="I81" t="s">
        <v>2030</v>
      </c>
      <c r="J81"/>
      <c r="K81"/>
      <c r="L81" t="s">
        <v>811</v>
      </c>
      <c r="M81" t="s">
        <v>2401</v>
      </c>
      <c r="N81" s="22" t="s">
        <v>816</v>
      </c>
      <c r="O81" t="s">
        <v>747</v>
      </c>
      <c r="P81" t="s">
        <v>2414</v>
      </c>
      <c r="Q81"/>
      <c r="R81" t="s">
        <v>2413</v>
      </c>
    </row>
    <row r="82" spans="1:18" s="18" customFormat="1" x14ac:dyDescent="0.25">
      <c r="A82" s="18" t="s">
        <v>382</v>
      </c>
      <c r="B82" s="18" t="s">
        <v>382</v>
      </c>
      <c r="C82" s="18" t="s">
        <v>383</v>
      </c>
      <c r="D82" s="18" t="s">
        <v>1232</v>
      </c>
      <c r="E82" s="18" t="s">
        <v>375</v>
      </c>
      <c r="G82" s="18" t="s">
        <v>384</v>
      </c>
      <c r="H82" s="18" t="s">
        <v>374</v>
      </c>
      <c r="I82" s="18" t="s">
        <v>2079</v>
      </c>
      <c r="O82" s="18" t="s">
        <v>746</v>
      </c>
    </row>
    <row r="83" spans="1:18" s="18" customFormat="1" x14ac:dyDescent="0.25">
      <c r="A83" t="s">
        <v>872</v>
      </c>
      <c r="B83" t="s">
        <v>37</v>
      </c>
      <c r="C83" t="s">
        <v>38</v>
      </c>
      <c r="D83" t="s">
        <v>1304</v>
      </c>
      <c r="E83" t="s">
        <v>11</v>
      </c>
      <c r="F83" t="s">
        <v>23</v>
      </c>
      <c r="G83" t="s">
        <v>16</v>
      </c>
      <c r="H83" t="s">
        <v>10</v>
      </c>
      <c r="I83" t="s">
        <v>2125</v>
      </c>
      <c r="J83"/>
      <c r="K83"/>
      <c r="L83" t="s">
        <v>1013</v>
      </c>
      <c r="M83" s="22" t="s">
        <v>1014</v>
      </c>
      <c r="N83" s="22" t="s">
        <v>1015</v>
      </c>
      <c r="O83" t="s">
        <v>746</v>
      </c>
      <c r="P83" t="s">
        <v>772</v>
      </c>
      <c r="Q83"/>
      <c r="R83" t="s">
        <v>2337</v>
      </c>
    </row>
    <row r="84" spans="1:18" s="18" customFormat="1" x14ac:dyDescent="0.25">
      <c r="A84" t="s">
        <v>715</v>
      </c>
      <c r="B84" t="s">
        <v>142</v>
      </c>
      <c r="C84" t="s">
        <v>195</v>
      </c>
      <c r="D84" t="s">
        <v>1247</v>
      </c>
      <c r="E84" t="s">
        <v>11</v>
      </c>
      <c r="F84" t="s">
        <v>13</v>
      </c>
      <c r="G84" t="s">
        <v>196</v>
      </c>
      <c r="H84" t="s">
        <v>10</v>
      </c>
      <c r="I84" t="s">
        <v>2086</v>
      </c>
      <c r="J84" t="s">
        <v>2087</v>
      </c>
      <c r="K84" t="s">
        <v>2088</v>
      </c>
      <c r="L84" t="s">
        <v>962</v>
      </c>
      <c r="M84" t="s">
        <v>963</v>
      </c>
      <c r="N84" s="22" t="s">
        <v>964</v>
      </c>
      <c r="O84" t="s">
        <v>710</v>
      </c>
      <c r="P84" t="s">
        <v>2396</v>
      </c>
      <c r="Q84" t="s">
        <v>2434</v>
      </c>
      <c r="R84" t="s">
        <v>2450</v>
      </c>
    </row>
    <row r="85" spans="1:18" s="18" customFormat="1" x14ac:dyDescent="0.25">
      <c r="A85" s="18" t="s">
        <v>908</v>
      </c>
      <c r="B85" s="18" t="s">
        <v>449</v>
      </c>
      <c r="C85" s="18" t="s">
        <v>450</v>
      </c>
      <c r="D85" s="18" t="s">
        <v>1414</v>
      </c>
      <c r="E85" s="18" t="s">
        <v>375</v>
      </c>
      <c r="G85" s="18" t="s">
        <v>451</v>
      </c>
      <c r="H85" s="18" t="s">
        <v>374</v>
      </c>
      <c r="I85" s="18" t="s">
        <v>2186</v>
      </c>
      <c r="O85" s="18" t="s">
        <v>746</v>
      </c>
    </row>
    <row r="86" spans="1:18" s="18" customFormat="1" x14ac:dyDescent="0.25">
      <c r="A86" t="s">
        <v>754</v>
      </c>
      <c r="B86" t="s">
        <v>149</v>
      </c>
      <c r="C86" t="s">
        <v>150</v>
      </c>
      <c r="D86" t="s">
        <v>1204</v>
      </c>
      <c r="E86" t="s">
        <v>11</v>
      </c>
      <c r="F86" t="s">
        <v>98</v>
      </c>
      <c r="G86" t="s">
        <v>147</v>
      </c>
      <c r="H86" t="s">
        <v>10</v>
      </c>
      <c r="I86" t="s">
        <v>2005</v>
      </c>
      <c r="J86"/>
      <c r="K86"/>
      <c r="L86" t="s">
        <v>930</v>
      </c>
      <c r="M86" t="s">
        <v>757</v>
      </c>
      <c r="N86" s="22" t="s">
        <v>929</v>
      </c>
      <c r="O86" t="s">
        <v>710</v>
      </c>
      <c r="P86" t="s">
        <v>807</v>
      </c>
      <c r="Q86"/>
      <c r="R86" t="s">
        <v>2266</v>
      </c>
    </row>
    <row r="87" spans="1:18" s="18" customFormat="1" x14ac:dyDescent="0.25">
      <c r="A87" s="18" t="s">
        <v>39</v>
      </c>
      <c r="B87" s="18" t="s">
        <v>400</v>
      </c>
      <c r="C87" s="18" t="s">
        <v>401</v>
      </c>
      <c r="D87" s="18" t="s">
        <v>1325</v>
      </c>
      <c r="E87" s="18" t="s">
        <v>375</v>
      </c>
      <c r="G87" s="18" t="s">
        <v>130</v>
      </c>
      <c r="H87" s="18" t="s">
        <v>374</v>
      </c>
      <c r="I87" s="18" t="s">
        <v>2133</v>
      </c>
      <c r="L87" s="18" t="s">
        <v>1038</v>
      </c>
      <c r="M87" s="18" t="s">
        <v>1038</v>
      </c>
      <c r="O87" s="18" t="s">
        <v>710</v>
      </c>
    </row>
    <row r="88" spans="1:18" s="34" customFormat="1" x14ac:dyDescent="0.25">
      <c r="A88" s="34" t="s">
        <v>719</v>
      </c>
      <c r="B88" s="34" t="s">
        <v>178</v>
      </c>
      <c r="C88" s="34" t="s">
        <v>194</v>
      </c>
      <c r="D88" s="34" t="s">
        <v>1419</v>
      </c>
      <c r="E88" s="34" t="s">
        <v>11</v>
      </c>
      <c r="F88" s="34" t="s">
        <v>23</v>
      </c>
      <c r="G88" s="34" t="s">
        <v>189</v>
      </c>
      <c r="H88" s="34" t="s">
        <v>10</v>
      </c>
      <c r="I88" s="34" t="s">
        <v>2191</v>
      </c>
      <c r="J88" s="34" t="s">
        <v>2192</v>
      </c>
      <c r="K88" s="34" t="s">
        <v>2193</v>
      </c>
      <c r="L88" s="34" t="s">
        <v>1472</v>
      </c>
      <c r="M88" s="34" t="s">
        <v>1475</v>
      </c>
      <c r="N88" s="34" t="s">
        <v>1476</v>
      </c>
      <c r="O88" s="34" t="s">
        <v>710</v>
      </c>
      <c r="P88" s="34" t="s">
        <v>2310</v>
      </c>
      <c r="R88" s="34" t="s">
        <v>2194</v>
      </c>
    </row>
    <row r="89" spans="1:18" s="18" customFormat="1" x14ac:dyDescent="0.25">
      <c r="A89" t="s">
        <v>715</v>
      </c>
      <c r="B89" t="s">
        <v>142</v>
      </c>
      <c r="C89" t="s">
        <v>301</v>
      </c>
      <c r="D89" t="s">
        <v>1251</v>
      </c>
      <c r="E89" t="s">
        <v>233</v>
      </c>
      <c r="F89" t="s">
        <v>303</v>
      </c>
      <c r="G89" t="s">
        <v>302</v>
      </c>
      <c r="H89" t="s">
        <v>10</v>
      </c>
      <c r="I89" t="s">
        <v>2086</v>
      </c>
      <c r="J89"/>
      <c r="K89"/>
      <c r="L89" t="s">
        <v>962</v>
      </c>
      <c r="M89" s="22" t="s">
        <v>2089</v>
      </c>
      <c r="N89" t="s">
        <v>707</v>
      </c>
      <c r="O89" t="s">
        <v>710</v>
      </c>
      <c r="P89" t="s">
        <v>807</v>
      </c>
      <c r="Q89" t="s">
        <v>2434</v>
      </c>
      <c r="R89" t="s">
        <v>2450</v>
      </c>
    </row>
    <row r="90" spans="1:18" s="18" customFormat="1" x14ac:dyDescent="0.25">
      <c r="A90" s="18" t="s">
        <v>892</v>
      </c>
      <c r="B90" s="18" t="s">
        <v>510</v>
      </c>
      <c r="C90" s="18" t="s">
        <v>511</v>
      </c>
      <c r="D90" s="18" t="s">
        <v>1359</v>
      </c>
      <c r="E90" s="18" t="s">
        <v>375</v>
      </c>
      <c r="G90" s="18" t="s">
        <v>509</v>
      </c>
      <c r="H90" s="18" t="s">
        <v>374</v>
      </c>
      <c r="I90" s="18" t="s">
        <v>2154</v>
      </c>
      <c r="O90" s="18" t="s">
        <v>746</v>
      </c>
    </row>
    <row r="91" spans="1:18" s="18" customFormat="1" x14ac:dyDescent="0.25">
      <c r="A91" t="s">
        <v>135</v>
      </c>
      <c r="B91" t="s">
        <v>135</v>
      </c>
      <c r="C91" t="s">
        <v>136</v>
      </c>
      <c r="D91" t="s">
        <v>1395</v>
      </c>
      <c r="E91" t="s">
        <v>11</v>
      </c>
      <c r="F91" t="s">
        <v>19</v>
      </c>
      <c r="G91" t="s">
        <v>137</v>
      </c>
      <c r="H91" t="s">
        <v>10</v>
      </c>
      <c r="I91" t="s">
        <v>2182</v>
      </c>
      <c r="J91"/>
      <c r="K91"/>
      <c r="L91" s="2" t="s">
        <v>727</v>
      </c>
      <c r="M91" s="22" t="s">
        <v>1461</v>
      </c>
      <c r="N91" s="22" t="s">
        <v>1460</v>
      </c>
      <c r="O91" t="s">
        <v>746</v>
      </c>
      <c r="P91" t="s">
        <v>772</v>
      </c>
      <c r="Q91"/>
      <c r="R91" t="s">
        <v>2203</v>
      </c>
    </row>
    <row r="92" spans="1:18" s="18" customFormat="1" x14ac:dyDescent="0.25">
      <c r="A92" s="18" t="s">
        <v>39</v>
      </c>
      <c r="B92" s="18" t="s">
        <v>39</v>
      </c>
      <c r="C92" s="18" t="s">
        <v>402</v>
      </c>
      <c r="D92" s="18" t="s">
        <v>1324</v>
      </c>
      <c r="E92" s="18" t="s">
        <v>375</v>
      </c>
      <c r="G92" s="18" t="s">
        <v>130</v>
      </c>
      <c r="H92" s="18" t="s">
        <v>374</v>
      </c>
      <c r="I92" s="18" t="s">
        <v>2133</v>
      </c>
      <c r="M92" s="19"/>
      <c r="O92" s="18" t="s">
        <v>710</v>
      </c>
    </row>
    <row r="93" spans="1:18" s="18" customFormat="1" x14ac:dyDescent="0.25">
      <c r="B93" s="18" t="s">
        <v>430</v>
      </c>
      <c r="C93" s="18" t="s">
        <v>431</v>
      </c>
      <c r="D93" s="18" t="s">
        <v>1189</v>
      </c>
      <c r="E93" s="18" t="s">
        <v>375</v>
      </c>
      <c r="G93" s="18" t="s">
        <v>81</v>
      </c>
      <c r="H93" s="18" t="s">
        <v>374</v>
      </c>
      <c r="O93" s="18" t="s">
        <v>746</v>
      </c>
    </row>
    <row r="94" spans="1:18" x14ac:dyDescent="0.25">
      <c r="A94" t="s">
        <v>14</v>
      </c>
      <c r="B94" t="s">
        <v>14</v>
      </c>
      <c r="C94" t="s">
        <v>66</v>
      </c>
      <c r="D94" t="s">
        <v>1124</v>
      </c>
      <c r="E94" t="s">
        <v>11</v>
      </c>
      <c r="F94" t="s">
        <v>13</v>
      </c>
      <c r="G94" t="s">
        <v>64</v>
      </c>
      <c r="H94" t="s">
        <v>10</v>
      </c>
      <c r="I94" t="s">
        <v>2016</v>
      </c>
      <c r="L94" s="2" t="s">
        <v>768</v>
      </c>
      <c r="M94" s="2" t="s">
        <v>1508</v>
      </c>
      <c r="N94" s="2" t="s">
        <v>1509</v>
      </c>
      <c r="O94" t="s">
        <v>710</v>
      </c>
      <c r="P94" t="s">
        <v>772</v>
      </c>
      <c r="R94" t="s">
        <v>2018</v>
      </c>
    </row>
    <row r="95" spans="1:18" x14ac:dyDescent="0.25">
      <c r="A95" t="s">
        <v>718</v>
      </c>
      <c r="B95" t="s">
        <v>246</v>
      </c>
      <c r="C95" t="s">
        <v>304</v>
      </c>
      <c r="D95" t="s">
        <v>1346</v>
      </c>
      <c r="E95" t="s">
        <v>233</v>
      </c>
      <c r="F95" t="s">
        <v>249</v>
      </c>
      <c r="G95" t="s">
        <v>248</v>
      </c>
      <c r="H95" t="s">
        <v>10</v>
      </c>
      <c r="I95" t="s">
        <v>2149</v>
      </c>
      <c r="J95" t="s">
        <v>2150</v>
      </c>
      <c r="K95" t="s">
        <v>2151</v>
      </c>
      <c r="L95" t="s">
        <v>1055</v>
      </c>
      <c r="M95" t="s">
        <v>1062</v>
      </c>
      <c r="N95" t="s">
        <v>707</v>
      </c>
      <c r="O95" t="s">
        <v>749</v>
      </c>
      <c r="P95" t="s">
        <v>2310</v>
      </c>
      <c r="Q95" t="s">
        <v>2475</v>
      </c>
      <c r="R95" t="s">
        <v>2280</v>
      </c>
    </row>
    <row r="96" spans="1:18" x14ac:dyDescent="0.25">
      <c r="A96" s="18" t="s">
        <v>390</v>
      </c>
      <c r="B96" s="18" t="s">
        <v>390</v>
      </c>
      <c r="C96" s="18" t="s">
        <v>391</v>
      </c>
      <c r="D96" s="18" t="s">
        <v>1376</v>
      </c>
      <c r="E96" s="18" t="s">
        <v>375</v>
      </c>
      <c r="F96" s="18"/>
      <c r="G96" s="18" t="s">
        <v>389</v>
      </c>
      <c r="H96" s="18" t="s">
        <v>374</v>
      </c>
      <c r="I96" s="18" t="s">
        <v>2168</v>
      </c>
      <c r="J96" s="18"/>
      <c r="K96" s="18"/>
      <c r="L96" s="18"/>
      <c r="M96" s="18"/>
      <c r="N96" s="18"/>
      <c r="O96" s="18" t="s">
        <v>746</v>
      </c>
      <c r="P96" s="18"/>
      <c r="Q96" s="18"/>
      <c r="R96" s="18"/>
    </row>
    <row r="97" spans="1:18" x14ac:dyDescent="0.25">
      <c r="A97" t="s">
        <v>903</v>
      </c>
      <c r="B97" t="s">
        <v>306</v>
      </c>
      <c r="C97" t="s">
        <v>307</v>
      </c>
      <c r="D97" t="s">
        <v>1380</v>
      </c>
      <c r="E97" t="s">
        <v>233</v>
      </c>
      <c r="F97" t="s">
        <v>245</v>
      </c>
      <c r="G97" t="s">
        <v>244</v>
      </c>
      <c r="H97" t="s">
        <v>10</v>
      </c>
      <c r="I97" t="s">
        <v>2172</v>
      </c>
      <c r="L97" t="s">
        <v>1097</v>
      </c>
      <c r="M97" t="s">
        <v>1098</v>
      </c>
      <c r="N97" t="s">
        <v>707</v>
      </c>
      <c r="O97" t="s">
        <v>746</v>
      </c>
      <c r="P97" t="s">
        <v>720</v>
      </c>
      <c r="R97" t="s">
        <v>2173</v>
      </c>
    </row>
    <row r="98" spans="1:18" x14ac:dyDescent="0.25">
      <c r="A98" t="s">
        <v>27</v>
      </c>
      <c r="B98" t="s">
        <v>27</v>
      </c>
      <c r="C98" t="s">
        <v>28</v>
      </c>
      <c r="D98" t="s">
        <v>1166</v>
      </c>
      <c r="E98" t="s">
        <v>11</v>
      </c>
      <c r="F98" t="s">
        <v>23</v>
      </c>
      <c r="G98" t="s">
        <v>16</v>
      </c>
      <c r="H98" t="s">
        <v>10</v>
      </c>
      <c r="I98" t="s">
        <v>2037</v>
      </c>
      <c r="L98" s="2" t="s">
        <v>751</v>
      </c>
      <c r="M98" t="s">
        <v>1525</v>
      </c>
      <c r="N98" s="22" t="s">
        <v>1524</v>
      </c>
      <c r="O98" t="s">
        <v>710</v>
      </c>
      <c r="P98" t="s">
        <v>772</v>
      </c>
      <c r="R98" t="s">
        <v>2373</v>
      </c>
    </row>
    <row r="99" spans="1:18" x14ac:dyDescent="0.25">
      <c r="A99" s="18" t="s">
        <v>421</v>
      </c>
      <c r="B99" s="18" t="s">
        <v>421</v>
      </c>
      <c r="C99" s="18" t="s">
        <v>422</v>
      </c>
      <c r="D99" s="18" t="s">
        <v>1309</v>
      </c>
      <c r="E99" s="18" t="s">
        <v>375</v>
      </c>
      <c r="F99" s="18"/>
      <c r="G99" s="18" t="s">
        <v>423</v>
      </c>
      <c r="H99" s="18" t="s">
        <v>374</v>
      </c>
      <c r="I99" s="18" t="s">
        <v>2129</v>
      </c>
      <c r="J99" s="18"/>
      <c r="K99" s="18"/>
      <c r="L99" s="18"/>
      <c r="M99" s="18"/>
      <c r="N99" s="18"/>
      <c r="O99" s="18" t="s">
        <v>746</v>
      </c>
      <c r="P99" s="18"/>
      <c r="Q99" s="18"/>
      <c r="R99" s="18"/>
    </row>
    <row r="100" spans="1:18" x14ac:dyDescent="0.25">
      <c r="A100" t="s">
        <v>101</v>
      </c>
      <c r="B100" t="s">
        <v>101</v>
      </c>
      <c r="C100" t="s">
        <v>126</v>
      </c>
      <c r="D100" t="s">
        <v>1400</v>
      </c>
      <c r="E100" t="s">
        <v>11</v>
      </c>
      <c r="F100" t="s">
        <v>34</v>
      </c>
      <c r="G100" t="s">
        <v>127</v>
      </c>
      <c r="H100" t="s">
        <v>10</v>
      </c>
      <c r="I100" t="s">
        <v>1845</v>
      </c>
      <c r="L100" t="s">
        <v>1466</v>
      </c>
      <c r="M100" t="s">
        <v>712</v>
      </c>
      <c r="N100" s="22" t="s">
        <v>1471</v>
      </c>
      <c r="O100" t="s">
        <v>710</v>
      </c>
      <c r="P100" t="s">
        <v>2310</v>
      </c>
      <c r="R100" t="s">
        <v>2477</v>
      </c>
    </row>
    <row r="101" spans="1:18" x14ac:dyDescent="0.25">
      <c r="A101" t="s">
        <v>39</v>
      </c>
      <c r="B101" t="s">
        <v>39</v>
      </c>
      <c r="C101" t="s">
        <v>42</v>
      </c>
      <c r="D101" t="s">
        <v>1319</v>
      </c>
      <c r="E101" t="s">
        <v>11</v>
      </c>
      <c r="F101" t="s">
        <v>13</v>
      </c>
      <c r="G101" t="s">
        <v>16</v>
      </c>
      <c r="H101" t="s">
        <v>10</v>
      </c>
      <c r="I101" t="s">
        <v>2133</v>
      </c>
      <c r="J101" t="s">
        <v>1587</v>
      </c>
      <c r="K101" t="s">
        <v>1750</v>
      </c>
      <c r="L101" t="s">
        <v>1030</v>
      </c>
      <c r="M101" s="2" t="s">
        <v>1026</v>
      </c>
      <c r="N101" s="2" t="s">
        <v>1032</v>
      </c>
      <c r="O101" t="s">
        <v>710</v>
      </c>
      <c r="P101" t="s">
        <v>772</v>
      </c>
      <c r="R101" t="s">
        <v>2018</v>
      </c>
    </row>
    <row r="102" spans="1:18" x14ac:dyDescent="0.25">
      <c r="A102" s="18" t="s">
        <v>840</v>
      </c>
      <c r="B102" s="18" t="s">
        <v>704</v>
      </c>
      <c r="C102" s="18" t="s">
        <v>216</v>
      </c>
      <c r="D102" s="18" t="s">
        <v>1203</v>
      </c>
      <c r="E102" s="18" t="s">
        <v>375</v>
      </c>
      <c r="F102" s="18"/>
      <c r="G102" s="18" t="s">
        <v>705</v>
      </c>
      <c r="H102" s="18" t="s">
        <v>374</v>
      </c>
      <c r="I102" s="18" t="s">
        <v>2057</v>
      </c>
      <c r="J102" s="18"/>
      <c r="K102" s="18"/>
      <c r="L102" s="18"/>
      <c r="M102" s="18"/>
      <c r="N102" s="18"/>
      <c r="O102" s="18" t="s">
        <v>746</v>
      </c>
      <c r="P102" s="18"/>
      <c r="Q102" s="18"/>
      <c r="R102" s="18"/>
    </row>
    <row r="103" spans="1:18" x14ac:dyDescent="0.25">
      <c r="A103" t="s">
        <v>715</v>
      </c>
      <c r="B103" t="s">
        <v>142</v>
      </c>
      <c r="C103" t="s">
        <v>308</v>
      </c>
      <c r="D103" t="s">
        <v>1253</v>
      </c>
      <c r="E103" t="s">
        <v>233</v>
      </c>
      <c r="F103" t="s">
        <v>249</v>
      </c>
      <c r="G103" t="s">
        <v>309</v>
      </c>
      <c r="H103" t="s">
        <v>10</v>
      </c>
      <c r="I103" t="s">
        <v>2086</v>
      </c>
      <c r="L103" t="s">
        <v>962</v>
      </c>
      <c r="M103" s="22" t="s">
        <v>2090</v>
      </c>
      <c r="N103" t="s">
        <v>707</v>
      </c>
      <c r="O103" t="s">
        <v>710</v>
      </c>
      <c r="P103" t="s">
        <v>807</v>
      </c>
      <c r="Q103" t="s">
        <v>2434</v>
      </c>
      <c r="R103" t="s">
        <v>2451</v>
      </c>
    </row>
    <row r="104" spans="1:18" x14ac:dyDescent="0.25">
      <c r="A104" s="18" t="s">
        <v>659</v>
      </c>
      <c r="B104" s="18" t="s">
        <v>659</v>
      </c>
      <c r="C104" s="18" t="s">
        <v>660</v>
      </c>
      <c r="D104" s="18" t="s">
        <v>1417</v>
      </c>
      <c r="E104" s="18" t="s">
        <v>375</v>
      </c>
      <c r="F104" s="18"/>
      <c r="G104" s="18" t="s">
        <v>210</v>
      </c>
      <c r="H104" s="18" t="s">
        <v>374</v>
      </c>
      <c r="I104" s="18" t="s">
        <v>2189</v>
      </c>
      <c r="J104" s="18"/>
      <c r="K104" s="18"/>
      <c r="L104" s="18"/>
      <c r="M104" s="18"/>
      <c r="N104" s="18"/>
      <c r="O104" s="18" t="s">
        <v>746</v>
      </c>
      <c r="P104" s="18"/>
      <c r="Q104" s="18"/>
      <c r="R104" s="18"/>
    </row>
    <row r="105" spans="1:18" x14ac:dyDescent="0.25">
      <c r="A105" t="s">
        <v>39</v>
      </c>
      <c r="B105" t="s">
        <v>39</v>
      </c>
      <c r="C105" t="s">
        <v>43</v>
      </c>
      <c r="D105" t="s">
        <v>1317</v>
      </c>
      <c r="E105" t="s">
        <v>11</v>
      </c>
      <c r="F105" t="s">
        <v>34</v>
      </c>
      <c r="G105" t="s">
        <v>16</v>
      </c>
      <c r="H105" t="s">
        <v>10</v>
      </c>
      <c r="I105" t="s">
        <v>2133</v>
      </c>
      <c r="J105" t="s">
        <v>1587</v>
      </c>
      <c r="K105" t="s">
        <v>1750</v>
      </c>
      <c r="L105" t="s">
        <v>1030</v>
      </c>
      <c r="M105" t="s">
        <v>1026</v>
      </c>
      <c r="N105" s="2" t="s">
        <v>2134</v>
      </c>
      <c r="O105" t="s">
        <v>710</v>
      </c>
      <c r="P105" t="s">
        <v>772</v>
      </c>
      <c r="R105" t="s">
        <v>2018</v>
      </c>
    </row>
    <row r="106" spans="1:18" s="18" customFormat="1" x14ac:dyDescent="0.25">
      <c r="A106" s="18" t="s">
        <v>898</v>
      </c>
      <c r="B106" s="18" t="s">
        <v>435</v>
      </c>
      <c r="C106" s="18" t="s">
        <v>436</v>
      </c>
      <c r="D106" s="18" t="s">
        <v>1368</v>
      </c>
      <c r="E106" s="18" t="s">
        <v>375</v>
      </c>
      <c r="G106" s="18" t="s">
        <v>437</v>
      </c>
      <c r="H106" s="18" t="s">
        <v>374</v>
      </c>
      <c r="I106" s="18" t="s">
        <v>2161</v>
      </c>
      <c r="O106" s="18" t="s">
        <v>746</v>
      </c>
    </row>
    <row r="107" spans="1:18" x14ac:dyDescent="0.25">
      <c r="A107" t="s">
        <v>736</v>
      </c>
      <c r="B107" t="s">
        <v>24</v>
      </c>
      <c r="C107" t="s">
        <v>25</v>
      </c>
      <c r="D107" t="s">
        <v>1136</v>
      </c>
      <c r="E107" t="s">
        <v>11</v>
      </c>
      <c r="F107" t="s">
        <v>13</v>
      </c>
      <c r="G107" t="s">
        <v>16</v>
      </c>
      <c r="H107" t="s">
        <v>10</v>
      </c>
      <c r="I107" t="s">
        <v>2019</v>
      </c>
      <c r="L107" t="s">
        <v>737</v>
      </c>
      <c r="M107" s="2" t="s">
        <v>1518</v>
      </c>
      <c r="N107" s="2" t="s">
        <v>1520</v>
      </c>
      <c r="O107" t="s">
        <v>746</v>
      </c>
      <c r="P107" t="s">
        <v>772</v>
      </c>
      <c r="R107" t="s">
        <v>2018</v>
      </c>
    </row>
    <row r="108" spans="1:18" x14ac:dyDescent="0.25">
      <c r="A108" t="s">
        <v>311</v>
      </c>
      <c r="B108" t="s">
        <v>311</v>
      </c>
      <c r="C108" t="s">
        <v>312</v>
      </c>
      <c r="D108" t="s">
        <v>1266</v>
      </c>
      <c r="E108" t="s">
        <v>233</v>
      </c>
      <c r="F108" t="s">
        <v>255</v>
      </c>
      <c r="G108" t="s">
        <v>244</v>
      </c>
      <c r="H108" t="s">
        <v>10</v>
      </c>
      <c r="I108" t="s">
        <v>2098</v>
      </c>
      <c r="L108" t="s">
        <v>978</v>
      </c>
      <c r="M108" t="s">
        <v>977</v>
      </c>
      <c r="N108" t="s">
        <v>2308</v>
      </c>
      <c r="O108" t="s">
        <v>746</v>
      </c>
      <c r="P108" t="s">
        <v>772</v>
      </c>
      <c r="R108" t="s">
        <v>2309</v>
      </c>
    </row>
    <row r="109" spans="1:18" x14ac:dyDescent="0.25">
      <c r="A109" s="18" t="s">
        <v>421</v>
      </c>
      <c r="B109" s="18" t="s">
        <v>421</v>
      </c>
      <c r="C109" s="18" t="s">
        <v>679</v>
      </c>
      <c r="D109" s="18" t="s">
        <v>1310</v>
      </c>
      <c r="E109" s="18" t="s">
        <v>375</v>
      </c>
      <c r="F109" s="18"/>
      <c r="G109" s="18" t="s">
        <v>680</v>
      </c>
      <c r="H109" s="18" t="s">
        <v>374</v>
      </c>
      <c r="I109" s="18" t="s">
        <v>2129</v>
      </c>
      <c r="J109" s="18"/>
      <c r="K109" s="18"/>
      <c r="L109" s="18"/>
      <c r="M109" s="18"/>
      <c r="N109" s="18"/>
      <c r="O109" s="18" t="s">
        <v>746</v>
      </c>
      <c r="P109" s="18"/>
      <c r="Q109" s="18"/>
      <c r="R109" s="18"/>
    </row>
    <row r="110" spans="1:18" x14ac:dyDescent="0.2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25">
      <c r="A111" s="18" t="s">
        <v>793</v>
      </c>
      <c r="B111" s="18" t="s">
        <v>128</v>
      </c>
      <c r="C111" s="18" t="s">
        <v>403</v>
      </c>
      <c r="D111" s="18" t="s">
        <v>1191</v>
      </c>
      <c r="E111" s="18" t="s">
        <v>375</v>
      </c>
      <c r="G111" s="18" t="s">
        <v>130</v>
      </c>
      <c r="H111" s="18" t="s">
        <v>374</v>
      </c>
      <c r="I111" s="18" t="s">
        <v>2046</v>
      </c>
      <c r="L111" s="18" t="s">
        <v>743</v>
      </c>
      <c r="M111" s="20"/>
      <c r="N111" s="20"/>
      <c r="O111" s="18" t="s">
        <v>746</v>
      </c>
    </row>
    <row r="112" spans="1:18" s="18" customFormat="1" x14ac:dyDescent="0.25">
      <c r="A112" s="18" t="s">
        <v>906</v>
      </c>
      <c r="B112" s="18" t="s">
        <v>567</v>
      </c>
      <c r="C112" s="18" t="s">
        <v>568</v>
      </c>
      <c r="D112" s="18" t="s">
        <v>1394</v>
      </c>
      <c r="E112" s="18" t="s">
        <v>375</v>
      </c>
      <c r="G112" s="18" t="s">
        <v>183</v>
      </c>
      <c r="H112" s="18" t="s">
        <v>374</v>
      </c>
      <c r="I112" s="18" t="s">
        <v>2181</v>
      </c>
      <c r="O112" s="18" t="s">
        <v>746</v>
      </c>
    </row>
    <row r="113" spans="1:18" s="18" customFormat="1" x14ac:dyDescent="0.25">
      <c r="A113" t="s">
        <v>8</v>
      </c>
      <c r="B113" t="s">
        <v>8</v>
      </c>
      <c r="C113" t="s">
        <v>9</v>
      </c>
      <c r="D113" t="s">
        <v>1264</v>
      </c>
      <c r="E113" t="s">
        <v>11</v>
      </c>
      <c r="F113" t="s">
        <v>23</v>
      </c>
      <c r="G113" t="s">
        <v>12</v>
      </c>
      <c r="H113" t="s">
        <v>10</v>
      </c>
      <c r="I113" t="s">
        <v>1895</v>
      </c>
      <c r="J113"/>
      <c r="K113"/>
      <c r="L113" s="2" t="s">
        <v>722</v>
      </c>
      <c r="M113" t="s">
        <v>972</v>
      </c>
      <c r="N113" s="22" t="s">
        <v>971</v>
      </c>
      <c r="O113" t="s">
        <v>710</v>
      </c>
      <c r="P113"/>
      <c r="Q113"/>
      <c r="R113" t="s">
        <v>2097</v>
      </c>
    </row>
    <row r="114" spans="1:18" s="18" customFormat="1" x14ac:dyDescent="0.25">
      <c r="A114" t="s">
        <v>208</v>
      </c>
      <c r="B114" t="s">
        <v>208</v>
      </c>
      <c r="C114" t="s">
        <v>211</v>
      </c>
      <c r="D114" t="s">
        <v>1177</v>
      </c>
      <c r="E114" t="s">
        <v>11</v>
      </c>
      <c r="F114" t="s">
        <v>21</v>
      </c>
      <c r="G114" t="s">
        <v>210</v>
      </c>
      <c r="H114" t="s">
        <v>10</v>
      </c>
      <c r="I114" t="s">
        <v>1752</v>
      </c>
      <c r="J114" t="s">
        <v>706</v>
      </c>
      <c r="K114" t="s">
        <v>2043</v>
      </c>
      <c r="L114" s="2" t="s">
        <v>770</v>
      </c>
      <c r="M114" t="s">
        <v>1530</v>
      </c>
      <c r="N114" t="s">
        <v>830</v>
      </c>
      <c r="O114" t="s">
        <v>710</v>
      </c>
      <c r="P114" t="s">
        <v>807</v>
      </c>
      <c r="Q114"/>
      <c r="R114" t="s">
        <v>2042</v>
      </c>
    </row>
    <row r="115" spans="1:18" s="18" customFormat="1" x14ac:dyDescent="0.25">
      <c r="A115" t="s">
        <v>715</v>
      </c>
      <c r="B115" t="s">
        <v>142</v>
      </c>
      <c r="C115" t="s">
        <v>143</v>
      </c>
      <c r="D115" t="s">
        <v>1249</v>
      </c>
      <c r="E115" t="s">
        <v>11</v>
      </c>
      <c r="F115" t="s">
        <v>44</v>
      </c>
      <c r="G115" t="s">
        <v>144</v>
      </c>
      <c r="H115" t="s">
        <v>10</v>
      </c>
      <c r="I115" t="s">
        <v>2086</v>
      </c>
      <c r="J115"/>
      <c r="K115"/>
      <c r="L115" t="s">
        <v>962</v>
      </c>
      <c r="M115" t="s">
        <v>960</v>
      </c>
      <c r="N115" s="22" t="s">
        <v>961</v>
      </c>
      <c r="O115" t="s">
        <v>710</v>
      </c>
      <c r="P115" t="s">
        <v>2310</v>
      </c>
      <c r="Q115" t="s">
        <v>2434</v>
      </c>
      <c r="R115" t="s">
        <v>2452</v>
      </c>
    </row>
    <row r="116" spans="1:18" x14ac:dyDescent="0.25">
      <c r="A116" t="s">
        <v>730</v>
      </c>
      <c r="B116" t="s">
        <v>58</v>
      </c>
      <c r="C116" t="s">
        <v>60</v>
      </c>
      <c r="D116" t="s">
        <v>1437</v>
      </c>
      <c r="E116" t="s">
        <v>11</v>
      </c>
      <c r="F116" t="s">
        <v>19</v>
      </c>
      <c r="G116" t="s">
        <v>16</v>
      </c>
      <c r="H116" t="s">
        <v>10</v>
      </c>
      <c r="I116" t="s">
        <v>2202</v>
      </c>
      <c r="L116" s="2" t="s">
        <v>729</v>
      </c>
      <c r="M116" t="s">
        <v>1488</v>
      </c>
      <c r="N116" s="22" t="s">
        <v>1490</v>
      </c>
      <c r="O116" t="s">
        <v>746</v>
      </c>
      <c r="P116" t="s">
        <v>772</v>
      </c>
      <c r="R116" t="s">
        <v>2203</v>
      </c>
    </row>
    <row r="117" spans="1:18" x14ac:dyDescent="0.25">
      <c r="A117" s="18" t="s">
        <v>857</v>
      </c>
      <c r="B117" s="18" t="s">
        <v>501</v>
      </c>
      <c r="C117" s="18" t="s">
        <v>502</v>
      </c>
      <c r="D117" s="18" t="s">
        <v>1261</v>
      </c>
      <c r="E117" s="18" t="s">
        <v>375</v>
      </c>
      <c r="F117" s="18"/>
      <c r="G117" s="18" t="s">
        <v>498</v>
      </c>
      <c r="H117" s="18" t="s">
        <v>374</v>
      </c>
      <c r="I117" s="18" t="s">
        <v>2095</v>
      </c>
      <c r="J117" s="18"/>
      <c r="K117" s="18"/>
      <c r="L117" s="18"/>
      <c r="M117" s="18"/>
      <c r="N117" s="18"/>
      <c r="O117" s="18" t="s">
        <v>746</v>
      </c>
      <c r="P117" s="18"/>
      <c r="Q117" s="18"/>
      <c r="R117" s="18"/>
    </row>
    <row r="118" spans="1:18" s="18" customFormat="1" x14ac:dyDescent="0.25">
      <c r="A118" t="s">
        <v>863</v>
      </c>
      <c r="B118" t="s">
        <v>313</v>
      </c>
      <c r="C118" t="s">
        <v>314</v>
      </c>
      <c r="D118" t="s">
        <v>1287</v>
      </c>
      <c r="E118" t="s">
        <v>233</v>
      </c>
      <c r="F118" t="s">
        <v>1002</v>
      </c>
      <c r="G118" t="s">
        <v>707</v>
      </c>
      <c r="H118" t="s">
        <v>10</v>
      </c>
      <c r="I118" t="s">
        <v>2109</v>
      </c>
      <c r="J118"/>
      <c r="K118"/>
      <c r="L118" t="s">
        <v>1001</v>
      </c>
      <c r="M118" t="s">
        <v>707</v>
      </c>
      <c r="N118" t="s">
        <v>707</v>
      </c>
      <c r="O118" t="s">
        <v>746</v>
      </c>
      <c r="P118"/>
      <c r="Q118"/>
      <c r="R118" t="s">
        <v>2028</v>
      </c>
    </row>
    <row r="119" spans="1:18" x14ac:dyDescent="0.25">
      <c r="A119" t="s">
        <v>718</v>
      </c>
      <c r="B119" t="s">
        <v>246</v>
      </c>
      <c r="C119" t="s">
        <v>315</v>
      </c>
      <c r="D119" t="s">
        <v>1351</v>
      </c>
      <c r="E119" t="s">
        <v>233</v>
      </c>
      <c r="F119" t="s">
        <v>249</v>
      </c>
      <c r="G119" t="s">
        <v>248</v>
      </c>
      <c r="H119" t="s">
        <v>10</v>
      </c>
      <c r="I119" t="s">
        <v>2149</v>
      </c>
      <c r="L119" t="s">
        <v>1055</v>
      </c>
      <c r="M119" t="s">
        <v>1063</v>
      </c>
      <c r="N119" t="s">
        <v>707</v>
      </c>
      <c r="O119" t="s">
        <v>749</v>
      </c>
      <c r="P119" t="s">
        <v>2310</v>
      </c>
      <c r="Q119" t="s">
        <v>2475</v>
      </c>
      <c r="R119" t="s">
        <v>2280</v>
      </c>
    </row>
    <row r="120" spans="1:18" s="18" customFormat="1" x14ac:dyDescent="0.25">
      <c r="A120" s="18" t="s">
        <v>443</v>
      </c>
      <c r="B120" s="18" t="s">
        <v>443</v>
      </c>
      <c r="C120" s="18" t="s">
        <v>444</v>
      </c>
      <c r="D120" s="18" t="s">
        <v>1208</v>
      </c>
      <c r="E120" s="18" t="s">
        <v>375</v>
      </c>
      <c r="G120" s="18" t="s">
        <v>445</v>
      </c>
      <c r="H120" s="18" t="s">
        <v>374</v>
      </c>
      <c r="I120" s="18" t="s">
        <v>2060</v>
      </c>
      <c r="O120" s="18" t="s">
        <v>746</v>
      </c>
    </row>
    <row r="121" spans="1:18" x14ac:dyDescent="0.25">
      <c r="A121" s="18" t="s">
        <v>893</v>
      </c>
      <c r="B121" s="18" t="s">
        <v>455</v>
      </c>
      <c r="C121" s="18" t="s">
        <v>456</v>
      </c>
      <c r="D121" s="18" t="s">
        <v>1360</v>
      </c>
      <c r="E121" s="18" t="s">
        <v>375</v>
      </c>
      <c r="F121" s="18"/>
      <c r="G121" s="18" t="s">
        <v>457</v>
      </c>
      <c r="H121" s="18" t="s">
        <v>374</v>
      </c>
      <c r="I121" s="18" t="s">
        <v>2155</v>
      </c>
      <c r="J121" s="18"/>
      <c r="K121" s="18"/>
      <c r="L121" s="18"/>
      <c r="M121" s="18"/>
      <c r="N121" s="18"/>
      <c r="O121" s="18" t="s">
        <v>746</v>
      </c>
      <c r="P121" s="18"/>
      <c r="Q121" s="18"/>
      <c r="R121" s="18"/>
    </row>
    <row r="122" spans="1:18" x14ac:dyDescent="0.25">
      <c r="A122" s="18" t="s">
        <v>898</v>
      </c>
      <c r="B122" s="18" t="s">
        <v>435</v>
      </c>
      <c r="C122" s="18" t="s">
        <v>438</v>
      </c>
      <c r="D122" s="18" t="s">
        <v>1369</v>
      </c>
      <c r="E122" s="18" t="s">
        <v>375</v>
      </c>
      <c r="F122" s="18"/>
      <c r="G122" s="18" t="s">
        <v>439</v>
      </c>
      <c r="H122" s="18" t="s">
        <v>374</v>
      </c>
      <c r="I122" s="18" t="s">
        <v>2161</v>
      </c>
      <c r="J122" s="18"/>
      <c r="K122" s="18"/>
      <c r="L122" s="18"/>
      <c r="M122" s="18"/>
      <c r="N122" s="18"/>
      <c r="O122" s="18" t="s">
        <v>746</v>
      </c>
      <c r="P122" s="18"/>
      <c r="Q122" s="18"/>
      <c r="R122" s="18"/>
    </row>
    <row r="123" spans="1:18" x14ac:dyDescent="0.2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25">
      <c r="A124" s="18" t="s">
        <v>864</v>
      </c>
      <c r="B124" s="18" t="s">
        <v>426</v>
      </c>
      <c r="C124" s="18" t="s">
        <v>427</v>
      </c>
      <c r="D124" s="18" t="s">
        <v>1289</v>
      </c>
      <c r="E124" s="18" t="s">
        <v>375</v>
      </c>
      <c r="G124" s="18" t="s">
        <v>428</v>
      </c>
      <c r="H124" s="18" t="s">
        <v>374</v>
      </c>
      <c r="I124" s="18" t="s">
        <v>2111</v>
      </c>
      <c r="O124" s="18" t="s">
        <v>746</v>
      </c>
    </row>
    <row r="125" spans="1:18" x14ac:dyDescent="0.25">
      <c r="A125" s="18" t="s">
        <v>883</v>
      </c>
      <c r="B125" s="18" t="s">
        <v>404</v>
      </c>
      <c r="C125" s="18" t="s">
        <v>405</v>
      </c>
      <c r="D125" s="18" t="s">
        <v>1332</v>
      </c>
      <c r="E125" s="18" t="s">
        <v>375</v>
      </c>
      <c r="F125" s="18"/>
      <c r="G125" s="18" t="s">
        <v>130</v>
      </c>
      <c r="H125" s="18" t="s">
        <v>374</v>
      </c>
      <c r="I125" s="18" t="s">
        <v>2141</v>
      </c>
      <c r="J125" s="18"/>
      <c r="K125" s="18"/>
      <c r="L125" s="18"/>
      <c r="M125" s="18"/>
      <c r="N125" s="18"/>
      <c r="O125" s="18" t="s">
        <v>746</v>
      </c>
      <c r="P125" s="18"/>
      <c r="Q125" s="18"/>
      <c r="R125" s="18"/>
    </row>
    <row r="126" spans="1:18" s="18" customFormat="1" x14ac:dyDescent="0.25">
      <c r="A126" s="18" t="s">
        <v>645</v>
      </c>
      <c r="B126" s="18" t="s">
        <v>645</v>
      </c>
      <c r="C126" s="18" t="s">
        <v>646</v>
      </c>
      <c r="D126" s="18" t="s">
        <v>1375</v>
      </c>
      <c r="E126" s="18" t="s">
        <v>375</v>
      </c>
      <c r="G126" s="18" t="s">
        <v>647</v>
      </c>
      <c r="H126" s="18" t="s">
        <v>374</v>
      </c>
      <c r="I126" s="18" t="s">
        <v>2167</v>
      </c>
      <c r="O126" s="18" t="s">
        <v>746</v>
      </c>
    </row>
    <row r="127" spans="1:18" s="18" customFormat="1" x14ac:dyDescent="0.25">
      <c r="A127" s="18" t="s">
        <v>866</v>
      </c>
      <c r="B127" s="18" t="s">
        <v>471</v>
      </c>
      <c r="C127" s="18" t="s">
        <v>472</v>
      </c>
      <c r="D127" s="18" t="s">
        <v>1294</v>
      </c>
      <c r="E127" s="18" t="s">
        <v>375</v>
      </c>
      <c r="G127" s="18" t="s">
        <v>468</v>
      </c>
      <c r="H127" s="18" t="s">
        <v>374</v>
      </c>
      <c r="I127" s="18" t="s">
        <v>2116</v>
      </c>
      <c r="O127" s="18" t="s">
        <v>746</v>
      </c>
    </row>
    <row r="128" spans="1:18" s="18" customFormat="1" x14ac:dyDescent="0.25">
      <c r="A128" t="s">
        <v>859</v>
      </c>
      <c r="B128" t="s">
        <v>202</v>
      </c>
      <c r="C128" t="s">
        <v>203</v>
      </c>
      <c r="D128" t="s">
        <v>1277</v>
      </c>
      <c r="E128" t="s">
        <v>11</v>
      </c>
      <c r="F128" t="s">
        <v>23</v>
      </c>
      <c r="G128" t="s">
        <v>204</v>
      </c>
      <c r="H128" t="s">
        <v>10</v>
      </c>
      <c r="I128" t="s">
        <v>2101</v>
      </c>
      <c r="J128"/>
      <c r="K128"/>
      <c r="L128" t="s">
        <v>987</v>
      </c>
      <c r="M128" t="s">
        <v>988</v>
      </c>
      <c r="N128" t="s">
        <v>989</v>
      </c>
      <c r="O128" t="s">
        <v>746</v>
      </c>
      <c r="P128"/>
      <c r="Q128"/>
      <c r="R128" t="s">
        <v>2102</v>
      </c>
    </row>
    <row r="129" spans="1:18" x14ac:dyDescent="0.25">
      <c r="A129" s="18" t="s">
        <v>910</v>
      </c>
      <c r="B129" s="18" t="s">
        <v>493</v>
      </c>
      <c r="C129" s="18" t="s">
        <v>494</v>
      </c>
      <c r="D129" s="18" t="s">
        <v>1430</v>
      </c>
      <c r="E129" s="18" t="s">
        <v>375</v>
      </c>
      <c r="F129" s="18"/>
      <c r="G129" s="18" t="s">
        <v>491</v>
      </c>
      <c r="H129" s="18" t="s">
        <v>374</v>
      </c>
      <c r="I129" s="18" t="s">
        <v>2195</v>
      </c>
      <c r="J129" s="18"/>
      <c r="K129" s="18"/>
      <c r="L129" s="18"/>
      <c r="M129" s="18"/>
      <c r="N129" s="18"/>
      <c r="O129" s="18" t="s">
        <v>746</v>
      </c>
      <c r="P129" s="18"/>
      <c r="Q129" s="18"/>
      <c r="R129" s="18"/>
    </row>
    <row r="130" spans="1:18" x14ac:dyDescent="0.25">
      <c r="A130" s="18" t="s">
        <v>871</v>
      </c>
      <c r="B130" s="18" t="s">
        <v>473</v>
      </c>
      <c r="C130" s="18" t="s">
        <v>474</v>
      </c>
      <c r="D130" s="18" t="s">
        <v>1302</v>
      </c>
      <c r="E130" s="18" t="s">
        <v>375</v>
      </c>
      <c r="F130" s="18"/>
      <c r="G130" s="18" t="s">
        <v>468</v>
      </c>
      <c r="H130" s="18" t="s">
        <v>374</v>
      </c>
      <c r="I130" s="18" t="s">
        <v>2123</v>
      </c>
      <c r="J130" s="18"/>
      <c r="K130" s="18"/>
      <c r="L130" s="18"/>
      <c r="M130" s="18"/>
      <c r="N130" s="18"/>
      <c r="O130" s="18" t="s">
        <v>746</v>
      </c>
      <c r="P130" s="18"/>
      <c r="Q130" s="18"/>
      <c r="R130" s="18"/>
    </row>
    <row r="131" spans="1:18" x14ac:dyDescent="0.25">
      <c r="A131" s="18" t="s">
        <v>848</v>
      </c>
      <c r="B131" s="18" t="s">
        <v>479</v>
      </c>
      <c r="C131" s="18" t="s">
        <v>480</v>
      </c>
      <c r="D131" s="18" t="s">
        <v>1230</v>
      </c>
      <c r="E131" s="18" t="s">
        <v>375</v>
      </c>
      <c r="F131" s="18"/>
      <c r="G131" s="18" t="s">
        <v>468</v>
      </c>
      <c r="H131" s="18" t="s">
        <v>374</v>
      </c>
      <c r="I131" s="18" t="s">
        <v>2077</v>
      </c>
      <c r="J131" s="18"/>
      <c r="K131" s="18"/>
      <c r="L131" s="18"/>
      <c r="M131" s="18"/>
      <c r="N131" s="18"/>
      <c r="O131" s="18" t="s">
        <v>746</v>
      </c>
      <c r="P131" s="18"/>
      <c r="Q131" s="18"/>
      <c r="R131" s="18"/>
    </row>
    <row r="132" spans="1:18" s="18" customFormat="1" x14ac:dyDescent="0.25">
      <c r="A132" s="18" t="s">
        <v>874</v>
      </c>
      <c r="B132" s="18" t="s">
        <v>475</v>
      </c>
      <c r="C132" s="18" t="s">
        <v>476</v>
      </c>
      <c r="D132" s="18" t="s">
        <v>1306</v>
      </c>
      <c r="E132" s="18" t="s">
        <v>375</v>
      </c>
      <c r="G132" s="18" t="s">
        <v>468</v>
      </c>
      <c r="H132" s="18" t="s">
        <v>374</v>
      </c>
      <c r="I132" s="18" t="s">
        <v>2126</v>
      </c>
      <c r="O132" s="18" t="s">
        <v>746</v>
      </c>
    </row>
    <row r="133" spans="1:18" x14ac:dyDescent="0.25">
      <c r="A133" t="s">
        <v>718</v>
      </c>
      <c r="B133" t="s">
        <v>151</v>
      </c>
      <c r="C133" t="s">
        <v>170</v>
      </c>
      <c r="D133" t="s">
        <v>1353</v>
      </c>
      <c r="E133" t="s">
        <v>11</v>
      </c>
      <c r="F133" t="s">
        <v>34</v>
      </c>
      <c r="G133" t="s">
        <v>171</v>
      </c>
      <c r="H133" t="s">
        <v>10</v>
      </c>
      <c r="I133" t="s">
        <v>2149</v>
      </c>
      <c r="J133" t="s">
        <v>2152</v>
      </c>
      <c r="K133" t="s">
        <v>2153</v>
      </c>
      <c r="L133" t="s">
        <v>1055</v>
      </c>
      <c r="M133" t="s">
        <v>1065</v>
      </c>
      <c r="N133" s="22" t="s">
        <v>1067</v>
      </c>
      <c r="O133" t="s">
        <v>749</v>
      </c>
      <c r="P133" t="s">
        <v>2310</v>
      </c>
      <c r="Q133" t="s">
        <v>2475</v>
      </c>
      <c r="R133" t="s">
        <v>2280</v>
      </c>
    </row>
    <row r="134" spans="1:18" x14ac:dyDescent="0.25">
      <c r="A134" t="s">
        <v>903</v>
      </c>
      <c r="B134" t="s">
        <v>306</v>
      </c>
      <c r="C134" t="s">
        <v>316</v>
      </c>
      <c r="D134" t="s">
        <v>1381</v>
      </c>
      <c r="E134" t="s">
        <v>233</v>
      </c>
      <c r="F134" t="s">
        <v>245</v>
      </c>
      <c r="G134" t="s">
        <v>244</v>
      </c>
      <c r="H134" t="s">
        <v>10</v>
      </c>
      <c r="I134" t="s">
        <v>2172</v>
      </c>
      <c r="L134" t="s">
        <v>1097</v>
      </c>
      <c r="M134" t="s">
        <v>1098</v>
      </c>
      <c r="N134" t="s">
        <v>707</v>
      </c>
      <c r="O134" t="s">
        <v>746</v>
      </c>
      <c r="P134" t="s">
        <v>720</v>
      </c>
      <c r="R134" t="s">
        <v>2173</v>
      </c>
    </row>
    <row r="135" spans="1:18" s="18" customFormat="1" x14ac:dyDescent="0.25">
      <c r="A135" t="s">
        <v>717</v>
      </c>
      <c r="B135" t="s">
        <v>79</v>
      </c>
      <c r="C135" t="s">
        <v>89</v>
      </c>
      <c r="D135" t="s">
        <v>1269</v>
      </c>
      <c r="E135" t="s">
        <v>11</v>
      </c>
      <c r="F135" t="s">
        <v>21</v>
      </c>
      <c r="G135" t="s">
        <v>90</v>
      </c>
      <c r="H135" t="s">
        <v>10</v>
      </c>
      <c r="I135" t="s">
        <v>1848</v>
      </c>
      <c r="J135" t="s">
        <v>1778</v>
      </c>
      <c r="K135" t="s">
        <v>1849</v>
      </c>
      <c r="L135" t="s">
        <v>980</v>
      </c>
      <c r="M135" t="s">
        <v>707</v>
      </c>
      <c r="N135" s="22" t="s">
        <v>983</v>
      </c>
      <c r="O135" t="s">
        <v>710</v>
      </c>
      <c r="P135" t="s">
        <v>2310</v>
      </c>
      <c r="Q135"/>
      <c r="R135" t="s">
        <v>2099</v>
      </c>
    </row>
    <row r="136" spans="1:18" x14ac:dyDescent="0.25">
      <c r="A136" t="s">
        <v>30</v>
      </c>
      <c r="B136" t="s">
        <v>30</v>
      </c>
      <c r="C136" t="s">
        <v>31</v>
      </c>
      <c r="D136" t="s">
        <v>1210</v>
      </c>
      <c r="E136" t="s">
        <v>11</v>
      </c>
      <c r="F136" t="s">
        <v>13</v>
      </c>
      <c r="G136" t="s">
        <v>16</v>
      </c>
      <c r="H136" t="s">
        <v>10</v>
      </c>
      <c r="I136" t="s">
        <v>2062</v>
      </c>
      <c r="L136" t="s">
        <v>758</v>
      </c>
      <c r="M136" t="s">
        <v>934</v>
      </c>
      <c r="N136" s="22" t="s">
        <v>933</v>
      </c>
      <c r="O136" t="s">
        <v>710</v>
      </c>
      <c r="P136" t="s">
        <v>772</v>
      </c>
      <c r="R136" t="s">
        <v>2063</v>
      </c>
    </row>
    <row r="137" spans="1:18" s="18" customFormat="1" x14ac:dyDescent="0.25">
      <c r="A137" t="s">
        <v>14</v>
      </c>
      <c r="B137" t="s">
        <v>14</v>
      </c>
      <c r="C137" t="s">
        <v>91</v>
      </c>
      <c r="D137" t="s">
        <v>1126</v>
      </c>
      <c r="E137" t="s">
        <v>11</v>
      </c>
      <c r="F137" t="s">
        <v>23</v>
      </c>
      <c r="G137" t="s">
        <v>92</v>
      </c>
      <c r="H137" t="s">
        <v>10</v>
      </c>
      <c r="I137" t="s">
        <v>2016</v>
      </c>
      <c r="J137"/>
      <c r="K137"/>
      <c r="L137" s="2" t="s">
        <v>768</v>
      </c>
      <c r="M137" s="2" t="s">
        <v>1512</v>
      </c>
      <c r="N137" s="2" t="s">
        <v>1513</v>
      </c>
      <c r="O137" t="s">
        <v>710</v>
      </c>
      <c r="P137" t="s">
        <v>772</v>
      </c>
      <c r="Q137"/>
      <c r="R137" t="s">
        <v>2018</v>
      </c>
    </row>
    <row r="138" spans="1:18" s="18" customFormat="1" x14ac:dyDescent="0.25">
      <c r="A138" t="s">
        <v>718</v>
      </c>
      <c r="B138" t="s">
        <v>246</v>
      </c>
      <c r="C138" t="s">
        <v>317</v>
      </c>
      <c r="D138" t="s">
        <v>1347</v>
      </c>
      <c r="E138" t="s">
        <v>233</v>
      </c>
      <c r="F138" t="s">
        <v>249</v>
      </c>
      <c r="G138" t="s">
        <v>248</v>
      </c>
      <c r="H138" t="s">
        <v>10</v>
      </c>
      <c r="I138" t="s">
        <v>2149</v>
      </c>
      <c r="J138" t="s">
        <v>2150</v>
      </c>
      <c r="K138" t="s">
        <v>2151</v>
      </c>
      <c r="L138" t="s">
        <v>1055</v>
      </c>
      <c r="M138" t="s">
        <v>1062</v>
      </c>
      <c r="N138" t="s">
        <v>707</v>
      </c>
      <c r="O138" t="s">
        <v>749</v>
      </c>
      <c r="P138" t="s">
        <v>2310</v>
      </c>
      <c r="Q138" t="s">
        <v>2475</v>
      </c>
      <c r="R138" t="s">
        <v>2280</v>
      </c>
    </row>
    <row r="139" spans="1:18" s="18" customFormat="1" x14ac:dyDescent="0.25">
      <c r="A139" s="18" t="s">
        <v>377</v>
      </c>
      <c r="B139" s="18" t="s">
        <v>377</v>
      </c>
      <c r="C139" s="18" t="s">
        <v>378</v>
      </c>
      <c r="D139" s="18" t="s">
        <v>1292</v>
      </c>
      <c r="E139" s="18" t="s">
        <v>375</v>
      </c>
      <c r="G139" s="18" t="s">
        <v>379</v>
      </c>
      <c r="H139" s="18" t="s">
        <v>374</v>
      </c>
      <c r="I139" s="18" t="s">
        <v>2114</v>
      </c>
      <c r="O139" s="18" t="s">
        <v>746</v>
      </c>
    </row>
    <row r="140" spans="1:18" s="18" customFormat="1" x14ac:dyDescent="0.25">
      <c r="A140" s="18" t="s">
        <v>718</v>
      </c>
      <c r="B140" s="18" t="s">
        <v>151</v>
      </c>
      <c r="C140" s="18" t="s">
        <v>495</v>
      </c>
      <c r="D140" s="18" t="s">
        <v>1356</v>
      </c>
      <c r="E140" s="18" t="s">
        <v>375</v>
      </c>
      <c r="G140" s="18" t="s">
        <v>174</v>
      </c>
      <c r="H140" s="18" t="s">
        <v>374</v>
      </c>
      <c r="I140" s="18" t="s">
        <v>2149</v>
      </c>
      <c r="J140" s="18" t="s">
        <v>2152</v>
      </c>
      <c r="K140" s="18" t="s">
        <v>2153</v>
      </c>
      <c r="L140" s="18" t="s">
        <v>1055</v>
      </c>
      <c r="M140" s="18" t="s">
        <v>1065</v>
      </c>
      <c r="N140" s="18" t="s">
        <v>707</v>
      </c>
      <c r="O140" s="18" t="s">
        <v>749</v>
      </c>
    </row>
    <row r="141" spans="1:18" s="18" customFormat="1" x14ac:dyDescent="0.25">
      <c r="A141" t="s">
        <v>719</v>
      </c>
      <c r="B141" t="s">
        <v>181</v>
      </c>
      <c r="C141" t="s">
        <v>318</v>
      </c>
      <c r="D141" t="s">
        <v>1429</v>
      </c>
      <c r="E141" t="s">
        <v>233</v>
      </c>
      <c r="F141" t="s">
        <v>23</v>
      </c>
      <c r="G141" t="s">
        <v>183</v>
      </c>
      <c r="H141" t="s">
        <v>10</v>
      </c>
      <c r="I141" t="s">
        <v>2191</v>
      </c>
      <c r="J141"/>
      <c r="K141"/>
      <c r="L141" t="s">
        <v>1472</v>
      </c>
      <c r="M141" t="s">
        <v>1481</v>
      </c>
      <c r="N141" t="s">
        <v>707</v>
      </c>
      <c r="O141" t="s">
        <v>710</v>
      </c>
      <c r="P141" t="s">
        <v>2310</v>
      </c>
      <c r="Q141"/>
      <c r="R141" t="s">
        <v>2194</v>
      </c>
    </row>
    <row r="142" spans="1:18" s="18" customFormat="1" x14ac:dyDescent="0.25">
      <c r="A142" s="18" t="s">
        <v>736</v>
      </c>
      <c r="B142" s="18" t="s">
        <v>569</v>
      </c>
      <c r="C142" s="18" t="s">
        <v>570</v>
      </c>
      <c r="D142" s="18" t="s">
        <v>1199</v>
      </c>
      <c r="E142" s="18" t="s">
        <v>375</v>
      </c>
      <c r="G142" s="18" t="s">
        <v>183</v>
      </c>
      <c r="H142" s="18" t="s">
        <v>374</v>
      </c>
      <c r="I142" s="18" t="s">
        <v>2019</v>
      </c>
      <c r="L142" s="18" t="s">
        <v>1523</v>
      </c>
      <c r="M142" s="19" t="s">
        <v>1522</v>
      </c>
      <c r="N142" s="18" t="s">
        <v>1611</v>
      </c>
      <c r="O142" s="18" t="s">
        <v>746</v>
      </c>
    </row>
    <row r="143" spans="1:18" s="18" customFormat="1" x14ac:dyDescent="0.25">
      <c r="A143" t="s">
        <v>14</v>
      </c>
      <c r="B143" t="s">
        <v>14</v>
      </c>
      <c r="C143" t="s">
        <v>67</v>
      </c>
      <c r="D143" t="s">
        <v>1128</v>
      </c>
      <c r="E143" t="s">
        <v>11</v>
      </c>
      <c r="F143" t="s">
        <v>21</v>
      </c>
      <c r="G143" t="s">
        <v>64</v>
      </c>
      <c r="H143" t="s">
        <v>10</v>
      </c>
      <c r="I143" t="s">
        <v>2016</v>
      </c>
      <c r="J143"/>
      <c r="K143"/>
      <c r="L143" s="2" t="s">
        <v>768</v>
      </c>
      <c r="M143" s="2" t="s">
        <v>1510</v>
      </c>
      <c r="N143" s="2" t="s">
        <v>1511</v>
      </c>
      <c r="O143" t="s">
        <v>710</v>
      </c>
      <c r="P143" t="s">
        <v>772</v>
      </c>
      <c r="Q143"/>
      <c r="R143" t="s">
        <v>2018</v>
      </c>
    </row>
    <row r="144" spans="1:18" s="18" customFormat="1" x14ac:dyDescent="0.25">
      <c r="A144" s="18" t="s">
        <v>843</v>
      </c>
      <c r="B144" s="18" t="s">
        <v>654</v>
      </c>
      <c r="C144" s="18" t="s">
        <v>694</v>
      </c>
      <c r="D144" s="18" t="s">
        <v>1225</v>
      </c>
      <c r="E144" s="18" t="s">
        <v>375</v>
      </c>
      <c r="G144" s="18" t="s">
        <v>693</v>
      </c>
      <c r="H144" s="18" t="s">
        <v>374</v>
      </c>
      <c r="I144" s="18" t="s">
        <v>2073</v>
      </c>
      <c r="O144" s="18" t="s">
        <v>746</v>
      </c>
    </row>
    <row r="145" spans="1:18" s="18" customFormat="1" x14ac:dyDescent="0.25">
      <c r="A145" s="18" t="s">
        <v>843</v>
      </c>
      <c r="B145" s="18" t="s">
        <v>654</v>
      </c>
      <c r="C145" s="18" t="s">
        <v>655</v>
      </c>
      <c r="D145" s="18" t="s">
        <v>1224</v>
      </c>
      <c r="E145" s="18" t="s">
        <v>375</v>
      </c>
      <c r="G145" s="18" t="s">
        <v>653</v>
      </c>
      <c r="H145" s="18" t="s">
        <v>374</v>
      </c>
      <c r="I145" s="18" t="s">
        <v>2073</v>
      </c>
      <c r="O145" s="18" t="s">
        <v>746</v>
      </c>
    </row>
    <row r="146" spans="1:18" x14ac:dyDescent="0.25">
      <c r="A146" t="s">
        <v>784</v>
      </c>
      <c r="B146" t="s">
        <v>68</v>
      </c>
      <c r="C146" t="s">
        <v>69</v>
      </c>
      <c r="D146" t="s">
        <v>1159</v>
      </c>
      <c r="E146" t="s">
        <v>11</v>
      </c>
      <c r="F146" t="s">
        <v>19</v>
      </c>
      <c r="G146" t="s">
        <v>64</v>
      </c>
      <c r="H146" t="s">
        <v>10</v>
      </c>
      <c r="I146" t="s">
        <v>2031</v>
      </c>
      <c r="L146" t="s">
        <v>788</v>
      </c>
      <c r="N146" s="2" t="s">
        <v>819</v>
      </c>
      <c r="O146" t="s">
        <v>746</v>
      </c>
      <c r="P146" t="s">
        <v>772</v>
      </c>
      <c r="R146" t="s">
        <v>2927</v>
      </c>
    </row>
    <row r="147" spans="1:18" x14ac:dyDescent="0.25">
      <c r="A147" s="18" t="s">
        <v>856</v>
      </c>
      <c r="B147" s="18" t="s">
        <v>581</v>
      </c>
      <c r="C147" s="18" t="s">
        <v>582</v>
      </c>
      <c r="D147" s="18" t="s">
        <v>1260</v>
      </c>
      <c r="E147" s="18" t="s">
        <v>375</v>
      </c>
      <c r="F147" s="18"/>
      <c r="G147" s="18" t="s">
        <v>583</v>
      </c>
      <c r="H147" s="18" t="s">
        <v>374</v>
      </c>
      <c r="I147" s="18" t="s">
        <v>2094</v>
      </c>
      <c r="J147" s="18"/>
      <c r="K147" s="18"/>
      <c r="L147" s="18"/>
      <c r="M147" s="18"/>
      <c r="N147" s="18"/>
      <c r="O147" s="18" t="s">
        <v>746</v>
      </c>
      <c r="P147" s="18"/>
      <c r="Q147" s="18"/>
      <c r="R147" s="18"/>
    </row>
    <row r="148" spans="1:18" x14ac:dyDescent="0.25">
      <c r="A148" t="s">
        <v>714</v>
      </c>
      <c r="B148" t="s">
        <v>281</v>
      </c>
      <c r="C148" t="s">
        <v>319</v>
      </c>
      <c r="D148" t="s">
        <v>1244</v>
      </c>
      <c r="E148" t="s">
        <v>233</v>
      </c>
      <c r="F148" t="s">
        <v>255</v>
      </c>
      <c r="G148" t="s">
        <v>244</v>
      </c>
      <c r="H148" t="s">
        <v>10</v>
      </c>
      <c r="I148" t="s">
        <v>2085</v>
      </c>
      <c r="L148" t="s">
        <v>951</v>
      </c>
      <c r="M148" t="s">
        <v>707</v>
      </c>
      <c r="N148" t="s">
        <v>707</v>
      </c>
      <c r="O148" t="s">
        <v>746</v>
      </c>
      <c r="P148" t="s">
        <v>807</v>
      </c>
      <c r="R148" t="s">
        <v>2304</v>
      </c>
    </row>
    <row r="149" spans="1:18" s="18" customFormat="1" x14ac:dyDescent="0.25">
      <c r="A149" s="18" t="s">
        <v>554</v>
      </c>
      <c r="B149" s="18" t="s">
        <v>554</v>
      </c>
      <c r="C149" s="18" t="s">
        <v>29</v>
      </c>
      <c r="D149" s="18" t="s">
        <v>1237</v>
      </c>
      <c r="E149" s="18" t="s">
        <v>375</v>
      </c>
      <c r="G149" s="18" t="s">
        <v>599</v>
      </c>
      <c r="H149" s="18" t="s">
        <v>374</v>
      </c>
      <c r="I149" s="18" t="s">
        <v>2083</v>
      </c>
      <c r="O149" s="18" t="s">
        <v>746</v>
      </c>
    </row>
    <row r="150" spans="1:18" x14ac:dyDescent="0.25">
      <c r="A150" s="18" t="s">
        <v>865</v>
      </c>
      <c r="B150" s="18" t="s">
        <v>530</v>
      </c>
      <c r="C150" s="18" t="s">
        <v>531</v>
      </c>
      <c r="D150" s="18" t="s">
        <v>1291</v>
      </c>
      <c r="E150" s="18" t="s">
        <v>375</v>
      </c>
      <c r="F150" s="18"/>
      <c r="G150" s="18" t="s">
        <v>532</v>
      </c>
      <c r="H150" s="18" t="s">
        <v>374</v>
      </c>
      <c r="I150" s="18" t="s">
        <v>2113</v>
      </c>
      <c r="J150" s="18"/>
      <c r="K150" s="18"/>
      <c r="L150" s="18"/>
      <c r="M150" s="18"/>
      <c r="N150" s="18"/>
      <c r="O150" s="18" t="s">
        <v>746</v>
      </c>
      <c r="P150" s="18"/>
      <c r="Q150" s="18"/>
      <c r="R150" s="18"/>
    </row>
    <row r="151" spans="1:18" s="18" customFormat="1" x14ac:dyDescent="0.25">
      <c r="A151" s="18" t="s">
        <v>849</v>
      </c>
      <c r="B151" s="18" t="s">
        <v>603</v>
      </c>
      <c r="C151" s="18" t="s">
        <v>604</v>
      </c>
      <c r="D151" s="18" t="s">
        <v>1234</v>
      </c>
      <c r="E151" s="18" t="s">
        <v>375</v>
      </c>
      <c r="G151" s="18" t="s">
        <v>605</v>
      </c>
      <c r="H151" s="18" t="s">
        <v>374</v>
      </c>
      <c r="I151" s="18" t="s">
        <v>2080</v>
      </c>
      <c r="O151" s="18" t="s">
        <v>746</v>
      </c>
    </row>
    <row r="152" spans="1:18" x14ac:dyDescent="0.25">
      <c r="A152" t="s">
        <v>159</v>
      </c>
      <c r="B152" t="s">
        <v>159</v>
      </c>
      <c r="C152" t="s">
        <v>160</v>
      </c>
      <c r="D152" t="s">
        <v>1165</v>
      </c>
      <c r="E152" t="s">
        <v>11</v>
      </c>
      <c r="F152" t="s">
        <v>34</v>
      </c>
      <c r="G152" t="s">
        <v>157</v>
      </c>
      <c r="H152" t="s">
        <v>10</v>
      </c>
      <c r="I152" t="s">
        <v>2035</v>
      </c>
      <c r="L152" s="3" t="s">
        <v>1526</v>
      </c>
      <c r="M152" s="3" t="s">
        <v>821</v>
      </c>
      <c r="N152" s="30" t="s">
        <v>823</v>
      </c>
      <c r="O152" t="s">
        <v>746</v>
      </c>
      <c r="P152" t="s">
        <v>772</v>
      </c>
      <c r="R152" t="s">
        <v>2036</v>
      </c>
    </row>
    <row r="153" spans="1:18" x14ac:dyDescent="0.25">
      <c r="A153" s="18" t="s">
        <v>885</v>
      </c>
      <c r="B153" s="18" t="s">
        <v>477</v>
      </c>
      <c r="C153" s="18" t="s">
        <v>478</v>
      </c>
      <c r="D153" s="18" t="s">
        <v>1334</v>
      </c>
      <c r="E153" s="18" t="s">
        <v>375</v>
      </c>
      <c r="F153" s="18"/>
      <c r="G153" s="18" t="s">
        <v>468</v>
      </c>
      <c r="H153" s="18" t="s">
        <v>374</v>
      </c>
      <c r="I153" s="18" t="s">
        <v>2143</v>
      </c>
      <c r="J153" s="18"/>
      <c r="K153" s="18"/>
      <c r="L153" s="18"/>
      <c r="M153" s="18"/>
      <c r="N153" s="18"/>
      <c r="O153" s="18" t="s">
        <v>746</v>
      </c>
      <c r="P153" s="18"/>
      <c r="Q153" s="18"/>
      <c r="R153" s="18"/>
    </row>
    <row r="154" spans="1:18" s="18" customFormat="1" x14ac:dyDescent="0.25">
      <c r="A154" t="s">
        <v>208</v>
      </c>
      <c r="B154" t="s">
        <v>208</v>
      </c>
      <c r="C154" t="s">
        <v>212</v>
      </c>
      <c r="D154" t="s">
        <v>1176</v>
      </c>
      <c r="E154" t="s">
        <v>11</v>
      </c>
      <c r="F154" t="s">
        <v>44</v>
      </c>
      <c r="G154" t="s">
        <v>210</v>
      </c>
      <c r="H154" t="s">
        <v>10</v>
      </c>
      <c r="I154" t="s">
        <v>1752</v>
      </c>
      <c r="J154" t="s">
        <v>706</v>
      </c>
      <c r="K154" t="s">
        <v>2043</v>
      </c>
      <c r="L154" t="s">
        <v>770</v>
      </c>
      <c r="M154" t="s">
        <v>1530</v>
      </c>
      <c r="N154" t="s">
        <v>830</v>
      </c>
      <c r="O154" t="s">
        <v>710</v>
      </c>
      <c r="P154" t="s">
        <v>807</v>
      </c>
      <c r="Q154"/>
      <c r="R154" t="s">
        <v>2042</v>
      </c>
    </row>
    <row r="155" spans="1:18" s="18" customFormat="1" ht="30" x14ac:dyDescent="0.25">
      <c r="A155" t="s">
        <v>887</v>
      </c>
      <c r="B155" t="s">
        <v>213</v>
      </c>
      <c r="C155" t="s">
        <v>214</v>
      </c>
      <c r="D155" t="s">
        <v>1336</v>
      </c>
      <c r="E155" t="s">
        <v>11</v>
      </c>
      <c r="F155" t="s">
        <v>21</v>
      </c>
      <c r="G155" t="s">
        <v>210</v>
      </c>
      <c r="H155" t="s">
        <v>10</v>
      </c>
      <c r="I155" t="s">
        <v>2145</v>
      </c>
      <c r="J155"/>
      <c r="K155"/>
      <c r="L155" t="s">
        <v>1040</v>
      </c>
      <c r="M155" s="30" t="s">
        <v>2340</v>
      </c>
      <c r="N155" s="22" t="s">
        <v>1042</v>
      </c>
      <c r="O155" t="s">
        <v>746</v>
      </c>
      <c r="P155" t="s">
        <v>772</v>
      </c>
      <c r="Q155"/>
      <c r="R155" t="s">
        <v>2342</v>
      </c>
    </row>
    <row r="156" spans="1:18" x14ac:dyDescent="0.25">
      <c r="A156" t="s">
        <v>725</v>
      </c>
      <c r="B156" t="s">
        <v>138</v>
      </c>
      <c r="C156" t="s">
        <v>139</v>
      </c>
      <c r="D156" t="s">
        <v>1285</v>
      </c>
      <c r="E156" t="s">
        <v>11</v>
      </c>
      <c r="F156" t="s">
        <v>44</v>
      </c>
      <c r="G156" t="s">
        <v>141</v>
      </c>
      <c r="H156" t="s">
        <v>10</v>
      </c>
      <c r="I156" t="s">
        <v>2106</v>
      </c>
      <c r="L156" s="2" t="s">
        <v>724</v>
      </c>
      <c r="M156" t="s">
        <v>2107</v>
      </c>
      <c r="N156" s="22" t="s">
        <v>1000</v>
      </c>
      <c r="O156" t="s">
        <v>746</v>
      </c>
      <c r="R156" t="s">
        <v>2108</v>
      </c>
    </row>
    <row r="157" spans="1:18" s="18" customFormat="1" x14ac:dyDescent="0.25">
      <c r="A157" s="18" t="s">
        <v>424</v>
      </c>
      <c r="B157" s="18" t="s">
        <v>424</v>
      </c>
      <c r="C157" s="18" t="s">
        <v>425</v>
      </c>
      <c r="D157" s="18" t="s">
        <v>1231</v>
      </c>
      <c r="E157" s="18" t="s">
        <v>375</v>
      </c>
      <c r="G157" s="18" t="s">
        <v>423</v>
      </c>
      <c r="H157" s="18" t="s">
        <v>374</v>
      </c>
      <c r="I157" s="18" t="s">
        <v>2078</v>
      </c>
      <c r="O157" s="18" t="s">
        <v>746</v>
      </c>
    </row>
    <row r="158" spans="1:18" s="18" customFormat="1" x14ac:dyDescent="0.25">
      <c r="A158" t="s">
        <v>14</v>
      </c>
      <c r="B158" t="s">
        <v>14</v>
      </c>
      <c r="C158" t="s">
        <v>20</v>
      </c>
      <c r="D158" t="s">
        <v>1130</v>
      </c>
      <c r="E158" t="s">
        <v>11</v>
      </c>
      <c r="F158" t="s">
        <v>19</v>
      </c>
      <c r="G158" t="s">
        <v>16</v>
      </c>
      <c r="H158" t="s">
        <v>10</v>
      </c>
      <c r="I158" t="s">
        <v>2016</v>
      </c>
      <c r="J158" t="s">
        <v>2017</v>
      </c>
      <c r="K158" t="s">
        <v>1749</v>
      </c>
      <c r="L158" s="2" t="s">
        <v>768</v>
      </c>
      <c r="M158" s="2" t="s">
        <v>1501</v>
      </c>
      <c r="N158" s="2" t="s">
        <v>1500</v>
      </c>
      <c r="O158" t="s">
        <v>710</v>
      </c>
      <c r="P158" t="s">
        <v>772</v>
      </c>
      <c r="Q158"/>
      <c r="R158" t="s">
        <v>2018</v>
      </c>
    </row>
    <row r="159" spans="1:18" s="18" customFormat="1" x14ac:dyDescent="0.25">
      <c r="A159" t="s">
        <v>14</v>
      </c>
      <c r="B159" t="s">
        <v>14</v>
      </c>
      <c r="C159" t="s">
        <v>22</v>
      </c>
      <c r="D159" t="s">
        <v>1129</v>
      </c>
      <c r="E159" t="s">
        <v>11</v>
      </c>
      <c r="F159" t="s">
        <v>13</v>
      </c>
      <c r="G159" t="s">
        <v>16</v>
      </c>
      <c r="H159" t="s">
        <v>10</v>
      </c>
      <c r="I159" t="s">
        <v>2016</v>
      </c>
      <c r="J159"/>
      <c r="K159"/>
      <c r="L159" s="2" t="s">
        <v>768</v>
      </c>
      <c r="M159" s="2" t="s">
        <v>1505</v>
      </c>
      <c r="N159" s="2" t="s">
        <v>1504</v>
      </c>
      <c r="O159" t="s">
        <v>710</v>
      </c>
      <c r="P159" t="s">
        <v>772</v>
      </c>
      <c r="Q159"/>
      <c r="R159" t="s">
        <v>2018</v>
      </c>
    </row>
    <row r="160" spans="1:18" s="18" customFormat="1" x14ac:dyDescent="0.25">
      <c r="A160" s="18" t="s">
        <v>661</v>
      </c>
      <c r="B160" s="18" t="s">
        <v>661</v>
      </c>
      <c r="C160" s="18" t="s">
        <v>662</v>
      </c>
      <c r="D160" s="18" t="s">
        <v>1338</v>
      </c>
      <c r="E160" s="18" t="s">
        <v>375</v>
      </c>
      <c r="G160" s="18" t="s">
        <v>210</v>
      </c>
      <c r="H160" s="18" t="s">
        <v>374</v>
      </c>
      <c r="I160" s="18" t="s">
        <v>2147</v>
      </c>
      <c r="O160" s="18" t="s">
        <v>746</v>
      </c>
    </row>
    <row r="161" spans="1:18" s="18" customFormat="1" x14ac:dyDescent="0.25">
      <c r="A161" s="18" t="s">
        <v>847</v>
      </c>
      <c r="B161" s="18" t="s">
        <v>555</v>
      </c>
      <c r="C161" s="18" t="s">
        <v>556</v>
      </c>
      <c r="D161" s="18" t="s">
        <v>1229</v>
      </c>
      <c r="E161" s="18" t="s">
        <v>375</v>
      </c>
      <c r="G161" s="18" t="s">
        <v>557</v>
      </c>
      <c r="H161" s="18" t="s">
        <v>374</v>
      </c>
      <c r="I161" s="18" t="s">
        <v>2076</v>
      </c>
      <c r="O161" s="18" t="s">
        <v>746</v>
      </c>
    </row>
    <row r="162" spans="1:18" x14ac:dyDescent="0.25">
      <c r="A162" t="s">
        <v>406</v>
      </c>
      <c r="B162" t="s">
        <v>123</v>
      </c>
      <c r="C162" t="s">
        <v>131</v>
      </c>
      <c r="D162" t="s">
        <v>1222</v>
      </c>
      <c r="E162" t="s">
        <v>11</v>
      </c>
      <c r="F162" t="s">
        <v>21</v>
      </c>
      <c r="G162" t="s">
        <v>130</v>
      </c>
      <c r="H162" t="s">
        <v>10</v>
      </c>
      <c r="I162" t="s">
        <v>2071</v>
      </c>
      <c r="L162" s="22" t="s">
        <v>947</v>
      </c>
      <c r="M162" s="22" t="s">
        <v>948</v>
      </c>
      <c r="N162" s="22" t="s">
        <v>950</v>
      </c>
      <c r="O162" t="s">
        <v>746</v>
      </c>
      <c r="P162" t="s">
        <v>772</v>
      </c>
      <c r="R162" t="s">
        <v>2923</v>
      </c>
    </row>
    <row r="163" spans="1:18" x14ac:dyDescent="0.25">
      <c r="A163" t="s">
        <v>133</v>
      </c>
      <c r="B163" t="s">
        <v>133</v>
      </c>
      <c r="C163" t="s">
        <v>134</v>
      </c>
      <c r="D163" t="s">
        <v>1308</v>
      </c>
      <c r="E163" t="s">
        <v>11</v>
      </c>
      <c r="F163" t="s">
        <v>23</v>
      </c>
      <c r="G163" t="s">
        <v>130</v>
      </c>
      <c r="H163" t="s">
        <v>10</v>
      </c>
      <c r="I163" t="s">
        <v>2128</v>
      </c>
      <c r="L163" t="s">
        <v>1019</v>
      </c>
      <c r="N163" s="22" t="s">
        <v>1020</v>
      </c>
      <c r="O163" t="s">
        <v>746</v>
      </c>
      <c r="P163" t="s">
        <v>720</v>
      </c>
      <c r="R163" t="s">
        <v>2338</v>
      </c>
    </row>
    <row r="164" spans="1:18" x14ac:dyDescent="0.25">
      <c r="A164" t="s">
        <v>730</v>
      </c>
      <c r="B164" t="s">
        <v>58</v>
      </c>
      <c r="C164" t="s">
        <v>61</v>
      </c>
      <c r="D164" t="s">
        <v>1438</v>
      </c>
      <c r="E164" t="s">
        <v>11</v>
      </c>
      <c r="F164" t="s">
        <v>34</v>
      </c>
      <c r="G164" t="s">
        <v>16</v>
      </c>
      <c r="H164" t="s">
        <v>10</v>
      </c>
      <c r="I164" t="s">
        <v>2202</v>
      </c>
      <c r="L164" t="s">
        <v>729</v>
      </c>
      <c r="M164" t="s">
        <v>720</v>
      </c>
      <c r="N164" s="22" t="s">
        <v>1486</v>
      </c>
      <c r="O164" t="s">
        <v>746</v>
      </c>
      <c r="P164" t="s">
        <v>772</v>
      </c>
      <c r="R164" t="s">
        <v>2203</v>
      </c>
    </row>
    <row r="165" spans="1:18" x14ac:dyDescent="0.25">
      <c r="A165" s="18" t="s">
        <v>514</v>
      </c>
      <c r="B165" s="18" t="s">
        <v>514</v>
      </c>
      <c r="C165" s="18" t="s">
        <v>515</v>
      </c>
      <c r="D165" s="18" t="s">
        <v>1365</v>
      </c>
      <c r="E165" s="18" t="s">
        <v>375</v>
      </c>
      <c r="F165" s="18"/>
      <c r="G165" s="18" t="s">
        <v>509</v>
      </c>
      <c r="H165" s="18" t="s">
        <v>374</v>
      </c>
      <c r="I165" s="18" t="s">
        <v>2159</v>
      </c>
      <c r="J165" s="18"/>
      <c r="K165" s="18"/>
      <c r="L165" s="18"/>
      <c r="M165" s="18"/>
      <c r="N165" s="18"/>
      <c r="O165" s="18" t="s">
        <v>746</v>
      </c>
      <c r="P165" s="18"/>
      <c r="Q165" s="18"/>
      <c r="R165" s="18"/>
    </row>
    <row r="166" spans="1:18" s="18" customFormat="1" x14ac:dyDescent="0.25">
      <c r="A166" s="18" t="s">
        <v>912</v>
      </c>
      <c r="B166" s="18" t="s">
        <v>486</v>
      </c>
      <c r="C166" s="18" t="s">
        <v>487</v>
      </c>
      <c r="D166" s="18" t="s">
        <v>1435</v>
      </c>
      <c r="E166" s="18" t="s">
        <v>375</v>
      </c>
      <c r="G166" s="18" t="s">
        <v>488</v>
      </c>
      <c r="H166" s="18" t="s">
        <v>374</v>
      </c>
      <c r="I166" s="18" t="s">
        <v>2200</v>
      </c>
      <c r="O166" s="18" t="s">
        <v>746</v>
      </c>
    </row>
    <row r="167" spans="1:18" x14ac:dyDescent="0.25">
      <c r="A167" t="s">
        <v>155</v>
      </c>
      <c r="B167" t="s">
        <v>155</v>
      </c>
      <c r="C167" t="s">
        <v>158</v>
      </c>
      <c r="D167" t="s">
        <v>1152</v>
      </c>
      <c r="E167" t="s">
        <v>11</v>
      </c>
      <c r="F167" t="s">
        <v>19</v>
      </c>
      <c r="G167" t="s">
        <v>157</v>
      </c>
      <c r="H167" t="s">
        <v>10</v>
      </c>
      <c r="I167" t="s">
        <v>2030</v>
      </c>
      <c r="L167" t="s">
        <v>811</v>
      </c>
      <c r="M167" t="s">
        <v>2401</v>
      </c>
      <c r="N167" s="2" t="s">
        <v>815</v>
      </c>
      <c r="O167" t="s">
        <v>747</v>
      </c>
      <c r="P167" t="s">
        <v>2414</v>
      </c>
      <c r="R167" t="s">
        <v>2413</v>
      </c>
    </row>
    <row r="168" spans="1:18" x14ac:dyDescent="0.25">
      <c r="A168" s="18" t="s">
        <v>14</v>
      </c>
      <c r="B168" s="18" t="s">
        <v>14</v>
      </c>
      <c r="C168" s="18" t="s">
        <v>461</v>
      </c>
      <c r="D168" s="18" t="s">
        <v>1134</v>
      </c>
      <c r="E168" s="18" t="s">
        <v>375</v>
      </c>
      <c r="F168" s="18"/>
      <c r="G168" s="18" t="s">
        <v>462</v>
      </c>
      <c r="H168" s="18" t="s">
        <v>374</v>
      </c>
      <c r="I168" s="18" t="s">
        <v>2016</v>
      </c>
      <c r="J168" s="18"/>
      <c r="K168" s="18"/>
      <c r="L168" s="18" t="s">
        <v>768</v>
      </c>
      <c r="M168" s="18" t="s">
        <v>1512</v>
      </c>
      <c r="N168" s="18" t="s">
        <v>1516</v>
      </c>
      <c r="O168" s="18" t="s">
        <v>710</v>
      </c>
      <c r="P168" s="18"/>
      <c r="Q168" s="18"/>
      <c r="R168" s="18"/>
    </row>
    <row r="169" spans="1:18" x14ac:dyDescent="0.25">
      <c r="A169" t="s">
        <v>54</v>
      </c>
      <c r="B169" t="s">
        <v>54</v>
      </c>
      <c r="C169" t="s">
        <v>55</v>
      </c>
      <c r="D169" t="s">
        <v>1379</v>
      </c>
      <c r="E169" t="s">
        <v>11</v>
      </c>
      <c r="F169" t="s">
        <v>19</v>
      </c>
      <c r="G169" t="s">
        <v>16</v>
      </c>
      <c r="H169" t="s">
        <v>10</v>
      </c>
      <c r="I169" t="s">
        <v>2171</v>
      </c>
      <c r="L169" t="s">
        <v>1093</v>
      </c>
      <c r="M169" s="22" t="s">
        <v>1096</v>
      </c>
      <c r="N169" s="22" t="s">
        <v>1095</v>
      </c>
      <c r="O169" t="s">
        <v>746</v>
      </c>
      <c r="P169" t="s">
        <v>772</v>
      </c>
      <c r="R169" t="s">
        <v>2926</v>
      </c>
    </row>
    <row r="170" spans="1:18" x14ac:dyDescent="0.25">
      <c r="A170" t="s">
        <v>793</v>
      </c>
      <c r="B170" t="s">
        <v>128</v>
      </c>
      <c r="C170" t="s">
        <v>129</v>
      </c>
      <c r="D170" t="s">
        <v>1190</v>
      </c>
      <c r="E170" t="s">
        <v>11</v>
      </c>
      <c r="F170" t="s">
        <v>19</v>
      </c>
      <c r="G170" t="s">
        <v>130</v>
      </c>
      <c r="H170" t="s">
        <v>10</v>
      </c>
      <c r="I170" t="s">
        <v>2046</v>
      </c>
      <c r="L170" s="3" t="s">
        <v>743</v>
      </c>
      <c r="M170" t="s">
        <v>744</v>
      </c>
      <c r="N170" s="22" t="s">
        <v>2047</v>
      </c>
      <c r="O170" t="s">
        <v>746</v>
      </c>
      <c r="P170" t="s">
        <v>772</v>
      </c>
      <c r="R170" t="s">
        <v>2048</v>
      </c>
    </row>
    <row r="171" spans="1:18" x14ac:dyDescent="0.25">
      <c r="A171" t="s">
        <v>82</v>
      </c>
      <c r="B171" t="s">
        <v>82</v>
      </c>
      <c r="C171" t="s">
        <v>83</v>
      </c>
      <c r="D171" t="s">
        <v>1278</v>
      </c>
      <c r="E171" t="s">
        <v>11</v>
      </c>
      <c r="F171" t="s">
        <v>19</v>
      </c>
      <c r="G171" t="s">
        <v>84</v>
      </c>
      <c r="H171" t="s">
        <v>10</v>
      </c>
      <c r="I171" t="s">
        <v>2103</v>
      </c>
      <c r="L171" t="s">
        <v>990</v>
      </c>
      <c r="M171" t="s">
        <v>991</v>
      </c>
      <c r="N171" t="s">
        <v>992</v>
      </c>
      <c r="O171" t="s">
        <v>746</v>
      </c>
      <c r="P171" t="s">
        <v>720</v>
      </c>
      <c r="R171" t="s">
        <v>2924</v>
      </c>
    </row>
    <row r="172" spans="1:18" x14ac:dyDescent="0.2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25">
      <c r="A173" t="s">
        <v>39</v>
      </c>
      <c r="B173" t="s">
        <v>39</v>
      </c>
      <c r="C173" t="s">
        <v>78</v>
      </c>
      <c r="D173" t="s">
        <v>1321</v>
      </c>
      <c r="E173" t="s">
        <v>11</v>
      </c>
      <c r="F173" t="s">
        <v>21</v>
      </c>
      <c r="G173" t="s">
        <v>64</v>
      </c>
      <c r="H173" t="s">
        <v>10</v>
      </c>
      <c r="I173" t="s">
        <v>2133</v>
      </c>
      <c r="J173"/>
      <c r="K173"/>
      <c r="L173" t="s">
        <v>720</v>
      </c>
      <c r="M173" t="s">
        <v>720</v>
      </c>
      <c r="N173" s="22" t="s">
        <v>1036</v>
      </c>
      <c r="O173" t="s">
        <v>710</v>
      </c>
      <c r="P173" t="s">
        <v>772</v>
      </c>
      <c r="Q173"/>
      <c r="R173" t="s">
        <v>2018</v>
      </c>
    </row>
    <row r="174" spans="1:18" s="18" customFormat="1" x14ac:dyDescent="0.25">
      <c r="A174" t="s">
        <v>228</v>
      </c>
      <c r="B174" t="s">
        <v>228</v>
      </c>
      <c r="C174" t="s">
        <v>229</v>
      </c>
      <c r="D174" t="s">
        <v>1410</v>
      </c>
      <c r="E174" t="s">
        <v>11</v>
      </c>
      <c r="F174" t="s">
        <v>44</v>
      </c>
      <c r="G174" t="s">
        <v>230</v>
      </c>
      <c r="H174" t="s">
        <v>10</v>
      </c>
      <c r="I174" t="s">
        <v>2185</v>
      </c>
      <c r="J174"/>
      <c r="K174"/>
      <c r="L174" t="s">
        <v>1106</v>
      </c>
      <c r="M174"/>
      <c r="N174" s="22" t="s">
        <v>1107</v>
      </c>
      <c r="O174" t="s">
        <v>746</v>
      </c>
      <c r="P174" t="s">
        <v>720</v>
      </c>
      <c r="Q174"/>
      <c r="R174" t="s">
        <v>2370</v>
      </c>
    </row>
    <row r="175" spans="1:18" s="18" customFormat="1" x14ac:dyDescent="0.25">
      <c r="B175" s="18" t="s">
        <v>695</v>
      </c>
      <c r="C175" s="18" t="s">
        <v>696</v>
      </c>
      <c r="D175" s="18" t="s">
        <v>1174</v>
      </c>
      <c r="E175" s="18" t="s">
        <v>375</v>
      </c>
      <c r="G175" s="18" t="s">
        <v>693</v>
      </c>
      <c r="H175" s="18" t="s">
        <v>374</v>
      </c>
      <c r="O175" s="18" t="s">
        <v>746</v>
      </c>
    </row>
    <row r="176" spans="1:18" s="18" customFormat="1" x14ac:dyDescent="0.25">
      <c r="A176" s="18" t="s">
        <v>741</v>
      </c>
      <c r="B176" s="18" t="s">
        <v>516</v>
      </c>
      <c r="C176" s="18" t="s">
        <v>643</v>
      </c>
      <c r="D176" s="18" t="s">
        <v>1164</v>
      </c>
      <c r="E176" s="18" t="s">
        <v>375</v>
      </c>
      <c r="G176" s="18" t="s">
        <v>644</v>
      </c>
      <c r="H176" s="18" t="s">
        <v>374</v>
      </c>
      <c r="I176" s="18" t="s">
        <v>2034</v>
      </c>
      <c r="L176" s="18" t="s">
        <v>742</v>
      </c>
      <c r="O176" s="18" t="s">
        <v>746</v>
      </c>
    </row>
    <row r="177" spans="1:18" s="18" customFormat="1" x14ac:dyDescent="0.25">
      <c r="A177" s="18" t="s">
        <v>911</v>
      </c>
      <c r="B177" s="18" t="s">
        <v>630</v>
      </c>
      <c r="C177" s="18" t="s">
        <v>631</v>
      </c>
      <c r="D177" s="18" t="s">
        <v>1433</v>
      </c>
      <c r="E177" s="18" t="s">
        <v>375</v>
      </c>
      <c r="G177" s="18" t="s">
        <v>627</v>
      </c>
      <c r="H177" s="18" t="s">
        <v>374</v>
      </c>
      <c r="I177" s="18" t="s">
        <v>2198</v>
      </c>
      <c r="O177" s="18" t="s">
        <v>746</v>
      </c>
    </row>
    <row r="178" spans="1:18" s="18" customFormat="1" x14ac:dyDescent="0.25">
      <c r="A178" s="18" t="s">
        <v>876</v>
      </c>
      <c r="B178" s="18" t="s">
        <v>520</v>
      </c>
      <c r="C178" s="18" t="s">
        <v>528</v>
      </c>
      <c r="D178" s="18" t="s">
        <v>1312</v>
      </c>
      <c r="E178" s="18" t="s">
        <v>375</v>
      </c>
      <c r="G178" s="18" t="s">
        <v>529</v>
      </c>
      <c r="H178" s="18" t="s">
        <v>374</v>
      </c>
      <c r="I178" s="18" t="s">
        <v>2130</v>
      </c>
      <c r="O178" s="18" t="s">
        <v>746</v>
      </c>
    </row>
    <row r="179" spans="1:18" s="18" customFormat="1" x14ac:dyDescent="0.25">
      <c r="A179" t="s">
        <v>755</v>
      </c>
      <c r="B179" t="s">
        <v>75</v>
      </c>
      <c r="C179" t="s">
        <v>85</v>
      </c>
      <c r="D179" t="s">
        <v>1315</v>
      </c>
      <c r="E179" t="s">
        <v>11</v>
      </c>
      <c r="F179" t="s">
        <v>23</v>
      </c>
      <c r="G179" t="s">
        <v>84</v>
      </c>
      <c r="H179" t="s">
        <v>10</v>
      </c>
      <c r="I179" t="s">
        <v>2132</v>
      </c>
      <c r="J179"/>
      <c r="K179"/>
      <c r="L179" s="2" t="s">
        <v>762</v>
      </c>
      <c r="M179" t="s">
        <v>1022</v>
      </c>
      <c r="N179" t="s">
        <v>1024</v>
      </c>
      <c r="O179" t="s">
        <v>710</v>
      </c>
      <c r="P179" t="s">
        <v>772</v>
      </c>
      <c r="Q179"/>
      <c r="R179" t="s">
        <v>2018</v>
      </c>
    </row>
    <row r="180" spans="1:18" s="18" customFormat="1" x14ac:dyDescent="0.25">
      <c r="A180" t="s">
        <v>717</v>
      </c>
      <c r="B180" t="s">
        <v>79</v>
      </c>
      <c r="C180" t="s">
        <v>80</v>
      </c>
      <c r="D180" t="s">
        <v>1268</v>
      </c>
      <c r="E180" t="s">
        <v>11</v>
      </c>
      <c r="F180" t="s">
        <v>19</v>
      </c>
      <c r="G180" t="s">
        <v>81</v>
      </c>
      <c r="H180" t="s">
        <v>10</v>
      </c>
      <c r="I180" t="s">
        <v>1848</v>
      </c>
      <c r="J180" t="s">
        <v>1778</v>
      </c>
      <c r="K180" t="s">
        <v>1849</v>
      </c>
      <c r="L180" s="2" t="s">
        <v>980</v>
      </c>
      <c r="M180" t="s">
        <v>707</v>
      </c>
      <c r="N180" t="s">
        <v>983</v>
      </c>
      <c r="O180" t="s">
        <v>710</v>
      </c>
      <c r="P180" t="s">
        <v>2310</v>
      </c>
      <c r="Q180"/>
      <c r="R180" t="s">
        <v>2099</v>
      </c>
    </row>
    <row r="181" spans="1:18" s="18" customFormat="1" x14ac:dyDescent="0.25">
      <c r="A181" t="s">
        <v>715</v>
      </c>
      <c r="B181" t="s">
        <v>142</v>
      </c>
      <c r="C181" t="s">
        <v>184</v>
      </c>
      <c r="D181" t="s">
        <v>1246</v>
      </c>
      <c r="E181" t="s">
        <v>11</v>
      </c>
      <c r="F181" t="s">
        <v>13</v>
      </c>
      <c r="G181" t="s">
        <v>185</v>
      </c>
      <c r="H181" t="s">
        <v>10</v>
      </c>
      <c r="I181" t="s">
        <v>2086</v>
      </c>
      <c r="J181" t="s">
        <v>2087</v>
      </c>
      <c r="K181" t="s">
        <v>2088</v>
      </c>
      <c r="L181" t="s">
        <v>962</v>
      </c>
      <c r="M181" t="s">
        <v>963</v>
      </c>
      <c r="N181" t="s">
        <v>964</v>
      </c>
      <c r="O181" t="s">
        <v>710</v>
      </c>
      <c r="P181" t="s">
        <v>2396</v>
      </c>
      <c r="Q181" t="s">
        <v>2434</v>
      </c>
      <c r="R181" t="s">
        <v>2269</v>
      </c>
    </row>
    <row r="182" spans="1:18" s="18" customFormat="1" x14ac:dyDescent="0.25">
      <c r="A182" s="18" t="s">
        <v>879</v>
      </c>
      <c r="B182" s="18" t="s">
        <v>589</v>
      </c>
      <c r="C182" s="18" t="s">
        <v>590</v>
      </c>
      <c r="D182" s="18" t="s">
        <v>1327</v>
      </c>
      <c r="E182" s="18" t="s">
        <v>375</v>
      </c>
      <c r="G182" s="18" t="s">
        <v>591</v>
      </c>
      <c r="H182" s="18" t="s">
        <v>374</v>
      </c>
      <c r="I182" s="18" t="s">
        <v>2136</v>
      </c>
      <c r="O182" s="18" t="s">
        <v>746</v>
      </c>
    </row>
    <row r="183" spans="1:18" s="18" customFormat="1" x14ac:dyDescent="0.25">
      <c r="A183" s="18" t="s">
        <v>382</v>
      </c>
      <c r="B183" s="18" t="s">
        <v>382</v>
      </c>
      <c r="C183" s="18" t="s">
        <v>385</v>
      </c>
      <c r="D183" s="18" t="s">
        <v>1233</v>
      </c>
      <c r="E183" s="18" t="s">
        <v>375</v>
      </c>
      <c r="G183" s="18" t="s">
        <v>384</v>
      </c>
      <c r="H183" s="18" t="s">
        <v>374</v>
      </c>
      <c r="I183" s="18" t="s">
        <v>2079</v>
      </c>
      <c r="O183" s="18" t="s">
        <v>746</v>
      </c>
    </row>
    <row r="184" spans="1:18" x14ac:dyDescent="0.25">
      <c r="A184" t="s">
        <v>868</v>
      </c>
      <c r="B184" t="s">
        <v>175</v>
      </c>
      <c r="C184" t="s">
        <v>176</v>
      </c>
      <c r="D184" t="s">
        <v>1299</v>
      </c>
      <c r="E184" t="s">
        <v>11</v>
      </c>
      <c r="F184" t="s">
        <v>13</v>
      </c>
      <c r="G184" t="s">
        <v>177</v>
      </c>
      <c r="H184" t="s">
        <v>10</v>
      </c>
      <c r="I184" t="s">
        <v>2120</v>
      </c>
      <c r="L184" t="s">
        <v>1003</v>
      </c>
      <c r="M184" t="s">
        <v>1005</v>
      </c>
      <c r="N184" s="22" t="s">
        <v>1006</v>
      </c>
      <c r="O184" t="s">
        <v>746</v>
      </c>
      <c r="P184" t="s">
        <v>807</v>
      </c>
      <c r="R184" t="s">
        <v>2331</v>
      </c>
    </row>
    <row r="185" spans="1:18" s="18" customFormat="1" x14ac:dyDescent="0.25">
      <c r="A185" t="s">
        <v>325</v>
      </c>
      <c r="B185" t="s">
        <v>325</v>
      </c>
      <c r="C185" t="s">
        <v>326</v>
      </c>
      <c r="D185" t="s">
        <v>1298</v>
      </c>
      <c r="E185" t="s">
        <v>233</v>
      </c>
      <c r="F185" t="s">
        <v>2530</v>
      </c>
      <c r="G185" t="s">
        <v>327</v>
      </c>
      <c r="H185" t="s">
        <v>10</v>
      </c>
      <c r="I185" t="s">
        <v>2119</v>
      </c>
      <c r="J185"/>
      <c r="K185"/>
      <c r="L185" t="s">
        <v>1003</v>
      </c>
      <c r="M185" s="22" t="s">
        <v>1005</v>
      </c>
      <c r="N185" s="22" t="s">
        <v>1006</v>
      </c>
      <c r="O185" t="s">
        <v>746</v>
      </c>
      <c r="P185" t="s">
        <v>807</v>
      </c>
      <c r="Q185"/>
      <c r="R185" t="s">
        <v>2331</v>
      </c>
    </row>
    <row r="186" spans="1:18" s="18" customFormat="1" x14ac:dyDescent="0.25">
      <c r="A186" t="s">
        <v>896</v>
      </c>
      <c r="B186" t="s">
        <v>172</v>
      </c>
      <c r="C186" t="s">
        <v>173</v>
      </c>
      <c r="D186" t="s">
        <v>1366</v>
      </c>
      <c r="E186" t="s">
        <v>11</v>
      </c>
      <c r="F186" t="s">
        <v>17</v>
      </c>
      <c r="G186" t="s">
        <v>174</v>
      </c>
      <c r="H186" t="s">
        <v>10</v>
      </c>
      <c r="I186" t="s">
        <v>2160</v>
      </c>
      <c r="J186"/>
      <c r="K186"/>
      <c r="L186" s="22" t="s">
        <v>1078</v>
      </c>
      <c r="M186" s="22" t="s">
        <v>2345</v>
      </c>
      <c r="N186" s="22" t="s">
        <v>1080</v>
      </c>
      <c r="O186" t="s">
        <v>746</v>
      </c>
      <c r="P186" t="s">
        <v>772</v>
      </c>
      <c r="Q186"/>
      <c r="R186" t="s">
        <v>2344</v>
      </c>
    </row>
    <row r="187" spans="1:18" x14ac:dyDescent="0.25">
      <c r="A187" s="18" t="s">
        <v>882</v>
      </c>
      <c r="B187" s="18" t="s">
        <v>392</v>
      </c>
      <c r="C187" s="18" t="s">
        <v>393</v>
      </c>
      <c r="D187" s="18" t="s">
        <v>1331</v>
      </c>
      <c r="E187" s="18" t="s">
        <v>375</v>
      </c>
      <c r="F187" s="18"/>
      <c r="G187" s="18" t="s">
        <v>394</v>
      </c>
      <c r="H187" s="18" t="s">
        <v>374</v>
      </c>
      <c r="I187" s="18" t="s">
        <v>2140</v>
      </c>
      <c r="J187" s="18"/>
      <c r="K187" s="18"/>
      <c r="L187" s="18"/>
      <c r="M187" s="18"/>
      <c r="N187" s="18"/>
      <c r="O187" s="18" t="s">
        <v>746</v>
      </c>
      <c r="P187" s="18"/>
      <c r="Q187" s="18"/>
      <c r="R187" s="18"/>
    </row>
    <row r="188" spans="1:18" x14ac:dyDescent="0.25">
      <c r="A188" t="s">
        <v>406</v>
      </c>
      <c r="B188" t="s">
        <v>123</v>
      </c>
      <c r="C188" t="s">
        <v>124</v>
      </c>
      <c r="D188" t="s">
        <v>1223</v>
      </c>
      <c r="E188" t="s">
        <v>11</v>
      </c>
      <c r="F188" t="s">
        <v>44</v>
      </c>
      <c r="G188" t="s">
        <v>125</v>
      </c>
      <c r="H188" t="s">
        <v>10</v>
      </c>
      <c r="I188" t="s">
        <v>2071</v>
      </c>
      <c r="L188" s="22" t="s">
        <v>947</v>
      </c>
      <c r="M188" s="22" t="s">
        <v>949</v>
      </c>
      <c r="O188" t="s">
        <v>746</v>
      </c>
      <c r="P188" t="s">
        <v>772</v>
      </c>
      <c r="R188" t="s">
        <v>2072</v>
      </c>
    </row>
    <row r="189" spans="1:18" x14ac:dyDescent="0.25">
      <c r="A189" t="s">
        <v>753</v>
      </c>
      <c r="B189" t="s">
        <v>197</v>
      </c>
      <c r="C189" t="s">
        <v>198</v>
      </c>
      <c r="D189" t="s">
        <v>1188</v>
      </c>
      <c r="E189" t="s">
        <v>11</v>
      </c>
      <c r="F189" t="s">
        <v>23</v>
      </c>
      <c r="G189" t="s">
        <v>199</v>
      </c>
      <c r="H189" t="s">
        <v>10</v>
      </c>
      <c r="I189" t="s">
        <v>2044</v>
      </c>
      <c r="L189" s="2" t="s">
        <v>752</v>
      </c>
      <c r="M189" t="s">
        <v>707</v>
      </c>
      <c r="N189" s="22" t="s">
        <v>835</v>
      </c>
      <c r="O189" t="s">
        <v>748</v>
      </c>
      <c r="P189" t="s">
        <v>772</v>
      </c>
      <c r="R189" t="s">
        <v>2045</v>
      </c>
    </row>
    <row r="190" spans="1:18" x14ac:dyDescent="0.25">
      <c r="A190" s="18" t="s">
        <v>715</v>
      </c>
      <c r="B190" s="18" t="s">
        <v>142</v>
      </c>
      <c r="C190" s="18" t="s">
        <v>574</v>
      </c>
      <c r="D190" s="18" t="s">
        <v>1255</v>
      </c>
      <c r="E190" s="18" t="s">
        <v>375</v>
      </c>
      <c r="F190" s="18"/>
      <c r="G190" s="18" t="s">
        <v>575</v>
      </c>
      <c r="H190" s="18" t="s">
        <v>374</v>
      </c>
      <c r="I190" s="18" t="s">
        <v>2086</v>
      </c>
      <c r="J190" s="18"/>
      <c r="K190" s="18"/>
      <c r="L190" s="18"/>
      <c r="M190" s="18"/>
      <c r="N190" s="18" t="s">
        <v>707</v>
      </c>
      <c r="O190" s="18" t="s">
        <v>710</v>
      </c>
      <c r="P190" s="18"/>
      <c r="Q190" s="18"/>
      <c r="R190" s="18"/>
    </row>
    <row r="191" spans="1:18" x14ac:dyDescent="0.25">
      <c r="A191" s="18" t="s">
        <v>380</v>
      </c>
      <c r="B191" s="18" t="s">
        <v>380</v>
      </c>
      <c r="C191" s="18" t="s">
        <v>381</v>
      </c>
      <c r="D191" s="18" t="s">
        <v>1290</v>
      </c>
      <c r="E191" s="18" t="s">
        <v>375</v>
      </c>
      <c r="F191" s="18"/>
      <c r="G191" s="18" t="s">
        <v>379</v>
      </c>
      <c r="H191" s="18" t="s">
        <v>374</v>
      </c>
      <c r="I191" s="18" t="s">
        <v>2112</v>
      </c>
      <c r="J191" s="18"/>
      <c r="K191" s="18"/>
      <c r="L191" s="18"/>
      <c r="M191" s="18"/>
      <c r="N191" s="18"/>
      <c r="O191" s="18" t="s">
        <v>746</v>
      </c>
      <c r="P191" s="18"/>
      <c r="Q191" s="18"/>
      <c r="R191" s="18"/>
    </row>
    <row r="192" spans="1:18" x14ac:dyDescent="0.25">
      <c r="A192" s="18" t="s">
        <v>904</v>
      </c>
      <c r="B192" s="18" t="s">
        <v>398</v>
      </c>
      <c r="C192" s="18" t="s">
        <v>399</v>
      </c>
      <c r="D192" s="18" t="s">
        <v>1387</v>
      </c>
      <c r="E192" s="18" t="s">
        <v>375</v>
      </c>
      <c r="F192" s="18"/>
      <c r="G192" s="18" t="s">
        <v>397</v>
      </c>
      <c r="H192" s="18" t="s">
        <v>374</v>
      </c>
      <c r="I192" s="18" t="s">
        <v>2177</v>
      </c>
      <c r="J192" s="18"/>
      <c r="K192" s="18"/>
      <c r="L192" s="18"/>
      <c r="M192" s="18"/>
      <c r="N192" s="18"/>
      <c r="O192" s="18" t="s">
        <v>746</v>
      </c>
      <c r="P192" s="18"/>
      <c r="Q192" s="18"/>
      <c r="R192" s="18"/>
    </row>
    <row r="193" spans="1:18" x14ac:dyDescent="0.25">
      <c r="A193" t="s">
        <v>328</v>
      </c>
      <c r="B193" t="s">
        <v>328</v>
      </c>
      <c r="C193" t="s">
        <v>329</v>
      </c>
      <c r="D193" t="s">
        <v>1362</v>
      </c>
      <c r="E193" t="s">
        <v>233</v>
      </c>
      <c r="F193" t="s">
        <v>274</v>
      </c>
      <c r="G193" t="s">
        <v>64</v>
      </c>
      <c r="H193" t="s">
        <v>10</v>
      </c>
      <c r="I193" t="s">
        <v>1936</v>
      </c>
      <c r="L193" t="s">
        <v>1075</v>
      </c>
      <c r="M193" t="s">
        <v>1076</v>
      </c>
      <c r="N193" t="s">
        <v>707</v>
      </c>
      <c r="O193" t="s">
        <v>746</v>
      </c>
      <c r="P193" t="s">
        <v>807</v>
      </c>
      <c r="R193" t="s">
        <v>2157</v>
      </c>
    </row>
    <row r="194" spans="1:18" x14ac:dyDescent="0.25">
      <c r="A194" t="s">
        <v>330</v>
      </c>
      <c r="B194" t="s">
        <v>330</v>
      </c>
      <c r="C194" t="s">
        <v>331</v>
      </c>
      <c r="D194" t="s">
        <v>1303</v>
      </c>
      <c r="E194" t="s">
        <v>233</v>
      </c>
      <c r="F194" t="s">
        <v>274</v>
      </c>
      <c r="G194" t="s">
        <v>332</v>
      </c>
      <c r="H194" t="s">
        <v>10</v>
      </c>
      <c r="I194" t="s">
        <v>2124</v>
      </c>
      <c r="L194" t="s">
        <v>2334</v>
      </c>
      <c r="M194" t="s">
        <v>707</v>
      </c>
      <c r="N194" t="s">
        <v>707</v>
      </c>
      <c r="O194" t="s">
        <v>746</v>
      </c>
      <c r="P194" t="s">
        <v>720</v>
      </c>
      <c r="R194" t="s">
        <v>2028</v>
      </c>
    </row>
    <row r="195" spans="1:18" x14ac:dyDescent="0.25">
      <c r="A195" s="18" t="s">
        <v>851</v>
      </c>
      <c r="B195" s="18" t="s">
        <v>525</v>
      </c>
      <c r="C195" s="18" t="s">
        <v>526</v>
      </c>
      <c r="D195" s="18" t="s">
        <v>1236</v>
      </c>
      <c r="E195" s="18" t="s">
        <v>375</v>
      </c>
      <c r="F195" s="18"/>
      <c r="G195" s="18" t="s">
        <v>527</v>
      </c>
      <c r="H195" s="18" t="s">
        <v>374</v>
      </c>
      <c r="I195" s="18" t="s">
        <v>2082</v>
      </c>
      <c r="J195" s="18"/>
      <c r="K195" s="18"/>
      <c r="L195" s="18"/>
      <c r="M195" s="18"/>
      <c r="N195" s="18"/>
      <c r="O195" s="18" t="s">
        <v>746</v>
      </c>
      <c r="P195" s="18"/>
      <c r="Q195" s="18"/>
      <c r="R195" s="18"/>
    </row>
    <row r="196" spans="1:18" x14ac:dyDescent="0.25">
      <c r="A196" s="18" t="s">
        <v>846</v>
      </c>
      <c r="B196" s="18" t="s">
        <v>663</v>
      </c>
      <c r="C196" s="18" t="s">
        <v>664</v>
      </c>
      <c r="D196" s="18" t="s">
        <v>1228</v>
      </c>
      <c r="E196" s="18" t="s">
        <v>375</v>
      </c>
      <c r="F196" s="18"/>
      <c r="G196" s="18" t="s">
        <v>210</v>
      </c>
      <c r="H196" s="18" t="s">
        <v>374</v>
      </c>
      <c r="I196" s="18" t="s">
        <v>2075</v>
      </c>
      <c r="J196" s="18"/>
      <c r="K196" s="18"/>
      <c r="L196" s="18"/>
      <c r="M196" s="18"/>
      <c r="N196" s="18"/>
      <c r="O196" s="18" t="s">
        <v>746</v>
      </c>
      <c r="P196" s="18"/>
      <c r="Q196" s="18"/>
      <c r="R196" s="18"/>
    </row>
    <row r="197" spans="1:18" x14ac:dyDescent="0.25">
      <c r="A197" s="18" t="s">
        <v>888</v>
      </c>
      <c r="B197" s="18" t="s">
        <v>681</v>
      </c>
      <c r="C197" s="18" t="s">
        <v>682</v>
      </c>
      <c r="D197" s="18" t="s">
        <v>1337</v>
      </c>
      <c r="E197" s="18" t="s">
        <v>375</v>
      </c>
      <c r="F197" s="18"/>
      <c r="G197" s="18" t="s">
        <v>683</v>
      </c>
      <c r="H197" s="18" t="s">
        <v>374</v>
      </c>
      <c r="I197" s="18" t="s">
        <v>2146</v>
      </c>
      <c r="J197" s="18"/>
      <c r="K197" s="18"/>
      <c r="L197" s="18"/>
      <c r="M197" s="18"/>
      <c r="N197" s="18"/>
      <c r="O197" s="18" t="s">
        <v>746</v>
      </c>
      <c r="P197" s="18"/>
      <c r="Q197" s="18"/>
      <c r="R197" s="18"/>
    </row>
    <row r="198" spans="1:18" s="18" customFormat="1" x14ac:dyDescent="0.25">
      <c r="A198" t="s">
        <v>870</v>
      </c>
      <c r="B198" t="s">
        <v>35</v>
      </c>
      <c r="C198" t="s">
        <v>36</v>
      </c>
      <c r="D198" t="s">
        <v>1301</v>
      </c>
      <c r="E198" t="s">
        <v>11</v>
      </c>
      <c r="F198" t="s">
        <v>19</v>
      </c>
      <c r="G198" t="s">
        <v>16</v>
      </c>
      <c r="H198" t="s">
        <v>10</v>
      </c>
      <c r="I198" t="s">
        <v>2122</v>
      </c>
      <c r="J198"/>
      <c r="K198"/>
      <c r="L198" t="s">
        <v>1007</v>
      </c>
      <c r="M198" s="22" t="s">
        <v>1008</v>
      </c>
      <c r="N198" s="22" t="s">
        <v>1009</v>
      </c>
      <c r="O198" t="s">
        <v>746</v>
      </c>
      <c r="P198" t="s">
        <v>720</v>
      </c>
      <c r="Q198"/>
      <c r="R198" t="s">
        <v>2332</v>
      </c>
    </row>
    <row r="199" spans="1:18" x14ac:dyDescent="0.25">
      <c r="A199" t="s">
        <v>39</v>
      </c>
      <c r="B199" t="s">
        <v>39</v>
      </c>
      <c r="C199" t="s">
        <v>45</v>
      </c>
      <c r="D199" t="s">
        <v>1318</v>
      </c>
      <c r="E199" t="s">
        <v>11</v>
      </c>
      <c r="F199" t="s">
        <v>44</v>
      </c>
      <c r="G199" t="s">
        <v>16</v>
      </c>
      <c r="H199" t="s">
        <v>10</v>
      </c>
      <c r="I199" t="s">
        <v>2133</v>
      </c>
      <c r="L199" t="s">
        <v>1030</v>
      </c>
      <c r="M199" t="s">
        <v>1026</v>
      </c>
      <c r="N199" s="22" t="s">
        <v>1034</v>
      </c>
      <c r="O199" t="s">
        <v>710</v>
      </c>
      <c r="P199" t="s">
        <v>772</v>
      </c>
      <c r="R199" t="s">
        <v>2018</v>
      </c>
    </row>
    <row r="200" spans="1:18" s="18" customFormat="1" x14ac:dyDescent="0.25">
      <c r="A200" t="s">
        <v>719</v>
      </c>
      <c r="B200" t="s">
        <v>178</v>
      </c>
      <c r="C200" t="s">
        <v>333</v>
      </c>
      <c r="D200" t="s">
        <v>1426</v>
      </c>
      <c r="E200" t="s">
        <v>233</v>
      </c>
      <c r="F200" t="s">
        <v>44</v>
      </c>
      <c r="G200" t="s">
        <v>334</v>
      </c>
      <c r="H200" t="s">
        <v>10</v>
      </c>
      <c r="I200" t="s">
        <v>2191</v>
      </c>
      <c r="J200"/>
      <c r="K200"/>
      <c r="L200" t="s">
        <v>1472</v>
      </c>
      <c r="M200" t="s">
        <v>1474</v>
      </c>
      <c r="N200" t="s">
        <v>707</v>
      </c>
      <c r="O200" t="s">
        <v>710</v>
      </c>
      <c r="P200" t="s">
        <v>2310</v>
      </c>
      <c r="Q200"/>
      <c r="R200" t="s">
        <v>2194</v>
      </c>
    </row>
    <row r="201" spans="1:18" s="18" customFormat="1" x14ac:dyDescent="0.25">
      <c r="A201" t="s">
        <v>208</v>
      </c>
      <c r="B201" t="s">
        <v>208</v>
      </c>
      <c r="C201" t="s">
        <v>335</v>
      </c>
      <c r="D201" t="s">
        <v>1178</v>
      </c>
      <c r="E201" t="s">
        <v>233</v>
      </c>
      <c r="F201" t="s">
        <v>337</v>
      </c>
      <c r="G201" t="s">
        <v>336</v>
      </c>
      <c r="H201" t="s">
        <v>10</v>
      </c>
      <c r="I201" t="s">
        <v>1752</v>
      </c>
      <c r="J201"/>
      <c r="K201"/>
      <c r="L201" t="s">
        <v>770</v>
      </c>
      <c r="M201" t="s">
        <v>1532</v>
      </c>
      <c r="N201" t="s">
        <v>707</v>
      </c>
      <c r="O201" t="s">
        <v>710</v>
      </c>
      <c r="P201" t="s">
        <v>807</v>
      </c>
      <c r="Q201"/>
      <c r="R201" t="s">
        <v>2042</v>
      </c>
    </row>
    <row r="202" spans="1:18" s="18" customFormat="1" x14ac:dyDescent="0.25">
      <c r="A202" t="s">
        <v>155</v>
      </c>
      <c r="B202" t="s">
        <v>338</v>
      </c>
      <c r="C202" t="s">
        <v>339</v>
      </c>
      <c r="D202" t="s">
        <v>1157</v>
      </c>
      <c r="E202" t="s">
        <v>233</v>
      </c>
      <c r="F202" t="s">
        <v>341</v>
      </c>
      <c r="G202" t="s">
        <v>340</v>
      </c>
      <c r="H202" t="s">
        <v>10</v>
      </c>
      <c r="I202" t="s">
        <v>2030</v>
      </c>
      <c r="J202"/>
      <c r="K202"/>
      <c r="L202" t="s">
        <v>769</v>
      </c>
      <c r="M202" t="s">
        <v>2401</v>
      </c>
      <c r="N202" t="s">
        <v>707</v>
      </c>
      <c r="O202" t="s">
        <v>747</v>
      </c>
      <c r="P202" t="s">
        <v>2414</v>
      </c>
      <c r="Q202"/>
      <c r="R202" t="s">
        <v>2413</v>
      </c>
    </row>
    <row r="203" spans="1:18" s="18" customFormat="1" x14ac:dyDescent="0.25">
      <c r="A203" s="18" t="s">
        <v>884</v>
      </c>
      <c r="B203" s="18" t="s">
        <v>697</v>
      </c>
      <c r="C203" s="18" t="s">
        <v>698</v>
      </c>
      <c r="D203" s="18" t="s">
        <v>1333</v>
      </c>
      <c r="E203" s="18" t="s">
        <v>375</v>
      </c>
      <c r="G203" s="18" t="s">
        <v>693</v>
      </c>
      <c r="H203" s="18" t="s">
        <v>374</v>
      </c>
      <c r="I203" s="18" t="s">
        <v>2142</v>
      </c>
      <c r="O203" s="18" t="s">
        <v>746</v>
      </c>
    </row>
    <row r="204" spans="1:18" x14ac:dyDescent="0.2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25">
      <c r="A205" s="18" t="s">
        <v>8</v>
      </c>
      <c r="B205" s="18" t="s">
        <v>8</v>
      </c>
      <c r="C205" s="18" t="s">
        <v>463</v>
      </c>
      <c r="D205" s="18" t="s">
        <v>1265</v>
      </c>
      <c r="E205" s="18" t="s">
        <v>375</v>
      </c>
      <c r="G205" s="18" t="s">
        <v>462</v>
      </c>
      <c r="H205" s="18" t="s">
        <v>374</v>
      </c>
      <c r="I205" s="18" t="s">
        <v>1895</v>
      </c>
      <c r="L205" s="18" t="s">
        <v>722</v>
      </c>
      <c r="M205" s="18" t="s">
        <v>974</v>
      </c>
      <c r="N205" s="18" t="s">
        <v>976</v>
      </c>
      <c r="O205" s="18" t="s">
        <v>710</v>
      </c>
    </row>
    <row r="206" spans="1:18" s="18" customFormat="1" x14ac:dyDescent="0.25">
      <c r="A206" t="s">
        <v>715</v>
      </c>
      <c r="B206" t="s">
        <v>142</v>
      </c>
      <c r="C206" t="s">
        <v>200</v>
      </c>
      <c r="D206" t="s">
        <v>1245</v>
      </c>
      <c r="E206" t="s">
        <v>11</v>
      </c>
      <c r="F206" t="s">
        <v>21</v>
      </c>
      <c r="G206" t="s">
        <v>201</v>
      </c>
      <c r="H206" t="s">
        <v>10</v>
      </c>
      <c r="I206" t="s">
        <v>2086</v>
      </c>
      <c r="J206"/>
      <c r="K206"/>
      <c r="L206" t="s">
        <v>962</v>
      </c>
      <c r="M206" t="s">
        <v>968</v>
      </c>
      <c r="N206" s="22" t="s">
        <v>969</v>
      </c>
      <c r="O206" t="s">
        <v>710</v>
      </c>
      <c r="P206" t="s">
        <v>2396</v>
      </c>
      <c r="Q206" t="s">
        <v>2434</v>
      </c>
      <c r="R206" t="s">
        <v>2269</v>
      </c>
    </row>
    <row r="207" spans="1:18" s="18" customFormat="1" x14ac:dyDescent="0.25">
      <c r="A207" s="18" t="s">
        <v>717</v>
      </c>
      <c r="B207" s="18" t="s">
        <v>79</v>
      </c>
      <c r="C207" s="18" t="s">
        <v>411</v>
      </c>
      <c r="D207" s="18" t="s">
        <v>1271</v>
      </c>
      <c r="E207" s="18" t="s">
        <v>375</v>
      </c>
      <c r="G207" s="18" t="s">
        <v>412</v>
      </c>
      <c r="H207" s="18" t="s">
        <v>374</v>
      </c>
      <c r="I207" s="18" t="s">
        <v>1848</v>
      </c>
      <c r="L207" s="18" t="s">
        <v>980</v>
      </c>
      <c r="M207" s="18" t="s">
        <v>707</v>
      </c>
      <c r="O207" s="18" t="s">
        <v>710</v>
      </c>
    </row>
    <row r="208" spans="1:18" x14ac:dyDescent="0.25">
      <c r="A208" s="18" t="s">
        <v>505</v>
      </c>
      <c r="B208" s="18" t="s">
        <v>505</v>
      </c>
      <c r="C208" s="18" t="s">
        <v>506</v>
      </c>
      <c r="D208" s="18" t="s">
        <v>1434</v>
      </c>
      <c r="E208" s="18" t="s">
        <v>375</v>
      </c>
      <c r="F208" s="18"/>
      <c r="G208" s="18" t="s">
        <v>498</v>
      </c>
      <c r="H208" s="18" t="s">
        <v>374</v>
      </c>
      <c r="I208" s="18" t="s">
        <v>2199</v>
      </c>
      <c r="J208" s="18"/>
      <c r="K208" s="18"/>
      <c r="L208" s="18"/>
      <c r="M208" s="18"/>
      <c r="N208" s="18"/>
      <c r="O208" s="18" t="s">
        <v>746</v>
      </c>
      <c r="P208" s="18"/>
      <c r="Q208" s="18"/>
      <c r="R208" s="18"/>
    </row>
    <row r="209" spans="1:18" s="18" customFormat="1" x14ac:dyDescent="0.25">
      <c r="A209" t="s">
        <v>755</v>
      </c>
      <c r="B209" t="s">
        <v>75</v>
      </c>
      <c r="C209" t="s">
        <v>76</v>
      </c>
      <c r="D209" t="s">
        <v>1314</v>
      </c>
      <c r="E209" t="s">
        <v>11</v>
      </c>
      <c r="F209" t="s">
        <v>13</v>
      </c>
      <c r="G209" t="s">
        <v>64</v>
      </c>
      <c r="H209" t="s">
        <v>10</v>
      </c>
      <c r="I209" t="s">
        <v>2132</v>
      </c>
      <c r="J209"/>
      <c r="K209"/>
      <c r="L209" t="s">
        <v>762</v>
      </c>
      <c r="M209" t="s">
        <v>1021</v>
      </c>
      <c r="N209" t="s">
        <v>1023</v>
      </c>
      <c r="O209" t="s">
        <v>710</v>
      </c>
      <c r="P209" t="s">
        <v>772</v>
      </c>
      <c r="Q209"/>
      <c r="R209" t="s">
        <v>2018</v>
      </c>
    </row>
    <row r="210" spans="1:18" s="18" customFormat="1" x14ac:dyDescent="0.25">
      <c r="A210" s="18" t="s">
        <v>634</v>
      </c>
      <c r="B210" s="18" t="s">
        <v>634</v>
      </c>
      <c r="C210" s="18" t="s">
        <v>635</v>
      </c>
      <c r="D210" s="18" t="s">
        <v>1416</v>
      </c>
      <c r="E210" s="18" t="s">
        <v>375</v>
      </c>
      <c r="G210" s="18" t="s">
        <v>627</v>
      </c>
      <c r="H210" s="18" t="s">
        <v>374</v>
      </c>
      <c r="I210" s="18" t="s">
        <v>2188</v>
      </c>
      <c r="O210" s="18" t="s">
        <v>746</v>
      </c>
    </row>
    <row r="211" spans="1:18" s="18" customFormat="1" x14ac:dyDescent="0.25">
      <c r="A211" s="18" t="s">
        <v>632</v>
      </c>
      <c r="B211" s="18" t="s">
        <v>632</v>
      </c>
      <c r="C211" s="18" t="s">
        <v>633</v>
      </c>
      <c r="D211" s="18" t="s">
        <v>1364</v>
      </c>
      <c r="E211" s="18" t="s">
        <v>375</v>
      </c>
      <c r="G211" s="18" t="s">
        <v>627</v>
      </c>
      <c r="H211" s="18" t="s">
        <v>374</v>
      </c>
      <c r="I211" s="18" t="s">
        <v>2158</v>
      </c>
      <c r="O211" s="18" t="s">
        <v>746</v>
      </c>
    </row>
    <row r="212" spans="1:18" x14ac:dyDescent="0.25">
      <c r="A212" s="18" t="s">
        <v>913</v>
      </c>
      <c r="B212" s="18" t="s">
        <v>539</v>
      </c>
      <c r="C212" s="18" t="s">
        <v>540</v>
      </c>
      <c r="D212" s="18" t="s">
        <v>1440</v>
      </c>
      <c r="E212" s="18" t="s">
        <v>375</v>
      </c>
      <c r="F212" s="18"/>
      <c r="G212" s="18" t="s">
        <v>536</v>
      </c>
      <c r="H212" s="18" t="s">
        <v>374</v>
      </c>
      <c r="I212" s="18" t="s">
        <v>2204</v>
      </c>
      <c r="J212" s="18"/>
      <c r="K212" s="18"/>
      <c r="L212" s="18"/>
      <c r="M212" s="18"/>
      <c r="N212" s="18"/>
      <c r="O212" s="18" t="s">
        <v>746</v>
      </c>
      <c r="P212" s="18"/>
      <c r="Q212" s="18"/>
      <c r="R212" s="18"/>
    </row>
    <row r="213" spans="1:18" x14ac:dyDescent="0.25">
      <c r="A213" t="s">
        <v>39</v>
      </c>
      <c r="B213" t="s">
        <v>39</v>
      </c>
      <c r="C213" t="s">
        <v>86</v>
      </c>
      <c r="D213" t="s">
        <v>1322</v>
      </c>
      <c r="E213" t="s">
        <v>11</v>
      </c>
      <c r="F213" t="s">
        <v>19</v>
      </c>
      <c r="G213" t="s">
        <v>84</v>
      </c>
      <c r="H213" t="s">
        <v>10</v>
      </c>
      <c r="I213" t="s">
        <v>2133</v>
      </c>
      <c r="L213" t="s">
        <v>1030</v>
      </c>
      <c r="M213" t="s">
        <v>1027</v>
      </c>
      <c r="N213" s="22" t="s">
        <v>1037</v>
      </c>
      <c r="O213" t="s">
        <v>710</v>
      </c>
      <c r="P213" t="s">
        <v>772</v>
      </c>
      <c r="R213" t="s">
        <v>2018</v>
      </c>
    </row>
    <row r="214" spans="1:18" x14ac:dyDescent="0.25">
      <c r="A214" t="s">
        <v>798</v>
      </c>
      <c r="B214" t="s">
        <v>70</v>
      </c>
      <c r="C214" t="s">
        <v>71</v>
      </c>
      <c r="D214" t="s">
        <v>1215</v>
      </c>
      <c r="E214" t="s">
        <v>11</v>
      </c>
      <c r="F214" t="s">
        <v>13</v>
      </c>
      <c r="G214" t="s">
        <v>64</v>
      </c>
      <c r="H214" t="s">
        <v>10</v>
      </c>
      <c r="I214" t="s">
        <v>2067</v>
      </c>
      <c r="L214" t="s">
        <v>800</v>
      </c>
      <c r="M214" t="s">
        <v>940</v>
      </c>
      <c r="N214" s="22" t="s">
        <v>941</v>
      </c>
      <c r="O214" t="s">
        <v>746</v>
      </c>
      <c r="R214" t="s">
        <v>2068</v>
      </c>
    </row>
    <row r="215" spans="1:18" s="18" customFormat="1" x14ac:dyDescent="0.25">
      <c r="A215" s="18" t="s">
        <v>853</v>
      </c>
      <c r="B215" s="18" t="s">
        <v>636</v>
      </c>
      <c r="C215" s="18" t="s">
        <v>637</v>
      </c>
      <c r="D215" s="18" t="s">
        <v>1239</v>
      </c>
      <c r="E215" s="18" t="s">
        <v>375</v>
      </c>
      <c r="G215" s="18" t="s">
        <v>627</v>
      </c>
      <c r="H215" s="18" t="s">
        <v>374</v>
      </c>
      <c r="I215" s="18" t="s">
        <v>2084</v>
      </c>
      <c r="O215" s="18" t="s">
        <v>746</v>
      </c>
    </row>
    <row r="216" spans="1:18" s="18" customFormat="1" ht="30" x14ac:dyDescent="0.25">
      <c r="A216" t="s">
        <v>153</v>
      </c>
      <c r="B216" t="s">
        <v>153</v>
      </c>
      <c r="C216" t="s">
        <v>154</v>
      </c>
      <c r="D216" t="s">
        <v>1382</v>
      </c>
      <c r="E216" t="s">
        <v>11</v>
      </c>
      <c r="F216" t="s">
        <v>23</v>
      </c>
      <c r="G216" t="s">
        <v>147</v>
      </c>
      <c r="H216" t="s">
        <v>10</v>
      </c>
      <c r="I216" t="s">
        <v>2174</v>
      </c>
      <c r="J216"/>
      <c r="K216"/>
      <c r="L216" s="3" t="s">
        <v>1452</v>
      </c>
      <c r="M216" s="30" t="s">
        <v>1451</v>
      </c>
      <c r="N216" s="30" t="s">
        <v>1450</v>
      </c>
      <c r="O216" t="s">
        <v>748</v>
      </c>
      <c r="P216" t="s">
        <v>720</v>
      </c>
      <c r="Q216"/>
      <c r="R216" t="s">
        <v>2175</v>
      </c>
    </row>
    <row r="217" spans="1:18" s="18" customFormat="1" x14ac:dyDescent="0.25">
      <c r="A217" s="18" t="s">
        <v>894</v>
      </c>
      <c r="B217" s="18" t="s">
        <v>440</v>
      </c>
      <c r="C217" s="18" t="s">
        <v>441</v>
      </c>
      <c r="D217" s="18" t="s">
        <v>1361</v>
      </c>
      <c r="E217" s="18" t="s">
        <v>375</v>
      </c>
      <c r="G217" s="18" t="s">
        <v>442</v>
      </c>
      <c r="H217" s="18" t="s">
        <v>374</v>
      </c>
      <c r="I217" s="18" t="s">
        <v>2156</v>
      </c>
      <c r="O217" s="18" t="s">
        <v>746</v>
      </c>
    </row>
    <row r="218" spans="1:18" x14ac:dyDescent="0.25">
      <c r="A218" t="s">
        <v>718</v>
      </c>
      <c r="B218" t="s">
        <v>151</v>
      </c>
      <c r="C218" t="s">
        <v>345</v>
      </c>
      <c r="D218" t="s">
        <v>1355</v>
      </c>
      <c r="E218" t="s">
        <v>233</v>
      </c>
      <c r="F218" t="s">
        <v>255</v>
      </c>
      <c r="G218" t="s">
        <v>346</v>
      </c>
      <c r="H218" t="s">
        <v>10</v>
      </c>
      <c r="I218" t="s">
        <v>2149</v>
      </c>
      <c r="J218" t="s">
        <v>2152</v>
      </c>
      <c r="K218" t="s">
        <v>2153</v>
      </c>
      <c r="L218" t="s">
        <v>1055</v>
      </c>
      <c r="M218" t="s">
        <v>1065</v>
      </c>
      <c r="O218" t="s">
        <v>749</v>
      </c>
      <c r="P218" t="s">
        <v>2310</v>
      </c>
      <c r="Q218" t="s">
        <v>2475</v>
      </c>
      <c r="R218" t="s">
        <v>2280</v>
      </c>
    </row>
    <row r="219" spans="1:18" x14ac:dyDescent="0.25">
      <c r="A219" s="18" t="s">
        <v>877</v>
      </c>
      <c r="B219" s="18" t="s">
        <v>600</v>
      </c>
      <c r="C219" s="18" t="s">
        <v>601</v>
      </c>
      <c r="D219" s="18" t="s">
        <v>1313</v>
      </c>
      <c r="E219" s="18" t="s">
        <v>375</v>
      </c>
      <c r="F219" s="18"/>
      <c r="G219" s="18" t="s">
        <v>602</v>
      </c>
      <c r="H219" s="18" t="s">
        <v>374</v>
      </c>
      <c r="I219" s="18" t="s">
        <v>2131</v>
      </c>
      <c r="J219" s="18"/>
      <c r="K219" s="18"/>
      <c r="L219" s="18"/>
      <c r="M219" s="18"/>
      <c r="N219" s="18"/>
      <c r="O219" s="18" t="s">
        <v>746</v>
      </c>
      <c r="P219" s="18"/>
      <c r="Q219" s="18"/>
      <c r="R219" s="18"/>
    </row>
    <row r="220" spans="1:18" x14ac:dyDescent="0.25">
      <c r="A220" s="18" t="s">
        <v>878</v>
      </c>
      <c r="B220" s="18" t="s">
        <v>665</v>
      </c>
      <c r="C220" s="18" t="s">
        <v>666</v>
      </c>
      <c r="D220" s="18" t="s">
        <v>1326</v>
      </c>
      <c r="E220" s="18" t="s">
        <v>375</v>
      </c>
      <c r="F220" s="18"/>
      <c r="G220" s="18" t="s">
        <v>210</v>
      </c>
      <c r="H220" s="18" t="s">
        <v>374</v>
      </c>
      <c r="I220" s="18" t="s">
        <v>2135</v>
      </c>
      <c r="J220" s="18"/>
      <c r="K220" s="18"/>
      <c r="L220" s="18"/>
      <c r="M220" s="18"/>
      <c r="N220" s="18"/>
      <c r="O220" s="18" t="s">
        <v>746</v>
      </c>
      <c r="P220" s="18"/>
      <c r="Q220" s="18"/>
      <c r="R220" s="18"/>
    </row>
    <row r="221" spans="1:18" x14ac:dyDescent="0.25">
      <c r="A221" s="18" t="s">
        <v>522</v>
      </c>
      <c r="B221" s="18" t="s">
        <v>522</v>
      </c>
      <c r="C221" s="18" t="s">
        <v>523</v>
      </c>
      <c r="D221" s="18" t="s">
        <v>1200</v>
      </c>
      <c r="E221" s="18" t="s">
        <v>375</v>
      </c>
      <c r="F221" s="18"/>
      <c r="G221" s="18" t="s">
        <v>524</v>
      </c>
      <c r="H221" s="18" t="s">
        <v>374</v>
      </c>
      <c r="I221" s="18" t="s">
        <v>2055</v>
      </c>
      <c r="J221" s="18"/>
      <c r="K221" s="18"/>
      <c r="L221" s="18"/>
      <c r="M221" s="18"/>
      <c r="N221" s="18"/>
      <c r="O221" s="18" t="s">
        <v>746</v>
      </c>
      <c r="P221" s="18"/>
      <c r="Q221" s="18"/>
      <c r="R221" s="18"/>
    </row>
    <row r="222" spans="1:18" x14ac:dyDescent="0.25">
      <c r="A222" t="s">
        <v>902</v>
      </c>
      <c r="B222" t="s">
        <v>51</v>
      </c>
      <c r="C222" t="s">
        <v>52</v>
      </c>
      <c r="D222" t="s">
        <v>1377</v>
      </c>
      <c r="E222" t="s">
        <v>11</v>
      </c>
      <c r="F222" t="s">
        <v>44</v>
      </c>
      <c r="G222" t="s">
        <v>16</v>
      </c>
      <c r="H222" t="s">
        <v>10</v>
      </c>
      <c r="I222" t="s">
        <v>2169</v>
      </c>
      <c r="J222" t="s">
        <v>1943</v>
      </c>
      <c r="K222" t="s">
        <v>1942</v>
      </c>
      <c r="L222" t="s">
        <v>1089</v>
      </c>
      <c r="M222" t="s">
        <v>1090</v>
      </c>
      <c r="N222" s="22" t="s">
        <v>1092</v>
      </c>
      <c r="O222" t="s">
        <v>746</v>
      </c>
      <c r="P222" t="s">
        <v>772</v>
      </c>
      <c r="R222" t="s">
        <v>2170</v>
      </c>
    </row>
    <row r="223" spans="1:18" x14ac:dyDescent="0.25">
      <c r="A223" s="18" t="s">
        <v>670</v>
      </c>
      <c r="B223" s="18" t="s">
        <v>670</v>
      </c>
      <c r="C223" s="18" t="s">
        <v>671</v>
      </c>
      <c r="D223" s="18" t="s">
        <v>1201</v>
      </c>
      <c r="E223" s="18" t="s">
        <v>375</v>
      </c>
      <c r="F223" s="18"/>
      <c r="G223" s="18" t="s">
        <v>672</v>
      </c>
      <c r="H223" s="18" t="s">
        <v>374</v>
      </c>
      <c r="I223" s="18" t="s">
        <v>2056</v>
      </c>
      <c r="J223" s="18"/>
      <c r="K223" s="18"/>
      <c r="L223" s="18"/>
      <c r="M223" s="18"/>
      <c r="N223" s="18"/>
      <c r="O223" s="18" t="s">
        <v>746</v>
      </c>
      <c r="P223" s="18"/>
      <c r="Q223" s="18"/>
      <c r="R223" s="18"/>
    </row>
    <row r="224" spans="1:18" s="18" customFormat="1" x14ac:dyDescent="0.25">
      <c r="A224" s="18" t="s">
        <v>718</v>
      </c>
      <c r="B224" s="18" t="s">
        <v>151</v>
      </c>
      <c r="C224" s="18" t="s">
        <v>648</v>
      </c>
      <c r="D224" s="18" t="s">
        <v>1357</v>
      </c>
      <c r="E224" s="18" t="s">
        <v>375</v>
      </c>
      <c r="G224" s="18" t="s">
        <v>649</v>
      </c>
      <c r="H224" s="18" t="s">
        <v>374</v>
      </c>
      <c r="I224" s="18" t="s">
        <v>2149</v>
      </c>
      <c r="J224" s="18" t="s">
        <v>2152</v>
      </c>
      <c r="K224" s="18" t="s">
        <v>2153</v>
      </c>
      <c r="L224" s="18" t="s">
        <v>1055</v>
      </c>
      <c r="M224" s="18" t="s">
        <v>1065</v>
      </c>
      <c r="O224" s="18" t="s">
        <v>749</v>
      </c>
    </row>
    <row r="225" spans="1:18" s="18" customFormat="1" x14ac:dyDescent="0.25">
      <c r="A225" s="18" t="s">
        <v>101</v>
      </c>
      <c r="B225" s="18" t="s">
        <v>101</v>
      </c>
      <c r="C225" s="18" t="s">
        <v>416</v>
      </c>
      <c r="D225" s="18" t="s">
        <v>1406</v>
      </c>
      <c r="E225" s="18" t="s">
        <v>375</v>
      </c>
      <c r="G225" s="18" t="s">
        <v>417</v>
      </c>
      <c r="H225" s="18" t="s">
        <v>374</v>
      </c>
      <c r="I225" s="18" t="s">
        <v>1845</v>
      </c>
      <c r="M225" s="19" t="s">
        <v>711</v>
      </c>
      <c r="N225" s="18" t="s">
        <v>707</v>
      </c>
      <c r="O225" s="18" t="s">
        <v>710</v>
      </c>
    </row>
    <row r="226" spans="1:18" s="18" customFormat="1" x14ac:dyDescent="0.25">
      <c r="A226" t="s">
        <v>761</v>
      </c>
      <c r="B226" t="s">
        <v>165</v>
      </c>
      <c r="C226" t="s">
        <v>166</v>
      </c>
      <c r="D226" t="s">
        <v>1392</v>
      </c>
      <c r="E226" t="s">
        <v>11</v>
      </c>
      <c r="F226" t="s">
        <v>19</v>
      </c>
      <c r="G226" t="s">
        <v>157</v>
      </c>
      <c r="H226" t="s">
        <v>10</v>
      </c>
      <c r="I226" t="s">
        <v>2180</v>
      </c>
      <c r="J226"/>
      <c r="K226"/>
      <c r="L226" s="22" t="s">
        <v>767</v>
      </c>
      <c r="M226" s="22" t="s">
        <v>2361</v>
      </c>
      <c r="N226" s="22" t="s">
        <v>1459</v>
      </c>
      <c r="O226" t="s">
        <v>710</v>
      </c>
      <c r="P226" t="s">
        <v>772</v>
      </c>
      <c r="Q226"/>
      <c r="R226" t="s">
        <v>2362</v>
      </c>
    </row>
    <row r="227" spans="1:18" s="18" customFormat="1" x14ac:dyDescent="0.25">
      <c r="A227" s="18" t="s">
        <v>761</v>
      </c>
      <c r="B227" s="18" t="s">
        <v>165</v>
      </c>
      <c r="C227" s="18" t="s">
        <v>541</v>
      </c>
      <c r="D227" s="18" t="s">
        <v>1393</v>
      </c>
      <c r="E227" s="18" t="s">
        <v>375</v>
      </c>
      <c r="G227" s="18" t="s">
        <v>542</v>
      </c>
      <c r="H227" s="18" t="s">
        <v>374</v>
      </c>
      <c r="I227" s="18" t="s">
        <v>2180</v>
      </c>
      <c r="L227" s="18" t="s">
        <v>767</v>
      </c>
      <c r="O227" s="18" t="s">
        <v>710</v>
      </c>
    </row>
    <row r="228" spans="1:18" x14ac:dyDescent="0.25">
      <c r="A228" t="s">
        <v>902</v>
      </c>
      <c r="B228" t="s">
        <v>51</v>
      </c>
      <c r="C228" t="s">
        <v>53</v>
      </c>
      <c r="D228" t="s">
        <v>1378</v>
      </c>
      <c r="E228" t="s">
        <v>11</v>
      </c>
      <c r="F228" t="s">
        <v>21</v>
      </c>
      <c r="G228" t="s">
        <v>16</v>
      </c>
      <c r="H228" t="s">
        <v>10</v>
      </c>
      <c r="I228" t="s">
        <v>2169</v>
      </c>
      <c r="J228" t="s">
        <v>1943</v>
      </c>
      <c r="K228" t="s">
        <v>1942</v>
      </c>
      <c r="L228" t="s">
        <v>1089</v>
      </c>
      <c r="M228" t="s">
        <v>1090</v>
      </c>
      <c r="N228" s="22" t="s">
        <v>1092</v>
      </c>
      <c r="O228" t="s">
        <v>746</v>
      </c>
      <c r="P228" t="s">
        <v>772</v>
      </c>
      <c r="R228" t="s">
        <v>2170</v>
      </c>
    </row>
    <row r="229" spans="1:18" x14ac:dyDescent="0.25">
      <c r="A229" t="s">
        <v>714</v>
      </c>
      <c r="B229" t="s">
        <v>350</v>
      </c>
      <c r="C229" t="s">
        <v>351</v>
      </c>
      <c r="D229" t="s">
        <v>1241</v>
      </c>
      <c r="E229" t="s">
        <v>233</v>
      </c>
      <c r="F229" t="s">
        <v>2530</v>
      </c>
      <c r="G229" t="s">
        <v>1544</v>
      </c>
      <c r="H229" t="s">
        <v>10</v>
      </c>
      <c r="I229" t="s">
        <v>2085</v>
      </c>
      <c r="L229" t="s">
        <v>951</v>
      </c>
      <c r="M229" t="s">
        <v>707</v>
      </c>
      <c r="N229" t="s">
        <v>707</v>
      </c>
      <c r="O229" t="s">
        <v>746</v>
      </c>
      <c r="P229" t="s">
        <v>807</v>
      </c>
      <c r="R229" t="s">
        <v>2304</v>
      </c>
    </row>
    <row r="230" spans="1:18" s="18" customFormat="1" x14ac:dyDescent="0.25">
      <c r="A230" s="18" t="s">
        <v>899</v>
      </c>
      <c r="B230" s="18" t="s">
        <v>684</v>
      </c>
      <c r="C230" s="18" t="s">
        <v>685</v>
      </c>
      <c r="D230" s="18" t="s">
        <v>1370</v>
      </c>
      <c r="E230" s="18" t="s">
        <v>375</v>
      </c>
      <c r="G230" s="18" t="s">
        <v>683</v>
      </c>
      <c r="H230" s="18" t="s">
        <v>374</v>
      </c>
      <c r="I230" s="18" t="s">
        <v>2162</v>
      </c>
      <c r="O230" s="18" t="s">
        <v>746</v>
      </c>
    </row>
    <row r="231" spans="1:18" s="18" customFormat="1" x14ac:dyDescent="0.25">
      <c r="A231" s="18" t="s">
        <v>741</v>
      </c>
      <c r="B231" s="18" t="s">
        <v>516</v>
      </c>
      <c r="C231" s="18" t="s">
        <v>517</v>
      </c>
      <c r="D231" s="18" t="s">
        <v>1163</v>
      </c>
      <c r="E231" s="18" t="s">
        <v>375</v>
      </c>
      <c r="G231" s="18" t="s">
        <v>509</v>
      </c>
      <c r="H231" s="18" t="s">
        <v>374</v>
      </c>
      <c r="I231" s="18" t="s">
        <v>2034</v>
      </c>
      <c r="L231" s="18" t="s">
        <v>742</v>
      </c>
      <c r="O231" s="18" t="s">
        <v>746</v>
      </c>
    </row>
    <row r="232" spans="1:18" s="18" customFormat="1" x14ac:dyDescent="0.25">
      <c r="A232" s="18" t="s">
        <v>518</v>
      </c>
      <c r="B232" s="18" t="s">
        <v>518</v>
      </c>
      <c r="C232" s="18" t="s">
        <v>519</v>
      </c>
      <c r="D232" s="18" t="s">
        <v>1259</v>
      </c>
      <c r="E232" s="18" t="s">
        <v>375</v>
      </c>
      <c r="G232" s="18" t="s">
        <v>509</v>
      </c>
      <c r="H232" s="18" t="s">
        <v>374</v>
      </c>
      <c r="I232" s="18" t="s">
        <v>2093</v>
      </c>
      <c r="O232" s="18" t="s">
        <v>746</v>
      </c>
    </row>
    <row r="233" spans="1:18" x14ac:dyDescent="0.25">
      <c r="A233" s="18" t="s">
        <v>867</v>
      </c>
      <c r="B233" s="18" t="s">
        <v>571</v>
      </c>
      <c r="C233" s="18" t="s">
        <v>587</v>
      </c>
      <c r="D233" s="18" t="s">
        <v>1296</v>
      </c>
      <c r="E233" s="18" t="s">
        <v>375</v>
      </c>
      <c r="F233" s="18"/>
      <c r="G233" s="18" t="s">
        <v>588</v>
      </c>
      <c r="H233" s="18" t="s">
        <v>374</v>
      </c>
      <c r="I233" s="18" t="s">
        <v>2117</v>
      </c>
      <c r="J233" s="18"/>
      <c r="K233" s="18"/>
      <c r="L233" s="18"/>
      <c r="M233" s="18"/>
      <c r="N233" s="18"/>
      <c r="O233" s="18" t="s">
        <v>746</v>
      </c>
      <c r="P233" s="18"/>
      <c r="Q233" s="18"/>
      <c r="R233" s="18"/>
    </row>
    <row r="234" spans="1:18" s="18" customFormat="1" x14ac:dyDescent="0.25">
      <c r="A234" s="18" t="s">
        <v>533</v>
      </c>
      <c r="B234" s="18" t="s">
        <v>533</v>
      </c>
      <c r="C234" s="18" t="s">
        <v>534</v>
      </c>
      <c r="D234" s="18" t="s">
        <v>1432</v>
      </c>
      <c r="E234" s="18" t="s">
        <v>375</v>
      </c>
      <c r="G234" s="18" t="s">
        <v>535</v>
      </c>
      <c r="H234" s="18" t="s">
        <v>374</v>
      </c>
      <c r="I234" s="18" t="s">
        <v>2197</v>
      </c>
      <c r="O234" s="18" t="s">
        <v>746</v>
      </c>
    </row>
    <row r="235" spans="1:18" x14ac:dyDescent="0.25">
      <c r="A235" s="18" t="s">
        <v>881</v>
      </c>
      <c r="B235" s="18" t="s">
        <v>657</v>
      </c>
      <c r="C235" s="18" t="s">
        <v>658</v>
      </c>
      <c r="D235" s="18" t="s">
        <v>1329</v>
      </c>
      <c r="E235" s="18" t="s">
        <v>375</v>
      </c>
      <c r="F235" s="18"/>
      <c r="G235" s="18" t="s">
        <v>656</v>
      </c>
      <c r="H235" s="18" t="s">
        <v>374</v>
      </c>
      <c r="I235" s="18" t="s">
        <v>2138</v>
      </c>
      <c r="J235" s="18"/>
      <c r="K235" s="18"/>
      <c r="L235" s="18"/>
      <c r="M235" s="18"/>
      <c r="N235" s="18"/>
      <c r="O235" s="18" t="s">
        <v>746</v>
      </c>
      <c r="P235" s="18"/>
      <c r="Q235" s="18"/>
      <c r="R235" s="18"/>
    </row>
    <row r="236" spans="1:18" x14ac:dyDescent="0.25">
      <c r="A236" t="s">
        <v>774</v>
      </c>
      <c r="B236" t="s">
        <v>62</v>
      </c>
      <c r="C236" t="s">
        <v>63</v>
      </c>
      <c r="D236" t="s">
        <v>1122</v>
      </c>
      <c r="E236" t="s">
        <v>11</v>
      </c>
      <c r="F236" t="s">
        <v>21</v>
      </c>
      <c r="G236" t="s">
        <v>64</v>
      </c>
      <c r="H236" t="s">
        <v>10</v>
      </c>
      <c r="I236" t="s">
        <v>2013</v>
      </c>
      <c r="L236" s="22" t="s">
        <v>775</v>
      </c>
      <c r="M236" s="22" t="s">
        <v>2014</v>
      </c>
      <c r="N236" s="22" t="s">
        <v>2015</v>
      </c>
      <c r="O236" t="s">
        <v>746</v>
      </c>
      <c r="P236" t="s">
        <v>720</v>
      </c>
      <c r="R236" t="s">
        <v>2922</v>
      </c>
    </row>
    <row r="237" spans="1:18" x14ac:dyDescent="0.25">
      <c r="A237" t="s">
        <v>354</v>
      </c>
      <c r="B237" t="s">
        <v>354</v>
      </c>
      <c r="C237" t="s">
        <v>355</v>
      </c>
      <c r="D237" t="s">
        <v>1389</v>
      </c>
      <c r="E237" t="s">
        <v>233</v>
      </c>
      <c r="F237" t="s">
        <v>255</v>
      </c>
      <c r="G237" t="s">
        <v>244</v>
      </c>
      <c r="H237" t="s">
        <v>10</v>
      </c>
      <c r="I237" t="s">
        <v>2179</v>
      </c>
      <c r="L237" t="s">
        <v>1104</v>
      </c>
      <c r="M237" t="s">
        <v>1103</v>
      </c>
      <c r="N237" t="s">
        <v>707</v>
      </c>
      <c r="O237" t="s">
        <v>746</v>
      </c>
      <c r="P237" t="s">
        <v>807</v>
      </c>
      <c r="R237" t="s">
        <v>2359</v>
      </c>
    </row>
    <row r="238" spans="1:18" s="18" customFormat="1" x14ac:dyDescent="0.25">
      <c r="A238" t="s">
        <v>717</v>
      </c>
      <c r="B238" t="s">
        <v>79</v>
      </c>
      <c r="C238" t="s">
        <v>87</v>
      </c>
      <c r="D238" t="s">
        <v>1267</v>
      </c>
      <c r="E238" t="s">
        <v>11</v>
      </c>
      <c r="F238" t="s">
        <v>44</v>
      </c>
      <c r="G238" t="s">
        <v>88</v>
      </c>
      <c r="H238" t="s">
        <v>10</v>
      </c>
      <c r="I238" t="s">
        <v>1848</v>
      </c>
      <c r="J238" t="s">
        <v>1778</v>
      </c>
      <c r="K238" t="s">
        <v>1849</v>
      </c>
      <c r="L238" t="s">
        <v>980</v>
      </c>
      <c r="M238" t="s">
        <v>707</v>
      </c>
      <c r="N238" t="s">
        <v>983</v>
      </c>
      <c r="O238" t="s">
        <v>710</v>
      </c>
      <c r="P238" t="s">
        <v>2310</v>
      </c>
      <c r="Q238"/>
      <c r="R238" t="s">
        <v>2099</v>
      </c>
    </row>
    <row r="239" spans="1:18" x14ac:dyDescent="0.25">
      <c r="A239" s="18" t="s">
        <v>907</v>
      </c>
      <c r="B239" s="18" t="s">
        <v>640</v>
      </c>
      <c r="C239" s="18" t="s">
        <v>641</v>
      </c>
      <c r="D239" s="18" t="s">
        <v>1409</v>
      </c>
      <c r="E239" s="18" t="s">
        <v>375</v>
      </c>
      <c r="F239" s="18"/>
      <c r="G239" s="18" t="s">
        <v>642</v>
      </c>
      <c r="H239" s="18" t="s">
        <v>374</v>
      </c>
      <c r="I239" s="18" t="s">
        <v>2184</v>
      </c>
      <c r="J239" s="18"/>
      <c r="K239" s="18"/>
      <c r="L239" s="18"/>
      <c r="M239" s="18"/>
      <c r="N239" s="18"/>
      <c r="O239" s="18" t="s">
        <v>746</v>
      </c>
      <c r="P239" s="18"/>
      <c r="Q239" s="18"/>
      <c r="R239" s="18"/>
    </row>
    <row r="240" spans="1:18" s="18" customFormat="1" x14ac:dyDescent="0.25">
      <c r="A240" t="s">
        <v>715</v>
      </c>
      <c r="B240" t="s">
        <v>142</v>
      </c>
      <c r="C240" t="s">
        <v>188</v>
      </c>
      <c r="D240" t="s">
        <v>1248</v>
      </c>
      <c r="E240" t="s">
        <v>11</v>
      </c>
      <c r="F240" t="s">
        <v>44</v>
      </c>
      <c r="G240" t="s">
        <v>189</v>
      </c>
      <c r="H240" t="s">
        <v>10</v>
      </c>
      <c r="I240" t="s">
        <v>2086</v>
      </c>
      <c r="J240" t="s">
        <v>2087</v>
      </c>
      <c r="K240" t="s">
        <v>2088</v>
      </c>
      <c r="L240" t="s">
        <v>962</v>
      </c>
      <c r="M240" t="s">
        <v>963</v>
      </c>
      <c r="N240" t="s">
        <v>964</v>
      </c>
      <c r="O240" t="s">
        <v>710</v>
      </c>
      <c r="P240" t="s">
        <v>2396</v>
      </c>
      <c r="Q240" t="s">
        <v>2434</v>
      </c>
      <c r="R240" t="s">
        <v>2269</v>
      </c>
    </row>
    <row r="241" spans="1:18" x14ac:dyDescent="0.25">
      <c r="A241" t="s">
        <v>715</v>
      </c>
      <c r="B241" t="s">
        <v>142</v>
      </c>
      <c r="C241" t="s">
        <v>140</v>
      </c>
      <c r="D241" t="s">
        <v>1254</v>
      </c>
      <c r="E241" t="s">
        <v>233</v>
      </c>
      <c r="F241" t="s">
        <v>357</v>
      </c>
      <c r="G241" t="s">
        <v>356</v>
      </c>
      <c r="H241" t="s">
        <v>10</v>
      </c>
      <c r="I241" t="s">
        <v>2086</v>
      </c>
      <c r="L241" t="s">
        <v>962</v>
      </c>
      <c r="M241" t="s">
        <v>963</v>
      </c>
      <c r="N241" s="22" t="s">
        <v>964</v>
      </c>
      <c r="O241" t="s">
        <v>710</v>
      </c>
      <c r="P241" t="s">
        <v>2396</v>
      </c>
      <c r="Q241" t="s">
        <v>2434</v>
      </c>
      <c r="R241" t="s">
        <v>2269</v>
      </c>
    </row>
    <row r="242" spans="1:18" s="18" customFormat="1" x14ac:dyDescent="0.25">
      <c r="A242" t="s">
        <v>900</v>
      </c>
      <c r="B242" t="s">
        <v>49</v>
      </c>
      <c r="C242" t="s">
        <v>50</v>
      </c>
      <c r="D242" t="s">
        <v>1372</v>
      </c>
      <c r="E242" t="s">
        <v>11</v>
      </c>
      <c r="F242" t="s">
        <v>13</v>
      </c>
      <c r="G242" t="s">
        <v>16</v>
      </c>
      <c r="H242" t="s">
        <v>10</v>
      </c>
      <c r="I242" t="s">
        <v>2164</v>
      </c>
      <c r="J242"/>
      <c r="K242"/>
      <c r="L242" t="s">
        <v>1084</v>
      </c>
      <c r="M242" t="s">
        <v>1086</v>
      </c>
      <c r="N242" s="22" t="s">
        <v>1083</v>
      </c>
      <c r="O242" t="s">
        <v>746</v>
      </c>
      <c r="P242" t="s">
        <v>772</v>
      </c>
      <c r="Q242"/>
      <c r="R242" t="s">
        <v>2925</v>
      </c>
    </row>
    <row r="243" spans="1:18" s="18" customFormat="1" x14ac:dyDescent="0.25">
      <c r="A243" s="18" t="s">
        <v>674</v>
      </c>
      <c r="B243" s="18" t="s">
        <v>674</v>
      </c>
      <c r="C243" s="18" t="s">
        <v>675</v>
      </c>
      <c r="D243" s="18" t="s">
        <v>1436</v>
      </c>
      <c r="E243" s="18" t="s">
        <v>375</v>
      </c>
      <c r="G243" s="18" t="s">
        <v>673</v>
      </c>
      <c r="H243" s="18" t="s">
        <v>374</v>
      </c>
      <c r="I243" s="18" t="s">
        <v>2201</v>
      </c>
      <c r="O243" s="18" t="s">
        <v>746</v>
      </c>
    </row>
    <row r="244" spans="1:18" s="18" customFormat="1" x14ac:dyDescent="0.25">
      <c r="A244" s="18" t="s">
        <v>717</v>
      </c>
      <c r="B244" s="18" t="s">
        <v>79</v>
      </c>
      <c r="C244" s="18" t="s">
        <v>465</v>
      </c>
      <c r="D244" s="18" t="s">
        <v>1273</v>
      </c>
      <c r="E244" s="18" t="s">
        <v>375</v>
      </c>
      <c r="G244" s="18" t="s">
        <v>90</v>
      </c>
      <c r="H244" s="18" t="s">
        <v>374</v>
      </c>
      <c r="I244" s="18" t="s">
        <v>1848</v>
      </c>
      <c r="L244" s="18" t="s">
        <v>980</v>
      </c>
      <c r="M244" s="18" t="s">
        <v>707</v>
      </c>
      <c r="O244" s="18" t="s">
        <v>710</v>
      </c>
    </row>
    <row r="245" spans="1:18" s="18" customFormat="1" x14ac:dyDescent="0.25">
      <c r="A245" t="s">
        <v>901</v>
      </c>
      <c r="B245" t="s">
        <v>119</v>
      </c>
      <c r="C245" t="s">
        <v>120</v>
      </c>
      <c r="D245" t="s">
        <v>1373</v>
      </c>
      <c r="E245" t="s">
        <v>11</v>
      </c>
      <c r="F245" t="s">
        <v>122</v>
      </c>
      <c r="G245" t="s">
        <v>121</v>
      </c>
      <c r="H245" t="s">
        <v>10</v>
      </c>
      <c r="I245" t="s">
        <v>2165</v>
      </c>
      <c r="J245"/>
      <c r="K245"/>
      <c r="L245" t="s">
        <v>1087</v>
      </c>
      <c r="M245" s="22" t="s">
        <v>1087</v>
      </c>
      <c r="N245" s="22" t="s">
        <v>1088</v>
      </c>
      <c r="O245" t="s">
        <v>746</v>
      </c>
      <c r="P245" t="s">
        <v>807</v>
      </c>
      <c r="Q245"/>
      <c r="R245" t="s">
        <v>2357</v>
      </c>
    </row>
    <row r="246" spans="1:18" x14ac:dyDescent="0.25">
      <c r="A246" t="s">
        <v>764</v>
      </c>
      <c r="B246" t="s">
        <v>358</v>
      </c>
      <c r="C246" t="s">
        <v>359</v>
      </c>
      <c r="D246" t="s">
        <v>1371</v>
      </c>
      <c r="E246" t="s">
        <v>233</v>
      </c>
      <c r="F246" t="s">
        <v>274</v>
      </c>
      <c r="G246" t="s">
        <v>360</v>
      </c>
      <c r="H246" t="s">
        <v>10</v>
      </c>
      <c r="I246" t="s">
        <v>2163</v>
      </c>
      <c r="L246" s="3" t="s">
        <v>1082</v>
      </c>
      <c r="M246" s="30" t="s">
        <v>2347</v>
      </c>
      <c r="N246" t="s">
        <v>707</v>
      </c>
      <c r="O246" t="s">
        <v>710</v>
      </c>
      <c r="P246" t="s">
        <v>2310</v>
      </c>
      <c r="R246" t="s">
        <v>2354</v>
      </c>
    </row>
    <row r="247" spans="1:18" x14ac:dyDescent="0.2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25">
      <c r="A248" t="s">
        <v>719</v>
      </c>
      <c r="B248" t="s">
        <v>178</v>
      </c>
      <c r="C248" t="s">
        <v>179</v>
      </c>
      <c r="D248" t="s">
        <v>1425</v>
      </c>
      <c r="E248" t="s">
        <v>11</v>
      </c>
      <c r="F248" t="s">
        <v>292</v>
      </c>
      <c r="G248" t="s">
        <v>180</v>
      </c>
      <c r="H248" t="s">
        <v>10</v>
      </c>
      <c r="I248" t="s">
        <v>2191</v>
      </c>
      <c r="L248" t="s">
        <v>1472</v>
      </c>
      <c r="M248" t="s">
        <v>1478</v>
      </c>
      <c r="N248" s="22" t="s">
        <v>1477</v>
      </c>
      <c r="O248" t="s">
        <v>710</v>
      </c>
      <c r="P248" t="s">
        <v>2310</v>
      </c>
      <c r="R248" t="s">
        <v>2194</v>
      </c>
    </row>
    <row r="249" spans="1:18" x14ac:dyDescent="0.25">
      <c r="A249" s="18" t="s">
        <v>838</v>
      </c>
      <c r="B249" s="18" t="s">
        <v>606</v>
      </c>
      <c r="C249" s="18" t="s">
        <v>607</v>
      </c>
      <c r="D249" s="18" t="s">
        <v>1194</v>
      </c>
      <c r="E249" s="18" t="s">
        <v>375</v>
      </c>
      <c r="F249" s="18"/>
      <c r="G249" s="18" t="s">
        <v>608</v>
      </c>
      <c r="H249" s="18" t="s">
        <v>374</v>
      </c>
      <c r="I249" s="18" t="s">
        <v>2053</v>
      </c>
      <c r="J249" s="18"/>
      <c r="K249" s="18"/>
      <c r="L249" s="18"/>
      <c r="M249" s="18"/>
      <c r="N249" s="18"/>
      <c r="O249" s="18" t="s">
        <v>746</v>
      </c>
      <c r="P249" s="18"/>
      <c r="Q249" s="18"/>
      <c r="R249" s="18"/>
    </row>
    <row r="250" spans="1:18" x14ac:dyDescent="0.25">
      <c r="A250" t="s">
        <v>756</v>
      </c>
      <c r="B250" t="s">
        <v>46</v>
      </c>
      <c r="C250" t="s">
        <v>48</v>
      </c>
      <c r="D250" t="s">
        <v>1340</v>
      </c>
      <c r="E250" t="s">
        <v>11</v>
      </c>
      <c r="F250" t="s">
        <v>44</v>
      </c>
      <c r="G250" t="s">
        <v>16</v>
      </c>
      <c r="H250" t="s">
        <v>10</v>
      </c>
      <c r="I250" t="s">
        <v>2148</v>
      </c>
      <c r="J250" t="s">
        <v>1536</v>
      </c>
      <c r="K250" t="s">
        <v>1751</v>
      </c>
      <c r="L250" t="s">
        <v>763</v>
      </c>
      <c r="M250" s="2" t="s">
        <v>1044</v>
      </c>
      <c r="N250" s="2" t="s">
        <v>1046</v>
      </c>
      <c r="O250" t="s">
        <v>710</v>
      </c>
      <c r="P250" t="s">
        <v>772</v>
      </c>
      <c r="R250" t="s">
        <v>2018</v>
      </c>
    </row>
    <row r="251" spans="1:18" s="34" customFormat="1" x14ac:dyDescent="0.25">
      <c r="A251" s="34" t="s">
        <v>719</v>
      </c>
      <c r="B251" s="34" t="s">
        <v>178</v>
      </c>
      <c r="C251" s="34" t="s">
        <v>186</v>
      </c>
      <c r="D251" s="34" t="s">
        <v>1424</v>
      </c>
      <c r="E251" s="34" t="s">
        <v>11</v>
      </c>
      <c r="F251" s="34" t="s">
        <v>274</v>
      </c>
      <c r="G251" s="34" t="s">
        <v>187</v>
      </c>
      <c r="H251" s="34" t="s">
        <v>10</v>
      </c>
      <c r="I251" s="34" t="s">
        <v>2191</v>
      </c>
      <c r="J251" s="34" t="s">
        <v>2192</v>
      </c>
      <c r="K251" s="34" t="s">
        <v>2193</v>
      </c>
      <c r="L251" s="34" t="s">
        <v>1472</v>
      </c>
      <c r="N251" s="35" t="s">
        <v>1479</v>
      </c>
      <c r="O251" s="34" t="s">
        <v>710</v>
      </c>
      <c r="P251" s="34" t="s">
        <v>2310</v>
      </c>
      <c r="R251" s="34" t="s">
        <v>2194</v>
      </c>
    </row>
    <row r="252" spans="1:18" x14ac:dyDescent="0.25">
      <c r="A252" s="18" t="s">
        <v>717</v>
      </c>
      <c r="B252" s="18" t="s">
        <v>79</v>
      </c>
      <c r="C252" s="18" t="s">
        <v>466</v>
      </c>
      <c r="D252" s="18" t="s">
        <v>1274</v>
      </c>
      <c r="E252" s="18" t="s">
        <v>375</v>
      </c>
      <c r="F252" s="18"/>
      <c r="G252" s="18" t="s">
        <v>90</v>
      </c>
      <c r="H252" s="18" t="s">
        <v>374</v>
      </c>
      <c r="I252" s="18" t="s">
        <v>1848</v>
      </c>
      <c r="J252" s="18"/>
      <c r="K252" s="18"/>
      <c r="L252" s="18" t="s">
        <v>980</v>
      </c>
      <c r="M252" s="18" t="s">
        <v>707</v>
      </c>
      <c r="N252" s="18"/>
      <c r="O252" s="18" t="s">
        <v>710</v>
      </c>
      <c r="P252" s="18"/>
      <c r="Q252" s="18"/>
      <c r="R252" s="18"/>
    </row>
    <row r="253" spans="1:18" x14ac:dyDescent="0.25">
      <c r="A253" t="s">
        <v>101</v>
      </c>
      <c r="B253" t="s">
        <v>101</v>
      </c>
      <c r="C253" t="s">
        <v>361</v>
      </c>
      <c r="D253" t="s">
        <v>1405</v>
      </c>
      <c r="E253" t="s">
        <v>233</v>
      </c>
      <c r="F253" t="s">
        <v>292</v>
      </c>
      <c r="G253" t="s">
        <v>362</v>
      </c>
      <c r="H253" t="s">
        <v>10</v>
      </c>
      <c r="I253" t="s">
        <v>1845</v>
      </c>
      <c r="L253" t="s">
        <v>1466</v>
      </c>
      <c r="O253" t="s">
        <v>710</v>
      </c>
      <c r="P253" t="s">
        <v>2310</v>
      </c>
      <c r="R253" t="s">
        <v>2477</v>
      </c>
    </row>
    <row r="254" spans="1:18" x14ac:dyDescent="0.25">
      <c r="A254" s="18" t="s">
        <v>433</v>
      </c>
      <c r="B254" s="18" t="s">
        <v>433</v>
      </c>
      <c r="C254" s="18" t="s">
        <v>434</v>
      </c>
      <c r="D254" s="18" t="s">
        <v>1415</v>
      </c>
      <c r="E254" s="18" t="s">
        <v>375</v>
      </c>
      <c r="F254" s="18"/>
      <c r="G254" s="18" t="s">
        <v>84</v>
      </c>
      <c r="H254" s="18" t="s">
        <v>374</v>
      </c>
      <c r="I254" s="18" t="s">
        <v>2187</v>
      </c>
      <c r="J254" s="18"/>
      <c r="K254" s="18"/>
      <c r="L254" s="18"/>
      <c r="M254" s="18"/>
      <c r="N254" s="18"/>
      <c r="O254" s="18" t="s">
        <v>746</v>
      </c>
      <c r="P254" s="18"/>
      <c r="Q254" s="18"/>
      <c r="R254" s="18"/>
    </row>
    <row r="255" spans="1:18" x14ac:dyDescent="0.25">
      <c r="A255" s="18" t="s">
        <v>858</v>
      </c>
      <c r="B255" s="18" t="s">
        <v>561</v>
      </c>
      <c r="C255" s="18" t="s">
        <v>562</v>
      </c>
      <c r="D255" s="18" t="s">
        <v>1262</v>
      </c>
      <c r="E255" s="18" t="s">
        <v>375</v>
      </c>
      <c r="F255" s="18"/>
      <c r="G255" s="18" t="s">
        <v>563</v>
      </c>
      <c r="H255" s="18" t="s">
        <v>374</v>
      </c>
      <c r="I255" s="18" t="s">
        <v>2096</v>
      </c>
      <c r="J255" s="18"/>
      <c r="K255" s="18"/>
      <c r="L255" s="18"/>
      <c r="M255" s="18"/>
      <c r="N255" s="18"/>
      <c r="O255" s="18" t="s">
        <v>746</v>
      </c>
      <c r="P255" s="18"/>
      <c r="Q255" s="18"/>
      <c r="R255" s="18"/>
    </row>
    <row r="256" spans="1:18" x14ac:dyDescent="0.25">
      <c r="A256" s="18" t="s">
        <v>14</v>
      </c>
      <c r="B256" s="18" t="s">
        <v>14</v>
      </c>
      <c r="C256" s="18" t="s">
        <v>432</v>
      </c>
      <c r="D256" s="18" t="s">
        <v>1133</v>
      </c>
      <c r="E256" s="18" t="s">
        <v>375</v>
      </c>
      <c r="F256" s="18"/>
      <c r="G256" s="18" t="s">
        <v>81</v>
      </c>
      <c r="H256" s="18" t="s">
        <v>374</v>
      </c>
      <c r="I256" s="18" t="s">
        <v>2016</v>
      </c>
      <c r="J256" s="18"/>
      <c r="K256" s="18"/>
      <c r="L256" s="18" t="s">
        <v>768</v>
      </c>
      <c r="M256" s="18" t="s">
        <v>1512</v>
      </c>
      <c r="N256" s="18"/>
      <c r="O256" s="18" t="s">
        <v>710</v>
      </c>
      <c r="P256" s="18"/>
      <c r="Q256" s="18"/>
      <c r="R256" s="18"/>
    </row>
    <row r="257" spans="1:18" x14ac:dyDescent="0.25">
      <c r="A257" t="s">
        <v>718</v>
      </c>
      <c r="B257" t="s">
        <v>246</v>
      </c>
      <c r="C257" t="s">
        <v>363</v>
      </c>
      <c r="D257" t="s">
        <v>1348</v>
      </c>
      <c r="E257" t="s">
        <v>233</v>
      </c>
      <c r="F257" t="s">
        <v>274</v>
      </c>
      <c r="G257" t="s">
        <v>364</v>
      </c>
      <c r="H257" t="s">
        <v>10</v>
      </c>
      <c r="I257" t="s">
        <v>2149</v>
      </c>
      <c r="J257" t="s">
        <v>2150</v>
      </c>
      <c r="K257" t="s">
        <v>2151</v>
      </c>
      <c r="L257" t="s">
        <v>1055</v>
      </c>
      <c r="M257" t="s">
        <v>1062</v>
      </c>
      <c r="N257" t="s">
        <v>707</v>
      </c>
      <c r="O257" t="s">
        <v>749</v>
      </c>
      <c r="P257" t="s">
        <v>2310</v>
      </c>
      <c r="Q257" t="s">
        <v>2475</v>
      </c>
      <c r="R257" t="s">
        <v>2280</v>
      </c>
    </row>
    <row r="258" spans="1:18" s="18" customFormat="1" x14ac:dyDescent="0.25">
      <c r="A258" s="18" t="s">
        <v>725</v>
      </c>
      <c r="B258" s="18" t="s">
        <v>138</v>
      </c>
      <c r="C258" s="18" t="s">
        <v>576</v>
      </c>
      <c r="D258" s="18" t="s">
        <v>1286</v>
      </c>
      <c r="E258" s="18" t="s">
        <v>375</v>
      </c>
      <c r="G258" s="18" t="s">
        <v>577</v>
      </c>
      <c r="H258" s="18" t="s">
        <v>374</v>
      </c>
      <c r="I258" s="18" t="s">
        <v>2106</v>
      </c>
      <c r="L258" s="18" t="s">
        <v>724</v>
      </c>
      <c r="O258" s="18" t="s">
        <v>746</v>
      </c>
    </row>
    <row r="259" spans="1:18" x14ac:dyDescent="0.25">
      <c r="A259" t="s">
        <v>719</v>
      </c>
      <c r="B259" t="s">
        <v>181</v>
      </c>
      <c r="C259" t="s">
        <v>182</v>
      </c>
      <c r="D259" t="s">
        <v>1428</v>
      </c>
      <c r="E259" t="s">
        <v>11</v>
      </c>
      <c r="F259" t="s">
        <v>274</v>
      </c>
      <c r="G259" t="s">
        <v>183</v>
      </c>
      <c r="H259" t="s">
        <v>10</v>
      </c>
      <c r="I259" t="s">
        <v>2191</v>
      </c>
      <c r="L259" t="s">
        <v>1472</v>
      </c>
      <c r="M259" t="s">
        <v>1482</v>
      </c>
      <c r="N259" s="22" t="s">
        <v>1483</v>
      </c>
      <c r="O259" t="s">
        <v>710</v>
      </c>
      <c r="P259" t="s">
        <v>2310</v>
      </c>
      <c r="R259" t="s">
        <v>2194</v>
      </c>
    </row>
    <row r="260" spans="1:18" s="18" customFormat="1" x14ac:dyDescent="0.25">
      <c r="A260" s="18" t="s">
        <v>842</v>
      </c>
      <c r="B260" s="18" t="s">
        <v>667</v>
      </c>
      <c r="C260" s="18" t="s">
        <v>668</v>
      </c>
      <c r="D260" s="18" t="s">
        <v>1206</v>
      </c>
      <c r="E260" s="18" t="s">
        <v>375</v>
      </c>
      <c r="G260" s="18" t="s">
        <v>210</v>
      </c>
      <c r="H260" s="18" t="s">
        <v>374</v>
      </c>
      <c r="I260" s="18" t="s">
        <v>2059</v>
      </c>
      <c r="O260" s="18" t="s">
        <v>746</v>
      </c>
    </row>
    <row r="261" spans="1:18" s="18" customFormat="1" x14ac:dyDescent="0.25">
      <c r="A261" t="s">
        <v>909</v>
      </c>
      <c r="B261" t="s">
        <v>367</v>
      </c>
      <c r="C261" t="s">
        <v>368</v>
      </c>
      <c r="D261" t="s">
        <v>1418</v>
      </c>
      <c r="E261" t="s">
        <v>233</v>
      </c>
      <c r="F261" t="s">
        <v>255</v>
      </c>
      <c r="G261" t="s">
        <v>244</v>
      </c>
      <c r="H261" t="s">
        <v>10</v>
      </c>
      <c r="I261" t="s">
        <v>2190</v>
      </c>
      <c r="J261"/>
      <c r="K261"/>
      <c r="L261" t="s">
        <v>1110</v>
      </c>
      <c r="M261" t="s">
        <v>2371</v>
      </c>
      <c r="N261" t="s">
        <v>707</v>
      </c>
      <c r="O261" t="s">
        <v>746</v>
      </c>
      <c r="P261" t="s">
        <v>720</v>
      </c>
      <c r="Q261"/>
      <c r="R261" t="s">
        <v>2028</v>
      </c>
    </row>
    <row r="262" spans="1:18" s="18" customFormat="1" x14ac:dyDescent="0.25">
      <c r="A262" t="s">
        <v>73</v>
      </c>
      <c r="B262" t="s">
        <v>73</v>
      </c>
      <c r="C262" t="s">
        <v>74</v>
      </c>
      <c r="D262" t="s">
        <v>1276</v>
      </c>
      <c r="E262" t="s">
        <v>11</v>
      </c>
      <c r="F262" t="s">
        <v>13</v>
      </c>
      <c r="G262" t="s">
        <v>64</v>
      </c>
      <c r="H262" t="s">
        <v>10</v>
      </c>
      <c r="I262" t="s">
        <v>2100</v>
      </c>
      <c r="J262"/>
      <c r="K262"/>
      <c r="L262" s="2" t="s">
        <v>759</v>
      </c>
      <c r="M262" s="22" t="s">
        <v>985</v>
      </c>
      <c r="N262" s="22" t="s">
        <v>986</v>
      </c>
      <c r="O262" t="s">
        <v>710</v>
      </c>
      <c r="P262" t="s">
        <v>772</v>
      </c>
      <c r="Q262"/>
      <c r="R262" t="s">
        <v>2063</v>
      </c>
    </row>
    <row r="263" spans="1:18" s="18" customFormat="1" x14ac:dyDescent="0.25">
      <c r="A263" s="18" t="s">
        <v>876</v>
      </c>
      <c r="B263" s="18" t="s">
        <v>520</v>
      </c>
      <c r="C263" s="18" t="s">
        <v>521</v>
      </c>
      <c r="D263" s="18" t="s">
        <v>1311</v>
      </c>
      <c r="E263" s="18" t="s">
        <v>375</v>
      </c>
      <c r="G263" s="18" t="s">
        <v>509</v>
      </c>
      <c r="H263" s="18" t="s">
        <v>374</v>
      </c>
      <c r="I263" s="18" t="s">
        <v>2130</v>
      </c>
      <c r="O263" s="18" t="s">
        <v>746</v>
      </c>
    </row>
    <row r="264" spans="1:18" s="18" customFormat="1" x14ac:dyDescent="0.25">
      <c r="A264" s="18" t="s">
        <v>842</v>
      </c>
      <c r="B264" s="18" t="s">
        <v>667</v>
      </c>
      <c r="C264" s="18" t="s">
        <v>669</v>
      </c>
      <c r="D264" s="18" t="s">
        <v>1207</v>
      </c>
      <c r="E264" s="18" t="s">
        <v>375</v>
      </c>
      <c r="G264" s="18" t="s">
        <v>210</v>
      </c>
      <c r="H264" s="18" t="s">
        <v>374</v>
      </c>
      <c r="I264" s="18" t="s">
        <v>2059</v>
      </c>
      <c r="O264" s="18" t="s">
        <v>746</v>
      </c>
    </row>
    <row r="265" spans="1:18" x14ac:dyDescent="0.25">
      <c r="A265" t="s">
        <v>714</v>
      </c>
      <c r="B265" t="s">
        <v>350</v>
      </c>
      <c r="C265" t="s">
        <v>370</v>
      </c>
      <c r="D265" t="s">
        <v>1240</v>
      </c>
      <c r="E265" t="s">
        <v>233</v>
      </c>
      <c r="F265" t="s">
        <v>2530</v>
      </c>
      <c r="G265" t="s">
        <v>1544</v>
      </c>
      <c r="H265" t="s">
        <v>10</v>
      </c>
      <c r="I265" t="s">
        <v>2085</v>
      </c>
      <c r="L265" t="s">
        <v>951</v>
      </c>
      <c r="M265" t="s">
        <v>2305</v>
      </c>
      <c r="N265" t="s">
        <v>707</v>
      </c>
      <c r="O265" t="s">
        <v>746</v>
      </c>
      <c r="P265" t="s">
        <v>807</v>
      </c>
      <c r="R265" t="s">
        <v>2306</v>
      </c>
    </row>
    <row r="266" spans="1:18" x14ac:dyDescent="0.25">
      <c r="A266" t="s">
        <v>714</v>
      </c>
      <c r="B266" t="s">
        <v>281</v>
      </c>
      <c r="C266" t="s">
        <v>371</v>
      </c>
      <c r="D266" t="s">
        <v>1242</v>
      </c>
      <c r="E266" t="s">
        <v>233</v>
      </c>
      <c r="F266" t="s">
        <v>255</v>
      </c>
      <c r="G266" t="s">
        <v>244</v>
      </c>
      <c r="H266" t="s">
        <v>10</v>
      </c>
      <c r="I266" t="s">
        <v>2085</v>
      </c>
      <c r="L266" t="s">
        <v>951</v>
      </c>
      <c r="M266" t="s">
        <v>2301</v>
      </c>
      <c r="N266" t="s">
        <v>2301</v>
      </c>
      <c r="O266" t="s">
        <v>746</v>
      </c>
      <c r="P266" t="s">
        <v>807</v>
      </c>
      <c r="R266" t="s">
        <v>2303</v>
      </c>
    </row>
    <row r="267" spans="1:18" x14ac:dyDescent="0.25">
      <c r="A267" s="18" t="s">
        <v>841</v>
      </c>
      <c r="B267" s="18" t="s">
        <v>638</v>
      </c>
      <c r="C267" s="18" t="s">
        <v>639</v>
      </c>
      <c r="D267" s="18" t="s">
        <v>1205</v>
      </c>
      <c r="E267" s="18" t="s">
        <v>375</v>
      </c>
      <c r="F267" s="18"/>
      <c r="G267" s="18" t="s">
        <v>627</v>
      </c>
      <c r="H267" s="18" t="s">
        <v>374</v>
      </c>
      <c r="I267" s="18" t="s">
        <v>2058</v>
      </c>
      <c r="J267" s="18"/>
      <c r="K267" s="18"/>
      <c r="L267" s="18"/>
      <c r="M267" s="18"/>
      <c r="N267" s="18"/>
      <c r="O267" s="18" t="s">
        <v>746</v>
      </c>
      <c r="P267" s="18"/>
      <c r="Q267" s="18"/>
      <c r="R267" s="18"/>
    </row>
    <row r="268" spans="1:18" s="18" customFormat="1" x14ac:dyDescent="0.25">
      <c r="A268" s="18" t="s">
        <v>717</v>
      </c>
      <c r="B268" s="18" t="s">
        <v>79</v>
      </c>
      <c r="C268" s="18" t="s">
        <v>467</v>
      </c>
      <c r="D268" s="18" t="s">
        <v>1275</v>
      </c>
      <c r="E268" s="18" t="s">
        <v>375</v>
      </c>
      <c r="G268" s="18" t="s">
        <v>90</v>
      </c>
      <c r="H268" s="18" t="s">
        <v>374</v>
      </c>
      <c r="I268" s="18" t="s">
        <v>1848</v>
      </c>
      <c r="L268" s="18" t="s">
        <v>980</v>
      </c>
      <c r="M268" s="18" t="s">
        <v>707</v>
      </c>
      <c r="O268" s="18" t="s">
        <v>710</v>
      </c>
    </row>
    <row r="269" spans="1:18" s="18" customFormat="1" x14ac:dyDescent="0.25">
      <c r="B269" s="18" t="s">
        <v>549</v>
      </c>
      <c r="C269" s="18" t="s">
        <v>550</v>
      </c>
      <c r="D269" s="18" t="s">
        <v>1183</v>
      </c>
      <c r="E269" s="18" t="s">
        <v>375</v>
      </c>
      <c r="G269" s="18" t="s">
        <v>548</v>
      </c>
      <c r="H269" s="18" t="s">
        <v>374</v>
      </c>
      <c r="O269" s="18" t="s">
        <v>746</v>
      </c>
    </row>
    <row r="270" spans="1:18" s="18" customFormat="1" x14ac:dyDescent="0.25">
      <c r="A270" s="18" t="s">
        <v>135</v>
      </c>
      <c r="B270" s="18" t="s">
        <v>135</v>
      </c>
      <c r="C270" s="18" t="s">
        <v>407</v>
      </c>
      <c r="D270" s="18" t="s">
        <v>1396</v>
      </c>
      <c r="E270" s="18" t="s">
        <v>375</v>
      </c>
      <c r="G270" s="18" t="s">
        <v>130</v>
      </c>
      <c r="H270" s="18" t="s">
        <v>374</v>
      </c>
      <c r="I270" s="18" t="s">
        <v>2182</v>
      </c>
      <c r="L270" s="18" t="s">
        <v>727</v>
      </c>
      <c r="M270" s="18" t="s">
        <v>1463</v>
      </c>
      <c r="N270" s="18" t="s">
        <v>1465</v>
      </c>
      <c r="O270" s="18" t="s">
        <v>746</v>
      </c>
    </row>
    <row r="271" spans="1:18" s="18" customFormat="1" x14ac:dyDescent="0.25">
      <c r="A271" t="s">
        <v>736</v>
      </c>
      <c r="B271" t="s">
        <v>24</v>
      </c>
      <c r="C271" t="s">
        <v>26</v>
      </c>
      <c r="D271" t="s">
        <v>1135</v>
      </c>
      <c r="E271" t="s">
        <v>11</v>
      </c>
      <c r="F271" t="s">
        <v>13</v>
      </c>
      <c r="G271" t="s">
        <v>16</v>
      </c>
      <c r="H271" t="s">
        <v>10</v>
      </c>
      <c r="I271" t="s">
        <v>2019</v>
      </c>
      <c r="J271"/>
      <c r="K271"/>
      <c r="L271" s="2" t="s">
        <v>737</v>
      </c>
      <c r="M271" s="2" t="s">
        <v>1519</v>
      </c>
      <c r="N271" s="2" t="s">
        <v>1521</v>
      </c>
      <c r="O271" t="s">
        <v>746</v>
      </c>
      <c r="P271" t="s">
        <v>772</v>
      </c>
      <c r="Q271"/>
      <c r="R271" t="s">
        <v>2018</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sheetPr filterMode="1"/>
  <dimension ref="A1:Q84"/>
  <sheetViews>
    <sheetView workbookViewId="0">
      <pane xSplit="3" topLeftCell="D1" activePane="topRight" state="frozen"/>
      <selection pane="topRight" activeCell="E80" sqref="E80"/>
    </sheetView>
  </sheetViews>
  <sheetFormatPr baseColWidth="10" defaultColWidth="8.7109375" defaultRowHeight="15" x14ac:dyDescent="0.25"/>
  <cols>
    <col min="1" max="1" width="13.5703125" bestFit="1" customWidth="1"/>
    <col min="2" max="2" width="30.140625" bestFit="1" customWidth="1"/>
    <col min="3" max="3" width="22.7109375" bestFit="1" customWidth="1"/>
    <col min="4" max="4" width="17.5703125" customWidth="1"/>
    <col min="5" max="5" width="17.42578125" bestFit="1" customWidth="1"/>
    <col min="6" max="6" width="13.28515625" bestFit="1" customWidth="1"/>
    <col min="7" max="7" width="32.140625" bestFit="1" customWidth="1"/>
    <col min="8" max="8" width="124.140625" bestFit="1" customWidth="1"/>
    <col min="9" max="9" width="174.140625" bestFit="1" customWidth="1"/>
    <col min="10" max="10" width="39.140625" bestFit="1" customWidth="1"/>
    <col min="11" max="13" width="39.140625" customWidth="1"/>
    <col min="14" max="14" width="70" customWidth="1"/>
    <col min="15" max="15" width="16.140625" bestFit="1" customWidth="1"/>
    <col min="16" max="16" width="115.85546875" bestFit="1" customWidth="1"/>
    <col min="17" max="17" width="89.42578125" bestFit="1" customWidth="1"/>
  </cols>
  <sheetData>
    <row r="1" spans="1:17" x14ac:dyDescent="0.25">
      <c r="A1" s="6" t="s">
        <v>3083</v>
      </c>
      <c r="B1" s="7" t="s">
        <v>0</v>
      </c>
      <c r="C1" s="6" t="s">
        <v>1653</v>
      </c>
      <c r="D1" s="6" t="s">
        <v>2</v>
      </c>
      <c r="E1" s="6" t="s">
        <v>2012</v>
      </c>
      <c r="F1" s="6" t="s">
        <v>4</v>
      </c>
      <c r="G1" s="6" t="s">
        <v>3138</v>
      </c>
      <c r="H1" s="8" t="s">
        <v>3009</v>
      </c>
      <c r="I1" s="8" t="s">
        <v>3137</v>
      </c>
      <c r="J1" s="6" t="s">
        <v>1777</v>
      </c>
      <c r="K1" s="6" t="s">
        <v>3085</v>
      </c>
      <c r="L1" s="6" t="s">
        <v>3086</v>
      </c>
      <c r="M1" s="6" t="s">
        <v>3087</v>
      </c>
      <c r="N1" s="8" t="s">
        <v>3008</v>
      </c>
      <c r="O1" s="8" t="s">
        <v>3077</v>
      </c>
      <c r="P1" s="8" t="s">
        <v>2478</v>
      </c>
      <c r="Q1" s="6" t="s">
        <v>1543</v>
      </c>
    </row>
    <row r="2" spans="1:17" hidden="1" x14ac:dyDescent="0.25">
      <c r="A2" t="s">
        <v>710</v>
      </c>
      <c r="B2" t="s">
        <v>82</v>
      </c>
      <c r="C2" t="s">
        <v>83</v>
      </c>
      <c r="D2" t="s">
        <v>1278</v>
      </c>
      <c r="F2" t="s">
        <v>11</v>
      </c>
      <c r="G2" t="s">
        <v>19</v>
      </c>
      <c r="H2" t="s">
        <v>2483</v>
      </c>
      <c r="I2" t="s">
        <v>3126</v>
      </c>
      <c r="J2" t="s">
        <v>84</v>
      </c>
      <c r="N2" t="s">
        <v>3088</v>
      </c>
      <c r="O2" t="s">
        <v>3078</v>
      </c>
      <c r="P2" t="s">
        <v>1662</v>
      </c>
      <c r="Q2" t="s">
        <v>992</v>
      </c>
    </row>
    <row r="3" spans="1:17" hidden="1" x14ac:dyDescent="0.25">
      <c r="B3" t="s">
        <v>855</v>
      </c>
      <c r="C3" t="s">
        <v>33</v>
      </c>
      <c r="D3" t="s">
        <v>1257</v>
      </c>
      <c r="F3" t="s">
        <v>11</v>
      </c>
      <c r="G3" t="s">
        <v>34</v>
      </c>
      <c r="H3" t="s">
        <v>2483</v>
      </c>
      <c r="I3" t="s">
        <v>3126</v>
      </c>
      <c r="J3" t="s">
        <v>64</v>
      </c>
      <c r="N3" t="s">
        <v>3084</v>
      </c>
      <c r="Q3" t="s">
        <v>957</v>
      </c>
    </row>
    <row r="4" spans="1:17" hidden="1" x14ac:dyDescent="0.25">
      <c r="A4" t="s">
        <v>710</v>
      </c>
      <c r="B4" t="s">
        <v>717</v>
      </c>
      <c r="C4" t="s">
        <v>132</v>
      </c>
      <c r="D4" t="s">
        <v>1270</v>
      </c>
      <c r="F4" t="s">
        <v>11</v>
      </c>
      <c r="G4" t="s">
        <v>19</v>
      </c>
      <c r="H4" t="s">
        <v>2483</v>
      </c>
      <c r="I4" t="s">
        <v>3126</v>
      </c>
      <c r="J4" t="s">
        <v>130</v>
      </c>
      <c r="N4" t="s">
        <v>1797</v>
      </c>
      <c r="O4" t="s">
        <v>3078</v>
      </c>
      <c r="Q4" s="22" t="s">
        <v>984</v>
      </c>
    </row>
    <row r="5" spans="1:17" hidden="1" x14ac:dyDescent="0.25">
      <c r="B5" t="s">
        <v>135</v>
      </c>
      <c r="C5" t="s">
        <v>136</v>
      </c>
      <c r="D5" t="s">
        <v>1395</v>
      </c>
      <c r="F5" t="s">
        <v>11</v>
      </c>
      <c r="G5" t="s">
        <v>19</v>
      </c>
      <c r="H5" t="s">
        <v>2483</v>
      </c>
      <c r="I5" t="s">
        <v>3126</v>
      </c>
      <c r="J5" t="s">
        <v>137</v>
      </c>
      <c r="N5" t="s">
        <v>2494</v>
      </c>
      <c r="O5" t="s">
        <v>3078</v>
      </c>
      <c r="P5" t="s">
        <v>720</v>
      </c>
      <c r="Q5" t="s">
        <v>1460</v>
      </c>
    </row>
    <row r="6" spans="1:17" hidden="1" x14ac:dyDescent="0.25">
      <c r="B6" t="s">
        <v>39</v>
      </c>
      <c r="C6" t="s">
        <v>86</v>
      </c>
      <c r="D6" t="s">
        <v>1322</v>
      </c>
      <c r="F6" t="s">
        <v>11</v>
      </c>
      <c r="G6" t="s">
        <v>19</v>
      </c>
      <c r="H6" t="s">
        <v>2483</v>
      </c>
      <c r="I6" t="s">
        <v>3126</v>
      </c>
      <c r="J6" t="s">
        <v>84</v>
      </c>
      <c r="N6" t="s">
        <v>2494</v>
      </c>
      <c r="O6" t="s">
        <v>3078</v>
      </c>
      <c r="P6" t="s">
        <v>1660</v>
      </c>
      <c r="Q6" t="s">
        <v>1037</v>
      </c>
    </row>
    <row r="7" spans="1:17" hidden="1" x14ac:dyDescent="0.25">
      <c r="B7" t="s">
        <v>101</v>
      </c>
      <c r="C7" t="s">
        <v>126</v>
      </c>
      <c r="D7" t="s">
        <v>1400</v>
      </c>
      <c r="F7" t="s">
        <v>11</v>
      </c>
      <c r="G7" t="s">
        <v>19</v>
      </c>
      <c r="H7" t="s">
        <v>2483</v>
      </c>
      <c r="I7" t="s">
        <v>3126</v>
      </c>
      <c r="J7" t="s">
        <v>127</v>
      </c>
      <c r="N7" t="s">
        <v>2493</v>
      </c>
      <c r="O7" t="s">
        <v>3078</v>
      </c>
      <c r="P7" t="s">
        <v>1666</v>
      </c>
      <c r="Q7" t="s">
        <v>1471</v>
      </c>
    </row>
    <row r="8" spans="1:17" hidden="1" x14ac:dyDescent="0.25">
      <c r="B8" t="s">
        <v>793</v>
      </c>
      <c r="C8" t="s">
        <v>129</v>
      </c>
      <c r="D8" t="s">
        <v>1190</v>
      </c>
      <c r="F8" t="s">
        <v>11</v>
      </c>
      <c r="G8" t="s">
        <v>19</v>
      </c>
      <c r="H8" t="s">
        <v>2483</v>
      </c>
      <c r="I8" t="s">
        <v>3126</v>
      </c>
      <c r="J8" t="s">
        <v>130</v>
      </c>
      <c r="N8" t="s">
        <v>2493</v>
      </c>
      <c r="O8" t="s">
        <v>3078</v>
      </c>
      <c r="Q8" t="s">
        <v>2047</v>
      </c>
    </row>
    <row r="9" spans="1:17" hidden="1" x14ac:dyDescent="0.25">
      <c r="B9" t="s">
        <v>165</v>
      </c>
      <c r="C9" t="s">
        <v>166</v>
      </c>
      <c r="D9" t="s">
        <v>1392</v>
      </c>
      <c r="F9" t="s">
        <v>11</v>
      </c>
      <c r="G9" t="s">
        <v>19</v>
      </c>
      <c r="H9" t="s">
        <v>2483</v>
      </c>
      <c r="I9" t="s">
        <v>3126</v>
      </c>
      <c r="J9" t="s">
        <v>157</v>
      </c>
      <c r="N9" t="s">
        <v>2484</v>
      </c>
      <c r="O9" t="s">
        <v>3079</v>
      </c>
      <c r="Q9" t="s">
        <v>1459</v>
      </c>
    </row>
    <row r="10" spans="1:17" hidden="1" x14ac:dyDescent="0.25">
      <c r="B10" t="s">
        <v>163</v>
      </c>
      <c r="C10" t="s">
        <v>164</v>
      </c>
      <c r="D10" t="s">
        <v>1282</v>
      </c>
      <c r="F10" t="s">
        <v>11</v>
      </c>
      <c r="G10" t="s">
        <v>19</v>
      </c>
      <c r="H10" t="s">
        <v>2483</v>
      </c>
      <c r="I10" t="s">
        <v>3126</v>
      </c>
      <c r="J10" t="s">
        <v>157</v>
      </c>
      <c r="N10" t="s">
        <v>2484</v>
      </c>
      <c r="O10" t="s">
        <v>3079</v>
      </c>
      <c r="Q10" t="s">
        <v>996</v>
      </c>
    </row>
    <row r="11" spans="1:17" hidden="1" x14ac:dyDescent="0.25">
      <c r="B11" t="s">
        <v>167</v>
      </c>
      <c r="C11" t="s">
        <v>168</v>
      </c>
      <c r="D11" t="s">
        <v>1398</v>
      </c>
      <c r="E11" t="s">
        <v>2934</v>
      </c>
      <c r="F11" t="s">
        <v>11</v>
      </c>
      <c r="G11" t="s">
        <v>34</v>
      </c>
      <c r="H11" t="s">
        <v>2483</v>
      </c>
      <c r="I11" t="s">
        <v>3126</v>
      </c>
      <c r="J11" t="s">
        <v>157</v>
      </c>
      <c r="N11" t="s">
        <v>2523</v>
      </c>
      <c r="O11" t="s">
        <v>3079</v>
      </c>
      <c r="Q11" t="s">
        <v>1101</v>
      </c>
    </row>
    <row r="12" spans="1:17" hidden="1" x14ac:dyDescent="0.25">
      <c r="B12" t="s">
        <v>35</v>
      </c>
      <c r="C12" t="s">
        <v>36</v>
      </c>
      <c r="D12" t="s">
        <v>1301</v>
      </c>
      <c r="F12" t="s">
        <v>11</v>
      </c>
      <c r="G12" t="s">
        <v>19</v>
      </c>
      <c r="H12" t="s">
        <v>2483</v>
      </c>
      <c r="I12" t="s">
        <v>3126</v>
      </c>
      <c r="J12" t="s">
        <v>16</v>
      </c>
      <c r="N12" t="s">
        <v>2501</v>
      </c>
      <c r="O12" t="s">
        <v>3078</v>
      </c>
      <c r="Q12" t="s">
        <v>1009</v>
      </c>
    </row>
    <row r="13" spans="1:17" hidden="1" x14ac:dyDescent="0.25">
      <c r="A13" t="s">
        <v>710</v>
      </c>
      <c r="B13" t="s">
        <v>54</v>
      </c>
      <c r="C13" t="s">
        <v>55</v>
      </c>
      <c r="D13" t="s">
        <v>1379</v>
      </c>
      <c r="F13" t="s">
        <v>11</v>
      </c>
      <c r="G13" t="s">
        <v>19</v>
      </c>
      <c r="H13" t="s">
        <v>2483</v>
      </c>
      <c r="I13" t="s">
        <v>3126</v>
      </c>
      <c r="J13" t="s">
        <v>16</v>
      </c>
      <c r="N13" t="s">
        <v>2510</v>
      </c>
      <c r="O13" t="s">
        <v>3078</v>
      </c>
      <c r="P13" s="11" t="s">
        <v>1656</v>
      </c>
      <c r="Q13" t="s">
        <v>1095</v>
      </c>
    </row>
    <row r="14" spans="1:17" hidden="1" x14ac:dyDescent="0.25">
      <c r="A14" t="s">
        <v>710</v>
      </c>
      <c r="B14" t="s">
        <v>754</v>
      </c>
      <c r="C14" t="s">
        <v>150</v>
      </c>
      <c r="D14" t="s">
        <v>1204</v>
      </c>
      <c r="F14" t="s">
        <v>11</v>
      </c>
      <c r="G14" t="s">
        <v>98</v>
      </c>
      <c r="H14" t="s">
        <v>2483</v>
      </c>
      <c r="I14" t="s">
        <v>3126</v>
      </c>
      <c r="J14" t="s">
        <v>147</v>
      </c>
      <c r="N14" t="s">
        <v>2499</v>
      </c>
      <c r="Q14" t="s">
        <v>929</v>
      </c>
    </row>
    <row r="15" spans="1:17" hidden="1" x14ac:dyDescent="0.25">
      <c r="B15" t="s">
        <v>159</v>
      </c>
      <c r="C15" t="s">
        <v>160</v>
      </c>
      <c r="D15" t="s">
        <v>1165</v>
      </c>
      <c r="F15" t="s">
        <v>11</v>
      </c>
      <c r="G15" t="s">
        <v>34</v>
      </c>
      <c r="H15" t="s">
        <v>2483</v>
      </c>
      <c r="I15" t="s">
        <v>3126</v>
      </c>
      <c r="J15" t="s">
        <v>157</v>
      </c>
      <c r="N15" t="s">
        <v>2484</v>
      </c>
      <c r="O15" t="s">
        <v>3079</v>
      </c>
      <c r="Q15" t="s">
        <v>823</v>
      </c>
    </row>
    <row r="16" spans="1:17" hidden="1" x14ac:dyDescent="0.25">
      <c r="B16" t="s">
        <v>39</v>
      </c>
      <c r="C16" t="s">
        <v>42</v>
      </c>
      <c r="D16" t="s">
        <v>1319</v>
      </c>
      <c r="E16" t="s">
        <v>1750</v>
      </c>
      <c r="F16" t="s">
        <v>11</v>
      </c>
      <c r="G16" t="s">
        <v>34</v>
      </c>
      <c r="H16" t="s">
        <v>2483</v>
      </c>
      <c r="I16" t="s">
        <v>3126</v>
      </c>
      <c r="J16" t="s">
        <v>16</v>
      </c>
      <c r="N16" t="s">
        <v>2512</v>
      </c>
      <c r="O16" t="s">
        <v>3078</v>
      </c>
      <c r="Q16" t="s">
        <v>1032</v>
      </c>
    </row>
    <row r="17" spans="1:17" hidden="1" x14ac:dyDescent="0.25">
      <c r="B17" t="s">
        <v>784</v>
      </c>
      <c r="C17" t="s">
        <v>69</v>
      </c>
      <c r="D17" t="s">
        <v>1159</v>
      </c>
      <c r="F17" t="s">
        <v>11</v>
      </c>
      <c r="G17" t="s">
        <v>19</v>
      </c>
      <c r="H17" t="s">
        <v>2483</v>
      </c>
      <c r="I17" t="s">
        <v>3126</v>
      </c>
      <c r="J17" t="s">
        <v>64</v>
      </c>
      <c r="N17" t="s">
        <v>2497</v>
      </c>
      <c r="O17" t="s">
        <v>3078</v>
      </c>
      <c r="Q17" t="s">
        <v>819</v>
      </c>
    </row>
    <row r="18" spans="1:17" hidden="1" x14ac:dyDescent="0.25">
      <c r="A18" t="s">
        <v>710</v>
      </c>
      <c r="B18" t="s">
        <v>14</v>
      </c>
      <c r="C18" t="s">
        <v>18</v>
      </c>
      <c r="D18" t="s">
        <v>1127</v>
      </c>
      <c r="F18" t="s">
        <v>11</v>
      </c>
      <c r="G18" t="s">
        <v>19</v>
      </c>
      <c r="H18" t="s">
        <v>2483</v>
      </c>
      <c r="I18" t="s">
        <v>3126</v>
      </c>
      <c r="J18" t="s">
        <v>16</v>
      </c>
      <c r="K18" t="s">
        <v>3010</v>
      </c>
      <c r="L18" t="s">
        <v>3011</v>
      </c>
      <c r="M18" t="s">
        <v>3012</v>
      </c>
      <c r="N18" t="s">
        <v>1661</v>
      </c>
      <c r="O18" t="s">
        <v>3078</v>
      </c>
      <c r="Q18" s="22" t="s">
        <v>1503</v>
      </c>
    </row>
    <row r="19" spans="1:17" hidden="1" x14ac:dyDescent="0.25">
      <c r="B19" t="s">
        <v>730</v>
      </c>
      <c r="C19" t="s">
        <v>61</v>
      </c>
      <c r="D19" t="s">
        <v>1438</v>
      </c>
      <c r="F19" t="s">
        <v>11</v>
      </c>
      <c r="G19" t="s">
        <v>34</v>
      </c>
      <c r="H19" t="s">
        <v>2483</v>
      </c>
      <c r="I19" t="s">
        <v>3126</v>
      </c>
      <c r="J19" t="s">
        <v>16</v>
      </c>
      <c r="N19" t="s">
        <v>2510</v>
      </c>
      <c r="O19" t="s">
        <v>3078</v>
      </c>
      <c r="Q19" t="s">
        <v>1486</v>
      </c>
    </row>
    <row r="20" spans="1:17" hidden="1" x14ac:dyDescent="0.25">
      <c r="B20" t="s">
        <v>155</v>
      </c>
      <c r="C20" t="s">
        <v>158</v>
      </c>
      <c r="D20" t="s">
        <v>1152</v>
      </c>
      <c r="E20" t="s">
        <v>2906</v>
      </c>
      <c r="F20" t="s">
        <v>11</v>
      </c>
      <c r="G20" t="s">
        <v>19</v>
      </c>
      <c r="H20" t="s">
        <v>2483</v>
      </c>
      <c r="I20" t="s">
        <v>3126</v>
      </c>
      <c r="J20" t="s">
        <v>157</v>
      </c>
      <c r="N20" t="s">
        <v>2484</v>
      </c>
      <c r="O20" t="s">
        <v>3079</v>
      </c>
      <c r="Q20" t="s">
        <v>815</v>
      </c>
    </row>
    <row r="21" spans="1:17" hidden="1" x14ac:dyDescent="0.25">
      <c r="B21" t="s">
        <v>795</v>
      </c>
      <c r="C21" t="s">
        <v>162</v>
      </c>
      <c r="D21" t="s">
        <v>1192</v>
      </c>
      <c r="F21" t="s">
        <v>11</v>
      </c>
      <c r="G21" t="s">
        <v>34</v>
      </c>
      <c r="H21" t="s">
        <v>2483</v>
      </c>
      <c r="I21" t="s">
        <v>3126</v>
      </c>
      <c r="J21" t="s">
        <v>157</v>
      </c>
      <c r="N21" t="s">
        <v>2484</v>
      </c>
      <c r="O21" t="s">
        <v>3079</v>
      </c>
      <c r="Q21" t="s">
        <v>2050</v>
      </c>
    </row>
    <row r="22" spans="1:17" hidden="1" x14ac:dyDescent="0.25">
      <c r="B22" t="s">
        <v>153</v>
      </c>
      <c r="C22" t="s">
        <v>154</v>
      </c>
      <c r="D22" t="s">
        <v>1382</v>
      </c>
      <c r="F22" t="s">
        <v>11</v>
      </c>
      <c r="G22" t="s">
        <v>23</v>
      </c>
      <c r="H22" t="s">
        <v>3222</v>
      </c>
      <c r="I22" t="s">
        <v>3221</v>
      </c>
      <c r="J22" t="s">
        <v>147</v>
      </c>
      <c r="N22" t="s">
        <v>2499</v>
      </c>
      <c r="Q22" s="22" t="s">
        <v>1450</v>
      </c>
    </row>
    <row r="23" spans="1:17" hidden="1" x14ac:dyDescent="0.25">
      <c r="B23" t="s">
        <v>155</v>
      </c>
      <c r="C23" t="s">
        <v>156</v>
      </c>
      <c r="D23" t="s">
        <v>1153</v>
      </c>
      <c r="E23" t="s">
        <v>2906</v>
      </c>
      <c r="F23" t="s">
        <v>11</v>
      </c>
      <c r="G23" t="s">
        <v>34</v>
      </c>
      <c r="H23" t="s">
        <v>2483</v>
      </c>
      <c r="I23" t="s">
        <v>3126</v>
      </c>
      <c r="J23" t="s">
        <v>157</v>
      </c>
      <c r="N23" t="s">
        <v>2484</v>
      </c>
      <c r="O23" t="s">
        <v>3079</v>
      </c>
      <c r="Q23" t="s">
        <v>816</v>
      </c>
    </row>
    <row r="24" spans="1:17" hidden="1" x14ac:dyDescent="0.25">
      <c r="B24" t="s">
        <v>167</v>
      </c>
      <c r="C24" t="s">
        <v>169</v>
      </c>
      <c r="D24" t="s">
        <v>1399</v>
      </c>
      <c r="E24" t="s">
        <v>2934</v>
      </c>
      <c r="F24" t="s">
        <v>11</v>
      </c>
      <c r="G24" t="s">
        <v>34</v>
      </c>
      <c r="H24" t="s">
        <v>2483</v>
      </c>
      <c r="I24" t="s">
        <v>3126</v>
      </c>
      <c r="J24" t="s">
        <v>157</v>
      </c>
      <c r="N24" t="s">
        <v>2523</v>
      </c>
      <c r="O24" t="s">
        <v>3079</v>
      </c>
    </row>
    <row r="25" spans="1:17" hidden="1" x14ac:dyDescent="0.25">
      <c r="B25" t="s">
        <v>896</v>
      </c>
      <c r="C25" t="s">
        <v>173</v>
      </c>
      <c r="D25" t="s">
        <v>1366</v>
      </c>
      <c r="F25" t="s">
        <v>11</v>
      </c>
      <c r="G25" t="s">
        <v>17</v>
      </c>
      <c r="H25" t="s">
        <v>2483</v>
      </c>
      <c r="I25" t="s">
        <v>3126</v>
      </c>
      <c r="J25" t="s">
        <v>174</v>
      </c>
      <c r="N25" t="s">
        <v>2521</v>
      </c>
      <c r="O25" t="s">
        <v>3079</v>
      </c>
      <c r="Q25" t="s">
        <v>1080</v>
      </c>
    </row>
    <row r="26" spans="1:17" hidden="1" x14ac:dyDescent="0.25">
      <c r="A26" t="s">
        <v>710</v>
      </c>
      <c r="B26" t="s">
        <v>14</v>
      </c>
      <c r="C26" t="s">
        <v>65</v>
      </c>
      <c r="D26" t="s">
        <v>1125</v>
      </c>
      <c r="F26" t="s">
        <v>11</v>
      </c>
      <c r="G26" t="s">
        <v>19</v>
      </c>
      <c r="H26" t="s">
        <v>1665</v>
      </c>
      <c r="I26" t="s">
        <v>3126</v>
      </c>
      <c r="J26" t="s">
        <v>64</v>
      </c>
      <c r="K26" t="s">
        <v>3010</v>
      </c>
      <c r="L26" t="s">
        <v>3011</v>
      </c>
      <c r="M26" t="s">
        <v>3012</v>
      </c>
      <c r="N26" t="s">
        <v>1664</v>
      </c>
      <c r="O26" t="s">
        <v>3078</v>
      </c>
      <c r="Q26" t="s">
        <v>1507</v>
      </c>
    </row>
    <row r="27" spans="1:17" hidden="1" x14ac:dyDescent="0.25">
      <c r="B27" t="s">
        <v>718</v>
      </c>
      <c r="C27" t="s">
        <v>170</v>
      </c>
      <c r="D27" t="s">
        <v>1353</v>
      </c>
      <c r="E27" t="s">
        <v>2153</v>
      </c>
      <c r="F27" t="s">
        <v>11</v>
      </c>
      <c r="G27" t="s">
        <v>34</v>
      </c>
      <c r="H27" t="s">
        <v>2483</v>
      </c>
      <c r="I27" t="s">
        <v>3126</v>
      </c>
      <c r="J27" t="s">
        <v>171</v>
      </c>
      <c r="N27" t="s">
        <v>2520</v>
      </c>
      <c r="P27" s="11" t="s">
        <v>1658</v>
      </c>
      <c r="Q27" t="s">
        <v>1067</v>
      </c>
    </row>
    <row r="28" spans="1:17" hidden="1" x14ac:dyDescent="0.25">
      <c r="B28" t="s">
        <v>56</v>
      </c>
      <c r="C28" t="s">
        <v>57</v>
      </c>
      <c r="D28" t="s">
        <v>1431</v>
      </c>
      <c r="F28" t="s">
        <v>11</v>
      </c>
      <c r="G28" t="s">
        <v>19</v>
      </c>
      <c r="H28" t="s">
        <v>2483</v>
      </c>
      <c r="I28" t="s">
        <v>3126</v>
      </c>
      <c r="J28" t="s">
        <v>16</v>
      </c>
      <c r="N28" t="s">
        <v>2526</v>
      </c>
      <c r="O28" t="s">
        <v>3078</v>
      </c>
      <c r="Q28" t="s">
        <v>1112</v>
      </c>
    </row>
    <row r="29" spans="1:17" hidden="1" x14ac:dyDescent="0.25">
      <c r="B29" t="s">
        <v>145</v>
      </c>
      <c r="C29" t="s">
        <v>146</v>
      </c>
      <c r="D29" t="s">
        <v>1172</v>
      </c>
      <c r="F29" t="s">
        <v>11</v>
      </c>
      <c r="G29" t="s">
        <v>148</v>
      </c>
      <c r="H29" t="s">
        <v>3097</v>
      </c>
      <c r="I29" t="s">
        <v>3130</v>
      </c>
      <c r="J29" t="s">
        <v>147</v>
      </c>
      <c r="N29" t="s">
        <v>2499</v>
      </c>
      <c r="Q29" t="s">
        <v>828</v>
      </c>
    </row>
    <row r="30" spans="1:17" hidden="1" x14ac:dyDescent="0.25">
      <c r="B30" t="s">
        <v>39</v>
      </c>
      <c r="C30" t="s">
        <v>45</v>
      </c>
      <c r="D30" t="s">
        <v>1318</v>
      </c>
      <c r="F30" t="s">
        <v>11</v>
      </c>
      <c r="G30" t="s">
        <v>21</v>
      </c>
      <c r="H30" t="s">
        <v>3112</v>
      </c>
      <c r="I30" t="s">
        <v>3135</v>
      </c>
      <c r="J30" t="s">
        <v>16</v>
      </c>
      <c r="K30" t="s">
        <v>3018</v>
      </c>
      <c r="L30" t="s">
        <v>3007</v>
      </c>
      <c r="M30" t="s">
        <v>3019</v>
      </c>
      <c r="N30" t="s">
        <v>2515</v>
      </c>
      <c r="O30" t="s">
        <v>3078</v>
      </c>
      <c r="Q30" t="s">
        <v>1034</v>
      </c>
    </row>
    <row r="31" spans="1:17" hidden="1" x14ac:dyDescent="0.25">
      <c r="A31" t="s">
        <v>710</v>
      </c>
      <c r="B31" t="s">
        <v>755</v>
      </c>
      <c r="C31" t="s">
        <v>76</v>
      </c>
      <c r="D31" t="s">
        <v>1314</v>
      </c>
      <c r="F31" t="s">
        <v>11</v>
      </c>
      <c r="G31" t="s">
        <v>23</v>
      </c>
      <c r="H31" t="s">
        <v>3107</v>
      </c>
      <c r="I31" t="s">
        <v>3127</v>
      </c>
      <c r="J31" t="s">
        <v>64</v>
      </c>
      <c r="N31" t="s">
        <v>1690</v>
      </c>
      <c r="O31" t="s">
        <v>3078</v>
      </c>
      <c r="Q31" t="s">
        <v>1023</v>
      </c>
    </row>
    <row r="32" spans="1:17" hidden="1" x14ac:dyDescent="0.25">
      <c r="B32" t="s">
        <v>859</v>
      </c>
      <c r="C32" t="s">
        <v>203</v>
      </c>
      <c r="D32" t="s">
        <v>1277</v>
      </c>
      <c r="F32" t="s">
        <v>11</v>
      </c>
      <c r="G32" t="s">
        <v>23</v>
      </c>
      <c r="H32" t="s">
        <v>3105</v>
      </c>
      <c r="I32" t="s">
        <v>3127</v>
      </c>
      <c r="J32" t="s">
        <v>204</v>
      </c>
      <c r="N32" t="s">
        <v>2520</v>
      </c>
      <c r="O32" t="s">
        <v>3078</v>
      </c>
      <c r="Q32" t="s">
        <v>989</v>
      </c>
    </row>
    <row r="33" spans="1:17" hidden="1" x14ac:dyDescent="0.25">
      <c r="A33" t="s">
        <v>710</v>
      </c>
      <c r="B33" t="s">
        <v>73</v>
      </c>
      <c r="C33" t="s">
        <v>74</v>
      </c>
      <c r="D33" t="s">
        <v>1276</v>
      </c>
      <c r="F33" t="s">
        <v>11</v>
      </c>
      <c r="G33" t="s">
        <v>13</v>
      </c>
      <c r="H33" t="s">
        <v>3104</v>
      </c>
      <c r="I33" t="s">
        <v>3127</v>
      </c>
      <c r="J33" t="s">
        <v>64</v>
      </c>
      <c r="K33" t="s">
        <v>3015</v>
      </c>
      <c r="L33" t="s">
        <v>3016</v>
      </c>
      <c r="M33" t="s">
        <v>3017</v>
      </c>
      <c r="N33" t="s">
        <v>2504</v>
      </c>
      <c r="O33" t="s">
        <v>3078</v>
      </c>
      <c r="Q33" t="s">
        <v>986</v>
      </c>
    </row>
    <row r="34" spans="1:17" hidden="1" x14ac:dyDescent="0.25">
      <c r="B34" t="s">
        <v>753</v>
      </c>
      <c r="C34" t="s">
        <v>198</v>
      </c>
      <c r="D34" t="s">
        <v>1188</v>
      </c>
      <c r="F34" t="s">
        <v>11</v>
      </c>
      <c r="G34" t="s">
        <v>23</v>
      </c>
      <c r="H34" t="s">
        <v>3092</v>
      </c>
      <c r="I34" t="s">
        <v>3127</v>
      </c>
      <c r="J34" t="s">
        <v>199</v>
      </c>
      <c r="N34" t="s">
        <v>2491</v>
      </c>
      <c r="Q34" t="s">
        <v>835</v>
      </c>
    </row>
    <row r="35" spans="1:17" hidden="1" x14ac:dyDescent="0.25">
      <c r="A35" t="s">
        <v>710</v>
      </c>
      <c r="B35" t="s">
        <v>8</v>
      </c>
      <c r="C35" t="s">
        <v>72</v>
      </c>
      <c r="D35" t="s">
        <v>1263</v>
      </c>
      <c r="F35" t="s">
        <v>11</v>
      </c>
      <c r="G35" t="s">
        <v>23</v>
      </c>
      <c r="H35" t="s">
        <v>3103</v>
      </c>
      <c r="I35" t="s">
        <v>3127</v>
      </c>
      <c r="J35" t="s">
        <v>64</v>
      </c>
      <c r="N35" t="s">
        <v>2503</v>
      </c>
      <c r="O35" t="s">
        <v>3078</v>
      </c>
      <c r="Q35" t="s">
        <v>975</v>
      </c>
    </row>
    <row r="36" spans="1:17" hidden="1" x14ac:dyDescent="0.25">
      <c r="B36" t="s">
        <v>14</v>
      </c>
      <c r="C36" t="s">
        <v>66</v>
      </c>
      <c r="D36" t="s">
        <v>1124</v>
      </c>
      <c r="F36" t="s">
        <v>11</v>
      </c>
      <c r="G36" t="s">
        <v>13</v>
      </c>
      <c r="H36" t="s">
        <v>3092</v>
      </c>
      <c r="I36" t="s">
        <v>3127</v>
      </c>
      <c r="J36" t="s">
        <v>64</v>
      </c>
      <c r="N36" t="s">
        <v>2480</v>
      </c>
      <c r="O36" t="s">
        <v>3078</v>
      </c>
      <c r="Q36" t="s">
        <v>1509</v>
      </c>
    </row>
    <row r="37" spans="1:17" hidden="1" x14ac:dyDescent="0.25">
      <c r="A37" t="s">
        <v>710</v>
      </c>
      <c r="B37" t="s">
        <v>755</v>
      </c>
      <c r="C37" t="s">
        <v>85</v>
      </c>
      <c r="D37" t="s">
        <v>1315</v>
      </c>
      <c r="F37" t="s">
        <v>11</v>
      </c>
      <c r="G37" t="s">
        <v>13</v>
      </c>
      <c r="H37" t="s">
        <v>1688</v>
      </c>
      <c r="I37" t="s">
        <v>3132</v>
      </c>
      <c r="J37" t="s">
        <v>84</v>
      </c>
      <c r="N37" t="s">
        <v>1689</v>
      </c>
      <c r="O37" t="s">
        <v>3078</v>
      </c>
      <c r="Q37" t="s">
        <v>1024</v>
      </c>
    </row>
    <row r="38" spans="1:17" hidden="1" x14ac:dyDescent="0.25">
      <c r="B38" t="s">
        <v>718</v>
      </c>
      <c r="C38" t="s">
        <v>152</v>
      </c>
      <c r="D38" t="s">
        <v>1354</v>
      </c>
      <c r="F38" t="s">
        <v>11</v>
      </c>
      <c r="G38" t="s">
        <v>148</v>
      </c>
      <c r="H38" t="s">
        <v>3114</v>
      </c>
      <c r="I38" t="s">
        <v>3133</v>
      </c>
      <c r="J38" t="s">
        <v>147</v>
      </c>
      <c r="N38" t="s">
        <v>2499</v>
      </c>
      <c r="Q38" t="s">
        <v>1060</v>
      </c>
    </row>
    <row r="39" spans="1:17" hidden="1" x14ac:dyDescent="0.25">
      <c r="B39" t="s">
        <v>39</v>
      </c>
      <c r="C39" t="s">
        <v>40</v>
      </c>
      <c r="D39" t="s">
        <v>1320</v>
      </c>
      <c r="E39" t="s">
        <v>1750</v>
      </c>
      <c r="F39" t="s">
        <v>11</v>
      </c>
      <c r="G39" t="s">
        <v>17</v>
      </c>
      <c r="H39" t="s">
        <v>2509</v>
      </c>
      <c r="I39" t="s">
        <v>3133</v>
      </c>
      <c r="J39" t="s">
        <v>16</v>
      </c>
      <c r="N39" t="s">
        <v>2510</v>
      </c>
      <c r="O39" t="s">
        <v>3078</v>
      </c>
      <c r="Q39" t="s">
        <v>1029</v>
      </c>
    </row>
    <row r="40" spans="1:17" hidden="1" x14ac:dyDescent="0.25">
      <c r="B40" t="s">
        <v>901</v>
      </c>
      <c r="C40" t="s">
        <v>120</v>
      </c>
      <c r="D40" t="s">
        <v>1373</v>
      </c>
      <c r="F40" t="s">
        <v>11</v>
      </c>
      <c r="G40" t="s">
        <v>122</v>
      </c>
      <c r="H40" t="s">
        <v>3116</v>
      </c>
      <c r="I40" t="s">
        <v>3136</v>
      </c>
      <c r="J40" t="s">
        <v>121</v>
      </c>
      <c r="N40" t="s">
        <v>2521</v>
      </c>
      <c r="O40" t="s">
        <v>3079</v>
      </c>
      <c r="Q40" t="s">
        <v>1088</v>
      </c>
    </row>
    <row r="41" spans="1:17" hidden="1" x14ac:dyDescent="0.25">
      <c r="B41" t="s">
        <v>774</v>
      </c>
      <c r="C41" t="s">
        <v>63</v>
      </c>
      <c r="D41" t="s">
        <v>1122</v>
      </c>
      <c r="F41" t="s">
        <v>11</v>
      </c>
      <c r="G41" t="s">
        <v>21</v>
      </c>
      <c r="H41" t="s">
        <v>3091</v>
      </c>
      <c r="I41" t="s">
        <v>3125</v>
      </c>
      <c r="J41" t="s">
        <v>64</v>
      </c>
      <c r="N41" s="33" t="s">
        <v>2489</v>
      </c>
      <c r="O41" t="s">
        <v>3078</v>
      </c>
      <c r="Q41" t="s">
        <v>2015</v>
      </c>
    </row>
    <row r="42" spans="1:17" hidden="1" x14ac:dyDescent="0.25">
      <c r="B42" t="s">
        <v>719</v>
      </c>
      <c r="C42" t="s">
        <v>182</v>
      </c>
      <c r="D42" t="s">
        <v>1428</v>
      </c>
      <c r="F42" t="s">
        <v>11</v>
      </c>
      <c r="G42" t="s">
        <v>23</v>
      </c>
      <c r="H42" t="s">
        <v>3122</v>
      </c>
      <c r="I42" t="s">
        <v>3131</v>
      </c>
      <c r="J42" t="s">
        <v>183</v>
      </c>
      <c r="K42" t="s">
        <v>2491</v>
      </c>
      <c r="L42" t="s">
        <v>3025</v>
      </c>
      <c r="M42" t="s">
        <v>3026</v>
      </c>
      <c r="N42" t="s">
        <v>2491</v>
      </c>
      <c r="O42" t="s">
        <v>3078</v>
      </c>
      <c r="Q42" t="s">
        <v>1483</v>
      </c>
    </row>
    <row r="43" spans="1:17" hidden="1" x14ac:dyDescent="0.25">
      <c r="A43" t="s">
        <v>710</v>
      </c>
      <c r="B43" t="s">
        <v>8</v>
      </c>
      <c r="C43" t="s">
        <v>9</v>
      </c>
      <c r="D43" t="s">
        <v>1264</v>
      </c>
      <c r="F43" t="s">
        <v>11</v>
      </c>
      <c r="G43" t="s">
        <v>13</v>
      </c>
      <c r="H43" t="s">
        <v>2486</v>
      </c>
      <c r="I43" t="s">
        <v>3131</v>
      </c>
      <c r="J43" t="s">
        <v>12</v>
      </c>
      <c r="K43" t="s">
        <v>3018</v>
      </c>
      <c r="L43" t="s">
        <v>3007</v>
      </c>
      <c r="M43" t="s">
        <v>3019</v>
      </c>
      <c r="N43" t="s">
        <v>2487</v>
      </c>
      <c r="O43" t="s">
        <v>3078</v>
      </c>
      <c r="Q43" t="s">
        <v>971</v>
      </c>
    </row>
    <row r="44" spans="1:17" hidden="1" x14ac:dyDescent="0.25">
      <c r="B44" t="s">
        <v>228</v>
      </c>
      <c r="C44" t="s">
        <v>229</v>
      </c>
      <c r="D44" t="s">
        <v>1410</v>
      </c>
      <c r="F44" t="s">
        <v>11</v>
      </c>
      <c r="G44" t="s">
        <v>44</v>
      </c>
      <c r="H44" t="s">
        <v>3118</v>
      </c>
      <c r="I44" t="s">
        <v>3128</v>
      </c>
      <c r="J44" t="s">
        <v>230</v>
      </c>
      <c r="N44" t="s">
        <v>2489</v>
      </c>
      <c r="O44" t="s">
        <v>3078</v>
      </c>
      <c r="P44" s="8"/>
      <c r="Q44" t="s">
        <v>1107</v>
      </c>
    </row>
    <row r="45" spans="1:17" hidden="1" x14ac:dyDescent="0.25">
      <c r="B45" t="s">
        <v>719</v>
      </c>
      <c r="C45" t="s">
        <v>179</v>
      </c>
      <c r="D45" t="s">
        <v>1425</v>
      </c>
      <c r="F45" t="s">
        <v>11</v>
      </c>
      <c r="G45" t="s">
        <v>23</v>
      </c>
      <c r="H45" t="s">
        <v>3120</v>
      </c>
      <c r="I45" t="s">
        <v>3128</v>
      </c>
      <c r="J45" t="s">
        <v>180</v>
      </c>
      <c r="K45" t="s">
        <v>2491</v>
      </c>
      <c r="L45" t="s">
        <v>3021</v>
      </c>
      <c r="M45" t="s">
        <v>3022</v>
      </c>
      <c r="N45" t="s">
        <v>2524</v>
      </c>
      <c r="O45" t="s">
        <v>3078</v>
      </c>
      <c r="Q45" t="s">
        <v>1477</v>
      </c>
    </row>
    <row r="46" spans="1:17" hidden="1" x14ac:dyDescent="0.25">
      <c r="B46" t="s">
        <v>406</v>
      </c>
      <c r="C46" t="s">
        <v>131</v>
      </c>
      <c r="D46" t="s">
        <v>1222</v>
      </c>
      <c r="F46" t="s">
        <v>11</v>
      </c>
      <c r="G46" t="s">
        <v>44</v>
      </c>
      <c r="H46" t="s">
        <v>3100</v>
      </c>
      <c r="I46" t="s">
        <v>3128</v>
      </c>
      <c r="J46" t="s">
        <v>130</v>
      </c>
      <c r="N46" t="s">
        <v>2489</v>
      </c>
      <c r="O46" t="s">
        <v>3078</v>
      </c>
      <c r="Q46" t="s">
        <v>950</v>
      </c>
    </row>
    <row r="47" spans="1:17" hidden="1" x14ac:dyDescent="0.25">
      <c r="A47" t="s">
        <v>710</v>
      </c>
      <c r="B47" t="s">
        <v>14</v>
      </c>
      <c r="C47" t="s">
        <v>67</v>
      </c>
      <c r="D47" t="s">
        <v>1128</v>
      </c>
      <c r="F47" t="s">
        <v>11</v>
      </c>
      <c r="G47" t="s">
        <v>13</v>
      </c>
      <c r="H47" t="s">
        <v>3093</v>
      </c>
      <c r="I47" t="s">
        <v>3128</v>
      </c>
      <c r="J47" t="s">
        <v>64</v>
      </c>
      <c r="N47" t="s">
        <v>2479</v>
      </c>
      <c r="O47" t="s">
        <v>3078</v>
      </c>
      <c r="Q47" t="s">
        <v>1511</v>
      </c>
    </row>
    <row r="48" spans="1:17" hidden="1" x14ac:dyDescent="0.25">
      <c r="B48" t="s">
        <v>142</v>
      </c>
      <c r="C48" t="s">
        <v>195</v>
      </c>
      <c r="D48" t="s">
        <v>1247</v>
      </c>
      <c r="E48" t="s">
        <v>2909</v>
      </c>
      <c r="F48" t="s">
        <v>11</v>
      </c>
      <c r="G48" t="s">
        <v>44</v>
      </c>
      <c r="H48" t="s">
        <v>3101</v>
      </c>
      <c r="I48" t="s">
        <v>3128</v>
      </c>
      <c r="J48" t="s">
        <v>196</v>
      </c>
      <c r="K48" t="s">
        <v>2491</v>
      </c>
      <c r="L48" t="s">
        <v>3013</v>
      </c>
      <c r="M48" t="s">
        <v>3014</v>
      </c>
      <c r="N48" t="s">
        <v>3090</v>
      </c>
      <c r="O48" t="s">
        <v>3078</v>
      </c>
      <c r="Q48" t="s">
        <v>964</v>
      </c>
    </row>
    <row r="49" spans="1:17" hidden="1" x14ac:dyDescent="0.25">
      <c r="B49" t="s">
        <v>719</v>
      </c>
      <c r="C49" t="s">
        <v>186</v>
      </c>
      <c r="D49" t="s">
        <v>1424</v>
      </c>
      <c r="E49" t="s">
        <v>2193</v>
      </c>
      <c r="F49" t="s">
        <v>11</v>
      </c>
      <c r="G49" t="s">
        <v>44</v>
      </c>
      <c r="H49" t="s">
        <v>3121</v>
      </c>
      <c r="I49" t="s">
        <v>3128</v>
      </c>
      <c r="J49" t="s">
        <v>187</v>
      </c>
      <c r="K49" t="s">
        <v>2491</v>
      </c>
      <c r="L49" t="s">
        <v>3013</v>
      </c>
      <c r="M49" t="s">
        <v>3014</v>
      </c>
      <c r="N49" t="s">
        <v>2491</v>
      </c>
      <c r="O49" t="s">
        <v>3078</v>
      </c>
      <c r="P49" t="s">
        <v>1798</v>
      </c>
      <c r="Q49" t="s">
        <v>1479</v>
      </c>
    </row>
    <row r="50" spans="1:17" hidden="1" x14ac:dyDescent="0.25">
      <c r="B50" t="s">
        <v>719</v>
      </c>
      <c r="C50" t="s">
        <v>194</v>
      </c>
      <c r="D50" t="s">
        <v>1419</v>
      </c>
      <c r="E50" t="s">
        <v>2193</v>
      </c>
      <c r="F50" t="s">
        <v>11</v>
      </c>
      <c r="G50" t="s">
        <v>44</v>
      </c>
      <c r="H50" t="s">
        <v>3119</v>
      </c>
      <c r="I50" t="s">
        <v>3128</v>
      </c>
      <c r="J50" t="s">
        <v>189</v>
      </c>
      <c r="K50" t="s">
        <v>2491</v>
      </c>
      <c r="L50" t="s">
        <v>3013</v>
      </c>
      <c r="M50" t="s">
        <v>3014</v>
      </c>
      <c r="N50" t="s">
        <v>3089</v>
      </c>
      <c r="O50" t="s">
        <v>3078</v>
      </c>
      <c r="Q50" t="s">
        <v>1476</v>
      </c>
    </row>
    <row r="51" spans="1:17" hidden="1" x14ac:dyDescent="0.25">
      <c r="B51" t="s">
        <v>719</v>
      </c>
      <c r="C51" t="s">
        <v>193</v>
      </c>
      <c r="D51" t="s">
        <v>1422</v>
      </c>
      <c r="E51" t="s">
        <v>2193</v>
      </c>
      <c r="F51" t="s">
        <v>11</v>
      </c>
      <c r="G51" t="s">
        <v>44</v>
      </c>
      <c r="H51" t="s">
        <v>3119</v>
      </c>
      <c r="I51" t="s">
        <v>3128</v>
      </c>
      <c r="J51" t="s">
        <v>189</v>
      </c>
      <c r="K51" t="s">
        <v>2491</v>
      </c>
      <c r="L51" t="s">
        <v>3013</v>
      </c>
      <c r="M51" t="s">
        <v>3014</v>
      </c>
      <c r="N51" t="s">
        <v>3089</v>
      </c>
      <c r="O51" t="s">
        <v>3078</v>
      </c>
      <c r="Q51" t="s">
        <v>1476</v>
      </c>
    </row>
    <row r="52" spans="1:17" hidden="1" x14ac:dyDescent="0.25">
      <c r="B52" t="s">
        <v>719</v>
      </c>
      <c r="C52" t="s">
        <v>191</v>
      </c>
      <c r="D52" t="s">
        <v>1423</v>
      </c>
      <c r="E52" t="s">
        <v>2193</v>
      </c>
      <c r="F52" t="s">
        <v>11</v>
      </c>
      <c r="G52" t="s">
        <v>44</v>
      </c>
      <c r="H52" t="s">
        <v>3119</v>
      </c>
      <c r="I52" t="s">
        <v>3128</v>
      </c>
      <c r="J52" t="s">
        <v>189</v>
      </c>
      <c r="K52" t="s">
        <v>2491</v>
      </c>
      <c r="L52" t="s">
        <v>3013</v>
      </c>
      <c r="M52" t="s">
        <v>3014</v>
      </c>
      <c r="N52" t="s">
        <v>2492</v>
      </c>
      <c r="O52" t="s">
        <v>3078</v>
      </c>
      <c r="Q52" t="s">
        <v>1476</v>
      </c>
    </row>
    <row r="53" spans="1:17" hidden="1" x14ac:dyDescent="0.25">
      <c r="B53" t="s">
        <v>719</v>
      </c>
      <c r="C53" t="s">
        <v>190</v>
      </c>
      <c r="D53" t="s">
        <v>1420</v>
      </c>
      <c r="E53" t="s">
        <v>2193</v>
      </c>
      <c r="G53" t="s">
        <v>21</v>
      </c>
      <c r="H53" t="s">
        <v>3119</v>
      </c>
      <c r="I53" t="s">
        <v>3128</v>
      </c>
      <c r="J53" t="s">
        <v>189</v>
      </c>
      <c r="N53" t="s">
        <v>3089</v>
      </c>
      <c r="O53" t="s">
        <v>3078</v>
      </c>
      <c r="Q53" t="s">
        <v>1476</v>
      </c>
    </row>
    <row r="54" spans="1:17" hidden="1" x14ac:dyDescent="0.25">
      <c r="B54" t="s">
        <v>142</v>
      </c>
      <c r="C54" t="s">
        <v>188</v>
      </c>
      <c r="D54" t="s">
        <v>1248</v>
      </c>
      <c r="E54" t="s">
        <v>2909</v>
      </c>
      <c r="F54" t="s">
        <v>11</v>
      </c>
      <c r="G54" t="s">
        <v>21</v>
      </c>
      <c r="H54" t="s">
        <v>3101</v>
      </c>
      <c r="I54" t="s">
        <v>3128</v>
      </c>
      <c r="J54" t="s">
        <v>189</v>
      </c>
      <c r="K54" t="s">
        <v>3018</v>
      </c>
      <c r="L54" t="s">
        <v>3023</v>
      </c>
      <c r="M54" t="s">
        <v>3024</v>
      </c>
      <c r="N54" t="s">
        <v>3090</v>
      </c>
      <c r="O54" t="s">
        <v>3080</v>
      </c>
      <c r="Q54" t="s">
        <v>964</v>
      </c>
    </row>
    <row r="55" spans="1:17" hidden="1" x14ac:dyDescent="0.25">
      <c r="B55" t="s">
        <v>719</v>
      </c>
      <c r="C55" t="s">
        <v>192</v>
      </c>
      <c r="D55" t="s">
        <v>1421</v>
      </c>
      <c r="E55" t="s">
        <v>2193</v>
      </c>
      <c r="F55" t="s">
        <v>11</v>
      </c>
      <c r="G55" t="s">
        <v>44</v>
      </c>
      <c r="H55" t="s">
        <v>3119</v>
      </c>
      <c r="I55" t="s">
        <v>3128</v>
      </c>
      <c r="J55" t="s">
        <v>189</v>
      </c>
      <c r="K55" t="s">
        <v>2491</v>
      </c>
      <c r="L55" t="s">
        <v>3013</v>
      </c>
      <c r="M55" t="s">
        <v>3014</v>
      </c>
      <c r="N55" t="s">
        <v>3089</v>
      </c>
      <c r="O55" t="s">
        <v>3078</v>
      </c>
      <c r="Q55" t="s">
        <v>1476</v>
      </c>
    </row>
    <row r="56" spans="1:17" hidden="1" x14ac:dyDescent="0.25">
      <c r="B56" t="s">
        <v>142</v>
      </c>
      <c r="C56" t="s">
        <v>200</v>
      </c>
      <c r="D56" t="s">
        <v>1245</v>
      </c>
      <c r="F56" t="s">
        <v>11</v>
      </c>
      <c r="G56" t="s">
        <v>13</v>
      </c>
      <c r="H56" t="s">
        <v>3102</v>
      </c>
      <c r="I56" t="s">
        <v>3128</v>
      </c>
      <c r="J56" t="s">
        <v>201</v>
      </c>
      <c r="K56" t="s">
        <v>2491</v>
      </c>
      <c r="L56" t="s">
        <v>3021</v>
      </c>
      <c r="M56" t="s">
        <v>3022</v>
      </c>
      <c r="N56" t="s">
        <v>2490</v>
      </c>
      <c r="O56" t="s">
        <v>3078</v>
      </c>
      <c r="Q56" t="s">
        <v>969</v>
      </c>
    </row>
    <row r="57" spans="1:17" hidden="1" x14ac:dyDescent="0.25">
      <c r="B57" t="s">
        <v>719</v>
      </c>
      <c r="C57" t="s">
        <v>2192</v>
      </c>
      <c r="E57" t="s">
        <v>2193</v>
      </c>
      <c r="F57" t="s">
        <v>11</v>
      </c>
      <c r="G57" t="s">
        <v>13</v>
      </c>
      <c r="H57" t="s">
        <v>3119</v>
      </c>
      <c r="I57" t="s">
        <v>3128</v>
      </c>
      <c r="J57" t="s">
        <v>189</v>
      </c>
      <c r="K57" t="s">
        <v>2491</v>
      </c>
      <c r="L57" t="s">
        <v>3013</v>
      </c>
      <c r="M57" t="s">
        <v>3014</v>
      </c>
      <c r="N57" t="s">
        <v>2492</v>
      </c>
      <c r="O57" t="s">
        <v>3078</v>
      </c>
      <c r="Q57" t="s">
        <v>1476</v>
      </c>
    </row>
    <row r="58" spans="1:17" hidden="1" x14ac:dyDescent="0.25">
      <c r="B58" t="s">
        <v>39</v>
      </c>
      <c r="C58" t="s">
        <v>43</v>
      </c>
      <c r="D58" t="s">
        <v>1317</v>
      </c>
      <c r="E58" t="s">
        <v>1750</v>
      </c>
      <c r="F58" t="s">
        <v>11</v>
      </c>
      <c r="G58" t="s">
        <v>44</v>
      </c>
      <c r="H58" t="s">
        <v>3110</v>
      </c>
      <c r="I58" t="s">
        <v>3134</v>
      </c>
      <c r="J58" t="s">
        <v>16</v>
      </c>
      <c r="N58" t="s">
        <v>2495</v>
      </c>
      <c r="O58" t="s">
        <v>3078</v>
      </c>
      <c r="Q58" t="s">
        <v>2134</v>
      </c>
    </row>
    <row r="59" spans="1:17" hidden="1" x14ac:dyDescent="0.25">
      <c r="B59" t="s">
        <v>39</v>
      </c>
      <c r="C59" t="s">
        <v>77</v>
      </c>
      <c r="D59" t="s">
        <v>1323</v>
      </c>
      <c r="F59" t="s">
        <v>11</v>
      </c>
      <c r="G59" t="s">
        <v>13</v>
      </c>
      <c r="H59" t="s">
        <v>3108</v>
      </c>
      <c r="I59" t="s">
        <v>3129</v>
      </c>
      <c r="J59" t="s">
        <v>64</v>
      </c>
      <c r="N59" t="s">
        <v>2485</v>
      </c>
      <c r="O59" t="s">
        <v>3080</v>
      </c>
      <c r="Q59" t="s">
        <v>1035</v>
      </c>
    </row>
    <row r="60" spans="1:17" hidden="1" x14ac:dyDescent="0.25">
      <c r="A60" t="s">
        <v>710</v>
      </c>
      <c r="B60" t="s">
        <v>872</v>
      </c>
      <c r="C60" t="s">
        <v>38</v>
      </c>
      <c r="D60" t="s">
        <v>1304</v>
      </c>
      <c r="F60" t="s">
        <v>11</v>
      </c>
      <c r="G60" t="s">
        <v>23</v>
      </c>
      <c r="H60" t="s">
        <v>3106</v>
      </c>
      <c r="I60" t="s">
        <v>3129</v>
      </c>
      <c r="J60" t="s">
        <v>16</v>
      </c>
      <c r="N60" t="s">
        <v>2507</v>
      </c>
      <c r="O60" t="s">
        <v>3080</v>
      </c>
      <c r="Q60" t="s">
        <v>1015</v>
      </c>
    </row>
    <row r="61" spans="1:17" hidden="1" x14ac:dyDescent="0.25">
      <c r="B61" t="s">
        <v>736</v>
      </c>
      <c r="C61" t="s">
        <v>25</v>
      </c>
      <c r="D61" t="s">
        <v>1136</v>
      </c>
      <c r="F61" t="s">
        <v>11</v>
      </c>
      <c r="G61" t="s">
        <v>13</v>
      </c>
      <c r="H61" t="s">
        <v>3094</v>
      </c>
      <c r="I61" t="s">
        <v>3129</v>
      </c>
      <c r="J61" t="s">
        <v>16</v>
      </c>
      <c r="N61" t="s">
        <v>2495</v>
      </c>
      <c r="O61" t="s">
        <v>3078</v>
      </c>
      <c r="Q61" t="s">
        <v>1520</v>
      </c>
    </row>
    <row r="62" spans="1:17" hidden="1" x14ac:dyDescent="0.25">
      <c r="A62" t="s">
        <v>710</v>
      </c>
      <c r="B62" t="s">
        <v>27</v>
      </c>
      <c r="C62" t="s">
        <v>28</v>
      </c>
      <c r="D62" t="s">
        <v>1166</v>
      </c>
      <c r="F62" t="s">
        <v>11</v>
      </c>
      <c r="G62" t="s">
        <v>23</v>
      </c>
      <c r="H62" t="s">
        <v>3096</v>
      </c>
      <c r="I62" t="s">
        <v>3129</v>
      </c>
      <c r="J62" t="s">
        <v>16</v>
      </c>
      <c r="K62" t="s">
        <v>3010</v>
      </c>
      <c r="L62" t="s">
        <v>3011</v>
      </c>
      <c r="M62" t="s">
        <v>3012</v>
      </c>
      <c r="N62" t="s">
        <v>2498</v>
      </c>
      <c r="O62" t="s">
        <v>3078</v>
      </c>
      <c r="Q62" t="s">
        <v>1524</v>
      </c>
    </row>
    <row r="63" spans="1:17" hidden="1" x14ac:dyDescent="0.25">
      <c r="B63" t="s">
        <v>736</v>
      </c>
      <c r="C63" t="s">
        <v>26</v>
      </c>
      <c r="D63" t="s">
        <v>1135</v>
      </c>
      <c r="F63" t="s">
        <v>11</v>
      </c>
      <c r="G63" t="s">
        <v>13</v>
      </c>
      <c r="H63" t="s">
        <v>3095</v>
      </c>
      <c r="I63" t="s">
        <v>3129</v>
      </c>
      <c r="J63" t="s">
        <v>16</v>
      </c>
      <c r="N63" t="s">
        <v>2496</v>
      </c>
      <c r="Q63" t="s">
        <v>1521</v>
      </c>
    </row>
    <row r="64" spans="1:17" hidden="1" x14ac:dyDescent="0.25">
      <c r="B64" t="s">
        <v>798</v>
      </c>
      <c r="C64" t="s">
        <v>71</v>
      </c>
      <c r="D64" t="s">
        <v>1215</v>
      </c>
      <c r="F64" t="s">
        <v>11</v>
      </c>
      <c r="G64" t="s">
        <v>13</v>
      </c>
      <c r="H64" t="s">
        <v>3099</v>
      </c>
      <c r="I64" t="s">
        <v>3129</v>
      </c>
      <c r="J64" t="s">
        <v>64</v>
      </c>
      <c r="N64" t="s">
        <v>2502</v>
      </c>
      <c r="O64" t="s">
        <v>3078</v>
      </c>
      <c r="Q64" t="s">
        <v>941</v>
      </c>
    </row>
    <row r="65" spans="1:17" hidden="1" x14ac:dyDescent="0.25">
      <c r="A65" t="s">
        <v>710</v>
      </c>
      <c r="B65" t="s">
        <v>756</v>
      </c>
      <c r="C65" t="s">
        <v>47</v>
      </c>
      <c r="D65" t="s">
        <v>1339</v>
      </c>
      <c r="E65" t="s">
        <v>1751</v>
      </c>
      <c r="F65" t="s">
        <v>11</v>
      </c>
      <c r="G65" t="s">
        <v>13</v>
      </c>
      <c r="H65" t="s">
        <v>2513</v>
      </c>
      <c r="I65" t="s">
        <v>3129</v>
      </c>
      <c r="J65" t="s">
        <v>16</v>
      </c>
      <c r="N65" t="s">
        <v>2518</v>
      </c>
      <c r="O65" t="s">
        <v>3078</v>
      </c>
      <c r="Q65" t="s">
        <v>1043</v>
      </c>
    </row>
    <row r="66" spans="1:17" hidden="1" x14ac:dyDescent="0.25">
      <c r="B66" t="s">
        <v>730</v>
      </c>
      <c r="C66" t="s">
        <v>59</v>
      </c>
      <c r="D66" t="s">
        <v>1439</v>
      </c>
      <c r="F66" t="s">
        <v>11</v>
      </c>
      <c r="G66" t="s">
        <v>13</v>
      </c>
      <c r="H66" t="s">
        <v>3123</v>
      </c>
      <c r="I66" t="s">
        <v>3129</v>
      </c>
      <c r="J66" t="s">
        <v>16</v>
      </c>
      <c r="N66" t="s">
        <v>2527</v>
      </c>
      <c r="O66" t="s">
        <v>3078</v>
      </c>
      <c r="Q66" t="s">
        <v>1489</v>
      </c>
    </row>
    <row r="67" spans="1:17" hidden="1" x14ac:dyDescent="0.25">
      <c r="A67" t="s">
        <v>710</v>
      </c>
      <c r="B67" t="s">
        <v>756</v>
      </c>
      <c r="C67" t="s">
        <v>48</v>
      </c>
      <c r="D67" t="s">
        <v>1340</v>
      </c>
      <c r="E67" t="s">
        <v>1751</v>
      </c>
      <c r="F67" t="s">
        <v>11</v>
      </c>
      <c r="G67" t="s">
        <v>44</v>
      </c>
      <c r="H67" t="s">
        <v>3113</v>
      </c>
      <c r="I67" t="s">
        <v>3129</v>
      </c>
      <c r="J67" t="s">
        <v>16</v>
      </c>
      <c r="K67" t="s">
        <v>3010</v>
      </c>
      <c r="L67" t="s">
        <v>3011</v>
      </c>
      <c r="M67" t="s">
        <v>3012</v>
      </c>
      <c r="N67" t="s">
        <v>2519</v>
      </c>
      <c r="O67" t="s">
        <v>3078</v>
      </c>
      <c r="Q67" t="s">
        <v>1046</v>
      </c>
    </row>
    <row r="68" spans="1:17" hidden="1" x14ac:dyDescent="0.25">
      <c r="B68" t="s">
        <v>900</v>
      </c>
      <c r="C68" t="s">
        <v>50</v>
      </c>
      <c r="D68" t="s">
        <v>1372</v>
      </c>
      <c r="F68" t="s">
        <v>11</v>
      </c>
      <c r="G68" t="s">
        <v>13</v>
      </c>
      <c r="H68" t="s">
        <v>3115</v>
      </c>
      <c r="I68" t="s">
        <v>3129</v>
      </c>
      <c r="J68" t="s">
        <v>16</v>
      </c>
      <c r="N68" t="s">
        <v>2522</v>
      </c>
      <c r="O68" t="s">
        <v>3078</v>
      </c>
      <c r="Q68" t="s">
        <v>1083</v>
      </c>
    </row>
    <row r="69" spans="1:17" hidden="1" x14ac:dyDescent="0.25">
      <c r="B69" t="s">
        <v>142</v>
      </c>
      <c r="C69" t="s">
        <v>143</v>
      </c>
      <c r="D69" t="s">
        <v>1249</v>
      </c>
      <c r="F69" t="s">
        <v>11</v>
      </c>
      <c r="G69" t="s">
        <v>13</v>
      </c>
      <c r="H69" t="s">
        <v>2488</v>
      </c>
      <c r="I69" t="s">
        <v>3129</v>
      </c>
      <c r="J69" t="s">
        <v>144</v>
      </c>
      <c r="K69" t="s">
        <v>3015</v>
      </c>
      <c r="L69" t="s">
        <v>3016</v>
      </c>
      <c r="M69" t="s">
        <v>3020</v>
      </c>
      <c r="N69" t="s">
        <v>2489</v>
      </c>
      <c r="O69" t="s">
        <v>3078</v>
      </c>
      <c r="Q69" t="s">
        <v>961</v>
      </c>
    </row>
    <row r="70" spans="1:17" hidden="1" x14ac:dyDescent="0.25">
      <c r="B70" t="s">
        <v>39</v>
      </c>
      <c r="C70" t="s">
        <v>78</v>
      </c>
      <c r="D70" t="s">
        <v>1321</v>
      </c>
      <c r="F70" t="s">
        <v>11</v>
      </c>
      <c r="G70" t="s">
        <v>13</v>
      </c>
      <c r="H70" t="s">
        <v>3111</v>
      </c>
      <c r="I70" t="s">
        <v>3129</v>
      </c>
      <c r="J70" t="s">
        <v>64</v>
      </c>
      <c r="K70" t="s">
        <v>3010</v>
      </c>
      <c r="L70" t="s">
        <v>3011</v>
      </c>
      <c r="M70" t="s">
        <v>3012</v>
      </c>
      <c r="N70" t="s">
        <v>2514</v>
      </c>
      <c r="O70" t="s">
        <v>3078</v>
      </c>
      <c r="Q70" t="s">
        <v>1036</v>
      </c>
    </row>
    <row r="71" spans="1:17" hidden="1" x14ac:dyDescent="0.25">
      <c r="B71" t="s">
        <v>39</v>
      </c>
      <c r="C71" t="s">
        <v>41</v>
      </c>
      <c r="D71" t="s">
        <v>1316</v>
      </c>
      <c r="F71" t="s">
        <v>11</v>
      </c>
      <c r="G71" t="s">
        <v>13</v>
      </c>
      <c r="H71" t="s">
        <v>3109</v>
      </c>
      <c r="I71" t="s">
        <v>3129</v>
      </c>
      <c r="J71" t="s">
        <v>16</v>
      </c>
      <c r="N71" t="s">
        <v>2511</v>
      </c>
      <c r="P71" t="s">
        <v>1799</v>
      </c>
      <c r="Q71" t="s">
        <v>1031</v>
      </c>
    </row>
    <row r="72" spans="1:17" hidden="1" x14ac:dyDescent="0.25">
      <c r="B72" t="s">
        <v>730</v>
      </c>
      <c r="C72" t="s">
        <v>60</v>
      </c>
      <c r="D72" t="s">
        <v>1437</v>
      </c>
      <c r="F72" t="s">
        <v>11</v>
      </c>
      <c r="G72" t="s">
        <v>19</v>
      </c>
      <c r="H72" t="s">
        <v>3124</v>
      </c>
      <c r="I72" t="s">
        <v>3129</v>
      </c>
      <c r="J72" t="s">
        <v>16</v>
      </c>
      <c r="N72" t="s">
        <v>2528</v>
      </c>
      <c r="O72" t="s">
        <v>3078</v>
      </c>
      <c r="Q72" t="s">
        <v>1490</v>
      </c>
    </row>
    <row r="73" spans="1:17" hidden="1" x14ac:dyDescent="0.25">
      <c r="B73" t="s">
        <v>30</v>
      </c>
      <c r="C73" t="s">
        <v>31</v>
      </c>
      <c r="D73" t="s">
        <v>1210</v>
      </c>
      <c r="F73" t="s">
        <v>11</v>
      </c>
      <c r="G73" t="s">
        <v>13</v>
      </c>
      <c r="H73" t="s">
        <v>3098</v>
      </c>
      <c r="I73" t="s">
        <v>3129</v>
      </c>
      <c r="J73" t="s">
        <v>16</v>
      </c>
      <c r="N73" t="s">
        <v>2501</v>
      </c>
      <c r="O73" t="s">
        <v>3078</v>
      </c>
      <c r="Q73" t="s">
        <v>933</v>
      </c>
    </row>
    <row r="74" spans="1:17" ht="115.35" hidden="1" customHeight="1" x14ac:dyDescent="0.25">
      <c r="B74" t="s">
        <v>902</v>
      </c>
      <c r="C74" t="s">
        <v>1943</v>
      </c>
      <c r="E74" t="s">
        <v>1942</v>
      </c>
      <c r="F74" t="s">
        <v>11</v>
      </c>
      <c r="G74" t="s">
        <v>13</v>
      </c>
      <c r="H74" t="s">
        <v>3117</v>
      </c>
      <c r="I74" t="s">
        <v>3129</v>
      </c>
      <c r="J74" t="s">
        <v>16</v>
      </c>
      <c r="N74" t="s">
        <v>2510</v>
      </c>
      <c r="O74" t="s">
        <v>3078</v>
      </c>
      <c r="Q74" s="22" t="s">
        <v>3214</v>
      </c>
    </row>
    <row r="75" spans="1:17" hidden="1" x14ac:dyDescent="0.25">
      <c r="A75" t="s">
        <v>710</v>
      </c>
      <c r="B75" t="s">
        <v>14</v>
      </c>
      <c r="C75" t="s">
        <v>22</v>
      </c>
      <c r="D75" t="s">
        <v>1129</v>
      </c>
      <c r="F75" t="s">
        <v>11</v>
      </c>
      <c r="G75" t="s">
        <v>23</v>
      </c>
      <c r="H75" t="s">
        <v>3216</v>
      </c>
      <c r="I75" t="s">
        <v>3127</v>
      </c>
      <c r="J75" t="s">
        <v>16</v>
      </c>
      <c r="N75" t="s">
        <v>1663</v>
      </c>
      <c r="Q75" s="22" t="s">
        <v>1504</v>
      </c>
    </row>
    <row r="76" spans="1:17" hidden="1" x14ac:dyDescent="0.25">
      <c r="A76" t="s">
        <v>710</v>
      </c>
      <c r="B76" t="s">
        <v>725</v>
      </c>
      <c r="C76" t="s">
        <v>139</v>
      </c>
      <c r="D76" t="s">
        <v>1285</v>
      </c>
      <c r="F76" t="s">
        <v>11</v>
      </c>
      <c r="G76" t="s">
        <v>44</v>
      </c>
      <c r="H76" t="s">
        <v>3217</v>
      </c>
      <c r="I76" t="s">
        <v>3129</v>
      </c>
      <c r="J76" t="s">
        <v>141</v>
      </c>
      <c r="K76" t="s">
        <v>2491</v>
      </c>
      <c r="L76" t="s">
        <v>3013</v>
      </c>
      <c r="M76" t="s">
        <v>3014</v>
      </c>
      <c r="N76" t="s">
        <v>2505</v>
      </c>
      <c r="O76" t="s">
        <v>3078</v>
      </c>
      <c r="Q76" s="22" t="s">
        <v>1000</v>
      </c>
    </row>
    <row r="77" spans="1:17" ht="115.35" hidden="1" customHeight="1" x14ac:dyDescent="0.25">
      <c r="B77" t="s">
        <v>175</v>
      </c>
      <c r="C77" t="s">
        <v>176</v>
      </c>
      <c r="D77" t="s">
        <v>1299</v>
      </c>
      <c r="F77" t="s">
        <v>11</v>
      </c>
      <c r="G77" t="s">
        <v>13</v>
      </c>
      <c r="H77" t="s">
        <v>3218</v>
      </c>
      <c r="I77" t="s">
        <v>3223</v>
      </c>
      <c r="J77" t="s">
        <v>177</v>
      </c>
      <c r="N77" t="s">
        <v>2506</v>
      </c>
      <c r="Q77" s="22" t="s">
        <v>1006</v>
      </c>
    </row>
    <row r="78" spans="1:17" ht="43.35" hidden="1" customHeight="1" x14ac:dyDescent="0.25">
      <c r="A78" t="s">
        <v>710</v>
      </c>
      <c r="B78" t="s">
        <v>14</v>
      </c>
      <c r="C78" t="s">
        <v>91</v>
      </c>
      <c r="D78" t="s">
        <v>1126</v>
      </c>
      <c r="F78" t="s">
        <v>11</v>
      </c>
      <c r="G78" t="s">
        <v>13</v>
      </c>
      <c r="H78" t="s">
        <v>3219</v>
      </c>
      <c r="I78" t="s">
        <v>3129</v>
      </c>
      <c r="J78" t="s">
        <v>92</v>
      </c>
      <c r="N78" t="s">
        <v>1667</v>
      </c>
      <c r="Q78" s="22" t="s">
        <v>1513</v>
      </c>
    </row>
    <row r="79" spans="1:17" ht="57.6" hidden="1" customHeight="1" x14ac:dyDescent="0.25">
      <c r="B79" t="s">
        <v>887</v>
      </c>
      <c r="C79" t="s">
        <v>214</v>
      </c>
      <c r="D79" t="s">
        <v>1336</v>
      </c>
      <c r="F79" t="s">
        <v>11</v>
      </c>
      <c r="G79" t="s">
        <v>21</v>
      </c>
      <c r="H79" t="s">
        <v>2516</v>
      </c>
      <c r="J79" t="s">
        <v>210</v>
      </c>
      <c r="N79" t="s">
        <v>2517</v>
      </c>
      <c r="O79" t="s">
        <v>3078</v>
      </c>
      <c r="Q79" s="22" t="s">
        <v>1042</v>
      </c>
    </row>
    <row r="80" spans="1:17" x14ac:dyDescent="0.25">
      <c r="B80" t="s">
        <v>208</v>
      </c>
      <c r="C80" t="s">
        <v>209</v>
      </c>
      <c r="D80" t="s">
        <v>1175</v>
      </c>
      <c r="E80" t="s">
        <v>3227</v>
      </c>
      <c r="F80" t="s">
        <v>11</v>
      </c>
      <c r="G80" t="s">
        <v>44</v>
      </c>
      <c r="H80" t="s">
        <v>1655</v>
      </c>
      <c r="I80" t="s">
        <v>3224</v>
      </c>
      <c r="J80" t="s">
        <v>210</v>
      </c>
      <c r="N80" s="11" t="s">
        <v>1654</v>
      </c>
      <c r="Q80" t="s">
        <v>829</v>
      </c>
    </row>
    <row r="81" spans="1:17" hidden="1" x14ac:dyDescent="0.25">
      <c r="B81" t="s">
        <v>133</v>
      </c>
      <c r="C81" t="s">
        <v>134</v>
      </c>
      <c r="D81" t="s">
        <v>1308</v>
      </c>
      <c r="F81" t="s">
        <v>11</v>
      </c>
      <c r="G81" t="s">
        <v>23</v>
      </c>
      <c r="H81" t="s">
        <v>2508</v>
      </c>
      <c r="I81" t="s">
        <v>3129</v>
      </c>
      <c r="J81" t="s">
        <v>130</v>
      </c>
      <c r="N81" t="s">
        <v>2494</v>
      </c>
      <c r="O81" t="s">
        <v>3078</v>
      </c>
      <c r="Q81" s="22" t="s">
        <v>1020</v>
      </c>
    </row>
    <row r="82" spans="1:17" x14ac:dyDescent="0.25">
      <c r="B82" t="s">
        <v>208</v>
      </c>
      <c r="C82" t="s">
        <v>706</v>
      </c>
      <c r="E82" t="s">
        <v>2043</v>
      </c>
      <c r="F82" t="s">
        <v>11</v>
      </c>
      <c r="G82" t="s">
        <v>13</v>
      </c>
      <c r="H82" t="s">
        <v>1657</v>
      </c>
      <c r="J82" t="s">
        <v>210</v>
      </c>
      <c r="N82" s="11" t="s">
        <v>1654</v>
      </c>
      <c r="Q82" t="s">
        <v>829</v>
      </c>
    </row>
    <row r="83" spans="1:17" hidden="1" x14ac:dyDescent="0.25">
      <c r="B83" t="s">
        <v>14</v>
      </c>
      <c r="C83" t="s">
        <v>2017</v>
      </c>
      <c r="E83" t="s">
        <v>1749</v>
      </c>
      <c r="F83" t="s">
        <v>11</v>
      </c>
      <c r="G83" t="s">
        <v>23</v>
      </c>
      <c r="H83" t="s">
        <v>3220</v>
      </c>
      <c r="I83" t="s">
        <v>3127</v>
      </c>
      <c r="J83" t="s">
        <v>16</v>
      </c>
      <c r="K83" t="s">
        <v>3010</v>
      </c>
      <c r="L83" t="s">
        <v>3011</v>
      </c>
      <c r="M83" t="s">
        <v>3012</v>
      </c>
      <c r="N83" t="s">
        <v>1659</v>
      </c>
      <c r="O83" t="s">
        <v>3078</v>
      </c>
      <c r="Q83" s="22" t="s">
        <v>1500</v>
      </c>
    </row>
    <row r="84" spans="1:17" hidden="1" x14ac:dyDescent="0.25">
      <c r="A84" t="s">
        <v>710</v>
      </c>
      <c r="B84" t="s">
        <v>717</v>
      </c>
      <c r="C84" t="s">
        <v>1778</v>
      </c>
      <c r="E84" t="s">
        <v>1849</v>
      </c>
      <c r="F84" t="s">
        <v>11</v>
      </c>
      <c r="G84" t="s">
        <v>13</v>
      </c>
      <c r="H84" t="s">
        <v>3215</v>
      </c>
      <c r="I84" t="s">
        <v>3128</v>
      </c>
      <c r="J84" t="s">
        <v>90</v>
      </c>
      <c r="N84" t="s">
        <v>1796</v>
      </c>
      <c r="O84" t="s">
        <v>3078</v>
      </c>
      <c r="Q84" s="22" t="s">
        <v>983</v>
      </c>
    </row>
  </sheetData>
  <autoFilter ref="A1:Q84" xr:uid="{981D282F-07FD-45CA-8F4C-BA15C5A5D841}">
    <filterColumn colId="1">
      <filters>
        <filter val="Cameco Corporation"/>
      </filters>
    </filterColumn>
    <sortState xmlns:xlrd2="http://schemas.microsoft.com/office/spreadsheetml/2017/richdata2" ref="A2:Q84">
      <sortCondition ref="I1:I84"/>
    </sortState>
  </autoFilter>
  <hyperlinks>
    <hyperlink ref="Q84" r:id="rId1" xr:uid="{8AC59FA8-583C-4169-B4FF-82A999010E9C}"/>
    <hyperlink ref="Q74" r:id="rId2" xr:uid="{FE9FD611-EF58-4C65-85A5-07E339C40EE7}"/>
    <hyperlink ref="Q4" r:id="rId3" xr:uid="{50D2BD08-9A68-4666-B2C9-4D36DFEB1272}"/>
    <hyperlink ref="Q75" r:id="rId4" xr:uid="{532467C5-3291-48C0-9CF1-7079A7B66AE7}"/>
    <hyperlink ref="Q76" r:id="rId5" xr:uid="{48E5A408-0336-43D0-A89B-B59EB3EFA576}"/>
    <hyperlink ref="Q77" r:id="rId6" xr:uid="{393212D9-ACC5-41A6-A670-41B9BB0FB615}"/>
    <hyperlink ref="Q78" r:id="rId7" xr:uid="{FF92460C-C932-45AB-BA88-95D06B138854}"/>
    <hyperlink ref="Q79" r:id="rId8" xr:uid="{5ECD0C7B-4C94-4AFD-A339-6D8A7AE19A36}"/>
    <hyperlink ref="Q81" r:id="rId9" xr:uid="{9CABAD92-0EBC-4592-814A-058E09D597C6}"/>
    <hyperlink ref="Q83" r:id="rId10" xr:uid="{EA32513A-BC63-4E0E-8625-F7AB27FD4AAD}"/>
    <hyperlink ref="Q18" r:id="rId11" xr:uid="{24948496-D1DF-495D-BFA4-3450D4630BEE}"/>
    <hyperlink ref="Q22" r:id="rId12" xr:uid="{0702B426-1286-4C01-908F-890368ABF426}"/>
  </hyperlinks>
  <pageMargins left="0.7" right="0.7" top="0.75" bottom="0.75" header="0.3" footer="0.3"/>
  <pageSetup orientation="portrait" r:id="rId1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sheetPr filterMode="1"/>
  <dimension ref="A1:T221"/>
  <sheetViews>
    <sheetView topLeftCell="L1" zoomScale="115" zoomScaleNormal="115" workbookViewId="0">
      <selection activeCell="L121" sqref="L121"/>
    </sheetView>
  </sheetViews>
  <sheetFormatPr baseColWidth="10" defaultColWidth="8.7109375" defaultRowHeight="15" x14ac:dyDescent="0.25"/>
  <cols>
    <col min="1" max="1" width="6.85546875" bestFit="1" customWidth="1"/>
    <col min="2" max="2" width="12.5703125" bestFit="1" customWidth="1"/>
    <col min="3" max="3" width="12.140625" bestFit="1" customWidth="1"/>
    <col min="4" max="4" width="58.85546875" bestFit="1" customWidth="1"/>
    <col min="5" max="5" width="37.140625" bestFit="1" customWidth="1"/>
    <col min="6" max="6" width="18" bestFit="1" customWidth="1"/>
    <col min="7" max="7" width="17.42578125" bestFit="1" customWidth="1"/>
    <col min="8" max="8" width="13.5703125" bestFit="1" customWidth="1"/>
    <col min="9" max="9" width="22.42578125" bestFit="1" customWidth="1"/>
    <col min="10" max="10" width="35.42578125" bestFit="1" customWidth="1"/>
    <col min="11" max="11" width="86.5703125" bestFit="1" customWidth="1"/>
    <col min="12" max="12" width="18.140625" bestFit="1" customWidth="1"/>
    <col min="13" max="13" width="18.28515625" customWidth="1"/>
    <col min="14" max="14" width="44.85546875" bestFit="1" customWidth="1"/>
    <col min="15" max="15" width="16.42578125" bestFit="1" customWidth="1"/>
    <col min="16" max="16" width="16.42578125" customWidth="1"/>
    <col min="17" max="17" width="9.42578125" bestFit="1" customWidth="1"/>
    <col min="18" max="18" width="13.5703125" style="31" bestFit="1" customWidth="1"/>
    <col min="19" max="19" width="255.5703125" bestFit="1" customWidth="1"/>
    <col min="20" max="20" width="151.85546875" bestFit="1" customWidth="1"/>
  </cols>
  <sheetData>
    <row r="1" spans="1:20" x14ac:dyDescent="0.25">
      <c r="A1" s="6" t="s">
        <v>1538</v>
      </c>
      <c r="B1" s="6" t="s">
        <v>1539</v>
      </c>
      <c r="C1" s="6" t="s">
        <v>2898</v>
      </c>
      <c r="D1" s="7" t="s">
        <v>0</v>
      </c>
      <c r="E1" s="6" t="s">
        <v>1653</v>
      </c>
      <c r="F1" s="6" t="s">
        <v>2</v>
      </c>
      <c r="G1" s="6" t="s">
        <v>2012</v>
      </c>
      <c r="H1" s="6" t="s">
        <v>2010</v>
      </c>
      <c r="I1" s="6" t="s">
        <v>4</v>
      </c>
      <c r="J1" s="6" t="s">
        <v>6</v>
      </c>
      <c r="K1" s="6" t="s">
        <v>1777</v>
      </c>
      <c r="L1" s="6" t="s">
        <v>1540</v>
      </c>
      <c r="M1" s="6" t="s">
        <v>2481</v>
      </c>
      <c r="N1" s="6" t="s">
        <v>1541</v>
      </c>
      <c r="O1" s="6" t="s">
        <v>2892</v>
      </c>
      <c r="P1" s="6" t="s">
        <v>3003</v>
      </c>
      <c r="Q1" s="6" t="s">
        <v>1542</v>
      </c>
      <c r="R1" s="44" t="s">
        <v>2482</v>
      </c>
      <c r="S1" s="6" t="s">
        <v>7</v>
      </c>
      <c r="T1" s="6" t="s">
        <v>1543</v>
      </c>
    </row>
    <row r="2" spans="1:20" hidden="1" x14ac:dyDescent="0.25">
      <c r="A2">
        <v>2023</v>
      </c>
      <c r="B2" t="s">
        <v>772</v>
      </c>
      <c r="C2" t="s">
        <v>2899</v>
      </c>
      <c r="D2" t="s">
        <v>718</v>
      </c>
      <c r="E2" t="s">
        <v>247</v>
      </c>
      <c r="F2" t="s">
        <v>1350</v>
      </c>
      <c r="G2" t="s">
        <v>2151</v>
      </c>
      <c r="H2" t="s">
        <v>2149</v>
      </c>
      <c r="I2" t="s">
        <v>233</v>
      </c>
      <c r="J2" t="s">
        <v>249</v>
      </c>
      <c r="K2" t="s">
        <v>248</v>
      </c>
      <c r="L2" t="s">
        <v>376</v>
      </c>
      <c r="M2" t="s">
        <v>2991</v>
      </c>
      <c r="N2" t="s">
        <v>2277</v>
      </c>
      <c r="O2" t="s">
        <v>2893</v>
      </c>
      <c r="P2" t="s">
        <v>3004</v>
      </c>
      <c r="Q2" t="s">
        <v>1546</v>
      </c>
      <c r="R2" s="31">
        <v>473000</v>
      </c>
      <c r="T2" s="2" t="s">
        <v>2910</v>
      </c>
    </row>
    <row r="3" spans="1:20" hidden="1" x14ac:dyDescent="0.25">
      <c r="A3">
        <v>2023</v>
      </c>
      <c r="B3" t="s">
        <v>772</v>
      </c>
      <c r="C3" t="s">
        <v>2899</v>
      </c>
      <c r="D3" t="s">
        <v>718</v>
      </c>
      <c r="E3" t="s">
        <v>247</v>
      </c>
      <c r="F3" t="s">
        <v>1350</v>
      </c>
      <c r="G3" t="s">
        <v>2151</v>
      </c>
      <c r="H3" t="s">
        <v>2149</v>
      </c>
      <c r="I3" t="s">
        <v>233</v>
      </c>
      <c r="J3" t="s">
        <v>249</v>
      </c>
      <c r="K3" t="s">
        <v>248</v>
      </c>
      <c r="L3" t="s">
        <v>376</v>
      </c>
      <c r="M3" t="s">
        <v>2991</v>
      </c>
      <c r="N3" t="s">
        <v>2277</v>
      </c>
      <c r="O3" t="s">
        <v>2894</v>
      </c>
      <c r="P3" t="s">
        <v>3004</v>
      </c>
      <c r="Q3" t="s">
        <v>1566</v>
      </c>
      <c r="R3" s="31">
        <v>484</v>
      </c>
      <c r="T3" t="s">
        <v>2272</v>
      </c>
    </row>
    <row r="4" spans="1:20" hidden="1" x14ac:dyDescent="0.25">
      <c r="A4">
        <v>2023</v>
      </c>
      <c r="B4" t="s">
        <v>772</v>
      </c>
      <c r="C4" t="s">
        <v>2899</v>
      </c>
      <c r="D4" t="s">
        <v>718</v>
      </c>
      <c r="E4" t="s">
        <v>251</v>
      </c>
      <c r="F4" t="s">
        <v>1352</v>
      </c>
      <c r="G4" t="s">
        <v>2151</v>
      </c>
      <c r="H4" t="s">
        <v>2149</v>
      </c>
      <c r="I4" t="s">
        <v>233</v>
      </c>
      <c r="J4" t="s">
        <v>249</v>
      </c>
      <c r="K4" t="s">
        <v>252</v>
      </c>
      <c r="L4" t="s">
        <v>376</v>
      </c>
      <c r="M4" t="s">
        <v>2991</v>
      </c>
      <c r="N4" t="s">
        <v>2277</v>
      </c>
      <c r="O4" t="s">
        <v>2893</v>
      </c>
      <c r="P4" t="s">
        <v>3004</v>
      </c>
      <c r="Q4" t="s">
        <v>1546</v>
      </c>
      <c r="R4" s="31">
        <v>620000</v>
      </c>
      <c r="T4" s="2" t="s">
        <v>2910</v>
      </c>
    </row>
    <row r="5" spans="1:20" hidden="1" x14ac:dyDescent="0.25">
      <c r="A5">
        <v>2023</v>
      </c>
      <c r="B5" t="s">
        <v>772</v>
      </c>
      <c r="C5" t="s">
        <v>2899</v>
      </c>
      <c r="D5" t="s">
        <v>718</v>
      </c>
      <c r="E5" t="s">
        <v>251</v>
      </c>
      <c r="F5" t="s">
        <v>1352</v>
      </c>
      <c r="G5" t="s">
        <v>2151</v>
      </c>
      <c r="H5" t="s">
        <v>2149</v>
      </c>
      <c r="I5" t="s">
        <v>233</v>
      </c>
      <c r="J5" t="s">
        <v>249</v>
      </c>
      <c r="K5" t="s">
        <v>252</v>
      </c>
      <c r="L5" t="s">
        <v>376</v>
      </c>
      <c r="M5" t="s">
        <v>2991</v>
      </c>
      <c r="N5" t="s">
        <v>2277</v>
      </c>
      <c r="O5" t="s">
        <v>2894</v>
      </c>
      <c r="P5" t="s">
        <v>3004</v>
      </c>
      <c r="Q5" t="s">
        <v>1566</v>
      </c>
      <c r="R5" s="31">
        <v>634</v>
      </c>
      <c r="T5" t="s">
        <v>2272</v>
      </c>
    </row>
    <row r="6" spans="1:20" hidden="1" x14ac:dyDescent="0.25">
      <c r="A6">
        <v>2024</v>
      </c>
      <c r="B6" t="s">
        <v>772</v>
      </c>
      <c r="C6" t="s">
        <v>2899</v>
      </c>
      <c r="D6" t="s">
        <v>155</v>
      </c>
      <c r="E6" t="s">
        <v>257</v>
      </c>
      <c r="F6" t="s">
        <v>1158</v>
      </c>
      <c r="H6" t="s">
        <v>2030</v>
      </c>
      <c r="I6" t="s">
        <v>233</v>
      </c>
      <c r="J6" t="s">
        <v>258</v>
      </c>
      <c r="K6" t="s">
        <v>244</v>
      </c>
      <c r="L6" t="s">
        <v>244</v>
      </c>
      <c r="M6" t="s">
        <v>2992</v>
      </c>
      <c r="N6" t="s">
        <v>2394</v>
      </c>
      <c r="O6" t="s">
        <v>2894</v>
      </c>
      <c r="P6" t="s">
        <v>3004</v>
      </c>
      <c r="Q6" t="s">
        <v>1641</v>
      </c>
      <c r="R6" s="31">
        <v>3.1</v>
      </c>
      <c r="S6" t="s">
        <v>2398</v>
      </c>
      <c r="T6" t="s">
        <v>2395</v>
      </c>
    </row>
    <row r="7" spans="1:20" hidden="1" x14ac:dyDescent="0.25">
      <c r="A7">
        <v>2023</v>
      </c>
      <c r="B7" t="s">
        <v>772</v>
      </c>
      <c r="C7" t="s">
        <v>2899</v>
      </c>
      <c r="D7" t="s">
        <v>718</v>
      </c>
      <c r="E7" t="s">
        <v>259</v>
      </c>
      <c r="F7" t="s">
        <v>1349</v>
      </c>
      <c r="G7" t="s">
        <v>2151</v>
      </c>
      <c r="H7" t="s">
        <v>2149</v>
      </c>
      <c r="I7" t="s">
        <v>233</v>
      </c>
      <c r="J7" t="s">
        <v>249</v>
      </c>
      <c r="K7" t="s">
        <v>260</v>
      </c>
      <c r="L7" t="s">
        <v>376</v>
      </c>
      <c r="M7" t="s">
        <v>2991</v>
      </c>
      <c r="N7" t="s">
        <v>2277</v>
      </c>
      <c r="O7" t="s">
        <v>2893</v>
      </c>
      <c r="P7" t="s">
        <v>3004</v>
      </c>
      <c r="Q7" t="s">
        <v>1546</v>
      </c>
      <c r="R7" s="31">
        <v>234000</v>
      </c>
      <c r="T7" t="s">
        <v>2272</v>
      </c>
    </row>
    <row r="8" spans="1:20" hidden="1" x14ac:dyDescent="0.25">
      <c r="A8">
        <v>2023</v>
      </c>
      <c r="B8" t="s">
        <v>772</v>
      </c>
      <c r="C8" t="s">
        <v>2899</v>
      </c>
      <c r="D8" t="s">
        <v>718</v>
      </c>
      <c r="E8" t="s">
        <v>259</v>
      </c>
      <c r="F8" t="s">
        <v>1349</v>
      </c>
      <c r="G8" t="s">
        <v>2151</v>
      </c>
      <c r="H8" t="s">
        <v>2149</v>
      </c>
      <c r="I8" t="s">
        <v>233</v>
      </c>
      <c r="J8" t="s">
        <v>249</v>
      </c>
      <c r="K8" t="s">
        <v>260</v>
      </c>
      <c r="L8" t="s">
        <v>376</v>
      </c>
      <c r="M8" t="s">
        <v>2991</v>
      </c>
      <c r="N8" t="s">
        <v>2277</v>
      </c>
      <c r="O8" t="s">
        <v>2894</v>
      </c>
      <c r="P8" t="s">
        <v>3004</v>
      </c>
      <c r="Q8" t="s">
        <v>1566</v>
      </c>
      <c r="R8" s="31">
        <v>172.03945200000001</v>
      </c>
      <c r="T8" t="s">
        <v>2272</v>
      </c>
    </row>
    <row r="9" spans="1:20" hidden="1" x14ac:dyDescent="0.25">
      <c r="A9">
        <v>2023</v>
      </c>
      <c r="B9" t="s">
        <v>772</v>
      </c>
      <c r="C9" t="s">
        <v>2899</v>
      </c>
      <c r="D9" t="s">
        <v>261</v>
      </c>
      <c r="E9" t="s">
        <v>262</v>
      </c>
      <c r="F9" t="s">
        <v>1137</v>
      </c>
      <c r="H9" t="s">
        <v>1948</v>
      </c>
      <c r="I9" t="s">
        <v>233</v>
      </c>
      <c r="J9" t="s">
        <v>249</v>
      </c>
      <c r="K9" t="s">
        <v>376</v>
      </c>
      <c r="L9" t="s">
        <v>376</v>
      </c>
      <c r="M9" t="s">
        <v>2991</v>
      </c>
      <c r="N9" t="s">
        <v>2893</v>
      </c>
      <c r="O9" t="s">
        <v>2893</v>
      </c>
      <c r="P9" t="s">
        <v>3004</v>
      </c>
      <c r="Q9" t="s">
        <v>1546</v>
      </c>
      <c r="R9" s="31">
        <v>312000</v>
      </c>
      <c r="T9" s="2" t="s">
        <v>2910</v>
      </c>
    </row>
    <row r="10" spans="1:20" hidden="1" x14ac:dyDescent="0.25">
      <c r="A10">
        <v>2023</v>
      </c>
      <c r="B10" t="s">
        <v>772</v>
      </c>
      <c r="C10" t="s">
        <v>2899</v>
      </c>
      <c r="D10" t="s">
        <v>267</v>
      </c>
      <c r="E10" t="s">
        <v>268</v>
      </c>
      <c r="F10" t="s">
        <v>1140</v>
      </c>
      <c r="H10" t="s">
        <v>2022</v>
      </c>
      <c r="I10" t="s">
        <v>233</v>
      </c>
      <c r="J10" t="s">
        <v>249</v>
      </c>
      <c r="K10" t="s">
        <v>376</v>
      </c>
      <c r="L10" t="s">
        <v>376</v>
      </c>
      <c r="M10" t="s">
        <v>2991</v>
      </c>
      <c r="N10" t="s">
        <v>2893</v>
      </c>
      <c r="O10" t="s">
        <v>2893</v>
      </c>
      <c r="P10" t="s">
        <v>3004</v>
      </c>
      <c r="Q10" t="s">
        <v>1546</v>
      </c>
      <c r="R10" s="31">
        <v>462000</v>
      </c>
      <c r="T10" s="2" t="s">
        <v>2910</v>
      </c>
    </row>
    <row r="11" spans="1:20" hidden="1" x14ac:dyDescent="0.25">
      <c r="A11">
        <v>2022</v>
      </c>
      <c r="B11" t="s">
        <v>772</v>
      </c>
      <c r="C11" t="s">
        <v>2899</v>
      </c>
      <c r="D11" t="s">
        <v>795</v>
      </c>
      <c r="E11" t="s">
        <v>162</v>
      </c>
      <c r="F11" t="s">
        <v>1192</v>
      </c>
      <c r="H11" t="s">
        <v>1993</v>
      </c>
      <c r="I11" t="s">
        <v>11</v>
      </c>
      <c r="J11" t="s">
        <v>34</v>
      </c>
      <c r="K11" t="s">
        <v>157</v>
      </c>
      <c r="L11" t="s">
        <v>157</v>
      </c>
      <c r="M11" t="s">
        <v>2988</v>
      </c>
      <c r="N11" t="s">
        <v>1594</v>
      </c>
      <c r="O11" t="s">
        <v>2894</v>
      </c>
      <c r="P11" t="s">
        <v>3004</v>
      </c>
      <c r="Q11" t="s">
        <v>1566</v>
      </c>
      <c r="R11" s="31">
        <v>11187</v>
      </c>
      <c r="T11" t="s">
        <v>3192</v>
      </c>
    </row>
    <row r="12" spans="1:20" hidden="1" x14ac:dyDescent="0.25">
      <c r="A12">
        <v>2023</v>
      </c>
      <c r="B12" t="s">
        <v>772</v>
      </c>
      <c r="C12" t="s">
        <v>2899</v>
      </c>
      <c r="D12" t="s">
        <v>39</v>
      </c>
      <c r="E12" t="s">
        <v>77</v>
      </c>
      <c r="F12" t="s">
        <v>1323</v>
      </c>
      <c r="H12" t="s">
        <v>2133</v>
      </c>
      <c r="I12" t="s">
        <v>11</v>
      </c>
      <c r="J12" t="s">
        <v>13</v>
      </c>
      <c r="K12" t="s">
        <v>64</v>
      </c>
      <c r="L12" t="s">
        <v>16</v>
      </c>
      <c r="M12" t="s">
        <v>2990</v>
      </c>
      <c r="N12" t="s">
        <v>3187</v>
      </c>
      <c r="O12" t="s">
        <v>2894</v>
      </c>
      <c r="P12" t="s">
        <v>3004</v>
      </c>
      <c r="Q12" t="s">
        <v>1550</v>
      </c>
      <c r="R12" s="31">
        <v>29</v>
      </c>
      <c r="T12" t="s">
        <v>1593</v>
      </c>
    </row>
    <row r="13" spans="1:20" hidden="1" x14ac:dyDescent="0.25">
      <c r="A13">
        <v>2023</v>
      </c>
      <c r="B13" t="s">
        <v>772</v>
      </c>
      <c r="C13" t="s">
        <v>2899</v>
      </c>
      <c r="D13" t="s">
        <v>39</v>
      </c>
      <c r="E13" t="s">
        <v>77</v>
      </c>
      <c r="F13" t="s">
        <v>1323</v>
      </c>
      <c r="H13" t="s">
        <v>2133</v>
      </c>
      <c r="I13" t="s">
        <v>11</v>
      </c>
      <c r="J13" t="s">
        <v>13</v>
      </c>
      <c r="K13" t="s">
        <v>64</v>
      </c>
      <c r="L13" t="s">
        <v>1772</v>
      </c>
      <c r="M13" t="s">
        <v>2988</v>
      </c>
      <c r="N13" t="s">
        <v>1594</v>
      </c>
      <c r="O13" t="s">
        <v>2894</v>
      </c>
      <c r="P13" t="s">
        <v>3004</v>
      </c>
      <c r="Q13" t="s">
        <v>1566</v>
      </c>
      <c r="R13" s="31">
        <v>167</v>
      </c>
      <c r="T13" t="s">
        <v>1593</v>
      </c>
    </row>
    <row r="14" spans="1:20" hidden="1" x14ac:dyDescent="0.25">
      <c r="A14">
        <v>2023</v>
      </c>
      <c r="B14" t="s">
        <v>772</v>
      </c>
      <c r="C14" t="s">
        <v>2899</v>
      </c>
      <c r="D14" t="s">
        <v>39</v>
      </c>
      <c r="E14" t="s">
        <v>77</v>
      </c>
      <c r="F14" t="s">
        <v>1323</v>
      </c>
      <c r="H14" t="s">
        <v>2133</v>
      </c>
      <c r="I14" t="s">
        <v>11</v>
      </c>
      <c r="J14" t="s">
        <v>13</v>
      </c>
      <c r="K14" t="s">
        <v>64</v>
      </c>
      <c r="L14" t="s">
        <v>1772</v>
      </c>
      <c r="M14" t="s">
        <v>2989</v>
      </c>
      <c r="N14" t="s">
        <v>1545</v>
      </c>
      <c r="O14" t="s">
        <v>2894</v>
      </c>
      <c r="P14" t="s">
        <v>3004</v>
      </c>
      <c r="Q14" t="s">
        <v>1566</v>
      </c>
      <c r="R14" s="31">
        <v>166</v>
      </c>
      <c r="T14" t="s">
        <v>1593</v>
      </c>
    </row>
    <row r="15" spans="1:20" hidden="1" x14ac:dyDescent="0.25">
      <c r="A15">
        <v>2023</v>
      </c>
      <c r="B15" t="s">
        <v>1537</v>
      </c>
      <c r="C15" t="s">
        <v>2899</v>
      </c>
      <c r="D15" t="s">
        <v>715</v>
      </c>
      <c r="E15" t="s">
        <v>283</v>
      </c>
      <c r="F15" t="s">
        <v>1252</v>
      </c>
      <c r="H15" t="s">
        <v>2086</v>
      </c>
      <c r="I15" t="s">
        <v>274</v>
      </c>
      <c r="J15" t="s">
        <v>720</v>
      </c>
      <c r="K15" t="s">
        <v>284</v>
      </c>
      <c r="L15" t="s">
        <v>1615</v>
      </c>
      <c r="M15" t="s">
        <v>2992</v>
      </c>
      <c r="N15" t="s">
        <v>2349</v>
      </c>
      <c r="O15" t="s">
        <v>2894</v>
      </c>
      <c r="P15" t="s">
        <v>3004</v>
      </c>
      <c r="Q15" t="s">
        <v>1566</v>
      </c>
      <c r="R15" s="31">
        <v>244.6</v>
      </c>
      <c r="T15" t="s">
        <v>2432</v>
      </c>
    </row>
    <row r="16" spans="1:20" hidden="1" x14ac:dyDescent="0.25">
      <c r="A16">
        <v>2023</v>
      </c>
      <c r="B16" t="s">
        <v>1537</v>
      </c>
      <c r="C16" t="s">
        <v>2899</v>
      </c>
      <c r="D16" t="s">
        <v>715</v>
      </c>
      <c r="E16" t="s">
        <v>283</v>
      </c>
      <c r="F16" t="s">
        <v>1252</v>
      </c>
      <c r="H16" t="s">
        <v>2086</v>
      </c>
      <c r="I16" t="s">
        <v>274</v>
      </c>
      <c r="J16" t="s">
        <v>720</v>
      </c>
      <c r="K16" t="s">
        <v>284</v>
      </c>
      <c r="L16" t="s">
        <v>1551</v>
      </c>
      <c r="M16" t="s">
        <v>2992</v>
      </c>
      <c r="N16" t="s">
        <v>2349</v>
      </c>
      <c r="O16" t="s">
        <v>2894</v>
      </c>
      <c r="P16" t="s">
        <v>3004</v>
      </c>
      <c r="Q16" t="s">
        <v>1566</v>
      </c>
      <c r="R16" s="31">
        <v>752.6</v>
      </c>
      <c r="T16" t="s">
        <v>2432</v>
      </c>
    </row>
    <row r="17" spans="1:20" hidden="1" x14ac:dyDescent="0.25">
      <c r="A17">
        <v>2023</v>
      </c>
      <c r="B17" t="s">
        <v>772</v>
      </c>
      <c r="C17" t="s">
        <v>2899</v>
      </c>
      <c r="D17" t="s">
        <v>14</v>
      </c>
      <c r="E17" t="s">
        <v>65</v>
      </c>
      <c r="F17" t="s">
        <v>1125</v>
      </c>
      <c r="H17" t="s">
        <v>2016</v>
      </c>
      <c r="I17" t="s">
        <v>11</v>
      </c>
      <c r="J17" t="s">
        <v>13</v>
      </c>
      <c r="K17" t="s">
        <v>64</v>
      </c>
      <c r="L17" t="s">
        <v>16</v>
      </c>
      <c r="M17" t="s">
        <v>2990</v>
      </c>
      <c r="N17" t="s">
        <v>3187</v>
      </c>
      <c r="O17" t="s">
        <v>2894</v>
      </c>
      <c r="P17" t="s">
        <v>3004</v>
      </c>
      <c r="Q17" t="s">
        <v>1548</v>
      </c>
      <c r="R17" s="31">
        <v>603955</v>
      </c>
      <c r="S17" s="21" t="s">
        <v>2916</v>
      </c>
      <c r="T17" t="s">
        <v>2974</v>
      </c>
    </row>
    <row r="18" spans="1:20" hidden="1" x14ac:dyDescent="0.25">
      <c r="A18">
        <v>2023</v>
      </c>
      <c r="B18" t="s">
        <v>772</v>
      </c>
      <c r="C18" t="s">
        <v>2899</v>
      </c>
      <c r="D18" t="s">
        <v>14</v>
      </c>
      <c r="E18" t="s">
        <v>65</v>
      </c>
      <c r="F18" t="s">
        <v>1125</v>
      </c>
      <c r="H18" t="s">
        <v>2016</v>
      </c>
      <c r="I18" t="s">
        <v>11</v>
      </c>
      <c r="J18" t="s">
        <v>13</v>
      </c>
      <c r="K18" t="s">
        <v>64</v>
      </c>
      <c r="L18" t="s">
        <v>1772</v>
      </c>
      <c r="M18" t="s">
        <v>2989</v>
      </c>
      <c r="N18" t="s">
        <v>1545</v>
      </c>
      <c r="O18" t="s">
        <v>2894</v>
      </c>
      <c r="P18" t="s">
        <v>3004</v>
      </c>
      <c r="Q18" t="s">
        <v>1566</v>
      </c>
      <c r="R18" s="31">
        <v>17332.900000000001</v>
      </c>
      <c r="T18" t="s">
        <v>2974</v>
      </c>
    </row>
    <row r="19" spans="1:20" hidden="1" x14ac:dyDescent="0.25">
      <c r="A19">
        <v>2023</v>
      </c>
      <c r="B19" t="s">
        <v>772</v>
      </c>
      <c r="C19" t="s">
        <v>2899</v>
      </c>
      <c r="D19" t="s">
        <v>14</v>
      </c>
      <c r="E19" t="s">
        <v>65</v>
      </c>
      <c r="F19" t="s">
        <v>1125</v>
      </c>
      <c r="H19" t="s">
        <v>2016</v>
      </c>
      <c r="I19" t="s">
        <v>11</v>
      </c>
      <c r="J19" t="s">
        <v>13</v>
      </c>
      <c r="K19" t="s">
        <v>64</v>
      </c>
      <c r="L19" t="s">
        <v>1549</v>
      </c>
      <c r="M19" t="s">
        <v>2990</v>
      </c>
      <c r="N19" t="s">
        <v>3187</v>
      </c>
      <c r="O19" t="s">
        <v>2894</v>
      </c>
      <c r="P19" t="s">
        <v>3004</v>
      </c>
      <c r="Q19" t="s">
        <v>1550</v>
      </c>
      <c r="R19" s="31">
        <v>311</v>
      </c>
      <c r="S19" s="21" t="s">
        <v>2916</v>
      </c>
      <c r="T19" t="s">
        <v>2974</v>
      </c>
    </row>
    <row r="20" spans="1:20" hidden="1" x14ac:dyDescent="0.25">
      <c r="A20">
        <v>2023</v>
      </c>
      <c r="B20" t="s">
        <v>772</v>
      </c>
      <c r="C20" t="s">
        <v>2899</v>
      </c>
      <c r="D20" t="s">
        <v>2278</v>
      </c>
      <c r="E20" t="s">
        <v>164</v>
      </c>
      <c r="F20" t="s">
        <v>1282</v>
      </c>
      <c r="H20" t="s">
        <v>2105</v>
      </c>
      <c r="I20" t="s">
        <v>11</v>
      </c>
      <c r="J20" t="s">
        <v>19</v>
      </c>
      <c r="K20" t="s">
        <v>157</v>
      </c>
      <c r="L20" t="s">
        <v>157</v>
      </c>
      <c r="M20" t="s">
        <v>2990</v>
      </c>
      <c r="N20" t="s">
        <v>2893</v>
      </c>
      <c r="O20" t="s">
        <v>2893</v>
      </c>
      <c r="P20" t="s">
        <v>3004</v>
      </c>
      <c r="Q20" t="s">
        <v>1566</v>
      </c>
      <c r="R20" s="31">
        <v>23000</v>
      </c>
      <c r="T20" t="s">
        <v>3152</v>
      </c>
    </row>
    <row r="21" spans="1:20" hidden="1" x14ac:dyDescent="0.25">
      <c r="A21">
        <v>2023</v>
      </c>
      <c r="B21" t="s">
        <v>772</v>
      </c>
      <c r="C21" t="s">
        <v>2899</v>
      </c>
      <c r="D21" t="s">
        <v>2278</v>
      </c>
      <c r="E21" t="s">
        <v>164</v>
      </c>
      <c r="F21" t="s">
        <v>1282</v>
      </c>
      <c r="H21" t="s">
        <v>2105</v>
      </c>
      <c r="I21" t="s">
        <v>11</v>
      </c>
      <c r="J21" t="s">
        <v>19</v>
      </c>
      <c r="K21" t="s">
        <v>157</v>
      </c>
      <c r="L21" t="s">
        <v>157</v>
      </c>
      <c r="M21" t="s">
        <v>2988</v>
      </c>
      <c r="N21" t="s">
        <v>1594</v>
      </c>
      <c r="O21" t="s">
        <v>2894</v>
      </c>
      <c r="P21" t="s">
        <v>3004</v>
      </c>
      <c r="Q21" t="s">
        <v>1566</v>
      </c>
      <c r="R21" s="31">
        <f>16478</f>
        <v>16478</v>
      </c>
      <c r="S21" t="s">
        <v>2912</v>
      </c>
      <c r="T21" t="s">
        <v>2272</v>
      </c>
    </row>
    <row r="22" spans="1:20" ht="13.5" hidden="1" customHeight="1" x14ac:dyDescent="0.25">
      <c r="A22">
        <v>2023</v>
      </c>
      <c r="B22" t="s">
        <v>772</v>
      </c>
      <c r="C22" t="s">
        <v>2899</v>
      </c>
      <c r="D22" t="s">
        <v>8</v>
      </c>
      <c r="E22" t="s">
        <v>72</v>
      </c>
      <c r="F22" t="s">
        <v>1263</v>
      </c>
      <c r="H22" t="s">
        <v>1895</v>
      </c>
      <c r="I22" t="s">
        <v>11</v>
      </c>
      <c r="J22" t="s">
        <v>21</v>
      </c>
      <c r="K22" t="s">
        <v>130</v>
      </c>
      <c r="L22" t="s">
        <v>16</v>
      </c>
      <c r="M22" t="s">
        <v>2990</v>
      </c>
      <c r="N22" t="s">
        <v>3187</v>
      </c>
      <c r="O22" t="s">
        <v>2894</v>
      </c>
      <c r="P22" t="s">
        <v>3004</v>
      </c>
      <c r="Q22" t="s">
        <v>1550</v>
      </c>
      <c r="R22" s="31">
        <v>86.6</v>
      </c>
      <c r="T22" s="2" t="s">
        <v>973</v>
      </c>
    </row>
    <row r="23" spans="1:20" ht="13.5" hidden="1" customHeight="1" x14ac:dyDescent="0.25">
      <c r="A23">
        <v>2023</v>
      </c>
      <c r="B23" t="s">
        <v>772</v>
      </c>
      <c r="C23" t="s">
        <v>2899</v>
      </c>
      <c r="D23" t="s">
        <v>8</v>
      </c>
      <c r="E23" t="s">
        <v>72</v>
      </c>
      <c r="F23" t="s">
        <v>1263</v>
      </c>
      <c r="H23" t="s">
        <v>1895</v>
      </c>
      <c r="I23" t="s">
        <v>11</v>
      </c>
      <c r="J23" t="s">
        <v>21</v>
      </c>
      <c r="K23" t="s">
        <v>130</v>
      </c>
      <c r="L23" t="s">
        <v>1772</v>
      </c>
      <c r="M23" t="s">
        <v>2989</v>
      </c>
      <c r="N23" t="s">
        <v>3148</v>
      </c>
      <c r="O23" t="s">
        <v>2894</v>
      </c>
      <c r="P23" t="s">
        <v>3004</v>
      </c>
      <c r="Q23" t="s">
        <v>1546</v>
      </c>
      <c r="R23" s="31">
        <f>3730*365</f>
        <v>1361450</v>
      </c>
      <c r="S23" t="s">
        <v>3151</v>
      </c>
      <c r="T23" t="s">
        <v>3150</v>
      </c>
    </row>
    <row r="24" spans="1:20" ht="13.5" hidden="1" customHeight="1" x14ac:dyDescent="0.25">
      <c r="A24">
        <v>2023</v>
      </c>
      <c r="B24" t="s">
        <v>772</v>
      </c>
      <c r="C24" t="s">
        <v>2899</v>
      </c>
      <c r="D24" t="s">
        <v>8</v>
      </c>
      <c r="E24" t="s">
        <v>72</v>
      </c>
      <c r="F24" t="s">
        <v>1263</v>
      </c>
      <c r="H24" t="s">
        <v>1895</v>
      </c>
      <c r="I24" t="s">
        <v>11</v>
      </c>
      <c r="J24" t="s">
        <v>21</v>
      </c>
      <c r="K24" t="s">
        <v>130</v>
      </c>
      <c r="L24" t="s">
        <v>1549</v>
      </c>
      <c r="M24" t="s">
        <v>2990</v>
      </c>
      <c r="N24" t="s">
        <v>3187</v>
      </c>
      <c r="O24" t="s">
        <v>2894</v>
      </c>
      <c r="P24" t="s">
        <v>3004</v>
      </c>
      <c r="Q24" t="s">
        <v>1550</v>
      </c>
      <c r="R24" s="31">
        <v>24.2</v>
      </c>
      <c r="T24" t="s">
        <v>973</v>
      </c>
    </row>
    <row r="25" spans="1:20" ht="13.5" hidden="1" customHeight="1" x14ac:dyDescent="0.25">
      <c r="A25">
        <v>2023</v>
      </c>
      <c r="B25" t="s">
        <v>772</v>
      </c>
      <c r="C25" t="s">
        <v>2899</v>
      </c>
      <c r="D25" t="s">
        <v>208</v>
      </c>
      <c r="E25" t="s">
        <v>209</v>
      </c>
      <c r="F25" t="s">
        <v>1175</v>
      </c>
      <c r="G25" t="s">
        <v>3227</v>
      </c>
      <c r="H25" t="s">
        <v>1752</v>
      </c>
      <c r="I25" t="s">
        <v>11</v>
      </c>
      <c r="J25" t="s">
        <v>44</v>
      </c>
      <c r="K25" t="s">
        <v>210</v>
      </c>
      <c r="L25" t="s">
        <v>210</v>
      </c>
      <c r="M25" t="s">
        <v>2989</v>
      </c>
      <c r="N25" t="s">
        <v>1545</v>
      </c>
      <c r="O25" t="s">
        <v>2894</v>
      </c>
      <c r="P25" t="s">
        <v>3162</v>
      </c>
      <c r="Q25" t="s">
        <v>1709</v>
      </c>
      <c r="R25" s="31">
        <f>15.1/(0.1587*0.987)</f>
        <v>96.401294969448458</v>
      </c>
      <c r="S25" t="s">
        <v>3226</v>
      </c>
      <c r="T25" s="22" t="s">
        <v>1528</v>
      </c>
    </row>
    <row r="26" spans="1:20" hidden="1" x14ac:dyDescent="0.25">
      <c r="A26">
        <v>2024</v>
      </c>
      <c r="B26" t="s">
        <v>1537</v>
      </c>
      <c r="C26" t="s">
        <v>2899</v>
      </c>
      <c r="D26" t="s">
        <v>155</v>
      </c>
      <c r="E26" t="s">
        <v>2397</v>
      </c>
      <c r="G26" t="s">
        <v>2907</v>
      </c>
      <c r="H26" t="s">
        <v>2030</v>
      </c>
      <c r="I26" t="s">
        <v>233</v>
      </c>
      <c r="J26" t="s">
        <v>255</v>
      </c>
      <c r="K26" t="s">
        <v>244</v>
      </c>
      <c r="L26" t="s">
        <v>244</v>
      </c>
      <c r="M26" t="s">
        <v>2992</v>
      </c>
      <c r="N26" t="s">
        <v>2400</v>
      </c>
      <c r="O26" t="s">
        <v>2894</v>
      </c>
      <c r="P26" t="s">
        <v>3004</v>
      </c>
      <c r="Q26" t="s">
        <v>1641</v>
      </c>
      <c r="R26" s="31">
        <v>1.9</v>
      </c>
      <c r="S26" t="s">
        <v>2399</v>
      </c>
      <c r="T26" t="s">
        <v>2395</v>
      </c>
    </row>
    <row r="27" spans="1:20" hidden="1" x14ac:dyDescent="0.25">
      <c r="A27">
        <v>2023</v>
      </c>
      <c r="B27" t="s">
        <v>772</v>
      </c>
      <c r="C27" t="s">
        <v>2899</v>
      </c>
      <c r="D27" t="s">
        <v>719</v>
      </c>
      <c r="E27" t="s">
        <v>192</v>
      </c>
      <c r="F27" t="s">
        <v>1421</v>
      </c>
      <c r="G27" t="s">
        <v>2193</v>
      </c>
      <c r="H27" t="s">
        <v>2191</v>
      </c>
      <c r="I27" t="s">
        <v>11</v>
      </c>
      <c r="J27" t="s">
        <v>21</v>
      </c>
      <c r="K27" t="s">
        <v>189</v>
      </c>
      <c r="L27" t="s">
        <v>125</v>
      </c>
      <c r="M27" t="s">
        <v>2990</v>
      </c>
      <c r="N27" t="s">
        <v>1774</v>
      </c>
      <c r="O27" t="s">
        <v>2894</v>
      </c>
      <c r="P27" t="s">
        <v>3004</v>
      </c>
      <c r="Q27" s="31" t="s">
        <v>1546</v>
      </c>
      <c r="R27" s="31">
        <v>10098</v>
      </c>
      <c r="S27" t="s">
        <v>3205</v>
      </c>
    </row>
    <row r="28" spans="1:20" hidden="1" x14ac:dyDescent="0.25">
      <c r="A28">
        <v>2023</v>
      </c>
      <c r="B28" t="s">
        <v>1537</v>
      </c>
      <c r="C28" t="s">
        <v>2899</v>
      </c>
      <c r="D28" t="s">
        <v>719</v>
      </c>
      <c r="E28" t="s">
        <v>192</v>
      </c>
      <c r="F28" t="s">
        <v>1427</v>
      </c>
      <c r="G28" t="s">
        <v>2193</v>
      </c>
      <c r="H28" t="s">
        <v>2191</v>
      </c>
      <c r="I28" t="s">
        <v>233</v>
      </c>
      <c r="J28" t="s">
        <v>292</v>
      </c>
      <c r="K28" t="s">
        <v>189</v>
      </c>
      <c r="L28" t="s">
        <v>125</v>
      </c>
      <c r="M28" t="s">
        <v>2992</v>
      </c>
      <c r="N28" t="s">
        <v>2349</v>
      </c>
      <c r="O28" t="s">
        <v>2894</v>
      </c>
      <c r="P28" t="s">
        <v>3004</v>
      </c>
      <c r="Q28" t="s">
        <v>1566</v>
      </c>
      <c r="R28" s="31">
        <v>57.9</v>
      </c>
      <c r="S28" t="s">
        <v>3210</v>
      </c>
      <c r="T28" t="s">
        <v>2529</v>
      </c>
    </row>
    <row r="29" spans="1:20" hidden="1" x14ac:dyDescent="0.25">
      <c r="A29">
        <v>2023</v>
      </c>
      <c r="B29" t="s">
        <v>772</v>
      </c>
      <c r="C29" t="s">
        <v>2899</v>
      </c>
      <c r="D29" t="s">
        <v>719</v>
      </c>
      <c r="E29" t="s">
        <v>192</v>
      </c>
      <c r="F29" t="s">
        <v>1421</v>
      </c>
      <c r="G29" t="s">
        <v>2193</v>
      </c>
      <c r="H29" t="s">
        <v>2191</v>
      </c>
      <c r="I29" t="s">
        <v>11</v>
      </c>
      <c r="J29" t="s">
        <v>21</v>
      </c>
      <c r="K29" t="s">
        <v>189</v>
      </c>
      <c r="L29" t="s">
        <v>557</v>
      </c>
      <c r="M29" t="s">
        <v>2990</v>
      </c>
      <c r="N29" t="s">
        <v>1774</v>
      </c>
      <c r="O29" t="s">
        <v>2894</v>
      </c>
      <c r="P29" t="s">
        <v>3004</v>
      </c>
      <c r="Q29" s="31" t="s">
        <v>1546</v>
      </c>
      <c r="R29" s="31">
        <v>8751</v>
      </c>
      <c r="S29" t="s">
        <v>3205</v>
      </c>
    </row>
    <row r="30" spans="1:20" hidden="1" x14ac:dyDescent="0.25">
      <c r="A30">
        <v>2023</v>
      </c>
      <c r="B30" t="s">
        <v>1537</v>
      </c>
      <c r="C30" t="s">
        <v>2899</v>
      </c>
      <c r="D30" t="s">
        <v>719</v>
      </c>
      <c r="E30" t="s">
        <v>192</v>
      </c>
      <c r="F30" t="s">
        <v>1427</v>
      </c>
      <c r="G30" t="s">
        <v>2193</v>
      </c>
      <c r="H30" t="s">
        <v>2191</v>
      </c>
      <c r="I30" t="s">
        <v>233</v>
      </c>
      <c r="J30" t="s">
        <v>292</v>
      </c>
      <c r="K30" t="s">
        <v>189</v>
      </c>
      <c r="L30" t="s">
        <v>557</v>
      </c>
      <c r="M30" t="s">
        <v>2992</v>
      </c>
      <c r="N30" t="s">
        <v>2349</v>
      </c>
      <c r="O30" t="s">
        <v>2894</v>
      </c>
      <c r="P30" t="s">
        <v>3004</v>
      </c>
      <c r="Q30" t="s">
        <v>1566</v>
      </c>
      <c r="R30" s="31">
        <v>38.200000000000003</v>
      </c>
      <c r="T30" t="s">
        <v>2529</v>
      </c>
    </row>
    <row r="31" spans="1:20" hidden="1" x14ac:dyDescent="0.25">
      <c r="A31">
        <v>2023</v>
      </c>
      <c r="B31" t="s">
        <v>772</v>
      </c>
      <c r="C31" t="s">
        <v>2899</v>
      </c>
      <c r="D31" t="s">
        <v>719</v>
      </c>
      <c r="E31" t="s">
        <v>192</v>
      </c>
      <c r="F31" t="s">
        <v>1421</v>
      </c>
      <c r="G31" t="s">
        <v>2193</v>
      </c>
      <c r="H31" t="s">
        <v>2191</v>
      </c>
      <c r="I31" t="s">
        <v>11</v>
      </c>
      <c r="J31" t="s">
        <v>21</v>
      </c>
      <c r="K31" t="s">
        <v>189</v>
      </c>
      <c r="L31" t="s">
        <v>1772</v>
      </c>
      <c r="M31" t="s">
        <v>2989</v>
      </c>
      <c r="N31" t="s">
        <v>1545</v>
      </c>
      <c r="O31" t="s">
        <v>2894</v>
      </c>
      <c r="P31" t="s">
        <v>3004</v>
      </c>
      <c r="Q31" s="31" t="s">
        <v>1546</v>
      </c>
      <c r="R31" s="31">
        <v>748000</v>
      </c>
      <c r="S31" t="s">
        <v>3205</v>
      </c>
    </row>
    <row r="32" spans="1:20" hidden="1" x14ac:dyDescent="0.25">
      <c r="A32">
        <v>2023</v>
      </c>
      <c r="B32" t="s">
        <v>772</v>
      </c>
      <c r="C32" t="s">
        <v>2899</v>
      </c>
      <c r="D32" t="s">
        <v>717</v>
      </c>
      <c r="E32" t="s">
        <v>132</v>
      </c>
      <c r="F32" t="s">
        <v>1270</v>
      </c>
      <c r="H32" t="s">
        <v>1848</v>
      </c>
      <c r="I32" t="s">
        <v>11</v>
      </c>
      <c r="J32" t="s">
        <v>21</v>
      </c>
      <c r="K32" t="s">
        <v>130</v>
      </c>
      <c r="L32" t="s">
        <v>125</v>
      </c>
      <c r="M32" t="s">
        <v>2990</v>
      </c>
      <c r="N32" t="s">
        <v>1774</v>
      </c>
      <c r="O32" t="s">
        <v>2894</v>
      </c>
      <c r="P32" t="s">
        <v>3004</v>
      </c>
      <c r="Q32" t="s">
        <v>1546</v>
      </c>
      <c r="R32" s="31">
        <v>19050</v>
      </c>
      <c r="S32" s="17" t="s">
        <v>3194</v>
      </c>
      <c r="T32" t="s">
        <v>1773</v>
      </c>
    </row>
    <row r="33" spans="1:20" hidden="1" x14ac:dyDescent="0.25">
      <c r="A33">
        <v>2023</v>
      </c>
      <c r="B33" t="s">
        <v>772</v>
      </c>
      <c r="C33" t="s">
        <v>2899</v>
      </c>
      <c r="D33" t="s">
        <v>717</v>
      </c>
      <c r="E33" t="s">
        <v>132</v>
      </c>
      <c r="F33" t="s">
        <v>1270</v>
      </c>
      <c r="H33" t="s">
        <v>1848</v>
      </c>
      <c r="I33" t="s">
        <v>11</v>
      </c>
      <c r="J33" t="s">
        <v>21</v>
      </c>
      <c r="K33" t="s">
        <v>130</v>
      </c>
      <c r="L33" t="s">
        <v>16</v>
      </c>
      <c r="M33" t="s">
        <v>2990</v>
      </c>
      <c r="N33" t="s">
        <v>3187</v>
      </c>
      <c r="O33" t="s">
        <v>2894</v>
      </c>
      <c r="P33" t="s">
        <v>3004</v>
      </c>
      <c r="Q33" t="s">
        <v>1548</v>
      </c>
      <c r="R33" s="31">
        <v>8848</v>
      </c>
      <c r="S33" s="17" t="s">
        <v>3194</v>
      </c>
      <c r="T33" t="s">
        <v>1773</v>
      </c>
    </row>
    <row r="34" spans="1:20" hidden="1" x14ac:dyDescent="0.25">
      <c r="A34">
        <v>2023</v>
      </c>
      <c r="B34" t="s">
        <v>772</v>
      </c>
      <c r="C34" t="s">
        <v>2899</v>
      </c>
      <c r="D34" t="s">
        <v>717</v>
      </c>
      <c r="E34" t="s">
        <v>132</v>
      </c>
      <c r="F34" t="s">
        <v>1270</v>
      </c>
      <c r="H34" t="s">
        <v>1848</v>
      </c>
      <c r="I34" t="s">
        <v>11</v>
      </c>
      <c r="J34" t="s">
        <v>21</v>
      </c>
      <c r="K34" t="s">
        <v>130</v>
      </c>
      <c r="L34" t="s">
        <v>1772</v>
      </c>
      <c r="M34" t="s">
        <v>2989</v>
      </c>
      <c r="N34" t="s">
        <v>1730</v>
      </c>
      <c r="O34" t="s">
        <v>2894</v>
      </c>
      <c r="P34" t="s">
        <v>3004</v>
      </c>
      <c r="Q34" t="s">
        <v>1546</v>
      </c>
      <c r="R34" s="31">
        <v>6862152</v>
      </c>
      <c r="S34" s="17" t="s">
        <v>3194</v>
      </c>
      <c r="T34" t="s">
        <v>1773</v>
      </c>
    </row>
    <row r="35" spans="1:20" hidden="1" x14ac:dyDescent="0.25">
      <c r="A35">
        <v>2023</v>
      </c>
      <c r="B35" t="s">
        <v>772</v>
      </c>
      <c r="C35" t="s">
        <v>2899</v>
      </c>
      <c r="D35" t="s">
        <v>717</v>
      </c>
      <c r="E35" t="s">
        <v>132</v>
      </c>
      <c r="F35" t="s">
        <v>1270</v>
      </c>
      <c r="H35" t="s">
        <v>1848</v>
      </c>
      <c r="I35" t="s">
        <v>11</v>
      </c>
      <c r="J35" t="s">
        <v>21</v>
      </c>
      <c r="K35" t="s">
        <v>130</v>
      </c>
      <c r="L35" t="s">
        <v>1772</v>
      </c>
      <c r="M35" t="s">
        <v>2988</v>
      </c>
      <c r="N35" t="s">
        <v>1594</v>
      </c>
      <c r="O35" t="s">
        <v>2894</v>
      </c>
      <c r="P35" t="s">
        <v>3004</v>
      </c>
      <c r="Q35" t="s">
        <v>1546</v>
      </c>
      <c r="R35" s="31">
        <v>6975389</v>
      </c>
      <c r="S35" s="17" t="s">
        <v>3194</v>
      </c>
      <c r="T35" t="s">
        <v>1773</v>
      </c>
    </row>
    <row r="36" spans="1:20" hidden="1" x14ac:dyDescent="0.25">
      <c r="A36">
        <v>2023</v>
      </c>
      <c r="B36" t="s">
        <v>772</v>
      </c>
      <c r="C36" t="s">
        <v>2899</v>
      </c>
      <c r="D36" t="s">
        <v>717</v>
      </c>
      <c r="E36" t="s">
        <v>132</v>
      </c>
      <c r="F36" t="s">
        <v>1270</v>
      </c>
      <c r="H36" t="s">
        <v>1848</v>
      </c>
      <c r="I36" t="s">
        <v>11</v>
      </c>
      <c r="J36" t="s">
        <v>21</v>
      </c>
      <c r="K36" t="s">
        <v>130</v>
      </c>
      <c r="L36" t="s">
        <v>1549</v>
      </c>
      <c r="M36" t="s">
        <v>2990</v>
      </c>
      <c r="N36" t="s">
        <v>3187</v>
      </c>
      <c r="O36" t="s">
        <v>2894</v>
      </c>
      <c r="P36" t="s">
        <v>3004</v>
      </c>
      <c r="Q36" t="s">
        <v>1548</v>
      </c>
      <c r="R36" s="31">
        <v>218282</v>
      </c>
      <c r="S36" s="17" t="s">
        <v>3194</v>
      </c>
      <c r="T36" t="s">
        <v>1773</v>
      </c>
    </row>
    <row r="37" spans="1:20" hidden="1" x14ac:dyDescent="0.25">
      <c r="A37">
        <v>2023</v>
      </c>
      <c r="B37" t="s">
        <v>772</v>
      </c>
      <c r="C37" t="s">
        <v>2899</v>
      </c>
      <c r="D37" t="s">
        <v>719</v>
      </c>
      <c r="E37" t="s">
        <v>193</v>
      </c>
      <c r="F37" t="s">
        <v>1422</v>
      </c>
      <c r="G37" t="s">
        <v>2193</v>
      </c>
      <c r="H37" t="s">
        <v>2191</v>
      </c>
      <c r="I37" t="s">
        <v>11</v>
      </c>
      <c r="J37" t="s">
        <v>44</v>
      </c>
      <c r="K37" t="s">
        <v>189</v>
      </c>
      <c r="L37" t="s">
        <v>125</v>
      </c>
      <c r="M37" t="s">
        <v>2990</v>
      </c>
      <c r="N37" t="s">
        <v>1774</v>
      </c>
      <c r="O37" t="s">
        <v>2894</v>
      </c>
      <c r="P37" t="s">
        <v>3004</v>
      </c>
      <c r="Q37" s="31" t="s">
        <v>1546</v>
      </c>
      <c r="R37" s="31">
        <v>9396</v>
      </c>
      <c r="S37" t="s">
        <v>3204</v>
      </c>
    </row>
    <row r="38" spans="1:20" hidden="1" x14ac:dyDescent="0.25">
      <c r="A38">
        <v>2023</v>
      </c>
      <c r="B38" t="s">
        <v>772</v>
      </c>
      <c r="C38" t="s">
        <v>2899</v>
      </c>
      <c r="D38" t="s">
        <v>719</v>
      </c>
      <c r="E38" t="s">
        <v>193</v>
      </c>
      <c r="F38" t="s">
        <v>1422</v>
      </c>
      <c r="G38" t="s">
        <v>2193</v>
      </c>
      <c r="H38" t="s">
        <v>2191</v>
      </c>
      <c r="I38" t="s">
        <v>11</v>
      </c>
      <c r="J38" t="s">
        <v>44</v>
      </c>
      <c r="K38" t="s">
        <v>189</v>
      </c>
      <c r="L38" t="s">
        <v>557</v>
      </c>
      <c r="M38" t="s">
        <v>2990</v>
      </c>
      <c r="N38" t="s">
        <v>1774</v>
      </c>
      <c r="O38" t="s">
        <v>2894</v>
      </c>
      <c r="P38" t="s">
        <v>3004</v>
      </c>
      <c r="Q38" s="31" t="s">
        <v>1546</v>
      </c>
      <c r="R38" s="31">
        <v>11344</v>
      </c>
      <c r="S38" t="s">
        <v>3204</v>
      </c>
    </row>
    <row r="39" spans="1:20" hidden="1" x14ac:dyDescent="0.25">
      <c r="A39">
        <v>2023</v>
      </c>
      <c r="B39" t="s">
        <v>772</v>
      </c>
      <c r="C39" t="s">
        <v>2899</v>
      </c>
      <c r="D39" t="s">
        <v>719</v>
      </c>
      <c r="E39" t="s">
        <v>193</v>
      </c>
      <c r="F39" t="s">
        <v>1422</v>
      </c>
      <c r="G39" t="s">
        <v>2193</v>
      </c>
      <c r="H39" t="s">
        <v>2191</v>
      </c>
      <c r="I39" t="s">
        <v>11</v>
      </c>
      <c r="J39" t="s">
        <v>44</v>
      </c>
      <c r="K39" t="s">
        <v>189</v>
      </c>
      <c r="L39" t="s">
        <v>1772</v>
      </c>
      <c r="M39" t="s">
        <v>2989</v>
      </c>
      <c r="N39" t="s">
        <v>1545</v>
      </c>
      <c r="O39" t="s">
        <v>2894</v>
      </c>
      <c r="P39" t="s">
        <v>3004</v>
      </c>
      <c r="Q39" s="31" t="s">
        <v>1546</v>
      </c>
      <c r="R39" s="31">
        <v>433000</v>
      </c>
      <c r="S39" t="s">
        <v>3204</v>
      </c>
    </row>
    <row r="40" spans="1:20" hidden="1" x14ac:dyDescent="0.25">
      <c r="A40">
        <v>2023</v>
      </c>
      <c r="B40" t="s">
        <v>772</v>
      </c>
      <c r="C40" t="s">
        <v>2899</v>
      </c>
      <c r="D40" t="s">
        <v>261</v>
      </c>
      <c r="E40" t="s">
        <v>293</v>
      </c>
      <c r="F40" t="s">
        <v>1138</v>
      </c>
      <c r="H40" t="s">
        <v>1948</v>
      </c>
      <c r="I40" t="s">
        <v>233</v>
      </c>
      <c r="J40" t="s">
        <v>249</v>
      </c>
      <c r="K40" t="s">
        <v>376</v>
      </c>
      <c r="L40" t="s">
        <v>376</v>
      </c>
      <c r="M40" t="s">
        <v>2991</v>
      </c>
      <c r="N40" t="s">
        <v>2893</v>
      </c>
      <c r="O40" t="s">
        <v>2893</v>
      </c>
      <c r="P40" t="s">
        <v>3004</v>
      </c>
      <c r="Q40" t="s">
        <v>1546</v>
      </c>
      <c r="R40" s="31">
        <v>287000</v>
      </c>
      <c r="T40" s="2" t="s">
        <v>2910</v>
      </c>
    </row>
    <row r="41" spans="1:20" hidden="1" x14ac:dyDescent="0.25">
      <c r="A41">
        <v>2023</v>
      </c>
      <c r="B41" t="s">
        <v>772</v>
      </c>
      <c r="C41" t="s">
        <v>2899</v>
      </c>
      <c r="D41" t="s">
        <v>14</v>
      </c>
      <c r="E41" t="s">
        <v>18</v>
      </c>
      <c r="F41" t="s">
        <v>1127</v>
      </c>
      <c r="H41" t="s">
        <v>2016</v>
      </c>
      <c r="I41" t="s">
        <v>11</v>
      </c>
      <c r="J41" t="s">
        <v>19</v>
      </c>
      <c r="K41" t="s">
        <v>16</v>
      </c>
      <c r="L41" t="s">
        <v>16</v>
      </c>
      <c r="M41" t="s">
        <v>2989</v>
      </c>
      <c r="N41" t="s">
        <v>1545</v>
      </c>
      <c r="O41" t="s">
        <v>2894</v>
      </c>
      <c r="P41" t="s">
        <v>3004</v>
      </c>
      <c r="Q41" t="s">
        <v>1546</v>
      </c>
      <c r="R41" s="31">
        <v>25434853.502416398</v>
      </c>
      <c r="T41" t="s">
        <v>1547</v>
      </c>
    </row>
    <row r="42" spans="1:20" hidden="1" x14ac:dyDescent="0.25">
      <c r="A42">
        <v>2023</v>
      </c>
      <c r="B42" t="s">
        <v>772</v>
      </c>
      <c r="C42" t="s">
        <v>2899</v>
      </c>
      <c r="D42" t="s">
        <v>14</v>
      </c>
      <c r="E42" t="s">
        <v>18</v>
      </c>
      <c r="F42" t="s">
        <v>1127</v>
      </c>
      <c r="H42" t="s">
        <v>2016</v>
      </c>
      <c r="I42" t="s">
        <v>11</v>
      </c>
      <c r="J42" t="s">
        <v>19</v>
      </c>
      <c r="K42" t="s">
        <v>16</v>
      </c>
      <c r="L42" t="s">
        <v>16</v>
      </c>
      <c r="M42" t="s">
        <v>2990</v>
      </c>
      <c r="N42" t="s">
        <v>3187</v>
      </c>
      <c r="O42" t="s">
        <v>2894</v>
      </c>
      <c r="P42" t="s">
        <v>3004</v>
      </c>
      <c r="Q42" t="s">
        <v>1548</v>
      </c>
      <c r="R42" s="31">
        <v>677446</v>
      </c>
      <c r="T42" t="s">
        <v>1547</v>
      </c>
    </row>
    <row r="43" spans="1:20" hidden="1" x14ac:dyDescent="0.25">
      <c r="A43">
        <v>2023</v>
      </c>
      <c r="B43" t="s">
        <v>772</v>
      </c>
      <c r="C43" t="s">
        <v>2899</v>
      </c>
      <c r="D43" t="s">
        <v>14</v>
      </c>
      <c r="E43" t="s">
        <v>18</v>
      </c>
      <c r="F43" t="s">
        <v>1127</v>
      </c>
      <c r="H43" t="s">
        <v>2016</v>
      </c>
      <c r="I43" t="s">
        <v>11</v>
      </c>
      <c r="J43" t="s">
        <v>19</v>
      </c>
      <c r="K43" t="s">
        <v>16</v>
      </c>
      <c r="L43" t="s">
        <v>1549</v>
      </c>
      <c r="M43" t="s">
        <v>2990</v>
      </c>
      <c r="N43" t="s">
        <v>3187</v>
      </c>
      <c r="O43" t="s">
        <v>2894</v>
      </c>
      <c r="P43" t="s">
        <v>3004</v>
      </c>
      <c r="Q43" t="s">
        <v>1550</v>
      </c>
      <c r="R43" s="31">
        <v>79</v>
      </c>
      <c r="T43" t="s">
        <v>1547</v>
      </c>
    </row>
    <row r="44" spans="1:20" hidden="1" x14ac:dyDescent="0.25">
      <c r="A44">
        <v>2023</v>
      </c>
      <c r="B44" t="s">
        <v>772</v>
      </c>
      <c r="C44" t="s">
        <v>2899</v>
      </c>
      <c r="D44" t="s">
        <v>718</v>
      </c>
      <c r="E44" t="s">
        <v>152</v>
      </c>
      <c r="F44" t="s">
        <v>1354</v>
      </c>
      <c r="H44" t="s">
        <v>2149</v>
      </c>
      <c r="I44" t="s">
        <v>11</v>
      </c>
      <c r="J44" t="s">
        <v>148</v>
      </c>
      <c r="K44" t="s">
        <v>147</v>
      </c>
      <c r="L44" t="s">
        <v>147</v>
      </c>
      <c r="M44" t="s">
        <v>2990</v>
      </c>
      <c r="N44" t="s">
        <v>2282</v>
      </c>
      <c r="O44" t="s">
        <v>2894</v>
      </c>
      <c r="P44" t="s">
        <v>3004</v>
      </c>
      <c r="Q44" t="s">
        <v>2009</v>
      </c>
      <c r="R44" s="31">
        <v>3339.7620299999999</v>
      </c>
      <c r="T44" t="s">
        <v>2281</v>
      </c>
    </row>
    <row r="45" spans="1:20" hidden="1" x14ac:dyDescent="0.25">
      <c r="A45">
        <v>2023</v>
      </c>
      <c r="B45" t="s">
        <v>772</v>
      </c>
      <c r="C45" t="s">
        <v>2899</v>
      </c>
      <c r="D45" t="s">
        <v>718</v>
      </c>
      <c r="E45" t="s">
        <v>152</v>
      </c>
      <c r="F45" t="s">
        <v>1354</v>
      </c>
      <c r="H45" t="s">
        <v>2149</v>
      </c>
      <c r="I45" t="s">
        <v>11</v>
      </c>
      <c r="J45" t="s">
        <v>148</v>
      </c>
      <c r="K45" t="s">
        <v>147</v>
      </c>
      <c r="L45" t="s">
        <v>147</v>
      </c>
      <c r="M45" t="s">
        <v>2989</v>
      </c>
      <c r="N45" t="s">
        <v>1545</v>
      </c>
      <c r="O45" t="s">
        <v>2894</v>
      </c>
      <c r="P45" t="s">
        <v>3004</v>
      </c>
      <c r="Q45" t="s">
        <v>2009</v>
      </c>
      <c r="R45" s="31">
        <v>1687.71</v>
      </c>
      <c r="T45" t="s">
        <v>2281</v>
      </c>
    </row>
    <row r="46" spans="1:20" hidden="1" x14ac:dyDescent="0.25">
      <c r="A46">
        <v>2023</v>
      </c>
      <c r="B46" t="s">
        <v>1537</v>
      </c>
      <c r="C46" t="s">
        <v>2899</v>
      </c>
      <c r="D46" t="s">
        <v>167</v>
      </c>
      <c r="E46" t="s">
        <v>2914</v>
      </c>
      <c r="G46" t="s">
        <v>2934</v>
      </c>
      <c r="H46" t="s">
        <v>2183</v>
      </c>
      <c r="I46" t="s">
        <v>11</v>
      </c>
      <c r="J46" t="s">
        <v>34</v>
      </c>
      <c r="K46" t="s">
        <v>157</v>
      </c>
      <c r="L46" t="s">
        <v>157</v>
      </c>
      <c r="M46" t="s">
        <v>2988</v>
      </c>
      <c r="N46" t="s">
        <v>1594</v>
      </c>
      <c r="O46" t="s">
        <v>2893</v>
      </c>
      <c r="P46" t="s">
        <v>3004</v>
      </c>
      <c r="Q46" t="s">
        <v>1641</v>
      </c>
      <c r="R46" s="31">
        <v>4.2</v>
      </c>
      <c r="T46" s="2" t="s">
        <v>2915</v>
      </c>
    </row>
    <row r="47" spans="1:20" hidden="1" x14ac:dyDescent="0.25">
      <c r="A47">
        <v>2023</v>
      </c>
      <c r="B47" t="s">
        <v>772</v>
      </c>
      <c r="C47" t="s">
        <v>2899</v>
      </c>
      <c r="D47" t="s">
        <v>730</v>
      </c>
      <c r="E47" t="s">
        <v>59</v>
      </c>
      <c r="F47" t="s">
        <v>1439</v>
      </c>
      <c r="H47" t="s">
        <v>2202</v>
      </c>
      <c r="I47" t="s">
        <v>11</v>
      </c>
      <c r="J47" t="s">
        <v>13</v>
      </c>
      <c r="K47" t="s">
        <v>16</v>
      </c>
      <c r="L47" t="s">
        <v>16</v>
      </c>
      <c r="M47" t="s">
        <v>2990</v>
      </c>
      <c r="N47" t="s">
        <v>3187</v>
      </c>
      <c r="O47" t="s">
        <v>2894</v>
      </c>
      <c r="P47" t="s">
        <v>3004</v>
      </c>
      <c r="Q47" t="s">
        <v>1732</v>
      </c>
      <c r="R47" s="31">
        <v>87467</v>
      </c>
      <c r="S47" s="50" t="s">
        <v>3144</v>
      </c>
      <c r="T47" t="s">
        <v>1729</v>
      </c>
    </row>
    <row r="48" spans="1:20" hidden="1" x14ac:dyDescent="0.25">
      <c r="A48">
        <v>2023</v>
      </c>
      <c r="B48" t="s">
        <v>772</v>
      </c>
      <c r="C48" t="s">
        <v>2899</v>
      </c>
      <c r="D48" t="s">
        <v>730</v>
      </c>
      <c r="E48" t="s">
        <v>59</v>
      </c>
      <c r="F48" t="s">
        <v>1439</v>
      </c>
      <c r="H48" t="s">
        <v>2202</v>
      </c>
      <c r="I48" t="s">
        <v>11</v>
      </c>
      <c r="J48" t="s">
        <v>13</v>
      </c>
      <c r="K48" t="s">
        <v>16</v>
      </c>
      <c r="L48" t="s">
        <v>16</v>
      </c>
      <c r="M48" t="s">
        <v>2989</v>
      </c>
      <c r="N48" t="s">
        <v>1730</v>
      </c>
      <c r="O48" t="s">
        <v>2894</v>
      </c>
      <c r="P48" t="s">
        <v>3004</v>
      </c>
      <c r="Q48" t="s">
        <v>1546</v>
      </c>
      <c r="R48" s="31">
        <v>222627</v>
      </c>
      <c r="T48" t="s">
        <v>1729</v>
      </c>
    </row>
    <row r="49" spans="1:20" hidden="1" x14ac:dyDescent="0.25">
      <c r="A49">
        <v>2023</v>
      </c>
      <c r="B49" t="s">
        <v>772</v>
      </c>
      <c r="C49" t="s">
        <v>2899</v>
      </c>
      <c r="D49" t="s">
        <v>145</v>
      </c>
      <c r="E49" t="s">
        <v>146</v>
      </c>
      <c r="F49" t="s">
        <v>1172</v>
      </c>
      <c r="H49" t="s">
        <v>2039</v>
      </c>
      <c r="I49" t="s">
        <v>11</v>
      </c>
      <c r="J49" t="s">
        <v>148</v>
      </c>
      <c r="K49" t="s">
        <v>147</v>
      </c>
      <c r="L49" t="s">
        <v>147</v>
      </c>
      <c r="M49" t="s">
        <v>2990</v>
      </c>
      <c r="N49" t="s">
        <v>1801</v>
      </c>
      <c r="O49" t="s">
        <v>2894</v>
      </c>
      <c r="P49" t="s">
        <v>3004</v>
      </c>
      <c r="Q49" t="s">
        <v>1804</v>
      </c>
      <c r="R49" s="31">
        <v>5.0999999999999996</v>
      </c>
      <c r="T49" t="s">
        <v>1808</v>
      </c>
    </row>
    <row r="50" spans="1:20" hidden="1" x14ac:dyDescent="0.25">
      <c r="A50">
        <v>2023</v>
      </c>
      <c r="B50" t="s">
        <v>772</v>
      </c>
      <c r="C50" t="s">
        <v>2899</v>
      </c>
      <c r="D50" t="s">
        <v>145</v>
      </c>
      <c r="E50" t="s">
        <v>146</v>
      </c>
      <c r="F50" t="s">
        <v>1172</v>
      </c>
      <c r="H50" t="s">
        <v>2039</v>
      </c>
      <c r="I50" t="s">
        <v>11</v>
      </c>
      <c r="J50" t="s">
        <v>148</v>
      </c>
      <c r="K50" t="s">
        <v>147</v>
      </c>
      <c r="L50" t="s">
        <v>147</v>
      </c>
      <c r="M50" t="s">
        <v>2989</v>
      </c>
      <c r="N50" t="s">
        <v>1545</v>
      </c>
      <c r="O50" t="s">
        <v>2894</v>
      </c>
      <c r="P50" t="s">
        <v>3004</v>
      </c>
      <c r="Q50" t="s">
        <v>1803</v>
      </c>
      <c r="R50" s="31">
        <v>4.2</v>
      </c>
      <c r="T50" t="s">
        <v>1807</v>
      </c>
    </row>
    <row r="51" spans="1:20" hidden="1" x14ac:dyDescent="0.25">
      <c r="A51">
        <v>2023</v>
      </c>
      <c r="B51" t="s">
        <v>772</v>
      </c>
      <c r="C51" t="s">
        <v>2899</v>
      </c>
      <c r="D51" t="s">
        <v>145</v>
      </c>
      <c r="E51" t="s">
        <v>146</v>
      </c>
      <c r="F51" t="s">
        <v>1172</v>
      </c>
      <c r="H51" t="s">
        <v>2039</v>
      </c>
      <c r="I51" t="s">
        <v>11</v>
      </c>
      <c r="J51" t="s">
        <v>148</v>
      </c>
      <c r="K51" t="s">
        <v>147</v>
      </c>
      <c r="L51" t="s">
        <v>147</v>
      </c>
      <c r="M51" t="s">
        <v>2988</v>
      </c>
      <c r="N51" t="s">
        <v>1594</v>
      </c>
      <c r="O51" t="s">
        <v>2894</v>
      </c>
      <c r="P51" t="s">
        <v>3004</v>
      </c>
      <c r="Q51" t="s">
        <v>1802</v>
      </c>
      <c r="R51" s="31">
        <v>4.5999999999999996</v>
      </c>
      <c r="T51" t="s">
        <v>1806</v>
      </c>
    </row>
    <row r="52" spans="1:20" hidden="1" x14ac:dyDescent="0.25">
      <c r="A52">
        <v>2023</v>
      </c>
      <c r="B52" t="s">
        <v>772</v>
      </c>
      <c r="C52" t="s">
        <v>2899</v>
      </c>
      <c r="D52" t="s">
        <v>39</v>
      </c>
      <c r="E52" t="s">
        <v>41</v>
      </c>
      <c r="F52" t="s">
        <v>1316</v>
      </c>
      <c r="H52" t="s">
        <v>2133</v>
      </c>
      <c r="I52" t="s">
        <v>11</v>
      </c>
      <c r="J52" t="s">
        <v>13</v>
      </c>
      <c r="K52" t="s">
        <v>16</v>
      </c>
      <c r="L52" t="s">
        <v>16</v>
      </c>
      <c r="M52" t="s">
        <v>2990</v>
      </c>
      <c r="N52" t="s">
        <v>3187</v>
      </c>
      <c r="O52" t="s">
        <v>2894</v>
      </c>
      <c r="P52" t="s">
        <v>3004</v>
      </c>
      <c r="Q52" t="s">
        <v>1550</v>
      </c>
      <c r="R52" s="31">
        <v>232</v>
      </c>
      <c r="T52" t="s">
        <v>1593</v>
      </c>
    </row>
    <row r="53" spans="1:20" hidden="1" x14ac:dyDescent="0.25">
      <c r="A53">
        <v>2023</v>
      </c>
      <c r="B53" t="s">
        <v>772</v>
      </c>
      <c r="C53" t="s">
        <v>2899</v>
      </c>
      <c r="D53" t="s">
        <v>39</v>
      </c>
      <c r="E53" t="s">
        <v>41</v>
      </c>
      <c r="F53" t="s">
        <v>1316</v>
      </c>
      <c r="H53" t="s">
        <v>2133</v>
      </c>
      <c r="I53" t="s">
        <v>11</v>
      </c>
      <c r="J53" t="s">
        <v>13</v>
      </c>
      <c r="K53" t="s">
        <v>16</v>
      </c>
      <c r="L53" t="s">
        <v>16</v>
      </c>
      <c r="M53" t="s">
        <v>2988</v>
      </c>
      <c r="N53" t="s">
        <v>1594</v>
      </c>
      <c r="O53" t="s">
        <v>2894</v>
      </c>
      <c r="P53" t="s">
        <v>3004</v>
      </c>
      <c r="Q53" t="s">
        <v>1566</v>
      </c>
      <c r="R53" s="31">
        <v>1656</v>
      </c>
      <c r="T53" t="s">
        <v>1593</v>
      </c>
    </row>
    <row r="54" spans="1:20" hidden="1" x14ac:dyDescent="0.25">
      <c r="A54">
        <v>2023</v>
      </c>
      <c r="B54" t="s">
        <v>772</v>
      </c>
      <c r="C54" t="s">
        <v>2899</v>
      </c>
      <c r="D54" t="s">
        <v>39</v>
      </c>
      <c r="E54" t="s">
        <v>41</v>
      </c>
      <c r="F54" t="s">
        <v>1316</v>
      </c>
      <c r="H54" t="s">
        <v>2133</v>
      </c>
      <c r="I54" t="s">
        <v>11</v>
      </c>
      <c r="J54" t="s">
        <v>13</v>
      </c>
      <c r="K54" t="s">
        <v>16</v>
      </c>
      <c r="L54" t="s">
        <v>16</v>
      </c>
      <c r="M54" t="s">
        <v>2989</v>
      </c>
      <c r="N54" t="s">
        <v>1545</v>
      </c>
      <c r="O54" t="s">
        <v>2894</v>
      </c>
      <c r="P54" t="s">
        <v>3004</v>
      </c>
      <c r="Q54" t="s">
        <v>1566</v>
      </c>
      <c r="R54" s="31">
        <v>1661</v>
      </c>
      <c r="T54" t="s">
        <v>1593</v>
      </c>
    </row>
    <row r="55" spans="1:20" hidden="1" x14ac:dyDescent="0.25">
      <c r="A55">
        <v>2023</v>
      </c>
      <c r="B55" t="s">
        <v>772</v>
      </c>
      <c r="C55" t="s">
        <v>2899</v>
      </c>
      <c r="D55" t="s">
        <v>39</v>
      </c>
      <c r="E55" t="s">
        <v>41</v>
      </c>
      <c r="F55" t="s">
        <v>1316</v>
      </c>
      <c r="H55" t="s">
        <v>2133</v>
      </c>
      <c r="I55" t="s">
        <v>11</v>
      </c>
      <c r="J55" t="s">
        <v>13</v>
      </c>
      <c r="K55" t="s">
        <v>16</v>
      </c>
      <c r="L55" t="s">
        <v>1549</v>
      </c>
      <c r="M55" t="s">
        <v>2990</v>
      </c>
      <c r="N55" t="s">
        <v>3187</v>
      </c>
      <c r="O55" t="s">
        <v>2894</v>
      </c>
      <c r="P55" t="s">
        <v>3004</v>
      </c>
      <c r="Q55" t="s">
        <v>1548</v>
      </c>
      <c r="R55" s="31">
        <v>11835</v>
      </c>
      <c r="T55" s="2" t="s">
        <v>3191</v>
      </c>
    </row>
    <row r="56" spans="1:20" hidden="1" x14ac:dyDescent="0.25">
      <c r="A56">
        <v>2024</v>
      </c>
      <c r="B56" t="s">
        <v>772</v>
      </c>
      <c r="C56" t="s">
        <v>2899</v>
      </c>
      <c r="D56" t="s">
        <v>855</v>
      </c>
      <c r="E56" t="s">
        <v>33</v>
      </c>
      <c r="F56" t="s">
        <v>1257</v>
      </c>
      <c r="H56" t="s">
        <v>2091</v>
      </c>
      <c r="I56" t="s">
        <v>11</v>
      </c>
      <c r="J56" t="s">
        <v>13</v>
      </c>
      <c r="K56" t="s">
        <v>64</v>
      </c>
      <c r="L56" t="s">
        <v>16</v>
      </c>
      <c r="M56" t="s">
        <v>2988</v>
      </c>
      <c r="N56" t="s">
        <v>1594</v>
      </c>
      <c r="O56" t="s">
        <v>2894</v>
      </c>
      <c r="P56" t="s">
        <v>3004</v>
      </c>
      <c r="Q56" t="s">
        <v>1546</v>
      </c>
      <c r="R56" s="31">
        <v>34017</v>
      </c>
      <c r="T56" t="s">
        <v>2919</v>
      </c>
    </row>
    <row r="57" spans="1:20" hidden="1" x14ac:dyDescent="0.25">
      <c r="A57">
        <v>2024</v>
      </c>
      <c r="B57" t="s">
        <v>772</v>
      </c>
      <c r="C57" t="s">
        <v>2899</v>
      </c>
      <c r="D57" t="s">
        <v>855</v>
      </c>
      <c r="E57" t="s">
        <v>33</v>
      </c>
      <c r="F57" t="s">
        <v>1257</v>
      </c>
      <c r="H57" t="s">
        <v>2091</v>
      </c>
      <c r="I57" t="s">
        <v>11</v>
      </c>
      <c r="J57" t="s">
        <v>13</v>
      </c>
      <c r="K57" t="s">
        <v>64</v>
      </c>
      <c r="L57" t="s">
        <v>16</v>
      </c>
      <c r="M57" t="s">
        <v>2989</v>
      </c>
      <c r="N57" t="s">
        <v>2918</v>
      </c>
      <c r="O57" t="s">
        <v>2894</v>
      </c>
      <c r="P57" t="s">
        <v>3004</v>
      </c>
      <c r="Q57" t="s">
        <v>1546</v>
      </c>
      <c r="R57" s="31">
        <v>33245</v>
      </c>
      <c r="T57" t="s">
        <v>2919</v>
      </c>
    </row>
    <row r="58" spans="1:20" hidden="1" x14ac:dyDescent="0.25">
      <c r="A58">
        <v>2024</v>
      </c>
      <c r="B58" t="s">
        <v>772</v>
      </c>
      <c r="C58" t="s">
        <v>2899</v>
      </c>
      <c r="D58" t="s">
        <v>855</v>
      </c>
      <c r="E58" t="s">
        <v>33</v>
      </c>
      <c r="F58" t="s">
        <v>1257</v>
      </c>
      <c r="H58" t="s">
        <v>2091</v>
      </c>
      <c r="I58" t="s">
        <v>11</v>
      </c>
      <c r="J58" t="s">
        <v>13</v>
      </c>
      <c r="K58" t="s">
        <v>64</v>
      </c>
      <c r="L58" t="s">
        <v>16</v>
      </c>
      <c r="M58" t="s">
        <v>2990</v>
      </c>
      <c r="N58" t="s">
        <v>3187</v>
      </c>
      <c r="O58" t="s">
        <v>2894</v>
      </c>
      <c r="P58" t="s">
        <v>3004</v>
      </c>
      <c r="Q58" t="s">
        <v>1548</v>
      </c>
      <c r="R58" s="31">
        <v>3916</v>
      </c>
      <c r="S58" s="50" t="s">
        <v>3002</v>
      </c>
      <c r="T58" s="2" t="s">
        <v>2919</v>
      </c>
    </row>
    <row r="59" spans="1:20" hidden="1" x14ac:dyDescent="0.25">
      <c r="A59">
        <v>2021</v>
      </c>
      <c r="B59" t="s">
        <v>772</v>
      </c>
      <c r="C59" t="s">
        <v>2899</v>
      </c>
      <c r="D59" t="s">
        <v>716</v>
      </c>
      <c r="E59" t="s">
        <v>298</v>
      </c>
      <c r="F59" t="s">
        <v>1216</v>
      </c>
      <c r="H59" t="s">
        <v>2069</v>
      </c>
      <c r="I59" t="s">
        <v>233</v>
      </c>
      <c r="J59" t="s">
        <v>255</v>
      </c>
      <c r="K59" t="s">
        <v>244</v>
      </c>
      <c r="L59" t="s">
        <v>244</v>
      </c>
      <c r="M59" t="s">
        <v>2991</v>
      </c>
      <c r="N59" t="s">
        <v>2286</v>
      </c>
      <c r="O59" t="s">
        <v>2894</v>
      </c>
      <c r="P59" t="s">
        <v>3004</v>
      </c>
      <c r="Q59" t="s">
        <v>1566</v>
      </c>
      <c r="R59" s="31">
        <v>828</v>
      </c>
      <c r="T59" t="s">
        <v>2283</v>
      </c>
    </row>
    <row r="60" spans="1:20" hidden="1" x14ac:dyDescent="0.25">
      <c r="A60">
        <v>2021</v>
      </c>
      <c r="B60" t="s">
        <v>772</v>
      </c>
      <c r="C60" t="s">
        <v>2899</v>
      </c>
      <c r="D60" t="s">
        <v>716</v>
      </c>
      <c r="E60" t="s">
        <v>298</v>
      </c>
      <c r="F60" t="s">
        <v>1216</v>
      </c>
      <c r="H60" t="s">
        <v>2069</v>
      </c>
      <c r="I60" t="s">
        <v>233</v>
      </c>
      <c r="J60" t="s">
        <v>255</v>
      </c>
      <c r="K60" t="s">
        <v>244</v>
      </c>
      <c r="L60" t="s">
        <v>244</v>
      </c>
      <c r="M60" t="s">
        <v>2991</v>
      </c>
      <c r="N60" t="s">
        <v>2287</v>
      </c>
      <c r="O60" t="s">
        <v>2893</v>
      </c>
      <c r="P60" t="s">
        <v>3004</v>
      </c>
      <c r="Q60" t="s">
        <v>1871</v>
      </c>
      <c r="R60" s="31">
        <v>1200</v>
      </c>
      <c r="T60" t="s">
        <v>2283</v>
      </c>
    </row>
    <row r="61" spans="1:20" hidden="1" x14ac:dyDescent="0.25">
      <c r="A61">
        <v>2023</v>
      </c>
      <c r="B61" t="s">
        <v>772</v>
      </c>
      <c r="C61" t="s">
        <v>2899</v>
      </c>
      <c r="D61" t="s">
        <v>155</v>
      </c>
      <c r="E61" t="s">
        <v>156</v>
      </c>
      <c r="F61" t="s">
        <v>1153</v>
      </c>
      <c r="G61" t="s">
        <v>2906</v>
      </c>
      <c r="H61" t="s">
        <v>2030</v>
      </c>
      <c r="I61" t="s">
        <v>11</v>
      </c>
      <c r="J61" t="s">
        <v>34</v>
      </c>
      <c r="K61" t="s">
        <v>157</v>
      </c>
      <c r="L61" t="s">
        <v>157</v>
      </c>
      <c r="M61" t="s">
        <v>2988</v>
      </c>
      <c r="N61" t="s">
        <v>1594</v>
      </c>
      <c r="O61" t="s">
        <v>2894</v>
      </c>
      <c r="P61" t="s">
        <v>3004</v>
      </c>
      <c r="Q61" t="s">
        <v>1566</v>
      </c>
      <c r="R61" s="31">
        <v>5901</v>
      </c>
      <c r="S61" t="s">
        <v>2896</v>
      </c>
      <c r="T61" t="s">
        <v>3153</v>
      </c>
    </row>
    <row r="62" spans="1:20" hidden="1" x14ac:dyDescent="0.25">
      <c r="A62">
        <v>2023</v>
      </c>
      <c r="B62" t="s">
        <v>772</v>
      </c>
      <c r="C62" t="s">
        <v>2899</v>
      </c>
      <c r="D62" t="s">
        <v>872</v>
      </c>
      <c r="E62" t="s">
        <v>38</v>
      </c>
      <c r="F62" t="s">
        <v>1304</v>
      </c>
      <c r="H62" t="s">
        <v>2125</v>
      </c>
      <c r="I62" t="s">
        <v>11</v>
      </c>
      <c r="J62" t="s">
        <v>23</v>
      </c>
      <c r="K62" t="s">
        <v>16</v>
      </c>
      <c r="L62" t="s">
        <v>16</v>
      </c>
      <c r="M62" t="s">
        <v>2988</v>
      </c>
      <c r="N62" t="s">
        <v>1594</v>
      </c>
      <c r="O62" t="s">
        <v>2894</v>
      </c>
      <c r="P62" t="s">
        <v>3004</v>
      </c>
      <c r="Q62" t="s">
        <v>1566</v>
      </c>
      <c r="R62" s="31">
        <v>391</v>
      </c>
      <c r="S62" t="s">
        <v>3213</v>
      </c>
      <c r="T62" t="s">
        <v>2336</v>
      </c>
    </row>
    <row r="63" spans="1:20" hidden="1" x14ac:dyDescent="0.25">
      <c r="A63">
        <v>2023</v>
      </c>
      <c r="B63" t="s">
        <v>772</v>
      </c>
      <c r="C63" t="s">
        <v>2899</v>
      </c>
      <c r="D63" t="s">
        <v>872</v>
      </c>
      <c r="E63" t="s">
        <v>38</v>
      </c>
      <c r="F63" t="s">
        <v>1304</v>
      </c>
      <c r="H63" t="s">
        <v>2125</v>
      </c>
      <c r="I63" t="s">
        <v>11</v>
      </c>
      <c r="J63" t="s">
        <v>23</v>
      </c>
      <c r="K63" t="s">
        <v>16</v>
      </c>
      <c r="L63" t="s">
        <v>16</v>
      </c>
      <c r="M63" t="s">
        <v>2989</v>
      </c>
      <c r="N63" t="s">
        <v>1545</v>
      </c>
      <c r="O63" t="s">
        <v>2894</v>
      </c>
      <c r="P63" t="s">
        <v>3004</v>
      </c>
      <c r="Q63" t="s">
        <v>1566</v>
      </c>
      <c r="R63" s="31">
        <v>457</v>
      </c>
      <c r="S63" t="s">
        <v>3213</v>
      </c>
      <c r="T63" t="s">
        <v>2336</v>
      </c>
    </row>
    <row r="64" spans="1:20" hidden="1" x14ac:dyDescent="0.25">
      <c r="A64">
        <v>2023</v>
      </c>
      <c r="B64" t="s">
        <v>772</v>
      </c>
      <c r="C64" t="s">
        <v>2899</v>
      </c>
      <c r="D64" t="s">
        <v>872</v>
      </c>
      <c r="E64" t="s">
        <v>38</v>
      </c>
      <c r="F64" t="s">
        <v>1304</v>
      </c>
      <c r="H64" t="s">
        <v>2125</v>
      </c>
      <c r="I64" t="s">
        <v>11</v>
      </c>
      <c r="J64" t="s">
        <v>23</v>
      </c>
      <c r="K64" t="s">
        <v>16</v>
      </c>
      <c r="L64" t="s">
        <v>16</v>
      </c>
      <c r="M64" t="s">
        <v>2990</v>
      </c>
      <c r="N64" t="s">
        <v>3187</v>
      </c>
      <c r="O64" t="s">
        <v>2894</v>
      </c>
      <c r="P64" t="s">
        <v>3004</v>
      </c>
      <c r="Q64" t="s">
        <v>1550</v>
      </c>
      <c r="R64" s="31">
        <v>44.4</v>
      </c>
      <c r="S64" t="s">
        <v>3213</v>
      </c>
      <c r="T64" t="s">
        <v>2336</v>
      </c>
    </row>
    <row r="65" spans="1:20" hidden="1" x14ac:dyDescent="0.25">
      <c r="A65">
        <v>2023</v>
      </c>
      <c r="B65" t="s">
        <v>772</v>
      </c>
      <c r="C65" t="s">
        <v>2899</v>
      </c>
      <c r="D65" t="s">
        <v>872</v>
      </c>
      <c r="E65" t="s">
        <v>38</v>
      </c>
      <c r="F65" t="s">
        <v>1304</v>
      </c>
      <c r="H65" t="s">
        <v>2125</v>
      </c>
      <c r="I65" t="s">
        <v>11</v>
      </c>
      <c r="J65" t="s">
        <v>23</v>
      </c>
      <c r="K65" t="s">
        <v>16</v>
      </c>
      <c r="L65" t="s">
        <v>1549</v>
      </c>
      <c r="M65" t="s">
        <v>2990</v>
      </c>
      <c r="N65" t="s">
        <v>3187</v>
      </c>
      <c r="O65" t="s">
        <v>2894</v>
      </c>
      <c r="P65" t="s">
        <v>3004</v>
      </c>
      <c r="Q65" t="s">
        <v>1550</v>
      </c>
      <c r="R65" s="31">
        <v>1.4</v>
      </c>
      <c r="S65" t="s">
        <v>3213</v>
      </c>
      <c r="T65" t="s">
        <v>2336</v>
      </c>
    </row>
    <row r="66" spans="1:20" hidden="1" x14ac:dyDescent="0.25">
      <c r="A66">
        <v>2023</v>
      </c>
      <c r="B66" t="s">
        <v>772</v>
      </c>
      <c r="C66" t="s">
        <v>2899</v>
      </c>
      <c r="D66" t="s">
        <v>719</v>
      </c>
      <c r="E66" t="s">
        <v>194</v>
      </c>
      <c r="F66" t="s">
        <v>1419</v>
      </c>
      <c r="G66" t="s">
        <v>2193</v>
      </c>
      <c r="H66" t="s">
        <v>2191</v>
      </c>
      <c r="I66" t="s">
        <v>11</v>
      </c>
      <c r="J66" t="s">
        <v>44</v>
      </c>
      <c r="K66" t="s">
        <v>189</v>
      </c>
      <c r="L66" t="s">
        <v>125</v>
      </c>
      <c r="M66" t="s">
        <v>2990</v>
      </c>
      <c r="N66" t="s">
        <v>1774</v>
      </c>
      <c r="O66" t="s">
        <v>2894</v>
      </c>
      <c r="P66" t="s">
        <v>3004</v>
      </c>
      <c r="Q66" s="31" t="s">
        <v>1546</v>
      </c>
      <c r="R66" s="31">
        <v>7453</v>
      </c>
      <c r="S66" t="s">
        <v>3203</v>
      </c>
    </row>
    <row r="67" spans="1:20" hidden="1" x14ac:dyDescent="0.25">
      <c r="A67">
        <v>2023</v>
      </c>
      <c r="B67" t="s">
        <v>772</v>
      </c>
      <c r="C67" t="s">
        <v>2899</v>
      </c>
      <c r="D67" t="s">
        <v>719</v>
      </c>
      <c r="E67" t="s">
        <v>194</v>
      </c>
      <c r="F67" t="s">
        <v>1419</v>
      </c>
      <c r="G67" t="s">
        <v>2193</v>
      </c>
      <c r="H67" t="s">
        <v>2191</v>
      </c>
      <c r="I67" t="s">
        <v>11</v>
      </c>
      <c r="J67" t="s">
        <v>44</v>
      </c>
      <c r="K67" t="s">
        <v>189</v>
      </c>
      <c r="L67" t="s">
        <v>557</v>
      </c>
      <c r="M67" t="s">
        <v>2990</v>
      </c>
      <c r="N67" t="s">
        <v>1774</v>
      </c>
      <c r="O67" t="s">
        <v>2894</v>
      </c>
      <c r="P67" t="s">
        <v>3004</v>
      </c>
      <c r="Q67" s="31" t="s">
        <v>1546</v>
      </c>
      <c r="R67" s="31">
        <v>7946</v>
      </c>
      <c r="S67" t="s">
        <v>3203</v>
      </c>
    </row>
    <row r="68" spans="1:20" hidden="1" x14ac:dyDescent="0.25">
      <c r="A68">
        <v>2023</v>
      </c>
      <c r="B68" t="s">
        <v>772</v>
      </c>
      <c r="C68" t="s">
        <v>2899</v>
      </c>
      <c r="D68" t="s">
        <v>719</v>
      </c>
      <c r="E68" t="s">
        <v>194</v>
      </c>
      <c r="F68" t="s">
        <v>1419</v>
      </c>
      <c r="G68" t="s">
        <v>2193</v>
      </c>
      <c r="H68" t="s">
        <v>2191</v>
      </c>
      <c r="I68" t="s">
        <v>11</v>
      </c>
      <c r="J68" t="s">
        <v>44</v>
      </c>
      <c r="K68" t="s">
        <v>189</v>
      </c>
      <c r="L68" t="s">
        <v>1772</v>
      </c>
      <c r="M68" t="s">
        <v>2989</v>
      </c>
      <c r="N68" t="s">
        <v>1545</v>
      </c>
      <c r="O68" t="s">
        <v>2894</v>
      </c>
      <c r="P68" t="s">
        <v>3004</v>
      </c>
      <c r="Q68" s="31" t="s">
        <v>1546</v>
      </c>
      <c r="R68" s="31">
        <v>616000</v>
      </c>
      <c r="S68" t="s">
        <v>3203</v>
      </c>
    </row>
    <row r="69" spans="1:20" hidden="1" x14ac:dyDescent="0.25">
      <c r="A69">
        <v>2023</v>
      </c>
      <c r="B69" t="s">
        <v>772</v>
      </c>
      <c r="C69" t="s">
        <v>2899</v>
      </c>
      <c r="D69" t="s">
        <v>719</v>
      </c>
      <c r="E69" t="s">
        <v>186</v>
      </c>
      <c r="F69" t="s">
        <v>1424</v>
      </c>
      <c r="G69" t="s">
        <v>2193</v>
      </c>
      <c r="H69" t="s">
        <v>2191</v>
      </c>
      <c r="I69" t="s">
        <v>11</v>
      </c>
      <c r="J69" t="s">
        <v>44</v>
      </c>
      <c r="K69" t="s">
        <v>189</v>
      </c>
      <c r="L69" t="s">
        <v>125</v>
      </c>
      <c r="M69" t="s">
        <v>2990</v>
      </c>
      <c r="N69" t="s">
        <v>1774</v>
      </c>
      <c r="O69" t="s">
        <v>2894</v>
      </c>
      <c r="P69" t="s">
        <v>3004</v>
      </c>
      <c r="Q69" s="31" t="s">
        <v>1546</v>
      </c>
      <c r="R69" s="31">
        <v>7783</v>
      </c>
      <c r="S69" t="s">
        <v>3202</v>
      </c>
    </row>
    <row r="70" spans="1:20" hidden="1" x14ac:dyDescent="0.25">
      <c r="A70">
        <v>2023</v>
      </c>
      <c r="B70" t="s">
        <v>772</v>
      </c>
      <c r="C70" t="s">
        <v>2899</v>
      </c>
      <c r="D70" t="s">
        <v>135</v>
      </c>
      <c r="E70" t="s">
        <v>136</v>
      </c>
      <c r="F70" t="s">
        <v>1395</v>
      </c>
      <c r="H70" t="s">
        <v>2182</v>
      </c>
      <c r="I70" t="s">
        <v>11</v>
      </c>
      <c r="J70" t="s">
        <v>19</v>
      </c>
      <c r="K70" t="s">
        <v>137</v>
      </c>
      <c r="L70" t="s">
        <v>125</v>
      </c>
      <c r="M70" t="s">
        <v>2990</v>
      </c>
      <c r="N70" t="s">
        <v>1774</v>
      </c>
      <c r="O70" t="s">
        <v>2894</v>
      </c>
      <c r="P70" t="s">
        <v>3004</v>
      </c>
      <c r="Q70" t="s">
        <v>1709</v>
      </c>
      <c r="R70" s="31">
        <v>122.6</v>
      </c>
      <c r="S70" t="s">
        <v>2999</v>
      </c>
      <c r="T70" s="2" t="s">
        <v>2997</v>
      </c>
    </row>
    <row r="71" spans="1:20" hidden="1" x14ac:dyDescent="0.25">
      <c r="A71">
        <v>2023</v>
      </c>
      <c r="B71" t="s">
        <v>772</v>
      </c>
      <c r="C71" t="s">
        <v>2899</v>
      </c>
      <c r="D71" t="s">
        <v>135</v>
      </c>
      <c r="E71" t="s">
        <v>136</v>
      </c>
      <c r="F71" t="s">
        <v>1395</v>
      </c>
      <c r="H71" t="s">
        <v>2182</v>
      </c>
      <c r="I71" t="s">
        <v>11</v>
      </c>
      <c r="J71" t="s">
        <v>19</v>
      </c>
      <c r="K71" t="s">
        <v>137</v>
      </c>
      <c r="L71" t="s">
        <v>1869</v>
      </c>
      <c r="M71" t="s">
        <v>2990</v>
      </c>
      <c r="N71" t="s">
        <v>1774</v>
      </c>
      <c r="O71" t="s">
        <v>2894</v>
      </c>
      <c r="P71" t="s">
        <v>3004</v>
      </c>
      <c r="Q71" t="s">
        <v>1878</v>
      </c>
      <c r="R71" s="31">
        <v>1202</v>
      </c>
      <c r="S71" t="s">
        <v>3000</v>
      </c>
      <c r="T71" t="s">
        <v>2997</v>
      </c>
    </row>
    <row r="72" spans="1:20" hidden="1" x14ac:dyDescent="0.25">
      <c r="A72">
        <v>2023</v>
      </c>
      <c r="B72" t="s">
        <v>772</v>
      </c>
      <c r="C72" t="s">
        <v>2899</v>
      </c>
      <c r="D72" t="s">
        <v>135</v>
      </c>
      <c r="E72" t="s">
        <v>136</v>
      </c>
      <c r="F72" t="s">
        <v>1395</v>
      </c>
      <c r="H72" t="s">
        <v>2182</v>
      </c>
      <c r="I72" t="s">
        <v>11</v>
      </c>
      <c r="J72" t="s">
        <v>19</v>
      </c>
      <c r="K72" t="s">
        <v>137</v>
      </c>
      <c r="L72" t="s">
        <v>1772</v>
      </c>
      <c r="M72" t="s">
        <v>2988</v>
      </c>
      <c r="N72" t="s">
        <v>1594</v>
      </c>
      <c r="O72" t="s">
        <v>2894</v>
      </c>
      <c r="P72" t="s">
        <v>3004</v>
      </c>
      <c r="Q72" t="s">
        <v>1641</v>
      </c>
      <c r="R72" s="31">
        <v>88.1</v>
      </c>
      <c r="T72" t="s">
        <v>2997</v>
      </c>
    </row>
    <row r="73" spans="1:20" hidden="1" x14ac:dyDescent="0.25">
      <c r="A73">
        <v>2023</v>
      </c>
      <c r="B73" t="s">
        <v>772</v>
      </c>
      <c r="C73" t="s">
        <v>2899</v>
      </c>
      <c r="D73" t="s">
        <v>135</v>
      </c>
      <c r="E73" t="s">
        <v>136</v>
      </c>
      <c r="F73" t="s">
        <v>1395</v>
      </c>
      <c r="H73" t="s">
        <v>2182</v>
      </c>
      <c r="I73" t="s">
        <v>11</v>
      </c>
      <c r="J73" t="s">
        <v>19</v>
      </c>
      <c r="K73" t="s">
        <v>137</v>
      </c>
      <c r="L73" t="s">
        <v>1772</v>
      </c>
      <c r="M73" t="s">
        <v>2989</v>
      </c>
      <c r="N73" t="s">
        <v>1730</v>
      </c>
      <c r="O73" t="s">
        <v>2894</v>
      </c>
      <c r="P73" t="s">
        <v>3004</v>
      </c>
      <c r="Q73" t="s">
        <v>1641</v>
      </c>
      <c r="R73" s="31">
        <v>30</v>
      </c>
      <c r="T73" t="s">
        <v>2997</v>
      </c>
    </row>
    <row r="74" spans="1:20" hidden="1" x14ac:dyDescent="0.25">
      <c r="A74">
        <v>2023</v>
      </c>
      <c r="B74" t="s">
        <v>772</v>
      </c>
      <c r="C74" t="s">
        <v>2899</v>
      </c>
      <c r="D74" t="s">
        <v>14</v>
      </c>
      <c r="E74" t="s">
        <v>66</v>
      </c>
      <c r="F74" t="s">
        <v>1124</v>
      </c>
      <c r="H74" t="s">
        <v>2016</v>
      </c>
      <c r="I74" t="s">
        <v>11</v>
      </c>
      <c r="J74" t="s">
        <v>13</v>
      </c>
      <c r="K74" t="s">
        <v>64</v>
      </c>
      <c r="L74" t="s">
        <v>125</v>
      </c>
      <c r="M74" t="s">
        <v>2990</v>
      </c>
      <c r="N74" t="s">
        <v>1774</v>
      </c>
      <c r="O74" t="s">
        <v>2894</v>
      </c>
      <c r="P74" t="s">
        <v>3004</v>
      </c>
      <c r="Q74" t="s">
        <v>1546</v>
      </c>
      <c r="R74" s="31">
        <v>39.036757999999999</v>
      </c>
      <c r="S74" t="s">
        <v>3195</v>
      </c>
      <c r="T74" t="s">
        <v>2974</v>
      </c>
    </row>
    <row r="75" spans="1:20" hidden="1" x14ac:dyDescent="0.25">
      <c r="A75">
        <v>2023</v>
      </c>
      <c r="B75" t="s">
        <v>772</v>
      </c>
      <c r="C75" t="s">
        <v>2899</v>
      </c>
      <c r="D75" t="s">
        <v>14</v>
      </c>
      <c r="E75" t="s">
        <v>66</v>
      </c>
      <c r="F75" t="s">
        <v>1124</v>
      </c>
      <c r="H75" t="s">
        <v>2016</v>
      </c>
      <c r="I75" t="s">
        <v>11</v>
      </c>
      <c r="J75" t="s">
        <v>13</v>
      </c>
      <c r="K75" t="s">
        <v>64</v>
      </c>
      <c r="L75" t="s">
        <v>16</v>
      </c>
      <c r="M75" t="s">
        <v>2990</v>
      </c>
      <c r="N75" t="s">
        <v>3187</v>
      </c>
      <c r="O75" t="s">
        <v>2894</v>
      </c>
      <c r="P75" t="s">
        <v>3004</v>
      </c>
      <c r="Q75" t="s">
        <v>1548</v>
      </c>
      <c r="R75" s="31">
        <v>140982.56710499999</v>
      </c>
      <c r="T75" t="s">
        <v>1547</v>
      </c>
    </row>
    <row r="76" spans="1:20" hidden="1" x14ac:dyDescent="0.25">
      <c r="A76">
        <v>2023</v>
      </c>
      <c r="B76" t="s">
        <v>772</v>
      </c>
      <c r="C76" t="s">
        <v>2899</v>
      </c>
      <c r="D76" t="s">
        <v>14</v>
      </c>
      <c r="E76" t="s">
        <v>66</v>
      </c>
      <c r="F76" t="s">
        <v>1124</v>
      </c>
      <c r="H76" t="s">
        <v>2016</v>
      </c>
      <c r="I76" t="s">
        <v>11</v>
      </c>
      <c r="J76" t="s">
        <v>13</v>
      </c>
      <c r="K76" t="s">
        <v>64</v>
      </c>
      <c r="L76" t="s">
        <v>1772</v>
      </c>
      <c r="M76" t="s">
        <v>2989</v>
      </c>
      <c r="N76" t="s">
        <v>1545</v>
      </c>
      <c r="O76" t="s">
        <v>2894</v>
      </c>
      <c r="P76" t="s">
        <v>3004</v>
      </c>
      <c r="Q76" t="s">
        <v>1546</v>
      </c>
      <c r="R76" s="31">
        <v>2886927.3287239997</v>
      </c>
      <c r="T76" t="s">
        <v>1547</v>
      </c>
    </row>
    <row r="77" spans="1:20" hidden="1" x14ac:dyDescent="0.25">
      <c r="A77">
        <v>2023</v>
      </c>
      <c r="B77" t="s">
        <v>772</v>
      </c>
      <c r="C77" t="s">
        <v>2899</v>
      </c>
      <c r="D77" t="s">
        <v>14</v>
      </c>
      <c r="E77" t="s">
        <v>66</v>
      </c>
      <c r="F77" t="s">
        <v>1124</v>
      </c>
      <c r="H77" t="s">
        <v>2016</v>
      </c>
      <c r="I77" t="s">
        <v>11</v>
      </c>
      <c r="J77" t="s">
        <v>13</v>
      </c>
      <c r="K77" t="s">
        <v>64</v>
      </c>
      <c r="L77" t="s">
        <v>1549</v>
      </c>
      <c r="M77" t="s">
        <v>2990</v>
      </c>
      <c r="N77" t="s">
        <v>3187</v>
      </c>
      <c r="O77" t="s">
        <v>2894</v>
      </c>
      <c r="P77" t="s">
        <v>3004</v>
      </c>
      <c r="Q77" t="s">
        <v>1550</v>
      </c>
      <c r="R77" s="31">
        <v>2</v>
      </c>
      <c r="T77" t="s">
        <v>1547</v>
      </c>
    </row>
    <row r="78" spans="1:20" hidden="1" x14ac:dyDescent="0.25">
      <c r="A78">
        <v>2023</v>
      </c>
      <c r="B78" t="s">
        <v>772</v>
      </c>
      <c r="C78" t="s">
        <v>2899</v>
      </c>
      <c r="D78" t="s">
        <v>718</v>
      </c>
      <c r="E78" t="s">
        <v>304</v>
      </c>
      <c r="F78" t="s">
        <v>1346</v>
      </c>
      <c r="G78" t="s">
        <v>2151</v>
      </c>
      <c r="H78" t="s">
        <v>2149</v>
      </c>
      <c r="I78" t="s">
        <v>233</v>
      </c>
      <c r="J78" t="s">
        <v>249</v>
      </c>
      <c r="K78" t="s">
        <v>248</v>
      </c>
      <c r="L78" t="s">
        <v>376</v>
      </c>
      <c r="M78" t="s">
        <v>2991</v>
      </c>
      <c r="N78" t="s">
        <v>2277</v>
      </c>
      <c r="O78" t="s">
        <v>2893</v>
      </c>
      <c r="P78" t="s">
        <v>3004</v>
      </c>
      <c r="Q78" t="s">
        <v>1546</v>
      </c>
      <c r="R78" s="31">
        <v>233000</v>
      </c>
      <c r="T78" s="2" t="s">
        <v>2910</v>
      </c>
    </row>
    <row r="79" spans="1:20" hidden="1" x14ac:dyDescent="0.25">
      <c r="A79">
        <v>2023</v>
      </c>
      <c r="B79" t="s">
        <v>772</v>
      </c>
      <c r="C79" t="s">
        <v>2899</v>
      </c>
      <c r="D79" t="s">
        <v>718</v>
      </c>
      <c r="E79" t="s">
        <v>304</v>
      </c>
      <c r="F79" t="s">
        <v>1346</v>
      </c>
      <c r="G79" t="s">
        <v>2151</v>
      </c>
      <c r="H79" t="s">
        <v>2149</v>
      </c>
      <c r="I79" t="s">
        <v>233</v>
      </c>
      <c r="J79" t="s">
        <v>249</v>
      </c>
      <c r="K79" t="s">
        <v>248</v>
      </c>
      <c r="L79" t="s">
        <v>376</v>
      </c>
      <c r="M79" t="s">
        <v>2991</v>
      </c>
      <c r="N79" t="s">
        <v>2277</v>
      </c>
      <c r="O79" t="s">
        <v>2894</v>
      </c>
      <c r="P79" t="s">
        <v>3004</v>
      </c>
      <c r="Q79" t="s">
        <v>1566</v>
      </c>
      <c r="R79" s="31">
        <v>229</v>
      </c>
      <c r="T79" t="s">
        <v>2272</v>
      </c>
    </row>
    <row r="80" spans="1:20" hidden="1" x14ac:dyDescent="0.25">
      <c r="A80">
        <v>2023</v>
      </c>
      <c r="B80" t="s">
        <v>772</v>
      </c>
      <c r="C80" t="s">
        <v>2899</v>
      </c>
      <c r="D80" t="s">
        <v>27</v>
      </c>
      <c r="E80" t="s">
        <v>28</v>
      </c>
      <c r="F80" t="s">
        <v>1166</v>
      </c>
      <c r="H80" t="s">
        <v>2037</v>
      </c>
      <c r="I80" t="s">
        <v>11</v>
      </c>
      <c r="J80" t="s">
        <v>23</v>
      </c>
      <c r="K80" t="s">
        <v>16</v>
      </c>
      <c r="L80" t="s">
        <v>16</v>
      </c>
      <c r="M80" t="s">
        <v>2989</v>
      </c>
      <c r="N80" t="s">
        <v>1545</v>
      </c>
      <c r="O80" t="s">
        <v>2894</v>
      </c>
      <c r="P80" t="s">
        <v>3004</v>
      </c>
      <c r="Q80" t="s">
        <v>1546</v>
      </c>
      <c r="R80" s="31">
        <v>1266009</v>
      </c>
      <c r="S80" t="s">
        <v>2895</v>
      </c>
      <c r="T80" t="s">
        <v>1826</v>
      </c>
    </row>
    <row r="81" spans="1:20" hidden="1" x14ac:dyDescent="0.25">
      <c r="A81">
        <v>2023</v>
      </c>
      <c r="B81" t="s">
        <v>772</v>
      </c>
      <c r="C81" t="s">
        <v>2899</v>
      </c>
      <c r="D81" t="s">
        <v>27</v>
      </c>
      <c r="E81" t="s">
        <v>28</v>
      </c>
      <c r="F81" t="s">
        <v>1166</v>
      </c>
      <c r="H81" t="s">
        <v>2037</v>
      </c>
      <c r="I81" t="s">
        <v>11</v>
      </c>
      <c r="J81" t="s">
        <v>23</v>
      </c>
      <c r="K81" t="s">
        <v>16</v>
      </c>
      <c r="L81" t="s">
        <v>16</v>
      </c>
      <c r="M81" t="s">
        <v>2990</v>
      </c>
      <c r="N81" t="s">
        <v>3187</v>
      </c>
      <c r="O81" t="s">
        <v>2894</v>
      </c>
      <c r="P81" t="s">
        <v>3004</v>
      </c>
      <c r="Q81" t="s">
        <v>1548</v>
      </c>
      <c r="R81" s="31">
        <v>141045</v>
      </c>
      <c r="T81" t="s">
        <v>1826</v>
      </c>
    </row>
    <row r="82" spans="1:20" hidden="1" x14ac:dyDescent="0.25">
      <c r="A82">
        <v>2024</v>
      </c>
      <c r="B82" t="s">
        <v>772</v>
      </c>
      <c r="C82" t="s">
        <v>2899</v>
      </c>
      <c r="D82" t="s">
        <v>101</v>
      </c>
      <c r="E82" t="s">
        <v>126</v>
      </c>
      <c r="F82" t="s">
        <v>1400</v>
      </c>
      <c r="H82" t="s">
        <v>1845</v>
      </c>
      <c r="I82" t="s">
        <v>11</v>
      </c>
      <c r="J82" t="s">
        <v>34</v>
      </c>
      <c r="K82" t="s">
        <v>127</v>
      </c>
      <c r="L82" t="s">
        <v>125</v>
      </c>
      <c r="M82" t="s">
        <v>2990</v>
      </c>
      <c r="N82" t="s">
        <v>1774</v>
      </c>
      <c r="O82" t="s">
        <v>2894</v>
      </c>
      <c r="P82" t="s">
        <v>3004</v>
      </c>
      <c r="Q82" t="s">
        <v>1566</v>
      </c>
      <c r="R82" s="31">
        <v>102.4</v>
      </c>
      <c r="T82" t="s">
        <v>1868</v>
      </c>
    </row>
    <row r="83" spans="1:20" hidden="1" x14ac:dyDescent="0.25">
      <c r="A83">
        <v>2024</v>
      </c>
      <c r="B83" t="s">
        <v>772</v>
      </c>
      <c r="C83" t="s">
        <v>2899</v>
      </c>
      <c r="D83" t="s">
        <v>101</v>
      </c>
      <c r="E83" t="s">
        <v>126</v>
      </c>
      <c r="F83" t="s">
        <v>1400</v>
      </c>
      <c r="H83" t="s">
        <v>1845</v>
      </c>
      <c r="I83" t="s">
        <v>11</v>
      </c>
      <c r="J83" t="s">
        <v>34</v>
      </c>
      <c r="K83" t="s">
        <v>127</v>
      </c>
      <c r="L83" t="s">
        <v>1869</v>
      </c>
      <c r="M83" t="s">
        <v>2990</v>
      </c>
      <c r="N83" t="s">
        <v>1774</v>
      </c>
      <c r="O83" t="s">
        <v>2894</v>
      </c>
      <c r="P83" t="s">
        <v>3004</v>
      </c>
      <c r="Q83" t="s">
        <v>1566</v>
      </c>
      <c r="R83" s="31">
        <v>0.9</v>
      </c>
      <c r="T83" t="s">
        <v>1868</v>
      </c>
    </row>
    <row r="84" spans="1:20" hidden="1" x14ac:dyDescent="0.25">
      <c r="A84">
        <v>2024</v>
      </c>
      <c r="B84" t="s">
        <v>772</v>
      </c>
      <c r="C84" t="s">
        <v>2899</v>
      </c>
      <c r="D84" t="s">
        <v>101</v>
      </c>
      <c r="E84" t="s">
        <v>126</v>
      </c>
      <c r="F84" t="s">
        <v>1400</v>
      </c>
      <c r="H84" t="s">
        <v>1845</v>
      </c>
      <c r="I84" t="s">
        <v>11</v>
      </c>
      <c r="J84" t="s">
        <v>34</v>
      </c>
      <c r="K84" t="s">
        <v>127</v>
      </c>
      <c r="L84" t="s">
        <v>1772</v>
      </c>
      <c r="M84" t="s">
        <v>2989</v>
      </c>
      <c r="N84" t="s">
        <v>1545</v>
      </c>
      <c r="O84" t="s">
        <v>2894</v>
      </c>
      <c r="P84" t="s">
        <v>3162</v>
      </c>
      <c r="Q84" t="s">
        <v>1566</v>
      </c>
      <c r="R84" s="31">
        <f>R82/(0.005/0.85)</f>
        <v>17408</v>
      </c>
      <c r="S84" t="s">
        <v>3184</v>
      </c>
      <c r="T84" t="s">
        <v>3185</v>
      </c>
    </row>
    <row r="85" spans="1:20" hidden="1" x14ac:dyDescent="0.25">
      <c r="A85">
        <v>2023</v>
      </c>
      <c r="B85" t="s">
        <v>772</v>
      </c>
      <c r="C85" t="s">
        <v>2899</v>
      </c>
      <c r="D85" t="s">
        <v>736</v>
      </c>
      <c r="E85" t="s">
        <v>25</v>
      </c>
      <c r="F85" t="s">
        <v>1136</v>
      </c>
      <c r="H85" t="s">
        <v>2019</v>
      </c>
      <c r="I85" t="s">
        <v>11</v>
      </c>
      <c r="J85" t="s">
        <v>13</v>
      </c>
      <c r="K85" t="s">
        <v>16</v>
      </c>
      <c r="L85" t="s">
        <v>16</v>
      </c>
      <c r="M85" t="s">
        <v>2990</v>
      </c>
      <c r="N85" t="s">
        <v>3187</v>
      </c>
      <c r="O85" t="s">
        <v>2894</v>
      </c>
      <c r="P85" t="s">
        <v>3004</v>
      </c>
      <c r="Q85" t="s">
        <v>1548</v>
      </c>
      <c r="R85" s="31">
        <v>131400</v>
      </c>
      <c r="T85" t="s">
        <v>1601</v>
      </c>
    </row>
    <row r="86" spans="1:20" hidden="1" x14ac:dyDescent="0.25">
      <c r="A86">
        <v>2023</v>
      </c>
      <c r="B86" t="s">
        <v>772</v>
      </c>
      <c r="C86" t="s">
        <v>2899</v>
      </c>
      <c r="D86" t="s">
        <v>736</v>
      </c>
      <c r="E86" t="s">
        <v>25</v>
      </c>
      <c r="F86" t="s">
        <v>1136</v>
      </c>
      <c r="H86" t="s">
        <v>2019</v>
      </c>
      <c r="I86" t="s">
        <v>11</v>
      </c>
      <c r="J86" t="s">
        <v>13</v>
      </c>
      <c r="K86" t="s">
        <v>16</v>
      </c>
      <c r="L86" t="s">
        <v>16</v>
      </c>
      <c r="M86" t="s">
        <v>2988</v>
      </c>
      <c r="N86" t="s">
        <v>1594</v>
      </c>
      <c r="O86" t="s">
        <v>2894</v>
      </c>
      <c r="P86" t="s">
        <v>3004</v>
      </c>
      <c r="Q86" t="s">
        <v>1546</v>
      </c>
      <c r="R86" s="31">
        <v>437541</v>
      </c>
      <c r="T86" t="s">
        <v>1601</v>
      </c>
    </row>
    <row r="87" spans="1:20" hidden="1" x14ac:dyDescent="0.25">
      <c r="A87">
        <v>2023</v>
      </c>
      <c r="B87" t="s">
        <v>772</v>
      </c>
      <c r="C87" t="s">
        <v>2899</v>
      </c>
      <c r="D87" t="s">
        <v>736</v>
      </c>
      <c r="E87" t="s">
        <v>25</v>
      </c>
      <c r="F87" t="s">
        <v>1136</v>
      </c>
      <c r="H87" t="s">
        <v>2019</v>
      </c>
      <c r="I87" t="s">
        <v>11</v>
      </c>
      <c r="J87" t="s">
        <v>13</v>
      </c>
      <c r="K87" t="s">
        <v>16</v>
      </c>
      <c r="L87" t="s">
        <v>16</v>
      </c>
      <c r="M87" t="s">
        <v>2989</v>
      </c>
      <c r="N87" t="s">
        <v>1545</v>
      </c>
      <c r="O87" t="s">
        <v>2894</v>
      </c>
      <c r="P87" t="s">
        <v>3004</v>
      </c>
      <c r="Q87" t="s">
        <v>1546</v>
      </c>
      <c r="R87" s="31">
        <v>439008</v>
      </c>
      <c r="T87" t="s">
        <v>1601</v>
      </c>
    </row>
    <row r="88" spans="1:20" hidden="1" x14ac:dyDescent="0.25">
      <c r="A88">
        <v>2023</v>
      </c>
      <c r="B88" t="s">
        <v>772</v>
      </c>
      <c r="C88" t="s">
        <v>2899</v>
      </c>
      <c r="D88" t="s">
        <v>311</v>
      </c>
      <c r="E88" t="s">
        <v>312</v>
      </c>
      <c r="F88" t="s">
        <v>1266</v>
      </c>
      <c r="H88" t="s">
        <v>2098</v>
      </c>
      <c r="I88" t="s">
        <v>233</v>
      </c>
      <c r="J88" t="s">
        <v>255</v>
      </c>
      <c r="K88" t="s">
        <v>244</v>
      </c>
      <c r="L88" t="s">
        <v>244</v>
      </c>
      <c r="M88" t="s">
        <v>2991</v>
      </c>
      <c r="N88" t="s">
        <v>2287</v>
      </c>
      <c r="O88" t="s">
        <v>2893</v>
      </c>
      <c r="P88" t="s">
        <v>3004</v>
      </c>
      <c r="Q88" t="s">
        <v>1871</v>
      </c>
      <c r="R88" s="31">
        <v>650</v>
      </c>
      <c r="T88" t="s">
        <v>2308</v>
      </c>
    </row>
    <row r="89" spans="1:20" hidden="1" x14ac:dyDescent="0.25">
      <c r="A89">
        <v>2023</v>
      </c>
      <c r="B89" t="s">
        <v>772</v>
      </c>
      <c r="C89" t="s">
        <v>2899</v>
      </c>
      <c r="D89" t="s">
        <v>8</v>
      </c>
      <c r="E89" t="s">
        <v>9</v>
      </c>
      <c r="F89" t="s">
        <v>1264</v>
      </c>
      <c r="H89" t="s">
        <v>1895</v>
      </c>
      <c r="I89" t="s">
        <v>11</v>
      </c>
      <c r="J89" t="s">
        <v>23</v>
      </c>
      <c r="K89" t="s">
        <v>12</v>
      </c>
      <c r="L89" t="s">
        <v>1615</v>
      </c>
      <c r="M89" t="s">
        <v>2990</v>
      </c>
      <c r="N89" t="s">
        <v>1774</v>
      </c>
      <c r="O89" t="s">
        <v>2894</v>
      </c>
      <c r="P89" t="s">
        <v>3004</v>
      </c>
      <c r="Q89" t="s">
        <v>1546</v>
      </c>
      <c r="R89" s="31">
        <v>1225</v>
      </c>
      <c r="S89" t="s">
        <v>2911</v>
      </c>
      <c r="T89" t="s">
        <v>972</v>
      </c>
    </row>
    <row r="90" spans="1:20" hidden="1" x14ac:dyDescent="0.25">
      <c r="A90">
        <v>2024</v>
      </c>
      <c r="B90" t="s">
        <v>772</v>
      </c>
      <c r="C90" t="s">
        <v>2899</v>
      </c>
      <c r="D90" t="s">
        <v>8</v>
      </c>
      <c r="E90" t="s">
        <v>9</v>
      </c>
      <c r="F90" t="s">
        <v>1264</v>
      </c>
      <c r="H90" t="s">
        <v>1895</v>
      </c>
      <c r="I90" t="s">
        <v>11</v>
      </c>
      <c r="J90" t="s">
        <v>23</v>
      </c>
      <c r="K90" t="s">
        <v>12</v>
      </c>
      <c r="L90" t="s">
        <v>1772</v>
      </c>
      <c r="M90" t="s">
        <v>2989</v>
      </c>
      <c r="N90" t="s">
        <v>3148</v>
      </c>
      <c r="O90" t="s">
        <v>2894</v>
      </c>
      <c r="P90" t="s">
        <v>3004</v>
      </c>
      <c r="Q90" t="s">
        <v>1546</v>
      </c>
      <c r="R90" s="31">
        <v>127307</v>
      </c>
      <c r="T90" t="s">
        <v>3149</v>
      </c>
    </row>
    <row r="91" spans="1:20" hidden="1" x14ac:dyDescent="0.25">
      <c r="A91">
        <v>2023</v>
      </c>
      <c r="B91" t="s">
        <v>772</v>
      </c>
      <c r="C91" t="s">
        <v>2899</v>
      </c>
      <c r="D91" t="s">
        <v>8</v>
      </c>
      <c r="E91" t="s">
        <v>9</v>
      </c>
      <c r="F91" t="s">
        <v>1264</v>
      </c>
      <c r="H91" t="s">
        <v>1895</v>
      </c>
      <c r="I91" t="s">
        <v>11</v>
      </c>
      <c r="J91" t="s">
        <v>23</v>
      </c>
      <c r="K91" t="s">
        <v>12</v>
      </c>
      <c r="L91" t="s">
        <v>1549</v>
      </c>
      <c r="M91" t="s">
        <v>2990</v>
      </c>
      <c r="N91" t="s">
        <v>3187</v>
      </c>
      <c r="O91" t="s">
        <v>2894</v>
      </c>
      <c r="P91" t="s">
        <v>3004</v>
      </c>
      <c r="Q91" t="s">
        <v>1548</v>
      </c>
      <c r="R91" s="31">
        <v>1502577</v>
      </c>
      <c r="S91" t="s">
        <v>2911</v>
      </c>
      <c r="T91" s="2" t="s">
        <v>972</v>
      </c>
    </row>
    <row r="92" spans="1:20" hidden="1" x14ac:dyDescent="0.25">
      <c r="A92">
        <v>2023</v>
      </c>
      <c r="B92" t="s">
        <v>772</v>
      </c>
      <c r="C92" t="s">
        <v>2899</v>
      </c>
      <c r="D92" t="s">
        <v>8</v>
      </c>
      <c r="E92" t="s">
        <v>9</v>
      </c>
      <c r="F92" t="s">
        <v>1264</v>
      </c>
      <c r="H92" t="s">
        <v>1895</v>
      </c>
      <c r="I92" t="s">
        <v>11</v>
      </c>
      <c r="J92" t="s">
        <v>23</v>
      </c>
      <c r="K92" t="s">
        <v>12</v>
      </c>
      <c r="L92" t="s">
        <v>1551</v>
      </c>
      <c r="M92" t="s">
        <v>2990</v>
      </c>
      <c r="N92" t="s">
        <v>1774</v>
      </c>
      <c r="O92" t="s">
        <v>2894</v>
      </c>
      <c r="P92" t="s">
        <v>3004</v>
      </c>
      <c r="Q92" t="s">
        <v>1546</v>
      </c>
      <c r="R92" s="31">
        <v>1339</v>
      </c>
      <c r="S92" t="s">
        <v>2911</v>
      </c>
      <c r="T92" t="s">
        <v>972</v>
      </c>
    </row>
    <row r="93" spans="1:20" hidden="1" x14ac:dyDescent="0.25">
      <c r="A93">
        <v>2023</v>
      </c>
      <c r="B93" t="s">
        <v>1537</v>
      </c>
      <c r="C93" t="s">
        <v>2899</v>
      </c>
      <c r="D93" t="s">
        <v>208</v>
      </c>
      <c r="E93" t="s">
        <v>706</v>
      </c>
      <c r="G93" t="s">
        <v>2043</v>
      </c>
      <c r="H93" t="s">
        <v>1752</v>
      </c>
      <c r="I93" t="s">
        <v>11</v>
      </c>
      <c r="J93" t="s">
        <v>21</v>
      </c>
      <c r="K93" t="s">
        <v>210</v>
      </c>
      <c r="L93" t="s">
        <v>210</v>
      </c>
      <c r="M93" t="s">
        <v>2990</v>
      </c>
      <c r="N93" t="s">
        <v>1774</v>
      </c>
      <c r="O93" t="s">
        <v>2894</v>
      </c>
      <c r="P93" t="s">
        <v>3004</v>
      </c>
      <c r="Q93" t="s">
        <v>1709</v>
      </c>
      <c r="R93" s="31">
        <v>13.5</v>
      </c>
      <c r="S93" t="s">
        <v>3175</v>
      </c>
      <c r="T93" t="s">
        <v>1874</v>
      </c>
    </row>
    <row r="94" spans="1:20" hidden="1" x14ac:dyDescent="0.25">
      <c r="A94">
        <v>2023</v>
      </c>
      <c r="B94" t="s">
        <v>1537</v>
      </c>
      <c r="C94" t="s">
        <v>2899</v>
      </c>
      <c r="D94" t="s">
        <v>208</v>
      </c>
      <c r="E94" t="s">
        <v>706</v>
      </c>
      <c r="G94" t="s">
        <v>2043</v>
      </c>
      <c r="H94" t="s">
        <v>1752</v>
      </c>
      <c r="I94" t="s">
        <v>11</v>
      </c>
      <c r="J94" t="s">
        <v>21</v>
      </c>
      <c r="K94" t="s">
        <v>210</v>
      </c>
      <c r="L94" t="s">
        <v>210</v>
      </c>
      <c r="M94" t="s">
        <v>2989</v>
      </c>
      <c r="N94" t="s">
        <v>1545</v>
      </c>
      <c r="O94" t="s">
        <v>2894</v>
      </c>
      <c r="P94" t="s">
        <v>3162</v>
      </c>
      <c r="Q94" t="s">
        <v>1709</v>
      </c>
      <c r="R94" s="31">
        <f>13.5/(0.0655*0.95)</f>
        <v>216.95460024106066</v>
      </c>
      <c r="S94" t="s">
        <v>3181</v>
      </c>
      <c r="T94" t="s">
        <v>1530</v>
      </c>
    </row>
    <row r="95" spans="1:20" hidden="1" x14ac:dyDescent="0.25">
      <c r="A95">
        <v>2023</v>
      </c>
      <c r="B95" t="s">
        <v>772</v>
      </c>
      <c r="C95" t="s">
        <v>2899</v>
      </c>
      <c r="D95" t="s">
        <v>715</v>
      </c>
      <c r="E95" t="s">
        <v>143</v>
      </c>
      <c r="F95" t="s">
        <v>1249</v>
      </c>
      <c r="H95" t="s">
        <v>2086</v>
      </c>
      <c r="I95" t="s">
        <v>11</v>
      </c>
      <c r="J95" t="s">
        <v>44</v>
      </c>
      <c r="K95" t="s">
        <v>144</v>
      </c>
      <c r="L95" t="s">
        <v>125</v>
      </c>
      <c r="M95" t="s">
        <v>2990</v>
      </c>
      <c r="N95" t="s">
        <v>1774</v>
      </c>
      <c r="O95" t="s">
        <v>2894</v>
      </c>
      <c r="P95" t="s">
        <v>3004</v>
      </c>
      <c r="Q95" t="s">
        <v>1566</v>
      </c>
      <c r="R95" s="31">
        <v>22.6</v>
      </c>
      <c r="T95" t="s">
        <v>1770</v>
      </c>
    </row>
    <row r="96" spans="1:20" hidden="1" x14ac:dyDescent="0.25">
      <c r="A96">
        <v>2023</v>
      </c>
      <c r="B96" t="s">
        <v>772</v>
      </c>
      <c r="C96" t="s">
        <v>2899</v>
      </c>
      <c r="D96" t="s">
        <v>715</v>
      </c>
      <c r="E96" t="s">
        <v>143</v>
      </c>
      <c r="F96" t="s">
        <v>1249</v>
      </c>
      <c r="H96" t="s">
        <v>2086</v>
      </c>
      <c r="I96" t="s">
        <v>11</v>
      </c>
      <c r="J96" t="s">
        <v>44</v>
      </c>
      <c r="K96" t="s">
        <v>144</v>
      </c>
      <c r="L96" t="s">
        <v>1772</v>
      </c>
      <c r="M96" t="s">
        <v>2989</v>
      </c>
      <c r="N96" t="s">
        <v>1545</v>
      </c>
      <c r="O96" t="s">
        <v>2894</v>
      </c>
      <c r="P96" t="s">
        <v>3162</v>
      </c>
      <c r="Q96" t="s">
        <v>1546</v>
      </c>
      <c r="R96" s="31">
        <v>1340000</v>
      </c>
      <c r="T96" s="2" t="s">
        <v>3198</v>
      </c>
    </row>
    <row r="97" spans="1:20" hidden="1" x14ac:dyDescent="0.25">
      <c r="A97">
        <v>2023</v>
      </c>
      <c r="B97" t="s">
        <v>772</v>
      </c>
      <c r="C97" t="s">
        <v>2899</v>
      </c>
      <c r="D97" t="s">
        <v>715</v>
      </c>
      <c r="E97" t="s">
        <v>143</v>
      </c>
      <c r="F97" t="s">
        <v>1249</v>
      </c>
      <c r="H97" t="s">
        <v>2086</v>
      </c>
      <c r="I97" t="s">
        <v>11</v>
      </c>
      <c r="J97" t="s">
        <v>44</v>
      </c>
      <c r="K97" t="s">
        <v>144</v>
      </c>
      <c r="L97" t="s">
        <v>1549</v>
      </c>
      <c r="M97" t="s">
        <v>2990</v>
      </c>
      <c r="N97" t="s">
        <v>3187</v>
      </c>
      <c r="O97" t="s">
        <v>2894</v>
      </c>
      <c r="P97" t="s">
        <v>3004</v>
      </c>
      <c r="Q97" t="s">
        <v>1550</v>
      </c>
      <c r="R97" s="31">
        <v>1378</v>
      </c>
      <c r="T97" t="s">
        <v>1770</v>
      </c>
    </row>
    <row r="98" spans="1:20" hidden="1" x14ac:dyDescent="0.25">
      <c r="A98">
        <v>2023</v>
      </c>
      <c r="B98" t="s">
        <v>772</v>
      </c>
      <c r="C98" t="s">
        <v>2899</v>
      </c>
      <c r="D98" t="s">
        <v>715</v>
      </c>
      <c r="E98" t="s">
        <v>143</v>
      </c>
      <c r="F98" t="s">
        <v>1249</v>
      </c>
      <c r="H98" t="s">
        <v>2086</v>
      </c>
      <c r="I98" t="s">
        <v>11</v>
      </c>
      <c r="J98" t="s">
        <v>44</v>
      </c>
      <c r="K98" t="s">
        <v>144</v>
      </c>
      <c r="L98" t="s">
        <v>1551</v>
      </c>
      <c r="M98" t="s">
        <v>2990</v>
      </c>
      <c r="N98" t="s">
        <v>1774</v>
      </c>
      <c r="O98" t="s">
        <v>2894</v>
      </c>
      <c r="P98" t="s">
        <v>3004</v>
      </c>
      <c r="Q98" t="s">
        <v>1566</v>
      </c>
      <c r="R98" s="31">
        <v>38.6</v>
      </c>
      <c r="T98" t="s">
        <v>1770</v>
      </c>
    </row>
    <row r="99" spans="1:20" hidden="1" x14ac:dyDescent="0.25">
      <c r="A99">
        <v>2023</v>
      </c>
      <c r="B99" t="s">
        <v>772</v>
      </c>
      <c r="C99" t="s">
        <v>2899</v>
      </c>
      <c r="D99" t="s">
        <v>730</v>
      </c>
      <c r="E99" t="s">
        <v>60</v>
      </c>
      <c r="F99" t="s">
        <v>1437</v>
      </c>
      <c r="H99" t="s">
        <v>2202</v>
      </c>
      <c r="I99" t="s">
        <v>11</v>
      </c>
      <c r="J99" t="s">
        <v>19</v>
      </c>
      <c r="K99" t="s">
        <v>16</v>
      </c>
      <c r="L99" t="s">
        <v>16</v>
      </c>
      <c r="M99" t="s">
        <v>2990</v>
      </c>
      <c r="N99" t="s">
        <v>3187</v>
      </c>
      <c r="O99" t="s">
        <v>2894</v>
      </c>
      <c r="P99" t="s">
        <v>3004</v>
      </c>
      <c r="Q99" t="s">
        <v>1732</v>
      </c>
      <c r="R99" s="31">
        <v>35537</v>
      </c>
      <c r="S99" s="50" t="s">
        <v>3144</v>
      </c>
      <c r="T99" t="s">
        <v>1729</v>
      </c>
    </row>
    <row r="100" spans="1:20" hidden="1" x14ac:dyDescent="0.25">
      <c r="A100">
        <v>2023</v>
      </c>
      <c r="B100" t="s">
        <v>772</v>
      </c>
      <c r="C100" t="s">
        <v>2899</v>
      </c>
      <c r="D100" t="s">
        <v>730</v>
      </c>
      <c r="E100" t="s">
        <v>60</v>
      </c>
      <c r="F100" t="s">
        <v>1437</v>
      </c>
      <c r="H100" t="s">
        <v>2202</v>
      </c>
      <c r="I100" t="s">
        <v>11</v>
      </c>
      <c r="J100" t="s">
        <v>19</v>
      </c>
      <c r="K100" t="s">
        <v>16</v>
      </c>
      <c r="L100" t="s">
        <v>16</v>
      </c>
      <c r="M100" t="s">
        <v>2989</v>
      </c>
      <c r="N100" t="s">
        <v>1730</v>
      </c>
      <c r="O100" t="s">
        <v>2894</v>
      </c>
      <c r="P100" t="s">
        <v>3004</v>
      </c>
      <c r="Q100" t="s">
        <v>1546</v>
      </c>
      <c r="R100" s="31">
        <v>191148</v>
      </c>
      <c r="T100" t="s">
        <v>1729</v>
      </c>
    </row>
    <row r="101" spans="1:20" hidden="1" x14ac:dyDescent="0.25">
      <c r="A101">
        <v>2023</v>
      </c>
      <c r="B101" t="s">
        <v>772</v>
      </c>
      <c r="C101" t="s">
        <v>2899</v>
      </c>
      <c r="D101" t="s">
        <v>730</v>
      </c>
      <c r="E101" t="s">
        <v>60</v>
      </c>
      <c r="F101" t="s">
        <v>1437</v>
      </c>
      <c r="H101" t="s">
        <v>2202</v>
      </c>
      <c r="I101" t="s">
        <v>11</v>
      </c>
      <c r="J101" t="s">
        <v>19</v>
      </c>
      <c r="K101" t="s">
        <v>16</v>
      </c>
      <c r="L101" t="s">
        <v>1549</v>
      </c>
      <c r="M101" t="s">
        <v>2990</v>
      </c>
      <c r="N101" t="s">
        <v>3187</v>
      </c>
      <c r="O101" t="s">
        <v>2894</v>
      </c>
      <c r="P101" t="s">
        <v>3004</v>
      </c>
      <c r="Q101" t="s">
        <v>1732</v>
      </c>
      <c r="R101" s="31">
        <v>2908</v>
      </c>
      <c r="S101" s="50"/>
      <c r="T101" s="2" t="s">
        <v>3191</v>
      </c>
    </row>
    <row r="102" spans="1:20" hidden="1" x14ac:dyDescent="0.25">
      <c r="A102">
        <v>2023</v>
      </c>
      <c r="B102" t="s">
        <v>772</v>
      </c>
      <c r="C102" t="s">
        <v>2899</v>
      </c>
      <c r="D102" t="s">
        <v>718</v>
      </c>
      <c r="E102" t="s">
        <v>315</v>
      </c>
      <c r="F102" t="s">
        <v>1351</v>
      </c>
      <c r="H102" t="s">
        <v>2149</v>
      </c>
      <c r="I102" t="s">
        <v>233</v>
      </c>
      <c r="J102" t="s">
        <v>249</v>
      </c>
      <c r="K102" t="s">
        <v>248</v>
      </c>
      <c r="L102" t="s">
        <v>376</v>
      </c>
      <c r="M102" t="s">
        <v>2991</v>
      </c>
      <c r="N102" t="s">
        <v>2277</v>
      </c>
      <c r="O102" t="s">
        <v>2893</v>
      </c>
      <c r="P102" t="s">
        <v>3004</v>
      </c>
      <c r="Q102" t="s">
        <v>1546</v>
      </c>
      <c r="R102" s="31">
        <v>432000</v>
      </c>
      <c r="T102" s="2" t="s">
        <v>2910</v>
      </c>
    </row>
    <row r="103" spans="1:20" hidden="1" x14ac:dyDescent="0.25">
      <c r="A103">
        <v>2023</v>
      </c>
      <c r="B103" t="s">
        <v>772</v>
      </c>
      <c r="C103" t="s">
        <v>2899</v>
      </c>
      <c r="D103" t="s">
        <v>718</v>
      </c>
      <c r="E103" t="s">
        <v>315</v>
      </c>
      <c r="F103" t="s">
        <v>1351</v>
      </c>
      <c r="H103" t="s">
        <v>2149</v>
      </c>
      <c r="I103" t="s">
        <v>233</v>
      </c>
      <c r="J103" t="s">
        <v>249</v>
      </c>
      <c r="K103" t="s">
        <v>248</v>
      </c>
      <c r="L103" t="s">
        <v>376</v>
      </c>
      <c r="M103" t="s">
        <v>2991</v>
      </c>
      <c r="N103" t="s">
        <v>2277</v>
      </c>
      <c r="O103" t="s">
        <v>2894</v>
      </c>
      <c r="P103" t="s">
        <v>3004</v>
      </c>
      <c r="Q103" t="s">
        <v>1566</v>
      </c>
      <c r="R103" s="31">
        <v>377.27207800000002</v>
      </c>
      <c r="T103" t="s">
        <v>2272</v>
      </c>
    </row>
    <row r="104" spans="1:20" hidden="1" x14ac:dyDescent="0.25">
      <c r="A104">
        <v>2023</v>
      </c>
      <c r="B104" t="s">
        <v>772</v>
      </c>
      <c r="C104" t="s">
        <v>2899</v>
      </c>
      <c r="D104" t="s">
        <v>859</v>
      </c>
      <c r="E104" t="s">
        <v>203</v>
      </c>
      <c r="F104" t="s">
        <v>1277</v>
      </c>
      <c r="H104" t="s">
        <v>2101</v>
      </c>
      <c r="I104" t="s">
        <v>11</v>
      </c>
      <c r="J104" t="s">
        <v>23</v>
      </c>
      <c r="K104" t="s">
        <v>204</v>
      </c>
      <c r="L104" t="s">
        <v>16</v>
      </c>
      <c r="M104" t="s">
        <v>2990</v>
      </c>
      <c r="N104" t="s">
        <v>3187</v>
      </c>
      <c r="O104" t="s">
        <v>2894</v>
      </c>
      <c r="P104" t="s">
        <v>3004</v>
      </c>
      <c r="Q104" t="s">
        <v>1548</v>
      </c>
      <c r="R104" s="31">
        <v>19100</v>
      </c>
      <c r="S104" t="s">
        <v>3207</v>
      </c>
      <c r="T104" t="s">
        <v>3206</v>
      </c>
    </row>
    <row r="105" spans="1:20" hidden="1" x14ac:dyDescent="0.25">
      <c r="A105">
        <v>2023</v>
      </c>
      <c r="B105" t="s">
        <v>772</v>
      </c>
      <c r="C105" t="s">
        <v>2899</v>
      </c>
      <c r="D105" t="s">
        <v>859</v>
      </c>
      <c r="E105" t="s">
        <v>203</v>
      </c>
      <c r="F105" t="s">
        <v>1277</v>
      </c>
      <c r="H105" t="s">
        <v>2101</v>
      </c>
      <c r="I105" t="s">
        <v>11</v>
      </c>
      <c r="J105" t="s">
        <v>23</v>
      </c>
      <c r="K105" t="s">
        <v>204</v>
      </c>
      <c r="L105" t="s">
        <v>1772</v>
      </c>
      <c r="M105" t="s">
        <v>2989</v>
      </c>
      <c r="N105" t="s">
        <v>1730</v>
      </c>
      <c r="O105" t="s">
        <v>2894</v>
      </c>
      <c r="P105" t="s">
        <v>3004</v>
      </c>
      <c r="Q105" t="s">
        <v>1546</v>
      </c>
      <c r="R105" s="31">
        <v>3798000</v>
      </c>
      <c r="T105" t="s">
        <v>3206</v>
      </c>
    </row>
    <row r="106" spans="1:20" hidden="1" x14ac:dyDescent="0.25">
      <c r="A106">
        <v>2023</v>
      </c>
      <c r="B106" t="s">
        <v>772</v>
      </c>
      <c r="C106" t="s">
        <v>2899</v>
      </c>
      <c r="D106" t="s">
        <v>859</v>
      </c>
      <c r="E106" t="s">
        <v>203</v>
      </c>
      <c r="F106" t="s">
        <v>1277</v>
      </c>
      <c r="H106" t="s">
        <v>2101</v>
      </c>
      <c r="I106" t="s">
        <v>11</v>
      </c>
      <c r="J106" t="s">
        <v>23</v>
      </c>
      <c r="K106" t="s">
        <v>204</v>
      </c>
      <c r="L106" t="s">
        <v>1769</v>
      </c>
      <c r="M106" t="s">
        <v>2990</v>
      </c>
      <c r="N106" t="s">
        <v>3187</v>
      </c>
      <c r="O106" t="s">
        <v>2894</v>
      </c>
      <c r="P106" t="s">
        <v>3004</v>
      </c>
      <c r="Q106" t="s">
        <v>1548</v>
      </c>
      <c r="R106" s="31">
        <v>25000</v>
      </c>
      <c r="S106" t="s">
        <v>3207</v>
      </c>
      <c r="T106" t="s">
        <v>3206</v>
      </c>
    </row>
    <row r="107" spans="1:20" hidden="1" x14ac:dyDescent="0.25">
      <c r="A107">
        <v>2023</v>
      </c>
      <c r="B107" t="s">
        <v>772</v>
      </c>
      <c r="C107" t="s">
        <v>2899</v>
      </c>
      <c r="D107" t="s">
        <v>859</v>
      </c>
      <c r="E107" t="s">
        <v>203</v>
      </c>
      <c r="F107" t="s">
        <v>1277</v>
      </c>
      <c r="H107" t="s">
        <v>2101</v>
      </c>
      <c r="I107" t="s">
        <v>11</v>
      </c>
      <c r="J107" t="s">
        <v>23</v>
      </c>
      <c r="K107" t="s">
        <v>204</v>
      </c>
      <c r="L107" t="s">
        <v>1768</v>
      </c>
      <c r="M107" t="s">
        <v>2990</v>
      </c>
      <c r="N107" t="s">
        <v>3187</v>
      </c>
      <c r="O107" t="s">
        <v>2894</v>
      </c>
      <c r="P107" t="s">
        <v>3004</v>
      </c>
      <c r="Q107" t="s">
        <v>1548</v>
      </c>
      <c r="R107" s="31">
        <v>21800</v>
      </c>
      <c r="S107" t="s">
        <v>3207</v>
      </c>
      <c r="T107" t="s">
        <v>3206</v>
      </c>
    </row>
    <row r="108" spans="1:20" hidden="1" x14ac:dyDescent="0.25">
      <c r="A108">
        <v>2023</v>
      </c>
      <c r="B108" t="s">
        <v>772</v>
      </c>
      <c r="C108" t="s">
        <v>2899</v>
      </c>
      <c r="D108" t="s">
        <v>717</v>
      </c>
      <c r="E108" t="s">
        <v>89</v>
      </c>
      <c r="F108" t="s">
        <v>1269</v>
      </c>
      <c r="G108" t="s">
        <v>1849</v>
      </c>
      <c r="H108" t="s">
        <v>1848</v>
      </c>
      <c r="I108" t="s">
        <v>11</v>
      </c>
      <c r="J108" t="s">
        <v>44</v>
      </c>
      <c r="K108" t="s">
        <v>90</v>
      </c>
      <c r="L108" t="s">
        <v>1772</v>
      </c>
      <c r="M108" t="s">
        <v>2988</v>
      </c>
      <c r="N108" t="s">
        <v>1594</v>
      </c>
      <c r="O108" t="s">
        <v>2894</v>
      </c>
      <c r="P108" t="s">
        <v>3004</v>
      </c>
      <c r="Q108" t="s">
        <v>1546</v>
      </c>
      <c r="R108" s="31">
        <v>1526729</v>
      </c>
      <c r="T108" t="s">
        <v>1773</v>
      </c>
    </row>
    <row r="109" spans="1:20" hidden="1" x14ac:dyDescent="0.25">
      <c r="A109">
        <v>2023</v>
      </c>
      <c r="B109" t="s">
        <v>772</v>
      </c>
      <c r="C109" t="s">
        <v>2899</v>
      </c>
      <c r="D109" t="s">
        <v>30</v>
      </c>
      <c r="E109" t="s">
        <v>31</v>
      </c>
      <c r="F109" t="s">
        <v>1210</v>
      </c>
      <c r="H109" t="s">
        <v>2062</v>
      </c>
      <c r="I109" t="s">
        <v>11</v>
      </c>
      <c r="J109" t="s">
        <v>13</v>
      </c>
      <c r="K109" t="s">
        <v>16</v>
      </c>
      <c r="L109" t="s">
        <v>16</v>
      </c>
      <c r="M109" t="s">
        <v>2990</v>
      </c>
      <c r="N109" t="s">
        <v>3187</v>
      </c>
      <c r="O109" t="s">
        <v>2894</v>
      </c>
      <c r="P109" t="s">
        <v>3004</v>
      </c>
      <c r="Q109" t="s">
        <v>1548</v>
      </c>
      <c r="R109" s="31">
        <v>177069</v>
      </c>
      <c r="T109" t="s">
        <v>1879</v>
      </c>
    </row>
    <row r="110" spans="1:20" hidden="1" x14ac:dyDescent="0.25">
      <c r="A110">
        <v>2023</v>
      </c>
      <c r="B110" t="s">
        <v>772</v>
      </c>
      <c r="C110" t="s">
        <v>2899</v>
      </c>
      <c r="D110" t="s">
        <v>30</v>
      </c>
      <c r="E110" t="s">
        <v>31</v>
      </c>
      <c r="F110" t="s">
        <v>1210</v>
      </c>
      <c r="H110" t="s">
        <v>2062</v>
      </c>
      <c r="I110" t="s">
        <v>11</v>
      </c>
      <c r="J110" t="s">
        <v>13</v>
      </c>
      <c r="K110" t="s">
        <v>16</v>
      </c>
      <c r="L110" t="s">
        <v>16</v>
      </c>
      <c r="M110" t="s">
        <v>2989</v>
      </c>
      <c r="N110" t="s">
        <v>1730</v>
      </c>
      <c r="O110" t="s">
        <v>2894</v>
      </c>
      <c r="P110" t="s">
        <v>3004</v>
      </c>
      <c r="Q110" t="s">
        <v>1546</v>
      </c>
      <c r="R110" s="31">
        <v>838419</v>
      </c>
      <c r="T110" t="s">
        <v>1879</v>
      </c>
    </row>
    <row r="111" spans="1:20" hidden="1" x14ac:dyDescent="0.25">
      <c r="A111">
        <v>2023</v>
      </c>
      <c r="B111" t="s">
        <v>772</v>
      </c>
      <c r="C111" t="s">
        <v>2899</v>
      </c>
      <c r="D111" t="s">
        <v>30</v>
      </c>
      <c r="E111" t="s">
        <v>31</v>
      </c>
      <c r="F111" t="s">
        <v>1210</v>
      </c>
      <c r="H111" t="s">
        <v>2062</v>
      </c>
      <c r="I111" t="s">
        <v>11</v>
      </c>
      <c r="J111" t="s">
        <v>13</v>
      </c>
      <c r="K111" t="s">
        <v>16</v>
      </c>
      <c r="L111" t="s">
        <v>1549</v>
      </c>
      <c r="M111" t="s">
        <v>2990</v>
      </c>
      <c r="N111" t="s">
        <v>3187</v>
      </c>
      <c r="O111" t="s">
        <v>2894</v>
      </c>
      <c r="P111" t="s">
        <v>3004</v>
      </c>
      <c r="Q111" t="s">
        <v>1548</v>
      </c>
      <c r="R111" s="31">
        <v>72876</v>
      </c>
      <c r="T111" t="s">
        <v>3191</v>
      </c>
    </row>
    <row r="112" spans="1:20" hidden="1" x14ac:dyDescent="0.25">
      <c r="A112">
        <v>2023</v>
      </c>
      <c r="B112" t="s">
        <v>772</v>
      </c>
      <c r="C112" t="s">
        <v>2899</v>
      </c>
      <c r="D112" t="s">
        <v>14</v>
      </c>
      <c r="E112" t="s">
        <v>91</v>
      </c>
      <c r="F112" t="s">
        <v>1126</v>
      </c>
      <c r="H112" t="s">
        <v>2016</v>
      </c>
      <c r="I112" t="s">
        <v>11</v>
      </c>
      <c r="J112" t="s">
        <v>23</v>
      </c>
      <c r="K112" t="s">
        <v>92</v>
      </c>
      <c r="L112" t="s">
        <v>125</v>
      </c>
      <c r="M112" t="s">
        <v>2990</v>
      </c>
      <c r="N112" t="s">
        <v>1774</v>
      </c>
      <c r="O112" t="s">
        <v>2894</v>
      </c>
      <c r="P112" t="s">
        <v>3004</v>
      </c>
      <c r="Q112" t="s">
        <v>1546</v>
      </c>
      <c r="R112" s="31">
        <v>2577.9603750000001</v>
      </c>
      <c r="S112" t="s">
        <v>3196</v>
      </c>
      <c r="T112" t="s">
        <v>2974</v>
      </c>
    </row>
    <row r="113" spans="1:20" hidden="1" x14ac:dyDescent="0.25">
      <c r="A113">
        <v>2023</v>
      </c>
      <c r="B113" t="s">
        <v>772</v>
      </c>
      <c r="C113" t="s">
        <v>2899</v>
      </c>
      <c r="D113" t="s">
        <v>14</v>
      </c>
      <c r="E113" t="s">
        <v>91</v>
      </c>
      <c r="F113" t="s">
        <v>1126</v>
      </c>
      <c r="H113" t="s">
        <v>2016</v>
      </c>
      <c r="I113" t="s">
        <v>11</v>
      </c>
      <c r="J113" t="s">
        <v>23</v>
      </c>
      <c r="K113" t="s">
        <v>92</v>
      </c>
      <c r="L113" t="s">
        <v>16</v>
      </c>
      <c r="M113" t="s">
        <v>2990</v>
      </c>
      <c r="N113" t="s">
        <v>3187</v>
      </c>
      <c r="O113" t="s">
        <v>2894</v>
      </c>
      <c r="P113" t="s">
        <v>3004</v>
      </c>
      <c r="Q113" t="s">
        <v>1548</v>
      </c>
      <c r="R113" s="31">
        <v>235991</v>
      </c>
      <c r="S113" t="s">
        <v>3196</v>
      </c>
      <c r="T113" t="s">
        <v>2974</v>
      </c>
    </row>
    <row r="114" spans="1:20" hidden="1" x14ac:dyDescent="0.25">
      <c r="A114">
        <v>2023</v>
      </c>
      <c r="B114" t="s">
        <v>772</v>
      </c>
      <c r="C114" t="s">
        <v>2899</v>
      </c>
      <c r="D114" t="s">
        <v>14</v>
      </c>
      <c r="E114" t="s">
        <v>91</v>
      </c>
      <c r="F114" t="s">
        <v>1126</v>
      </c>
      <c r="H114" t="s">
        <v>2016</v>
      </c>
      <c r="I114" t="s">
        <v>11</v>
      </c>
      <c r="J114" t="s">
        <v>23</v>
      </c>
      <c r="K114" t="s">
        <v>92</v>
      </c>
      <c r="L114" t="s">
        <v>1772</v>
      </c>
      <c r="M114" t="s">
        <v>2989</v>
      </c>
      <c r="N114" t="s">
        <v>1545</v>
      </c>
      <c r="O114" t="s">
        <v>2894</v>
      </c>
      <c r="P114" t="s">
        <v>3004</v>
      </c>
      <c r="Q114" t="s">
        <v>1566</v>
      </c>
      <c r="R114" s="31">
        <v>1501.5</v>
      </c>
      <c r="S114" t="s">
        <v>3196</v>
      </c>
      <c r="T114" t="s">
        <v>2974</v>
      </c>
    </row>
    <row r="115" spans="1:20" hidden="1" x14ac:dyDescent="0.25">
      <c r="A115">
        <v>2023</v>
      </c>
      <c r="B115" t="s">
        <v>772</v>
      </c>
      <c r="C115" t="s">
        <v>2899</v>
      </c>
      <c r="D115" t="s">
        <v>14</v>
      </c>
      <c r="E115" t="s">
        <v>91</v>
      </c>
      <c r="F115" t="s">
        <v>1126</v>
      </c>
      <c r="H115" t="s">
        <v>2016</v>
      </c>
      <c r="I115" t="s">
        <v>11</v>
      </c>
      <c r="J115" t="s">
        <v>23</v>
      </c>
      <c r="K115" t="s">
        <v>92</v>
      </c>
      <c r="L115" t="s">
        <v>1549</v>
      </c>
      <c r="M115" t="s">
        <v>2990</v>
      </c>
      <c r="N115" t="s">
        <v>3187</v>
      </c>
      <c r="O115" t="s">
        <v>2894</v>
      </c>
      <c r="P115" t="s">
        <v>3004</v>
      </c>
      <c r="Q115" t="s">
        <v>1550</v>
      </c>
      <c r="R115" s="31">
        <v>575</v>
      </c>
      <c r="S115" t="s">
        <v>3196</v>
      </c>
      <c r="T115" t="s">
        <v>2974</v>
      </c>
    </row>
    <row r="116" spans="1:20" hidden="1" x14ac:dyDescent="0.25">
      <c r="A116">
        <v>2023</v>
      </c>
      <c r="B116" t="s">
        <v>772</v>
      </c>
      <c r="C116" t="s">
        <v>2899</v>
      </c>
      <c r="D116" t="s">
        <v>14</v>
      </c>
      <c r="E116" t="s">
        <v>91</v>
      </c>
      <c r="F116" t="s">
        <v>1126</v>
      </c>
      <c r="H116" t="s">
        <v>2016</v>
      </c>
      <c r="I116" t="s">
        <v>11</v>
      </c>
      <c r="J116" t="s">
        <v>23</v>
      </c>
      <c r="K116" t="s">
        <v>92</v>
      </c>
      <c r="L116" t="s">
        <v>1551</v>
      </c>
      <c r="M116" t="s">
        <v>2990</v>
      </c>
      <c r="N116" t="s">
        <v>1774</v>
      </c>
      <c r="O116" t="s">
        <v>2894</v>
      </c>
      <c r="P116" t="s">
        <v>3004</v>
      </c>
      <c r="Q116" t="s">
        <v>1546</v>
      </c>
      <c r="R116" s="31">
        <v>7702.4385169999996</v>
      </c>
      <c r="S116" t="s">
        <v>3196</v>
      </c>
      <c r="T116" t="s">
        <v>2974</v>
      </c>
    </row>
    <row r="117" spans="1:20" hidden="1" x14ac:dyDescent="0.25">
      <c r="A117">
        <v>2023</v>
      </c>
      <c r="B117" t="s">
        <v>772</v>
      </c>
      <c r="C117" t="s">
        <v>2899</v>
      </c>
      <c r="D117" t="s">
        <v>718</v>
      </c>
      <c r="E117" t="s">
        <v>317</v>
      </c>
      <c r="F117" t="s">
        <v>1347</v>
      </c>
      <c r="G117" t="s">
        <v>2151</v>
      </c>
      <c r="H117" t="s">
        <v>2149</v>
      </c>
      <c r="I117" t="s">
        <v>233</v>
      </c>
      <c r="J117" t="s">
        <v>249</v>
      </c>
      <c r="K117" t="s">
        <v>248</v>
      </c>
      <c r="L117" t="s">
        <v>376</v>
      </c>
      <c r="M117" t="s">
        <v>2991</v>
      </c>
      <c r="N117" t="s">
        <v>2277</v>
      </c>
      <c r="O117" t="s">
        <v>2893</v>
      </c>
      <c r="P117" t="s">
        <v>3004</v>
      </c>
      <c r="Q117" t="s">
        <v>1546</v>
      </c>
      <c r="R117" s="31">
        <v>257000</v>
      </c>
      <c r="T117" s="2" t="s">
        <v>2910</v>
      </c>
    </row>
    <row r="118" spans="1:20" hidden="1" x14ac:dyDescent="0.25">
      <c r="A118">
        <v>2023</v>
      </c>
      <c r="B118" t="s">
        <v>772</v>
      </c>
      <c r="C118" t="s">
        <v>2899</v>
      </c>
      <c r="D118" t="s">
        <v>718</v>
      </c>
      <c r="E118" t="s">
        <v>317</v>
      </c>
      <c r="F118" t="s">
        <v>1347</v>
      </c>
      <c r="G118" t="s">
        <v>2151</v>
      </c>
      <c r="H118" t="s">
        <v>2149</v>
      </c>
      <c r="I118" t="s">
        <v>233</v>
      </c>
      <c r="J118" t="s">
        <v>249</v>
      </c>
      <c r="K118" t="s">
        <v>248</v>
      </c>
      <c r="L118" t="s">
        <v>376</v>
      </c>
      <c r="M118" t="s">
        <v>2991</v>
      </c>
      <c r="N118" t="s">
        <v>2277</v>
      </c>
      <c r="O118" t="s">
        <v>2894</v>
      </c>
      <c r="P118" t="s">
        <v>3004</v>
      </c>
      <c r="Q118" t="s">
        <v>1566</v>
      </c>
      <c r="R118" s="31">
        <v>243.851812</v>
      </c>
      <c r="T118" t="s">
        <v>2272</v>
      </c>
    </row>
    <row r="119" spans="1:20" hidden="1" x14ac:dyDescent="0.25">
      <c r="A119">
        <v>2023</v>
      </c>
      <c r="B119" t="s">
        <v>772</v>
      </c>
      <c r="C119" t="s">
        <v>2899</v>
      </c>
      <c r="D119" t="s">
        <v>719</v>
      </c>
      <c r="E119" t="s">
        <v>318</v>
      </c>
      <c r="F119" t="s">
        <v>1429</v>
      </c>
      <c r="H119" t="s">
        <v>2191</v>
      </c>
      <c r="I119" t="s">
        <v>233</v>
      </c>
      <c r="J119" t="s">
        <v>274</v>
      </c>
      <c r="K119" t="s">
        <v>183</v>
      </c>
      <c r="L119" t="s">
        <v>557</v>
      </c>
      <c r="M119" t="s">
        <v>2992</v>
      </c>
      <c r="N119" t="s">
        <v>2349</v>
      </c>
      <c r="O119" t="s">
        <v>2894</v>
      </c>
      <c r="P119" t="s">
        <v>3004</v>
      </c>
      <c r="Q119" t="s">
        <v>1566</v>
      </c>
      <c r="R119" s="31">
        <v>27.7</v>
      </c>
      <c r="S119" t="s">
        <v>3211</v>
      </c>
    </row>
    <row r="120" spans="1:20" x14ac:dyDescent="0.25">
      <c r="A120">
        <v>2023</v>
      </c>
      <c r="B120" t="s">
        <v>772</v>
      </c>
      <c r="C120" t="s">
        <v>2899</v>
      </c>
      <c r="D120" t="s">
        <v>14</v>
      </c>
      <c r="E120" t="s">
        <v>67</v>
      </c>
      <c r="F120" t="s">
        <v>1128</v>
      </c>
      <c r="H120" t="s">
        <v>2016</v>
      </c>
      <c r="I120" t="s">
        <v>11</v>
      </c>
      <c r="J120" t="s">
        <v>21</v>
      </c>
      <c r="K120" t="s">
        <v>64</v>
      </c>
      <c r="L120" t="s">
        <v>16</v>
      </c>
      <c r="M120" t="s">
        <v>2990</v>
      </c>
      <c r="N120" t="s">
        <v>3187</v>
      </c>
      <c r="O120" t="s">
        <v>2894</v>
      </c>
      <c r="P120" t="s">
        <v>3004</v>
      </c>
      <c r="Q120" t="s">
        <v>1548</v>
      </c>
      <c r="R120" s="31">
        <v>228535</v>
      </c>
      <c r="T120" t="s">
        <v>1547</v>
      </c>
    </row>
    <row r="121" spans="1:20" x14ac:dyDescent="0.25">
      <c r="A121">
        <v>2023</v>
      </c>
      <c r="B121" t="s">
        <v>772</v>
      </c>
      <c r="C121" t="s">
        <v>2899</v>
      </c>
      <c r="D121" t="s">
        <v>14</v>
      </c>
      <c r="E121" t="s">
        <v>67</v>
      </c>
      <c r="F121" t="s">
        <v>1128</v>
      </c>
      <c r="H121" t="s">
        <v>2016</v>
      </c>
      <c r="I121" t="s">
        <v>11</v>
      </c>
      <c r="J121" t="s">
        <v>21</v>
      </c>
      <c r="K121" t="s">
        <v>64</v>
      </c>
      <c r="L121" t="s">
        <v>1772</v>
      </c>
      <c r="M121" t="s">
        <v>2989</v>
      </c>
      <c r="N121" t="s">
        <v>1545</v>
      </c>
      <c r="O121" t="s">
        <v>2894</v>
      </c>
      <c r="P121" t="s">
        <v>3004</v>
      </c>
      <c r="Q121" t="s">
        <v>1546</v>
      </c>
      <c r="R121" s="31">
        <v>441588</v>
      </c>
      <c r="T121" t="s">
        <v>1547</v>
      </c>
    </row>
    <row r="122" spans="1:20" hidden="1" x14ac:dyDescent="0.25">
      <c r="A122">
        <v>2024</v>
      </c>
      <c r="B122" t="s">
        <v>772</v>
      </c>
      <c r="C122" t="s">
        <v>2899</v>
      </c>
      <c r="D122" t="s">
        <v>784</v>
      </c>
      <c r="E122" t="s">
        <v>69</v>
      </c>
      <c r="F122" t="s">
        <v>1159</v>
      </c>
      <c r="H122" t="s">
        <v>2031</v>
      </c>
      <c r="I122" t="s">
        <v>11</v>
      </c>
      <c r="J122" t="s">
        <v>19</v>
      </c>
      <c r="K122" t="s">
        <v>64</v>
      </c>
      <c r="L122" t="s">
        <v>16</v>
      </c>
      <c r="M122" t="s">
        <v>2990</v>
      </c>
      <c r="N122" t="s">
        <v>3187</v>
      </c>
      <c r="O122" t="s">
        <v>2894</v>
      </c>
      <c r="P122" t="s">
        <v>3004</v>
      </c>
      <c r="Q122" t="s">
        <v>1548</v>
      </c>
      <c r="R122" s="31">
        <v>33000</v>
      </c>
      <c r="S122" t="s">
        <v>2928</v>
      </c>
      <c r="T122" t="s">
        <v>1601</v>
      </c>
    </row>
    <row r="123" spans="1:20" hidden="1" x14ac:dyDescent="0.25">
      <c r="A123">
        <v>2024</v>
      </c>
      <c r="B123" t="s">
        <v>772</v>
      </c>
      <c r="C123" t="s">
        <v>2899</v>
      </c>
      <c r="D123" t="s">
        <v>784</v>
      </c>
      <c r="E123" t="s">
        <v>69</v>
      </c>
      <c r="F123" t="s">
        <v>1159</v>
      </c>
      <c r="H123" t="s">
        <v>2031</v>
      </c>
      <c r="I123" t="s">
        <v>11</v>
      </c>
      <c r="J123" t="s">
        <v>19</v>
      </c>
      <c r="K123" t="s">
        <v>64</v>
      </c>
      <c r="L123" t="s">
        <v>16</v>
      </c>
      <c r="M123" t="s">
        <v>2988</v>
      </c>
      <c r="N123" t="s">
        <v>1594</v>
      </c>
      <c r="O123" t="s">
        <v>2894</v>
      </c>
      <c r="P123" t="s">
        <v>3004</v>
      </c>
      <c r="Q123" t="s">
        <v>1546</v>
      </c>
      <c r="R123" s="31">
        <v>1838496</v>
      </c>
      <c r="S123" t="s">
        <v>2928</v>
      </c>
      <c r="T123" t="s">
        <v>1601</v>
      </c>
    </row>
    <row r="124" spans="1:20" hidden="1" x14ac:dyDescent="0.25">
      <c r="A124">
        <v>2024</v>
      </c>
      <c r="B124" t="s">
        <v>772</v>
      </c>
      <c r="C124" t="s">
        <v>2899</v>
      </c>
      <c r="D124" t="s">
        <v>784</v>
      </c>
      <c r="E124" t="s">
        <v>69</v>
      </c>
      <c r="F124" t="s">
        <v>1159</v>
      </c>
      <c r="H124" t="s">
        <v>2031</v>
      </c>
      <c r="I124" t="s">
        <v>11</v>
      </c>
      <c r="J124" t="s">
        <v>19</v>
      </c>
      <c r="K124" t="s">
        <v>64</v>
      </c>
      <c r="L124" t="s">
        <v>16</v>
      </c>
      <c r="M124" t="s">
        <v>2989</v>
      </c>
      <c r="N124" t="s">
        <v>1545</v>
      </c>
      <c r="O124" t="s">
        <v>2894</v>
      </c>
      <c r="P124" t="s">
        <v>3004</v>
      </c>
      <c r="Q124" t="s">
        <v>1546</v>
      </c>
      <c r="R124" s="31">
        <v>1165551</v>
      </c>
      <c r="S124" t="s">
        <v>2928</v>
      </c>
      <c r="T124" t="s">
        <v>1601</v>
      </c>
    </row>
    <row r="125" spans="1:20" hidden="1" x14ac:dyDescent="0.25">
      <c r="A125">
        <v>2023</v>
      </c>
      <c r="B125" t="s">
        <v>772</v>
      </c>
      <c r="C125" t="s">
        <v>2899</v>
      </c>
      <c r="D125" t="s">
        <v>159</v>
      </c>
      <c r="E125" t="s">
        <v>160</v>
      </c>
      <c r="F125" t="s">
        <v>1165</v>
      </c>
      <c r="H125" t="s">
        <v>2035</v>
      </c>
      <c r="I125" t="s">
        <v>11</v>
      </c>
      <c r="J125" t="s">
        <v>34</v>
      </c>
      <c r="K125" t="s">
        <v>157</v>
      </c>
      <c r="L125" t="s">
        <v>157</v>
      </c>
      <c r="M125" t="s">
        <v>2989</v>
      </c>
      <c r="N125" t="s">
        <v>1545</v>
      </c>
      <c r="O125" t="s">
        <v>2894</v>
      </c>
      <c r="P125" t="s">
        <v>3004</v>
      </c>
      <c r="Q125" t="s">
        <v>1566</v>
      </c>
      <c r="R125" s="31">
        <v>5600</v>
      </c>
      <c r="S125" t="s">
        <v>3176</v>
      </c>
      <c r="T125" s="2" t="s">
        <v>3154</v>
      </c>
    </row>
    <row r="126" spans="1:20" hidden="1" x14ac:dyDescent="0.25">
      <c r="A126">
        <v>2022</v>
      </c>
      <c r="B126" t="s">
        <v>772</v>
      </c>
      <c r="C126" t="s">
        <v>2899</v>
      </c>
      <c r="D126" t="s">
        <v>887</v>
      </c>
      <c r="E126" t="s">
        <v>214</v>
      </c>
      <c r="F126" t="s">
        <v>1336</v>
      </c>
      <c r="G126" t="s">
        <v>3227</v>
      </c>
      <c r="H126" t="s">
        <v>2145</v>
      </c>
      <c r="I126" t="s">
        <v>11</v>
      </c>
      <c r="J126" t="s">
        <v>21</v>
      </c>
      <c r="K126" t="s">
        <v>210</v>
      </c>
      <c r="L126" t="s">
        <v>210</v>
      </c>
      <c r="M126" t="s">
        <v>2990</v>
      </c>
      <c r="N126" t="s">
        <v>1774</v>
      </c>
      <c r="O126" t="s">
        <v>2894</v>
      </c>
      <c r="P126" t="s">
        <v>3004</v>
      </c>
      <c r="Q126" t="s">
        <v>1709</v>
      </c>
      <c r="R126" s="31">
        <v>18</v>
      </c>
      <c r="S126" t="s">
        <v>3182</v>
      </c>
      <c r="T126" s="2" t="s">
        <v>1039</v>
      </c>
    </row>
    <row r="127" spans="1:20" hidden="1" x14ac:dyDescent="0.25">
      <c r="A127">
        <v>2022</v>
      </c>
      <c r="B127" t="s">
        <v>772</v>
      </c>
      <c r="C127" t="s">
        <v>2899</v>
      </c>
      <c r="D127" t="s">
        <v>887</v>
      </c>
      <c r="E127" t="s">
        <v>214</v>
      </c>
      <c r="F127" t="s">
        <v>1336</v>
      </c>
      <c r="G127" t="s">
        <v>3227</v>
      </c>
      <c r="H127" t="s">
        <v>2145</v>
      </c>
      <c r="I127" t="s">
        <v>11</v>
      </c>
      <c r="J127" t="s">
        <v>21</v>
      </c>
      <c r="K127" t="s">
        <v>210</v>
      </c>
      <c r="L127" t="s">
        <v>210</v>
      </c>
      <c r="M127" t="s">
        <v>2990</v>
      </c>
      <c r="N127" t="s">
        <v>1774</v>
      </c>
      <c r="O127" t="s">
        <v>2893</v>
      </c>
      <c r="P127" t="s">
        <v>3004</v>
      </c>
      <c r="Q127" t="s">
        <v>1709</v>
      </c>
      <c r="R127" s="31">
        <v>24</v>
      </c>
      <c r="S127" t="s">
        <v>3182</v>
      </c>
      <c r="T127" s="2" t="s">
        <v>1039</v>
      </c>
    </row>
    <row r="128" spans="1:20" hidden="1" x14ac:dyDescent="0.25">
      <c r="A128">
        <v>2023</v>
      </c>
      <c r="B128" t="s">
        <v>772</v>
      </c>
      <c r="C128" t="s">
        <v>2899</v>
      </c>
      <c r="D128" t="s">
        <v>138</v>
      </c>
      <c r="E128" t="s">
        <v>139</v>
      </c>
      <c r="F128" t="s">
        <v>1285</v>
      </c>
      <c r="H128" t="s">
        <v>2106</v>
      </c>
      <c r="I128" t="s">
        <v>11</v>
      </c>
      <c r="J128" t="s">
        <v>44</v>
      </c>
      <c r="K128" t="s">
        <v>141</v>
      </c>
      <c r="L128" t="s">
        <v>1772</v>
      </c>
      <c r="M128" t="s">
        <v>2988</v>
      </c>
      <c r="N128" t="s">
        <v>1594</v>
      </c>
      <c r="O128" t="s">
        <v>2894</v>
      </c>
      <c r="P128" t="s">
        <v>3004</v>
      </c>
      <c r="Q128" t="s">
        <v>1546</v>
      </c>
      <c r="R128" s="31">
        <v>317660</v>
      </c>
      <c r="S128" t="s">
        <v>3006</v>
      </c>
      <c r="T128" s="2" t="s">
        <v>2107</v>
      </c>
    </row>
    <row r="129" spans="1:20" hidden="1" x14ac:dyDescent="0.25">
      <c r="A129">
        <v>2023</v>
      </c>
      <c r="B129" t="s">
        <v>1537</v>
      </c>
      <c r="C129" t="s">
        <v>2899</v>
      </c>
      <c r="D129" t="s">
        <v>14</v>
      </c>
      <c r="E129" t="s">
        <v>2017</v>
      </c>
      <c r="G129" t="s">
        <v>1749</v>
      </c>
      <c r="H129" t="s">
        <v>2016</v>
      </c>
      <c r="I129" t="s">
        <v>11</v>
      </c>
      <c r="J129" t="s">
        <v>23</v>
      </c>
      <c r="K129" t="s">
        <v>16</v>
      </c>
      <c r="L129" t="s">
        <v>16</v>
      </c>
      <c r="M129" t="s">
        <v>2989</v>
      </c>
      <c r="N129" t="s">
        <v>1545</v>
      </c>
      <c r="O129" t="s">
        <v>2894</v>
      </c>
      <c r="P129" t="s">
        <v>3004</v>
      </c>
      <c r="Q129" t="s">
        <v>1546</v>
      </c>
      <c r="R129" s="31">
        <v>3842649.0057279998</v>
      </c>
      <c r="T129" t="s">
        <v>1547</v>
      </c>
    </row>
    <row r="130" spans="1:20" hidden="1" x14ac:dyDescent="0.25">
      <c r="A130">
        <v>2023</v>
      </c>
      <c r="B130" t="s">
        <v>1537</v>
      </c>
      <c r="C130" t="s">
        <v>2899</v>
      </c>
      <c r="D130" t="s">
        <v>14</v>
      </c>
      <c r="E130" t="s">
        <v>2017</v>
      </c>
      <c r="G130" t="s">
        <v>1749</v>
      </c>
      <c r="H130" t="s">
        <v>2016</v>
      </c>
      <c r="I130" t="s">
        <v>11</v>
      </c>
      <c r="J130" t="s">
        <v>23</v>
      </c>
      <c r="K130" t="s">
        <v>16</v>
      </c>
      <c r="L130" t="s">
        <v>16</v>
      </c>
      <c r="M130" t="s">
        <v>2990</v>
      </c>
      <c r="N130" t="s">
        <v>3187</v>
      </c>
      <c r="O130" t="s">
        <v>2894</v>
      </c>
      <c r="P130" t="s">
        <v>3004</v>
      </c>
      <c r="Q130" t="s">
        <v>1548</v>
      </c>
      <c r="R130" s="31">
        <v>431665.62702100008</v>
      </c>
      <c r="T130" t="s">
        <v>1547</v>
      </c>
    </row>
    <row r="131" spans="1:20" hidden="1" x14ac:dyDescent="0.25">
      <c r="A131">
        <v>2023</v>
      </c>
      <c r="B131" t="s">
        <v>1537</v>
      </c>
      <c r="C131" t="s">
        <v>2899</v>
      </c>
      <c r="D131" t="s">
        <v>14</v>
      </c>
      <c r="E131" t="s">
        <v>2017</v>
      </c>
      <c r="G131" t="s">
        <v>1749</v>
      </c>
      <c r="H131" t="s">
        <v>2016</v>
      </c>
      <c r="I131" t="s">
        <v>11</v>
      </c>
      <c r="J131" t="s">
        <v>23</v>
      </c>
      <c r="K131" t="s">
        <v>16</v>
      </c>
      <c r="L131" t="s">
        <v>1549</v>
      </c>
      <c r="M131" t="s">
        <v>2990</v>
      </c>
      <c r="N131" t="s">
        <v>3187</v>
      </c>
      <c r="O131" t="s">
        <v>2894</v>
      </c>
      <c r="P131" t="s">
        <v>3004</v>
      </c>
      <c r="Q131" t="s">
        <v>1550</v>
      </c>
      <c r="R131" s="31">
        <v>125</v>
      </c>
      <c r="T131" t="s">
        <v>1547</v>
      </c>
    </row>
    <row r="132" spans="1:20" hidden="1" x14ac:dyDescent="0.25">
      <c r="A132">
        <v>2023</v>
      </c>
      <c r="B132" t="s">
        <v>772</v>
      </c>
      <c r="C132" t="s">
        <v>2899</v>
      </c>
      <c r="D132" t="s">
        <v>14</v>
      </c>
      <c r="E132" t="s">
        <v>22</v>
      </c>
      <c r="F132" t="s">
        <v>1129</v>
      </c>
      <c r="H132" t="s">
        <v>2016</v>
      </c>
      <c r="I132" t="s">
        <v>11</v>
      </c>
      <c r="J132" t="s">
        <v>13</v>
      </c>
      <c r="K132" t="s">
        <v>16</v>
      </c>
      <c r="L132" t="s">
        <v>16</v>
      </c>
      <c r="M132" t="s">
        <v>2989</v>
      </c>
      <c r="N132" t="s">
        <v>1545</v>
      </c>
      <c r="O132" t="s">
        <v>2894</v>
      </c>
      <c r="P132" t="s">
        <v>3004</v>
      </c>
      <c r="Q132" t="s">
        <v>1546</v>
      </c>
      <c r="R132" s="31">
        <v>1918143</v>
      </c>
      <c r="T132" t="s">
        <v>1547</v>
      </c>
    </row>
    <row r="133" spans="1:20" hidden="1" x14ac:dyDescent="0.25">
      <c r="A133">
        <v>2023</v>
      </c>
      <c r="B133" t="s">
        <v>772</v>
      </c>
      <c r="C133" t="s">
        <v>2899</v>
      </c>
      <c r="D133" t="s">
        <v>14</v>
      </c>
      <c r="E133" t="s">
        <v>22</v>
      </c>
      <c r="F133" t="s">
        <v>1129</v>
      </c>
      <c r="H133" t="s">
        <v>2016</v>
      </c>
      <c r="I133" t="s">
        <v>11</v>
      </c>
      <c r="J133" t="s">
        <v>13</v>
      </c>
      <c r="K133" t="s">
        <v>16</v>
      </c>
      <c r="L133" t="s">
        <v>16</v>
      </c>
      <c r="M133" t="s">
        <v>2990</v>
      </c>
      <c r="N133" t="s">
        <v>3187</v>
      </c>
      <c r="O133" t="s">
        <v>2894</v>
      </c>
      <c r="P133" t="s">
        <v>3004</v>
      </c>
      <c r="Q133" t="s">
        <v>1548</v>
      </c>
      <c r="R133" s="31">
        <v>364141</v>
      </c>
      <c r="T133" t="s">
        <v>1547</v>
      </c>
    </row>
    <row r="134" spans="1:20" hidden="1" x14ac:dyDescent="0.25">
      <c r="A134">
        <v>2023</v>
      </c>
      <c r="B134" t="s">
        <v>772</v>
      </c>
      <c r="C134" t="s">
        <v>2899</v>
      </c>
      <c r="D134" t="s">
        <v>14</v>
      </c>
      <c r="E134" t="s">
        <v>22</v>
      </c>
      <c r="F134" t="s">
        <v>1129</v>
      </c>
      <c r="H134" t="s">
        <v>2016</v>
      </c>
      <c r="I134" t="s">
        <v>11</v>
      </c>
      <c r="J134" t="s">
        <v>13</v>
      </c>
      <c r="K134" t="s">
        <v>16</v>
      </c>
      <c r="L134" t="s">
        <v>1549</v>
      </c>
      <c r="M134" t="s">
        <v>2990</v>
      </c>
      <c r="N134" t="s">
        <v>3187</v>
      </c>
      <c r="O134" t="s">
        <v>2894</v>
      </c>
      <c r="P134" t="s">
        <v>3004</v>
      </c>
      <c r="Q134" t="s">
        <v>1550</v>
      </c>
      <c r="R134" s="31">
        <v>27</v>
      </c>
      <c r="T134" t="s">
        <v>1547</v>
      </c>
    </row>
    <row r="135" spans="1:20" hidden="1" x14ac:dyDescent="0.25">
      <c r="A135">
        <v>2023</v>
      </c>
      <c r="B135" t="s">
        <v>772</v>
      </c>
      <c r="C135" t="s">
        <v>2899</v>
      </c>
      <c r="D135" t="s">
        <v>155</v>
      </c>
      <c r="E135" t="s">
        <v>158</v>
      </c>
      <c r="F135" t="s">
        <v>1152</v>
      </c>
      <c r="G135" t="s">
        <v>2906</v>
      </c>
      <c r="H135" t="s">
        <v>2030</v>
      </c>
      <c r="I135" t="s">
        <v>11</v>
      </c>
      <c r="J135" t="s">
        <v>19</v>
      </c>
      <c r="K135" t="s">
        <v>157</v>
      </c>
      <c r="L135" t="s">
        <v>157</v>
      </c>
      <c r="M135" t="s">
        <v>2988</v>
      </c>
      <c r="N135" t="s">
        <v>1594</v>
      </c>
      <c r="O135" t="s">
        <v>2894</v>
      </c>
      <c r="P135" t="s">
        <v>3004</v>
      </c>
      <c r="Q135" t="s">
        <v>1566</v>
      </c>
      <c r="R135" s="31">
        <v>16499</v>
      </c>
      <c r="T135" s="2" t="s">
        <v>3177</v>
      </c>
    </row>
    <row r="136" spans="1:20" hidden="1" x14ac:dyDescent="0.25">
      <c r="A136">
        <v>2023</v>
      </c>
      <c r="B136" t="s">
        <v>772</v>
      </c>
      <c r="C136" t="s">
        <v>2899</v>
      </c>
      <c r="D136" t="s">
        <v>793</v>
      </c>
      <c r="E136" t="s">
        <v>129</v>
      </c>
      <c r="F136" t="s">
        <v>1190</v>
      </c>
      <c r="H136" t="s">
        <v>2046</v>
      </c>
      <c r="I136" t="s">
        <v>11</v>
      </c>
      <c r="J136" t="s">
        <v>19</v>
      </c>
      <c r="K136" t="s">
        <v>130</v>
      </c>
      <c r="L136" t="s">
        <v>1552</v>
      </c>
      <c r="M136" t="s">
        <v>2990</v>
      </c>
      <c r="N136" t="s">
        <v>1552</v>
      </c>
      <c r="O136" t="s">
        <v>2894</v>
      </c>
      <c r="P136" t="s">
        <v>3004</v>
      </c>
      <c r="Q136" t="s">
        <v>1877</v>
      </c>
      <c r="R136" s="31">
        <v>142285</v>
      </c>
      <c r="S136" t="s">
        <v>2976</v>
      </c>
      <c r="T136" t="s">
        <v>1879</v>
      </c>
    </row>
    <row r="137" spans="1:20" hidden="1" x14ac:dyDescent="0.25">
      <c r="A137">
        <v>2023</v>
      </c>
      <c r="B137" t="s">
        <v>772</v>
      </c>
      <c r="C137" t="s">
        <v>2899</v>
      </c>
      <c r="D137" t="s">
        <v>793</v>
      </c>
      <c r="E137" t="s">
        <v>129</v>
      </c>
      <c r="F137" t="s">
        <v>1190</v>
      </c>
      <c r="H137" t="s">
        <v>2046</v>
      </c>
      <c r="I137" t="s">
        <v>11</v>
      </c>
      <c r="J137" t="s">
        <v>19</v>
      </c>
      <c r="K137" t="s">
        <v>130</v>
      </c>
      <c r="L137" t="s">
        <v>125</v>
      </c>
      <c r="M137" t="s">
        <v>2990</v>
      </c>
      <c r="N137" t="s">
        <v>1774</v>
      </c>
      <c r="O137" t="s">
        <v>2894</v>
      </c>
      <c r="P137" t="s">
        <v>3004</v>
      </c>
      <c r="Q137" t="s">
        <v>1878</v>
      </c>
      <c r="R137" s="31">
        <v>61862</v>
      </c>
      <c r="T137" t="s">
        <v>1879</v>
      </c>
    </row>
    <row r="138" spans="1:20" hidden="1" x14ac:dyDescent="0.25">
      <c r="A138">
        <v>2023</v>
      </c>
      <c r="B138" t="s">
        <v>772</v>
      </c>
      <c r="C138" t="s">
        <v>2899</v>
      </c>
      <c r="D138" t="s">
        <v>793</v>
      </c>
      <c r="E138" t="s">
        <v>129</v>
      </c>
      <c r="F138" t="s">
        <v>1190</v>
      </c>
      <c r="H138" t="s">
        <v>2046</v>
      </c>
      <c r="I138" t="s">
        <v>11</v>
      </c>
      <c r="J138" t="s">
        <v>19</v>
      </c>
      <c r="K138" t="s">
        <v>130</v>
      </c>
      <c r="L138" t="s">
        <v>16</v>
      </c>
      <c r="M138" t="s">
        <v>2990</v>
      </c>
      <c r="N138" t="s">
        <v>3187</v>
      </c>
      <c r="O138" t="s">
        <v>2894</v>
      </c>
      <c r="P138" t="s">
        <v>3004</v>
      </c>
      <c r="Q138" t="s">
        <v>1548</v>
      </c>
      <c r="R138" s="31">
        <v>154391</v>
      </c>
      <c r="T138" t="s">
        <v>1879</v>
      </c>
    </row>
    <row r="139" spans="1:20" hidden="1" x14ac:dyDescent="0.25">
      <c r="A139">
        <v>2023</v>
      </c>
      <c r="B139" t="s">
        <v>772</v>
      </c>
      <c r="C139" t="s">
        <v>2899</v>
      </c>
      <c r="D139" t="s">
        <v>793</v>
      </c>
      <c r="E139" t="s">
        <v>129</v>
      </c>
      <c r="F139" t="s">
        <v>1190</v>
      </c>
      <c r="H139" t="s">
        <v>2046</v>
      </c>
      <c r="I139" t="s">
        <v>11</v>
      </c>
      <c r="J139" t="s">
        <v>19</v>
      </c>
      <c r="K139" t="s">
        <v>130</v>
      </c>
      <c r="L139" t="s">
        <v>1772</v>
      </c>
      <c r="M139" t="s">
        <v>2988</v>
      </c>
      <c r="N139" t="s">
        <v>1594</v>
      </c>
      <c r="O139" t="s">
        <v>2894</v>
      </c>
      <c r="P139" t="s">
        <v>3004</v>
      </c>
      <c r="Q139" t="s">
        <v>1566</v>
      </c>
      <c r="R139" s="31">
        <v>21278</v>
      </c>
      <c r="T139" t="s">
        <v>1879</v>
      </c>
    </row>
    <row r="140" spans="1:20" hidden="1" x14ac:dyDescent="0.25">
      <c r="A140">
        <v>2023</v>
      </c>
      <c r="B140" t="s">
        <v>772</v>
      </c>
      <c r="C140" t="s">
        <v>2899</v>
      </c>
      <c r="D140" t="s">
        <v>793</v>
      </c>
      <c r="E140" t="s">
        <v>129</v>
      </c>
      <c r="F140" t="s">
        <v>1190</v>
      </c>
      <c r="H140" t="s">
        <v>2046</v>
      </c>
      <c r="I140" t="s">
        <v>11</v>
      </c>
      <c r="J140" t="s">
        <v>19</v>
      </c>
      <c r="K140" t="s">
        <v>130</v>
      </c>
      <c r="L140" t="s">
        <v>1772</v>
      </c>
      <c r="M140" t="s">
        <v>2989</v>
      </c>
      <c r="N140" t="s">
        <v>1545</v>
      </c>
      <c r="O140" t="s">
        <v>2894</v>
      </c>
      <c r="P140" t="s">
        <v>3004</v>
      </c>
      <c r="Q140" t="s">
        <v>1566</v>
      </c>
      <c r="R140" s="31">
        <v>21680</v>
      </c>
      <c r="T140" t="s">
        <v>1879</v>
      </c>
    </row>
    <row r="141" spans="1:20" hidden="1" x14ac:dyDescent="0.25">
      <c r="A141">
        <v>2023</v>
      </c>
      <c r="B141" t="s">
        <v>772</v>
      </c>
      <c r="C141" t="s">
        <v>2899</v>
      </c>
      <c r="D141" t="s">
        <v>82</v>
      </c>
      <c r="E141" t="s">
        <v>83</v>
      </c>
      <c r="F141" t="s">
        <v>1278</v>
      </c>
      <c r="H141" t="s">
        <v>2103</v>
      </c>
      <c r="I141" t="s">
        <v>11</v>
      </c>
      <c r="J141" t="s">
        <v>19</v>
      </c>
      <c r="K141" t="s">
        <v>84</v>
      </c>
      <c r="L141" t="s">
        <v>125</v>
      </c>
      <c r="M141" t="s">
        <v>2990</v>
      </c>
      <c r="N141" t="s">
        <v>1774</v>
      </c>
      <c r="O141" t="s">
        <v>2894</v>
      </c>
      <c r="P141" t="s">
        <v>3004</v>
      </c>
      <c r="Q141" t="s">
        <v>1878</v>
      </c>
      <c r="R141" s="31">
        <v>30145</v>
      </c>
      <c r="T141" t="s">
        <v>1933</v>
      </c>
    </row>
    <row r="142" spans="1:20" hidden="1" x14ac:dyDescent="0.25">
      <c r="A142">
        <v>2023</v>
      </c>
      <c r="B142" t="s">
        <v>772</v>
      </c>
      <c r="C142" t="s">
        <v>2899</v>
      </c>
      <c r="D142" t="s">
        <v>82</v>
      </c>
      <c r="E142" t="s">
        <v>83</v>
      </c>
      <c r="F142" t="s">
        <v>1278</v>
      </c>
      <c r="H142" t="s">
        <v>2103</v>
      </c>
      <c r="I142" t="s">
        <v>11</v>
      </c>
      <c r="J142" t="s">
        <v>19</v>
      </c>
      <c r="K142" t="s">
        <v>84</v>
      </c>
      <c r="L142" t="s">
        <v>16</v>
      </c>
      <c r="M142" t="s">
        <v>2990</v>
      </c>
      <c r="N142" t="s">
        <v>3187</v>
      </c>
      <c r="O142" t="s">
        <v>2894</v>
      </c>
      <c r="P142" t="s">
        <v>3004</v>
      </c>
      <c r="Q142" t="s">
        <v>1548</v>
      </c>
      <c r="R142" s="31">
        <v>41834</v>
      </c>
      <c r="T142" t="s">
        <v>1933</v>
      </c>
    </row>
    <row r="143" spans="1:20" hidden="1" x14ac:dyDescent="0.25">
      <c r="A143">
        <v>2023</v>
      </c>
      <c r="B143" t="s">
        <v>772</v>
      </c>
      <c r="C143" t="s">
        <v>2899</v>
      </c>
      <c r="D143" t="s">
        <v>82</v>
      </c>
      <c r="E143" t="s">
        <v>83</v>
      </c>
      <c r="F143" t="s">
        <v>1278</v>
      </c>
      <c r="H143" t="s">
        <v>2103</v>
      </c>
      <c r="I143" t="s">
        <v>11</v>
      </c>
      <c r="J143" t="s">
        <v>19</v>
      </c>
      <c r="K143" t="s">
        <v>84</v>
      </c>
      <c r="L143" t="s">
        <v>1772</v>
      </c>
      <c r="M143" t="s">
        <v>2989</v>
      </c>
      <c r="N143" t="s">
        <v>1730</v>
      </c>
      <c r="O143" t="s">
        <v>2894</v>
      </c>
      <c r="P143" t="s">
        <v>3004</v>
      </c>
      <c r="Q143" t="s">
        <v>1546</v>
      </c>
      <c r="R143" s="31">
        <v>5948239</v>
      </c>
      <c r="T143" t="s">
        <v>1933</v>
      </c>
    </row>
    <row r="144" spans="1:20" hidden="1" x14ac:dyDescent="0.25">
      <c r="A144">
        <v>2023</v>
      </c>
      <c r="B144" t="s">
        <v>772</v>
      </c>
      <c r="C144" t="s">
        <v>2899</v>
      </c>
      <c r="D144" t="s">
        <v>39</v>
      </c>
      <c r="E144" t="s">
        <v>78</v>
      </c>
      <c r="F144" t="s">
        <v>1321</v>
      </c>
      <c r="H144" t="s">
        <v>2133</v>
      </c>
      <c r="I144" t="s">
        <v>11</v>
      </c>
      <c r="J144" t="s">
        <v>21</v>
      </c>
      <c r="K144" t="s">
        <v>64</v>
      </c>
      <c r="L144" t="s">
        <v>16</v>
      </c>
      <c r="M144" t="s">
        <v>2990</v>
      </c>
      <c r="N144" t="s">
        <v>3187</v>
      </c>
      <c r="O144" t="s">
        <v>2894</v>
      </c>
      <c r="P144" t="s">
        <v>3004</v>
      </c>
      <c r="Q144" t="s">
        <v>1550</v>
      </c>
      <c r="R144" s="31">
        <v>180</v>
      </c>
      <c r="T144" t="s">
        <v>1593</v>
      </c>
    </row>
    <row r="145" spans="1:20" hidden="1" x14ac:dyDescent="0.25">
      <c r="A145">
        <v>2023</v>
      </c>
      <c r="B145" t="s">
        <v>772</v>
      </c>
      <c r="C145" t="s">
        <v>2899</v>
      </c>
      <c r="D145" t="s">
        <v>39</v>
      </c>
      <c r="E145" t="s">
        <v>78</v>
      </c>
      <c r="F145" t="s">
        <v>1322</v>
      </c>
      <c r="H145" t="s">
        <v>2133</v>
      </c>
      <c r="I145" t="s">
        <v>11</v>
      </c>
      <c r="J145" t="s">
        <v>21</v>
      </c>
      <c r="K145" t="s">
        <v>64</v>
      </c>
      <c r="L145" t="s">
        <v>1772</v>
      </c>
      <c r="M145" t="s">
        <v>2988</v>
      </c>
      <c r="N145" t="s">
        <v>1594</v>
      </c>
      <c r="O145" t="s">
        <v>2894</v>
      </c>
      <c r="P145" t="s">
        <v>3004</v>
      </c>
      <c r="Q145" t="s">
        <v>1566</v>
      </c>
      <c r="R145" s="31">
        <v>1027</v>
      </c>
      <c r="T145" t="s">
        <v>1593</v>
      </c>
    </row>
    <row r="146" spans="1:20" hidden="1" x14ac:dyDescent="0.25">
      <c r="A146">
        <v>2023</v>
      </c>
      <c r="B146" t="s">
        <v>772</v>
      </c>
      <c r="C146" t="s">
        <v>2899</v>
      </c>
      <c r="D146" t="s">
        <v>39</v>
      </c>
      <c r="E146" t="s">
        <v>78</v>
      </c>
      <c r="F146" t="s">
        <v>1321</v>
      </c>
      <c r="H146" t="s">
        <v>2133</v>
      </c>
      <c r="I146" t="s">
        <v>11</v>
      </c>
      <c r="J146" t="s">
        <v>21</v>
      </c>
      <c r="K146" t="s">
        <v>64</v>
      </c>
      <c r="L146" t="s">
        <v>1772</v>
      </c>
      <c r="M146" t="s">
        <v>2989</v>
      </c>
      <c r="N146" t="s">
        <v>1545</v>
      </c>
      <c r="O146" t="s">
        <v>2894</v>
      </c>
      <c r="P146" t="s">
        <v>3004</v>
      </c>
      <c r="Q146" t="s">
        <v>1566</v>
      </c>
      <c r="R146" s="31">
        <v>1028</v>
      </c>
      <c r="T146" t="s">
        <v>1593</v>
      </c>
    </row>
    <row r="147" spans="1:20" hidden="1" x14ac:dyDescent="0.25">
      <c r="A147">
        <v>2023</v>
      </c>
      <c r="B147" t="s">
        <v>772</v>
      </c>
      <c r="C147" t="s">
        <v>2899</v>
      </c>
      <c r="D147" t="s">
        <v>755</v>
      </c>
      <c r="E147" t="s">
        <v>85</v>
      </c>
      <c r="F147" t="s">
        <v>1315</v>
      </c>
      <c r="H147" t="s">
        <v>2132</v>
      </c>
      <c r="I147" t="s">
        <v>11</v>
      </c>
      <c r="J147" t="s">
        <v>23</v>
      </c>
      <c r="K147" t="s">
        <v>84</v>
      </c>
      <c r="L147" t="s">
        <v>125</v>
      </c>
      <c r="M147" t="s">
        <v>2990</v>
      </c>
      <c r="N147" t="s">
        <v>1774</v>
      </c>
      <c r="O147" t="s">
        <v>2894</v>
      </c>
      <c r="P147" t="s">
        <v>3004</v>
      </c>
      <c r="Q147" t="s">
        <v>1709</v>
      </c>
      <c r="R147" s="31">
        <v>47.4</v>
      </c>
      <c r="S147" t="s">
        <v>2977</v>
      </c>
      <c r="T147" t="s">
        <v>1710</v>
      </c>
    </row>
    <row r="148" spans="1:20" hidden="1" x14ac:dyDescent="0.25">
      <c r="A148">
        <v>2023</v>
      </c>
      <c r="B148" t="s">
        <v>772</v>
      </c>
      <c r="C148" t="s">
        <v>2899</v>
      </c>
      <c r="D148" t="s">
        <v>755</v>
      </c>
      <c r="E148" t="s">
        <v>85</v>
      </c>
      <c r="F148" t="s">
        <v>1315</v>
      </c>
      <c r="H148" t="s">
        <v>2132</v>
      </c>
      <c r="I148" t="s">
        <v>11</v>
      </c>
      <c r="J148" t="s">
        <v>23</v>
      </c>
      <c r="K148" t="s">
        <v>84</v>
      </c>
      <c r="L148" t="s">
        <v>16</v>
      </c>
      <c r="M148" t="s">
        <v>2990</v>
      </c>
      <c r="N148" t="s">
        <v>3187</v>
      </c>
      <c r="O148" t="s">
        <v>2894</v>
      </c>
      <c r="P148" t="s">
        <v>3004</v>
      </c>
      <c r="Q148" t="s">
        <v>1548</v>
      </c>
      <c r="R148" s="31">
        <v>67433</v>
      </c>
      <c r="T148" t="s">
        <v>1710</v>
      </c>
    </row>
    <row r="149" spans="1:20" hidden="1" x14ac:dyDescent="0.25">
      <c r="A149">
        <v>2023</v>
      </c>
      <c r="B149" t="s">
        <v>772</v>
      </c>
      <c r="C149" t="s">
        <v>2899</v>
      </c>
      <c r="D149" t="s">
        <v>755</v>
      </c>
      <c r="E149" t="s">
        <v>85</v>
      </c>
      <c r="F149" t="s">
        <v>1315</v>
      </c>
      <c r="H149" t="s">
        <v>2132</v>
      </c>
      <c r="I149" t="s">
        <v>11</v>
      </c>
      <c r="J149" t="s">
        <v>23</v>
      </c>
      <c r="K149" t="s">
        <v>84</v>
      </c>
      <c r="L149" t="s">
        <v>1772</v>
      </c>
      <c r="M149" t="s">
        <v>2988</v>
      </c>
      <c r="N149" t="s">
        <v>1594</v>
      </c>
      <c r="O149" t="s">
        <v>2894</v>
      </c>
      <c r="P149" t="s">
        <v>3004</v>
      </c>
      <c r="Q149" t="s">
        <v>1566</v>
      </c>
      <c r="R149" s="31">
        <v>2993</v>
      </c>
      <c r="T149" t="s">
        <v>1710</v>
      </c>
    </row>
    <row r="150" spans="1:20" hidden="1" x14ac:dyDescent="0.25">
      <c r="A150">
        <v>2023</v>
      </c>
      <c r="B150" t="s">
        <v>772</v>
      </c>
      <c r="C150" t="s">
        <v>2899</v>
      </c>
      <c r="D150" t="s">
        <v>755</v>
      </c>
      <c r="E150" t="s">
        <v>85</v>
      </c>
      <c r="F150" t="s">
        <v>1315</v>
      </c>
      <c r="H150" t="s">
        <v>2132</v>
      </c>
      <c r="I150" t="s">
        <v>11</v>
      </c>
      <c r="J150" t="s">
        <v>23</v>
      </c>
      <c r="K150" t="s">
        <v>84</v>
      </c>
      <c r="L150" t="s">
        <v>1772</v>
      </c>
      <c r="M150" t="s">
        <v>2989</v>
      </c>
      <c r="N150" t="s">
        <v>1545</v>
      </c>
      <c r="O150" t="s">
        <v>2894</v>
      </c>
      <c r="P150" t="s">
        <v>3004</v>
      </c>
      <c r="Q150" t="s">
        <v>1566</v>
      </c>
      <c r="R150" s="31">
        <v>3065</v>
      </c>
      <c r="T150" t="s">
        <v>1710</v>
      </c>
    </row>
    <row r="151" spans="1:20" hidden="1" x14ac:dyDescent="0.25">
      <c r="A151">
        <v>2023</v>
      </c>
      <c r="B151" t="s">
        <v>772</v>
      </c>
      <c r="C151" t="s">
        <v>2899</v>
      </c>
      <c r="D151" t="s">
        <v>717</v>
      </c>
      <c r="E151" t="s">
        <v>80</v>
      </c>
      <c r="F151" t="s">
        <v>1268</v>
      </c>
      <c r="G151" t="s">
        <v>1849</v>
      </c>
      <c r="H151" t="s">
        <v>1848</v>
      </c>
      <c r="I151" t="s">
        <v>11</v>
      </c>
      <c r="J151" t="s">
        <v>21</v>
      </c>
      <c r="K151" t="s">
        <v>81</v>
      </c>
      <c r="L151" t="s">
        <v>1772</v>
      </c>
      <c r="M151" t="s">
        <v>2989</v>
      </c>
      <c r="N151" t="s">
        <v>1730</v>
      </c>
      <c r="O151" t="s">
        <v>2894</v>
      </c>
      <c r="P151" t="s">
        <v>3004</v>
      </c>
      <c r="Q151" t="s">
        <v>1546</v>
      </c>
      <c r="R151" s="31">
        <v>596912</v>
      </c>
      <c r="T151" t="s">
        <v>1773</v>
      </c>
    </row>
    <row r="152" spans="1:20" hidden="1" x14ac:dyDescent="0.25">
      <c r="A152">
        <v>2023</v>
      </c>
      <c r="B152" t="s">
        <v>772</v>
      </c>
      <c r="C152" t="s">
        <v>2899</v>
      </c>
      <c r="D152" t="s">
        <v>719</v>
      </c>
      <c r="E152" t="s">
        <v>186</v>
      </c>
      <c r="F152" t="s">
        <v>1424</v>
      </c>
      <c r="G152" t="s">
        <v>2193</v>
      </c>
      <c r="H152" t="s">
        <v>2191</v>
      </c>
      <c r="I152" t="s">
        <v>11</v>
      </c>
      <c r="J152" t="s">
        <v>44</v>
      </c>
      <c r="K152" t="s">
        <v>189</v>
      </c>
      <c r="L152" t="s">
        <v>557</v>
      </c>
      <c r="M152" t="s">
        <v>2990</v>
      </c>
      <c r="N152" t="s">
        <v>1774</v>
      </c>
      <c r="O152" t="s">
        <v>2894</v>
      </c>
      <c r="P152" t="s">
        <v>3004</v>
      </c>
      <c r="Q152" s="31" t="s">
        <v>1546</v>
      </c>
      <c r="R152" s="31">
        <v>6334</v>
      </c>
      <c r="S152" t="s">
        <v>3202</v>
      </c>
    </row>
    <row r="153" spans="1:20" hidden="1" x14ac:dyDescent="0.25">
      <c r="A153">
        <v>2023</v>
      </c>
      <c r="B153" t="s">
        <v>772</v>
      </c>
      <c r="C153" t="s">
        <v>2899</v>
      </c>
      <c r="D153" t="s">
        <v>175</v>
      </c>
      <c r="E153" t="s">
        <v>176</v>
      </c>
      <c r="F153" t="s">
        <v>1299</v>
      </c>
      <c r="H153" t="s">
        <v>2120</v>
      </c>
      <c r="I153" t="s">
        <v>11</v>
      </c>
      <c r="J153" t="s">
        <v>13</v>
      </c>
      <c r="K153" t="s">
        <v>177</v>
      </c>
      <c r="L153" t="s">
        <v>177</v>
      </c>
      <c r="M153" t="s">
        <v>2988</v>
      </c>
      <c r="N153" t="s">
        <v>1594</v>
      </c>
      <c r="O153" t="s">
        <v>2894</v>
      </c>
      <c r="P153" t="s">
        <v>3004</v>
      </c>
      <c r="Q153" t="s">
        <v>1641</v>
      </c>
      <c r="R153" s="31">
        <v>2.2000000000000002</v>
      </c>
      <c r="S153" t="s">
        <v>3179</v>
      </c>
      <c r="T153" t="s">
        <v>3178</v>
      </c>
    </row>
    <row r="154" spans="1:20" hidden="1" x14ac:dyDescent="0.25">
      <c r="A154">
        <v>2023</v>
      </c>
      <c r="B154" t="s">
        <v>772</v>
      </c>
      <c r="C154" t="s">
        <v>2899</v>
      </c>
      <c r="D154" t="s">
        <v>175</v>
      </c>
      <c r="E154" t="s">
        <v>176</v>
      </c>
      <c r="F154" t="s">
        <v>1299</v>
      </c>
      <c r="H154" t="s">
        <v>2120</v>
      </c>
      <c r="I154" t="s">
        <v>11</v>
      </c>
      <c r="J154" t="s">
        <v>13</v>
      </c>
      <c r="K154" t="s">
        <v>177</v>
      </c>
      <c r="L154" t="s">
        <v>177</v>
      </c>
      <c r="M154" t="s">
        <v>2990</v>
      </c>
      <c r="N154" t="s">
        <v>1774</v>
      </c>
      <c r="O154" t="s">
        <v>2894</v>
      </c>
      <c r="P154" t="s">
        <v>3004</v>
      </c>
      <c r="Q154" t="s">
        <v>1691</v>
      </c>
      <c r="R154" s="31">
        <v>6568950</v>
      </c>
      <c r="T154" s="2" t="s">
        <v>3191</v>
      </c>
    </row>
    <row r="155" spans="1:20" hidden="1" x14ac:dyDescent="0.25">
      <c r="A155">
        <v>2023</v>
      </c>
      <c r="B155" t="s">
        <v>772</v>
      </c>
      <c r="C155" t="s">
        <v>2899</v>
      </c>
      <c r="D155" t="s">
        <v>175</v>
      </c>
      <c r="E155" t="s">
        <v>326</v>
      </c>
      <c r="F155" t="s">
        <v>1298</v>
      </c>
      <c r="H155" t="s">
        <v>2119</v>
      </c>
      <c r="I155" t="s">
        <v>233</v>
      </c>
      <c r="K155" t="s">
        <v>2440</v>
      </c>
      <c r="L155" t="s">
        <v>327</v>
      </c>
      <c r="M155" t="s">
        <v>2991</v>
      </c>
      <c r="N155" t="s">
        <v>2991</v>
      </c>
      <c r="O155" t="s">
        <v>2894</v>
      </c>
      <c r="P155" t="s">
        <v>3004</v>
      </c>
      <c r="Q155" t="s">
        <v>1546</v>
      </c>
      <c r="R155" s="31">
        <v>11700</v>
      </c>
      <c r="T155" t="s">
        <v>1904</v>
      </c>
    </row>
    <row r="156" spans="1:20" hidden="1" x14ac:dyDescent="0.25">
      <c r="A156">
        <v>2023</v>
      </c>
      <c r="B156" t="s">
        <v>772</v>
      </c>
      <c r="C156" t="s">
        <v>2899</v>
      </c>
      <c r="D156" t="s">
        <v>896</v>
      </c>
      <c r="E156" t="s">
        <v>173</v>
      </c>
      <c r="F156" t="s">
        <v>1366</v>
      </c>
      <c r="H156" t="s">
        <v>2160</v>
      </c>
      <c r="I156" t="s">
        <v>11</v>
      </c>
      <c r="J156" t="s">
        <v>17</v>
      </c>
      <c r="K156" t="s">
        <v>174</v>
      </c>
      <c r="L156" t="s">
        <v>174</v>
      </c>
      <c r="M156" t="s">
        <v>2988</v>
      </c>
      <c r="N156" t="s">
        <v>1594</v>
      </c>
      <c r="O156" t="s">
        <v>2894</v>
      </c>
      <c r="P156" t="s">
        <v>3004</v>
      </c>
      <c r="Q156" t="s">
        <v>2343</v>
      </c>
      <c r="R156" s="31">
        <v>407034</v>
      </c>
      <c r="T156" t="s">
        <v>1874</v>
      </c>
    </row>
    <row r="157" spans="1:20" hidden="1" x14ac:dyDescent="0.25">
      <c r="A157">
        <v>2023</v>
      </c>
      <c r="B157" t="s">
        <v>772</v>
      </c>
      <c r="C157" t="s">
        <v>2899</v>
      </c>
      <c r="D157" t="s">
        <v>896</v>
      </c>
      <c r="E157" t="s">
        <v>173</v>
      </c>
      <c r="F157" t="s">
        <v>1366</v>
      </c>
      <c r="H157" t="s">
        <v>2160</v>
      </c>
      <c r="I157" t="s">
        <v>11</v>
      </c>
      <c r="J157" t="s">
        <v>17</v>
      </c>
      <c r="K157" t="s">
        <v>174</v>
      </c>
      <c r="L157" t="s">
        <v>174</v>
      </c>
      <c r="M157" t="s">
        <v>2990</v>
      </c>
      <c r="N157" t="s">
        <v>1552</v>
      </c>
      <c r="O157" t="s">
        <v>2894</v>
      </c>
      <c r="P157" t="s">
        <v>3004</v>
      </c>
      <c r="Q157" t="s">
        <v>1877</v>
      </c>
      <c r="R157" s="31">
        <v>33120</v>
      </c>
      <c r="T157" t="s">
        <v>1874</v>
      </c>
    </row>
    <row r="158" spans="1:20" hidden="1" x14ac:dyDescent="0.25">
      <c r="A158">
        <v>2023</v>
      </c>
      <c r="B158" t="s">
        <v>772</v>
      </c>
      <c r="C158" t="s">
        <v>2899</v>
      </c>
      <c r="D158" t="s">
        <v>197</v>
      </c>
      <c r="E158" t="s">
        <v>198</v>
      </c>
      <c r="F158" t="s">
        <v>1188</v>
      </c>
      <c r="H158" t="s">
        <v>2044</v>
      </c>
      <c r="I158" t="s">
        <v>11</v>
      </c>
      <c r="J158" t="s">
        <v>23</v>
      </c>
      <c r="K158" t="s">
        <v>199</v>
      </c>
      <c r="L158" t="s">
        <v>125</v>
      </c>
      <c r="M158" t="s">
        <v>2990</v>
      </c>
      <c r="N158" t="s">
        <v>1774</v>
      </c>
      <c r="O158" t="s">
        <v>2894</v>
      </c>
      <c r="P158" t="s">
        <v>3004</v>
      </c>
      <c r="Q158" t="s">
        <v>1546</v>
      </c>
      <c r="R158" s="31">
        <v>40926</v>
      </c>
      <c r="T158" s="2" t="s">
        <v>3191</v>
      </c>
    </row>
    <row r="159" spans="1:20" hidden="1" x14ac:dyDescent="0.25">
      <c r="A159">
        <v>2023</v>
      </c>
      <c r="B159" t="s">
        <v>772</v>
      </c>
      <c r="C159" t="s">
        <v>2899</v>
      </c>
      <c r="D159" t="s">
        <v>197</v>
      </c>
      <c r="E159" t="s">
        <v>198</v>
      </c>
      <c r="F159" t="s">
        <v>1188</v>
      </c>
      <c r="H159" t="s">
        <v>2044</v>
      </c>
      <c r="I159" t="s">
        <v>11</v>
      </c>
      <c r="J159" t="s">
        <v>23</v>
      </c>
      <c r="K159" t="s">
        <v>199</v>
      </c>
      <c r="L159" t="s">
        <v>557</v>
      </c>
      <c r="M159" t="s">
        <v>2990</v>
      </c>
      <c r="N159" t="s">
        <v>1774</v>
      </c>
      <c r="O159" t="s">
        <v>2894</v>
      </c>
      <c r="P159" t="s">
        <v>3004</v>
      </c>
      <c r="Q159" t="s">
        <v>1546</v>
      </c>
      <c r="R159" s="31">
        <v>58100</v>
      </c>
      <c r="T159" s="2" t="s">
        <v>3191</v>
      </c>
    </row>
    <row r="160" spans="1:20" hidden="1" x14ac:dyDescent="0.25">
      <c r="A160">
        <v>2023</v>
      </c>
      <c r="B160" t="s">
        <v>772</v>
      </c>
      <c r="C160" t="s">
        <v>2899</v>
      </c>
      <c r="D160" t="s">
        <v>197</v>
      </c>
      <c r="E160" t="s">
        <v>198</v>
      </c>
      <c r="F160" t="s">
        <v>1188</v>
      </c>
      <c r="H160" t="s">
        <v>2044</v>
      </c>
      <c r="I160" t="s">
        <v>11</v>
      </c>
      <c r="J160" t="s">
        <v>23</v>
      </c>
      <c r="K160" t="s">
        <v>199</v>
      </c>
      <c r="L160" t="s">
        <v>557</v>
      </c>
      <c r="M160" t="s">
        <v>2989</v>
      </c>
      <c r="N160" t="s">
        <v>1545</v>
      </c>
      <c r="O160" t="s">
        <v>2894</v>
      </c>
      <c r="P160" t="s">
        <v>3004</v>
      </c>
      <c r="Q160" t="s">
        <v>1546</v>
      </c>
      <c r="R160" s="31">
        <f>58100/(0.01*0.85)</f>
        <v>6835294.1176470583</v>
      </c>
      <c r="S160" t="s">
        <v>3183</v>
      </c>
      <c r="T160" s="2" t="s">
        <v>3191</v>
      </c>
    </row>
    <row r="161" spans="1:20" hidden="1" x14ac:dyDescent="0.25">
      <c r="A161">
        <v>2023</v>
      </c>
      <c r="B161" t="s">
        <v>1537</v>
      </c>
      <c r="C161" t="s">
        <v>2899</v>
      </c>
      <c r="D161" t="s">
        <v>39</v>
      </c>
      <c r="E161" t="s">
        <v>1587</v>
      </c>
      <c r="G161" t="s">
        <v>1750</v>
      </c>
      <c r="H161" t="s">
        <v>2133</v>
      </c>
      <c r="I161" t="s">
        <v>11</v>
      </c>
      <c r="J161" t="s">
        <v>720</v>
      </c>
      <c r="K161" t="s">
        <v>16</v>
      </c>
      <c r="L161" t="s">
        <v>16</v>
      </c>
      <c r="M161" t="s">
        <v>2990</v>
      </c>
      <c r="N161" t="s">
        <v>3187</v>
      </c>
      <c r="O161" t="s">
        <v>2894</v>
      </c>
      <c r="P161" t="s">
        <v>3004</v>
      </c>
      <c r="Q161" t="s">
        <v>1550</v>
      </c>
      <c r="R161" s="31">
        <v>260</v>
      </c>
      <c r="T161" t="s">
        <v>1593</v>
      </c>
    </row>
    <row r="162" spans="1:20" hidden="1" x14ac:dyDescent="0.25">
      <c r="A162">
        <v>2023</v>
      </c>
      <c r="B162" t="s">
        <v>1537</v>
      </c>
      <c r="C162" t="s">
        <v>2899</v>
      </c>
      <c r="D162" t="s">
        <v>39</v>
      </c>
      <c r="E162" t="s">
        <v>1587</v>
      </c>
      <c r="G162" t="s">
        <v>1750</v>
      </c>
      <c r="H162" t="s">
        <v>2133</v>
      </c>
      <c r="I162" t="s">
        <v>11</v>
      </c>
      <c r="J162" t="s">
        <v>720</v>
      </c>
      <c r="K162" t="s">
        <v>16</v>
      </c>
      <c r="L162" t="s">
        <v>16</v>
      </c>
      <c r="M162" t="s">
        <v>2989</v>
      </c>
      <c r="N162" t="s">
        <v>1545</v>
      </c>
      <c r="O162" t="s">
        <v>2894</v>
      </c>
      <c r="P162" t="s">
        <v>3004</v>
      </c>
      <c r="Q162" t="s">
        <v>1566</v>
      </c>
      <c r="R162" s="31">
        <v>2911</v>
      </c>
      <c r="T162" t="s">
        <v>1593</v>
      </c>
    </row>
    <row r="163" spans="1:20" hidden="1" x14ac:dyDescent="0.25">
      <c r="A163">
        <v>2023</v>
      </c>
      <c r="B163" t="s">
        <v>1537</v>
      </c>
      <c r="C163" t="s">
        <v>2899</v>
      </c>
      <c r="D163" t="s">
        <v>39</v>
      </c>
      <c r="E163" t="s">
        <v>1587</v>
      </c>
      <c r="G163" t="s">
        <v>1750</v>
      </c>
      <c r="H163" t="s">
        <v>2133</v>
      </c>
      <c r="I163" t="s">
        <v>11</v>
      </c>
      <c r="J163" t="s">
        <v>720</v>
      </c>
      <c r="K163" t="s">
        <v>16</v>
      </c>
      <c r="L163" t="s">
        <v>16</v>
      </c>
      <c r="M163" t="s">
        <v>2988</v>
      </c>
      <c r="N163" t="s">
        <v>1594</v>
      </c>
      <c r="O163" t="s">
        <v>2894</v>
      </c>
      <c r="P163" t="s">
        <v>3004</v>
      </c>
      <c r="Q163" t="s">
        <v>1566</v>
      </c>
      <c r="R163" s="31">
        <f>6972+859</f>
        <v>7831</v>
      </c>
      <c r="S163" t="s">
        <v>2995</v>
      </c>
      <c r="T163" t="s">
        <v>1593</v>
      </c>
    </row>
    <row r="164" spans="1:20" hidden="1" x14ac:dyDescent="0.25">
      <c r="A164">
        <v>2022</v>
      </c>
      <c r="B164" t="s">
        <v>772</v>
      </c>
      <c r="C164" t="s">
        <v>2899</v>
      </c>
      <c r="D164" t="s">
        <v>715</v>
      </c>
      <c r="E164" t="s">
        <v>200</v>
      </c>
      <c r="F164" t="s">
        <v>1245</v>
      </c>
      <c r="H164" t="s">
        <v>2086</v>
      </c>
      <c r="I164" t="s">
        <v>11</v>
      </c>
      <c r="J164" t="s">
        <v>13</v>
      </c>
      <c r="K164" t="s">
        <v>201</v>
      </c>
      <c r="L164" t="s">
        <v>1765</v>
      </c>
      <c r="M164" t="s">
        <v>2990</v>
      </c>
      <c r="N164" t="s">
        <v>1774</v>
      </c>
      <c r="O164" t="s">
        <v>2894</v>
      </c>
      <c r="P164" t="s">
        <v>3004</v>
      </c>
      <c r="Q164" t="s">
        <v>1546</v>
      </c>
      <c r="R164" s="31">
        <v>498</v>
      </c>
      <c r="S164" t="s">
        <v>3173</v>
      </c>
      <c r="T164" t="s">
        <v>3174</v>
      </c>
    </row>
    <row r="165" spans="1:20" hidden="1" x14ac:dyDescent="0.25">
      <c r="A165">
        <v>2022</v>
      </c>
      <c r="B165" t="s">
        <v>772</v>
      </c>
      <c r="C165" t="s">
        <v>2899</v>
      </c>
      <c r="D165" t="s">
        <v>715</v>
      </c>
      <c r="E165" t="s">
        <v>200</v>
      </c>
      <c r="F165" t="s">
        <v>1245</v>
      </c>
      <c r="H165" t="s">
        <v>2086</v>
      </c>
      <c r="I165" t="s">
        <v>11</v>
      </c>
      <c r="J165" t="s">
        <v>13</v>
      </c>
      <c r="K165" t="s">
        <v>201</v>
      </c>
      <c r="L165" t="s">
        <v>125</v>
      </c>
      <c r="M165" t="s">
        <v>2990</v>
      </c>
      <c r="N165" t="s">
        <v>1774</v>
      </c>
      <c r="O165" t="s">
        <v>2894</v>
      </c>
      <c r="P165" t="s">
        <v>3004</v>
      </c>
      <c r="Q165" t="s">
        <v>1546</v>
      </c>
      <c r="R165" s="31">
        <v>5488</v>
      </c>
      <c r="S165" t="s">
        <v>3173</v>
      </c>
      <c r="T165" t="s">
        <v>3174</v>
      </c>
    </row>
    <row r="166" spans="1:20" hidden="1" x14ac:dyDescent="0.25">
      <c r="A166">
        <v>2022</v>
      </c>
      <c r="B166" t="s">
        <v>772</v>
      </c>
      <c r="C166" t="s">
        <v>2899</v>
      </c>
      <c r="D166" t="s">
        <v>715</v>
      </c>
      <c r="E166" t="s">
        <v>200</v>
      </c>
      <c r="F166" t="s">
        <v>1245</v>
      </c>
      <c r="H166" t="s">
        <v>2086</v>
      </c>
      <c r="I166" t="s">
        <v>11</v>
      </c>
      <c r="J166" t="s">
        <v>13</v>
      </c>
      <c r="K166" t="s">
        <v>201</v>
      </c>
      <c r="L166" t="s">
        <v>557</v>
      </c>
      <c r="M166" t="s">
        <v>2990</v>
      </c>
      <c r="N166" t="s">
        <v>1774</v>
      </c>
      <c r="O166" t="s">
        <v>2894</v>
      </c>
      <c r="P166" t="s">
        <v>3004</v>
      </c>
      <c r="Q166" t="s">
        <v>1546</v>
      </c>
      <c r="R166" s="31">
        <v>24232</v>
      </c>
      <c r="S166" t="s">
        <v>3173</v>
      </c>
      <c r="T166" t="s">
        <v>3174</v>
      </c>
    </row>
    <row r="167" spans="1:20" hidden="1" x14ac:dyDescent="0.25">
      <c r="A167">
        <v>2022</v>
      </c>
      <c r="B167" t="s">
        <v>772</v>
      </c>
      <c r="C167" t="s">
        <v>2899</v>
      </c>
      <c r="D167" t="s">
        <v>715</v>
      </c>
      <c r="E167" t="s">
        <v>200</v>
      </c>
      <c r="F167" t="s">
        <v>1245</v>
      </c>
      <c r="H167" t="s">
        <v>2086</v>
      </c>
      <c r="I167" t="s">
        <v>11</v>
      </c>
      <c r="J167" t="s">
        <v>13</v>
      </c>
      <c r="K167" t="s">
        <v>201</v>
      </c>
      <c r="L167" t="s">
        <v>1772</v>
      </c>
      <c r="M167" t="s">
        <v>2989</v>
      </c>
      <c r="N167" t="s">
        <v>1545</v>
      </c>
      <c r="O167" t="s">
        <v>2894</v>
      </c>
      <c r="P167" t="s">
        <v>3004</v>
      </c>
      <c r="Q167" t="s">
        <v>1641</v>
      </c>
      <c r="R167" s="31">
        <v>1.5</v>
      </c>
      <c r="T167" t="s">
        <v>3174</v>
      </c>
    </row>
    <row r="168" spans="1:20" hidden="1" x14ac:dyDescent="0.25">
      <c r="A168">
        <v>2022</v>
      </c>
      <c r="B168" t="s">
        <v>772</v>
      </c>
      <c r="C168" t="s">
        <v>2899</v>
      </c>
      <c r="D168" t="s">
        <v>715</v>
      </c>
      <c r="E168" t="s">
        <v>200</v>
      </c>
      <c r="F168" t="s">
        <v>1245</v>
      </c>
      <c r="H168" t="s">
        <v>2086</v>
      </c>
      <c r="I168" t="s">
        <v>11</v>
      </c>
      <c r="J168" t="s">
        <v>13</v>
      </c>
      <c r="K168" t="s">
        <v>201</v>
      </c>
      <c r="L168" t="s">
        <v>3193</v>
      </c>
      <c r="M168" t="s">
        <v>2990</v>
      </c>
      <c r="N168" t="s">
        <v>1774</v>
      </c>
      <c r="O168" t="s">
        <v>2894</v>
      </c>
      <c r="P168" t="s">
        <v>3004</v>
      </c>
      <c r="Q168" t="s">
        <v>1548</v>
      </c>
      <c r="R168" s="31">
        <v>141980</v>
      </c>
      <c r="S168" t="s">
        <v>3173</v>
      </c>
      <c r="T168" s="2" t="s">
        <v>3191</v>
      </c>
    </row>
    <row r="169" spans="1:20" hidden="1" x14ac:dyDescent="0.25">
      <c r="A169">
        <v>2023</v>
      </c>
      <c r="B169" t="s">
        <v>772</v>
      </c>
      <c r="C169" t="s">
        <v>2899</v>
      </c>
      <c r="D169" t="s">
        <v>755</v>
      </c>
      <c r="E169" t="s">
        <v>76</v>
      </c>
      <c r="F169" t="s">
        <v>1314</v>
      </c>
      <c r="H169" t="s">
        <v>2132</v>
      </c>
      <c r="I169" t="s">
        <v>11</v>
      </c>
      <c r="J169" t="s">
        <v>13</v>
      </c>
      <c r="K169" t="s">
        <v>64</v>
      </c>
      <c r="L169" t="s">
        <v>16</v>
      </c>
      <c r="M169" t="s">
        <v>2990</v>
      </c>
      <c r="N169" t="s">
        <v>3187</v>
      </c>
      <c r="O169" t="s">
        <v>2894</v>
      </c>
      <c r="P169" t="s">
        <v>3004</v>
      </c>
      <c r="Q169" t="s">
        <v>1548</v>
      </c>
      <c r="R169" s="31">
        <v>253745</v>
      </c>
      <c r="T169" t="s">
        <v>1710</v>
      </c>
    </row>
    <row r="170" spans="1:20" hidden="1" x14ac:dyDescent="0.25">
      <c r="A170">
        <v>2023</v>
      </c>
      <c r="B170" t="s">
        <v>772</v>
      </c>
      <c r="C170" t="s">
        <v>2899</v>
      </c>
      <c r="D170" t="s">
        <v>755</v>
      </c>
      <c r="E170" t="s">
        <v>76</v>
      </c>
      <c r="F170" t="s">
        <v>1314</v>
      </c>
      <c r="H170" t="s">
        <v>2132</v>
      </c>
      <c r="I170" t="s">
        <v>11</v>
      </c>
      <c r="J170" t="s">
        <v>13</v>
      </c>
      <c r="K170" t="s">
        <v>64</v>
      </c>
      <c r="L170" t="s">
        <v>1772</v>
      </c>
      <c r="M170" t="s">
        <v>2988</v>
      </c>
      <c r="N170" t="s">
        <v>1594</v>
      </c>
      <c r="O170" t="s">
        <v>2894</v>
      </c>
      <c r="P170" t="s">
        <v>3004</v>
      </c>
      <c r="Q170" t="s">
        <v>1566</v>
      </c>
      <c r="R170" s="31">
        <v>12412</v>
      </c>
      <c r="T170" t="s">
        <v>1710</v>
      </c>
    </row>
    <row r="171" spans="1:20" hidden="1" x14ac:dyDescent="0.25">
      <c r="A171">
        <v>2023</v>
      </c>
      <c r="B171" t="s">
        <v>772</v>
      </c>
      <c r="C171" t="s">
        <v>2899</v>
      </c>
      <c r="D171" t="s">
        <v>755</v>
      </c>
      <c r="E171" t="s">
        <v>76</v>
      </c>
      <c r="F171" t="s">
        <v>1314</v>
      </c>
      <c r="H171" t="s">
        <v>2132</v>
      </c>
      <c r="I171" t="s">
        <v>11</v>
      </c>
      <c r="J171" t="s">
        <v>13</v>
      </c>
      <c r="K171" t="s">
        <v>64</v>
      </c>
      <c r="L171" t="s">
        <v>1772</v>
      </c>
      <c r="M171" t="s">
        <v>2989</v>
      </c>
      <c r="N171" t="s">
        <v>1545</v>
      </c>
      <c r="O171" t="s">
        <v>2894</v>
      </c>
      <c r="P171" t="s">
        <v>3004</v>
      </c>
      <c r="Q171" t="s">
        <v>1566</v>
      </c>
      <c r="R171" s="31">
        <v>8764</v>
      </c>
      <c r="T171" t="s">
        <v>1710</v>
      </c>
    </row>
    <row r="172" spans="1:20" hidden="1" x14ac:dyDescent="0.25">
      <c r="A172">
        <v>2023</v>
      </c>
      <c r="B172" t="s">
        <v>772</v>
      </c>
      <c r="C172" t="s">
        <v>2899</v>
      </c>
      <c r="D172" t="s">
        <v>39</v>
      </c>
      <c r="E172" t="s">
        <v>86</v>
      </c>
      <c r="F172" t="s">
        <v>1322</v>
      </c>
      <c r="H172" t="s">
        <v>2133</v>
      </c>
      <c r="I172" t="s">
        <v>11</v>
      </c>
      <c r="J172" t="s">
        <v>19</v>
      </c>
      <c r="K172" t="s">
        <v>84</v>
      </c>
      <c r="L172" t="s">
        <v>125</v>
      </c>
      <c r="M172" t="s">
        <v>2990</v>
      </c>
      <c r="N172" t="s">
        <v>1774</v>
      </c>
      <c r="O172" t="s">
        <v>2894</v>
      </c>
      <c r="P172" t="s">
        <v>3004</v>
      </c>
      <c r="Q172" t="s">
        <v>1566</v>
      </c>
      <c r="R172" s="31">
        <v>4</v>
      </c>
      <c r="S172" t="s">
        <v>2977</v>
      </c>
      <c r="T172" t="s">
        <v>1593</v>
      </c>
    </row>
    <row r="173" spans="1:20" hidden="1" x14ac:dyDescent="0.25">
      <c r="A173">
        <v>2023</v>
      </c>
      <c r="B173" t="s">
        <v>772</v>
      </c>
      <c r="C173" t="s">
        <v>2899</v>
      </c>
      <c r="D173" t="s">
        <v>39</v>
      </c>
      <c r="E173" t="s">
        <v>86</v>
      </c>
      <c r="F173" t="s">
        <v>1322</v>
      </c>
      <c r="H173" t="s">
        <v>2133</v>
      </c>
      <c r="I173" t="s">
        <v>11</v>
      </c>
      <c r="J173" t="s">
        <v>19</v>
      </c>
      <c r="K173" t="s">
        <v>84</v>
      </c>
      <c r="L173" t="s">
        <v>16</v>
      </c>
      <c r="M173" t="s">
        <v>2990</v>
      </c>
      <c r="N173" t="s">
        <v>3187</v>
      </c>
      <c r="O173" t="s">
        <v>2894</v>
      </c>
      <c r="P173" t="s">
        <v>3004</v>
      </c>
      <c r="Q173" t="s">
        <v>1550</v>
      </c>
      <c r="R173" s="31">
        <v>5</v>
      </c>
      <c r="T173" t="s">
        <v>1593</v>
      </c>
    </row>
    <row r="174" spans="1:20" hidden="1" x14ac:dyDescent="0.25">
      <c r="A174">
        <v>2023</v>
      </c>
      <c r="B174" t="s">
        <v>772</v>
      </c>
      <c r="C174" t="s">
        <v>2899</v>
      </c>
      <c r="D174" t="s">
        <v>39</v>
      </c>
      <c r="E174" t="s">
        <v>86</v>
      </c>
      <c r="F174" t="s">
        <v>1322</v>
      </c>
      <c r="H174" t="s">
        <v>2133</v>
      </c>
      <c r="I174" t="s">
        <v>11</v>
      </c>
      <c r="J174" t="s">
        <v>19</v>
      </c>
      <c r="K174" t="s">
        <v>84</v>
      </c>
      <c r="L174" t="s">
        <v>1772</v>
      </c>
      <c r="M174" t="s">
        <v>2989</v>
      </c>
      <c r="N174" t="s">
        <v>1545</v>
      </c>
      <c r="O174" t="s">
        <v>2894</v>
      </c>
      <c r="P174" t="s">
        <v>3004</v>
      </c>
      <c r="Q174" t="s">
        <v>1566</v>
      </c>
      <c r="R174" s="31">
        <v>1139</v>
      </c>
      <c r="T174" t="s">
        <v>1593</v>
      </c>
    </row>
    <row r="175" spans="1:20" hidden="1" x14ac:dyDescent="0.25">
      <c r="A175">
        <v>2023</v>
      </c>
      <c r="B175" t="s">
        <v>772</v>
      </c>
      <c r="C175" t="s">
        <v>2899</v>
      </c>
      <c r="D175" t="s">
        <v>39</v>
      </c>
      <c r="E175" t="s">
        <v>86</v>
      </c>
      <c r="F175" t="s">
        <v>1322</v>
      </c>
      <c r="H175" t="s">
        <v>2133</v>
      </c>
      <c r="I175" t="s">
        <v>11</v>
      </c>
      <c r="J175" t="s">
        <v>19</v>
      </c>
      <c r="K175" t="s">
        <v>84</v>
      </c>
      <c r="L175" t="s">
        <v>1772</v>
      </c>
      <c r="M175" t="s">
        <v>2988</v>
      </c>
      <c r="N175" t="s">
        <v>1594</v>
      </c>
      <c r="O175" t="s">
        <v>2894</v>
      </c>
      <c r="P175" t="s">
        <v>3004</v>
      </c>
      <c r="Q175" t="s">
        <v>1566</v>
      </c>
      <c r="R175" s="31">
        <v>3769</v>
      </c>
      <c r="S175" t="s">
        <v>2996</v>
      </c>
      <c r="T175" t="s">
        <v>1593</v>
      </c>
    </row>
    <row r="176" spans="1:20" hidden="1" x14ac:dyDescent="0.25">
      <c r="A176">
        <v>2024</v>
      </c>
      <c r="B176" t="s">
        <v>772</v>
      </c>
      <c r="C176" t="s">
        <v>2899</v>
      </c>
      <c r="D176" t="s">
        <v>798</v>
      </c>
      <c r="E176" t="s">
        <v>71</v>
      </c>
      <c r="F176" t="s">
        <v>1215</v>
      </c>
      <c r="H176" t="s">
        <v>2067</v>
      </c>
      <c r="I176" t="s">
        <v>11</v>
      </c>
      <c r="J176" t="s">
        <v>13</v>
      </c>
      <c r="K176" t="s">
        <v>64</v>
      </c>
      <c r="L176" t="s">
        <v>16</v>
      </c>
      <c r="M176" t="s">
        <v>2990</v>
      </c>
      <c r="N176" t="s">
        <v>3187</v>
      </c>
      <c r="O176" t="s">
        <v>2894</v>
      </c>
      <c r="P176" t="s">
        <v>3004</v>
      </c>
      <c r="Q176" t="s">
        <v>1548</v>
      </c>
      <c r="R176" s="31">
        <v>112700</v>
      </c>
      <c r="T176" t="s">
        <v>1824</v>
      </c>
    </row>
    <row r="177" spans="1:20" hidden="1" x14ac:dyDescent="0.25">
      <c r="A177">
        <v>2024</v>
      </c>
      <c r="B177" t="s">
        <v>772</v>
      </c>
      <c r="C177" t="s">
        <v>2899</v>
      </c>
      <c r="D177" t="s">
        <v>798</v>
      </c>
      <c r="E177" t="s">
        <v>71</v>
      </c>
      <c r="F177" t="s">
        <v>1215</v>
      </c>
      <c r="H177" t="s">
        <v>2067</v>
      </c>
      <c r="I177" t="s">
        <v>11</v>
      </c>
      <c r="J177" t="s">
        <v>13</v>
      </c>
      <c r="K177" t="s">
        <v>64</v>
      </c>
      <c r="L177" t="s">
        <v>1772</v>
      </c>
      <c r="M177" t="s">
        <v>2988</v>
      </c>
      <c r="N177" t="s">
        <v>1816</v>
      </c>
      <c r="O177" t="s">
        <v>2894</v>
      </c>
      <c r="P177" t="s">
        <v>3004</v>
      </c>
      <c r="Q177" t="s">
        <v>1546</v>
      </c>
      <c r="R177" s="31">
        <v>1855271</v>
      </c>
      <c r="T177" t="s">
        <v>1824</v>
      </c>
    </row>
    <row r="178" spans="1:20" hidden="1" x14ac:dyDescent="0.25">
      <c r="A178">
        <v>2024</v>
      </c>
      <c r="B178" t="s">
        <v>772</v>
      </c>
      <c r="C178" t="s">
        <v>2899</v>
      </c>
      <c r="D178" t="s">
        <v>798</v>
      </c>
      <c r="E178" t="s">
        <v>71</v>
      </c>
      <c r="F178" t="s">
        <v>1215</v>
      </c>
      <c r="H178" t="s">
        <v>2067</v>
      </c>
      <c r="I178" t="s">
        <v>11</v>
      </c>
      <c r="J178" t="s">
        <v>13</v>
      </c>
      <c r="K178" t="s">
        <v>64</v>
      </c>
      <c r="L178" t="s">
        <v>1772</v>
      </c>
      <c r="M178" t="s">
        <v>2988</v>
      </c>
      <c r="N178" t="s">
        <v>1594</v>
      </c>
      <c r="O178" t="s">
        <v>2894</v>
      </c>
      <c r="P178" t="s">
        <v>3004</v>
      </c>
      <c r="Q178" t="s">
        <v>1546</v>
      </c>
      <c r="R178" s="31">
        <v>862000</v>
      </c>
      <c r="T178" t="s">
        <v>1824</v>
      </c>
    </row>
    <row r="179" spans="1:20" hidden="1" x14ac:dyDescent="0.25">
      <c r="A179">
        <v>2024</v>
      </c>
      <c r="B179" t="s">
        <v>772</v>
      </c>
      <c r="C179" t="s">
        <v>2899</v>
      </c>
      <c r="D179" t="s">
        <v>798</v>
      </c>
      <c r="E179" t="s">
        <v>71</v>
      </c>
      <c r="F179" t="s">
        <v>1215</v>
      </c>
      <c r="H179" t="s">
        <v>2067</v>
      </c>
      <c r="I179" t="s">
        <v>11</v>
      </c>
      <c r="J179" t="s">
        <v>13</v>
      </c>
      <c r="K179" t="s">
        <v>64</v>
      </c>
      <c r="L179" t="s">
        <v>1772</v>
      </c>
      <c r="M179" t="s">
        <v>2989</v>
      </c>
      <c r="N179" t="s">
        <v>1545</v>
      </c>
      <c r="O179" t="s">
        <v>2894</v>
      </c>
      <c r="P179" t="s">
        <v>3004</v>
      </c>
      <c r="Q179" t="s">
        <v>1546</v>
      </c>
      <c r="R179" s="31">
        <v>841000</v>
      </c>
      <c r="T179" t="s">
        <v>1824</v>
      </c>
    </row>
    <row r="180" spans="1:20" hidden="1" x14ac:dyDescent="0.25">
      <c r="A180">
        <v>2023</v>
      </c>
      <c r="B180" t="s">
        <v>772</v>
      </c>
      <c r="C180" t="s">
        <v>2899</v>
      </c>
      <c r="D180" t="s">
        <v>718</v>
      </c>
      <c r="E180" t="s">
        <v>345</v>
      </c>
      <c r="F180" t="s">
        <v>1355</v>
      </c>
      <c r="G180" t="s">
        <v>2153</v>
      </c>
      <c r="H180" t="s">
        <v>2149</v>
      </c>
      <c r="I180" t="s">
        <v>233</v>
      </c>
      <c r="J180" t="s">
        <v>255</v>
      </c>
      <c r="K180" t="s">
        <v>346</v>
      </c>
      <c r="L180" t="s">
        <v>2279</v>
      </c>
      <c r="M180" t="s">
        <v>2992</v>
      </c>
      <c r="N180" t="s">
        <v>3001</v>
      </c>
      <c r="O180" t="s">
        <v>2894</v>
      </c>
      <c r="P180" t="s">
        <v>3004</v>
      </c>
      <c r="Q180" t="s">
        <v>1566</v>
      </c>
      <c r="R180" s="31">
        <v>1111</v>
      </c>
      <c r="S180" t="s">
        <v>2929</v>
      </c>
      <c r="T180" t="s">
        <v>2272</v>
      </c>
    </row>
    <row r="181" spans="1:20" hidden="1" x14ac:dyDescent="0.25">
      <c r="A181">
        <v>2023</v>
      </c>
      <c r="B181" t="s">
        <v>772</v>
      </c>
      <c r="C181" t="s">
        <v>2899</v>
      </c>
      <c r="D181" t="s">
        <v>165</v>
      </c>
      <c r="E181" t="s">
        <v>166</v>
      </c>
      <c r="F181" t="s">
        <v>1392</v>
      </c>
      <c r="H181" t="s">
        <v>2180</v>
      </c>
      <c r="I181" t="s">
        <v>11</v>
      </c>
      <c r="J181" t="s">
        <v>19</v>
      </c>
      <c r="K181" t="s">
        <v>157</v>
      </c>
      <c r="L181" t="s">
        <v>157</v>
      </c>
      <c r="M181" t="s">
        <v>2990</v>
      </c>
      <c r="N181" t="s">
        <v>2893</v>
      </c>
      <c r="O181" t="s">
        <v>2893</v>
      </c>
      <c r="P181" t="s">
        <v>3004</v>
      </c>
      <c r="Q181" t="s">
        <v>1566</v>
      </c>
      <c r="R181" s="31">
        <v>6000</v>
      </c>
      <c r="S181" t="s">
        <v>2913</v>
      </c>
      <c r="T181" t="s">
        <v>2361</v>
      </c>
    </row>
    <row r="182" spans="1:20" hidden="1" x14ac:dyDescent="0.25">
      <c r="A182">
        <v>2023</v>
      </c>
      <c r="B182" t="s">
        <v>772</v>
      </c>
      <c r="C182" t="s">
        <v>2899</v>
      </c>
      <c r="D182" t="s">
        <v>165</v>
      </c>
      <c r="E182" t="s">
        <v>166</v>
      </c>
      <c r="F182" t="s">
        <v>1392</v>
      </c>
      <c r="H182" t="s">
        <v>2180</v>
      </c>
      <c r="I182" t="s">
        <v>11</v>
      </c>
      <c r="J182" t="s">
        <v>19</v>
      </c>
      <c r="K182" t="s">
        <v>157</v>
      </c>
      <c r="L182" t="s">
        <v>157</v>
      </c>
      <c r="M182" t="s">
        <v>2988</v>
      </c>
      <c r="N182" t="s">
        <v>1594</v>
      </c>
      <c r="O182" t="s">
        <v>2894</v>
      </c>
      <c r="P182" t="s">
        <v>3004</v>
      </c>
      <c r="Q182" t="s">
        <v>1566</v>
      </c>
      <c r="R182" s="31">
        <v>3560</v>
      </c>
      <c r="T182" t="s">
        <v>2361</v>
      </c>
    </row>
    <row r="183" spans="1:20" hidden="1" x14ac:dyDescent="0.25">
      <c r="A183">
        <v>2023</v>
      </c>
      <c r="B183" t="s">
        <v>1537</v>
      </c>
      <c r="C183" t="s">
        <v>2899</v>
      </c>
      <c r="D183" t="s">
        <v>902</v>
      </c>
      <c r="E183" t="s">
        <v>1943</v>
      </c>
      <c r="G183" t="s">
        <v>1942</v>
      </c>
      <c r="H183" t="s">
        <v>2169</v>
      </c>
      <c r="I183" t="s">
        <v>11</v>
      </c>
      <c r="J183" t="s">
        <v>44</v>
      </c>
      <c r="K183" t="s">
        <v>16</v>
      </c>
      <c r="L183" t="s">
        <v>16</v>
      </c>
      <c r="M183" t="s">
        <v>2989</v>
      </c>
      <c r="N183" t="s">
        <v>1730</v>
      </c>
      <c r="O183" t="s">
        <v>2894</v>
      </c>
      <c r="P183" t="s">
        <v>3004</v>
      </c>
      <c r="Q183" t="s">
        <v>1566</v>
      </c>
      <c r="R183" s="31">
        <v>122</v>
      </c>
      <c r="T183" t="s">
        <v>1931</v>
      </c>
    </row>
    <row r="184" spans="1:20" hidden="1" x14ac:dyDescent="0.25">
      <c r="A184">
        <v>2023</v>
      </c>
      <c r="B184" t="s">
        <v>1537</v>
      </c>
      <c r="C184" t="s">
        <v>2899</v>
      </c>
      <c r="D184" t="s">
        <v>902</v>
      </c>
      <c r="E184" t="s">
        <v>1943</v>
      </c>
      <c r="G184" t="s">
        <v>1942</v>
      </c>
      <c r="H184" t="s">
        <v>2169</v>
      </c>
      <c r="I184" t="s">
        <v>11</v>
      </c>
      <c r="J184" t="s">
        <v>44</v>
      </c>
      <c r="K184" t="s">
        <v>16</v>
      </c>
      <c r="L184" t="s">
        <v>16</v>
      </c>
      <c r="M184" t="s">
        <v>2988</v>
      </c>
      <c r="N184" t="s">
        <v>1594</v>
      </c>
      <c r="O184" t="s">
        <v>2894</v>
      </c>
      <c r="P184" t="s">
        <v>3004</v>
      </c>
      <c r="Q184" t="s">
        <v>1566</v>
      </c>
      <c r="R184" s="31">
        <v>117</v>
      </c>
      <c r="T184" t="s">
        <v>1931</v>
      </c>
    </row>
    <row r="185" spans="1:20" hidden="1" x14ac:dyDescent="0.25">
      <c r="A185">
        <v>2023</v>
      </c>
      <c r="B185" t="s">
        <v>1537</v>
      </c>
      <c r="C185" t="s">
        <v>2899</v>
      </c>
      <c r="D185" t="s">
        <v>902</v>
      </c>
      <c r="E185" t="s">
        <v>1943</v>
      </c>
      <c r="G185" t="s">
        <v>1942</v>
      </c>
      <c r="H185" t="s">
        <v>2169</v>
      </c>
      <c r="I185" t="s">
        <v>11</v>
      </c>
      <c r="J185" t="s">
        <v>44</v>
      </c>
      <c r="K185" t="s">
        <v>16</v>
      </c>
      <c r="L185" t="s">
        <v>16</v>
      </c>
      <c r="M185" t="s">
        <v>2990</v>
      </c>
      <c r="N185" t="s">
        <v>3187</v>
      </c>
      <c r="O185" t="s">
        <v>2894</v>
      </c>
      <c r="P185" t="s">
        <v>3004</v>
      </c>
      <c r="Q185" t="s">
        <v>1548</v>
      </c>
      <c r="R185" s="31">
        <v>38757</v>
      </c>
      <c r="T185" t="s">
        <v>1931</v>
      </c>
    </row>
    <row r="186" spans="1:20" hidden="1" x14ac:dyDescent="0.25">
      <c r="A186">
        <v>2023</v>
      </c>
      <c r="B186" t="s">
        <v>772</v>
      </c>
      <c r="C186" t="s">
        <v>2899</v>
      </c>
      <c r="D186" t="s">
        <v>717</v>
      </c>
      <c r="E186" t="s">
        <v>1778</v>
      </c>
      <c r="G186" t="s">
        <v>1849</v>
      </c>
      <c r="H186" t="s">
        <v>1848</v>
      </c>
      <c r="I186" t="s">
        <v>11</v>
      </c>
      <c r="J186" t="s">
        <v>13</v>
      </c>
      <c r="K186" t="s">
        <v>88</v>
      </c>
      <c r="L186" t="s">
        <v>125</v>
      </c>
      <c r="M186" t="s">
        <v>2990</v>
      </c>
      <c r="N186" t="s">
        <v>2994</v>
      </c>
      <c r="O186" t="s">
        <v>2894</v>
      </c>
      <c r="P186" t="s">
        <v>3004</v>
      </c>
      <c r="Q186" t="s">
        <v>1546</v>
      </c>
      <c r="R186" s="31">
        <v>12154</v>
      </c>
      <c r="T186" t="s">
        <v>1773</v>
      </c>
    </row>
    <row r="187" spans="1:20" hidden="1" x14ac:dyDescent="0.25">
      <c r="A187">
        <v>2023</v>
      </c>
      <c r="B187" t="s">
        <v>772</v>
      </c>
      <c r="C187" t="s">
        <v>2899</v>
      </c>
      <c r="D187" t="s">
        <v>717</v>
      </c>
      <c r="E187" t="s">
        <v>1778</v>
      </c>
      <c r="G187" t="s">
        <v>1849</v>
      </c>
      <c r="H187" t="s">
        <v>1848</v>
      </c>
      <c r="I187" t="s">
        <v>11</v>
      </c>
      <c r="J187" t="s">
        <v>13</v>
      </c>
      <c r="K187" t="s">
        <v>88</v>
      </c>
      <c r="L187" t="s">
        <v>16</v>
      </c>
      <c r="M187" t="s">
        <v>2990</v>
      </c>
      <c r="N187" t="s">
        <v>2994</v>
      </c>
      <c r="O187" t="s">
        <v>2894</v>
      </c>
      <c r="P187" t="s">
        <v>3004</v>
      </c>
      <c r="Q187" t="s">
        <v>1548</v>
      </c>
      <c r="R187" s="31">
        <v>187363</v>
      </c>
      <c r="T187" t="s">
        <v>1773</v>
      </c>
    </row>
    <row r="188" spans="1:20" hidden="1" x14ac:dyDescent="0.25">
      <c r="A188">
        <v>2023</v>
      </c>
      <c r="B188" t="s">
        <v>772</v>
      </c>
      <c r="C188" t="s">
        <v>2899</v>
      </c>
      <c r="D188" t="s">
        <v>717</v>
      </c>
      <c r="E188" t="s">
        <v>1778</v>
      </c>
      <c r="G188" t="s">
        <v>1849</v>
      </c>
      <c r="H188" t="s">
        <v>1848</v>
      </c>
      <c r="I188" t="s">
        <v>11</v>
      </c>
      <c r="J188" t="s">
        <v>13</v>
      </c>
      <c r="K188" t="s">
        <v>88</v>
      </c>
      <c r="L188" t="s">
        <v>1549</v>
      </c>
      <c r="M188" t="s">
        <v>2990</v>
      </c>
      <c r="N188" t="s">
        <v>2994</v>
      </c>
      <c r="O188" t="s">
        <v>2894</v>
      </c>
      <c r="P188" t="s">
        <v>3004</v>
      </c>
      <c r="Q188" t="s">
        <v>1548</v>
      </c>
      <c r="R188" s="31">
        <v>851723</v>
      </c>
      <c r="T188" t="s">
        <v>1773</v>
      </c>
    </row>
    <row r="189" spans="1:20" hidden="1" x14ac:dyDescent="0.25">
      <c r="A189">
        <v>2023</v>
      </c>
      <c r="B189" t="s">
        <v>772</v>
      </c>
      <c r="C189" t="s">
        <v>2899</v>
      </c>
      <c r="D189" t="s">
        <v>717</v>
      </c>
      <c r="E189" t="s">
        <v>1778</v>
      </c>
      <c r="G189" t="s">
        <v>1849</v>
      </c>
      <c r="H189" t="s">
        <v>1848</v>
      </c>
      <c r="I189" t="s">
        <v>11</v>
      </c>
      <c r="J189" t="s">
        <v>13</v>
      </c>
      <c r="K189" t="s">
        <v>88</v>
      </c>
      <c r="L189" t="s">
        <v>1551</v>
      </c>
      <c r="M189" t="s">
        <v>2990</v>
      </c>
      <c r="N189" t="s">
        <v>2994</v>
      </c>
      <c r="O189" t="s">
        <v>2894</v>
      </c>
      <c r="P189" t="s">
        <v>3004</v>
      </c>
      <c r="Q189" t="s">
        <v>1546</v>
      </c>
      <c r="R189" s="31">
        <v>34642</v>
      </c>
      <c r="T189" t="s">
        <v>1773</v>
      </c>
    </row>
    <row r="190" spans="1:20" hidden="1" x14ac:dyDescent="0.25">
      <c r="A190">
        <v>2023</v>
      </c>
      <c r="B190" t="s">
        <v>772</v>
      </c>
      <c r="C190" t="s">
        <v>2899</v>
      </c>
      <c r="D190" t="s">
        <v>717</v>
      </c>
      <c r="E190" t="s">
        <v>87</v>
      </c>
      <c r="F190" t="s">
        <v>1267</v>
      </c>
      <c r="G190" t="s">
        <v>1849</v>
      </c>
      <c r="H190" t="s">
        <v>1848</v>
      </c>
      <c r="I190" t="s">
        <v>11</v>
      </c>
      <c r="J190" t="s">
        <v>21</v>
      </c>
      <c r="K190" t="s">
        <v>88</v>
      </c>
      <c r="L190" t="s">
        <v>1772</v>
      </c>
      <c r="M190" t="s">
        <v>2989</v>
      </c>
      <c r="N190" t="s">
        <v>1730</v>
      </c>
      <c r="O190" t="s">
        <v>2894</v>
      </c>
      <c r="P190" t="s">
        <v>3004</v>
      </c>
      <c r="Q190" t="s">
        <v>1546</v>
      </c>
      <c r="R190" s="31">
        <v>965567</v>
      </c>
      <c r="T190" t="s">
        <v>1773</v>
      </c>
    </row>
    <row r="191" spans="1:20" hidden="1" x14ac:dyDescent="0.25">
      <c r="A191">
        <v>2023</v>
      </c>
      <c r="B191" t="s">
        <v>772</v>
      </c>
      <c r="C191" t="s">
        <v>2899</v>
      </c>
      <c r="D191" t="s">
        <v>719</v>
      </c>
      <c r="E191" t="s">
        <v>186</v>
      </c>
      <c r="F191" t="s">
        <v>1424</v>
      </c>
      <c r="G191" t="s">
        <v>2193</v>
      </c>
      <c r="H191" t="s">
        <v>2191</v>
      </c>
      <c r="I191" t="s">
        <v>11</v>
      </c>
      <c r="J191" t="s">
        <v>44</v>
      </c>
      <c r="K191" t="s">
        <v>189</v>
      </c>
      <c r="L191" t="s">
        <v>1772</v>
      </c>
      <c r="M191" t="s">
        <v>2989</v>
      </c>
      <c r="N191" t="s">
        <v>1545</v>
      </c>
      <c r="O191" t="s">
        <v>2894</v>
      </c>
      <c r="P191" t="s">
        <v>3004</v>
      </c>
      <c r="Q191" s="31" t="s">
        <v>1546</v>
      </c>
      <c r="R191" s="31">
        <v>414000</v>
      </c>
      <c r="S191" t="s">
        <v>3202</v>
      </c>
    </row>
    <row r="192" spans="1:20" hidden="1" x14ac:dyDescent="0.25">
      <c r="A192">
        <v>2024</v>
      </c>
      <c r="B192" t="s">
        <v>772</v>
      </c>
      <c r="C192" t="s">
        <v>2899</v>
      </c>
      <c r="D192" t="s">
        <v>715</v>
      </c>
      <c r="E192" t="s">
        <v>195</v>
      </c>
      <c r="F192" t="s">
        <v>1247</v>
      </c>
      <c r="G192" t="s">
        <v>2909</v>
      </c>
      <c r="H192" t="s">
        <v>2086</v>
      </c>
      <c r="I192" t="s">
        <v>11</v>
      </c>
      <c r="J192" t="s">
        <v>44</v>
      </c>
      <c r="K192" t="s">
        <v>196</v>
      </c>
      <c r="L192" t="s">
        <v>1772</v>
      </c>
      <c r="M192" t="s">
        <v>2988</v>
      </c>
      <c r="N192" t="s">
        <v>1594</v>
      </c>
      <c r="O192" t="s">
        <v>2894</v>
      </c>
      <c r="P192" t="s">
        <v>3004</v>
      </c>
      <c r="Q192" t="s">
        <v>1546</v>
      </c>
      <c r="R192" s="31">
        <v>553033</v>
      </c>
      <c r="T192" t="s">
        <v>3171</v>
      </c>
    </row>
    <row r="193" spans="1:20" hidden="1" x14ac:dyDescent="0.25">
      <c r="A193">
        <v>2024</v>
      </c>
      <c r="B193" t="s">
        <v>772</v>
      </c>
      <c r="C193" t="s">
        <v>2899</v>
      </c>
      <c r="D193" t="s">
        <v>715</v>
      </c>
      <c r="E193" t="s">
        <v>184</v>
      </c>
      <c r="F193" t="s">
        <v>1246</v>
      </c>
      <c r="G193" t="s">
        <v>2909</v>
      </c>
      <c r="H193" t="s">
        <v>2086</v>
      </c>
      <c r="I193" t="s">
        <v>11</v>
      </c>
      <c r="J193" t="s">
        <v>44</v>
      </c>
      <c r="K193" t="s">
        <v>185</v>
      </c>
      <c r="L193" t="s">
        <v>1772</v>
      </c>
      <c r="M193" t="s">
        <v>2988</v>
      </c>
      <c r="N193" t="s">
        <v>1594</v>
      </c>
      <c r="O193" t="s">
        <v>2894</v>
      </c>
      <c r="P193" t="s">
        <v>3004</v>
      </c>
      <c r="Q193" t="s">
        <v>1546</v>
      </c>
      <c r="R193" s="31">
        <v>320160</v>
      </c>
      <c r="T193" t="s">
        <v>3171</v>
      </c>
    </row>
    <row r="194" spans="1:20" hidden="1" x14ac:dyDescent="0.25">
      <c r="A194">
        <v>2024</v>
      </c>
      <c r="B194" t="s">
        <v>772</v>
      </c>
      <c r="C194" t="s">
        <v>2899</v>
      </c>
      <c r="D194" t="s">
        <v>715</v>
      </c>
      <c r="E194" t="s">
        <v>188</v>
      </c>
      <c r="F194" t="s">
        <v>1248</v>
      </c>
      <c r="G194" t="s">
        <v>2909</v>
      </c>
      <c r="H194" t="s">
        <v>2086</v>
      </c>
      <c r="I194" t="s">
        <v>11</v>
      </c>
      <c r="J194" t="s">
        <v>21</v>
      </c>
      <c r="K194" t="s">
        <v>189</v>
      </c>
      <c r="L194" t="s">
        <v>125</v>
      </c>
      <c r="M194" t="s">
        <v>2990</v>
      </c>
      <c r="N194" t="s">
        <v>1774</v>
      </c>
      <c r="O194" t="s">
        <v>2894</v>
      </c>
      <c r="P194" t="s">
        <v>3004</v>
      </c>
      <c r="Q194" t="s">
        <v>1546</v>
      </c>
      <c r="R194" s="31">
        <v>7154</v>
      </c>
      <c r="T194" t="s">
        <v>3171</v>
      </c>
    </row>
    <row r="195" spans="1:20" hidden="1" x14ac:dyDescent="0.25">
      <c r="A195">
        <v>2024</v>
      </c>
      <c r="B195" t="s">
        <v>772</v>
      </c>
      <c r="C195" t="s">
        <v>2899</v>
      </c>
      <c r="D195" t="s">
        <v>715</v>
      </c>
      <c r="E195" t="s">
        <v>188</v>
      </c>
      <c r="F195" t="s">
        <v>1248</v>
      </c>
      <c r="G195" t="s">
        <v>2909</v>
      </c>
      <c r="H195" t="s">
        <v>2086</v>
      </c>
      <c r="I195" t="s">
        <v>11</v>
      </c>
      <c r="J195" t="s">
        <v>21</v>
      </c>
      <c r="K195" t="s">
        <v>356</v>
      </c>
      <c r="L195" t="s">
        <v>557</v>
      </c>
      <c r="M195" t="s">
        <v>2990</v>
      </c>
      <c r="N195" t="s">
        <v>1774</v>
      </c>
      <c r="O195" t="s">
        <v>2894</v>
      </c>
      <c r="P195" t="s">
        <v>3004</v>
      </c>
      <c r="Q195" t="s">
        <v>1546</v>
      </c>
      <c r="R195" s="31">
        <v>7530</v>
      </c>
      <c r="S195" t="s">
        <v>3172</v>
      </c>
      <c r="T195" s="2" t="s">
        <v>3171</v>
      </c>
    </row>
    <row r="196" spans="1:20" hidden="1" x14ac:dyDescent="0.25">
      <c r="A196">
        <v>2023</v>
      </c>
      <c r="B196" t="s">
        <v>772</v>
      </c>
      <c r="C196" t="s">
        <v>2899</v>
      </c>
      <c r="D196" t="s">
        <v>900</v>
      </c>
      <c r="E196" t="s">
        <v>50</v>
      </c>
      <c r="F196" t="s">
        <v>1372</v>
      </c>
      <c r="H196" t="s">
        <v>2164</v>
      </c>
      <c r="I196" t="s">
        <v>11</v>
      </c>
      <c r="J196" t="s">
        <v>13</v>
      </c>
      <c r="K196" t="s">
        <v>16</v>
      </c>
      <c r="L196" t="s">
        <v>16</v>
      </c>
      <c r="M196" t="s">
        <v>2988</v>
      </c>
      <c r="N196" t="s">
        <v>1594</v>
      </c>
      <c r="O196" t="s">
        <v>2894</v>
      </c>
      <c r="P196" t="s">
        <v>3004</v>
      </c>
      <c r="Q196" t="s">
        <v>1546</v>
      </c>
      <c r="R196" s="31">
        <v>234671</v>
      </c>
      <c r="T196" s="2" t="s">
        <v>1874</v>
      </c>
    </row>
    <row r="197" spans="1:20" hidden="1" x14ac:dyDescent="0.25">
      <c r="A197">
        <v>2023</v>
      </c>
      <c r="B197" t="s">
        <v>772</v>
      </c>
      <c r="C197" t="s">
        <v>2899</v>
      </c>
      <c r="D197" t="s">
        <v>900</v>
      </c>
      <c r="E197" t="s">
        <v>50</v>
      </c>
      <c r="F197" t="s">
        <v>1372</v>
      </c>
      <c r="H197" t="s">
        <v>2164</v>
      </c>
      <c r="I197" t="s">
        <v>11</v>
      </c>
      <c r="J197" t="s">
        <v>13</v>
      </c>
      <c r="K197" t="s">
        <v>16</v>
      </c>
      <c r="L197" t="s">
        <v>16</v>
      </c>
      <c r="M197" t="s">
        <v>2990</v>
      </c>
      <c r="N197" t="s">
        <v>3187</v>
      </c>
      <c r="O197" t="s">
        <v>2894</v>
      </c>
      <c r="P197" t="s">
        <v>3004</v>
      </c>
      <c r="Q197" t="s">
        <v>1548</v>
      </c>
      <c r="R197" s="31">
        <v>38659</v>
      </c>
      <c r="T197" s="2" t="s">
        <v>1874</v>
      </c>
    </row>
    <row r="198" spans="1:20" hidden="1" x14ac:dyDescent="0.25">
      <c r="A198">
        <v>2022</v>
      </c>
      <c r="B198" t="s">
        <v>772</v>
      </c>
      <c r="C198" t="s">
        <v>2899</v>
      </c>
      <c r="D198" t="s">
        <v>358</v>
      </c>
      <c r="E198" t="s">
        <v>359</v>
      </c>
      <c r="F198" t="s">
        <v>1371</v>
      </c>
      <c r="H198" t="s">
        <v>2163</v>
      </c>
      <c r="I198" t="s">
        <v>233</v>
      </c>
      <c r="J198" t="s">
        <v>274</v>
      </c>
      <c r="K198" t="s">
        <v>360</v>
      </c>
      <c r="L198" t="s">
        <v>1765</v>
      </c>
      <c r="M198" t="s">
        <v>2992</v>
      </c>
      <c r="N198" t="s">
        <v>2349</v>
      </c>
      <c r="O198" t="s">
        <v>2894</v>
      </c>
      <c r="P198" t="s">
        <v>3004</v>
      </c>
      <c r="Q198" t="s">
        <v>1546</v>
      </c>
      <c r="R198" s="31">
        <f>35636-32268</f>
        <v>3368</v>
      </c>
      <c r="S198" t="s">
        <v>2352</v>
      </c>
      <c r="T198" t="s">
        <v>2350</v>
      </c>
    </row>
    <row r="199" spans="1:20" hidden="1" x14ac:dyDescent="0.25">
      <c r="A199">
        <v>2022</v>
      </c>
      <c r="B199" t="s">
        <v>772</v>
      </c>
      <c r="C199" t="s">
        <v>2899</v>
      </c>
      <c r="D199" t="s">
        <v>358</v>
      </c>
      <c r="E199" t="s">
        <v>359</v>
      </c>
      <c r="F199" t="s">
        <v>1371</v>
      </c>
      <c r="H199" t="s">
        <v>2163</v>
      </c>
      <c r="I199" t="s">
        <v>233</v>
      </c>
      <c r="J199" t="s">
        <v>274</v>
      </c>
      <c r="K199" t="s">
        <v>360</v>
      </c>
      <c r="L199" t="s">
        <v>557</v>
      </c>
      <c r="M199" t="s">
        <v>2992</v>
      </c>
      <c r="N199" t="s">
        <v>2349</v>
      </c>
      <c r="O199" t="s">
        <v>2894</v>
      </c>
      <c r="P199" t="s">
        <v>3004</v>
      </c>
      <c r="Q199" t="s">
        <v>1546</v>
      </c>
      <c r="R199" s="31">
        <v>32268</v>
      </c>
      <c r="T199" t="s">
        <v>2350</v>
      </c>
    </row>
    <row r="200" spans="1:20" hidden="1" x14ac:dyDescent="0.25">
      <c r="A200">
        <v>2023</v>
      </c>
      <c r="B200" t="s">
        <v>772</v>
      </c>
      <c r="C200" t="s">
        <v>2899</v>
      </c>
      <c r="D200" t="s">
        <v>719</v>
      </c>
      <c r="E200" t="s">
        <v>179</v>
      </c>
      <c r="F200" t="s">
        <v>1425</v>
      </c>
      <c r="H200" t="s">
        <v>2191</v>
      </c>
      <c r="I200" t="s">
        <v>11</v>
      </c>
      <c r="J200" t="s">
        <v>23</v>
      </c>
      <c r="K200" t="s">
        <v>180</v>
      </c>
      <c r="L200" t="s">
        <v>125</v>
      </c>
      <c r="M200" t="s">
        <v>2990</v>
      </c>
      <c r="N200" t="s">
        <v>1774</v>
      </c>
      <c r="O200" t="s">
        <v>2894</v>
      </c>
      <c r="P200" t="s">
        <v>3004</v>
      </c>
      <c r="Q200" t="s">
        <v>1566</v>
      </c>
      <c r="R200" s="31">
        <v>4.7</v>
      </c>
      <c r="S200" t="s">
        <v>3180</v>
      </c>
      <c r="T200" t="s">
        <v>2529</v>
      </c>
    </row>
    <row r="201" spans="1:20" hidden="1" x14ac:dyDescent="0.25">
      <c r="A201">
        <v>2023</v>
      </c>
      <c r="B201" t="s">
        <v>772</v>
      </c>
      <c r="C201" t="s">
        <v>2899</v>
      </c>
      <c r="D201" t="s">
        <v>719</v>
      </c>
      <c r="E201" t="s">
        <v>179</v>
      </c>
      <c r="F201" t="s">
        <v>1425</v>
      </c>
      <c r="H201" t="s">
        <v>2191</v>
      </c>
      <c r="I201" t="s">
        <v>11</v>
      </c>
      <c r="J201" t="s">
        <v>23</v>
      </c>
      <c r="K201" t="s">
        <v>180</v>
      </c>
      <c r="L201" t="s">
        <v>557</v>
      </c>
      <c r="M201" t="s">
        <v>2990</v>
      </c>
      <c r="N201" t="s">
        <v>1774</v>
      </c>
      <c r="O201" t="s">
        <v>2894</v>
      </c>
      <c r="P201" t="s">
        <v>3004</v>
      </c>
      <c r="Q201" t="s">
        <v>1566</v>
      </c>
      <c r="R201" s="31">
        <v>7.9</v>
      </c>
      <c r="S201" t="s">
        <v>3180</v>
      </c>
      <c r="T201" t="s">
        <v>2529</v>
      </c>
    </row>
    <row r="202" spans="1:20" hidden="1" x14ac:dyDescent="0.25">
      <c r="A202">
        <v>2023</v>
      </c>
      <c r="B202" t="s">
        <v>772</v>
      </c>
      <c r="C202" t="s">
        <v>2899</v>
      </c>
      <c r="D202" t="s">
        <v>719</v>
      </c>
      <c r="E202" t="s">
        <v>179</v>
      </c>
      <c r="F202" t="s">
        <v>1425</v>
      </c>
      <c r="H202" t="s">
        <v>2191</v>
      </c>
      <c r="I202" t="s">
        <v>11</v>
      </c>
      <c r="J202" t="s">
        <v>23</v>
      </c>
      <c r="K202" t="s">
        <v>180</v>
      </c>
      <c r="L202" t="s">
        <v>1772</v>
      </c>
      <c r="M202" t="s">
        <v>2989</v>
      </c>
      <c r="N202" t="s">
        <v>1545</v>
      </c>
      <c r="O202" t="s">
        <v>2894</v>
      </c>
      <c r="P202" t="s">
        <v>3162</v>
      </c>
      <c r="Q202" t="s">
        <v>1566</v>
      </c>
      <c r="R202" s="31">
        <f>7.9/(0.02*0.85)</f>
        <v>464.70588235294116</v>
      </c>
      <c r="S202" t="s">
        <v>3212</v>
      </c>
    </row>
    <row r="203" spans="1:20" hidden="1" x14ac:dyDescent="0.25">
      <c r="A203">
        <v>2023</v>
      </c>
      <c r="B203" t="s">
        <v>1537</v>
      </c>
      <c r="C203" t="s">
        <v>2899</v>
      </c>
      <c r="D203" t="s">
        <v>46</v>
      </c>
      <c r="E203" t="s">
        <v>1536</v>
      </c>
      <c r="G203" t="s">
        <v>1751</v>
      </c>
      <c r="H203" t="s">
        <v>2148</v>
      </c>
      <c r="I203" t="s">
        <v>11</v>
      </c>
      <c r="J203" t="s">
        <v>13</v>
      </c>
      <c r="K203" t="s">
        <v>16</v>
      </c>
      <c r="L203" t="s">
        <v>16</v>
      </c>
      <c r="M203" t="s">
        <v>2988</v>
      </c>
      <c r="N203" t="s">
        <v>1594</v>
      </c>
      <c r="O203" t="s">
        <v>2894</v>
      </c>
      <c r="P203" t="s">
        <v>3004</v>
      </c>
      <c r="Q203" t="s">
        <v>1566</v>
      </c>
      <c r="R203" s="31">
        <v>1541</v>
      </c>
      <c r="T203" t="s">
        <v>1649</v>
      </c>
    </row>
    <row r="204" spans="1:20" hidden="1" x14ac:dyDescent="0.25">
      <c r="A204">
        <v>2023</v>
      </c>
      <c r="B204" t="s">
        <v>1537</v>
      </c>
      <c r="C204" t="s">
        <v>2899</v>
      </c>
      <c r="D204" t="s">
        <v>46</v>
      </c>
      <c r="E204" t="s">
        <v>1536</v>
      </c>
      <c r="G204" t="s">
        <v>1751</v>
      </c>
      <c r="H204" t="s">
        <v>2148</v>
      </c>
      <c r="I204" t="s">
        <v>11</v>
      </c>
      <c r="J204" t="s">
        <v>13</v>
      </c>
      <c r="K204" t="s">
        <v>16</v>
      </c>
      <c r="L204" t="s">
        <v>16</v>
      </c>
      <c r="M204" t="s">
        <v>2989</v>
      </c>
      <c r="N204" t="s">
        <v>1545</v>
      </c>
      <c r="O204" t="s">
        <v>2894</v>
      </c>
      <c r="P204" t="s">
        <v>3004</v>
      </c>
      <c r="Q204" t="s">
        <v>1566</v>
      </c>
      <c r="R204" s="31">
        <v>1574</v>
      </c>
      <c r="T204" t="s">
        <v>1649</v>
      </c>
    </row>
    <row r="205" spans="1:20" hidden="1" x14ac:dyDescent="0.25">
      <c r="A205">
        <v>2023</v>
      </c>
      <c r="B205" t="s">
        <v>1537</v>
      </c>
      <c r="C205" t="s">
        <v>2899</v>
      </c>
      <c r="D205" t="s">
        <v>46</v>
      </c>
      <c r="E205" t="s">
        <v>1536</v>
      </c>
      <c r="G205" t="s">
        <v>1751</v>
      </c>
      <c r="H205" t="s">
        <v>2148</v>
      </c>
      <c r="I205" t="s">
        <v>11</v>
      </c>
      <c r="J205" t="s">
        <v>13</v>
      </c>
      <c r="K205" t="s">
        <v>16</v>
      </c>
      <c r="L205" t="s">
        <v>16</v>
      </c>
      <c r="M205" t="s">
        <v>2990</v>
      </c>
      <c r="N205" t="s">
        <v>3187</v>
      </c>
      <c r="O205" t="s">
        <v>2894</v>
      </c>
      <c r="P205" t="s">
        <v>3004</v>
      </c>
      <c r="Q205" t="s">
        <v>1550</v>
      </c>
      <c r="R205" s="31">
        <v>132.9</v>
      </c>
      <c r="T205" t="s">
        <v>1649</v>
      </c>
    </row>
    <row r="206" spans="1:20" hidden="1" x14ac:dyDescent="0.25">
      <c r="A206">
        <v>2023</v>
      </c>
      <c r="B206" t="s">
        <v>1537</v>
      </c>
      <c r="C206" t="s">
        <v>2899</v>
      </c>
      <c r="D206" t="s">
        <v>46</v>
      </c>
      <c r="E206" t="s">
        <v>1536</v>
      </c>
      <c r="G206" t="s">
        <v>1751</v>
      </c>
      <c r="H206" t="s">
        <v>2148</v>
      </c>
      <c r="I206" t="s">
        <v>11</v>
      </c>
      <c r="J206" t="s">
        <v>13</v>
      </c>
      <c r="K206" t="s">
        <v>16</v>
      </c>
      <c r="L206" t="s">
        <v>1549</v>
      </c>
      <c r="M206" t="s">
        <v>2990</v>
      </c>
      <c r="N206" t="s">
        <v>3187</v>
      </c>
      <c r="O206" t="s">
        <v>2894</v>
      </c>
      <c r="P206" t="s">
        <v>3004</v>
      </c>
      <c r="Q206" t="s">
        <v>1550</v>
      </c>
      <c r="R206" s="31">
        <v>16</v>
      </c>
      <c r="T206" t="s">
        <v>1649</v>
      </c>
    </row>
    <row r="207" spans="1:20" hidden="1" x14ac:dyDescent="0.25">
      <c r="A207">
        <v>2024</v>
      </c>
      <c r="B207" t="s">
        <v>772</v>
      </c>
      <c r="C207" t="s">
        <v>2899</v>
      </c>
      <c r="D207" t="s">
        <v>715</v>
      </c>
      <c r="E207" t="s">
        <v>188</v>
      </c>
      <c r="F207" t="s">
        <v>1248</v>
      </c>
      <c r="G207" t="s">
        <v>2909</v>
      </c>
      <c r="H207" t="s">
        <v>2086</v>
      </c>
      <c r="I207" t="s">
        <v>11</v>
      </c>
      <c r="J207" t="s">
        <v>21</v>
      </c>
      <c r="K207" t="s">
        <v>356</v>
      </c>
      <c r="L207" t="s">
        <v>1772</v>
      </c>
      <c r="M207" t="s">
        <v>2989</v>
      </c>
      <c r="O207" t="s">
        <v>2894</v>
      </c>
      <c r="P207" t="s">
        <v>3004</v>
      </c>
      <c r="Q207" t="s">
        <v>1546</v>
      </c>
      <c r="R207" s="31">
        <v>1025997</v>
      </c>
      <c r="T207" t="s">
        <v>3171</v>
      </c>
    </row>
    <row r="208" spans="1:20" hidden="1" x14ac:dyDescent="0.25">
      <c r="A208">
        <v>2024</v>
      </c>
      <c r="B208" t="s">
        <v>772</v>
      </c>
      <c r="C208" t="s">
        <v>2899</v>
      </c>
      <c r="D208" t="s">
        <v>715</v>
      </c>
      <c r="E208" t="s">
        <v>140</v>
      </c>
      <c r="F208" t="s">
        <v>1254</v>
      </c>
      <c r="G208" t="s">
        <v>2909</v>
      </c>
      <c r="H208" t="s">
        <v>2086</v>
      </c>
      <c r="I208" t="s">
        <v>233</v>
      </c>
      <c r="J208" t="s">
        <v>357</v>
      </c>
      <c r="K208" t="s">
        <v>356</v>
      </c>
      <c r="L208" t="s">
        <v>125</v>
      </c>
      <c r="M208" t="s">
        <v>2991</v>
      </c>
      <c r="N208" t="s">
        <v>3170</v>
      </c>
      <c r="O208" t="s">
        <v>2894</v>
      </c>
      <c r="P208" t="s">
        <v>3004</v>
      </c>
      <c r="Q208" t="s">
        <v>1546</v>
      </c>
      <c r="R208" s="31">
        <v>13720</v>
      </c>
      <c r="T208" t="s">
        <v>3171</v>
      </c>
    </row>
    <row r="209" spans="1:20" hidden="1" x14ac:dyDescent="0.25">
      <c r="A209">
        <v>2024</v>
      </c>
      <c r="B209" t="s">
        <v>772</v>
      </c>
      <c r="C209" t="s">
        <v>2899</v>
      </c>
      <c r="D209" t="s">
        <v>715</v>
      </c>
      <c r="E209" t="s">
        <v>140</v>
      </c>
      <c r="F209" t="s">
        <v>1254</v>
      </c>
      <c r="G209" t="s">
        <v>2909</v>
      </c>
      <c r="H209" t="s">
        <v>2086</v>
      </c>
      <c r="I209" t="s">
        <v>233</v>
      </c>
      <c r="J209" t="s">
        <v>357</v>
      </c>
      <c r="K209" t="s">
        <v>356</v>
      </c>
      <c r="L209" t="s">
        <v>557</v>
      </c>
      <c r="M209" t="s">
        <v>2991</v>
      </c>
      <c r="N209" t="s">
        <v>3170</v>
      </c>
      <c r="O209" t="s">
        <v>2894</v>
      </c>
      <c r="P209" t="s">
        <v>3004</v>
      </c>
      <c r="Q209" t="s">
        <v>1546</v>
      </c>
      <c r="R209" s="31">
        <v>62251</v>
      </c>
      <c r="T209" t="s">
        <v>3171</v>
      </c>
    </row>
    <row r="210" spans="1:20" hidden="1" x14ac:dyDescent="0.25">
      <c r="A210">
        <v>2024</v>
      </c>
      <c r="B210" t="s">
        <v>772</v>
      </c>
      <c r="C210" t="s">
        <v>2899</v>
      </c>
      <c r="D210" t="s">
        <v>101</v>
      </c>
      <c r="E210" t="s">
        <v>361</v>
      </c>
      <c r="F210" t="s">
        <v>1405</v>
      </c>
      <c r="H210" t="s">
        <v>1845</v>
      </c>
      <c r="I210" t="s">
        <v>233</v>
      </c>
      <c r="J210" t="s">
        <v>292</v>
      </c>
      <c r="K210" t="s">
        <v>362</v>
      </c>
      <c r="L210" t="s">
        <v>1551</v>
      </c>
      <c r="M210" t="s">
        <v>2992</v>
      </c>
      <c r="N210" t="s">
        <v>2349</v>
      </c>
      <c r="O210" t="s">
        <v>2894</v>
      </c>
      <c r="P210" t="s">
        <v>3004</v>
      </c>
      <c r="Q210" t="s">
        <v>1566</v>
      </c>
      <c r="R210" s="31">
        <v>256</v>
      </c>
      <c r="T210" t="s">
        <v>1868</v>
      </c>
    </row>
    <row r="211" spans="1:20" hidden="1" x14ac:dyDescent="0.25">
      <c r="A211">
        <v>2023</v>
      </c>
      <c r="B211" t="s">
        <v>772</v>
      </c>
      <c r="C211" t="s">
        <v>2899</v>
      </c>
      <c r="D211" t="s">
        <v>718</v>
      </c>
      <c r="E211" t="s">
        <v>363</v>
      </c>
      <c r="F211" t="s">
        <v>1348</v>
      </c>
      <c r="G211" t="s">
        <v>2151</v>
      </c>
      <c r="H211" t="s">
        <v>2149</v>
      </c>
      <c r="I211" t="s">
        <v>233</v>
      </c>
      <c r="J211" t="s">
        <v>274</v>
      </c>
      <c r="K211" t="s">
        <v>364</v>
      </c>
      <c r="L211" t="s">
        <v>364</v>
      </c>
      <c r="M211" t="s">
        <v>2991</v>
      </c>
      <c r="N211" t="s">
        <v>2276</v>
      </c>
      <c r="O211" t="s">
        <v>2894</v>
      </c>
      <c r="P211" t="s">
        <v>3004</v>
      </c>
      <c r="Q211" t="s">
        <v>1566</v>
      </c>
      <c r="R211" s="31">
        <v>1391.8058030326899</v>
      </c>
      <c r="T211" t="s">
        <v>2272</v>
      </c>
    </row>
    <row r="212" spans="1:20" hidden="1" x14ac:dyDescent="0.25">
      <c r="A212">
        <v>2023</v>
      </c>
      <c r="B212" t="s">
        <v>772</v>
      </c>
      <c r="C212" t="s">
        <v>2899</v>
      </c>
      <c r="D212" t="s">
        <v>719</v>
      </c>
      <c r="E212" t="s">
        <v>182</v>
      </c>
      <c r="F212" t="s">
        <v>1428</v>
      </c>
      <c r="H212" t="s">
        <v>2191</v>
      </c>
      <c r="I212" t="s">
        <v>11</v>
      </c>
      <c r="J212" t="s">
        <v>23</v>
      </c>
      <c r="K212" t="s">
        <v>183</v>
      </c>
      <c r="L212" t="s">
        <v>125</v>
      </c>
      <c r="M212" t="s">
        <v>2990</v>
      </c>
      <c r="N212" t="s">
        <v>1774</v>
      </c>
      <c r="O212" t="s">
        <v>2894</v>
      </c>
      <c r="P212" t="s">
        <v>3004</v>
      </c>
      <c r="Q212" t="s">
        <v>1566</v>
      </c>
      <c r="R212" s="31">
        <v>9.6</v>
      </c>
      <c r="S212" t="s">
        <v>3180</v>
      </c>
      <c r="T212" t="s">
        <v>2529</v>
      </c>
    </row>
    <row r="213" spans="1:20" hidden="1" x14ac:dyDescent="0.25">
      <c r="A213">
        <v>2023</v>
      </c>
      <c r="B213" t="s">
        <v>772</v>
      </c>
      <c r="C213" t="s">
        <v>2899</v>
      </c>
      <c r="D213" t="s">
        <v>719</v>
      </c>
      <c r="E213" t="s">
        <v>182</v>
      </c>
      <c r="F213" t="s">
        <v>1428</v>
      </c>
      <c r="H213" t="s">
        <v>2191</v>
      </c>
      <c r="I213" t="s">
        <v>11</v>
      </c>
      <c r="J213" t="s">
        <v>23</v>
      </c>
      <c r="K213" t="s">
        <v>183</v>
      </c>
      <c r="L213" t="s">
        <v>557</v>
      </c>
      <c r="M213" t="s">
        <v>2990</v>
      </c>
      <c r="N213" t="s">
        <v>1774</v>
      </c>
      <c r="O213" t="s">
        <v>2894</v>
      </c>
      <c r="P213" t="s">
        <v>3004</v>
      </c>
      <c r="Q213" t="s">
        <v>1566</v>
      </c>
      <c r="R213" s="31">
        <v>13.5</v>
      </c>
      <c r="S213" t="s">
        <v>3180</v>
      </c>
      <c r="T213" t="s">
        <v>2529</v>
      </c>
    </row>
    <row r="214" spans="1:20" hidden="1" x14ac:dyDescent="0.25">
      <c r="A214">
        <v>2023</v>
      </c>
      <c r="B214" t="s">
        <v>772</v>
      </c>
      <c r="C214" t="s">
        <v>2899</v>
      </c>
      <c r="D214" t="s">
        <v>719</v>
      </c>
      <c r="E214" t="s">
        <v>182</v>
      </c>
      <c r="F214" t="s">
        <v>1428</v>
      </c>
      <c r="H214" t="s">
        <v>2191</v>
      </c>
      <c r="I214" t="s">
        <v>11</v>
      </c>
      <c r="J214" t="s">
        <v>23</v>
      </c>
      <c r="K214" t="s">
        <v>183</v>
      </c>
      <c r="L214" t="s">
        <v>1772</v>
      </c>
      <c r="M214" t="s">
        <v>2989</v>
      </c>
      <c r="N214" t="s">
        <v>1545</v>
      </c>
      <c r="O214" t="s">
        <v>2894</v>
      </c>
      <c r="P214" t="s">
        <v>3162</v>
      </c>
      <c r="Q214" t="s">
        <v>1566</v>
      </c>
      <c r="R214" s="31">
        <f>13.5/(0.02*0.85)</f>
        <v>794.11764705882342</v>
      </c>
      <c r="S214" t="s">
        <v>3212</v>
      </c>
    </row>
    <row r="215" spans="1:20" hidden="1" x14ac:dyDescent="0.25">
      <c r="A215">
        <v>2023</v>
      </c>
      <c r="B215" t="s">
        <v>772</v>
      </c>
      <c r="C215" t="s">
        <v>2899</v>
      </c>
      <c r="D215" t="s">
        <v>73</v>
      </c>
      <c r="E215" t="s">
        <v>74</v>
      </c>
      <c r="F215" t="s">
        <v>1276</v>
      </c>
      <c r="H215" t="s">
        <v>2100</v>
      </c>
      <c r="I215" t="s">
        <v>11</v>
      </c>
      <c r="J215" t="s">
        <v>13</v>
      </c>
      <c r="K215" t="s">
        <v>64</v>
      </c>
      <c r="L215" t="s">
        <v>16</v>
      </c>
      <c r="M215" t="s">
        <v>2990</v>
      </c>
      <c r="N215" t="s">
        <v>3187</v>
      </c>
      <c r="O215" t="s">
        <v>2894</v>
      </c>
      <c r="P215" t="s">
        <v>3004</v>
      </c>
      <c r="Q215" t="s">
        <v>1550</v>
      </c>
      <c r="R215" s="31">
        <v>93</v>
      </c>
      <c r="T215" t="s">
        <v>2974</v>
      </c>
    </row>
    <row r="216" spans="1:20" hidden="1" x14ac:dyDescent="0.25">
      <c r="A216">
        <v>2023</v>
      </c>
      <c r="B216" t="s">
        <v>772</v>
      </c>
      <c r="C216" t="s">
        <v>2899</v>
      </c>
      <c r="D216" t="s">
        <v>73</v>
      </c>
      <c r="E216" t="s">
        <v>74</v>
      </c>
      <c r="F216" t="s">
        <v>1276</v>
      </c>
      <c r="H216" t="s">
        <v>2100</v>
      </c>
      <c r="I216" t="s">
        <v>11</v>
      </c>
      <c r="J216" t="s">
        <v>13</v>
      </c>
      <c r="K216" t="s">
        <v>64</v>
      </c>
      <c r="L216" t="s">
        <v>1772</v>
      </c>
      <c r="M216" t="s">
        <v>2989</v>
      </c>
      <c r="N216" t="s">
        <v>1730</v>
      </c>
      <c r="O216" t="s">
        <v>2894</v>
      </c>
      <c r="P216" t="s">
        <v>3004</v>
      </c>
      <c r="Q216" t="s">
        <v>1566</v>
      </c>
      <c r="R216" s="31">
        <v>1034</v>
      </c>
      <c r="T216" t="s">
        <v>2974</v>
      </c>
    </row>
    <row r="217" spans="1:20" hidden="1" x14ac:dyDescent="0.25">
      <c r="A217">
        <v>2023</v>
      </c>
      <c r="B217" t="s">
        <v>772</v>
      </c>
      <c r="C217" t="s">
        <v>2899</v>
      </c>
      <c r="D217" t="s">
        <v>73</v>
      </c>
      <c r="E217" t="s">
        <v>74</v>
      </c>
      <c r="F217" t="s">
        <v>1276</v>
      </c>
      <c r="H217" t="s">
        <v>2100</v>
      </c>
      <c r="I217" t="s">
        <v>11</v>
      </c>
      <c r="J217" t="s">
        <v>13</v>
      </c>
      <c r="K217" t="s">
        <v>64</v>
      </c>
      <c r="L217" t="s">
        <v>1772</v>
      </c>
      <c r="M217" t="s">
        <v>2988</v>
      </c>
      <c r="N217" t="s">
        <v>1594</v>
      </c>
      <c r="O217" t="s">
        <v>2894</v>
      </c>
      <c r="P217" t="s">
        <v>3004</v>
      </c>
      <c r="Q217" s="10" t="s">
        <v>1566</v>
      </c>
      <c r="R217">
        <v>1022</v>
      </c>
      <c r="T217" t="s">
        <v>1923</v>
      </c>
    </row>
    <row r="218" spans="1:20" hidden="1" x14ac:dyDescent="0.25">
      <c r="A218">
        <v>2023</v>
      </c>
      <c r="B218" t="s">
        <v>772</v>
      </c>
      <c r="C218" t="s">
        <v>2899</v>
      </c>
      <c r="D218" t="s">
        <v>73</v>
      </c>
      <c r="E218" t="s">
        <v>74</v>
      </c>
      <c r="F218" t="s">
        <v>1276</v>
      </c>
      <c r="H218" t="s">
        <v>2100</v>
      </c>
      <c r="I218" t="s">
        <v>11</v>
      </c>
      <c r="J218" t="s">
        <v>13</v>
      </c>
      <c r="K218" t="s">
        <v>64</v>
      </c>
      <c r="L218" t="s">
        <v>1549</v>
      </c>
      <c r="M218" t="s">
        <v>2990</v>
      </c>
      <c r="N218" t="s">
        <v>3187</v>
      </c>
      <c r="O218" t="s">
        <v>2894</v>
      </c>
      <c r="P218" t="s">
        <v>3004</v>
      </c>
      <c r="Q218" t="s">
        <v>1548</v>
      </c>
      <c r="R218" s="31">
        <v>36754</v>
      </c>
      <c r="T218" t="s">
        <v>3191</v>
      </c>
    </row>
    <row r="219" spans="1:20" hidden="1" x14ac:dyDescent="0.25">
      <c r="A219">
        <v>2023</v>
      </c>
      <c r="B219" t="s">
        <v>772</v>
      </c>
      <c r="C219" t="s">
        <v>2899</v>
      </c>
      <c r="D219" t="s">
        <v>736</v>
      </c>
      <c r="E219" t="s">
        <v>26</v>
      </c>
      <c r="F219" t="s">
        <v>1135</v>
      </c>
      <c r="H219" t="s">
        <v>2019</v>
      </c>
      <c r="I219" t="s">
        <v>11</v>
      </c>
      <c r="J219" t="s">
        <v>13</v>
      </c>
      <c r="K219" t="s">
        <v>16</v>
      </c>
      <c r="L219" t="s">
        <v>16</v>
      </c>
      <c r="M219" t="s">
        <v>2990</v>
      </c>
      <c r="N219" t="s">
        <v>3187</v>
      </c>
      <c r="O219" t="s">
        <v>2894</v>
      </c>
      <c r="P219" t="s">
        <v>3004</v>
      </c>
      <c r="Q219" t="s">
        <v>1548</v>
      </c>
      <c r="R219" s="31">
        <v>185100</v>
      </c>
      <c r="T219" t="s">
        <v>1601</v>
      </c>
    </row>
    <row r="220" spans="1:20" hidden="1" x14ac:dyDescent="0.25">
      <c r="A220">
        <v>2023</v>
      </c>
      <c r="B220" t="s">
        <v>772</v>
      </c>
      <c r="C220" t="s">
        <v>2899</v>
      </c>
      <c r="D220" t="s">
        <v>736</v>
      </c>
      <c r="E220" t="s">
        <v>26</v>
      </c>
      <c r="F220" t="s">
        <v>1135</v>
      </c>
      <c r="H220" t="s">
        <v>2019</v>
      </c>
      <c r="I220" t="s">
        <v>11</v>
      </c>
      <c r="J220" t="s">
        <v>13</v>
      </c>
      <c r="K220" t="s">
        <v>16</v>
      </c>
      <c r="L220" t="s">
        <v>16</v>
      </c>
      <c r="M220" t="s">
        <v>2988</v>
      </c>
      <c r="N220" t="s">
        <v>1594</v>
      </c>
      <c r="O220" t="s">
        <v>2894</v>
      </c>
      <c r="P220" t="s">
        <v>3004</v>
      </c>
      <c r="Q220" t="s">
        <v>1546</v>
      </c>
      <c r="R220" s="31">
        <v>2878155</v>
      </c>
      <c r="T220" t="s">
        <v>1601</v>
      </c>
    </row>
    <row r="221" spans="1:20" hidden="1" x14ac:dyDescent="0.25">
      <c r="A221">
        <v>2023</v>
      </c>
      <c r="B221" t="s">
        <v>772</v>
      </c>
      <c r="C221" t="s">
        <v>2899</v>
      </c>
      <c r="D221" t="s">
        <v>736</v>
      </c>
      <c r="E221" t="s">
        <v>26</v>
      </c>
      <c r="F221" t="s">
        <v>1135</v>
      </c>
      <c r="H221" t="s">
        <v>2019</v>
      </c>
      <c r="I221" t="s">
        <v>11</v>
      </c>
      <c r="J221" t="s">
        <v>13</v>
      </c>
      <c r="K221" t="s">
        <v>16</v>
      </c>
      <c r="L221" t="s">
        <v>16</v>
      </c>
      <c r="M221" t="s">
        <v>2989</v>
      </c>
      <c r="N221" t="s">
        <v>1545</v>
      </c>
      <c r="O221" t="s">
        <v>2894</v>
      </c>
      <c r="P221" t="s">
        <v>3004</v>
      </c>
      <c r="Q221" t="s">
        <v>1546</v>
      </c>
      <c r="R221" s="31">
        <v>2878047</v>
      </c>
      <c r="T221" t="s">
        <v>1601</v>
      </c>
    </row>
  </sheetData>
  <autoFilter ref="A1:T221" xr:uid="{193C49F6-0B9C-4617-A21C-6A093F3467BC}">
    <filterColumn colId="4">
      <filters>
        <filter val="Macassa"/>
      </filters>
    </filterColumn>
  </autoFilter>
  <phoneticPr fontId="3" type="noConversion"/>
  <conditionalFormatting sqref="Q209:Q221">
    <cfRule type="cellIs" dxfId="1" priority="1" operator="lessThan">
      <formula>1.17</formula>
    </cfRule>
  </conditionalFormatting>
  <hyperlinks>
    <hyperlink ref="T9" r:id="rId1" xr:uid="{5D8E5388-EDC7-4C5C-9BBE-EF0133BD3DB9}"/>
    <hyperlink ref="T40" r:id="rId2" xr:uid="{96454F6E-9D4D-4A18-B710-FF5CD3CCEE36}"/>
    <hyperlink ref="T10" r:id="rId3" xr:uid="{987CF2F7-5D10-45FD-AB76-CA4DF4510DA6}"/>
    <hyperlink ref="T2" r:id="rId4" xr:uid="{C7B51286-DEE9-4D07-8CD4-DEF5AAF4036F}"/>
    <hyperlink ref="T4" r:id="rId5" xr:uid="{A2CEB718-BD96-4A9D-8421-486493FACD89}"/>
    <hyperlink ref="T78" r:id="rId6" xr:uid="{FDEB84C3-78ED-48D7-8A91-90C3E750C73F}"/>
    <hyperlink ref="T117" r:id="rId7" xr:uid="{13B89705-7F93-4ECE-93D9-7BB4BFA45EE6}"/>
    <hyperlink ref="T102" r:id="rId8" xr:uid="{5CC4A292-D412-43DD-9AFF-8AA39F4A1F5B}"/>
    <hyperlink ref="T22" r:id="rId9" xr:uid="{6732583E-6EF9-4CD0-B9F7-03F20D7C03F5}"/>
    <hyperlink ref="T196" r:id="rId10" display="https://www.geologyontario.mines.gov.on.ca/mineral-inventory/MDI42C14SE00005" xr:uid="{C3F18074-1980-4ED9-B194-6FDCC4CAA3F6}"/>
    <hyperlink ref="T91" r:id="rId11" xr:uid="{0EE94310-A388-4EC5-8315-1D62654BE99A}"/>
    <hyperlink ref="T70" r:id="rId12" xr:uid="{380BC8EA-3099-4406-8B05-73B7349C74A7}"/>
    <hyperlink ref="T58" r:id="rId13" xr:uid="{08BD7F78-4380-43C9-9FC1-4187AFC3416D}"/>
    <hyperlink ref="T125" r:id="rId14" xr:uid="{AEB87532-0E2C-4FD8-98F3-317A46CEA406}"/>
    <hyperlink ref="T135" r:id="rId15" xr:uid="{8C013715-5B22-4E61-B816-04A5262AF738}"/>
    <hyperlink ref="T46" r:id="rId16" xr:uid="{17B4C5D1-1BD2-4CEF-BE66-97058F5153D0}"/>
    <hyperlink ref="T126" r:id="rId17" xr:uid="{424A4843-AC44-4939-9C3A-F0AABD15FB55}"/>
    <hyperlink ref="T197" r:id="rId18" display="https://www.geologyontario.mines.gov.on.ca/mineral-inventory/MDI42C14SE00005" xr:uid="{722048EF-32C1-4A5C-BF9F-D205C19E7800}"/>
    <hyperlink ref="T55" r:id="rId19" xr:uid="{7E999181-DFF7-4326-8C30-A45933D4B318}"/>
    <hyperlink ref="T96" r:id="rId20" xr:uid="{5C41346C-B551-45DF-9BDA-A230C6EB0047}"/>
    <hyperlink ref="T128" r:id="rId21" xr:uid="{3C7A9692-11B2-4E6E-98AC-79682C62F1A5}"/>
    <hyperlink ref="T195" r:id="rId22" xr:uid="{83A3DC88-72CA-4CE0-967B-3EA1B538633F}"/>
    <hyperlink ref="T25" r:id="rId23" xr:uid="{3AE264A9-6094-4037-A62E-6FF2305DEBED}"/>
    <hyperlink ref="T127" r:id="rId24" xr:uid="{B8376B30-2589-4456-AC75-DD6E05DAA957}"/>
    <hyperlink ref="T159" r:id="rId25" xr:uid="{063C409C-83B6-46BE-A9F0-A71F7032F63F}"/>
    <hyperlink ref="T160" r:id="rId26" xr:uid="{883C4A7A-B1EA-45FE-AE83-8F020B2D0CDC}"/>
  </hyperlinks>
  <pageMargins left="0.7" right="0.7" top="0.75" bottom="0.75" header="0.3" footer="0.3"/>
  <pageSetup orientation="portrait" r:id="rId27"/>
  <legacyDrawing r:id="rId2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sheetPr filterMode="1"/>
  <dimension ref="A1:V395"/>
  <sheetViews>
    <sheetView workbookViewId="0">
      <selection activeCell="F397" sqref="F397"/>
    </sheetView>
  </sheetViews>
  <sheetFormatPr baseColWidth="10" defaultColWidth="8.7109375" defaultRowHeight="15" x14ac:dyDescent="0.25"/>
  <cols>
    <col min="1" max="1" width="6.85546875" bestFit="1" customWidth="1"/>
    <col min="2" max="2" width="13.85546875" bestFit="1" customWidth="1"/>
    <col min="3" max="3" width="29.140625" bestFit="1" customWidth="1"/>
    <col min="4" max="4" width="29.42578125" bestFit="1" customWidth="1"/>
    <col min="5" max="5" width="17.85546875" bestFit="1" customWidth="1"/>
    <col min="6" max="6" width="17.85546875" customWidth="1"/>
    <col min="7" max="7" width="13.5703125" style="37" bestFit="1" customWidth="1"/>
    <col min="8" max="8" width="31.42578125" style="37" bestFit="1" customWidth="1"/>
    <col min="9" max="9" width="29.140625" bestFit="1" customWidth="1"/>
    <col min="10" max="10" width="19.5703125" bestFit="1" customWidth="1"/>
    <col min="11" max="11" width="24.140625" bestFit="1" customWidth="1"/>
    <col min="12" max="12" width="24.140625" customWidth="1"/>
    <col min="13" max="13" width="10" bestFit="1" customWidth="1"/>
    <col min="14" max="14" width="10.5703125" bestFit="1" customWidth="1"/>
    <col min="15" max="15" width="8" bestFit="1" customWidth="1"/>
    <col min="16" max="16" width="12.42578125" bestFit="1" customWidth="1"/>
    <col min="17" max="17" width="15.5703125" bestFit="1" customWidth="1"/>
    <col min="18" max="18" width="20.140625" bestFit="1" customWidth="1"/>
    <col min="19" max="19" width="8.5703125" bestFit="1" customWidth="1"/>
    <col min="20" max="20" width="14.85546875" bestFit="1" customWidth="1"/>
    <col min="21" max="21" width="14.85546875" customWidth="1"/>
    <col min="22" max="22" width="57.42578125" bestFit="1" customWidth="1"/>
  </cols>
  <sheetData>
    <row r="1" spans="1:22" x14ac:dyDescent="0.25">
      <c r="A1" s="6" t="s">
        <v>1538</v>
      </c>
      <c r="B1" s="6" t="s">
        <v>1553</v>
      </c>
      <c r="C1" s="7" t="s">
        <v>0</v>
      </c>
      <c r="D1" s="6" t="s">
        <v>1653</v>
      </c>
      <c r="E1" s="6" t="s">
        <v>2</v>
      </c>
      <c r="F1" s="6" t="s">
        <v>2012</v>
      </c>
      <c r="G1" s="36" t="s">
        <v>4</v>
      </c>
      <c r="H1" s="36" t="s">
        <v>6</v>
      </c>
      <c r="I1" s="6" t="s">
        <v>1540</v>
      </c>
      <c r="J1" s="6" t="s">
        <v>1554</v>
      </c>
      <c r="K1" s="8" t="s">
        <v>1555</v>
      </c>
      <c r="L1" s="8" t="s">
        <v>3003</v>
      </c>
      <c r="M1" s="8" t="s">
        <v>1556</v>
      </c>
      <c r="N1" s="8" t="s">
        <v>1557</v>
      </c>
      <c r="O1" s="8" t="s">
        <v>1558</v>
      </c>
      <c r="P1" s="8" t="s">
        <v>1559</v>
      </c>
      <c r="Q1" s="8" t="s">
        <v>1560</v>
      </c>
      <c r="R1" s="8" t="s">
        <v>1561</v>
      </c>
      <c r="S1" s="8" t="s">
        <v>1562</v>
      </c>
      <c r="T1" s="8" t="s">
        <v>1563</v>
      </c>
      <c r="U1" s="8" t="s">
        <v>7</v>
      </c>
      <c r="V1" s="8" t="s">
        <v>1543</v>
      </c>
    </row>
    <row r="2" spans="1:22" hidden="1" x14ac:dyDescent="0.25">
      <c r="A2">
        <v>2024</v>
      </c>
      <c r="B2" t="s">
        <v>1537</v>
      </c>
      <c r="C2" t="s">
        <v>155</v>
      </c>
      <c r="D2" t="s">
        <v>2402</v>
      </c>
      <c r="F2" t="s">
        <v>2906</v>
      </c>
      <c r="G2" s="37" t="s">
        <v>11</v>
      </c>
      <c r="I2" t="s">
        <v>157</v>
      </c>
      <c r="J2" t="s">
        <v>1564</v>
      </c>
      <c r="K2" t="s">
        <v>1565</v>
      </c>
      <c r="L2" s="28" t="s">
        <v>3005</v>
      </c>
      <c r="M2">
        <v>1580</v>
      </c>
      <c r="N2" t="s">
        <v>1641</v>
      </c>
      <c r="O2">
        <v>29.1</v>
      </c>
      <c r="P2" t="s">
        <v>2403</v>
      </c>
      <c r="V2" t="s">
        <v>2965</v>
      </c>
    </row>
    <row r="3" spans="1:22" hidden="1" x14ac:dyDescent="0.25">
      <c r="A3">
        <v>2024</v>
      </c>
      <c r="B3" t="s">
        <v>1537</v>
      </c>
      <c r="C3" t="s">
        <v>155</v>
      </c>
      <c r="D3" t="s">
        <v>2402</v>
      </c>
      <c r="F3" t="s">
        <v>2906</v>
      </c>
      <c r="G3" s="37" t="s">
        <v>11</v>
      </c>
      <c r="I3" t="s">
        <v>157</v>
      </c>
      <c r="J3" t="s">
        <v>1564</v>
      </c>
      <c r="K3" t="s">
        <v>1574</v>
      </c>
      <c r="L3" s="28" t="s">
        <v>3005</v>
      </c>
      <c r="M3">
        <v>155</v>
      </c>
      <c r="N3" t="s">
        <v>1641</v>
      </c>
      <c r="O3">
        <v>28.8</v>
      </c>
      <c r="P3" t="s">
        <v>2403</v>
      </c>
      <c r="V3" t="s">
        <v>2965</v>
      </c>
    </row>
    <row r="4" spans="1:22" hidden="1" x14ac:dyDescent="0.25">
      <c r="A4">
        <v>2024</v>
      </c>
      <c r="B4" t="s">
        <v>1537</v>
      </c>
      <c r="C4" t="s">
        <v>155</v>
      </c>
      <c r="D4" t="s">
        <v>2402</v>
      </c>
      <c r="F4" t="s">
        <v>2906</v>
      </c>
      <c r="G4" s="37" t="s">
        <v>11</v>
      </c>
      <c r="I4" t="s">
        <v>157</v>
      </c>
      <c r="J4" t="s">
        <v>1570</v>
      </c>
      <c r="K4" t="s">
        <v>1571</v>
      </c>
      <c r="L4" s="28" t="s">
        <v>3005</v>
      </c>
      <c r="M4">
        <v>1582</v>
      </c>
      <c r="N4" t="s">
        <v>1641</v>
      </c>
      <c r="O4">
        <v>27.1</v>
      </c>
      <c r="P4" t="s">
        <v>2403</v>
      </c>
      <c r="V4" t="s">
        <v>2965</v>
      </c>
    </row>
    <row r="5" spans="1:22" hidden="1" x14ac:dyDescent="0.25">
      <c r="A5">
        <v>2024</v>
      </c>
      <c r="B5" t="s">
        <v>1537</v>
      </c>
      <c r="C5" t="s">
        <v>155</v>
      </c>
      <c r="D5" t="s">
        <v>2402</v>
      </c>
      <c r="F5" t="s">
        <v>2906</v>
      </c>
      <c r="G5" s="37" t="s">
        <v>11</v>
      </c>
      <c r="I5" t="s">
        <v>157</v>
      </c>
      <c r="J5" t="s">
        <v>1570</v>
      </c>
      <c r="K5" t="s">
        <v>1572</v>
      </c>
      <c r="L5" s="28" t="s">
        <v>3005</v>
      </c>
      <c r="M5">
        <v>1598</v>
      </c>
      <c r="N5" t="s">
        <v>1641</v>
      </c>
      <c r="O5">
        <v>28.9</v>
      </c>
      <c r="P5" t="s">
        <v>2403</v>
      </c>
      <c r="V5" t="s">
        <v>2965</v>
      </c>
    </row>
    <row r="6" spans="1:22" hidden="1" x14ac:dyDescent="0.25">
      <c r="A6">
        <v>2024</v>
      </c>
      <c r="B6" t="s">
        <v>1537</v>
      </c>
      <c r="C6" t="s">
        <v>155</v>
      </c>
      <c r="D6" t="s">
        <v>2402</v>
      </c>
      <c r="F6" t="s">
        <v>2906</v>
      </c>
      <c r="G6" s="37" t="s">
        <v>11</v>
      </c>
      <c r="I6" t="s">
        <v>157</v>
      </c>
      <c r="J6" t="s">
        <v>1570</v>
      </c>
      <c r="K6" t="s">
        <v>1573</v>
      </c>
      <c r="L6" s="28" t="s">
        <v>3005</v>
      </c>
      <c r="M6">
        <v>1642</v>
      </c>
      <c r="N6" t="s">
        <v>1641</v>
      </c>
      <c r="O6">
        <v>27.7</v>
      </c>
      <c r="P6" t="s">
        <v>2403</v>
      </c>
      <c r="V6" t="s">
        <v>2965</v>
      </c>
    </row>
    <row r="7" spans="1:22" hidden="1" x14ac:dyDescent="0.25">
      <c r="A7">
        <v>2023</v>
      </c>
      <c r="B7" t="s">
        <v>772</v>
      </c>
      <c r="C7" t="s">
        <v>795</v>
      </c>
      <c r="D7" t="s">
        <v>162</v>
      </c>
      <c r="E7" t="s">
        <v>1192</v>
      </c>
      <c r="G7" s="37" t="s">
        <v>11</v>
      </c>
      <c r="H7" s="37" t="s">
        <v>34</v>
      </c>
      <c r="I7" t="s">
        <v>157</v>
      </c>
      <c r="J7" t="s">
        <v>1570</v>
      </c>
      <c r="K7" t="s">
        <v>1571</v>
      </c>
      <c r="L7" s="28" t="s">
        <v>3005</v>
      </c>
      <c r="M7">
        <v>186.7</v>
      </c>
      <c r="N7" t="s">
        <v>1641</v>
      </c>
      <c r="O7">
        <v>30.4</v>
      </c>
      <c r="P7" t="s">
        <v>1589</v>
      </c>
      <c r="V7" t="s">
        <v>2476</v>
      </c>
    </row>
    <row r="8" spans="1:22" hidden="1" x14ac:dyDescent="0.25">
      <c r="A8">
        <v>2023</v>
      </c>
      <c r="B8" t="s">
        <v>772</v>
      </c>
      <c r="C8" t="s">
        <v>795</v>
      </c>
      <c r="D8" t="s">
        <v>162</v>
      </c>
      <c r="E8" t="s">
        <v>1192</v>
      </c>
      <c r="G8" s="37" t="s">
        <v>11</v>
      </c>
      <c r="H8" s="37" t="s">
        <v>34</v>
      </c>
      <c r="I8" t="s">
        <v>2931</v>
      </c>
      <c r="J8" t="s">
        <v>1570</v>
      </c>
      <c r="K8" t="s">
        <v>1571</v>
      </c>
      <c r="L8" s="28" t="s">
        <v>3005</v>
      </c>
      <c r="M8">
        <v>186.7</v>
      </c>
      <c r="N8" t="s">
        <v>1641</v>
      </c>
      <c r="O8">
        <v>1.3</v>
      </c>
      <c r="P8" t="s">
        <v>1589</v>
      </c>
      <c r="V8" t="s">
        <v>2476</v>
      </c>
    </row>
    <row r="9" spans="1:22" hidden="1" x14ac:dyDescent="0.25">
      <c r="A9">
        <v>2023</v>
      </c>
      <c r="B9" t="s">
        <v>772</v>
      </c>
      <c r="C9" t="s">
        <v>795</v>
      </c>
      <c r="D9" t="s">
        <v>162</v>
      </c>
      <c r="E9" t="s">
        <v>1192</v>
      </c>
      <c r="G9" s="37" t="s">
        <v>11</v>
      </c>
      <c r="H9" s="37" t="s">
        <v>34</v>
      </c>
      <c r="I9" t="s">
        <v>265</v>
      </c>
      <c r="J9" t="s">
        <v>1570</v>
      </c>
      <c r="K9" t="s">
        <v>1571</v>
      </c>
      <c r="L9" s="28" t="s">
        <v>3005</v>
      </c>
      <c r="M9">
        <v>186.7</v>
      </c>
      <c r="N9" t="s">
        <v>1641</v>
      </c>
      <c r="O9">
        <v>1.3</v>
      </c>
      <c r="P9" t="s">
        <v>1589</v>
      </c>
      <c r="V9" t="s">
        <v>2476</v>
      </c>
    </row>
    <row r="10" spans="1:22" hidden="1" x14ac:dyDescent="0.25">
      <c r="A10">
        <v>2023</v>
      </c>
      <c r="B10" t="s">
        <v>772</v>
      </c>
      <c r="C10" t="s">
        <v>795</v>
      </c>
      <c r="D10" t="s">
        <v>162</v>
      </c>
      <c r="E10" t="s">
        <v>1192</v>
      </c>
      <c r="G10" s="37" t="s">
        <v>11</v>
      </c>
      <c r="H10" s="37" t="s">
        <v>34</v>
      </c>
      <c r="I10" t="s">
        <v>2930</v>
      </c>
      <c r="J10" t="s">
        <v>1570</v>
      </c>
      <c r="K10" t="s">
        <v>1571</v>
      </c>
      <c r="L10" s="28" t="s">
        <v>3005</v>
      </c>
      <c r="M10">
        <v>186.7</v>
      </c>
      <c r="N10" t="s">
        <v>1641</v>
      </c>
      <c r="O10">
        <v>0.3</v>
      </c>
      <c r="P10" t="s">
        <v>1589</v>
      </c>
      <c r="V10" t="s">
        <v>2476</v>
      </c>
    </row>
    <row r="11" spans="1:22" hidden="1" x14ac:dyDescent="0.25">
      <c r="A11">
        <v>2023</v>
      </c>
      <c r="B11" t="s">
        <v>772</v>
      </c>
      <c r="C11" t="s">
        <v>795</v>
      </c>
      <c r="D11" t="s">
        <v>162</v>
      </c>
      <c r="E11" t="s">
        <v>1192</v>
      </c>
      <c r="G11" s="37" t="s">
        <v>11</v>
      </c>
      <c r="H11" s="37" t="s">
        <v>34</v>
      </c>
      <c r="I11" t="s">
        <v>157</v>
      </c>
      <c r="J11" t="s">
        <v>1570</v>
      </c>
      <c r="K11" t="s">
        <v>1572</v>
      </c>
      <c r="L11" s="28" t="s">
        <v>3005</v>
      </c>
      <c r="M11">
        <v>1065.5</v>
      </c>
      <c r="N11" t="s">
        <v>1641</v>
      </c>
      <c r="O11">
        <v>28.4</v>
      </c>
      <c r="P11" t="s">
        <v>1589</v>
      </c>
      <c r="V11" t="s">
        <v>2476</v>
      </c>
    </row>
    <row r="12" spans="1:22" hidden="1" x14ac:dyDescent="0.25">
      <c r="A12">
        <v>2023</v>
      </c>
      <c r="B12" t="s">
        <v>772</v>
      </c>
      <c r="C12" t="s">
        <v>795</v>
      </c>
      <c r="D12" t="s">
        <v>162</v>
      </c>
      <c r="E12" t="s">
        <v>1192</v>
      </c>
      <c r="G12" s="37" t="s">
        <v>11</v>
      </c>
      <c r="H12" s="37" t="s">
        <v>34</v>
      </c>
      <c r="I12" t="s">
        <v>2931</v>
      </c>
      <c r="J12" t="s">
        <v>1570</v>
      </c>
      <c r="K12" t="s">
        <v>1572</v>
      </c>
      <c r="L12" s="28" t="s">
        <v>3005</v>
      </c>
      <c r="M12">
        <v>1065.5</v>
      </c>
      <c r="N12" t="s">
        <v>1641</v>
      </c>
      <c r="O12">
        <v>1.3</v>
      </c>
      <c r="P12" t="s">
        <v>1589</v>
      </c>
      <c r="V12" t="s">
        <v>2476</v>
      </c>
    </row>
    <row r="13" spans="1:22" hidden="1" x14ac:dyDescent="0.25">
      <c r="A13">
        <v>2023</v>
      </c>
      <c r="B13" t="s">
        <v>772</v>
      </c>
      <c r="C13" t="s">
        <v>795</v>
      </c>
      <c r="D13" t="s">
        <v>162</v>
      </c>
      <c r="E13" t="s">
        <v>1192</v>
      </c>
      <c r="G13" s="37" t="s">
        <v>11</v>
      </c>
      <c r="H13" s="37" t="s">
        <v>34</v>
      </c>
      <c r="I13" t="s">
        <v>265</v>
      </c>
      <c r="J13" t="s">
        <v>1570</v>
      </c>
      <c r="K13" t="s">
        <v>1572</v>
      </c>
      <c r="L13" s="28" t="s">
        <v>3005</v>
      </c>
      <c r="M13">
        <v>1065.5</v>
      </c>
      <c r="N13" t="s">
        <v>1641</v>
      </c>
      <c r="O13">
        <v>1.2</v>
      </c>
      <c r="P13" t="s">
        <v>1589</v>
      </c>
      <c r="V13" t="s">
        <v>2476</v>
      </c>
    </row>
    <row r="14" spans="1:22" hidden="1" x14ac:dyDescent="0.25">
      <c r="A14">
        <v>2023</v>
      </c>
      <c r="B14" t="s">
        <v>772</v>
      </c>
      <c r="C14" t="s">
        <v>795</v>
      </c>
      <c r="D14" t="s">
        <v>162</v>
      </c>
      <c r="E14" t="s">
        <v>1192</v>
      </c>
      <c r="G14" s="37" t="s">
        <v>11</v>
      </c>
      <c r="H14" s="37" t="s">
        <v>34</v>
      </c>
      <c r="I14" t="s">
        <v>2930</v>
      </c>
      <c r="J14" t="s">
        <v>1570</v>
      </c>
      <c r="K14" t="s">
        <v>1572</v>
      </c>
      <c r="L14" s="28" t="s">
        <v>3005</v>
      </c>
      <c r="M14">
        <v>1065.5</v>
      </c>
      <c r="N14" t="s">
        <v>1641</v>
      </c>
      <c r="O14">
        <v>0.5</v>
      </c>
      <c r="P14" t="s">
        <v>1589</v>
      </c>
      <c r="V14" t="s">
        <v>2476</v>
      </c>
    </row>
    <row r="15" spans="1:22" hidden="1" x14ac:dyDescent="0.25">
      <c r="A15">
        <v>2023</v>
      </c>
      <c r="B15" t="s">
        <v>772</v>
      </c>
      <c r="C15" t="s">
        <v>795</v>
      </c>
      <c r="D15" t="s">
        <v>162</v>
      </c>
      <c r="E15" t="s">
        <v>1192</v>
      </c>
      <c r="G15" s="37" t="s">
        <v>11</v>
      </c>
      <c r="H15" s="37" t="s">
        <v>34</v>
      </c>
      <c r="I15" t="s">
        <v>157</v>
      </c>
      <c r="J15" t="s">
        <v>1570</v>
      </c>
      <c r="K15" t="s">
        <v>1573</v>
      </c>
      <c r="L15" s="28" t="s">
        <v>3005</v>
      </c>
      <c r="M15">
        <v>246.3</v>
      </c>
      <c r="N15" t="s">
        <v>1641</v>
      </c>
      <c r="O15">
        <v>28.7</v>
      </c>
      <c r="P15" t="s">
        <v>1589</v>
      </c>
      <c r="V15" t="s">
        <v>2476</v>
      </c>
    </row>
    <row r="16" spans="1:22" hidden="1" x14ac:dyDescent="0.25">
      <c r="A16">
        <v>2023</v>
      </c>
      <c r="B16" t="s">
        <v>772</v>
      </c>
      <c r="C16" t="s">
        <v>795</v>
      </c>
      <c r="D16" t="s">
        <v>162</v>
      </c>
      <c r="E16" t="s">
        <v>1192</v>
      </c>
      <c r="G16" s="37" t="s">
        <v>11</v>
      </c>
      <c r="H16" s="37" t="s">
        <v>34</v>
      </c>
      <c r="I16" t="s">
        <v>2931</v>
      </c>
      <c r="J16" t="s">
        <v>1570</v>
      </c>
      <c r="K16" t="s">
        <v>1573</v>
      </c>
      <c r="L16" s="28" t="s">
        <v>3005</v>
      </c>
      <c r="M16">
        <v>246.3</v>
      </c>
      <c r="N16" t="s">
        <v>1641</v>
      </c>
      <c r="O16">
        <v>1.3</v>
      </c>
      <c r="P16" t="s">
        <v>1589</v>
      </c>
      <c r="V16" t="s">
        <v>2476</v>
      </c>
    </row>
    <row r="17" spans="1:22" hidden="1" x14ac:dyDescent="0.25">
      <c r="A17">
        <v>2023</v>
      </c>
      <c r="B17" t="s">
        <v>772</v>
      </c>
      <c r="C17" t="s">
        <v>795</v>
      </c>
      <c r="D17" t="s">
        <v>162</v>
      </c>
      <c r="E17" t="s">
        <v>1192</v>
      </c>
      <c r="G17" s="37" t="s">
        <v>11</v>
      </c>
      <c r="H17" s="37" t="s">
        <v>34</v>
      </c>
      <c r="I17" t="s">
        <v>265</v>
      </c>
      <c r="J17" t="s">
        <v>1570</v>
      </c>
      <c r="K17" t="s">
        <v>1573</v>
      </c>
      <c r="L17" s="28" t="s">
        <v>3005</v>
      </c>
      <c r="M17">
        <v>246.3</v>
      </c>
      <c r="N17" t="s">
        <v>1641</v>
      </c>
      <c r="O17">
        <v>1.2</v>
      </c>
      <c r="P17" t="s">
        <v>1589</v>
      </c>
      <c r="V17" t="s">
        <v>2476</v>
      </c>
    </row>
    <row r="18" spans="1:22" hidden="1" x14ac:dyDescent="0.25">
      <c r="A18">
        <v>2023</v>
      </c>
      <c r="B18" t="s">
        <v>772</v>
      </c>
      <c r="C18" t="s">
        <v>795</v>
      </c>
      <c r="D18" t="s">
        <v>162</v>
      </c>
      <c r="E18" t="s">
        <v>1192</v>
      </c>
      <c r="G18" s="37" t="s">
        <v>11</v>
      </c>
      <c r="H18" s="37" t="s">
        <v>34</v>
      </c>
      <c r="I18" t="s">
        <v>2930</v>
      </c>
      <c r="J18" t="s">
        <v>1570</v>
      </c>
      <c r="K18" t="s">
        <v>1573</v>
      </c>
      <c r="L18" s="28" t="s">
        <v>3005</v>
      </c>
      <c r="M18">
        <v>246.3</v>
      </c>
      <c r="N18" t="s">
        <v>1641</v>
      </c>
      <c r="O18">
        <v>0.5</v>
      </c>
      <c r="P18" t="s">
        <v>1589</v>
      </c>
      <c r="V18" t="s">
        <v>2476</v>
      </c>
    </row>
    <row r="19" spans="1:22" hidden="1" x14ac:dyDescent="0.25">
      <c r="A19">
        <v>2023</v>
      </c>
      <c r="B19" t="s">
        <v>772</v>
      </c>
      <c r="C19" t="s">
        <v>795</v>
      </c>
      <c r="D19" t="s">
        <v>162</v>
      </c>
      <c r="E19" t="s">
        <v>1192</v>
      </c>
      <c r="G19" s="37" t="s">
        <v>11</v>
      </c>
      <c r="H19" s="37" t="s">
        <v>34</v>
      </c>
      <c r="I19" t="s">
        <v>157</v>
      </c>
      <c r="J19" t="s">
        <v>1564</v>
      </c>
      <c r="K19" t="s">
        <v>1565</v>
      </c>
      <c r="L19" s="28" t="s">
        <v>3005</v>
      </c>
      <c r="M19">
        <v>183.7</v>
      </c>
      <c r="N19" t="s">
        <v>1641</v>
      </c>
      <c r="O19">
        <v>30</v>
      </c>
      <c r="P19" t="s">
        <v>1589</v>
      </c>
      <c r="V19" t="s">
        <v>2476</v>
      </c>
    </row>
    <row r="20" spans="1:22" hidden="1" x14ac:dyDescent="0.25">
      <c r="A20">
        <v>2023</v>
      </c>
      <c r="B20" t="s">
        <v>772</v>
      </c>
      <c r="C20" t="s">
        <v>795</v>
      </c>
      <c r="D20" t="s">
        <v>162</v>
      </c>
      <c r="E20" t="s">
        <v>1192</v>
      </c>
      <c r="G20" s="37" t="s">
        <v>11</v>
      </c>
      <c r="H20" s="37" t="s">
        <v>34</v>
      </c>
      <c r="I20" t="s">
        <v>2931</v>
      </c>
      <c r="J20" t="s">
        <v>1564</v>
      </c>
      <c r="K20" t="s">
        <v>1565</v>
      </c>
      <c r="L20" s="28" t="s">
        <v>3005</v>
      </c>
      <c r="M20">
        <v>183.7</v>
      </c>
      <c r="N20" t="s">
        <v>1641</v>
      </c>
      <c r="O20">
        <v>1.3</v>
      </c>
      <c r="P20" t="s">
        <v>1589</v>
      </c>
      <c r="V20" t="s">
        <v>2476</v>
      </c>
    </row>
    <row r="21" spans="1:22" hidden="1" x14ac:dyDescent="0.25">
      <c r="A21">
        <v>2023</v>
      </c>
      <c r="B21" t="s">
        <v>772</v>
      </c>
      <c r="C21" t="s">
        <v>795</v>
      </c>
      <c r="D21" t="s">
        <v>162</v>
      </c>
      <c r="E21" t="s">
        <v>1192</v>
      </c>
      <c r="G21" s="37" t="s">
        <v>11</v>
      </c>
      <c r="H21" s="37" t="s">
        <v>34</v>
      </c>
      <c r="I21" t="s">
        <v>265</v>
      </c>
      <c r="J21" t="s">
        <v>1564</v>
      </c>
      <c r="K21" t="s">
        <v>1565</v>
      </c>
      <c r="L21" s="28" t="s">
        <v>3005</v>
      </c>
      <c r="M21">
        <v>183.7</v>
      </c>
      <c r="N21" t="s">
        <v>1641</v>
      </c>
      <c r="O21">
        <v>1.3</v>
      </c>
      <c r="P21" t="s">
        <v>1589</v>
      </c>
      <c r="V21" t="s">
        <v>2476</v>
      </c>
    </row>
    <row r="22" spans="1:22" hidden="1" x14ac:dyDescent="0.25">
      <c r="A22">
        <v>2023</v>
      </c>
      <c r="B22" t="s">
        <v>772</v>
      </c>
      <c r="C22" t="s">
        <v>795</v>
      </c>
      <c r="D22" t="s">
        <v>162</v>
      </c>
      <c r="E22" t="s">
        <v>1192</v>
      </c>
      <c r="G22" s="37" t="s">
        <v>11</v>
      </c>
      <c r="H22" s="37" t="s">
        <v>34</v>
      </c>
      <c r="I22" t="s">
        <v>2930</v>
      </c>
      <c r="J22" t="s">
        <v>1564</v>
      </c>
      <c r="K22" t="s">
        <v>1565</v>
      </c>
      <c r="L22" s="28" t="s">
        <v>3005</v>
      </c>
      <c r="M22">
        <v>183.7</v>
      </c>
      <c r="N22" t="s">
        <v>1641</v>
      </c>
      <c r="O22">
        <v>0.3</v>
      </c>
      <c r="P22" t="s">
        <v>1589</v>
      </c>
      <c r="V22" t="s">
        <v>2476</v>
      </c>
    </row>
    <row r="23" spans="1:22" hidden="1" x14ac:dyDescent="0.25">
      <c r="A23">
        <v>2023</v>
      </c>
      <c r="B23" t="s">
        <v>772</v>
      </c>
      <c r="C23" t="s">
        <v>795</v>
      </c>
      <c r="D23" t="s">
        <v>162</v>
      </c>
      <c r="E23" t="s">
        <v>1192</v>
      </c>
      <c r="G23" s="37" t="s">
        <v>11</v>
      </c>
      <c r="H23" s="37" t="s">
        <v>34</v>
      </c>
      <c r="I23" t="s">
        <v>157</v>
      </c>
      <c r="J23" t="s">
        <v>1564</v>
      </c>
      <c r="K23" t="s">
        <v>1574</v>
      </c>
      <c r="L23" s="28" t="s">
        <v>3005</v>
      </c>
      <c r="M23">
        <v>532.5</v>
      </c>
      <c r="N23" t="s">
        <v>1641</v>
      </c>
      <c r="O23">
        <v>28.1</v>
      </c>
      <c r="P23" t="s">
        <v>1589</v>
      </c>
      <c r="V23" t="s">
        <v>2476</v>
      </c>
    </row>
    <row r="24" spans="1:22" hidden="1" x14ac:dyDescent="0.25">
      <c r="A24">
        <v>2023</v>
      </c>
      <c r="B24" t="s">
        <v>772</v>
      </c>
      <c r="C24" t="s">
        <v>795</v>
      </c>
      <c r="D24" t="s">
        <v>162</v>
      </c>
      <c r="E24" t="s">
        <v>1192</v>
      </c>
      <c r="G24" s="37" t="s">
        <v>11</v>
      </c>
      <c r="H24" s="37" t="s">
        <v>34</v>
      </c>
      <c r="I24" t="s">
        <v>2931</v>
      </c>
      <c r="J24" t="s">
        <v>1564</v>
      </c>
      <c r="K24" t="s">
        <v>1574</v>
      </c>
      <c r="L24" s="28" t="s">
        <v>3005</v>
      </c>
      <c r="M24">
        <v>532.5</v>
      </c>
      <c r="N24" t="s">
        <v>1641</v>
      </c>
      <c r="O24">
        <v>2.1</v>
      </c>
      <c r="P24" t="s">
        <v>1589</v>
      </c>
      <c r="V24" t="s">
        <v>2476</v>
      </c>
    </row>
    <row r="25" spans="1:22" hidden="1" x14ac:dyDescent="0.25">
      <c r="A25">
        <v>2023</v>
      </c>
      <c r="B25" t="s">
        <v>772</v>
      </c>
      <c r="C25" t="s">
        <v>795</v>
      </c>
      <c r="D25" t="s">
        <v>162</v>
      </c>
      <c r="E25" t="s">
        <v>1192</v>
      </c>
      <c r="G25" s="37" t="s">
        <v>11</v>
      </c>
      <c r="H25" s="37" t="s">
        <v>34</v>
      </c>
      <c r="I25" t="s">
        <v>265</v>
      </c>
      <c r="J25" t="s">
        <v>1564</v>
      </c>
      <c r="K25" t="s">
        <v>1574</v>
      </c>
      <c r="L25" s="28" t="s">
        <v>3005</v>
      </c>
      <c r="M25">
        <v>532.5</v>
      </c>
      <c r="N25" t="s">
        <v>1641</v>
      </c>
      <c r="O25">
        <v>2</v>
      </c>
      <c r="P25" t="s">
        <v>1589</v>
      </c>
      <c r="V25" t="s">
        <v>2476</v>
      </c>
    </row>
    <row r="26" spans="1:22" hidden="1" x14ac:dyDescent="0.25">
      <c r="A26">
        <v>2023</v>
      </c>
      <c r="B26" t="s">
        <v>772</v>
      </c>
      <c r="C26" t="s">
        <v>795</v>
      </c>
      <c r="D26" t="s">
        <v>162</v>
      </c>
      <c r="E26" t="s">
        <v>1192</v>
      </c>
      <c r="G26" s="37" t="s">
        <v>11</v>
      </c>
      <c r="H26" s="37" t="s">
        <v>34</v>
      </c>
      <c r="I26" t="s">
        <v>2930</v>
      </c>
      <c r="J26" t="s">
        <v>1564</v>
      </c>
      <c r="K26" t="s">
        <v>1574</v>
      </c>
      <c r="L26" s="28" t="s">
        <v>3005</v>
      </c>
      <c r="M26">
        <v>532.5</v>
      </c>
      <c r="N26" t="s">
        <v>1641</v>
      </c>
      <c r="O26">
        <v>0.5</v>
      </c>
      <c r="P26" t="s">
        <v>1589</v>
      </c>
      <c r="V26" t="s">
        <v>2476</v>
      </c>
    </row>
    <row r="27" spans="1:22" hidden="1" x14ac:dyDescent="0.25">
      <c r="A27">
        <v>2023</v>
      </c>
      <c r="B27" t="s">
        <v>772</v>
      </c>
      <c r="C27" t="s">
        <v>1591</v>
      </c>
      <c r="D27" t="s">
        <v>77</v>
      </c>
      <c r="E27" t="s">
        <v>1323</v>
      </c>
      <c r="G27" s="37" t="s">
        <v>11</v>
      </c>
      <c r="H27" s="37" t="s">
        <v>13</v>
      </c>
      <c r="I27" t="s">
        <v>16</v>
      </c>
      <c r="J27" t="s">
        <v>1564</v>
      </c>
      <c r="K27" t="s">
        <v>1574</v>
      </c>
      <c r="L27" s="28" t="s">
        <v>3005</v>
      </c>
      <c r="M27">
        <v>11500</v>
      </c>
      <c r="N27" t="s">
        <v>1566</v>
      </c>
      <c r="O27">
        <v>8.44</v>
      </c>
      <c r="P27" t="s">
        <v>1567</v>
      </c>
      <c r="Q27">
        <v>3100</v>
      </c>
      <c r="R27" t="s">
        <v>1550</v>
      </c>
      <c r="S27" t="s">
        <v>1588</v>
      </c>
      <c r="T27">
        <v>96</v>
      </c>
      <c r="V27" t="s">
        <v>1592</v>
      </c>
    </row>
    <row r="28" spans="1:22" hidden="1" x14ac:dyDescent="0.25">
      <c r="A28">
        <v>2023</v>
      </c>
      <c r="B28" t="s">
        <v>772</v>
      </c>
      <c r="C28" t="s">
        <v>1591</v>
      </c>
      <c r="D28" t="s">
        <v>77</v>
      </c>
      <c r="E28" t="s">
        <v>1323</v>
      </c>
      <c r="G28" s="37" t="s">
        <v>11</v>
      </c>
      <c r="H28" s="37" t="s">
        <v>13</v>
      </c>
      <c r="I28" t="s">
        <v>16</v>
      </c>
      <c r="J28" t="s">
        <v>1570</v>
      </c>
      <c r="K28" t="s">
        <v>1572</v>
      </c>
      <c r="L28" s="28" t="s">
        <v>3005</v>
      </c>
      <c r="M28">
        <v>1800</v>
      </c>
      <c r="N28" t="s">
        <v>1566</v>
      </c>
      <c r="O28">
        <v>7.64</v>
      </c>
      <c r="P28" t="s">
        <v>1567</v>
      </c>
      <c r="Q28">
        <v>500</v>
      </c>
      <c r="R28" t="s">
        <v>1550</v>
      </c>
      <c r="S28" t="s">
        <v>1588</v>
      </c>
      <c r="T28">
        <v>96</v>
      </c>
      <c r="V28" t="s">
        <v>1592</v>
      </c>
    </row>
    <row r="29" spans="1:22" hidden="1" x14ac:dyDescent="0.25">
      <c r="A29">
        <v>2023</v>
      </c>
      <c r="B29" t="s">
        <v>772</v>
      </c>
      <c r="C29" t="s">
        <v>1591</v>
      </c>
      <c r="D29" t="s">
        <v>77</v>
      </c>
      <c r="E29" t="s">
        <v>1323</v>
      </c>
      <c r="G29" s="37" t="s">
        <v>11</v>
      </c>
      <c r="H29" s="37" t="s">
        <v>13</v>
      </c>
      <c r="I29" t="s">
        <v>16</v>
      </c>
      <c r="J29" t="s">
        <v>1570</v>
      </c>
      <c r="K29" t="s">
        <v>1573</v>
      </c>
      <c r="L29" s="28" t="s">
        <v>3005</v>
      </c>
      <c r="M29">
        <v>12100</v>
      </c>
      <c r="N29" t="s">
        <v>1566</v>
      </c>
      <c r="O29">
        <v>10.35</v>
      </c>
      <c r="P29" t="s">
        <v>1567</v>
      </c>
      <c r="Q29">
        <v>4000</v>
      </c>
      <c r="R29" t="s">
        <v>1550</v>
      </c>
      <c r="S29" t="s">
        <v>1588</v>
      </c>
      <c r="T29">
        <v>96</v>
      </c>
      <c r="V29" t="s">
        <v>1592</v>
      </c>
    </row>
    <row r="30" spans="1:22" hidden="1" x14ac:dyDescent="0.25">
      <c r="A30">
        <v>2024</v>
      </c>
      <c r="B30" t="s">
        <v>772</v>
      </c>
      <c r="C30" t="s">
        <v>14</v>
      </c>
      <c r="D30" t="s">
        <v>65</v>
      </c>
      <c r="E30" t="s">
        <v>1125</v>
      </c>
      <c r="G30" s="37" t="s">
        <v>11</v>
      </c>
      <c r="H30" s="37" t="s">
        <v>13</v>
      </c>
      <c r="I30" t="s">
        <v>64</v>
      </c>
      <c r="J30" t="s">
        <v>1564</v>
      </c>
      <c r="K30" t="s">
        <v>1565</v>
      </c>
      <c r="L30" s="28" t="s">
        <v>3005</v>
      </c>
      <c r="M30">
        <v>40419</v>
      </c>
      <c r="N30" t="s">
        <v>1566</v>
      </c>
      <c r="O30">
        <v>0.52</v>
      </c>
      <c r="P30" t="s">
        <v>1567</v>
      </c>
      <c r="Q30">
        <v>680</v>
      </c>
      <c r="R30" t="s">
        <v>1550</v>
      </c>
      <c r="T30">
        <f>(89.3+95+95.4)/3</f>
        <v>93.233333333333348</v>
      </c>
      <c r="V30" t="s">
        <v>1568</v>
      </c>
    </row>
    <row r="31" spans="1:22" hidden="1" x14ac:dyDescent="0.25">
      <c r="A31">
        <v>2024</v>
      </c>
      <c r="B31" t="s">
        <v>772</v>
      </c>
      <c r="C31" t="s">
        <v>14</v>
      </c>
      <c r="D31" t="s">
        <v>65</v>
      </c>
      <c r="E31" t="s">
        <v>1125</v>
      </c>
      <c r="G31" s="37" t="s">
        <v>11</v>
      </c>
      <c r="H31" s="37" t="s">
        <v>13</v>
      </c>
      <c r="I31" t="s">
        <v>64</v>
      </c>
      <c r="J31" t="s">
        <v>1564</v>
      </c>
      <c r="K31" t="s">
        <v>1569</v>
      </c>
      <c r="L31" s="28" t="s">
        <v>3005</v>
      </c>
      <c r="M31">
        <v>87128</v>
      </c>
      <c r="N31" t="s">
        <v>1566</v>
      </c>
      <c r="O31">
        <v>2.4300000000000002</v>
      </c>
      <c r="P31" t="s">
        <v>1567</v>
      </c>
      <c r="Q31">
        <v>6818</v>
      </c>
      <c r="R31" t="s">
        <v>1550</v>
      </c>
      <c r="T31">
        <f>(89.3+95+95.4)/3</f>
        <v>93.233333333333348</v>
      </c>
      <c r="V31" t="s">
        <v>1568</v>
      </c>
    </row>
    <row r="32" spans="1:22" hidden="1" x14ac:dyDescent="0.25">
      <c r="A32">
        <v>2024</v>
      </c>
      <c r="B32" t="s">
        <v>772</v>
      </c>
      <c r="C32" t="s">
        <v>14</v>
      </c>
      <c r="D32" t="s">
        <v>65</v>
      </c>
      <c r="E32" t="s">
        <v>1125</v>
      </c>
      <c r="G32" s="37" t="s">
        <v>11</v>
      </c>
      <c r="H32" s="37" t="s">
        <v>13</v>
      </c>
      <c r="I32" t="s">
        <v>64</v>
      </c>
      <c r="J32" t="s">
        <v>1570</v>
      </c>
      <c r="K32" t="s">
        <v>1572</v>
      </c>
      <c r="L32" s="28" t="s">
        <v>3005</v>
      </c>
      <c r="M32">
        <v>52873</v>
      </c>
      <c r="N32" t="s">
        <v>1566</v>
      </c>
      <c r="O32">
        <v>1.9</v>
      </c>
      <c r="P32" t="s">
        <v>1567</v>
      </c>
      <c r="Q32">
        <v>3232</v>
      </c>
      <c r="R32" t="s">
        <v>1550</v>
      </c>
      <c r="V32" t="s">
        <v>1568</v>
      </c>
    </row>
    <row r="33" spans="1:22" hidden="1" x14ac:dyDescent="0.25">
      <c r="A33">
        <v>2024</v>
      </c>
      <c r="B33" t="s">
        <v>772</v>
      </c>
      <c r="C33" t="s">
        <v>14</v>
      </c>
      <c r="D33" t="s">
        <v>65</v>
      </c>
      <c r="E33" t="s">
        <v>1125</v>
      </c>
      <c r="G33" s="37" t="s">
        <v>11</v>
      </c>
      <c r="H33" s="37" t="s">
        <v>13</v>
      </c>
      <c r="I33" t="s">
        <v>64</v>
      </c>
      <c r="J33" t="s">
        <v>1570</v>
      </c>
      <c r="K33" t="s">
        <v>1573</v>
      </c>
      <c r="L33" s="28" t="s">
        <v>3005</v>
      </c>
      <c r="M33">
        <v>144334</v>
      </c>
      <c r="N33" t="s">
        <v>1566</v>
      </c>
      <c r="O33">
        <v>2.12</v>
      </c>
      <c r="P33" t="s">
        <v>1567</v>
      </c>
      <c r="Q33">
        <v>9857</v>
      </c>
      <c r="R33" t="s">
        <v>1550</v>
      </c>
      <c r="V33" t="s">
        <v>1568</v>
      </c>
    </row>
    <row r="34" spans="1:22" hidden="1" x14ac:dyDescent="0.25">
      <c r="A34">
        <v>2023</v>
      </c>
      <c r="B34" t="s">
        <v>772</v>
      </c>
      <c r="C34" t="s">
        <v>163</v>
      </c>
      <c r="D34" t="s">
        <v>164</v>
      </c>
      <c r="E34" t="s">
        <v>1282</v>
      </c>
      <c r="G34" s="37" t="s">
        <v>11</v>
      </c>
      <c r="H34" s="37" t="s">
        <v>19</v>
      </c>
      <c r="I34" t="s">
        <v>157</v>
      </c>
      <c r="J34" t="s">
        <v>1564</v>
      </c>
      <c r="K34" t="s">
        <v>1565</v>
      </c>
      <c r="L34" s="28" t="s">
        <v>3005</v>
      </c>
      <c r="M34">
        <v>149</v>
      </c>
      <c r="N34" t="s">
        <v>1641</v>
      </c>
      <c r="O34">
        <v>65</v>
      </c>
      <c r="P34" t="s">
        <v>2403</v>
      </c>
      <c r="U34" t="s">
        <v>2971</v>
      </c>
      <c r="V34" t="s">
        <v>2272</v>
      </c>
    </row>
    <row r="35" spans="1:22" hidden="1" x14ac:dyDescent="0.25">
      <c r="A35">
        <v>2023</v>
      </c>
      <c r="B35" t="s">
        <v>772</v>
      </c>
      <c r="C35" t="s">
        <v>163</v>
      </c>
      <c r="D35" t="s">
        <v>164</v>
      </c>
      <c r="E35" t="s">
        <v>1282</v>
      </c>
      <c r="G35" s="37" t="s">
        <v>11</v>
      </c>
      <c r="H35" s="37" t="s">
        <v>19</v>
      </c>
      <c r="I35" t="s">
        <v>2471</v>
      </c>
      <c r="J35" t="s">
        <v>1564</v>
      </c>
      <c r="K35" t="s">
        <v>1565</v>
      </c>
      <c r="L35" s="28" t="s">
        <v>3005</v>
      </c>
      <c r="M35">
        <v>149</v>
      </c>
      <c r="N35" t="s">
        <v>1641</v>
      </c>
      <c r="O35">
        <v>2.8</v>
      </c>
      <c r="P35" t="s">
        <v>2470</v>
      </c>
      <c r="U35" t="s">
        <v>2971</v>
      </c>
      <c r="V35" t="s">
        <v>2272</v>
      </c>
    </row>
    <row r="36" spans="1:22" hidden="1" x14ac:dyDescent="0.25">
      <c r="A36">
        <v>2023</v>
      </c>
      <c r="B36" t="s">
        <v>772</v>
      </c>
      <c r="C36" t="s">
        <v>163</v>
      </c>
      <c r="D36" t="s">
        <v>164</v>
      </c>
      <c r="E36" t="s">
        <v>1282</v>
      </c>
      <c r="G36" s="37" t="s">
        <v>11</v>
      </c>
      <c r="H36" s="37" t="s">
        <v>19</v>
      </c>
      <c r="I36" t="s">
        <v>157</v>
      </c>
      <c r="J36" t="s">
        <v>1564</v>
      </c>
      <c r="K36" t="s">
        <v>1574</v>
      </c>
      <c r="L36" s="28" t="s">
        <v>3005</v>
      </c>
      <c r="M36">
        <v>275</v>
      </c>
      <c r="N36" t="s">
        <v>1641</v>
      </c>
      <c r="O36">
        <v>65</v>
      </c>
      <c r="P36" t="s">
        <v>2403</v>
      </c>
      <c r="U36" t="s">
        <v>2971</v>
      </c>
      <c r="V36" t="s">
        <v>2272</v>
      </c>
    </row>
    <row r="37" spans="1:22" hidden="1" x14ac:dyDescent="0.25">
      <c r="A37">
        <v>2023</v>
      </c>
      <c r="B37" t="s">
        <v>772</v>
      </c>
      <c r="C37" t="s">
        <v>163</v>
      </c>
      <c r="D37" t="s">
        <v>164</v>
      </c>
      <c r="E37" t="s">
        <v>1282</v>
      </c>
      <c r="G37" s="37" t="s">
        <v>11</v>
      </c>
      <c r="H37" s="37" t="s">
        <v>19</v>
      </c>
      <c r="I37" t="s">
        <v>2471</v>
      </c>
      <c r="J37" t="s">
        <v>1564</v>
      </c>
      <c r="K37" t="s">
        <v>1574</v>
      </c>
      <c r="L37" s="28" t="s">
        <v>3005</v>
      </c>
      <c r="M37">
        <v>275</v>
      </c>
      <c r="N37" t="s">
        <v>1641</v>
      </c>
      <c r="O37">
        <v>2.8</v>
      </c>
      <c r="P37" t="s">
        <v>2470</v>
      </c>
      <c r="U37" t="s">
        <v>2971</v>
      </c>
      <c r="V37" t="s">
        <v>2272</v>
      </c>
    </row>
    <row r="38" spans="1:22" hidden="1" x14ac:dyDescent="0.25">
      <c r="A38">
        <v>2023</v>
      </c>
      <c r="B38" t="s">
        <v>772</v>
      </c>
      <c r="C38" t="s">
        <v>163</v>
      </c>
      <c r="D38" t="s">
        <v>164</v>
      </c>
      <c r="E38" t="s">
        <v>1282</v>
      </c>
      <c r="G38" s="37" t="s">
        <v>11</v>
      </c>
      <c r="H38" s="37" t="s">
        <v>19</v>
      </c>
      <c r="I38" t="s">
        <v>157</v>
      </c>
      <c r="J38" t="s">
        <v>1570</v>
      </c>
      <c r="K38" t="s">
        <v>1571</v>
      </c>
      <c r="L38" s="28" t="s">
        <v>3005</v>
      </c>
      <c r="M38">
        <v>171</v>
      </c>
      <c r="N38" t="s">
        <v>1641</v>
      </c>
      <c r="O38">
        <v>40.799999999999997</v>
      </c>
      <c r="P38" t="s">
        <v>2403</v>
      </c>
      <c r="U38" t="s">
        <v>2971</v>
      </c>
      <c r="V38" t="s">
        <v>2272</v>
      </c>
    </row>
    <row r="39" spans="1:22" hidden="1" x14ac:dyDescent="0.25">
      <c r="A39">
        <v>2023</v>
      </c>
      <c r="B39" t="s">
        <v>772</v>
      </c>
      <c r="C39" t="s">
        <v>163</v>
      </c>
      <c r="D39" t="s">
        <v>164</v>
      </c>
      <c r="E39" t="s">
        <v>1282</v>
      </c>
      <c r="G39" s="37" t="s">
        <v>11</v>
      </c>
      <c r="H39" s="37" t="s">
        <v>19</v>
      </c>
      <c r="I39" t="s">
        <v>2471</v>
      </c>
      <c r="J39" t="s">
        <v>1570</v>
      </c>
      <c r="K39" t="s">
        <v>1571</v>
      </c>
      <c r="L39" s="28" t="s">
        <v>3005</v>
      </c>
      <c r="M39">
        <v>171</v>
      </c>
      <c r="N39" t="s">
        <v>1641</v>
      </c>
      <c r="O39">
        <v>35.799999999999997</v>
      </c>
      <c r="P39" t="s">
        <v>2470</v>
      </c>
      <c r="U39" t="s">
        <v>2971</v>
      </c>
      <c r="V39" t="s">
        <v>2272</v>
      </c>
    </row>
    <row r="40" spans="1:22" hidden="1" x14ac:dyDescent="0.25">
      <c r="A40">
        <v>2023</v>
      </c>
      <c r="B40" t="s">
        <v>772</v>
      </c>
      <c r="C40" t="s">
        <v>163</v>
      </c>
      <c r="D40" t="s">
        <v>164</v>
      </c>
      <c r="E40" t="s">
        <v>1282</v>
      </c>
      <c r="G40" s="37" t="s">
        <v>11</v>
      </c>
      <c r="H40" s="37" t="s">
        <v>19</v>
      </c>
      <c r="I40" t="s">
        <v>2930</v>
      </c>
      <c r="J40" t="s">
        <v>1570</v>
      </c>
      <c r="K40" t="s">
        <v>1571</v>
      </c>
      <c r="L40" s="28" t="s">
        <v>3005</v>
      </c>
      <c r="M40">
        <v>171</v>
      </c>
      <c r="N40" t="s">
        <v>1641</v>
      </c>
      <c r="O40">
        <v>0.2</v>
      </c>
      <c r="P40" t="s">
        <v>2473</v>
      </c>
      <c r="U40" t="s">
        <v>2971</v>
      </c>
      <c r="V40" t="s">
        <v>2272</v>
      </c>
    </row>
    <row r="41" spans="1:22" hidden="1" x14ac:dyDescent="0.25">
      <c r="A41">
        <v>2023</v>
      </c>
      <c r="B41" t="s">
        <v>772</v>
      </c>
      <c r="C41" t="s">
        <v>163</v>
      </c>
      <c r="D41" t="s">
        <v>164</v>
      </c>
      <c r="E41" t="s">
        <v>1282</v>
      </c>
      <c r="G41" s="37" t="s">
        <v>11</v>
      </c>
      <c r="H41" s="37" t="s">
        <v>19</v>
      </c>
      <c r="I41" t="s">
        <v>2472</v>
      </c>
      <c r="J41" t="s">
        <v>1570</v>
      </c>
      <c r="K41" t="s">
        <v>1571</v>
      </c>
      <c r="L41" s="28" t="s">
        <v>3005</v>
      </c>
      <c r="M41">
        <v>171</v>
      </c>
      <c r="N41" t="s">
        <v>1641</v>
      </c>
      <c r="O41">
        <v>0.02</v>
      </c>
      <c r="P41" t="s">
        <v>2474</v>
      </c>
      <c r="U41" t="s">
        <v>2971</v>
      </c>
      <c r="V41" t="s">
        <v>2272</v>
      </c>
    </row>
    <row r="42" spans="1:22" hidden="1" x14ac:dyDescent="0.25">
      <c r="A42">
        <v>2023</v>
      </c>
      <c r="B42" t="s">
        <v>772</v>
      </c>
      <c r="C42" t="s">
        <v>163</v>
      </c>
      <c r="D42" t="s">
        <v>164</v>
      </c>
      <c r="E42" t="s">
        <v>1282</v>
      </c>
      <c r="G42" s="37" t="s">
        <v>11</v>
      </c>
      <c r="H42" s="37" t="s">
        <v>19</v>
      </c>
      <c r="I42" t="s">
        <v>157</v>
      </c>
      <c r="J42" t="s">
        <v>1570</v>
      </c>
      <c r="K42" t="s">
        <v>1572</v>
      </c>
      <c r="L42" s="28" t="s">
        <v>3005</v>
      </c>
      <c r="M42">
        <v>720</v>
      </c>
      <c r="N42" t="s">
        <v>1641</v>
      </c>
      <c r="O42">
        <v>38.5</v>
      </c>
      <c r="P42" t="s">
        <v>2403</v>
      </c>
      <c r="U42" t="s">
        <v>2971</v>
      </c>
      <c r="V42" t="s">
        <v>2272</v>
      </c>
    </row>
    <row r="43" spans="1:22" hidden="1" x14ac:dyDescent="0.25">
      <c r="A43">
        <v>2023</v>
      </c>
      <c r="B43" t="s">
        <v>772</v>
      </c>
      <c r="C43" t="s">
        <v>163</v>
      </c>
      <c r="D43" t="s">
        <v>164</v>
      </c>
      <c r="E43" t="s">
        <v>1282</v>
      </c>
      <c r="G43" s="37" t="s">
        <v>11</v>
      </c>
      <c r="H43" s="37" t="s">
        <v>19</v>
      </c>
      <c r="I43" t="s">
        <v>2471</v>
      </c>
      <c r="J43" t="s">
        <v>1570</v>
      </c>
      <c r="K43" t="s">
        <v>1572</v>
      </c>
      <c r="L43" s="28" t="s">
        <v>3005</v>
      </c>
      <c r="M43">
        <v>720</v>
      </c>
      <c r="N43" t="s">
        <v>1641</v>
      </c>
      <c r="O43">
        <v>37.1</v>
      </c>
      <c r="P43" t="s">
        <v>2470</v>
      </c>
      <c r="U43" t="s">
        <v>2971</v>
      </c>
      <c r="V43" t="s">
        <v>2272</v>
      </c>
    </row>
    <row r="44" spans="1:22" hidden="1" x14ac:dyDescent="0.25">
      <c r="A44">
        <v>2023</v>
      </c>
      <c r="B44" t="s">
        <v>772</v>
      </c>
      <c r="C44" t="s">
        <v>163</v>
      </c>
      <c r="D44" t="s">
        <v>164</v>
      </c>
      <c r="E44" t="s">
        <v>1282</v>
      </c>
      <c r="G44" s="37" t="s">
        <v>11</v>
      </c>
      <c r="H44" s="37" t="s">
        <v>19</v>
      </c>
      <c r="I44" t="s">
        <v>2930</v>
      </c>
      <c r="J44" t="s">
        <v>1570</v>
      </c>
      <c r="K44" t="s">
        <v>1572</v>
      </c>
      <c r="L44" s="28" t="s">
        <v>3005</v>
      </c>
      <c r="M44">
        <v>720</v>
      </c>
      <c r="N44" t="s">
        <v>1641</v>
      </c>
      <c r="O44">
        <v>0.2</v>
      </c>
      <c r="P44" t="s">
        <v>2473</v>
      </c>
      <c r="U44" t="s">
        <v>2971</v>
      </c>
      <c r="V44" t="s">
        <v>2272</v>
      </c>
    </row>
    <row r="45" spans="1:22" hidden="1" x14ac:dyDescent="0.25">
      <c r="A45">
        <v>2023</v>
      </c>
      <c r="B45" t="s">
        <v>772</v>
      </c>
      <c r="C45" t="s">
        <v>163</v>
      </c>
      <c r="D45" t="s">
        <v>164</v>
      </c>
      <c r="E45" t="s">
        <v>1282</v>
      </c>
      <c r="G45" s="37" t="s">
        <v>11</v>
      </c>
      <c r="H45" s="37" t="s">
        <v>19</v>
      </c>
      <c r="I45" t="s">
        <v>2472</v>
      </c>
      <c r="J45" t="s">
        <v>1570</v>
      </c>
      <c r="K45" t="s">
        <v>1572</v>
      </c>
      <c r="L45" s="28" t="s">
        <v>3005</v>
      </c>
      <c r="M45">
        <v>720</v>
      </c>
      <c r="N45" t="s">
        <v>1641</v>
      </c>
      <c r="O45">
        <v>0.03</v>
      </c>
      <c r="P45" t="s">
        <v>2474</v>
      </c>
      <c r="U45" t="s">
        <v>2971</v>
      </c>
      <c r="V45" t="s">
        <v>2272</v>
      </c>
    </row>
    <row r="46" spans="1:22" hidden="1" x14ac:dyDescent="0.25">
      <c r="A46">
        <v>2023</v>
      </c>
      <c r="B46" t="s">
        <v>772</v>
      </c>
      <c r="C46" t="s">
        <v>163</v>
      </c>
      <c r="D46" t="s">
        <v>164</v>
      </c>
      <c r="E46" t="s">
        <v>1282</v>
      </c>
      <c r="G46" s="37" t="s">
        <v>11</v>
      </c>
      <c r="H46" s="37" t="s">
        <v>19</v>
      </c>
      <c r="I46" t="s">
        <v>157</v>
      </c>
      <c r="J46" t="s">
        <v>1570</v>
      </c>
      <c r="K46" t="s">
        <v>1573</v>
      </c>
      <c r="L46" s="28" t="s">
        <v>3005</v>
      </c>
      <c r="M46">
        <v>751</v>
      </c>
      <c r="N46" t="s">
        <v>1641</v>
      </c>
      <c r="O46">
        <v>38.200000000000003</v>
      </c>
      <c r="P46" t="s">
        <v>2403</v>
      </c>
      <c r="U46" t="s">
        <v>2971</v>
      </c>
      <c r="V46" t="s">
        <v>2272</v>
      </c>
    </row>
    <row r="47" spans="1:22" hidden="1" x14ac:dyDescent="0.25">
      <c r="A47">
        <v>2023</v>
      </c>
      <c r="B47" t="s">
        <v>772</v>
      </c>
      <c r="C47" t="s">
        <v>163</v>
      </c>
      <c r="D47" t="s">
        <v>164</v>
      </c>
      <c r="E47" t="s">
        <v>1282</v>
      </c>
      <c r="G47" s="37" t="s">
        <v>11</v>
      </c>
      <c r="H47" s="37" t="s">
        <v>19</v>
      </c>
      <c r="I47" t="s">
        <v>2471</v>
      </c>
      <c r="J47" t="s">
        <v>1570</v>
      </c>
      <c r="K47" t="s">
        <v>1573</v>
      </c>
      <c r="L47" s="28" t="s">
        <v>3005</v>
      </c>
      <c r="M47">
        <v>751</v>
      </c>
      <c r="N47" t="s">
        <v>1641</v>
      </c>
      <c r="O47">
        <v>37.799999999999997</v>
      </c>
      <c r="P47" t="s">
        <v>2470</v>
      </c>
      <c r="U47" t="s">
        <v>2971</v>
      </c>
      <c r="V47" t="s">
        <v>2272</v>
      </c>
    </row>
    <row r="48" spans="1:22" hidden="1" x14ac:dyDescent="0.25">
      <c r="A48">
        <v>2023</v>
      </c>
      <c r="B48" t="s">
        <v>772</v>
      </c>
      <c r="C48" t="s">
        <v>163</v>
      </c>
      <c r="D48" t="s">
        <v>164</v>
      </c>
      <c r="E48" t="s">
        <v>1282</v>
      </c>
      <c r="G48" s="37" t="s">
        <v>11</v>
      </c>
      <c r="H48" s="37" t="s">
        <v>19</v>
      </c>
      <c r="I48" t="s">
        <v>2930</v>
      </c>
      <c r="J48" t="s">
        <v>1570</v>
      </c>
      <c r="K48" t="s">
        <v>1573</v>
      </c>
      <c r="L48" s="28" t="s">
        <v>3005</v>
      </c>
      <c r="M48">
        <v>751</v>
      </c>
      <c r="N48" t="s">
        <v>1641</v>
      </c>
      <c r="O48">
        <v>0.2</v>
      </c>
      <c r="P48" t="s">
        <v>2473</v>
      </c>
      <c r="U48" t="s">
        <v>2971</v>
      </c>
      <c r="V48" t="s">
        <v>2272</v>
      </c>
    </row>
    <row r="49" spans="1:22" hidden="1" x14ac:dyDescent="0.25">
      <c r="A49">
        <v>2023</v>
      </c>
      <c r="B49" t="s">
        <v>772</v>
      </c>
      <c r="C49" t="s">
        <v>163</v>
      </c>
      <c r="D49" t="s">
        <v>164</v>
      </c>
      <c r="E49" t="s">
        <v>1282</v>
      </c>
      <c r="G49" s="37" t="s">
        <v>11</v>
      </c>
      <c r="H49" s="37" t="s">
        <v>19</v>
      </c>
      <c r="I49" t="s">
        <v>2472</v>
      </c>
      <c r="J49" t="s">
        <v>1570</v>
      </c>
      <c r="K49" t="s">
        <v>1573</v>
      </c>
      <c r="L49" s="28" t="s">
        <v>3005</v>
      </c>
      <c r="M49">
        <v>751</v>
      </c>
      <c r="N49" t="s">
        <v>1641</v>
      </c>
      <c r="O49">
        <v>0.03</v>
      </c>
      <c r="P49" t="s">
        <v>2474</v>
      </c>
    </row>
    <row r="50" spans="1:22" hidden="1" x14ac:dyDescent="0.25">
      <c r="A50">
        <v>2024</v>
      </c>
      <c r="B50" t="s">
        <v>772</v>
      </c>
      <c r="C50" t="s">
        <v>8</v>
      </c>
      <c r="D50" t="s">
        <v>72</v>
      </c>
      <c r="E50" t="s">
        <v>1263</v>
      </c>
      <c r="G50" s="37" t="s">
        <v>11</v>
      </c>
      <c r="H50" s="37" t="s">
        <v>21</v>
      </c>
      <c r="I50" t="s">
        <v>130</v>
      </c>
      <c r="J50" t="s">
        <v>1564</v>
      </c>
      <c r="K50" t="s">
        <v>1565</v>
      </c>
      <c r="L50" s="28" t="s">
        <v>3005</v>
      </c>
      <c r="M50">
        <v>87</v>
      </c>
      <c r="N50" t="s">
        <v>1566</v>
      </c>
      <c r="O50">
        <v>0.15</v>
      </c>
      <c r="P50" t="s">
        <v>1905</v>
      </c>
      <c r="Q50">
        <v>13</v>
      </c>
      <c r="R50" t="s">
        <v>1550</v>
      </c>
      <c r="U50" t="s">
        <v>2933</v>
      </c>
      <c r="V50" t="s">
        <v>1906</v>
      </c>
    </row>
    <row r="51" spans="1:22" hidden="1" x14ac:dyDescent="0.25">
      <c r="A51">
        <v>2024</v>
      </c>
      <c r="B51" t="s">
        <v>772</v>
      </c>
      <c r="C51" t="s">
        <v>8</v>
      </c>
      <c r="D51" t="s">
        <v>72</v>
      </c>
      <c r="E51" t="s">
        <v>1263</v>
      </c>
      <c r="G51" s="37" t="s">
        <v>11</v>
      </c>
      <c r="H51" s="37" t="s">
        <v>21</v>
      </c>
      <c r="I51" t="s">
        <v>130</v>
      </c>
      <c r="J51" t="s">
        <v>1564</v>
      </c>
      <c r="K51" t="s">
        <v>1565</v>
      </c>
      <c r="L51" s="28" t="s">
        <v>3005</v>
      </c>
      <c r="M51">
        <v>4958</v>
      </c>
      <c r="N51" t="s">
        <v>1566</v>
      </c>
      <c r="O51">
        <v>0.08</v>
      </c>
      <c r="P51" t="s">
        <v>1905</v>
      </c>
      <c r="Q51">
        <v>415</v>
      </c>
      <c r="R51" t="s">
        <v>1550</v>
      </c>
      <c r="U51" t="s">
        <v>2932</v>
      </c>
      <c r="V51" t="s">
        <v>1906</v>
      </c>
    </row>
    <row r="52" spans="1:22" hidden="1" x14ac:dyDescent="0.25">
      <c r="A52">
        <v>2024</v>
      </c>
      <c r="B52" t="s">
        <v>772</v>
      </c>
      <c r="C52" t="s">
        <v>8</v>
      </c>
      <c r="D52" t="s">
        <v>72</v>
      </c>
      <c r="E52" t="s">
        <v>1263</v>
      </c>
      <c r="G52" s="37" t="s">
        <v>11</v>
      </c>
      <c r="H52" s="37" t="s">
        <v>21</v>
      </c>
      <c r="I52" t="s">
        <v>130</v>
      </c>
      <c r="J52" t="s">
        <v>1564</v>
      </c>
      <c r="K52" t="s">
        <v>1574</v>
      </c>
      <c r="L52" s="28" t="s">
        <v>3005</v>
      </c>
      <c r="M52">
        <v>391</v>
      </c>
      <c r="N52" t="s">
        <v>1566</v>
      </c>
      <c r="O52">
        <v>0.15</v>
      </c>
      <c r="P52" t="s">
        <v>1905</v>
      </c>
      <c r="Q52">
        <v>59</v>
      </c>
      <c r="R52" t="s">
        <v>1550</v>
      </c>
      <c r="U52" t="s">
        <v>2933</v>
      </c>
      <c r="V52" t="s">
        <v>1906</v>
      </c>
    </row>
    <row r="53" spans="1:22" hidden="1" x14ac:dyDescent="0.25">
      <c r="A53">
        <v>2024</v>
      </c>
      <c r="B53" t="s">
        <v>772</v>
      </c>
      <c r="C53" t="s">
        <v>8</v>
      </c>
      <c r="D53" t="s">
        <v>72</v>
      </c>
      <c r="E53" t="s">
        <v>1263</v>
      </c>
      <c r="G53" s="37" t="s">
        <v>11</v>
      </c>
      <c r="H53" s="37" t="s">
        <v>21</v>
      </c>
      <c r="I53" t="s">
        <v>130</v>
      </c>
      <c r="J53" t="s">
        <v>1564</v>
      </c>
      <c r="K53" t="s">
        <v>1574</v>
      </c>
      <c r="L53" s="28" t="s">
        <v>3005</v>
      </c>
      <c r="M53">
        <v>10457</v>
      </c>
      <c r="N53" t="s">
        <v>1566</v>
      </c>
      <c r="O53">
        <v>0.08</v>
      </c>
      <c r="P53" t="s">
        <v>1905</v>
      </c>
      <c r="Q53">
        <v>804</v>
      </c>
      <c r="R53" t="s">
        <v>1550</v>
      </c>
      <c r="U53" t="s">
        <v>2932</v>
      </c>
      <c r="V53" t="s">
        <v>1906</v>
      </c>
    </row>
    <row r="54" spans="1:22" hidden="1" x14ac:dyDescent="0.25">
      <c r="A54">
        <v>2024</v>
      </c>
      <c r="B54" t="s">
        <v>772</v>
      </c>
      <c r="C54" t="s">
        <v>8</v>
      </c>
      <c r="D54" t="s">
        <v>72</v>
      </c>
      <c r="E54" t="s">
        <v>1263</v>
      </c>
      <c r="G54" s="37" t="s">
        <v>11</v>
      </c>
      <c r="H54" s="37" t="s">
        <v>21</v>
      </c>
      <c r="I54" t="s">
        <v>130</v>
      </c>
      <c r="J54" t="s">
        <v>1564</v>
      </c>
      <c r="K54" t="s">
        <v>1571</v>
      </c>
      <c r="L54" s="28" t="s">
        <v>3005</v>
      </c>
      <c r="M54">
        <v>1486</v>
      </c>
      <c r="N54" t="s">
        <v>1566</v>
      </c>
      <c r="O54">
        <v>0.2</v>
      </c>
      <c r="P54" t="s">
        <v>1905</v>
      </c>
      <c r="Q54">
        <v>300</v>
      </c>
      <c r="R54" t="s">
        <v>1550</v>
      </c>
      <c r="U54" t="s">
        <v>2933</v>
      </c>
      <c r="V54" t="s">
        <v>1906</v>
      </c>
    </row>
    <row r="55" spans="1:22" hidden="1" x14ac:dyDescent="0.25">
      <c r="A55">
        <v>2024</v>
      </c>
      <c r="B55" t="s">
        <v>772</v>
      </c>
      <c r="C55" t="s">
        <v>8</v>
      </c>
      <c r="D55" t="s">
        <v>72</v>
      </c>
      <c r="E55" t="s">
        <v>1263</v>
      </c>
      <c r="G55" s="37" t="s">
        <v>11</v>
      </c>
      <c r="H55" s="37" t="s">
        <v>21</v>
      </c>
      <c r="I55" t="s">
        <v>130</v>
      </c>
      <c r="J55" t="s">
        <v>1564</v>
      </c>
      <c r="K55" t="s">
        <v>1571</v>
      </c>
      <c r="L55" s="28" t="s">
        <v>3005</v>
      </c>
      <c r="M55">
        <v>84</v>
      </c>
      <c r="N55" t="s">
        <v>1566</v>
      </c>
      <c r="O55">
        <v>0.03</v>
      </c>
      <c r="P55" t="s">
        <v>1905</v>
      </c>
      <c r="Q55">
        <v>3</v>
      </c>
      <c r="R55" t="s">
        <v>1550</v>
      </c>
      <c r="U55" t="s">
        <v>2932</v>
      </c>
      <c r="V55" t="s">
        <v>1906</v>
      </c>
    </row>
    <row r="56" spans="1:22" hidden="1" x14ac:dyDescent="0.25">
      <c r="A56">
        <v>2024</v>
      </c>
      <c r="B56" t="s">
        <v>772</v>
      </c>
      <c r="C56" t="s">
        <v>8</v>
      </c>
      <c r="D56" t="s">
        <v>72</v>
      </c>
      <c r="E56" t="s">
        <v>1263</v>
      </c>
      <c r="G56" s="37" t="s">
        <v>11</v>
      </c>
      <c r="H56" s="37" t="s">
        <v>21</v>
      </c>
      <c r="I56" t="s">
        <v>130</v>
      </c>
      <c r="J56" t="s">
        <v>1564</v>
      </c>
      <c r="K56" t="s">
        <v>1572</v>
      </c>
      <c r="L56" s="28" t="s">
        <v>3005</v>
      </c>
      <c r="M56">
        <v>3522</v>
      </c>
      <c r="N56" t="s">
        <v>1566</v>
      </c>
      <c r="O56">
        <v>0.17</v>
      </c>
      <c r="P56" t="s">
        <v>1905</v>
      </c>
      <c r="Q56">
        <v>594</v>
      </c>
      <c r="R56" t="s">
        <v>1550</v>
      </c>
      <c r="U56" t="s">
        <v>2933</v>
      </c>
      <c r="V56" t="s">
        <v>1906</v>
      </c>
    </row>
    <row r="57" spans="1:22" hidden="1" x14ac:dyDescent="0.25">
      <c r="A57">
        <v>2024</v>
      </c>
      <c r="B57" t="s">
        <v>772</v>
      </c>
      <c r="C57" t="s">
        <v>8</v>
      </c>
      <c r="D57" t="s">
        <v>72</v>
      </c>
      <c r="E57" t="s">
        <v>1263</v>
      </c>
      <c r="G57" s="37" t="s">
        <v>11</v>
      </c>
      <c r="H57" s="37" t="s">
        <v>21</v>
      </c>
      <c r="I57" t="s">
        <v>130</v>
      </c>
      <c r="J57" t="s">
        <v>1564</v>
      </c>
      <c r="K57" t="s">
        <v>1572</v>
      </c>
      <c r="L57" s="28" t="s">
        <v>3005</v>
      </c>
      <c r="M57">
        <v>126</v>
      </c>
      <c r="N57" t="s">
        <v>1566</v>
      </c>
      <c r="O57">
        <v>0.03</v>
      </c>
      <c r="P57" t="s">
        <v>1905</v>
      </c>
      <c r="Q57">
        <v>4</v>
      </c>
      <c r="R57" t="s">
        <v>1550</v>
      </c>
      <c r="U57" t="s">
        <v>2932</v>
      </c>
      <c r="V57" t="s">
        <v>1906</v>
      </c>
    </row>
    <row r="58" spans="1:22" hidden="1" x14ac:dyDescent="0.25">
      <c r="A58">
        <v>2024</v>
      </c>
      <c r="B58" t="s">
        <v>772</v>
      </c>
      <c r="C58" t="s">
        <v>8</v>
      </c>
      <c r="D58" t="s">
        <v>72</v>
      </c>
      <c r="E58" t="s">
        <v>1263</v>
      </c>
      <c r="G58" s="37" t="s">
        <v>11</v>
      </c>
      <c r="H58" s="37" t="s">
        <v>21</v>
      </c>
      <c r="I58" t="s">
        <v>130</v>
      </c>
      <c r="J58" t="s">
        <v>1564</v>
      </c>
      <c r="K58" t="s">
        <v>1573</v>
      </c>
      <c r="L58" s="28" t="s">
        <v>3005</v>
      </c>
      <c r="M58">
        <v>2076</v>
      </c>
      <c r="N58" t="s">
        <v>1566</v>
      </c>
      <c r="O58">
        <v>0.2</v>
      </c>
      <c r="P58" t="s">
        <v>1905</v>
      </c>
      <c r="Q58">
        <v>408</v>
      </c>
      <c r="R58" t="s">
        <v>1550</v>
      </c>
      <c r="U58" t="s">
        <v>2933</v>
      </c>
      <c r="V58" t="s">
        <v>1906</v>
      </c>
    </row>
    <row r="59" spans="1:22" hidden="1" x14ac:dyDescent="0.25">
      <c r="A59">
        <v>2024</v>
      </c>
      <c r="B59" t="s">
        <v>772</v>
      </c>
      <c r="C59" t="s">
        <v>8</v>
      </c>
      <c r="D59" t="s">
        <v>72</v>
      </c>
      <c r="E59" t="s">
        <v>1263</v>
      </c>
      <c r="G59" s="37" t="s">
        <v>11</v>
      </c>
      <c r="H59" s="37" t="s">
        <v>21</v>
      </c>
      <c r="I59" t="s">
        <v>130</v>
      </c>
      <c r="J59" t="s">
        <v>1564</v>
      </c>
      <c r="K59" t="s">
        <v>1573</v>
      </c>
      <c r="L59" s="28" t="s">
        <v>3005</v>
      </c>
      <c r="M59">
        <v>577</v>
      </c>
      <c r="N59" t="s">
        <v>1566</v>
      </c>
      <c r="O59">
        <v>0.1</v>
      </c>
      <c r="P59" t="s">
        <v>1905</v>
      </c>
      <c r="Q59">
        <v>57</v>
      </c>
      <c r="R59" t="s">
        <v>1550</v>
      </c>
      <c r="U59" t="s">
        <v>2932</v>
      </c>
      <c r="V59" t="s">
        <v>1906</v>
      </c>
    </row>
    <row r="60" spans="1:22" x14ac:dyDescent="0.25">
      <c r="A60">
        <v>2024</v>
      </c>
      <c r="B60" t="s">
        <v>772</v>
      </c>
      <c r="C60" t="s">
        <v>208</v>
      </c>
      <c r="D60" t="s">
        <v>209</v>
      </c>
      <c r="E60" t="s">
        <v>1175</v>
      </c>
      <c r="F60" t="s">
        <v>3227</v>
      </c>
      <c r="G60" s="37" t="s">
        <v>11</v>
      </c>
      <c r="H60" s="37" t="s">
        <v>44</v>
      </c>
      <c r="I60" t="s">
        <v>210</v>
      </c>
      <c r="J60" t="s">
        <v>1564</v>
      </c>
      <c r="K60" t="s">
        <v>1565</v>
      </c>
      <c r="L60" s="28" t="s">
        <v>3005</v>
      </c>
      <c r="M60">
        <v>322</v>
      </c>
      <c r="N60" t="s">
        <v>1566</v>
      </c>
      <c r="O60">
        <v>16.68</v>
      </c>
      <c r="P60" t="s">
        <v>1652</v>
      </c>
      <c r="Q60">
        <v>118.4</v>
      </c>
      <c r="R60" t="s">
        <v>1709</v>
      </c>
      <c r="T60">
        <v>98.7</v>
      </c>
      <c r="V60" t="s">
        <v>1648</v>
      </c>
    </row>
    <row r="61" spans="1:22" x14ac:dyDescent="0.25">
      <c r="A61">
        <v>2024</v>
      </c>
      <c r="B61" t="s">
        <v>772</v>
      </c>
      <c r="C61" t="s">
        <v>208</v>
      </c>
      <c r="D61" t="s">
        <v>209</v>
      </c>
      <c r="E61" t="s">
        <v>1175</v>
      </c>
      <c r="F61" t="s">
        <v>3227</v>
      </c>
      <c r="G61" s="37" t="s">
        <v>11</v>
      </c>
      <c r="H61" s="37" t="s">
        <v>44</v>
      </c>
      <c r="I61" t="s">
        <v>210</v>
      </c>
      <c r="J61" t="s">
        <v>1564</v>
      </c>
      <c r="K61" t="s">
        <v>1574</v>
      </c>
      <c r="L61" s="28" t="s">
        <v>3005</v>
      </c>
      <c r="M61">
        <v>229.4</v>
      </c>
      <c r="N61" t="s">
        <v>1566</v>
      </c>
      <c r="O61">
        <v>14.73</v>
      </c>
      <c r="P61" t="s">
        <v>1652</v>
      </c>
      <c r="Q61">
        <v>74.5</v>
      </c>
      <c r="R61" t="s">
        <v>1709</v>
      </c>
      <c r="T61">
        <v>98.7</v>
      </c>
      <c r="V61" t="s">
        <v>1648</v>
      </c>
    </row>
    <row r="62" spans="1:22" x14ac:dyDescent="0.25">
      <c r="A62">
        <v>2024</v>
      </c>
      <c r="B62" t="s">
        <v>772</v>
      </c>
      <c r="C62" t="s">
        <v>208</v>
      </c>
      <c r="D62" t="s">
        <v>209</v>
      </c>
      <c r="E62" t="s">
        <v>1175</v>
      </c>
      <c r="F62" t="s">
        <v>3227</v>
      </c>
      <c r="G62" s="37" t="s">
        <v>11</v>
      </c>
      <c r="H62" s="37" t="s">
        <v>44</v>
      </c>
      <c r="I62" t="s">
        <v>210</v>
      </c>
      <c r="J62" t="s">
        <v>1570</v>
      </c>
      <c r="K62" t="s">
        <v>1571</v>
      </c>
      <c r="L62" s="28" t="s">
        <v>3005</v>
      </c>
      <c r="M62">
        <v>75.5</v>
      </c>
      <c r="N62" t="s">
        <v>1566</v>
      </c>
      <c r="O62">
        <v>4.88</v>
      </c>
      <c r="P62" t="s">
        <v>1652</v>
      </c>
      <c r="Q62">
        <v>8.1</v>
      </c>
      <c r="R62" t="s">
        <v>1709</v>
      </c>
      <c r="V62" t="s">
        <v>1648</v>
      </c>
    </row>
    <row r="63" spans="1:22" x14ac:dyDescent="0.25">
      <c r="A63">
        <v>2024</v>
      </c>
      <c r="B63" t="s">
        <v>772</v>
      </c>
      <c r="C63" t="s">
        <v>208</v>
      </c>
      <c r="D63" t="s">
        <v>209</v>
      </c>
      <c r="E63" t="s">
        <v>1175</v>
      </c>
      <c r="F63" t="s">
        <v>3227</v>
      </c>
      <c r="G63" s="37" t="s">
        <v>11</v>
      </c>
      <c r="H63" s="37" t="s">
        <v>44</v>
      </c>
      <c r="I63" t="s">
        <v>210</v>
      </c>
      <c r="J63" t="s">
        <v>1570</v>
      </c>
      <c r="K63" t="s">
        <v>1572</v>
      </c>
      <c r="L63" s="28" t="s">
        <v>3005</v>
      </c>
      <c r="M63">
        <v>141.30000000000001</v>
      </c>
      <c r="N63" t="s">
        <v>1566</v>
      </c>
      <c r="O63">
        <v>4.95</v>
      </c>
      <c r="P63" t="s">
        <v>1652</v>
      </c>
      <c r="Q63">
        <v>15.4</v>
      </c>
      <c r="R63" t="s">
        <v>1709</v>
      </c>
      <c r="V63" t="s">
        <v>1648</v>
      </c>
    </row>
    <row r="64" spans="1:22" x14ac:dyDescent="0.25">
      <c r="A64">
        <v>2024</v>
      </c>
      <c r="B64" t="s">
        <v>772</v>
      </c>
      <c r="C64" t="s">
        <v>208</v>
      </c>
      <c r="D64" t="s">
        <v>209</v>
      </c>
      <c r="E64" t="s">
        <v>1175</v>
      </c>
      <c r="F64" t="s">
        <v>3227</v>
      </c>
      <c r="G64" s="37" t="s">
        <v>11</v>
      </c>
      <c r="H64" s="37" t="s">
        <v>44</v>
      </c>
      <c r="I64" t="s">
        <v>210</v>
      </c>
      <c r="J64" t="s">
        <v>1570</v>
      </c>
      <c r="K64" t="s">
        <v>1573</v>
      </c>
      <c r="L64" s="28" t="s">
        <v>3005</v>
      </c>
      <c r="M64">
        <v>163.4</v>
      </c>
      <c r="N64" t="s">
        <v>1566</v>
      </c>
      <c r="O64">
        <v>5.55</v>
      </c>
      <c r="P64" t="s">
        <v>1652</v>
      </c>
      <c r="Q64">
        <v>20</v>
      </c>
      <c r="R64" t="s">
        <v>1709</v>
      </c>
      <c r="V64" t="s">
        <v>1648</v>
      </c>
    </row>
    <row r="65" spans="1:22" hidden="1" x14ac:dyDescent="0.25">
      <c r="A65">
        <v>2025</v>
      </c>
      <c r="B65" t="s">
        <v>772</v>
      </c>
      <c r="C65" t="s">
        <v>717</v>
      </c>
      <c r="D65" t="s">
        <v>132</v>
      </c>
      <c r="E65" t="s">
        <v>1270</v>
      </c>
      <c r="F65" t="s">
        <v>1849</v>
      </c>
      <c r="G65" s="37" t="s">
        <v>11</v>
      </c>
      <c r="H65" s="37" t="s">
        <v>21</v>
      </c>
      <c r="I65" s="28" t="s">
        <v>1772</v>
      </c>
      <c r="J65" s="28" t="s">
        <v>1564</v>
      </c>
      <c r="K65" s="28" t="s">
        <v>1565</v>
      </c>
      <c r="L65" s="28" t="s">
        <v>3005</v>
      </c>
      <c r="M65">
        <v>1729000</v>
      </c>
      <c r="N65" s="11" t="s">
        <v>1641</v>
      </c>
      <c r="V65" t="s">
        <v>2967</v>
      </c>
    </row>
    <row r="66" spans="1:22" hidden="1" x14ac:dyDescent="0.25">
      <c r="A66">
        <v>2025</v>
      </c>
      <c r="B66" t="s">
        <v>772</v>
      </c>
      <c r="C66" t="s">
        <v>717</v>
      </c>
      <c r="D66" t="s">
        <v>132</v>
      </c>
      <c r="E66" t="s">
        <v>1270</v>
      </c>
      <c r="F66" t="s">
        <v>1849</v>
      </c>
      <c r="G66" s="37" t="s">
        <v>11</v>
      </c>
      <c r="H66" s="37" t="s">
        <v>21</v>
      </c>
      <c r="I66" s="28" t="s">
        <v>125</v>
      </c>
      <c r="J66" s="28" t="s">
        <v>1564</v>
      </c>
      <c r="K66" s="28" t="s">
        <v>1565</v>
      </c>
      <c r="L66" s="28" t="s">
        <v>3005</v>
      </c>
      <c r="O66">
        <v>0.26900000000000002</v>
      </c>
      <c r="P66" t="s">
        <v>1589</v>
      </c>
      <c r="V66" t="s">
        <v>2967</v>
      </c>
    </row>
    <row r="67" spans="1:22" hidden="1" x14ac:dyDescent="0.25">
      <c r="A67">
        <v>2025</v>
      </c>
      <c r="B67" t="s">
        <v>772</v>
      </c>
      <c r="C67" t="s">
        <v>717</v>
      </c>
      <c r="D67" t="s">
        <v>132</v>
      </c>
      <c r="E67" t="s">
        <v>1270</v>
      </c>
      <c r="F67" t="s">
        <v>1849</v>
      </c>
      <c r="G67" s="37" t="s">
        <v>11</v>
      </c>
      <c r="H67" s="37" t="s">
        <v>21</v>
      </c>
      <c r="I67" s="28" t="s">
        <v>16</v>
      </c>
      <c r="J67" s="28" t="s">
        <v>1564</v>
      </c>
      <c r="K67" s="28" t="s">
        <v>1565</v>
      </c>
      <c r="L67" s="28" t="s">
        <v>3005</v>
      </c>
      <c r="O67">
        <v>0.124</v>
      </c>
      <c r="P67" t="s">
        <v>1567</v>
      </c>
      <c r="V67" t="s">
        <v>2967</v>
      </c>
    </row>
    <row r="68" spans="1:22" hidden="1" x14ac:dyDescent="0.25">
      <c r="A68">
        <v>2025</v>
      </c>
      <c r="B68" t="s">
        <v>772</v>
      </c>
      <c r="C68" t="s">
        <v>717</v>
      </c>
      <c r="D68" t="s">
        <v>132</v>
      </c>
      <c r="E68" t="s">
        <v>1270</v>
      </c>
      <c r="F68" t="s">
        <v>1849</v>
      </c>
      <c r="G68" s="37" t="s">
        <v>11</v>
      </c>
      <c r="H68" s="37" t="s">
        <v>21</v>
      </c>
      <c r="I68" s="28" t="s">
        <v>1549</v>
      </c>
      <c r="J68" s="28" t="s">
        <v>1564</v>
      </c>
      <c r="K68" s="28" t="s">
        <v>1565</v>
      </c>
      <c r="L68" s="28" t="s">
        <v>3005</v>
      </c>
      <c r="O68">
        <v>0.72</v>
      </c>
      <c r="P68" t="s">
        <v>1567</v>
      </c>
      <c r="V68" t="s">
        <v>2967</v>
      </c>
    </row>
    <row r="69" spans="1:22" hidden="1" x14ac:dyDescent="0.25">
      <c r="A69">
        <v>2025</v>
      </c>
      <c r="B69" t="s">
        <v>772</v>
      </c>
      <c r="C69" t="s">
        <v>717</v>
      </c>
      <c r="D69" t="s">
        <v>132</v>
      </c>
      <c r="E69" t="s">
        <v>1270</v>
      </c>
      <c r="F69" t="s">
        <v>1849</v>
      </c>
      <c r="G69" s="37" t="s">
        <v>11</v>
      </c>
      <c r="H69" s="37" t="s">
        <v>21</v>
      </c>
      <c r="I69" s="28" t="s">
        <v>1772</v>
      </c>
      <c r="J69" s="28" t="s">
        <v>1564</v>
      </c>
      <c r="K69" s="28" t="s">
        <v>1574</v>
      </c>
      <c r="L69" s="28" t="s">
        <v>3005</v>
      </c>
      <c r="M69">
        <v>173100000</v>
      </c>
      <c r="N69" s="11" t="s">
        <v>1641</v>
      </c>
      <c r="V69" t="s">
        <v>2967</v>
      </c>
    </row>
    <row r="70" spans="1:22" hidden="1" x14ac:dyDescent="0.25">
      <c r="A70">
        <v>2025</v>
      </c>
      <c r="B70" t="s">
        <v>772</v>
      </c>
      <c r="C70" t="s">
        <v>717</v>
      </c>
      <c r="D70" t="s">
        <v>132</v>
      </c>
      <c r="E70" t="s">
        <v>1270</v>
      </c>
      <c r="F70" t="s">
        <v>1849</v>
      </c>
      <c r="G70" s="37" t="s">
        <v>11</v>
      </c>
      <c r="H70" s="37" t="s">
        <v>21</v>
      </c>
      <c r="I70" s="28" t="s">
        <v>125</v>
      </c>
      <c r="J70" s="28" t="s">
        <v>1564</v>
      </c>
      <c r="K70" s="28" t="s">
        <v>1574</v>
      </c>
      <c r="L70" s="28" t="s">
        <v>3005</v>
      </c>
      <c r="O70">
        <v>0.222</v>
      </c>
      <c r="P70" t="s">
        <v>1589</v>
      </c>
      <c r="V70" t="s">
        <v>2967</v>
      </c>
    </row>
    <row r="71" spans="1:22" hidden="1" x14ac:dyDescent="0.25">
      <c r="A71">
        <v>2025</v>
      </c>
      <c r="B71" t="s">
        <v>772</v>
      </c>
      <c r="C71" t="s">
        <v>717</v>
      </c>
      <c r="D71" t="s">
        <v>132</v>
      </c>
      <c r="E71" t="s">
        <v>1270</v>
      </c>
      <c r="F71" t="s">
        <v>1849</v>
      </c>
      <c r="G71" s="37" t="s">
        <v>11</v>
      </c>
      <c r="H71" s="37" t="s">
        <v>21</v>
      </c>
      <c r="I71" s="28" t="s">
        <v>16</v>
      </c>
      <c r="J71" s="28" t="s">
        <v>1564</v>
      </c>
      <c r="K71" s="28" t="s">
        <v>1574</v>
      </c>
      <c r="L71" s="28" t="s">
        <v>3005</v>
      </c>
      <c r="O71">
        <v>0.109</v>
      </c>
      <c r="P71" t="s">
        <v>1567</v>
      </c>
      <c r="V71" t="s">
        <v>2967</v>
      </c>
    </row>
    <row r="72" spans="1:22" hidden="1" x14ac:dyDescent="0.25">
      <c r="A72">
        <v>2025</v>
      </c>
      <c r="B72" t="s">
        <v>772</v>
      </c>
      <c r="C72" t="s">
        <v>717</v>
      </c>
      <c r="D72" t="s">
        <v>132</v>
      </c>
      <c r="E72" t="s">
        <v>1270</v>
      </c>
      <c r="F72" t="s">
        <v>1849</v>
      </c>
      <c r="G72" s="37" t="s">
        <v>11</v>
      </c>
      <c r="H72" s="37" t="s">
        <v>21</v>
      </c>
      <c r="I72" s="28" t="s">
        <v>1549</v>
      </c>
      <c r="J72" s="28" t="s">
        <v>1564</v>
      </c>
      <c r="K72" s="28" t="s">
        <v>1574</v>
      </c>
      <c r="L72" s="28" t="s">
        <v>3005</v>
      </c>
      <c r="O72">
        <v>0.62</v>
      </c>
      <c r="P72" t="s">
        <v>1567</v>
      </c>
      <c r="V72" t="s">
        <v>2967</v>
      </c>
    </row>
    <row r="73" spans="1:22" hidden="1" x14ac:dyDescent="0.25">
      <c r="A73">
        <v>2025</v>
      </c>
      <c r="B73" t="s">
        <v>772</v>
      </c>
      <c r="C73" t="s">
        <v>717</v>
      </c>
      <c r="D73" t="s">
        <v>132</v>
      </c>
      <c r="E73" t="s">
        <v>1270</v>
      </c>
      <c r="F73" t="s">
        <v>1849</v>
      </c>
      <c r="G73" s="37" t="s">
        <v>11</v>
      </c>
      <c r="H73" s="37" t="s">
        <v>21</v>
      </c>
      <c r="I73" s="28" t="s">
        <v>1772</v>
      </c>
      <c r="J73" s="28" t="s">
        <v>1570</v>
      </c>
      <c r="K73" s="28" t="s">
        <v>1571</v>
      </c>
      <c r="L73" s="28" t="s">
        <v>3005</v>
      </c>
      <c r="M73">
        <v>31900000</v>
      </c>
      <c r="N73" s="11" t="s">
        <v>1641</v>
      </c>
      <c r="V73" t="s">
        <v>2967</v>
      </c>
    </row>
    <row r="74" spans="1:22" hidden="1" x14ac:dyDescent="0.25">
      <c r="A74">
        <v>2025</v>
      </c>
      <c r="B74" t="s">
        <v>772</v>
      </c>
      <c r="C74" t="s">
        <v>717</v>
      </c>
      <c r="D74" t="s">
        <v>132</v>
      </c>
      <c r="E74" t="s">
        <v>1270</v>
      </c>
      <c r="F74" t="s">
        <v>1849</v>
      </c>
      <c r="G74" s="37" t="s">
        <v>11</v>
      </c>
      <c r="H74" s="37" t="s">
        <v>21</v>
      </c>
      <c r="I74" s="28" t="s">
        <v>125</v>
      </c>
      <c r="J74" s="28" t="s">
        <v>1570</v>
      </c>
      <c r="K74" s="28" t="s">
        <v>1571</v>
      </c>
      <c r="L74" s="28" t="s">
        <v>3005</v>
      </c>
      <c r="O74">
        <v>0.21299999999999999</v>
      </c>
      <c r="P74" t="s">
        <v>1589</v>
      </c>
      <c r="V74" t="s">
        <v>2967</v>
      </c>
    </row>
    <row r="75" spans="1:22" hidden="1" x14ac:dyDescent="0.25">
      <c r="A75">
        <v>2025</v>
      </c>
      <c r="B75" t="s">
        <v>772</v>
      </c>
      <c r="C75" t="s">
        <v>717</v>
      </c>
      <c r="D75" t="s">
        <v>132</v>
      </c>
      <c r="E75" t="s">
        <v>1270</v>
      </c>
      <c r="F75" t="s">
        <v>1849</v>
      </c>
      <c r="G75" s="37" t="s">
        <v>11</v>
      </c>
      <c r="H75" s="37" t="s">
        <v>21</v>
      </c>
      <c r="I75" s="28" t="s">
        <v>16</v>
      </c>
      <c r="J75" s="28" t="s">
        <v>1570</v>
      </c>
      <c r="K75" s="28" t="s">
        <v>1571</v>
      </c>
      <c r="L75" s="28" t="s">
        <v>3005</v>
      </c>
      <c r="O75">
        <v>9.1999999999999998E-2</v>
      </c>
      <c r="P75" t="s">
        <v>1567</v>
      </c>
      <c r="V75" t="s">
        <v>2967</v>
      </c>
    </row>
    <row r="76" spans="1:22" hidden="1" x14ac:dyDescent="0.25">
      <c r="A76">
        <v>2025</v>
      </c>
      <c r="B76" t="s">
        <v>772</v>
      </c>
      <c r="C76" t="s">
        <v>717</v>
      </c>
      <c r="D76" t="s">
        <v>132</v>
      </c>
      <c r="E76" t="s">
        <v>1270</v>
      </c>
      <c r="F76" t="s">
        <v>1849</v>
      </c>
      <c r="G76" s="37" t="s">
        <v>11</v>
      </c>
      <c r="H76" s="37" t="s">
        <v>21</v>
      </c>
      <c r="I76" s="28" t="s">
        <v>1549</v>
      </c>
      <c r="J76" s="28" t="s">
        <v>1570</v>
      </c>
      <c r="K76" s="28" t="s">
        <v>1571</v>
      </c>
      <c r="L76" s="28" t="s">
        <v>3005</v>
      </c>
      <c r="O76">
        <v>0.72</v>
      </c>
      <c r="P76" t="s">
        <v>1567</v>
      </c>
      <c r="V76" t="s">
        <v>2967</v>
      </c>
    </row>
    <row r="77" spans="1:22" hidden="1" x14ac:dyDescent="0.25">
      <c r="A77">
        <v>2025</v>
      </c>
      <c r="B77" t="s">
        <v>772</v>
      </c>
      <c r="C77" t="s">
        <v>717</v>
      </c>
      <c r="D77" t="s">
        <v>132</v>
      </c>
      <c r="E77" t="s">
        <v>1270</v>
      </c>
      <c r="F77" t="s">
        <v>1849</v>
      </c>
      <c r="G77" s="37" t="s">
        <v>11</v>
      </c>
      <c r="H77" s="37" t="s">
        <v>21</v>
      </c>
      <c r="I77" s="28" t="s">
        <v>1772</v>
      </c>
      <c r="J77" s="28" t="s">
        <v>1570</v>
      </c>
      <c r="K77" s="28" t="s">
        <v>1572</v>
      </c>
      <c r="L77" s="28" t="s">
        <v>3005</v>
      </c>
      <c r="M77">
        <v>92800000</v>
      </c>
      <c r="N77" s="11" t="s">
        <v>1641</v>
      </c>
      <c r="V77" t="s">
        <v>2967</v>
      </c>
    </row>
    <row r="78" spans="1:22" hidden="1" x14ac:dyDescent="0.25">
      <c r="A78">
        <v>2025</v>
      </c>
      <c r="B78" t="s">
        <v>772</v>
      </c>
      <c r="C78" t="s">
        <v>717</v>
      </c>
      <c r="D78" t="s">
        <v>132</v>
      </c>
      <c r="E78" t="s">
        <v>1270</v>
      </c>
      <c r="F78" t="s">
        <v>1849</v>
      </c>
      <c r="G78" s="37" t="s">
        <v>11</v>
      </c>
      <c r="H78" s="37" t="s">
        <v>21</v>
      </c>
      <c r="I78" s="28" t="s">
        <v>125</v>
      </c>
      <c r="J78" s="28" t="s">
        <v>1570</v>
      </c>
      <c r="K78" s="28" t="s">
        <v>1572</v>
      </c>
      <c r="L78" s="28" t="s">
        <v>3005</v>
      </c>
      <c r="O78">
        <v>0.20899999999999999</v>
      </c>
      <c r="P78" t="s">
        <v>1589</v>
      </c>
      <c r="V78" t="s">
        <v>2967</v>
      </c>
    </row>
    <row r="79" spans="1:22" hidden="1" x14ac:dyDescent="0.25">
      <c r="A79">
        <v>2025</v>
      </c>
      <c r="B79" t="s">
        <v>772</v>
      </c>
      <c r="C79" t="s">
        <v>717</v>
      </c>
      <c r="D79" t="s">
        <v>132</v>
      </c>
      <c r="E79" t="s">
        <v>1270</v>
      </c>
      <c r="F79" t="s">
        <v>1849</v>
      </c>
      <c r="G79" s="37" t="s">
        <v>11</v>
      </c>
      <c r="H79" s="37" t="s">
        <v>21</v>
      </c>
      <c r="I79" s="28" t="s">
        <v>16</v>
      </c>
      <c r="J79" s="28" t="s">
        <v>1570</v>
      </c>
      <c r="K79" s="28" t="s">
        <v>1572</v>
      </c>
      <c r="L79" s="28" t="s">
        <v>3005</v>
      </c>
      <c r="O79">
        <v>0.109</v>
      </c>
      <c r="P79" t="s">
        <v>1567</v>
      </c>
      <c r="V79" t="s">
        <v>2967</v>
      </c>
    </row>
    <row r="80" spans="1:22" hidden="1" x14ac:dyDescent="0.25">
      <c r="A80">
        <v>2025</v>
      </c>
      <c r="B80" t="s">
        <v>772</v>
      </c>
      <c r="C80" t="s">
        <v>717</v>
      </c>
      <c r="D80" t="s">
        <v>132</v>
      </c>
      <c r="E80" t="s">
        <v>1270</v>
      </c>
      <c r="F80" t="s">
        <v>1849</v>
      </c>
      <c r="G80" s="37" t="s">
        <v>11</v>
      </c>
      <c r="H80" s="37" t="s">
        <v>21</v>
      </c>
      <c r="I80" s="28" t="s">
        <v>1549</v>
      </c>
      <c r="J80" s="28" t="s">
        <v>1570</v>
      </c>
      <c r="K80" s="28" t="s">
        <v>1572</v>
      </c>
      <c r="L80" s="28" t="s">
        <v>3005</v>
      </c>
      <c r="O80">
        <v>0.66</v>
      </c>
      <c r="P80" t="s">
        <v>1567</v>
      </c>
      <c r="V80" t="s">
        <v>2967</v>
      </c>
    </row>
    <row r="81" spans="1:22" hidden="1" x14ac:dyDescent="0.25">
      <c r="A81">
        <v>2024</v>
      </c>
      <c r="B81" t="s">
        <v>772</v>
      </c>
      <c r="C81" t="s">
        <v>14</v>
      </c>
      <c r="D81" t="s">
        <v>18</v>
      </c>
      <c r="E81" t="s">
        <v>1354</v>
      </c>
      <c r="G81" s="37" t="s">
        <v>11</v>
      </c>
      <c r="H81" s="37" t="s">
        <v>19</v>
      </c>
      <c r="I81" t="s">
        <v>16</v>
      </c>
      <c r="J81" t="s">
        <v>1564</v>
      </c>
      <c r="K81" t="s">
        <v>1565</v>
      </c>
      <c r="L81" s="28" t="s">
        <v>3005</v>
      </c>
      <c r="M81">
        <v>128454</v>
      </c>
      <c r="N81" t="s">
        <v>1566</v>
      </c>
      <c r="O81">
        <v>0.81</v>
      </c>
      <c r="P81" t="s">
        <v>1567</v>
      </c>
      <c r="Q81">
        <v>3333</v>
      </c>
      <c r="R81" t="s">
        <v>1550</v>
      </c>
      <c r="T81">
        <v>92</v>
      </c>
      <c r="V81" t="s">
        <v>1568</v>
      </c>
    </row>
    <row r="82" spans="1:22" hidden="1" x14ac:dyDescent="0.25">
      <c r="A82">
        <v>2024</v>
      </c>
      <c r="B82" t="s">
        <v>772</v>
      </c>
      <c r="C82" t="s">
        <v>14</v>
      </c>
      <c r="D82" t="s">
        <v>18</v>
      </c>
      <c r="E82" t="s">
        <v>1127</v>
      </c>
      <c r="G82" s="37" t="s">
        <v>11</v>
      </c>
      <c r="H82" s="37" t="s">
        <v>19</v>
      </c>
      <c r="I82" t="s">
        <v>16</v>
      </c>
      <c r="J82" t="s">
        <v>1564</v>
      </c>
      <c r="K82" t="s">
        <v>1569</v>
      </c>
      <c r="L82" s="28" t="s">
        <v>3005</v>
      </c>
      <c r="M82">
        <v>666651</v>
      </c>
      <c r="N82" t="s">
        <v>1566</v>
      </c>
      <c r="O82">
        <v>0.73</v>
      </c>
      <c r="P82" t="s">
        <v>1567</v>
      </c>
      <c r="Q82">
        <v>15718</v>
      </c>
      <c r="R82" t="s">
        <v>1550</v>
      </c>
      <c r="T82">
        <v>92</v>
      </c>
      <c r="V82" t="s">
        <v>1568</v>
      </c>
    </row>
    <row r="83" spans="1:22" hidden="1" x14ac:dyDescent="0.25">
      <c r="A83">
        <v>2024</v>
      </c>
      <c r="B83" t="s">
        <v>772</v>
      </c>
      <c r="C83" t="s">
        <v>14</v>
      </c>
      <c r="D83" t="s">
        <v>18</v>
      </c>
      <c r="E83" t="s">
        <v>1127</v>
      </c>
      <c r="G83" s="37" t="s">
        <v>11</v>
      </c>
      <c r="H83" s="37" t="s">
        <v>19</v>
      </c>
      <c r="I83" t="s">
        <v>16</v>
      </c>
      <c r="J83" t="s">
        <v>1570</v>
      </c>
      <c r="K83" t="s">
        <v>1571</v>
      </c>
      <c r="L83" s="28" t="s">
        <v>3005</v>
      </c>
      <c r="M83">
        <v>33923</v>
      </c>
      <c r="N83" t="s">
        <v>1566</v>
      </c>
      <c r="O83">
        <v>1.1000000000000001</v>
      </c>
      <c r="P83" t="s">
        <v>1567</v>
      </c>
      <c r="Q83">
        <v>1201</v>
      </c>
      <c r="R83" t="s">
        <v>1550</v>
      </c>
      <c r="V83" t="s">
        <v>1568</v>
      </c>
    </row>
    <row r="84" spans="1:22" hidden="1" x14ac:dyDescent="0.25">
      <c r="A84">
        <v>2024</v>
      </c>
      <c r="B84" t="s">
        <v>772</v>
      </c>
      <c r="C84" t="s">
        <v>14</v>
      </c>
      <c r="D84" t="s">
        <v>18</v>
      </c>
      <c r="E84" t="s">
        <v>1127</v>
      </c>
      <c r="G84" s="37" t="s">
        <v>11</v>
      </c>
      <c r="H84" s="37" t="s">
        <v>19</v>
      </c>
      <c r="I84" t="s">
        <v>16</v>
      </c>
      <c r="J84" t="s">
        <v>1570</v>
      </c>
      <c r="K84" t="s">
        <v>1572</v>
      </c>
      <c r="L84" s="28" t="s">
        <v>3005</v>
      </c>
      <c r="M84">
        <v>661068</v>
      </c>
      <c r="N84" t="s">
        <v>1566</v>
      </c>
      <c r="O84">
        <v>0.69</v>
      </c>
      <c r="P84" t="s">
        <v>1567</v>
      </c>
      <c r="Q84">
        <v>14592</v>
      </c>
      <c r="R84" t="s">
        <v>1550</v>
      </c>
      <c r="V84" t="s">
        <v>1568</v>
      </c>
    </row>
    <row r="85" spans="1:22" hidden="1" x14ac:dyDescent="0.25">
      <c r="A85">
        <v>2024</v>
      </c>
      <c r="B85" t="s">
        <v>772</v>
      </c>
      <c r="C85" t="s">
        <v>14</v>
      </c>
      <c r="D85" t="s">
        <v>18</v>
      </c>
      <c r="E85" t="s">
        <v>1127</v>
      </c>
      <c r="G85" s="37" t="s">
        <v>11</v>
      </c>
      <c r="H85" s="37" t="s">
        <v>19</v>
      </c>
      <c r="I85" t="s">
        <v>16</v>
      </c>
      <c r="J85" t="s">
        <v>1570</v>
      </c>
      <c r="K85" t="s">
        <v>1573</v>
      </c>
      <c r="L85" s="28" t="s">
        <v>3005</v>
      </c>
      <c r="M85">
        <v>125335</v>
      </c>
      <c r="N85" t="s">
        <v>1566</v>
      </c>
      <c r="O85">
        <v>1.67</v>
      </c>
      <c r="P85" t="s">
        <v>1567</v>
      </c>
      <c r="Q85">
        <v>6742</v>
      </c>
      <c r="R85" t="s">
        <v>1550</v>
      </c>
      <c r="V85" t="s">
        <v>1568</v>
      </c>
    </row>
    <row r="86" spans="1:22" hidden="1" x14ac:dyDescent="0.25">
      <c r="A86">
        <v>2023</v>
      </c>
      <c r="B86" t="s">
        <v>772</v>
      </c>
      <c r="C86" t="s">
        <v>718</v>
      </c>
      <c r="D86" t="s">
        <v>152</v>
      </c>
      <c r="E86" t="s">
        <v>1354</v>
      </c>
      <c r="G86" s="37" t="s">
        <v>11</v>
      </c>
      <c r="H86" s="37" t="s">
        <v>148</v>
      </c>
      <c r="I86" t="s">
        <v>147</v>
      </c>
      <c r="J86" t="s">
        <v>1564</v>
      </c>
      <c r="K86" t="s">
        <v>1565</v>
      </c>
      <c r="L86" s="28" t="s">
        <v>3005</v>
      </c>
      <c r="M86">
        <v>1.9</v>
      </c>
      <c r="N86" t="s">
        <v>1641</v>
      </c>
      <c r="O86">
        <v>2.1</v>
      </c>
      <c r="P86" t="s">
        <v>2469</v>
      </c>
      <c r="V86" t="s">
        <v>2272</v>
      </c>
    </row>
    <row r="87" spans="1:22" hidden="1" x14ac:dyDescent="0.25">
      <c r="A87">
        <v>2023</v>
      </c>
      <c r="B87" t="s">
        <v>772</v>
      </c>
      <c r="C87" t="s">
        <v>718</v>
      </c>
      <c r="D87" t="s">
        <v>152</v>
      </c>
      <c r="E87" t="s">
        <v>1354</v>
      </c>
      <c r="G87" s="37" t="s">
        <v>11</v>
      </c>
      <c r="H87" s="37" t="s">
        <v>148</v>
      </c>
      <c r="I87" t="s">
        <v>147</v>
      </c>
      <c r="J87" t="s">
        <v>1564</v>
      </c>
      <c r="K87" t="s">
        <v>1574</v>
      </c>
      <c r="L87" s="28" t="s">
        <v>3005</v>
      </c>
      <c r="M87">
        <v>1.3</v>
      </c>
      <c r="N87" t="s">
        <v>1641</v>
      </c>
      <c r="O87">
        <v>2.2999999999999998</v>
      </c>
      <c r="P87" t="s">
        <v>2469</v>
      </c>
      <c r="V87" t="s">
        <v>2272</v>
      </c>
    </row>
    <row r="88" spans="1:22" hidden="1" x14ac:dyDescent="0.25">
      <c r="A88">
        <v>2023</v>
      </c>
      <c r="B88" t="s">
        <v>772</v>
      </c>
      <c r="C88" t="s">
        <v>718</v>
      </c>
      <c r="D88" t="s">
        <v>152</v>
      </c>
      <c r="E88" t="s">
        <v>1354</v>
      </c>
      <c r="G88" s="37" t="s">
        <v>11</v>
      </c>
      <c r="H88" s="37" t="s">
        <v>148</v>
      </c>
      <c r="I88" t="s">
        <v>147</v>
      </c>
      <c r="J88" t="s">
        <v>1570</v>
      </c>
      <c r="K88" t="s">
        <v>1571</v>
      </c>
      <c r="L88" s="28" t="s">
        <v>3005</v>
      </c>
      <c r="M88">
        <v>1.5</v>
      </c>
      <c r="N88" t="s">
        <v>1641</v>
      </c>
      <c r="O88">
        <v>2.4</v>
      </c>
      <c r="P88" t="s">
        <v>2469</v>
      </c>
      <c r="V88" t="s">
        <v>2272</v>
      </c>
    </row>
    <row r="89" spans="1:22" hidden="1" x14ac:dyDescent="0.25">
      <c r="A89">
        <v>2023</v>
      </c>
      <c r="B89" t="s">
        <v>772</v>
      </c>
      <c r="C89" t="s">
        <v>718</v>
      </c>
      <c r="D89" t="s">
        <v>152</v>
      </c>
      <c r="E89" t="s">
        <v>1354</v>
      </c>
      <c r="G89" s="37" t="s">
        <v>11</v>
      </c>
      <c r="H89" s="37" t="s">
        <v>148</v>
      </c>
      <c r="I89" t="s">
        <v>147</v>
      </c>
      <c r="J89" t="s">
        <v>1570</v>
      </c>
      <c r="K89" t="s">
        <v>1572</v>
      </c>
      <c r="L89" s="28" t="s">
        <v>3005</v>
      </c>
      <c r="M89">
        <v>2.4</v>
      </c>
      <c r="N89" t="s">
        <v>1641</v>
      </c>
      <c r="O89">
        <v>2.7</v>
      </c>
      <c r="P89" t="s">
        <v>2469</v>
      </c>
      <c r="V89" t="s">
        <v>2272</v>
      </c>
    </row>
    <row r="90" spans="1:22" hidden="1" x14ac:dyDescent="0.25">
      <c r="A90">
        <v>2023</v>
      </c>
      <c r="B90" t="s">
        <v>772</v>
      </c>
      <c r="C90" t="s">
        <v>718</v>
      </c>
      <c r="D90" t="s">
        <v>152</v>
      </c>
      <c r="E90" t="s">
        <v>1354</v>
      </c>
      <c r="G90" s="37" t="s">
        <v>11</v>
      </c>
      <c r="H90" s="37" t="s">
        <v>148</v>
      </c>
      <c r="I90" t="s">
        <v>147</v>
      </c>
      <c r="J90" t="s">
        <v>1570</v>
      </c>
      <c r="K90" t="s">
        <v>1573</v>
      </c>
      <c r="L90" s="28" t="s">
        <v>3005</v>
      </c>
      <c r="M90">
        <v>0.3</v>
      </c>
      <c r="N90" t="s">
        <v>1641</v>
      </c>
      <c r="O90">
        <v>2.1</v>
      </c>
      <c r="P90" t="s">
        <v>2469</v>
      </c>
      <c r="V90" t="s">
        <v>2272</v>
      </c>
    </row>
    <row r="91" spans="1:22" hidden="1" x14ac:dyDescent="0.25">
      <c r="A91">
        <v>2024</v>
      </c>
      <c r="B91" t="s">
        <v>772</v>
      </c>
      <c r="C91" t="s">
        <v>730</v>
      </c>
      <c r="D91" t="s">
        <v>59</v>
      </c>
      <c r="E91" t="s">
        <v>1439</v>
      </c>
      <c r="G91" s="37" t="s">
        <v>11</v>
      </c>
      <c r="H91" s="37" t="s">
        <v>13</v>
      </c>
      <c r="I91" t="s">
        <v>16</v>
      </c>
      <c r="J91" t="s">
        <v>1564</v>
      </c>
      <c r="K91" t="s">
        <v>1565</v>
      </c>
      <c r="L91" s="28" t="s">
        <v>3005</v>
      </c>
      <c r="M91">
        <v>433</v>
      </c>
      <c r="N91" t="s">
        <v>1566</v>
      </c>
      <c r="O91">
        <v>15.6</v>
      </c>
      <c r="P91" t="s">
        <v>1567</v>
      </c>
      <c r="Q91">
        <v>217</v>
      </c>
      <c r="R91" t="s">
        <v>1550</v>
      </c>
      <c r="V91" t="s">
        <v>2970</v>
      </c>
    </row>
    <row r="92" spans="1:22" hidden="1" x14ac:dyDescent="0.25">
      <c r="A92">
        <v>2024</v>
      </c>
      <c r="B92" t="s">
        <v>772</v>
      </c>
      <c r="C92" t="s">
        <v>730</v>
      </c>
      <c r="D92" t="s">
        <v>59</v>
      </c>
      <c r="E92" t="s">
        <v>1439</v>
      </c>
      <c r="G92" s="37" t="s">
        <v>11</v>
      </c>
      <c r="H92" s="37" t="s">
        <v>13</v>
      </c>
      <c r="I92" t="s">
        <v>16</v>
      </c>
      <c r="J92" t="s">
        <v>1564</v>
      </c>
      <c r="K92" t="s">
        <v>1574</v>
      </c>
      <c r="L92" s="28" t="s">
        <v>3005</v>
      </c>
      <c r="M92">
        <v>794</v>
      </c>
      <c r="N92" t="s">
        <v>1566</v>
      </c>
      <c r="O92">
        <v>10.4</v>
      </c>
      <c r="P92" t="s">
        <v>1567</v>
      </c>
      <c r="Q92">
        <v>265</v>
      </c>
      <c r="R92" t="s">
        <v>1550</v>
      </c>
      <c r="V92" t="s">
        <v>2970</v>
      </c>
    </row>
    <row r="93" spans="1:22" hidden="1" x14ac:dyDescent="0.25">
      <c r="A93">
        <v>2024</v>
      </c>
      <c r="B93" t="s">
        <v>772</v>
      </c>
      <c r="C93" t="s">
        <v>730</v>
      </c>
      <c r="D93" t="s">
        <v>59</v>
      </c>
      <c r="E93" t="s">
        <v>1439</v>
      </c>
      <c r="G93" s="37" t="s">
        <v>11</v>
      </c>
      <c r="H93" s="37" t="s">
        <v>13</v>
      </c>
      <c r="I93" t="s">
        <v>16</v>
      </c>
      <c r="J93" t="s">
        <v>1570</v>
      </c>
      <c r="K93" t="s">
        <v>1571</v>
      </c>
      <c r="L93" s="28" t="s">
        <v>3005</v>
      </c>
      <c r="M93">
        <v>250</v>
      </c>
      <c r="N93" t="s">
        <v>1566</v>
      </c>
      <c r="O93">
        <v>11.6</v>
      </c>
      <c r="P93" t="s">
        <v>1567</v>
      </c>
      <c r="Q93">
        <v>93</v>
      </c>
      <c r="R93" t="s">
        <v>1550</v>
      </c>
      <c r="V93" t="s">
        <v>2970</v>
      </c>
    </row>
    <row r="94" spans="1:22" hidden="1" x14ac:dyDescent="0.25">
      <c r="A94">
        <v>2024</v>
      </c>
      <c r="B94" t="s">
        <v>772</v>
      </c>
      <c r="C94" t="s">
        <v>730</v>
      </c>
      <c r="D94" t="s">
        <v>59</v>
      </c>
      <c r="E94" t="s">
        <v>1439</v>
      </c>
      <c r="G94" s="37" t="s">
        <v>11</v>
      </c>
      <c r="H94" s="37" t="s">
        <v>13</v>
      </c>
      <c r="I94" t="s">
        <v>16</v>
      </c>
      <c r="J94" t="s">
        <v>1570</v>
      </c>
      <c r="K94" t="s">
        <v>1572</v>
      </c>
      <c r="L94" s="28" t="s">
        <v>3005</v>
      </c>
      <c r="M94">
        <v>557</v>
      </c>
      <c r="N94" t="s">
        <v>1566</v>
      </c>
      <c r="O94">
        <v>7.5</v>
      </c>
      <c r="P94" t="s">
        <v>1567</v>
      </c>
      <c r="Q94">
        <v>135</v>
      </c>
      <c r="R94" t="s">
        <v>1550</v>
      </c>
      <c r="V94" t="s">
        <v>2970</v>
      </c>
    </row>
    <row r="95" spans="1:22" hidden="1" x14ac:dyDescent="0.25">
      <c r="A95">
        <v>2024</v>
      </c>
      <c r="B95" t="s">
        <v>772</v>
      </c>
      <c r="C95" t="s">
        <v>730</v>
      </c>
      <c r="D95" t="s">
        <v>59</v>
      </c>
      <c r="E95" t="s">
        <v>1439</v>
      </c>
      <c r="G95" s="37" t="s">
        <v>11</v>
      </c>
      <c r="H95" s="37" t="s">
        <v>13</v>
      </c>
      <c r="I95" t="s">
        <v>16</v>
      </c>
      <c r="J95" t="s">
        <v>1570</v>
      </c>
      <c r="K95" t="s">
        <v>1573</v>
      </c>
      <c r="L95" s="28" t="s">
        <v>3005</v>
      </c>
      <c r="M95">
        <v>2749</v>
      </c>
      <c r="N95" t="s">
        <v>1566</v>
      </c>
      <c r="O95">
        <v>2.6</v>
      </c>
      <c r="P95" t="s">
        <v>1567</v>
      </c>
      <c r="Q95">
        <v>229</v>
      </c>
      <c r="R95" t="s">
        <v>1550</v>
      </c>
      <c r="V95" t="s">
        <v>2970</v>
      </c>
    </row>
    <row r="96" spans="1:22" hidden="1" x14ac:dyDescent="0.25">
      <c r="A96">
        <v>2024</v>
      </c>
      <c r="B96" t="s">
        <v>772</v>
      </c>
      <c r="C96" t="s">
        <v>145</v>
      </c>
      <c r="D96" t="s">
        <v>146</v>
      </c>
      <c r="E96" t="s">
        <v>1172</v>
      </c>
      <c r="G96" s="37" t="s">
        <v>11</v>
      </c>
      <c r="H96" s="37" t="s">
        <v>148</v>
      </c>
      <c r="I96" t="s">
        <v>147</v>
      </c>
      <c r="J96" s="28" t="s">
        <v>1564</v>
      </c>
      <c r="K96" s="28" t="s">
        <v>1574</v>
      </c>
      <c r="L96" s="28" t="s">
        <v>3005</v>
      </c>
      <c r="N96" t="s">
        <v>1641</v>
      </c>
      <c r="P96" t="s">
        <v>1809</v>
      </c>
      <c r="R96" t="s">
        <v>1810</v>
      </c>
      <c r="V96" t="s">
        <v>2968</v>
      </c>
    </row>
    <row r="97" spans="1:22" hidden="1" x14ac:dyDescent="0.25">
      <c r="A97">
        <v>2023</v>
      </c>
      <c r="B97" t="s">
        <v>772</v>
      </c>
      <c r="C97" t="s">
        <v>1591</v>
      </c>
      <c r="D97" t="s">
        <v>1590</v>
      </c>
      <c r="E97" t="s">
        <v>1316</v>
      </c>
      <c r="G97" s="37" t="s">
        <v>11</v>
      </c>
      <c r="H97" s="37" t="s">
        <v>13</v>
      </c>
      <c r="I97" t="s">
        <v>16</v>
      </c>
      <c r="J97" t="s">
        <v>1564</v>
      </c>
      <c r="K97" t="s">
        <v>1574</v>
      </c>
      <c r="L97" s="28" t="s">
        <v>3005</v>
      </c>
      <c r="M97">
        <v>6800</v>
      </c>
      <c r="N97" t="s">
        <v>1566</v>
      </c>
      <c r="O97">
        <v>5.47</v>
      </c>
      <c r="P97" t="s">
        <v>1567</v>
      </c>
      <c r="Q97">
        <v>1200</v>
      </c>
      <c r="R97" t="s">
        <v>1550</v>
      </c>
      <c r="S97" t="s">
        <v>1588</v>
      </c>
      <c r="T97">
        <v>92</v>
      </c>
      <c r="V97" t="s">
        <v>1592</v>
      </c>
    </row>
    <row r="98" spans="1:22" hidden="1" x14ac:dyDescent="0.25">
      <c r="A98">
        <v>2023</v>
      </c>
      <c r="B98" t="s">
        <v>772</v>
      </c>
      <c r="C98" t="s">
        <v>1591</v>
      </c>
      <c r="D98" t="s">
        <v>1590</v>
      </c>
      <c r="E98" t="s">
        <v>1316</v>
      </c>
      <c r="G98" s="37" t="s">
        <v>11</v>
      </c>
      <c r="H98" s="37" t="s">
        <v>13</v>
      </c>
      <c r="I98" t="s">
        <v>16</v>
      </c>
      <c r="J98" t="s">
        <v>1564</v>
      </c>
      <c r="K98" t="s">
        <v>1565</v>
      </c>
      <c r="L98" s="28" t="s">
        <v>3005</v>
      </c>
      <c r="M98">
        <v>2100</v>
      </c>
      <c r="N98" t="s">
        <v>1566</v>
      </c>
      <c r="O98">
        <v>5.08</v>
      </c>
      <c r="P98" t="s">
        <v>1567</v>
      </c>
      <c r="Q98">
        <v>300</v>
      </c>
      <c r="R98" t="s">
        <v>1550</v>
      </c>
      <c r="S98" t="s">
        <v>1588</v>
      </c>
      <c r="T98">
        <v>92</v>
      </c>
      <c r="V98" t="s">
        <v>1592</v>
      </c>
    </row>
    <row r="99" spans="1:22" hidden="1" x14ac:dyDescent="0.25">
      <c r="A99">
        <v>2023</v>
      </c>
      <c r="B99" t="s">
        <v>772</v>
      </c>
      <c r="C99" t="s">
        <v>1591</v>
      </c>
      <c r="D99" t="s">
        <v>1590</v>
      </c>
      <c r="E99" t="s">
        <v>1316</v>
      </c>
      <c r="G99" s="37" t="s">
        <v>11</v>
      </c>
      <c r="H99" s="37" t="s">
        <v>13</v>
      </c>
      <c r="I99" t="s">
        <v>16</v>
      </c>
      <c r="J99" t="s">
        <v>1570</v>
      </c>
      <c r="K99" t="s">
        <v>1572</v>
      </c>
      <c r="L99" s="28" t="s">
        <v>3005</v>
      </c>
      <c r="M99">
        <v>2100</v>
      </c>
      <c r="N99" t="s">
        <v>1566</v>
      </c>
      <c r="O99">
        <v>4.7</v>
      </c>
      <c r="P99" t="s">
        <v>1567</v>
      </c>
      <c r="Q99">
        <v>300</v>
      </c>
      <c r="R99" t="s">
        <v>1550</v>
      </c>
      <c r="S99" t="s">
        <v>1588</v>
      </c>
      <c r="T99">
        <v>92</v>
      </c>
      <c r="V99" t="s">
        <v>1592</v>
      </c>
    </row>
    <row r="100" spans="1:22" hidden="1" x14ac:dyDescent="0.25">
      <c r="A100">
        <v>2023</v>
      </c>
      <c r="B100" t="s">
        <v>772</v>
      </c>
      <c r="C100" t="s">
        <v>1591</v>
      </c>
      <c r="D100" t="s">
        <v>1590</v>
      </c>
      <c r="E100" t="s">
        <v>1316</v>
      </c>
      <c r="G100" s="37" t="s">
        <v>11</v>
      </c>
      <c r="H100" s="37" t="s">
        <v>13</v>
      </c>
      <c r="I100" t="s">
        <v>16</v>
      </c>
      <c r="J100" t="s">
        <v>1570</v>
      </c>
      <c r="K100" t="s">
        <v>1573</v>
      </c>
      <c r="L100" s="28" t="s">
        <v>3005</v>
      </c>
      <c r="M100">
        <v>1800</v>
      </c>
      <c r="N100" t="s">
        <v>1566</v>
      </c>
      <c r="O100">
        <v>5.7</v>
      </c>
      <c r="P100" t="s">
        <v>1567</v>
      </c>
      <c r="Q100">
        <v>300</v>
      </c>
      <c r="R100" t="s">
        <v>1550</v>
      </c>
      <c r="S100" t="s">
        <v>1588</v>
      </c>
      <c r="T100">
        <v>92</v>
      </c>
      <c r="V100" t="s">
        <v>1592</v>
      </c>
    </row>
    <row r="101" spans="1:22" hidden="1" x14ac:dyDescent="0.25">
      <c r="A101">
        <v>2023</v>
      </c>
      <c r="B101" t="s">
        <v>772</v>
      </c>
      <c r="C101" t="s">
        <v>1591</v>
      </c>
      <c r="D101" t="s">
        <v>1590</v>
      </c>
      <c r="E101" t="s">
        <v>1316</v>
      </c>
      <c r="G101" s="37" t="s">
        <v>11</v>
      </c>
      <c r="H101" s="37" t="s">
        <v>13</v>
      </c>
      <c r="I101" t="s">
        <v>16</v>
      </c>
      <c r="J101" t="s">
        <v>1570</v>
      </c>
      <c r="K101" t="s">
        <v>1571</v>
      </c>
      <c r="L101" s="28" t="s">
        <v>3005</v>
      </c>
      <c r="M101">
        <v>700</v>
      </c>
      <c r="N101" t="s">
        <v>1566</v>
      </c>
      <c r="O101">
        <v>4.59</v>
      </c>
      <c r="P101" t="s">
        <v>1567</v>
      </c>
      <c r="Q101">
        <v>100</v>
      </c>
      <c r="R101" t="s">
        <v>1550</v>
      </c>
      <c r="S101" t="s">
        <v>1588</v>
      </c>
      <c r="T101">
        <v>92</v>
      </c>
      <c r="V101" t="s">
        <v>1592</v>
      </c>
    </row>
    <row r="102" spans="1:22" hidden="1" x14ac:dyDescent="0.25">
      <c r="A102">
        <v>2024</v>
      </c>
      <c r="B102" t="s">
        <v>772</v>
      </c>
      <c r="C102" t="s">
        <v>32</v>
      </c>
      <c r="D102" t="s">
        <v>33</v>
      </c>
      <c r="E102" t="s">
        <v>1257</v>
      </c>
      <c r="G102" s="37" t="s">
        <v>11</v>
      </c>
      <c r="H102" s="37" t="s">
        <v>34</v>
      </c>
      <c r="I102" t="s">
        <v>16</v>
      </c>
      <c r="J102" t="s">
        <v>1570</v>
      </c>
      <c r="K102" t="s">
        <v>1571</v>
      </c>
      <c r="L102" s="28" t="s">
        <v>3005</v>
      </c>
      <c r="M102">
        <v>169000</v>
      </c>
      <c r="N102" t="s">
        <v>1546</v>
      </c>
      <c r="O102">
        <v>10.3</v>
      </c>
      <c r="P102" t="s">
        <v>1567</v>
      </c>
      <c r="Q102">
        <v>56000</v>
      </c>
      <c r="R102" t="s">
        <v>1548</v>
      </c>
      <c r="V102" t="s">
        <v>1892</v>
      </c>
    </row>
    <row r="103" spans="1:22" hidden="1" x14ac:dyDescent="0.25">
      <c r="A103">
        <v>2024</v>
      </c>
      <c r="B103" t="s">
        <v>772</v>
      </c>
      <c r="C103" t="s">
        <v>32</v>
      </c>
      <c r="D103" t="s">
        <v>33</v>
      </c>
      <c r="E103" t="s">
        <v>1257</v>
      </c>
      <c r="G103" s="37" t="s">
        <v>11</v>
      </c>
      <c r="H103" s="37" t="s">
        <v>34</v>
      </c>
      <c r="I103" t="s">
        <v>16</v>
      </c>
      <c r="J103" t="s">
        <v>1570</v>
      </c>
      <c r="K103" t="s">
        <v>1572</v>
      </c>
      <c r="L103" s="28" t="s">
        <v>3005</v>
      </c>
      <c r="M103">
        <v>4190000</v>
      </c>
      <c r="N103" t="s">
        <v>1546</v>
      </c>
      <c r="O103">
        <v>5.4</v>
      </c>
      <c r="P103" t="s">
        <v>1567</v>
      </c>
      <c r="Q103">
        <v>750000</v>
      </c>
      <c r="R103" t="s">
        <v>1548</v>
      </c>
      <c r="V103" t="s">
        <v>1893</v>
      </c>
    </row>
    <row r="104" spans="1:22" hidden="1" x14ac:dyDescent="0.25">
      <c r="A104">
        <v>2024</v>
      </c>
      <c r="B104" t="s">
        <v>772</v>
      </c>
      <c r="C104" t="s">
        <v>32</v>
      </c>
      <c r="D104" t="s">
        <v>33</v>
      </c>
      <c r="E104" t="s">
        <v>1257</v>
      </c>
      <c r="G104" s="37" t="s">
        <v>11</v>
      </c>
      <c r="H104" s="37" t="s">
        <v>34</v>
      </c>
      <c r="I104" t="s">
        <v>16</v>
      </c>
      <c r="J104" t="s">
        <v>1570</v>
      </c>
      <c r="K104" t="s">
        <v>1573</v>
      </c>
      <c r="L104" s="28" t="s">
        <v>3005</v>
      </c>
      <c r="M104">
        <v>1497000</v>
      </c>
      <c r="N104" t="s">
        <v>1546</v>
      </c>
      <c r="O104">
        <v>5.3</v>
      </c>
      <c r="P104" t="s">
        <v>1567</v>
      </c>
      <c r="Q104">
        <v>262000</v>
      </c>
      <c r="R104" t="s">
        <v>1548</v>
      </c>
      <c r="V104" t="s">
        <v>1894</v>
      </c>
    </row>
    <row r="105" spans="1:22" hidden="1" x14ac:dyDescent="0.25">
      <c r="A105">
        <v>2023</v>
      </c>
      <c r="B105" t="s">
        <v>772</v>
      </c>
      <c r="C105" t="s">
        <v>1591</v>
      </c>
      <c r="D105" t="s">
        <v>401</v>
      </c>
      <c r="E105" t="s">
        <v>1325</v>
      </c>
      <c r="G105" s="37" t="s">
        <v>375</v>
      </c>
      <c r="H105" s="37" t="s">
        <v>720</v>
      </c>
      <c r="I105" t="s">
        <v>125</v>
      </c>
      <c r="J105" t="s">
        <v>1570</v>
      </c>
      <c r="K105" t="s">
        <v>1572</v>
      </c>
      <c r="L105" s="28" t="s">
        <v>3005</v>
      </c>
      <c r="M105">
        <v>385600</v>
      </c>
      <c r="N105" t="s">
        <v>1566</v>
      </c>
      <c r="O105">
        <v>0.47</v>
      </c>
      <c r="P105" t="s">
        <v>1589</v>
      </c>
      <c r="Q105">
        <v>4000</v>
      </c>
      <c r="R105" t="s">
        <v>1709</v>
      </c>
      <c r="S105" t="s">
        <v>1588</v>
      </c>
      <c r="T105">
        <v>93</v>
      </c>
      <c r="V105" t="s">
        <v>1592</v>
      </c>
    </row>
    <row r="106" spans="1:22" hidden="1" x14ac:dyDescent="0.25">
      <c r="A106">
        <v>2023</v>
      </c>
      <c r="B106" t="s">
        <v>772</v>
      </c>
      <c r="C106" t="s">
        <v>1591</v>
      </c>
      <c r="D106" t="s">
        <v>401</v>
      </c>
      <c r="E106" t="s">
        <v>1325</v>
      </c>
      <c r="G106" s="37" t="s">
        <v>375</v>
      </c>
      <c r="H106" s="37" t="s">
        <v>720</v>
      </c>
      <c r="I106" t="s">
        <v>16</v>
      </c>
      <c r="J106" t="s">
        <v>1570</v>
      </c>
      <c r="K106" t="s">
        <v>1572</v>
      </c>
      <c r="L106" s="28" t="s">
        <v>3005</v>
      </c>
      <c r="M106">
        <v>385600</v>
      </c>
      <c r="N106" t="s">
        <v>1566</v>
      </c>
      <c r="O106">
        <v>0.22</v>
      </c>
      <c r="P106" t="s">
        <v>1567</v>
      </c>
      <c r="Q106">
        <v>2700</v>
      </c>
      <c r="R106" t="s">
        <v>1550</v>
      </c>
      <c r="S106" t="s">
        <v>1588</v>
      </c>
      <c r="T106">
        <v>75</v>
      </c>
      <c r="V106" t="s">
        <v>1592</v>
      </c>
    </row>
    <row r="107" spans="1:22" hidden="1" x14ac:dyDescent="0.25">
      <c r="A107">
        <v>2023</v>
      </c>
      <c r="B107" t="s">
        <v>772</v>
      </c>
      <c r="C107" t="s">
        <v>1591</v>
      </c>
      <c r="D107" t="s">
        <v>401</v>
      </c>
      <c r="E107" t="s">
        <v>1325</v>
      </c>
      <c r="G107" s="37" t="s">
        <v>375</v>
      </c>
      <c r="H107" s="37" t="s">
        <v>720</v>
      </c>
      <c r="I107" t="s">
        <v>125</v>
      </c>
      <c r="J107" t="s">
        <v>1570</v>
      </c>
      <c r="K107" t="s">
        <v>1573</v>
      </c>
      <c r="L107" s="28" t="s">
        <v>3005</v>
      </c>
      <c r="M107">
        <v>118900</v>
      </c>
      <c r="N107" t="s">
        <v>1566</v>
      </c>
      <c r="O107">
        <v>0.26</v>
      </c>
      <c r="P107" t="s">
        <v>1589</v>
      </c>
      <c r="Q107">
        <v>700</v>
      </c>
      <c r="R107" t="s">
        <v>1709</v>
      </c>
      <c r="S107" t="s">
        <v>1588</v>
      </c>
      <c r="T107">
        <v>93</v>
      </c>
      <c r="V107" t="s">
        <v>1592</v>
      </c>
    </row>
    <row r="108" spans="1:22" hidden="1" x14ac:dyDescent="0.25">
      <c r="A108">
        <v>2023</v>
      </c>
      <c r="B108" t="s">
        <v>772</v>
      </c>
      <c r="C108" t="s">
        <v>1591</v>
      </c>
      <c r="D108" t="s">
        <v>401</v>
      </c>
      <c r="E108" t="s">
        <v>1325</v>
      </c>
      <c r="G108" s="37" t="s">
        <v>375</v>
      </c>
      <c r="H108" s="37" t="s">
        <v>720</v>
      </c>
      <c r="I108" t="s">
        <v>16</v>
      </c>
      <c r="J108" t="s">
        <v>1570</v>
      </c>
      <c r="K108" t="s">
        <v>1573</v>
      </c>
      <c r="L108" s="28" t="s">
        <v>3005</v>
      </c>
      <c r="M108">
        <v>118900</v>
      </c>
      <c r="N108" t="s">
        <v>1566</v>
      </c>
      <c r="O108">
        <v>0.19</v>
      </c>
      <c r="P108" t="s">
        <v>1567</v>
      </c>
      <c r="Q108">
        <v>700</v>
      </c>
      <c r="R108" t="s">
        <v>1550</v>
      </c>
      <c r="S108" t="s">
        <v>1588</v>
      </c>
      <c r="T108">
        <v>75</v>
      </c>
      <c r="V108" t="s">
        <v>1592</v>
      </c>
    </row>
    <row r="109" spans="1:22" hidden="1" x14ac:dyDescent="0.25">
      <c r="A109">
        <v>2023</v>
      </c>
      <c r="B109" t="s">
        <v>772</v>
      </c>
      <c r="C109" t="s">
        <v>1591</v>
      </c>
      <c r="D109" t="s">
        <v>401</v>
      </c>
      <c r="E109" t="s">
        <v>1325</v>
      </c>
      <c r="G109" s="37" t="s">
        <v>375</v>
      </c>
      <c r="H109" s="37" t="s">
        <v>720</v>
      </c>
      <c r="I109" t="s">
        <v>125</v>
      </c>
      <c r="J109" t="s">
        <v>1570</v>
      </c>
      <c r="K109" t="s">
        <v>1571</v>
      </c>
      <c r="L109" s="28" t="s">
        <v>3005</v>
      </c>
      <c r="M109">
        <v>212800</v>
      </c>
      <c r="N109" t="s">
        <v>1566</v>
      </c>
      <c r="O109">
        <v>0.44</v>
      </c>
      <c r="P109" t="s">
        <v>1589</v>
      </c>
      <c r="Q109">
        <v>2100</v>
      </c>
      <c r="R109" t="s">
        <v>1709</v>
      </c>
      <c r="S109" t="s">
        <v>1588</v>
      </c>
      <c r="T109">
        <v>93</v>
      </c>
      <c r="V109" t="s">
        <v>1592</v>
      </c>
    </row>
    <row r="110" spans="1:22" hidden="1" x14ac:dyDescent="0.25">
      <c r="A110">
        <v>2023</v>
      </c>
      <c r="B110" t="s">
        <v>772</v>
      </c>
      <c r="C110" t="s">
        <v>1591</v>
      </c>
      <c r="D110" t="s">
        <v>401</v>
      </c>
      <c r="E110" t="s">
        <v>1325</v>
      </c>
      <c r="G110" s="37" t="s">
        <v>375</v>
      </c>
      <c r="H110" s="37" t="s">
        <v>720</v>
      </c>
      <c r="I110" t="s">
        <v>16</v>
      </c>
      <c r="J110" t="s">
        <v>1570</v>
      </c>
      <c r="K110" t="s">
        <v>1571</v>
      </c>
      <c r="L110" s="28" t="s">
        <v>3005</v>
      </c>
      <c r="M110">
        <v>212800</v>
      </c>
      <c r="N110" t="s">
        <v>1566</v>
      </c>
      <c r="O110">
        <v>0.28999999999999998</v>
      </c>
      <c r="P110" t="s">
        <v>1567</v>
      </c>
      <c r="Q110">
        <v>2000</v>
      </c>
      <c r="R110" t="s">
        <v>1550</v>
      </c>
      <c r="S110" t="s">
        <v>1588</v>
      </c>
      <c r="T110">
        <v>75</v>
      </c>
      <c r="V110" t="s">
        <v>1592</v>
      </c>
    </row>
    <row r="111" spans="1:22" hidden="1" x14ac:dyDescent="0.25">
      <c r="A111">
        <v>2024</v>
      </c>
      <c r="B111" t="s">
        <v>772</v>
      </c>
      <c r="C111" t="s">
        <v>135</v>
      </c>
      <c r="D111" t="s">
        <v>136</v>
      </c>
      <c r="E111" t="s">
        <v>1395</v>
      </c>
      <c r="G111" s="37" t="s">
        <v>11</v>
      </c>
      <c r="H111" s="37" t="s">
        <v>19</v>
      </c>
      <c r="I111" t="s">
        <v>125</v>
      </c>
      <c r="J111" t="s">
        <v>1564</v>
      </c>
      <c r="K111" t="s">
        <v>1565</v>
      </c>
      <c r="L111" s="28" t="s">
        <v>3005</v>
      </c>
      <c r="M111">
        <v>437</v>
      </c>
      <c r="N111" t="s">
        <v>3027</v>
      </c>
      <c r="O111">
        <v>0.26</v>
      </c>
      <c r="P111" t="s">
        <v>1589</v>
      </c>
      <c r="V111" t="s">
        <v>2366</v>
      </c>
    </row>
    <row r="112" spans="1:22" hidden="1" x14ac:dyDescent="0.25">
      <c r="A112">
        <v>2024</v>
      </c>
      <c r="B112" t="s">
        <v>772</v>
      </c>
      <c r="C112" t="s">
        <v>135</v>
      </c>
      <c r="D112" t="s">
        <v>136</v>
      </c>
      <c r="E112" t="s">
        <v>1395</v>
      </c>
      <c r="G112" s="37" t="s">
        <v>11</v>
      </c>
      <c r="H112" s="37" t="s">
        <v>19</v>
      </c>
      <c r="I112" t="s">
        <v>1869</v>
      </c>
      <c r="J112" t="s">
        <v>1564</v>
      </c>
      <c r="K112" t="s">
        <v>1565</v>
      </c>
      <c r="L112" s="28" t="s">
        <v>3005</v>
      </c>
      <c r="M112">
        <v>437</v>
      </c>
      <c r="N112" t="s">
        <v>3027</v>
      </c>
      <c r="O112">
        <v>0.22</v>
      </c>
      <c r="P112" t="s">
        <v>1589</v>
      </c>
      <c r="V112" t="s">
        <v>2366</v>
      </c>
    </row>
    <row r="113" spans="1:22" hidden="1" x14ac:dyDescent="0.25">
      <c r="A113">
        <v>2024</v>
      </c>
      <c r="B113" t="s">
        <v>772</v>
      </c>
      <c r="C113" t="s">
        <v>135</v>
      </c>
      <c r="D113" t="s">
        <v>136</v>
      </c>
      <c r="E113" t="s">
        <v>1395</v>
      </c>
      <c r="G113" s="37" t="s">
        <v>11</v>
      </c>
      <c r="H113" s="37" t="s">
        <v>19</v>
      </c>
      <c r="I113" t="s">
        <v>125</v>
      </c>
      <c r="J113" t="s">
        <v>1564</v>
      </c>
      <c r="K113" t="s">
        <v>1574</v>
      </c>
      <c r="L113" s="28" t="s">
        <v>3005</v>
      </c>
      <c r="M113">
        <v>168</v>
      </c>
      <c r="N113" t="s">
        <v>3027</v>
      </c>
      <c r="O113">
        <v>0.22</v>
      </c>
      <c r="P113" t="s">
        <v>1589</v>
      </c>
      <c r="V113" t="s">
        <v>2366</v>
      </c>
    </row>
    <row r="114" spans="1:22" hidden="1" x14ac:dyDescent="0.25">
      <c r="A114">
        <v>2024</v>
      </c>
      <c r="B114" t="s">
        <v>772</v>
      </c>
      <c r="C114" t="s">
        <v>135</v>
      </c>
      <c r="D114" t="s">
        <v>136</v>
      </c>
      <c r="E114" t="s">
        <v>1395</v>
      </c>
      <c r="G114" s="37" t="s">
        <v>11</v>
      </c>
      <c r="H114" s="37" t="s">
        <v>19</v>
      </c>
      <c r="I114" t="s">
        <v>1869</v>
      </c>
      <c r="J114" t="s">
        <v>1564</v>
      </c>
      <c r="K114" t="s">
        <v>1574</v>
      </c>
      <c r="L114" s="28" t="s">
        <v>3005</v>
      </c>
      <c r="M114">
        <v>168</v>
      </c>
      <c r="N114" t="s">
        <v>3027</v>
      </c>
      <c r="O114">
        <v>8.0000000000000002E-3</v>
      </c>
      <c r="P114" t="s">
        <v>1589</v>
      </c>
      <c r="V114" t="s">
        <v>2366</v>
      </c>
    </row>
    <row r="115" spans="1:22" hidden="1" x14ac:dyDescent="0.25">
      <c r="A115">
        <v>2024</v>
      </c>
      <c r="B115" t="s">
        <v>772</v>
      </c>
      <c r="C115" t="s">
        <v>135</v>
      </c>
      <c r="D115" t="s">
        <v>136</v>
      </c>
      <c r="E115" t="s">
        <v>1395</v>
      </c>
      <c r="G115" s="37" t="s">
        <v>11</v>
      </c>
      <c r="H115" s="37" t="s">
        <v>19</v>
      </c>
      <c r="I115" t="s">
        <v>125</v>
      </c>
      <c r="J115" t="s">
        <v>1564</v>
      </c>
      <c r="K115" t="s">
        <v>1574</v>
      </c>
      <c r="L115" s="28" t="s">
        <v>3005</v>
      </c>
      <c r="M115">
        <v>5</v>
      </c>
      <c r="N115" t="s">
        <v>3027</v>
      </c>
      <c r="O115">
        <v>0.11</v>
      </c>
      <c r="P115" t="s">
        <v>1589</v>
      </c>
      <c r="V115" t="s">
        <v>2366</v>
      </c>
    </row>
    <row r="116" spans="1:22" hidden="1" x14ac:dyDescent="0.25">
      <c r="A116">
        <v>2024</v>
      </c>
      <c r="B116" t="s">
        <v>772</v>
      </c>
      <c r="C116" t="s">
        <v>135</v>
      </c>
      <c r="D116" t="s">
        <v>136</v>
      </c>
      <c r="E116" t="s">
        <v>1395</v>
      </c>
      <c r="G116" s="37" t="s">
        <v>11</v>
      </c>
      <c r="H116" s="37" t="s">
        <v>19</v>
      </c>
      <c r="I116" t="s">
        <v>125</v>
      </c>
      <c r="J116" t="s">
        <v>1570</v>
      </c>
      <c r="K116" t="s">
        <v>1571</v>
      </c>
      <c r="L116" s="28" t="s">
        <v>3005</v>
      </c>
      <c r="M116">
        <v>767</v>
      </c>
      <c r="N116" t="s">
        <v>3027</v>
      </c>
      <c r="O116">
        <v>0.25</v>
      </c>
      <c r="P116" t="s">
        <v>1589</v>
      </c>
      <c r="V116" t="s">
        <v>2366</v>
      </c>
    </row>
    <row r="117" spans="1:22" hidden="1" x14ac:dyDescent="0.25">
      <c r="A117">
        <v>2024</v>
      </c>
      <c r="B117" t="s">
        <v>772</v>
      </c>
      <c r="C117" t="s">
        <v>135</v>
      </c>
      <c r="D117" t="s">
        <v>136</v>
      </c>
      <c r="E117" t="s">
        <v>1395</v>
      </c>
      <c r="G117" s="37" t="s">
        <v>11</v>
      </c>
      <c r="H117" s="37" t="s">
        <v>19</v>
      </c>
      <c r="I117" t="s">
        <v>1869</v>
      </c>
      <c r="J117" t="s">
        <v>1570</v>
      </c>
      <c r="K117" t="s">
        <v>1571</v>
      </c>
      <c r="L117" s="28" t="s">
        <v>3005</v>
      </c>
      <c r="M117">
        <v>767</v>
      </c>
      <c r="N117" t="s">
        <v>3027</v>
      </c>
      <c r="O117">
        <v>8.0000000000000002E-3</v>
      </c>
      <c r="P117" t="s">
        <v>1589</v>
      </c>
      <c r="V117" t="s">
        <v>2366</v>
      </c>
    </row>
    <row r="118" spans="1:22" hidden="1" x14ac:dyDescent="0.25">
      <c r="A118">
        <v>2024</v>
      </c>
      <c r="B118" t="s">
        <v>772</v>
      </c>
      <c r="C118" t="s">
        <v>135</v>
      </c>
      <c r="D118" t="s">
        <v>136</v>
      </c>
      <c r="E118" t="s">
        <v>1395</v>
      </c>
      <c r="G118" s="37" t="s">
        <v>11</v>
      </c>
      <c r="H118" s="37" t="s">
        <v>19</v>
      </c>
      <c r="I118" t="s">
        <v>125</v>
      </c>
      <c r="J118" t="s">
        <v>1570</v>
      </c>
      <c r="K118" t="s">
        <v>1572</v>
      </c>
      <c r="L118" s="28" t="s">
        <v>3005</v>
      </c>
      <c r="M118">
        <v>342</v>
      </c>
      <c r="N118" t="s">
        <v>3027</v>
      </c>
      <c r="O118">
        <v>0.23</v>
      </c>
      <c r="P118" t="s">
        <v>1589</v>
      </c>
      <c r="V118" t="s">
        <v>2969</v>
      </c>
    </row>
    <row r="119" spans="1:22" hidden="1" x14ac:dyDescent="0.25">
      <c r="A119">
        <v>2024</v>
      </c>
      <c r="B119" t="s">
        <v>772</v>
      </c>
      <c r="C119" t="s">
        <v>135</v>
      </c>
      <c r="D119" t="s">
        <v>136</v>
      </c>
      <c r="E119" t="s">
        <v>1395</v>
      </c>
      <c r="G119" s="37" t="s">
        <v>11</v>
      </c>
      <c r="H119" s="37" t="s">
        <v>19</v>
      </c>
      <c r="I119" t="s">
        <v>1869</v>
      </c>
      <c r="J119" t="s">
        <v>1570</v>
      </c>
      <c r="K119" t="s">
        <v>1572</v>
      </c>
      <c r="L119" s="28" t="s">
        <v>3005</v>
      </c>
      <c r="M119">
        <v>342</v>
      </c>
      <c r="N119" t="s">
        <v>3027</v>
      </c>
      <c r="O119">
        <v>7.0000000000000001E-3</v>
      </c>
      <c r="P119" t="s">
        <v>1589</v>
      </c>
      <c r="V119" t="s">
        <v>2969</v>
      </c>
    </row>
    <row r="120" spans="1:22" hidden="1" x14ac:dyDescent="0.25">
      <c r="A120">
        <v>2024</v>
      </c>
      <c r="B120" t="s">
        <v>772</v>
      </c>
      <c r="C120" t="s">
        <v>14</v>
      </c>
      <c r="D120" t="s">
        <v>66</v>
      </c>
      <c r="E120" t="s">
        <v>1124</v>
      </c>
      <c r="G120" s="37" t="s">
        <v>11</v>
      </c>
      <c r="H120" s="37" t="s">
        <v>13</v>
      </c>
      <c r="I120" t="s">
        <v>64</v>
      </c>
      <c r="J120" t="s">
        <v>1564</v>
      </c>
      <c r="K120" t="s">
        <v>1565</v>
      </c>
      <c r="L120" s="28" t="s">
        <v>3005</v>
      </c>
      <c r="M120">
        <v>6318</v>
      </c>
      <c r="N120" t="s">
        <v>1566</v>
      </c>
      <c r="O120">
        <v>1.34</v>
      </c>
      <c r="P120" t="s">
        <v>1567</v>
      </c>
      <c r="Q120">
        <v>273</v>
      </c>
      <c r="R120" t="s">
        <v>1550</v>
      </c>
      <c r="T120">
        <f>(86.9+77)/2</f>
        <v>81.95</v>
      </c>
      <c r="V120" t="s">
        <v>1568</v>
      </c>
    </row>
    <row r="121" spans="1:22" hidden="1" x14ac:dyDescent="0.25">
      <c r="A121">
        <v>2024</v>
      </c>
      <c r="B121" t="s">
        <v>772</v>
      </c>
      <c r="C121" t="s">
        <v>14</v>
      </c>
      <c r="D121" t="s">
        <v>66</v>
      </c>
      <c r="E121" t="s">
        <v>1124</v>
      </c>
      <c r="G121" s="37" t="s">
        <v>11</v>
      </c>
      <c r="H121" s="37" t="s">
        <v>13</v>
      </c>
      <c r="I121" t="s">
        <v>64</v>
      </c>
      <c r="J121" t="s">
        <v>1564</v>
      </c>
      <c r="K121" t="s">
        <v>1569</v>
      </c>
      <c r="L121" s="28" t="s">
        <v>3005</v>
      </c>
      <c r="M121">
        <v>14085</v>
      </c>
      <c r="N121" t="s">
        <v>1566</v>
      </c>
      <c r="O121">
        <v>1.44</v>
      </c>
      <c r="P121" t="s">
        <v>1567</v>
      </c>
      <c r="Q121">
        <v>654</v>
      </c>
      <c r="R121" t="s">
        <v>1550</v>
      </c>
      <c r="T121">
        <f>(86.9+77)/2</f>
        <v>81.95</v>
      </c>
      <c r="V121" t="s">
        <v>1568</v>
      </c>
    </row>
    <row r="122" spans="1:22" hidden="1" x14ac:dyDescent="0.25">
      <c r="A122">
        <v>2024</v>
      </c>
      <c r="B122" t="s">
        <v>772</v>
      </c>
      <c r="C122" t="s">
        <v>14</v>
      </c>
      <c r="D122" t="s">
        <v>66</v>
      </c>
      <c r="E122" t="s">
        <v>1124</v>
      </c>
      <c r="G122" s="37" t="s">
        <v>11</v>
      </c>
      <c r="H122" s="37" t="s">
        <v>13</v>
      </c>
      <c r="I122" t="s">
        <v>64</v>
      </c>
      <c r="J122" t="s">
        <v>1570</v>
      </c>
      <c r="K122" t="s">
        <v>1571</v>
      </c>
      <c r="L122" s="28" t="s">
        <v>3005</v>
      </c>
      <c r="M122">
        <v>12360</v>
      </c>
      <c r="N122" t="s">
        <v>1566</v>
      </c>
      <c r="O122">
        <v>1.86</v>
      </c>
      <c r="P122" t="s">
        <v>1567</v>
      </c>
      <c r="Q122">
        <v>739</v>
      </c>
      <c r="R122" t="s">
        <v>1550</v>
      </c>
      <c r="V122" t="s">
        <v>1568</v>
      </c>
    </row>
    <row r="123" spans="1:22" hidden="1" x14ac:dyDescent="0.25">
      <c r="A123">
        <v>2024</v>
      </c>
      <c r="B123" t="s">
        <v>772</v>
      </c>
      <c r="C123" t="s">
        <v>14</v>
      </c>
      <c r="D123" t="s">
        <v>66</v>
      </c>
      <c r="E123" t="s">
        <v>1124</v>
      </c>
      <c r="G123" s="37" t="s">
        <v>11</v>
      </c>
      <c r="H123" s="37" t="s">
        <v>13</v>
      </c>
      <c r="I123" t="s">
        <v>64</v>
      </c>
      <c r="J123" t="s">
        <v>1570</v>
      </c>
      <c r="K123" t="s">
        <v>1572</v>
      </c>
      <c r="L123" s="28" t="s">
        <v>3005</v>
      </c>
      <c r="M123">
        <v>22270</v>
      </c>
      <c r="N123" t="s">
        <v>1566</v>
      </c>
      <c r="O123">
        <v>1.33</v>
      </c>
      <c r="P123" t="s">
        <v>1567</v>
      </c>
      <c r="Q123">
        <v>955</v>
      </c>
      <c r="R123" t="s">
        <v>1550</v>
      </c>
      <c r="V123" t="s">
        <v>1568</v>
      </c>
    </row>
    <row r="124" spans="1:22" hidden="1" x14ac:dyDescent="0.25">
      <c r="A124">
        <v>2024</v>
      </c>
      <c r="B124" t="s">
        <v>772</v>
      </c>
      <c r="C124" t="s">
        <v>14</v>
      </c>
      <c r="D124" t="s">
        <v>66</v>
      </c>
      <c r="E124" t="s">
        <v>1124</v>
      </c>
      <c r="G124" s="37" t="s">
        <v>11</v>
      </c>
      <c r="H124" s="37" t="s">
        <v>13</v>
      </c>
      <c r="I124" t="s">
        <v>64</v>
      </c>
      <c r="J124" t="s">
        <v>1570</v>
      </c>
      <c r="K124" t="s">
        <v>1573</v>
      </c>
      <c r="L124" s="28" t="s">
        <v>3005</v>
      </c>
      <c r="M124">
        <v>16946</v>
      </c>
      <c r="N124" t="s">
        <v>1566</v>
      </c>
      <c r="O124">
        <v>1.62</v>
      </c>
      <c r="P124" t="s">
        <v>1567</v>
      </c>
      <c r="Q124">
        <v>885</v>
      </c>
      <c r="R124" t="s">
        <v>1550</v>
      </c>
      <c r="V124" t="s">
        <v>1568</v>
      </c>
    </row>
    <row r="125" spans="1:22" hidden="1" x14ac:dyDescent="0.25">
      <c r="A125">
        <v>2023</v>
      </c>
      <c r="B125" t="s">
        <v>772</v>
      </c>
      <c r="C125" t="s">
        <v>27</v>
      </c>
      <c r="D125" t="s">
        <v>28</v>
      </c>
      <c r="E125" t="s">
        <v>1166</v>
      </c>
      <c r="G125" s="37" t="s">
        <v>11</v>
      </c>
      <c r="H125" s="37" t="s">
        <v>23</v>
      </c>
      <c r="I125" t="s">
        <v>16</v>
      </c>
      <c r="J125" s="28" t="s">
        <v>1564</v>
      </c>
      <c r="K125" s="28" t="s">
        <v>1565</v>
      </c>
      <c r="L125" s="28" t="s">
        <v>3005</v>
      </c>
      <c r="M125">
        <v>0.28999999999999998</v>
      </c>
      <c r="N125" t="s">
        <v>1641</v>
      </c>
      <c r="O125">
        <v>3.84</v>
      </c>
      <c r="P125" t="s">
        <v>1567</v>
      </c>
      <c r="Q125">
        <v>3.5999999999999997E-2</v>
      </c>
      <c r="R125" t="s">
        <v>1836</v>
      </c>
      <c r="V125" t="s">
        <v>1648</v>
      </c>
    </row>
    <row r="126" spans="1:22" hidden="1" x14ac:dyDescent="0.25">
      <c r="A126">
        <v>2023</v>
      </c>
      <c r="B126" t="s">
        <v>772</v>
      </c>
      <c r="C126" t="s">
        <v>27</v>
      </c>
      <c r="D126" t="s">
        <v>28</v>
      </c>
      <c r="E126" t="s">
        <v>1166</v>
      </c>
      <c r="G126" s="37" t="s">
        <v>11</v>
      </c>
      <c r="H126" s="37" t="s">
        <v>23</v>
      </c>
      <c r="I126" t="s">
        <v>16</v>
      </c>
      <c r="J126" s="28" t="s">
        <v>1564</v>
      </c>
      <c r="K126" s="28" t="s">
        <v>1574</v>
      </c>
      <c r="L126" s="28" t="s">
        <v>3005</v>
      </c>
      <c r="M126">
        <v>31</v>
      </c>
      <c r="N126" t="s">
        <v>1641</v>
      </c>
      <c r="O126">
        <v>1.6</v>
      </c>
      <c r="P126" t="s">
        <v>1567</v>
      </c>
      <c r="Q126">
        <v>1.6</v>
      </c>
      <c r="R126" t="s">
        <v>1836</v>
      </c>
      <c r="V126" t="s">
        <v>2967</v>
      </c>
    </row>
    <row r="127" spans="1:22" hidden="1" x14ac:dyDescent="0.25">
      <c r="A127">
        <v>2023</v>
      </c>
      <c r="B127" t="s">
        <v>772</v>
      </c>
      <c r="C127" t="s">
        <v>27</v>
      </c>
      <c r="D127" t="s">
        <v>28</v>
      </c>
      <c r="E127" t="s">
        <v>1166</v>
      </c>
      <c r="G127" s="37" t="s">
        <v>11</v>
      </c>
      <c r="H127" s="37" t="s">
        <v>23</v>
      </c>
      <c r="I127" t="s">
        <v>16</v>
      </c>
      <c r="J127" s="28" t="s">
        <v>1570</v>
      </c>
      <c r="K127" s="28" t="s">
        <v>1571</v>
      </c>
      <c r="L127" s="28" t="s">
        <v>3005</v>
      </c>
      <c r="M127">
        <v>3.9</v>
      </c>
      <c r="N127" t="s">
        <v>1641</v>
      </c>
      <c r="O127">
        <v>4.37</v>
      </c>
      <c r="P127" t="s">
        <v>1567</v>
      </c>
      <c r="Q127">
        <v>0.55000000000000004</v>
      </c>
      <c r="R127" t="s">
        <v>1836</v>
      </c>
      <c r="V127" t="s">
        <v>2967</v>
      </c>
    </row>
    <row r="128" spans="1:22" hidden="1" x14ac:dyDescent="0.25">
      <c r="A128">
        <v>2023</v>
      </c>
      <c r="B128" t="s">
        <v>772</v>
      </c>
      <c r="C128" t="s">
        <v>27</v>
      </c>
      <c r="D128" t="s">
        <v>28</v>
      </c>
      <c r="E128" t="s">
        <v>1166</v>
      </c>
      <c r="G128" s="37" t="s">
        <v>11</v>
      </c>
      <c r="H128" s="37" t="s">
        <v>23</v>
      </c>
      <c r="I128" t="s">
        <v>16</v>
      </c>
      <c r="J128" s="28" t="s">
        <v>1570</v>
      </c>
      <c r="K128" s="28" t="s">
        <v>1572</v>
      </c>
      <c r="L128" s="28" t="s">
        <v>3005</v>
      </c>
      <c r="M128">
        <v>60</v>
      </c>
      <c r="N128" t="s">
        <v>1641</v>
      </c>
      <c r="O128">
        <v>1.49</v>
      </c>
      <c r="P128" t="s">
        <v>1567</v>
      </c>
      <c r="Q128">
        <v>2.9</v>
      </c>
      <c r="R128" t="s">
        <v>1836</v>
      </c>
      <c r="V128" t="s">
        <v>2967</v>
      </c>
    </row>
    <row r="129" spans="1:22" hidden="1" x14ac:dyDescent="0.25">
      <c r="A129">
        <v>2023</v>
      </c>
      <c r="B129" t="s">
        <v>772</v>
      </c>
      <c r="C129" t="s">
        <v>27</v>
      </c>
      <c r="D129" t="s">
        <v>28</v>
      </c>
      <c r="E129" t="s">
        <v>1166</v>
      </c>
      <c r="G129" s="37" t="s">
        <v>11</v>
      </c>
      <c r="H129" s="37" t="s">
        <v>23</v>
      </c>
      <c r="I129" t="s">
        <v>16</v>
      </c>
      <c r="J129" s="28" t="s">
        <v>1570</v>
      </c>
      <c r="K129" s="28" t="s">
        <v>1573</v>
      </c>
      <c r="L129" s="28" t="s">
        <v>3005</v>
      </c>
      <c r="M129">
        <v>8.5</v>
      </c>
      <c r="N129" t="s">
        <v>1641</v>
      </c>
      <c r="O129">
        <v>2.2999999999999998</v>
      </c>
      <c r="P129" t="s">
        <v>1567</v>
      </c>
      <c r="Q129">
        <v>0.62</v>
      </c>
      <c r="R129" t="s">
        <v>1836</v>
      </c>
      <c r="V129" t="s">
        <v>2967</v>
      </c>
    </row>
    <row r="130" spans="1:22" hidden="1" x14ac:dyDescent="0.25">
      <c r="A130">
        <v>2024</v>
      </c>
      <c r="B130" t="s">
        <v>1537</v>
      </c>
      <c r="C130" t="s">
        <v>715</v>
      </c>
      <c r="D130" s="11" t="s">
        <v>1767</v>
      </c>
      <c r="F130" t="s">
        <v>2909</v>
      </c>
      <c r="G130" s="37" t="s">
        <v>1846</v>
      </c>
      <c r="H130" s="37" t="s">
        <v>2964</v>
      </c>
      <c r="I130" s="11" t="s">
        <v>1772</v>
      </c>
      <c r="J130" s="11" t="s">
        <v>1570</v>
      </c>
      <c r="K130" s="11" t="s">
        <v>1571</v>
      </c>
      <c r="L130" s="28" t="s">
        <v>3005</v>
      </c>
      <c r="M130" s="11">
        <v>9.6</v>
      </c>
      <c r="N130" s="11" t="s">
        <v>1641</v>
      </c>
      <c r="O130" s="11"/>
      <c r="P130" s="11"/>
      <c r="V130" t="s">
        <v>2270</v>
      </c>
    </row>
    <row r="131" spans="1:22" hidden="1" x14ac:dyDescent="0.25">
      <c r="A131">
        <v>2024</v>
      </c>
      <c r="B131" t="s">
        <v>1537</v>
      </c>
      <c r="C131" t="s">
        <v>715</v>
      </c>
      <c r="D131" s="11" t="s">
        <v>1767</v>
      </c>
      <c r="F131" t="s">
        <v>2935</v>
      </c>
      <c r="G131" s="37" t="s">
        <v>1846</v>
      </c>
      <c r="H131" s="37" t="s">
        <v>2964</v>
      </c>
      <c r="I131" s="11" t="s">
        <v>557</v>
      </c>
      <c r="J131" s="11" t="s">
        <v>1570</v>
      </c>
      <c r="K131" s="11" t="s">
        <v>1571</v>
      </c>
      <c r="L131" s="28" t="s">
        <v>3005</v>
      </c>
      <c r="M131" s="11"/>
      <c r="N131" s="11" t="s">
        <v>1641</v>
      </c>
      <c r="O131" s="11">
        <v>2.9</v>
      </c>
      <c r="P131" s="11" t="s">
        <v>1589</v>
      </c>
      <c r="V131" t="s">
        <v>2270</v>
      </c>
    </row>
    <row r="132" spans="1:22" hidden="1" x14ac:dyDescent="0.25">
      <c r="A132">
        <v>2024</v>
      </c>
      <c r="B132" t="s">
        <v>1537</v>
      </c>
      <c r="C132" t="s">
        <v>715</v>
      </c>
      <c r="D132" s="11" t="s">
        <v>1767</v>
      </c>
      <c r="F132" t="s">
        <v>2936</v>
      </c>
      <c r="G132" s="37" t="s">
        <v>1846</v>
      </c>
      <c r="H132" s="37" t="s">
        <v>2964</v>
      </c>
      <c r="I132" s="11" t="s">
        <v>125</v>
      </c>
      <c r="J132" s="11" t="s">
        <v>1570</v>
      </c>
      <c r="K132" s="11" t="s">
        <v>1571</v>
      </c>
      <c r="L132" s="28" t="s">
        <v>3005</v>
      </c>
      <c r="M132" s="11"/>
      <c r="N132" s="11" t="s">
        <v>1641</v>
      </c>
      <c r="O132" s="11">
        <v>0.82</v>
      </c>
      <c r="P132" s="11" t="s">
        <v>1589</v>
      </c>
      <c r="V132" t="s">
        <v>2270</v>
      </c>
    </row>
    <row r="133" spans="1:22" hidden="1" x14ac:dyDescent="0.25">
      <c r="A133">
        <v>2024</v>
      </c>
      <c r="B133" t="s">
        <v>1537</v>
      </c>
      <c r="C133" t="s">
        <v>715</v>
      </c>
      <c r="D133" s="11" t="s">
        <v>1767</v>
      </c>
      <c r="F133" t="s">
        <v>2937</v>
      </c>
      <c r="G133" s="37" t="s">
        <v>1846</v>
      </c>
      <c r="H133" s="37" t="s">
        <v>2964</v>
      </c>
      <c r="I133" s="11" t="s">
        <v>1765</v>
      </c>
      <c r="J133" s="11" t="s">
        <v>1570</v>
      </c>
      <c r="K133" s="11" t="s">
        <v>1571</v>
      </c>
      <c r="L133" s="28" t="s">
        <v>3005</v>
      </c>
      <c r="M133" s="11"/>
      <c r="N133" s="11" t="s">
        <v>1641</v>
      </c>
      <c r="O133" s="11">
        <v>7.0000000000000007E-2</v>
      </c>
      <c r="P133" s="11" t="s">
        <v>1589</v>
      </c>
      <c r="V133" t="s">
        <v>2270</v>
      </c>
    </row>
    <row r="134" spans="1:22" hidden="1" x14ac:dyDescent="0.25">
      <c r="A134">
        <v>2024</v>
      </c>
      <c r="B134" t="s">
        <v>1537</v>
      </c>
      <c r="C134" t="s">
        <v>715</v>
      </c>
      <c r="D134" s="11" t="s">
        <v>1767</v>
      </c>
      <c r="F134" t="s">
        <v>2938</v>
      </c>
      <c r="G134" s="37" t="s">
        <v>1846</v>
      </c>
      <c r="H134" s="37" t="s">
        <v>2964</v>
      </c>
      <c r="I134" s="11" t="s">
        <v>1768</v>
      </c>
      <c r="J134" s="11" t="s">
        <v>1570</v>
      </c>
      <c r="K134" s="11" t="s">
        <v>1571</v>
      </c>
      <c r="L134" s="28" t="s">
        <v>3005</v>
      </c>
      <c r="M134" s="11"/>
      <c r="N134" s="11" t="s">
        <v>1641</v>
      </c>
      <c r="O134" s="11">
        <v>0.81</v>
      </c>
      <c r="P134" s="11" t="s">
        <v>1567</v>
      </c>
      <c r="V134" t="s">
        <v>2270</v>
      </c>
    </row>
    <row r="135" spans="1:22" hidden="1" x14ac:dyDescent="0.25">
      <c r="A135">
        <v>2024</v>
      </c>
      <c r="B135" t="s">
        <v>1537</v>
      </c>
      <c r="C135" t="s">
        <v>715</v>
      </c>
      <c r="D135" s="11" t="s">
        <v>1767</v>
      </c>
      <c r="F135" t="s">
        <v>2939</v>
      </c>
      <c r="G135" s="37" t="s">
        <v>1846</v>
      </c>
      <c r="H135" s="37" t="s">
        <v>2964</v>
      </c>
      <c r="I135" s="11" t="s">
        <v>1769</v>
      </c>
      <c r="J135" s="11" t="s">
        <v>1570</v>
      </c>
      <c r="K135" s="11" t="s">
        <v>1571</v>
      </c>
      <c r="L135" s="28" t="s">
        <v>3005</v>
      </c>
      <c r="M135" s="11"/>
      <c r="N135" s="11" t="s">
        <v>1641</v>
      </c>
      <c r="O135" s="11">
        <v>1.9</v>
      </c>
      <c r="P135" s="11" t="s">
        <v>1567</v>
      </c>
      <c r="V135" t="s">
        <v>2270</v>
      </c>
    </row>
    <row r="136" spans="1:22" hidden="1" x14ac:dyDescent="0.25">
      <c r="A136">
        <v>2024</v>
      </c>
      <c r="B136" t="s">
        <v>1537</v>
      </c>
      <c r="C136" t="s">
        <v>715</v>
      </c>
      <c r="D136" s="11" t="s">
        <v>1767</v>
      </c>
      <c r="F136" t="s">
        <v>2940</v>
      </c>
      <c r="G136" s="37" t="s">
        <v>1846</v>
      </c>
      <c r="H136" s="37" t="s">
        <v>2964</v>
      </c>
      <c r="I136" s="11" t="s">
        <v>1772</v>
      </c>
      <c r="J136" s="11" t="s">
        <v>1570</v>
      </c>
      <c r="K136" s="11" t="s">
        <v>1572</v>
      </c>
      <c r="L136" s="28" t="s">
        <v>3005</v>
      </c>
      <c r="M136" s="11">
        <v>35.9</v>
      </c>
      <c r="N136" s="11" t="s">
        <v>1641</v>
      </c>
      <c r="O136" s="11"/>
      <c r="P136" s="11"/>
      <c r="V136" t="s">
        <v>2270</v>
      </c>
    </row>
    <row r="137" spans="1:22" hidden="1" x14ac:dyDescent="0.25">
      <c r="A137">
        <v>2024</v>
      </c>
      <c r="B137" t="s">
        <v>1537</v>
      </c>
      <c r="C137" t="s">
        <v>715</v>
      </c>
      <c r="D137" s="11" t="s">
        <v>1767</v>
      </c>
      <c r="F137" t="s">
        <v>2941</v>
      </c>
      <c r="G137" s="37" t="s">
        <v>1846</v>
      </c>
      <c r="H137" s="37" t="s">
        <v>2964</v>
      </c>
      <c r="I137" s="11" t="s">
        <v>557</v>
      </c>
      <c r="J137" s="11" t="s">
        <v>1570</v>
      </c>
      <c r="K137" s="11" t="s">
        <v>1572</v>
      </c>
      <c r="L137" s="28" t="s">
        <v>3005</v>
      </c>
      <c r="M137" s="11"/>
      <c r="N137" s="11" t="s">
        <v>1641</v>
      </c>
      <c r="O137" s="11">
        <v>2.52</v>
      </c>
      <c r="P137" s="11" t="s">
        <v>1589</v>
      </c>
      <c r="V137" t="s">
        <v>2270</v>
      </c>
    </row>
    <row r="138" spans="1:22" hidden="1" x14ac:dyDescent="0.25">
      <c r="A138">
        <v>2024</v>
      </c>
      <c r="B138" t="s">
        <v>1537</v>
      </c>
      <c r="C138" t="s">
        <v>715</v>
      </c>
      <c r="D138" s="11" t="s">
        <v>1767</v>
      </c>
      <c r="F138" t="s">
        <v>2942</v>
      </c>
      <c r="G138" s="37" t="s">
        <v>1846</v>
      </c>
      <c r="H138" s="37" t="s">
        <v>2964</v>
      </c>
      <c r="I138" s="11" t="s">
        <v>125</v>
      </c>
      <c r="J138" s="11" t="s">
        <v>1570</v>
      </c>
      <c r="K138" s="11" t="s">
        <v>1572</v>
      </c>
      <c r="L138" s="28" t="s">
        <v>3005</v>
      </c>
      <c r="M138" s="11"/>
      <c r="N138" s="11" t="s">
        <v>1641</v>
      </c>
      <c r="O138" s="11">
        <v>2</v>
      </c>
      <c r="P138" s="11" t="s">
        <v>1589</v>
      </c>
      <c r="V138" t="s">
        <v>2270</v>
      </c>
    </row>
    <row r="139" spans="1:22" hidden="1" x14ac:dyDescent="0.25">
      <c r="A139">
        <v>2024</v>
      </c>
      <c r="B139" t="s">
        <v>1537</v>
      </c>
      <c r="C139" t="s">
        <v>715</v>
      </c>
      <c r="D139" s="11" t="s">
        <v>1767</v>
      </c>
      <c r="F139" t="s">
        <v>2943</v>
      </c>
      <c r="G139" s="37" t="s">
        <v>1846</v>
      </c>
      <c r="H139" s="37" t="s">
        <v>2964</v>
      </c>
      <c r="I139" s="11" t="s">
        <v>1765</v>
      </c>
      <c r="J139" s="11" t="s">
        <v>1570</v>
      </c>
      <c r="K139" s="11" t="s">
        <v>1572</v>
      </c>
      <c r="L139" s="28" t="s">
        <v>3005</v>
      </c>
      <c r="M139" s="11"/>
      <c r="N139" s="11" t="s">
        <v>1641</v>
      </c>
      <c r="O139" s="11">
        <v>0.05</v>
      </c>
      <c r="P139" s="11" t="s">
        <v>1589</v>
      </c>
      <c r="V139" t="s">
        <v>2270</v>
      </c>
    </row>
    <row r="140" spans="1:22" hidden="1" x14ac:dyDescent="0.25">
      <c r="A140">
        <v>2024</v>
      </c>
      <c r="B140" t="s">
        <v>1537</v>
      </c>
      <c r="C140" t="s">
        <v>715</v>
      </c>
      <c r="D140" s="11" t="s">
        <v>1767</v>
      </c>
      <c r="F140" t="s">
        <v>2944</v>
      </c>
      <c r="G140" s="37" t="s">
        <v>1846</v>
      </c>
      <c r="H140" s="37" t="s">
        <v>2964</v>
      </c>
      <c r="I140" s="11" t="s">
        <v>1768</v>
      </c>
      <c r="J140" s="11" t="s">
        <v>1570</v>
      </c>
      <c r="K140" s="11" t="s">
        <v>1572</v>
      </c>
      <c r="L140" s="28" t="s">
        <v>3005</v>
      </c>
      <c r="M140" s="11"/>
      <c r="N140" s="11" t="s">
        <v>1641</v>
      </c>
      <c r="O140" s="11">
        <v>1</v>
      </c>
      <c r="P140" s="11" t="s">
        <v>1567</v>
      </c>
      <c r="V140" t="s">
        <v>2270</v>
      </c>
    </row>
    <row r="141" spans="1:22" hidden="1" x14ac:dyDescent="0.25">
      <c r="A141">
        <v>2024</v>
      </c>
      <c r="B141" t="s">
        <v>1537</v>
      </c>
      <c r="C141" t="s">
        <v>715</v>
      </c>
      <c r="D141" s="11" t="s">
        <v>1767</v>
      </c>
      <c r="F141" t="s">
        <v>2945</v>
      </c>
      <c r="G141" s="37" t="s">
        <v>1846</v>
      </c>
      <c r="H141" s="37" t="s">
        <v>2964</v>
      </c>
      <c r="I141" s="11" t="s">
        <v>1769</v>
      </c>
      <c r="J141" s="11" t="s">
        <v>1570</v>
      </c>
      <c r="K141" s="11" t="s">
        <v>1572</v>
      </c>
      <c r="L141" s="28" t="s">
        <v>3005</v>
      </c>
      <c r="M141" s="11"/>
      <c r="N141" s="11" t="s">
        <v>1641</v>
      </c>
      <c r="O141" s="11">
        <v>1.07</v>
      </c>
      <c r="P141" s="11" t="s">
        <v>1567</v>
      </c>
      <c r="V141" t="s">
        <v>2270</v>
      </c>
    </row>
    <row r="142" spans="1:22" hidden="1" x14ac:dyDescent="0.25">
      <c r="A142">
        <v>2024</v>
      </c>
      <c r="B142" t="s">
        <v>1537</v>
      </c>
      <c r="C142" t="s">
        <v>715</v>
      </c>
      <c r="D142" s="11" t="s">
        <v>1767</v>
      </c>
      <c r="F142" t="s">
        <v>2946</v>
      </c>
      <c r="G142" s="37" t="s">
        <v>1846</v>
      </c>
      <c r="H142" s="37" t="s">
        <v>2964</v>
      </c>
      <c r="I142" s="11" t="s">
        <v>1772</v>
      </c>
      <c r="J142" s="11" t="s">
        <v>1570</v>
      </c>
      <c r="K142" s="11" t="s">
        <v>1573</v>
      </c>
      <c r="L142" s="28" t="s">
        <v>3005</v>
      </c>
      <c r="M142" s="11">
        <v>60</v>
      </c>
      <c r="N142" s="11" t="s">
        <v>1641</v>
      </c>
      <c r="O142" s="11"/>
      <c r="P142" s="11"/>
      <c r="V142" t="s">
        <v>2270</v>
      </c>
    </row>
    <row r="143" spans="1:22" hidden="1" x14ac:dyDescent="0.25">
      <c r="A143">
        <v>2024</v>
      </c>
      <c r="B143" t="s">
        <v>1537</v>
      </c>
      <c r="C143" t="s">
        <v>715</v>
      </c>
      <c r="D143" s="11" t="s">
        <v>1767</v>
      </c>
      <c r="F143" t="s">
        <v>2947</v>
      </c>
      <c r="G143" s="37" t="s">
        <v>1846</v>
      </c>
      <c r="H143" s="37" t="s">
        <v>2964</v>
      </c>
      <c r="I143" s="11" t="s">
        <v>557</v>
      </c>
      <c r="J143" s="11" t="s">
        <v>1570</v>
      </c>
      <c r="K143" s="11" t="s">
        <v>1573</v>
      </c>
      <c r="L143" s="28" t="s">
        <v>3005</v>
      </c>
      <c r="M143" s="11"/>
      <c r="N143" s="11" t="s">
        <v>1641</v>
      </c>
      <c r="O143" s="11">
        <v>1.46</v>
      </c>
      <c r="P143" s="11" t="s">
        <v>1589</v>
      </c>
      <c r="V143" t="s">
        <v>2270</v>
      </c>
    </row>
    <row r="144" spans="1:22" hidden="1" x14ac:dyDescent="0.25">
      <c r="A144">
        <v>2024</v>
      </c>
      <c r="B144" t="s">
        <v>1537</v>
      </c>
      <c r="C144" t="s">
        <v>715</v>
      </c>
      <c r="D144" s="11" t="s">
        <v>1767</v>
      </c>
      <c r="F144" t="s">
        <v>2948</v>
      </c>
      <c r="G144" s="37" t="s">
        <v>1846</v>
      </c>
      <c r="H144" s="37" t="s">
        <v>2964</v>
      </c>
      <c r="I144" s="11" t="s">
        <v>125</v>
      </c>
      <c r="J144" s="11" t="s">
        <v>1570</v>
      </c>
      <c r="K144" s="11" t="s">
        <v>1573</v>
      </c>
      <c r="L144" s="28" t="s">
        <v>3005</v>
      </c>
      <c r="M144" s="11"/>
      <c r="N144" s="11" t="s">
        <v>1641</v>
      </c>
      <c r="O144" s="11">
        <v>1.63</v>
      </c>
      <c r="P144" s="11" t="s">
        <v>1589</v>
      </c>
      <c r="V144" t="s">
        <v>2270</v>
      </c>
    </row>
    <row r="145" spans="1:22" hidden="1" x14ac:dyDescent="0.25">
      <c r="A145">
        <v>2024</v>
      </c>
      <c r="B145" t="s">
        <v>1537</v>
      </c>
      <c r="C145" t="s">
        <v>715</v>
      </c>
      <c r="D145" s="11" t="s">
        <v>1767</v>
      </c>
      <c r="F145" t="s">
        <v>2949</v>
      </c>
      <c r="G145" s="37" t="s">
        <v>1846</v>
      </c>
      <c r="H145" s="37" t="s">
        <v>2964</v>
      </c>
      <c r="I145" s="11" t="s">
        <v>1765</v>
      </c>
      <c r="J145" s="11" t="s">
        <v>1570</v>
      </c>
      <c r="K145" s="11" t="s">
        <v>1573</v>
      </c>
      <c r="L145" s="28" t="s">
        <v>3005</v>
      </c>
      <c r="M145" s="11"/>
      <c r="N145" s="11" t="s">
        <v>1641</v>
      </c>
      <c r="O145" s="11">
        <v>0.03</v>
      </c>
      <c r="P145" s="11" t="s">
        <v>1589</v>
      </c>
      <c r="V145" t="s">
        <v>2270</v>
      </c>
    </row>
    <row r="146" spans="1:22" hidden="1" x14ac:dyDescent="0.25">
      <c r="A146">
        <v>2024</v>
      </c>
      <c r="B146" t="s">
        <v>1537</v>
      </c>
      <c r="C146" t="s">
        <v>715</v>
      </c>
      <c r="D146" s="11" t="s">
        <v>1767</v>
      </c>
      <c r="F146" t="s">
        <v>2950</v>
      </c>
      <c r="G146" s="37" t="s">
        <v>1846</v>
      </c>
      <c r="H146" s="37" t="s">
        <v>2964</v>
      </c>
      <c r="I146" s="11" t="s">
        <v>1768</v>
      </c>
      <c r="J146" s="11" t="s">
        <v>1570</v>
      </c>
      <c r="K146" s="11" t="s">
        <v>1573</v>
      </c>
      <c r="L146" s="28" t="s">
        <v>3005</v>
      </c>
      <c r="M146" s="11"/>
      <c r="N146" s="11" t="s">
        <v>1641</v>
      </c>
      <c r="O146" s="11">
        <v>0.69</v>
      </c>
      <c r="P146" s="11" t="s">
        <v>1567</v>
      </c>
      <c r="V146" t="s">
        <v>2270</v>
      </c>
    </row>
    <row r="147" spans="1:22" hidden="1" x14ac:dyDescent="0.25">
      <c r="A147">
        <v>2024</v>
      </c>
      <c r="B147" t="s">
        <v>1537</v>
      </c>
      <c r="C147" t="s">
        <v>715</v>
      </c>
      <c r="D147" s="11" t="s">
        <v>1767</v>
      </c>
      <c r="F147" t="s">
        <v>2951</v>
      </c>
      <c r="G147" s="37" t="s">
        <v>1846</v>
      </c>
      <c r="H147" s="37" t="s">
        <v>2964</v>
      </c>
      <c r="I147" s="11" t="s">
        <v>1769</v>
      </c>
      <c r="J147" s="11" t="s">
        <v>1570</v>
      </c>
      <c r="K147" s="11" t="s">
        <v>1573</v>
      </c>
      <c r="L147" s="28" t="s">
        <v>3005</v>
      </c>
      <c r="M147" s="11"/>
      <c r="N147" s="11" t="s">
        <v>1641</v>
      </c>
      <c r="O147" s="11">
        <v>1.1000000000000001</v>
      </c>
      <c r="P147" s="11" t="s">
        <v>1567</v>
      </c>
      <c r="V147" t="s">
        <v>2270</v>
      </c>
    </row>
    <row r="148" spans="1:22" hidden="1" x14ac:dyDescent="0.25">
      <c r="A148">
        <v>2024</v>
      </c>
      <c r="B148" t="s">
        <v>1537</v>
      </c>
      <c r="C148" t="s">
        <v>715</v>
      </c>
      <c r="D148" s="11" t="s">
        <v>1767</v>
      </c>
      <c r="F148" t="s">
        <v>2952</v>
      </c>
      <c r="G148" s="37" t="s">
        <v>1846</v>
      </c>
      <c r="H148" s="37" t="s">
        <v>2964</v>
      </c>
      <c r="I148" s="11" t="s">
        <v>1772</v>
      </c>
      <c r="J148" s="11" t="s">
        <v>1564</v>
      </c>
      <c r="K148" s="11" t="s">
        <v>1771</v>
      </c>
      <c r="L148" s="28" t="s">
        <v>3005</v>
      </c>
      <c r="M148" s="11">
        <v>9.9</v>
      </c>
      <c r="N148" s="11" t="s">
        <v>1641</v>
      </c>
      <c r="O148" s="11"/>
      <c r="P148" s="11"/>
      <c r="V148" t="s">
        <v>2270</v>
      </c>
    </row>
    <row r="149" spans="1:22" hidden="1" x14ac:dyDescent="0.25">
      <c r="A149">
        <v>2024</v>
      </c>
      <c r="B149" t="s">
        <v>1537</v>
      </c>
      <c r="C149" t="s">
        <v>715</v>
      </c>
      <c r="D149" s="11" t="s">
        <v>1767</v>
      </c>
      <c r="F149" t="s">
        <v>2953</v>
      </c>
      <c r="G149" s="37" t="s">
        <v>1846</v>
      </c>
      <c r="H149" s="37" t="s">
        <v>2964</v>
      </c>
      <c r="I149" s="11" t="s">
        <v>557</v>
      </c>
      <c r="J149" s="11" t="s">
        <v>1564</v>
      </c>
      <c r="K149" s="11" t="s">
        <v>1771</v>
      </c>
      <c r="L149" s="28" t="s">
        <v>3005</v>
      </c>
      <c r="M149" s="11"/>
      <c r="N149" s="11" t="s">
        <v>1641</v>
      </c>
      <c r="O149" s="11">
        <v>2.36</v>
      </c>
      <c r="P149" s="11" t="s">
        <v>1589</v>
      </c>
      <c r="V149" t="s">
        <v>2270</v>
      </c>
    </row>
    <row r="150" spans="1:22" hidden="1" x14ac:dyDescent="0.25">
      <c r="A150">
        <v>2024</v>
      </c>
      <c r="B150" t="s">
        <v>1537</v>
      </c>
      <c r="C150" t="s">
        <v>715</v>
      </c>
      <c r="D150" s="11" t="s">
        <v>1767</v>
      </c>
      <c r="F150" t="s">
        <v>2954</v>
      </c>
      <c r="G150" s="37" t="s">
        <v>1846</v>
      </c>
      <c r="H150" s="37" t="s">
        <v>2964</v>
      </c>
      <c r="I150" s="11" t="s">
        <v>125</v>
      </c>
      <c r="J150" s="11" t="s">
        <v>1564</v>
      </c>
      <c r="K150" s="11" t="s">
        <v>1771</v>
      </c>
      <c r="L150" s="28" t="s">
        <v>3005</v>
      </c>
      <c r="M150" s="11"/>
      <c r="N150" s="11" t="s">
        <v>1641</v>
      </c>
      <c r="O150" s="11">
        <v>0.67</v>
      </c>
      <c r="P150" s="11" t="s">
        <v>1589</v>
      </c>
      <c r="V150" t="s">
        <v>2270</v>
      </c>
    </row>
    <row r="151" spans="1:22" hidden="1" x14ac:dyDescent="0.25">
      <c r="A151">
        <v>2024</v>
      </c>
      <c r="B151" t="s">
        <v>1537</v>
      </c>
      <c r="C151" t="s">
        <v>715</v>
      </c>
      <c r="D151" s="11" t="s">
        <v>1767</v>
      </c>
      <c r="F151" t="s">
        <v>2955</v>
      </c>
      <c r="G151" s="37" t="s">
        <v>1846</v>
      </c>
      <c r="H151" s="37" t="s">
        <v>2964</v>
      </c>
      <c r="I151" s="11" t="s">
        <v>1765</v>
      </c>
      <c r="J151" s="11" t="s">
        <v>1564</v>
      </c>
      <c r="K151" s="11" t="s">
        <v>1771</v>
      </c>
      <c r="L151" s="28" t="s">
        <v>3005</v>
      </c>
      <c r="M151" s="11"/>
      <c r="N151" s="11" t="s">
        <v>1641</v>
      </c>
      <c r="O151" s="11">
        <v>0.05</v>
      </c>
      <c r="P151" s="11" t="s">
        <v>1589</v>
      </c>
      <c r="V151" t="s">
        <v>2270</v>
      </c>
    </row>
    <row r="152" spans="1:22" hidden="1" x14ac:dyDescent="0.25">
      <c r="A152">
        <v>2024</v>
      </c>
      <c r="B152" t="s">
        <v>1537</v>
      </c>
      <c r="C152" t="s">
        <v>715</v>
      </c>
      <c r="D152" s="11" t="s">
        <v>1767</v>
      </c>
      <c r="F152" t="s">
        <v>2956</v>
      </c>
      <c r="G152" s="37" t="s">
        <v>1846</v>
      </c>
      <c r="H152" s="37" t="s">
        <v>2964</v>
      </c>
      <c r="I152" s="11" t="s">
        <v>1768</v>
      </c>
      <c r="J152" s="11" t="s">
        <v>1564</v>
      </c>
      <c r="K152" s="11" t="s">
        <v>1771</v>
      </c>
      <c r="L152" s="28" t="s">
        <v>3005</v>
      </c>
      <c r="M152" s="11"/>
      <c r="N152" s="11" t="s">
        <v>1641</v>
      </c>
      <c r="O152" s="11">
        <v>0.68</v>
      </c>
      <c r="P152" s="11" t="s">
        <v>1567</v>
      </c>
      <c r="V152" t="s">
        <v>2270</v>
      </c>
    </row>
    <row r="153" spans="1:22" hidden="1" x14ac:dyDescent="0.25">
      <c r="A153">
        <v>2024</v>
      </c>
      <c r="B153" t="s">
        <v>1537</v>
      </c>
      <c r="C153" t="s">
        <v>715</v>
      </c>
      <c r="D153" s="11" t="s">
        <v>1767</v>
      </c>
      <c r="F153" t="s">
        <v>2957</v>
      </c>
      <c r="G153" s="37" t="s">
        <v>1846</v>
      </c>
      <c r="H153" s="37" t="s">
        <v>2964</v>
      </c>
      <c r="I153" s="11" t="s">
        <v>1769</v>
      </c>
      <c r="J153" s="11" t="s">
        <v>1564</v>
      </c>
      <c r="K153" s="11" t="s">
        <v>1771</v>
      </c>
      <c r="L153" s="28" t="s">
        <v>3005</v>
      </c>
      <c r="M153" s="11"/>
      <c r="N153" s="11" t="s">
        <v>1641</v>
      </c>
      <c r="O153" s="11">
        <v>1.6</v>
      </c>
      <c r="P153" s="11" t="s">
        <v>1567</v>
      </c>
      <c r="V153" t="s">
        <v>2270</v>
      </c>
    </row>
    <row r="154" spans="1:22" hidden="1" x14ac:dyDescent="0.25">
      <c r="A154">
        <v>2024</v>
      </c>
      <c r="B154" t="s">
        <v>1537</v>
      </c>
      <c r="C154" t="s">
        <v>715</v>
      </c>
      <c r="D154" s="11" t="s">
        <v>1767</v>
      </c>
      <c r="F154" t="s">
        <v>2958</v>
      </c>
      <c r="G154" s="37" t="s">
        <v>1846</v>
      </c>
      <c r="H154" s="37" t="s">
        <v>2964</v>
      </c>
      <c r="I154" s="11" t="s">
        <v>1772</v>
      </c>
      <c r="J154" s="11" t="s">
        <v>1564</v>
      </c>
      <c r="K154" s="11" t="s">
        <v>1574</v>
      </c>
      <c r="L154" s="28" t="s">
        <v>3005</v>
      </c>
      <c r="M154" s="11">
        <v>21.5</v>
      </c>
      <c r="N154" s="11" t="s">
        <v>1641</v>
      </c>
      <c r="O154" s="11"/>
      <c r="P154" s="11"/>
      <c r="V154" t="s">
        <v>2270</v>
      </c>
    </row>
    <row r="155" spans="1:22" hidden="1" x14ac:dyDescent="0.25">
      <c r="A155">
        <v>2024</v>
      </c>
      <c r="B155" t="s">
        <v>1537</v>
      </c>
      <c r="C155" t="s">
        <v>715</v>
      </c>
      <c r="D155" s="11" t="s">
        <v>1767</v>
      </c>
      <c r="F155" t="s">
        <v>2959</v>
      </c>
      <c r="G155" s="37" t="s">
        <v>1846</v>
      </c>
      <c r="H155" s="37" t="s">
        <v>2964</v>
      </c>
      <c r="I155" s="11" t="s">
        <v>557</v>
      </c>
      <c r="J155" s="11" t="s">
        <v>1564</v>
      </c>
      <c r="K155" s="11" t="s">
        <v>1574</v>
      </c>
      <c r="L155" s="28" t="s">
        <v>3005</v>
      </c>
      <c r="M155" s="11"/>
      <c r="N155" s="11" t="s">
        <v>1641</v>
      </c>
      <c r="O155" s="11">
        <v>2.02</v>
      </c>
      <c r="P155" s="11" t="s">
        <v>1589</v>
      </c>
      <c r="V155" t="s">
        <v>2270</v>
      </c>
    </row>
    <row r="156" spans="1:22" hidden="1" x14ac:dyDescent="0.25">
      <c r="A156">
        <v>2024</v>
      </c>
      <c r="B156" t="s">
        <v>1537</v>
      </c>
      <c r="C156" t="s">
        <v>715</v>
      </c>
      <c r="D156" s="11" t="s">
        <v>1767</v>
      </c>
      <c r="F156" t="s">
        <v>2960</v>
      </c>
      <c r="G156" s="37" t="s">
        <v>1846</v>
      </c>
      <c r="H156" s="37" t="s">
        <v>2964</v>
      </c>
      <c r="I156" s="11" t="s">
        <v>125</v>
      </c>
      <c r="J156" s="11" t="s">
        <v>1564</v>
      </c>
      <c r="K156" s="11" t="s">
        <v>1574</v>
      </c>
      <c r="L156" s="28" t="s">
        <v>3005</v>
      </c>
      <c r="M156" s="11"/>
      <c r="N156" s="11" t="s">
        <v>1641</v>
      </c>
      <c r="O156" s="11">
        <v>0.87</v>
      </c>
      <c r="P156" s="11" t="s">
        <v>1589</v>
      </c>
      <c r="V156" t="s">
        <v>2270</v>
      </c>
    </row>
    <row r="157" spans="1:22" hidden="1" x14ac:dyDescent="0.25">
      <c r="A157">
        <v>2024</v>
      </c>
      <c r="B157" t="s">
        <v>1537</v>
      </c>
      <c r="C157" t="s">
        <v>715</v>
      </c>
      <c r="D157" s="11" t="s">
        <v>1767</v>
      </c>
      <c r="F157" t="s">
        <v>2961</v>
      </c>
      <c r="G157" s="37" t="s">
        <v>1846</v>
      </c>
      <c r="H157" s="37" t="s">
        <v>2964</v>
      </c>
      <c r="I157" s="11" t="s">
        <v>1765</v>
      </c>
      <c r="J157" s="11" t="s">
        <v>1564</v>
      </c>
      <c r="K157" s="11" t="s">
        <v>1574</v>
      </c>
      <c r="L157" s="28" t="s">
        <v>3005</v>
      </c>
      <c r="M157" s="11"/>
      <c r="N157" s="11" t="s">
        <v>1641</v>
      </c>
      <c r="O157" s="11">
        <v>0.05</v>
      </c>
      <c r="P157" s="11" t="s">
        <v>1589</v>
      </c>
      <c r="V157" t="s">
        <v>2270</v>
      </c>
    </row>
    <row r="158" spans="1:22" hidden="1" x14ac:dyDescent="0.25">
      <c r="A158">
        <v>2024</v>
      </c>
      <c r="B158" t="s">
        <v>1537</v>
      </c>
      <c r="C158" t="s">
        <v>715</v>
      </c>
      <c r="D158" s="11" t="s">
        <v>1767</v>
      </c>
      <c r="F158" t="s">
        <v>2962</v>
      </c>
      <c r="G158" s="37" t="s">
        <v>1846</v>
      </c>
      <c r="H158" s="37" t="s">
        <v>2964</v>
      </c>
      <c r="I158" s="11" t="s">
        <v>1768</v>
      </c>
      <c r="J158" s="11" t="s">
        <v>1564</v>
      </c>
      <c r="K158" s="11" t="s">
        <v>1574</v>
      </c>
      <c r="L158" s="28" t="s">
        <v>3005</v>
      </c>
      <c r="M158" s="11"/>
      <c r="N158" s="11" t="s">
        <v>1641</v>
      </c>
      <c r="O158" s="11">
        <v>0.5</v>
      </c>
      <c r="P158" s="11" t="s">
        <v>1567</v>
      </c>
      <c r="V158" t="s">
        <v>2270</v>
      </c>
    </row>
    <row r="159" spans="1:22" hidden="1" x14ac:dyDescent="0.25">
      <c r="A159">
        <v>2024</v>
      </c>
      <c r="B159" t="s">
        <v>1537</v>
      </c>
      <c r="C159" t="s">
        <v>715</v>
      </c>
      <c r="D159" s="11" t="s">
        <v>1767</v>
      </c>
      <c r="F159" t="s">
        <v>2963</v>
      </c>
      <c r="G159" s="37" t="s">
        <v>1846</v>
      </c>
      <c r="H159" s="37" t="s">
        <v>2964</v>
      </c>
      <c r="I159" s="11" t="s">
        <v>1769</v>
      </c>
      <c r="J159" s="11" t="s">
        <v>1564</v>
      </c>
      <c r="K159" s="11" t="s">
        <v>1574</v>
      </c>
      <c r="L159" s="28" t="s">
        <v>3005</v>
      </c>
      <c r="M159" s="11"/>
      <c r="N159" s="11" t="s">
        <v>1641</v>
      </c>
      <c r="O159" s="11">
        <v>0.83</v>
      </c>
      <c r="P159" s="11" t="s">
        <v>1567</v>
      </c>
      <c r="V159" t="s">
        <v>2270</v>
      </c>
    </row>
    <row r="160" spans="1:22" hidden="1" x14ac:dyDescent="0.25">
      <c r="A160">
        <v>2024</v>
      </c>
      <c r="B160" t="s">
        <v>772</v>
      </c>
      <c r="C160" t="s">
        <v>736</v>
      </c>
      <c r="D160" t="s">
        <v>25</v>
      </c>
      <c r="E160" t="s">
        <v>1135</v>
      </c>
      <c r="G160" s="37" t="s">
        <v>11</v>
      </c>
      <c r="H160" s="37" t="s">
        <v>13</v>
      </c>
      <c r="I160" t="s">
        <v>16</v>
      </c>
      <c r="J160" t="s">
        <v>1564</v>
      </c>
      <c r="K160" t="s">
        <v>1600</v>
      </c>
      <c r="L160" s="28" t="s">
        <v>3005</v>
      </c>
      <c r="M160">
        <v>6232</v>
      </c>
      <c r="N160" t="s">
        <v>1566</v>
      </c>
      <c r="O160">
        <v>11.4</v>
      </c>
      <c r="P160" t="s">
        <v>1567</v>
      </c>
      <c r="Q160">
        <v>2285</v>
      </c>
      <c r="R160" t="s">
        <v>1550</v>
      </c>
      <c r="V160" t="s">
        <v>1601</v>
      </c>
    </row>
    <row r="161" spans="1:22" hidden="1" x14ac:dyDescent="0.25">
      <c r="A161">
        <v>2024</v>
      </c>
      <c r="B161" t="s">
        <v>772</v>
      </c>
      <c r="C161" t="s">
        <v>736</v>
      </c>
      <c r="D161" t="s">
        <v>25</v>
      </c>
      <c r="E161" t="s">
        <v>1135</v>
      </c>
      <c r="G161" s="37" t="s">
        <v>11</v>
      </c>
      <c r="H161" s="37" t="s">
        <v>13</v>
      </c>
      <c r="I161" t="s">
        <v>16</v>
      </c>
      <c r="J161" t="s">
        <v>1570</v>
      </c>
      <c r="K161" t="s">
        <v>1602</v>
      </c>
      <c r="L161" s="28" t="s">
        <v>3005</v>
      </c>
      <c r="M161">
        <v>2113</v>
      </c>
      <c r="N161" t="s">
        <v>1566</v>
      </c>
      <c r="O161">
        <v>8.76</v>
      </c>
      <c r="P161" t="s">
        <v>1567</v>
      </c>
      <c r="Q161">
        <v>601</v>
      </c>
      <c r="R161" t="s">
        <v>1550</v>
      </c>
      <c r="V161" t="s">
        <v>1601</v>
      </c>
    </row>
    <row r="162" spans="1:22" hidden="1" x14ac:dyDescent="0.25">
      <c r="A162">
        <v>2024</v>
      </c>
      <c r="B162" t="s">
        <v>772</v>
      </c>
      <c r="C162" t="s">
        <v>8</v>
      </c>
      <c r="D162" t="s">
        <v>9</v>
      </c>
      <c r="E162" t="s">
        <v>1263</v>
      </c>
      <c r="G162" s="37" t="s">
        <v>11</v>
      </c>
      <c r="H162" s="37" t="s">
        <v>23</v>
      </c>
      <c r="I162" t="s">
        <v>1549</v>
      </c>
      <c r="J162" t="s">
        <v>1564</v>
      </c>
      <c r="K162" t="s">
        <v>1565</v>
      </c>
      <c r="L162" s="28" t="s">
        <v>3005</v>
      </c>
      <c r="M162">
        <v>13</v>
      </c>
      <c r="N162" t="s">
        <v>1566</v>
      </c>
      <c r="O162">
        <v>28.1</v>
      </c>
      <c r="P162" t="s">
        <v>1905</v>
      </c>
      <c r="Q162">
        <v>364</v>
      </c>
      <c r="R162" t="s">
        <v>1550</v>
      </c>
      <c r="V162" t="s">
        <v>1906</v>
      </c>
    </row>
    <row r="163" spans="1:22" hidden="1" x14ac:dyDescent="0.25">
      <c r="A163">
        <v>2024</v>
      </c>
      <c r="B163" t="s">
        <v>772</v>
      </c>
      <c r="C163" t="s">
        <v>8</v>
      </c>
      <c r="D163" t="s">
        <v>9</v>
      </c>
      <c r="E163" t="s">
        <v>1263</v>
      </c>
      <c r="G163" s="37" t="s">
        <v>11</v>
      </c>
      <c r="H163" s="37" t="s">
        <v>23</v>
      </c>
      <c r="I163" t="s">
        <v>1615</v>
      </c>
      <c r="J163" t="s">
        <v>1564</v>
      </c>
      <c r="K163" t="s">
        <v>1565</v>
      </c>
      <c r="L163" s="28" t="s">
        <v>3005</v>
      </c>
      <c r="M163">
        <v>13</v>
      </c>
      <c r="N163" t="s">
        <v>1566</v>
      </c>
      <c r="O163">
        <v>3</v>
      </c>
      <c r="P163" t="s">
        <v>1589</v>
      </c>
      <c r="Q163">
        <v>380</v>
      </c>
      <c r="R163" t="s">
        <v>1546</v>
      </c>
      <c r="V163" t="s">
        <v>1906</v>
      </c>
    </row>
    <row r="164" spans="1:22" hidden="1" x14ac:dyDescent="0.25">
      <c r="A164">
        <v>2024</v>
      </c>
      <c r="B164" t="s">
        <v>772</v>
      </c>
      <c r="C164" t="s">
        <v>8</v>
      </c>
      <c r="D164" t="s">
        <v>9</v>
      </c>
      <c r="E164" t="s">
        <v>1263</v>
      </c>
      <c r="G164" s="37" t="s">
        <v>11</v>
      </c>
      <c r="H164" s="37" t="s">
        <v>23</v>
      </c>
      <c r="I164" t="s">
        <v>1551</v>
      </c>
      <c r="J164" t="s">
        <v>1564</v>
      </c>
      <c r="K164" t="s">
        <v>1565</v>
      </c>
      <c r="L164" s="28" t="s">
        <v>3005</v>
      </c>
      <c r="M164">
        <v>13</v>
      </c>
      <c r="N164" t="s">
        <v>1566</v>
      </c>
      <c r="O164">
        <v>1.6</v>
      </c>
      <c r="P164" t="s">
        <v>1589</v>
      </c>
      <c r="Q164">
        <v>200</v>
      </c>
      <c r="R164" t="s">
        <v>1546</v>
      </c>
      <c r="V164" t="s">
        <v>1906</v>
      </c>
    </row>
    <row r="165" spans="1:22" hidden="1" x14ac:dyDescent="0.25">
      <c r="A165">
        <v>2024</v>
      </c>
      <c r="B165" t="s">
        <v>772</v>
      </c>
      <c r="C165" t="s">
        <v>8</v>
      </c>
      <c r="D165" t="s">
        <v>9</v>
      </c>
      <c r="E165" t="s">
        <v>1263</v>
      </c>
      <c r="G165" s="37" t="s">
        <v>11</v>
      </c>
      <c r="H165" s="37" t="s">
        <v>23</v>
      </c>
      <c r="I165" t="s">
        <v>1549</v>
      </c>
      <c r="J165" t="s">
        <v>1564</v>
      </c>
      <c r="K165" t="s">
        <v>1574</v>
      </c>
      <c r="L165" s="28" t="s">
        <v>3005</v>
      </c>
      <c r="M165">
        <v>2630</v>
      </c>
      <c r="N165" t="s">
        <v>1566</v>
      </c>
      <c r="O165">
        <v>24.3</v>
      </c>
      <c r="P165" t="s">
        <v>1905</v>
      </c>
      <c r="Q165">
        <v>63914</v>
      </c>
      <c r="R165" t="s">
        <v>1550</v>
      </c>
      <c r="V165" t="s">
        <v>1906</v>
      </c>
    </row>
    <row r="166" spans="1:22" hidden="1" x14ac:dyDescent="0.25">
      <c r="A166">
        <v>2024</v>
      </c>
      <c r="B166" t="s">
        <v>772</v>
      </c>
      <c r="C166" t="s">
        <v>8</v>
      </c>
      <c r="D166" t="s">
        <v>9</v>
      </c>
      <c r="E166" t="s">
        <v>1263</v>
      </c>
      <c r="G166" s="37" t="s">
        <v>11</v>
      </c>
      <c r="H166" s="37" t="s">
        <v>23</v>
      </c>
      <c r="I166" t="s">
        <v>16</v>
      </c>
      <c r="J166" t="s">
        <v>1564</v>
      </c>
      <c r="K166" t="s">
        <v>1574</v>
      </c>
      <c r="L166" s="28" t="s">
        <v>3005</v>
      </c>
      <c r="M166">
        <v>2630</v>
      </c>
      <c r="N166" t="s">
        <v>1566</v>
      </c>
      <c r="O166">
        <v>0.01</v>
      </c>
      <c r="P166" t="s">
        <v>1905</v>
      </c>
      <c r="Q166">
        <v>17</v>
      </c>
      <c r="R166" t="s">
        <v>1550</v>
      </c>
      <c r="V166" t="s">
        <v>1906</v>
      </c>
    </row>
    <row r="167" spans="1:22" hidden="1" x14ac:dyDescent="0.25">
      <c r="A167">
        <v>2024</v>
      </c>
      <c r="B167" t="s">
        <v>772</v>
      </c>
      <c r="C167" t="s">
        <v>8</v>
      </c>
      <c r="D167" t="s">
        <v>9</v>
      </c>
      <c r="E167" t="s">
        <v>1263</v>
      </c>
      <c r="G167" s="37" t="s">
        <v>11</v>
      </c>
      <c r="H167" s="37" t="s">
        <v>23</v>
      </c>
      <c r="I167" t="s">
        <v>1615</v>
      </c>
      <c r="J167" t="s">
        <v>1564</v>
      </c>
      <c r="K167" t="s">
        <v>1574</v>
      </c>
      <c r="L167" s="28" t="s">
        <v>3005</v>
      </c>
      <c r="M167">
        <v>2630</v>
      </c>
      <c r="N167" t="s">
        <v>1566</v>
      </c>
      <c r="O167">
        <v>2.4</v>
      </c>
      <c r="P167" t="s">
        <v>1589</v>
      </c>
      <c r="Q167">
        <v>63440</v>
      </c>
      <c r="R167" t="s">
        <v>1546</v>
      </c>
      <c r="V167" t="s">
        <v>1906</v>
      </c>
    </row>
    <row r="168" spans="1:22" hidden="1" x14ac:dyDescent="0.25">
      <c r="A168">
        <v>2024</v>
      </c>
      <c r="B168" t="s">
        <v>772</v>
      </c>
      <c r="C168" t="s">
        <v>8</v>
      </c>
      <c r="D168" t="s">
        <v>9</v>
      </c>
      <c r="E168" t="s">
        <v>1263</v>
      </c>
      <c r="G168" s="37" t="s">
        <v>11</v>
      </c>
      <c r="H168" s="37" t="s">
        <v>23</v>
      </c>
      <c r="I168" t="s">
        <v>1551</v>
      </c>
      <c r="J168" t="s">
        <v>1564</v>
      </c>
      <c r="K168" t="s">
        <v>1574</v>
      </c>
      <c r="L168" s="28" t="s">
        <v>3005</v>
      </c>
      <c r="M168">
        <v>2630</v>
      </c>
      <c r="N168" t="s">
        <v>1566</v>
      </c>
      <c r="O168">
        <v>2.4</v>
      </c>
      <c r="P168" t="s">
        <v>1589</v>
      </c>
      <c r="Q168">
        <v>62790</v>
      </c>
      <c r="R168" t="s">
        <v>1546</v>
      </c>
      <c r="V168" t="s">
        <v>1906</v>
      </c>
    </row>
    <row r="169" spans="1:22" hidden="1" x14ac:dyDescent="0.25">
      <c r="A169">
        <v>2024</v>
      </c>
      <c r="B169" t="s">
        <v>772</v>
      </c>
      <c r="C169" t="s">
        <v>8</v>
      </c>
      <c r="D169" t="s">
        <v>9</v>
      </c>
      <c r="E169" t="s">
        <v>1263</v>
      </c>
      <c r="G169" s="37" t="s">
        <v>11</v>
      </c>
      <c r="H169" s="37" t="s">
        <v>23</v>
      </c>
      <c r="I169" t="s">
        <v>1549</v>
      </c>
      <c r="J169" t="s">
        <v>1570</v>
      </c>
      <c r="K169" t="s">
        <v>1572</v>
      </c>
      <c r="L169" s="28" t="s">
        <v>3005</v>
      </c>
      <c r="M169">
        <v>1050</v>
      </c>
      <c r="N169" t="s">
        <v>1566</v>
      </c>
      <c r="O169">
        <v>13.7</v>
      </c>
      <c r="P169" t="s">
        <v>1905</v>
      </c>
      <c r="Q169">
        <v>14431</v>
      </c>
      <c r="R169" t="s">
        <v>1550</v>
      </c>
      <c r="V169" t="s">
        <v>1906</v>
      </c>
    </row>
    <row r="170" spans="1:22" hidden="1" x14ac:dyDescent="0.25">
      <c r="A170">
        <v>2024</v>
      </c>
      <c r="B170" t="s">
        <v>772</v>
      </c>
      <c r="C170" t="s">
        <v>8</v>
      </c>
      <c r="D170" t="s">
        <v>9</v>
      </c>
      <c r="E170" t="s">
        <v>1263</v>
      </c>
      <c r="G170" s="37" t="s">
        <v>11</v>
      </c>
      <c r="H170" s="37" t="s">
        <v>23</v>
      </c>
      <c r="I170" t="s">
        <v>16</v>
      </c>
      <c r="J170" t="s">
        <v>1570</v>
      </c>
      <c r="K170" t="s">
        <v>1572</v>
      </c>
      <c r="L170" s="28" t="s">
        <v>3005</v>
      </c>
      <c r="M170">
        <v>1050</v>
      </c>
      <c r="N170" t="s">
        <v>1566</v>
      </c>
      <c r="O170">
        <v>0.01</v>
      </c>
      <c r="P170" t="s">
        <v>1905</v>
      </c>
      <c r="Q170">
        <v>12</v>
      </c>
      <c r="R170" t="s">
        <v>1550</v>
      </c>
      <c r="V170" t="s">
        <v>1906</v>
      </c>
    </row>
    <row r="171" spans="1:22" hidden="1" x14ac:dyDescent="0.25">
      <c r="A171">
        <v>2024</v>
      </c>
      <c r="B171" t="s">
        <v>772</v>
      </c>
      <c r="C171" t="s">
        <v>8</v>
      </c>
      <c r="D171" t="s">
        <v>9</v>
      </c>
      <c r="E171" t="s">
        <v>1263</v>
      </c>
      <c r="G171" s="37" t="s">
        <v>11</v>
      </c>
      <c r="H171" s="37" t="s">
        <v>23</v>
      </c>
      <c r="I171" t="s">
        <v>1615</v>
      </c>
      <c r="J171" t="s">
        <v>1570</v>
      </c>
      <c r="K171" t="s">
        <v>1572</v>
      </c>
      <c r="L171" s="28" t="s">
        <v>3005</v>
      </c>
      <c r="M171">
        <v>1050</v>
      </c>
      <c r="N171" t="s">
        <v>1566</v>
      </c>
      <c r="O171">
        <v>1.1000000000000001</v>
      </c>
      <c r="P171" t="s">
        <v>1589</v>
      </c>
      <c r="Q171">
        <v>11610</v>
      </c>
      <c r="R171" t="s">
        <v>1546</v>
      </c>
      <c r="V171" t="s">
        <v>1906</v>
      </c>
    </row>
    <row r="172" spans="1:22" hidden="1" x14ac:dyDescent="0.25">
      <c r="A172">
        <v>2024</v>
      </c>
      <c r="B172" t="s">
        <v>772</v>
      </c>
      <c r="C172" t="s">
        <v>8</v>
      </c>
      <c r="D172" t="s">
        <v>9</v>
      </c>
      <c r="E172" t="s">
        <v>1263</v>
      </c>
      <c r="G172" s="37" t="s">
        <v>11</v>
      </c>
      <c r="H172" s="37" t="s">
        <v>23</v>
      </c>
      <c r="I172" t="s">
        <v>1551</v>
      </c>
      <c r="J172" t="s">
        <v>1570</v>
      </c>
      <c r="K172" t="s">
        <v>1572</v>
      </c>
      <c r="L172" s="28" t="s">
        <v>3005</v>
      </c>
      <c r="M172">
        <v>1050</v>
      </c>
      <c r="N172" t="s">
        <v>1566</v>
      </c>
      <c r="O172">
        <v>2.1</v>
      </c>
      <c r="P172" t="s">
        <v>1589</v>
      </c>
      <c r="Q172">
        <v>22460</v>
      </c>
      <c r="R172" t="s">
        <v>1546</v>
      </c>
      <c r="V172" t="s">
        <v>1906</v>
      </c>
    </row>
    <row r="173" spans="1:22" hidden="1" x14ac:dyDescent="0.25">
      <c r="A173">
        <v>2024</v>
      </c>
      <c r="B173" t="s">
        <v>772</v>
      </c>
      <c r="C173" t="s">
        <v>8</v>
      </c>
      <c r="D173" t="s">
        <v>9</v>
      </c>
      <c r="E173" t="s">
        <v>1263</v>
      </c>
      <c r="G173" s="37" t="s">
        <v>11</v>
      </c>
      <c r="H173" s="37" t="s">
        <v>23</v>
      </c>
      <c r="I173" t="s">
        <v>1549</v>
      </c>
      <c r="J173" t="s">
        <v>1570</v>
      </c>
      <c r="K173" t="s">
        <v>1573</v>
      </c>
      <c r="L173" s="28" t="s">
        <v>3005</v>
      </c>
      <c r="M173">
        <v>1300</v>
      </c>
      <c r="N173" t="s">
        <v>1566</v>
      </c>
      <c r="O173">
        <v>14.8</v>
      </c>
      <c r="P173" t="s">
        <v>1905</v>
      </c>
      <c r="Q173">
        <v>19270</v>
      </c>
      <c r="R173" t="s">
        <v>1550</v>
      </c>
      <c r="V173" t="s">
        <v>1906</v>
      </c>
    </row>
    <row r="174" spans="1:22" hidden="1" x14ac:dyDescent="0.25">
      <c r="A174">
        <v>2024</v>
      </c>
      <c r="B174" t="s">
        <v>772</v>
      </c>
      <c r="C174" t="s">
        <v>8</v>
      </c>
      <c r="D174" t="s">
        <v>9</v>
      </c>
      <c r="E174" t="s">
        <v>1263</v>
      </c>
      <c r="G174" s="37" t="s">
        <v>11</v>
      </c>
      <c r="H174" s="37" t="s">
        <v>23</v>
      </c>
      <c r="I174" t="s">
        <v>16</v>
      </c>
      <c r="J174" t="s">
        <v>1570</v>
      </c>
      <c r="K174" t="s">
        <v>1573</v>
      </c>
      <c r="L174" s="28" t="s">
        <v>3005</v>
      </c>
      <c r="M174">
        <v>1300</v>
      </c>
      <c r="N174" t="s">
        <v>1566</v>
      </c>
      <c r="O174">
        <v>5.0000000000000001E-3</v>
      </c>
      <c r="P174" t="s">
        <v>1905</v>
      </c>
      <c r="Q174">
        <v>6</v>
      </c>
      <c r="R174" t="s">
        <v>1550</v>
      </c>
      <c r="V174" t="s">
        <v>1906</v>
      </c>
    </row>
    <row r="175" spans="1:22" hidden="1" x14ac:dyDescent="0.25">
      <c r="A175">
        <v>2024</v>
      </c>
      <c r="B175" t="s">
        <v>772</v>
      </c>
      <c r="C175" t="s">
        <v>8</v>
      </c>
      <c r="D175" t="s">
        <v>9</v>
      </c>
      <c r="E175" t="s">
        <v>1263</v>
      </c>
      <c r="G175" s="37" t="s">
        <v>11</v>
      </c>
      <c r="H175" s="37" t="s">
        <v>23</v>
      </c>
      <c r="I175" t="s">
        <v>1615</v>
      </c>
      <c r="J175" t="s">
        <v>1570</v>
      </c>
      <c r="K175" t="s">
        <v>1573</v>
      </c>
      <c r="L175" s="28" t="s">
        <v>3005</v>
      </c>
      <c r="M175">
        <v>1300</v>
      </c>
      <c r="N175" t="s">
        <v>1566</v>
      </c>
      <c r="O175">
        <v>1.3</v>
      </c>
      <c r="P175" t="s">
        <v>1589</v>
      </c>
      <c r="Q175">
        <v>16450</v>
      </c>
      <c r="R175" t="s">
        <v>1546</v>
      </c>
      <c r="V175" t="s">
        <v>1906</v>
      </c>
    </row>
    <row r="176" spans="1:22" hidden="1" x14ac:dyDescent="0.25">
      <c r="A176">
        <v>2024</v>
      </c>
      <c r="B176" t="s">
        <v>772</v>
      </c>
      <c r="C176" t="s">
        <v>8</v>
      </c>
      <c r="D176" t="s">
        <v>9</v>
      </c>
      <c r="E176" t="s">
        <v>1263</v>
      </c>
      <c r="G176" s="37" t="s">
        <v>11</v>
      </c>
      <c r="H176" s="37" t="s">
        <v>23</v>
      </c>
      <c r="I176" t="s">
        <v>1551</v>
      </c>
      <c r="J176" t="s">
        <v>1570</v>
      </c>
      <c r="K176" t="s">
        <v>1573</v>
      </c>
      <c r="L176" s="28" t="s">
        <v>3005</v>
      </c>
      <c r="M176">
        <v>1300</v>
      </c>
      <c r="N176" t="s">
        <v>1566</v>
      </c>
      <c r="O176">
        <v>2.7</v>
      </c>
      <c r="P176" t="s">
        <v>1589</v>
      </c>
      <c r="Q176">
        <v>34940</v>
      </c>
      <c r="R176" t="s">
        <v>1546</v>
      </c>
      <c r="V176" t="s">
        <v>1906</v>
      </c>
    </row>
    <row r="177" spans="1:22" x14ac:dyDescent="0.25">
      <c r="A177">
        <v>2024</v>
      </c>
      <c r="B177" t="s">
        <v>772</v>
      </c>
      <c r="C177" t="s">
        <v>208</v>
      </c>
      <c r="D177" t="s">
        <v>211</v>
      </c>
      <c r="E177" t="s">
        <v>1177</v>
      </c>
      <c r="G177" s="37" t="s">
        <v>11</v>
      </c>
      <c r="H177" s="37" t="s">
        <v>21</v>
      </c>
      <c r="I177" t="s">
        <v>210</v>
      </c>
      <c r="J177" t="s">
        <v>1564</v>
      </c>
      <c r="K177" t="s">
        <v>1565</v>
      </c>
      <c r="L177" s="28" t="s">
        <v>3005</v>
      </c>
      <c r="M177">
        <v>61.1</v>
      </c>
      <c r="N177" t="s">
        <v>1566</v>
      </c>
      <c r="O177">
        <v>0.52</v>
      </c>
      <c r="P177" t="s">
        <v>1652</v>
      </c>
      <c r="Q177">
        <v>0.7</v>
      </c>
      <c r="R177" t="s">
        <v>1709</v>
      </c>
      <c r="T177">
        <v>95</v>
      </c>
      <c r="V177" t="s">
        <v>1648</v>
      </c>
    </row>
    <row r="178" spans="1:22" hidden="1" x14ac:dyDescent="0.25">
      <c r="A178">
        <v>2024</v>
      </c>
      <c r="B178" t="s">
        <v>772</v>
      </c>
      <c r="C178" t="s">
        <v>715</v>
      </c>
      <c r="D178" s="11" t="s">
        <v>143</v>
      </c>
      <c r="E178" t="s">
        <v>1249</v>
      </c>
      <c r="G178" s="37" t="s">
        <v>11</v>
      </c>
      <c r="H178" s="37" t="s">
        <v>44</v>
      </c>
      <c r="I178" s="11" t="s">
        <v>1772</v>
      </c>
      <c r="J178" s="11" t="s">
        <v>1570</v>
      </c>
      <c r="K178" s="11" t="s">
        <v>1571</v>
      </c>
      <c r="L178" s="28" t="s">
        <v>3005</v>
      </c>
      <c r="M178">
        <v>3.1</v>
      </c>
      <c r="N178" s="11" t="s">
        <v>1641</v>
      </c>
      <c r="V178" t="s">
        <v>2270</v>
      </c>
    </row>
    <row r="179" spans="1:22" hidden="1" x14ac:dyDescent="0.25">
      <c r="A179">
        <v>2024</v>
      </c>
      <c r="B179" t="s">
        <v>772</v>
      </c>
      <c r="C179" t="s">
        <v>715</v>
      </c>
      <c r="D179" s="11" t="s">
        <v>143</v>
      </c>
      <c r="E179" t="s">
        <v>1249</v>
      </c>
      <c r="G179" s="37" t="s">
        <v>11</v>
      </c>
      <c r="H179" s="37" t="s">
        <v>44</v>
      </c>
      <c r="I179" s="11" t="s">
        <v>1551</v>
      </c>
      <c r="J179" s="11" t="s">
        <v>1570</v>
      </c>
      <c r="K179" s="11" t="s">
        <v>1571</v>
      </c>
      <c r="L179" s="28" t="s">
        <v>3005</v>
      </c>
      <c r="N179" s="11" t="s">
        <v>1641</v>
      </c>
      <c r="O179" s="11">
        <v>3.42</v>
      </c>
      <c r="P179" s="11" t="s">
        <v>1589</v>
      </c>
      <c r="V179" t="s">
        <v>2270</v>
      </c>
    </row>
    <row r="180" spans="1:22" hidden="1" x14ac:dyDescent="0.25">
      <c r="A180">
        <v>2024</v>
      </c>
      <c r="B180" t="s">
        <v>772</v>
      </c>
      <c r="C180" t="s">
        <v>715</v>
      </c>
      <c r="D180" s="11" t="s">
        <v>143</v>
      </c>
      <c r="E180" t="s">
        <v>1249</v>
      </c>
      <c r="G180" s="37" t="s">
        <v>11</v>
      </c>
      <c r="H180" s="37" t="s">
        <v>44</v>
      </c>
      <c r="I180" s="11" t="s">
        <v>125</v>
      </c>
      <c r="J180" s="11" t="s">
        <v>1570</v>
      </c>
      <c r="K180" s="11" t="s">
        <v>1571</v>
      </c>
      <c r="L180" s="28" t="s">
        <v>3005</v>
      </c>
      <c r="N180" s="11" t="s">
        <v>1641</v>
      </c>
      <c r="O180" s="11">
        <v>1.38</v>
      </c>
      <c r="P180" s="11" t="s">
        <v>1589</v>
      </c>
      <c r="V180" t="s">
        <v>2270</v>
      </c>
    </row>
    <row r="181" spans="1:22" hidden="1" x14ac:dyDescent="0.25">
      <c r="A181">
        <v>2024</v>
      </c>
      <c r="B181" t="s">
        <v>772</v>
      </c>
      <c r="C181" t="s">
        <v>715</v>
      </c>
      <c r="D181" s="11" t="s">
        <v>143</v>
      </c>
      <c r="E181" t="s">
        <v>1249</v>
      </c>
      <c r="G181" s="37" t="s">
        <v>11</v>
      </c>
      <c r="H181" s="37" t="s">
        <v>44</v>
      </c>
      <c r="I181" s="11" t="s">
        <v>1549</v>
      </c>
      <c r="J181" s="11" t="s">
        <v>1570</v>
      </c>
      <c r="K181" s="11" t="s">
        <v>1571</v>
      </c>
      <c r="L181" s="28" t="s">
        <v>3005</v>
      </c>
      <c r="N181" s="11" t="s">
        <v>1641</v>
      </c>
      <c r="O181" s="11">
        <v>42</v>
      </c>
      <c r="P181" s="11" t="s">
        <v>1567</v>
      </c>
      <c r="V181" t="s">
        <v>2270</v>
      </c>
    </row>
    <row r="182" spans="1:22" hidden="1" x14ac:dyDescent="0.25">
      <c r="A182">
        <v>2024</v>
      </c>
      <c r="B182" t="s">
        <v>772</v>
      </c>
      <c r="C182" t="s">
        <v>715</v>
      </c>
      <c r="D182" s="11" t="s">
        <v>143</v>
      </c>
      <c r="E182" t="s">
        <v>1249</v>
      </c>
      <c r="G182" s="37" t="s">
        <v>11</v>
      </c>
      <c r="H182" s="37" t="s">
        <v>44</v>
      </c>
      <c r="I182" s="11" t="s">
        <v>1772</v>
      </c>
      <c r="J182" s="11" t="s">
        <v>1570</v>
      </c>
      <c r="K182" s="11" t="s">
        <v>1572</v>
      </c>
      <c r="L182" s="28" t="s">
        <v>3005</v>
      </c>
      <c r="M182">
        <v>0.3</v>
      </c>
      <c r="N182" s="11" t="s">
        <v>1641</v>
      </c>
      <c r="V182" t="s">
        <v>2270</v>
      </c>
    </row>
    <row r="183" spans="1:22" hidden="1" x14ac:dyDescent="0.25">
      <c r="A183">
        <v>2024</v>
      </c>
      <c r="B183" t="s">
        <v>772</v>
      </c>
      <c r="C183" t="s">
        <v>715</v>
      </c>
      <c r="D183" s="11" t="s">
        <v>143</v>
      </c>
      <c r="E183" t="s">
        <v>1249</v>
      </c>
      <c r="G183" s="37" t="s">
        <v>11</v>
      </c>
      <c r="H183" s="37" t="s">
        <v>44</v>
      </c>
      <c r="I183" s="11" t="s">
        <v>1551</v>
      </c>
      <c r="J183" s="11" t="s">
        <v>1570</v>
      </c>
      <c r="K183" s="11" t="s">
        <v>1572</v>
      </c>
      <c r="L183" s="28" t="s">
        <v>3005</v>
      </c>
      <c r="N183" s="11" t="s">
        <v>1641</v>
      </c>
      <c r="O183" s="11">
        <v>3.42</v>
      </c>
      <c r="P183" s="11" t="s">
        <v>1589</v>
      </c>
      <c r="V183" t="s">
        <v>2270</v>
      </c>
    </row>
    <row r="184" spans="1:22" hidden="1" x14ac:dyDescent="0.25">
      <c r="A184">
        <v>2024</v>
      </c>
      <c r="B184" t="s">
        <v>772</v>
      </c>
      <c r="C184" t="s">
        <v>715</v>
      </c>
      <c r="D184" s="11" t="s">
        <v>143</v>
      </c>
      <c r="E184" t="s">
        <v>1249</v>
      </c>
      <c r="G184" s="37" t="s">
        <v>11</v>
      </c>
      <c r="H184" s="37" t="s">
        <v>44</v>
      </c>
      <c r="I184" s="11" t="s">
        <v>125</v>
      </c>
      <c r="J184" s="11" t="s">
        <v>1570</v>
      </c>
      <c r="K184" s="11" t="s">
        <v>1572</v>
      </c>
      <c r="L184" s="28" t="s">
        <v>3005</v>
      </c>
      <c r="N184" s="11" t="s">
        <v>1641</v>
      </c>
      <c r="O184" s="11">
        <v>1.38</v>
      </c>
      <c r="P184" s="11" t="s">
        <v>1589</v>
      </c>
      <c r="V184" t="s">
        <v>2270</v>
      </c>
    </row>
    <row r="185" spans="1:22" hidden="1" x14ac:dyDescent="0.25">
      <c r="A185">
        <v>2024</v>
      </c>
      <c r="B185" t="s">
        <v>772</v>
      </c>
      <c r="C185" t="s">
        <v>715</v>
      </c>
      <c r="D185" s="11" t="s">
        <v>143</v>
      </c>
      <c r="E185" t="s">
        <v>1249</v>
      </c>
      <c r="G185" s="37" t="s">
        <v>11</v>
      </c>
      <c r="H185" s="37" t="s">
        <v>44</v>
      </c>
      <c r="I185" s="11" t="s">
        <v>1549</v>
      </c>
      <c r="J185" s="11" t="s">
        <v>1570</v>
      </c>
      <c r="K185" s="11" t="s">
        <v>1572</v>
      </c>
      <c r="L185" s="28" t="s">
        <v>3005</v>
      </c>
      <c r="N185" s="11" t="s">
        <v>1641</v>
      </c>
      <c r="O185" s="11">
        <v>42</v>
      </c>
      <c r="P185" s="11" t="s">
        <v>1567</v>
      </c>
      <c r="V185" t="s">
        <v>2270</v>
      </c>
    </row>
    <row r="186" spans="1:22" hidden="1" x14ac:dyDescent="0.25">
      <c r="A186">
        <v>2024</v>
      </c>
      <c r="B186" t="s">
        <v>772</v>
      </c>
      <c r="C186" t="s">
        <v>715</v>
      </c>
      <c r="D186" s="11" t="s">
        <v>143</v>
      </c>
      <c r="E186" t="s">
        <v>1249</v>
      </c>
      <c r="G186" s="37" t="s">
        <v>11</v>
      </c>
      <c r="H186" s="37" t="s">
        <v>44</v>
      </c>
      <c r="I186" s="11" t="s">
        <v>1772</v>
      </c>
      <c r="J186" s="11" t="s">
        <v>1564</v>
      </c>
      <c r="K186" s="11" t="s">
        <v>1771</v>
      </c>
      <c r="L186" s="28" t="s">
        <v>3005</v>
      </c>
      <c r="M186">
        <v>1.5</v>
      </c>
      <c r="N186" s="11" t="s">
        <v>1641</v>
      </c>
      <c r="V186" t="s">
        <v>2270</v>
      </c>
    </row>
    <row r="187" spans="1:22" hidden="1" x14ac:dyDescent="0.25">
      <c r="A187">
        <v>2024</v>
      </c>
      <c r="B187" t="s">
        <v>772</v>
      </c>
      <c r="C187" t="s">
        <v>715</v>
      </c>
      <c r="D187" s="11" t="s">
        <v>143</v>
      </c>
      <c r="E187" t="s">
        <v>1249</v>
      </c>
      <c r="G187" s="37" t="s">
        <v>11</v>
      </c>
      <c r="H187" s="37" t="s">
        <v>44</v>
      </c>
      <c r="I187" s="11" t="s">
        <v>1551</v>
      </c>
      <c r="J187" s="11" t="s">
        <v>1564</v>
      </c>
      <c r="K187" s="11" t="s">
        <v>1771</v>
      </c>
      <c r="L187" s="28" t="s">
        <v>3005</v>
      </c>
      <c r="N187" s="11" t="s">
        <v>1641</v>
      </c>
      <c r="O187" s="11">
        <v>3.42</v>
      </c>
      <c r="P187" s="11" t="s">
        <v>1589</v>
      </c>
      <c r="V187" t="s">
        <v>2270</v>
      </c>
    </row>
    <row r="188" spans="1:22" hidden="1" x14ac:dyDescent="0.25">
      <c r="A188">
        <v>2024</v>
      </c>
      <c r="B188" t="s">
        <v>772</v>
      </c>
      <c r="C188" t="s">
        <v>715</v>
      </c>
      <c r="D188" s="11" t="s">
        <v>143</v>
      </c>
      <c r="E188" t="s">
        <v>1249</v>
      </c>
      <c r="G188" s="37" t="s">
        <v>11</v>
      </c>
      <c r="H188" s="37" t="s">
        <v>44</v>
      </c>
      <c r="I188" s="11" t="s">
        <v>125</v>
      </c>
      <c r="J188" s="11" t="s">
        <v>1564</v>
      </c>
      <c r="K188" s="11" t="s">
        <v>1771</v>
      </c>
      <c r="L188" s="28" t="s">
        <v>3005</v>
      </c>
      <c r="N188" s="11" t="s">
        <v>1641</v>
      </c>
      <c r="O188" s="11">
        <v>1.41</v>
      </c>
      <c r="P188" s="11" t="s">
        <v>1589</v>
      </c>
      <c r="V188" t="s">
        <v>2270</v>
      </c>
    </row>
    <row r="189" spans="1:22" hidden="1" x14ac:dyDescent="0.25">
      <c r="A189">
        <v>2024</v>
      </c>
      <c r="B189" t="s">
        <v>772</v>
      </c>
      <c r="C189" t="s">
        <v>715</v>
      </c>
      <c r="D189" s="11" t="s">
        <v>143</v>
      </c>
      <c r="E189" t="s">
        <v>1249</v>
      </c>
      <c r="G189" s="37" t="s">
        <v>11</v>
      </c>
      <c r="H189" s="37" t="s">
        <v>44</v>
      </c>
      <c r="I189" s="11" t="s">
        <v>1549</v>
      </c>
      <c r="J189" s="11" t="s">
        <v>1564</v>
      </c>
      <c r="K189" s="11" t="s">
        <v>1771</v>
      </c>
      <c r="L189" s="28" t="s">
        <v>3005</v>
      </c>
      <c r="N189" s="11" t="s">
        <v>1641</v>
      </c>
      <c r="O189" s="11">
        <v>40</v>
      </c>
      <c r="P189" s="11" t="s">
        <v>1567</v>
      </c>
      <c r="V189" t="s">
        <v>2270</v>
      </c>
    </row>
    <row r="190" spans="1:22" hidden="1" x14ac:dyDescent="0.25">
      <c r="A190">
        <v>2024</v>
      </c>
      <c r="B190" t="s">
        <v>772</v>
      </c>
      <c r="C190" t="s">
        <v>715</v>
      </c>
      <c r="D190" s="11" t="s">
        <v>143</v>
      </c>
      <c r="E190" t="s">
        <v>1249</v>
      </c>
      <c r="G190" s="37" t="s">
        <v>11</v>
      </c>
      <c r="H190" s="37" t="s">
        <v>44</v>
      </c>
      <c r="I190" s="11" t="s">
        <v>1772</v>
      </c>
      <c r="J190" s="11" t="s">
        <v>1564</v>
      </c>
      <c r="K190" s="11" t="s">
        <v>1574</v>
      </c>
      <c r="L190" s="28" t="s">
        <v>3005</v>
      </c>
      <c r="M190">
        <v>1.3</v>
      </c>
      <c r="N190" s="11" t="s">
        <v>1641</v>
      </c>
      <c r="V190" t="s">
        <v>2270</v>
      </c>
    </row>
    <row r="191" spans="1:22" hidden="1" x14ac:dyDescent="0.25">
      <c r="A191">
        <v>2024</v>
      </c>
      <c r="B191" t="s">
        <v>772</v>
      </c>
      <c r="C191" t="s">
        <v>715</v>
      </c>
      <c r="D191" s="11" t="s">
        <v>143</v>
      </c>
      <c r="E191" t="s">
        <v>1249</v>
      </c>
      <c r="G191" s="37" t="s">
        <v>11</v>
      </c>
      <c r="H191" s="37" t="s">
        <v>44</v>
      </c>
      <c r="I191" s="11" t="s">
        <v>1551</v>
      </c>
      <c r="J191" s="11" t="s">
        <v>1564</v>
      </c>
      <c r="K191" s="11" t="s">
        <v>1574</v>
      </c>
      <c r="L191" s="28" t="s">
        <v>3005</v>
      </c>
      <c r="N191" s="11" t="s">
        <v>1641</v>
      </c>
      <c r="O191" s="11">
        <v>3.51</v>
      </c>
      <c r="P191" s="11" t="s">
        <v>1589</v>
      </c>
      <c r="V191" t="s">
        <v>2270</v>
      </c>
    </row>
    <row r="192" spans="1:22" hidden="1" x14ac:dyDescent="0.25">
      <c r="A192">
        <v>2024</v>
      </c>
      <c r="B192" t="s">
        <v>772</v>
      </c>
      <c r="C192" t="s">
        <v>715</v>
      </c>
      <c r="D192" s="11" t="s">
        <v>143</v>
      </c>
      <c r="E192" t="s">
        <v>1249</v>
      </c>
      <c r="G192" s="37" t="s">
        <v>11</v>
      </c>
      <c r="H192" s="37" t="s">
        <v>44</v>
      </c>
      <c r="I192" s="11" t="s">
        <v>125</v>
      </c>
      <c r="J192" s="11" t="s">
        <v>1564</v>
      </c>
      <c r="K192" s="11" t="s">
        <v>1574</v>
      </c>
      <c r="L192" s="28" t="s">
        <v>3005</v>
      </c>
      <c r="N192" s="11" t="s">
        <v>1641</v>
      </c>
      <c r="O192" s="11">
        <v>1.23</v>
      </c>
      <c r="P192" s="11" t="s">
        <v>1589</v>
      </c>
      <c r="V192" t="s">
        <v>2270</v>
      </c>
    </row>
    <row r="193" spans="1:22" hidden="1" x14ac:dyDescent="0.25">
      <c r="A193">
        <v>2024</v>
      </c>
      <c r="B193" t="s">
        <v>772</v>
      </c>
      <c r="C193" t="s">
        <v>715</v>
      </c>
      <c r="D193" s="11" t="s">
        <v>143</v>
      </c>
      <c r="E193" t="s">
        <v>1249</v>
      </c>
      <c r="G193" s="37" t="s">
        <v>11</v>
      </c>
      <c r="H193" s="37" t="s">
        <v>44</v>
      </c>
      <c r="I193" s="11" t="s">
        <v>1549</v>
      </c>
      <c r="J193" s="11" t="s">
        <v>1564</v>
      </c>
      <c r="K193" s="11" t="s">
        <v>1574</v>
      </c>
      <c r="L193" s="28" t="s">
        <v>3005</v>
      </c>
      <c r="N193" s="11" t="s">
        <v>1641</v>
      </c>
      <c r="O193" s="11">
        <v>45</v>
      </c>
      <c r="P193" s="11" t="s">
        <v>1567</v>
      </c>
      <c r="V193" t="s">
        <v>2270</v>
      </c>
    </row>
    <row r="194" spans="1:22" hidden="1" x14ac:dyDescent="0.25">
      <c r="A194">
        <v>2024</v>
      </c>
      <c r="B194" t="s">
        <v>772</v>
      </c>
      <c r="C194" t="s">
        <v>730</v>
      </c>
      <c r="D194" t="s">
        <v>60</v>
      </c>
      <c r="E194" t="s">
        <v>1437</v>
      </c>
      <c r="G194" s="37" t="s">
        <v>11</v>
      </c>
      <c r="H194" s="37" t="s">
        <v>19</v>
      </c>
      <c r="I194" t="s">
        <v>16</v>
      </c>
      <c r="J194" t="s">
        <v>1564</v>
      </c>
      <c r="K194" t="s">
        <v>1565</v>
      </c>
      <c r="L194" s="28" t="s">
        <v>3005</v>
      </c>
      <c r="M194">
        <v>305</v>
      </c>
      <c r="N194" t="s">
        <v>1566</v>
      </c>
      <c r="O194">
        <v>11</v>
      </c>
      <c r="P194" t="s">
        <v>1567</v>
      </c>
      <c r="Q194">
        <v>107</v>
      </c>
      <c r="R194" t="s">
        <v>1550</v>
      </c>
      <c r="V194" t="s">
        <v>2970</v>
      </c>
    </row>
    <row r="195" spans="1:22" hidden="1" x14ac:dyDescent="0.25">
      <c r="A195">
        <v>2024</v>
      </c>
      <c r="B195" t="s">
        <v>772</v>
      </c>
      <c r="C195" t="s">
        <v>730</v>
      </c>
      <c r="D195" t="s">
        <v>60</v>
      </c>
      <c r="E195" t="s">
        <v>1437</v>
      </c>
      <c r="G195" s="37" t="s">
        <v>11</v>
      </c>
      <c r="H195" s="37" t="s">
        <v>19</v>
      </c>
      <c r="I195" t="s">
        <v>16</v>
      </c>
      <c r="J195" t="s">
        <v>1564</v>
      </c>
      <c r="K195" t="s">
        <v>1574</v>
      </c>
      <c r="L195" s="28" t="s">
        <v>3005</v>
      </c>
      <c r="M195">
        <v>2076</v>
      </c>
      <c r="N195" t="s">
        <v>1566</v>
      </c>
      <c r="O195">
        <v>8.9</v>
      </c>
      <c r="P195" t="s">
        <v>1567</v>
      </c>
      <c r="Q195">
        <v>592</v>
      </c>
      <c r="R195" t="s">
        <v>1550</v>
      </c>
      <c r="V195" t="s">
        <v>2970</v>
      </c>
    </row>
    <row r="196" spans="1:22" hidden="1" x14ac:dyDescent="0.25">
      <c r="A196">
        <v>2024</v>
      </c>
      <c r="B196" t="s">
        <v>772</v>
      </c>
      <c r="C196" t="s">
        <v>730</v>
      </c>
      <c r="D196" t="s">
        <v>60</v>
      </c>
      <c r="E196" t="s">
        <v>1437</v>
      </c>
      <c r="G196" s="37" t="s">
        <v>11</v>
      </c>
      <c r="H196" s="37" t="s">
        <v>19</v>
      </c>
      <c r="I196" t="s">
        <v>16</v>
      </c>
      <c r="J196" t="s">
        <v>1570</v>
      </c>
      <c r="K196" t="s">
        <v>1571</v>
      </c>
      <c r="L196" s="28" t="s">
        <v>3005</v>
      </c>
      <c r="M196">
        <v>58</v>
      </c>
      <c r="N196" t="s">
        <v>1566</v>
      </c>
      <c r="O196">
        <v>10.199999999999999</v>
      </c>
      <c r="P196" t="s">
        <v>1567</v>
      </c>
      <c r="Q196">
        <v>19</v>
      </c>
      <c r="R196" t="s">
        <v>1550</v>
      </c>
      <c r="V196" t="s">
        <v>2970</v>
      </c>
    </row>
    <row r="197" spans="1:22" hidden="1" x14ac:dyDescent="0.25">
      <c r="A197">
        <v>2024</v>
      </c>
      <c r="B197" t="s">
        <v>772</v>
      </c>
      <c r="C197" t="s">
        <v>730</v>
      </c>
      <c r="D197" t="s">
        <v>60</v>
      </c>
      <c r="E197" t="s">
        <v>1437</v>
      </c>
      <c r="G197" s="37" t="s">
        <v>11</v>
      </c>
      <c r="H197" s="37" t="s">
        <v>19</v>
      </c>
      <c r="I197" t="s">
        <v>16</v>
      </c>
      <c r="J197" t="s">
        <v>1570</v>
      </c>
      <c r="K197" t="s">
        <v>1572</v>
      </c>
      <c r="L197" s="28" t="s">
        <v>3005</v>
      </c>
      <c r="M197">
        <v>789</v>
      </c>
      <c r="N197" t="s">
        <v>1566</v>
      </c>
      <c r="O197">
        <v>5.4</v>
      </c>
      <c r="P197" t="s">
        <v>1567</v>
      </c>
      <c r="Q197">
        <v>138</v>
      </c>
      <c r="R197" t="s">
        <v>1550</v>
      </c>
      <c r="V197" t="s">
        <v>2970</v>
      </c>
    </row>
    <row r="198" spans="1:22" hidden="1" x14ac:dyDescent="0.25">
      <c r="A198">
        <v>2024</v>
      </c>
      <c r="B198" t="s">
        <v>772</v>
      </c>
      <c r="C198" t="s">
        <v>730</v>
      </c>
      <c r="D198" t="s">
        <v>60</v>
      </c>
      <c r="E198" t="s">
        <v>1437</v>
      </c>
      <c r="G198" s="37" t="s">
        <v>11</v>
      </c>
      <c r="H198" s="37" t="s">
        <v>19</v>
      </c>
      <c r="I198" t="s">
        <v>16</v>
      </c>
      <c r="J198" t="s">
        <v>1570</v>
      </c>
      <c r="K198" t="s">
        <v>1573</v>
      </c>
      <c r="L198" s="28" t="s">
        <v>3005</v>
      </c>
      <c r="M198">
        <v>2536</v>
      </c>
      <c r="N198" t="s">
        <v>1566</v>
      </c>
      <c r="O198">
        <v>5</v>
      </c>
      <c r="P198" t="s">
        <v>1567</v>
      </c>
      <c r="Q198">
        <v>411</v>
      </c>
      <c r="R198" t="s">
        <v>1550</v>
      </c>
      <c r="V198" t="s">
        <v>2970</v>
      </c>
    </row>
    <row r="199" spans="1:22" hidden="1" x14ac:dyDescent="0.25">
      <c r="A199">
        <v>2023</v>
      </c>
      <c r="B199" t="s">
        <v>772</v>
      </c>
      <c r="C199" t="s">
        <v>859</v>
      </c>
      <c r="D199" t="s">
        <v>203</v>
      </c>
      <c r="E199" t="s">
        <v>1277</v>
      </c>
      <c r="G199" s="37" t="s">
        <v>11</v>
      </c>
      <c r="H199" s="37" t="s">
        <v>23</v>
      </c>
      <c r="I199" t="s">
        <v>1928</v>
      </c>
      <c r="J199" t="s">
        <v>1570</v>
      </c>
      <c r="K199" t="s">
        <v>1571</v>
      </c>
      <c r="L199" s="28" t="s">
        <v>3005</v>
      </c>
      <c r="M199">
        <v>26.3</v>
      </c>
      <c r="N199" t="s">
        <v>1641</v>
      </c>
      <c r="O199">
        <v>2.87</v>
      </c>
      <c r="P199" t="s">
        <v>1567</v>
      </c>
      <c r="Q199">
        <v>2.4</v>
      </c>
      <c r="R199" t="s">
        <v>1836</v>
      </c>
      <c r="V199" t="s">
        <v>1932</v>
      </c>
    </row>
    <row r="200" spans="1:22" hidden="1" x14ac:dyDescent="0.25">
      <c r="A200">
        <v>2023</v>
      </c>
      <c r="B200" t="s">
        <v>772</v>
      </c>
      <c r="C200" t="s">
        <v>859</v>
      </c>
      <c r="D200" t="s">
        <v>203</v>
      </c>
      <c r="E200" t="s">
        <v>1277</v>
      </c>
      <c r="G200" s="37" t="s">
        <v>11</v>
      </c>
      <c r="H200" s="37" t="s">
        <v>23</v>
      </c>
      <c r="I200" t="s">
        <v>1928</v>
      </c>
      <c r="J200" t="s">
        <v>1570</v>
      </c>
      <c r="K200" t="s">
        <v>1572</v>
      </c>
      <c r="L200" s="28" t="s">
        <v>3005</v>
      </c>
      <c r="M200">
        <v>39</v>
      </c>
      <c r="N200" t="s">
        <v>1641</v>
      </c>
      <c r="O200">
        <v>2.44</v>
      </c>
      <c r="P200" t="s">
        <v>1567</v>
      </c>
      <c r="Q200">
        <v>3.1</v>
      </c>
      <c r="R200" t="s">
        <v>1836</v>
      </c>
      <c r="V200" t="s">
        <v>1932</v>
      </c>
    </row>
    <row r="201" spans="1:22" hidden="1" x14ac:dyDescent="0.25">
      <c r="A201">
        <v>2023</v>
      </c>
      <c r="B201" t="s">
        <v>772</v>
      </c>
      <c r="C201" t="s">
        <v>859</v>
      </c>
      <c r="D201" t="s">
        <v>203</v>
      </c>
      <c r="E201" t="s">
        <v>1277</v>
      </c>
      <c r="G201" s="37" t="s">
        <v>11</v>
      </c>
      <c r="H201" s="37" t="s">
        <v>23</v>
      </c>
      <c r="I201" t="s">
        <v>1928</v>
      </c>
      <c r="J201" t="s">
        <v>1570</v>
      </c>
      <c r="K201" t="s">
        <v>1573</v>
      </c>
      <c r="L201" s="28" t="s">
        <v>3005</v>
      </c>
      <c r="M201">
        <v>4.3</v>
      </c>
      <c r="N201" t="s">
        <v>1641</v>
      </c>
      <c r="O201">
        <v>2.4700000000000002</v>
      </c>
      <c r="P201" t="s">
        <v>1567</v>
      </c>
      <c r="Q201">
        <v>1.03</v>
      </c>
      <c r="R201" t="s">
        <v>1836</v>
      </c>
      <c r="V201" t="s">
        <v>1932</v>
      </c>
    </row>
    <row r="202" spans="1:22" hidden="1" x14ac:dyDescent="0.25">
      <c r="A202">
        <v>2023</v>
      </c>
      <c r="B202" t="s">
        <v>772</v>
      </c>
      <c r="C202" t="s">
        <v>859</v>
      </c>
      <c r="D202" t="s">
        <v>203</v>
      </c>
      <c r="E202" t="s">
        <v>1277</v>
      </c>
      <c r="G202" s="37" t="s">
        <v>11</v>
      </c>
      <c r="H202" s="37" t="s">
        <v>23</v>
      </c>
      <c r="I202" t="s">
        <v>1768</v>
      </c>
      <c r="J202" t="s">
        <v>1570</v>
      </c>
      <c r="K202" t="s">
        <v>1571</v>
      </c>
      <c r="L202" s="28" t="s">
        <v>3005</v>
      </c>
      <c r="M202" t="s">
        <v>707</v>
      </c>
      <c r="N202" t="s">
        <v>1641</v>
      </c>
      <c r="O202" t="s">
        <v>707</v>
      </c>
      <c r="P202" t="s">
        <v>1567</v>
      </c>
      <c r="Q202">
        <v>0.19</v>
      </c>
      <c r="R202" t="s">
        <v>1836</v>
      </c>
      <c r="V202" t="s">
        <v>1932</v>
      </c>
    </row>
    <row r="203" spans="1:22" hidden="1" x14ac:dyDescent="0.25">
      <c r="A203">
        <v>2023</v>
      </c>
      <c r="B203" t="s">
        <v>772</v>
      </c>
      <c r="C203" t="s">
        <v>859</v>
      </c>
      <c r="D203" t="s">
        <v>203</v>
      </c>
      <c r="E203" t="s">
        <v>1277</v>
      </c>
      <c r="G203" s="37" t="s">
        <v>11</v>
      </c>
      <c r="H203" s="37" t="s">
        <v>23</v>
      </c>
      <c r="I203" t="s">
        <v>1768</v>
      </c>
      <c r="J203" t="s">
        <v>1570</v>
      </c>
      <c r="K203" t="s">
        <v>1572</v>
      </c>
      <c r="L203" s="28" t="s">
        <v>3005</v>
      </c>
      <c r="M203" t="s">
        <v>707</v>
      </c>
      <c r="N203" t="s">
        <v>1641</v>
      </c>
      <c r="O203" t="s">
        <v>707</v>
      </c>
      <c r="P203" t="s">
        <v>1567</v>
      </c>
      <c r="Q203">
        <v>0.27</v>
      </c>
      <c r="R203" t="s">
        <v>1836</v>
      </c>
      <c r="V203" t="s">
        <v>1932</v>
      </c>
    </row>
    <row r="204" spans="1:22" hidden="1" x14ac:dyDescent="0.25">
      <c r="A204">
        <v>2023</v>
      </c>
      <c r="B204" t="s">
        <v>772</v>
      </c>
      <c r="C204" t="s">
        <v>859</v>
      </c>
      <c r="D204" t="s">
        <v>203</v>
      </c>
      <c r="E204" t="s">
        <v>1277</v>
      </c>
      <c r="G204" s="37" t="s">
        <v>11</v>
      </c>
      <c r="H204" s="37" t="s">
        <v>23</v>
      </c>
      <c r="I204" t="s">
        <v>1768</v>
      </c>
      <c r="J204" t="s">
        <v>1570</v>
      </c>
      <c r="K204" t="s">
        <v>1573</v>
      </c>
      <c r="L204" s="28" t="s">
        <v>3005</v>
      </c>
      <c r="M204" t="s">
        <v>707</v>
      </c>
      <c r="N204" t="s">
        <v>1641</v>
      </c>
      <c r="O204" t="s">
        <v>707</v>
      </c>
      <c r="P204" t="s">
        <v>1567</v>
      </c>
      <c r="Q204">
        <v>0.03</v>
      </c>
      <c r="R204" t="s">
        <v>1836</v>
      </c>
      <c r="V204" t="s">
        <v>1932</v>
      </c>
    </row>
    <row r="205" spans="1:22" hidden="1" x14ac:dyDescent="0.25">
      <c r="A205">
        <v>2023</v>
      </c>
      <c r="B205" t="s">
        <v>772</v>
      </c>
      <c r="C205" t="s">
        <v>859</v>
      </c>
      <c r="D205" t="s">
        <v>203</v>
      </c>
      <c r="E205" t="s">
        <v>1277</v>
      </c>
      <c r="G205" s="37" t="s">
        <v>11</v>
      </c>
      <c r="H205" s="37" t="s">
        <v>23</v>
      </c>
      <c r="I205" t="s">
        <v>1769</v>
      </c>
      <c r="J205" t="s">
        <v>1570</v>
      </c>
      <c r="K205" t="s">
        <v>1571</v>
      </c>
      <c r="L205" s="28" t="s">
        <v>3005</v>
      </c>
      <c r="M205" t="s">
        <v>707</v>
      </c>
      <c r="N205" t="s">
        <v>1641</v>
      </c>
      <c r="O205" t="s">
        <v>707</v>
      </c>
      <c r="P205" t="s">
        <v>1567</v>
      </c>
      <c r="Q205">
        <v>2.09</v>
      </c>
      <c r="R205" t="s">
        <v>1836</v>
      </c>
      <c r="V205" t="s">
        <v>1932</v>
      </c>
    </row>
    <row r="206" spans="1:22" hidden="1" x14ac:dyDescent="0.25">
      <c r="A206">
        <v>2023</v>
      </c>
      <c r="B206" t="s">
        <v>772</v>
      </c>
      <c r="C206" t="s">
        <v>859</v>
      </c>
      <c r="D206" t="s">
        <v>203</v>
      </c>
      <c r="E206" t="s">
        <v>1277</v>
      </c>
      <c r="G206" s="37" t="s">
        <v>11</v>
      </c>
      <c r="H206" s="37" t="s">
        <v>23</v>
      </c>
      <c r="I206" t="s">
        <v>1769</v>
      </c>
      <c r="J206" t="s">
        <v>1570</v>
      </c>
      <c r="K206" t="s">
        <v>1572</v>
      </c>
      <c r="L206" s="28" t="s">
        <v>3005</v>
      </c>
      <c r="M206" t="s">
        <v>707</v>
      </c>
      <c r="N206" t="s">
        <v>1641</v>
      </c>
      <c r="O206" t="s">
        <v>707</v>
      </c>
      <c r="P206" t="s">
        <v>1567</v>
      </c>
      <c r="Q206">
        <v>2.6</v>
      </c>
      <c r="R206" t="s">
        <v>1836</v>
      </c>
      <c r="V206" t="s">
        <v>1932</v>
      </c>
    </row>
    <row r="207" spans="1:22" hidden="1" x14ac:dyDescent="0.25">
      <c r="A207">
        <v>2023</v>
      </c>
      <c r="B207" t="s">
        <v>772</v>
      </c>
      <c r="C207" t="s">
        <v>859</v>
      </c>
      <c r="D207" t="s">
        <v>203</v>
      </c>
      <c r="E207" t="s">
        <v>1277</v>
      </c>
      <c r="G207" s="37" t="s">
        <v>11</v>
      </c>
      <c r="H207" s="37" t="s">
        <v>23</v>
      </c>
      <c r="I207" t="s">
        <v>1769</v>
      </c>
      <c r="J207" t="s">
        <v>1570</v>
      </c>
      <c r="K207" t="s">
        <v>1573</v>
      </c>
      <c r="L207" s="28" t="s">
        <v>3005</v>
      </c>
      <c r="M207" t="s">
        <v>707</v>
      </c>
      <c r="N207" t="s">
        <v>1641</v>
      </c>
      <c r="O207" t="s">
        <v>707</v>
      </c>
      <c r="P207" t="s">
        <v>1567</v>
      </c>
      <c r="Q207">
        <v>0.28999999999999998</v>
      </c>
      <c r="R207" t="s">
        <v>1836</v>
      </c>
      <c r="V207" t="s">
        <v>1932</v>
      </c>
    </row>
    <row r="208" spans="1:22" hidden="1" x14ac:dyDescent="0.25">
      <c r="A208">
        <v>2023</v>
      </c>
      <c r="B208" t="s">
        <v>772</v>
      </c>
      <c r="C208" t="s">
        <v>859</v>
      </c>
      <c r="D208" t="s">
        <v>203</v>
      </c>
      <c r="E208" t="s">
        <v>1277</v>
      </c>
      <c r="G208" s="37" t="s">
        <v>11</v>
      </c>
      <c r="H208" s="37" t="s">
        <v>23</v>
      </c>
      <c r="I208" t="s">
        <v>16</v>
      </c>
      <c r="J208" t="s">
        <v>1570</v>
      </c>
      <c r="K208" t="s">
        <v>1571</v>
      </c>
      <c r="L208" s="28" t="s">
        <v>3005</v>
      </c>
      <c r="M208" t="s">
        <v>707</v>
      </c>
      <c r="N208" t="s">
        <v>1641</v>
      </c>
      <c r="O208" t="s">
        <v>707</v>
      </c>
      <c r="P208" t="s">
        <v>1567</v>
      </c>
      <c r="Q208">
        <v>0.15</v>
      </c>
      <c r="R208" t="s">
        <v>1836</v>
      </c>
      <c r="V208" t="s">
        <v>1932</v>
      </c>
    </row>
    <row r="209" spans="1:22" hidden="1" x14ac:dyDescent="0.25">
      <c r="A209">
        <v>2023</v>
      </c>
      <c r="B209" t="s">
        <v>772</v>
      </c>
      <c r="C209" t="s">
        <v>859</v>
      </c>
      <c r="D209" t="s">
        <v>203</v>
      </c>
      <c r="E209" t="s">
        <v>1277</v>
      </c>
      <c r="G209" s="37" t="s">
        <v>11</v>
      </c>
      <c r="H209" s="37" t="s">
        <v>23</v>
      </c>
      <c r="I209" t="s">
        <v>16</v>
      </c>
      <c r="J209" t="s">
        <v>1570</v>
      </c>
      <c r="K209" t="s">
        <v>1572</v>
      </c>
      <c r="L209" s="28" t="s">
        <v>3005</v>
      </c>
      <c r="M209" t="s">
        <v>707</v>
      </c>
      <c r="N209" t="s">
        <v>1641</v>
      </c>
      <c r="O209" t="s">
        <v>707</v>
      </c>
      <c r="P209" t="s">
        <v>1567</v>
      </c>
      <c r="Q209">
        <v>0.19</v>
      </c>
      <c r="R209" t="s">
        <v>1836</v>
      </c>
      <c r="V209" t="s">
        <v>1932</v>
      </c>
    </row>
    <row r="210" spans="1:22" hidden="1" x14ac:dyDescent="0.25">
      <c r="A210">
        <v>2023</v>
      </c>
      <c r="B210" t="s">
        <v>772</v>
      </c>
      <c r="C210" t="s">
        <v>859</v>
      </c>
      <c r="D210" t="s">
        <v>203</v>
      </c>
      <c r="E210" t="s">
        <v>1277</v>
      </c>
      <c r="G210" s="37" t="s">
        <v>11</v>
      </c>
      <c r="H210" s="37" t="s">
        <v>23</v>
      </c>
      <c r="I210" t="s">
        <v>16</v>
      </c>
      <c r="J210" t="s">
        <v>1570</v>
      </c>
      <c r="K210" t="s">
        <v>1573</v>
      </c>
      <c r="L210" s="28" t="s">
        <v>3005</v>
      </c>
      <c r="M210" t="s">
        <v>707</v>
      </c>
      <c r="N210" t="s">
        <v>1641</v>
      </c>
      <c r="O210" t="s">
        <v>707</v>
      </c>
      <c r="P210" t="s">
        <v>1567</v>
      </c>
      <c r="Q210">
        <v>0.02</v>
      </c>
      <c r="R210" t="s">
        <v>1836</v>
      </c>
      <c r="V210" t="s">
        <v>1932</v>
      </c>
    </row>
    <row r="211" spans="1:22" hidden="1" x14ac:dyDescent="0.25">
      <c r="A211">
        <v>2023</v>
      </c>
      <c r="B211" t="s">
        <v>772</v>
      </c>
      <c r="C211" t="s">
        <v>859</v>
      </c>
      <c r="D211" t="s">
        <v>203</v>
      </c>
      <c r="E211" t="s">
        <v>1277</v>
      </c>
      <c r="G211" s="37" t="s">
        <v>11</v>
      </c>
      <c r="H211" s="37" t="s">
        <v>23</v>
      </c>
      <c r="I211" t="s">
        <v>1928</v>
      </c>
      <c r="J211" t="s">
        <v>1564</v>
      </c>
      <c r="K211" t="s">
        <v>1771</v>
      </c>
      <c r="L211" s="28" t="s">
        <v>3005</v>
      </c>
      <c r="M211">
        <v>2</v>
      </c>
      <c r="N211" t="s">
        <v>1641</v>
      </c>
      <c r="O211">
        <v>3.67</v>
      </c>
      <c r="P211" t="s">
        <v>1567</v>
      </c>
      <c r="Q211">
        <v>0.2</v>
      </c>
      <c r="R211" t="s">
        <v>1836</v>
      </c>
      <c r="V211" t="s">
        <v>1932</v>
      </c>
    </row>
    <row r="212" spans="1:22" hidden="1" x14ac:dyDescent="0.25">
      <c r="A212">
        <v>2023</v>
      </c>
      <c r="B212" t="s">
        <v>772</v>
      </c>
      <c r="C212" t="s">
        <v>859</v>
      </c>
      <c r="D212" t="s">
        <v>203</v>
      </c>
      <c r="E212" t="s">
        <v>1277</v>
      </c>
      <c r="G212" s="37" t="s">
        <v>11</v>
      </c>
      <c r="H212" s="37" t="s">
        <v>23</v>
      </c>
      <c r="I212" t="s">
        <v>1928</v>
      </c>
      <c r="J212" t="s">
        <v>1564</v>
      </c>
      <c r="K212" t="s">
        <v>1574</v>
      </c>
      <c r="L212" s="28" t="s">
        <v>3005</v>
      </c>
      <c r="M212">
        <v>6.5</v>
      </c>
      <c r="N212" t="s">
        <v>1641</v>
      </c>
      <c r="O212">
        <v>3.43</v>
      </c>
      <c r="P212" t="s">
        <v>1567</v>
      </c>
      <c r="Q212">
        <v>0.7</v>
      </c>
      <c r="R212" t="s">
        <v>1836</v>
      </c>
      <c r="V212" t="s">
        <v>1932</v>
      </c>
    </row>
    <row r="213" spans="1:22" hidden="1" x14ac:dyDescent="0.25">
      <c r="A213">
        <v>2023</v>
      </c>
      <c r="B213" t="s">
        <v>772</v>
      </c>
      <c r="C213" t="s">
        <v>859</v>
      </c>
      <c r="D213" t="s">
        <v>203</v>
      </c>
      <c r="E213" t="s">
        <v>1277</v>
      </c>
      <c r="G213" s="37" t="s">
        <v>11</v>
      </c>
      <c r="H213" s="37" t="s">
        <v>23</v>
      </c>
      <c r="I213" t="s">
        <v>1768</v>
      </c>
      <c r="J213" t="s">
        <v>1564</v>
      </c>
      <c r="K213" t="s">
        <v>1771</v>
      </c>
      <c r="L213" s="28" t="s">
        <v>3005</v>
      </c>
      <c r="M213" t="s">
        <v>707</v>
      </c>
      <c r="N213" t="s">
        <v>1641</v>
      </c>
      <c r="O213" t="s">
        <v>707</v>
      </c>
      <c r="P213" t="s">
        <v>1567</v>
      </c>
      <c r="Q213">
        <v>0.02</v>
      </c>
      <c r="R213" t="s">
        <v>1836</v>
      </c>
      <c r="V213" t="s">
        <v>1932</v>
      </c>
    </row>
    <row r="214" spans="1:22" hidden="1" x14ac:dyDescent="0.25">
      <c r="A214">
        <v>2023</v>
      </c>
      <c r="B214" t="s">
        <v>772</v>
      </c>
      <c r="C214" t="s">
        <v>859</v>
      </c>
      <c r="D214" t="s">
        <v>203</v>
      </c>
      <c r="E214" t="s">
        <v>1277</v>
      </c>
      <c r="G214" s="37" t="s">
        <v>11</v>
      </c>
      <c r="H214" s="37" t="s">
        <v>23</v>
      </c>
      <c r="I214" t="s">
        <v>1768</v>
      </c>
      <c r="J214" t="s">
        <v>1564</v>
      </c>
      <c r="K214" t="s">
        <v>1574</v>
      </c>
      <c r="L214" s="28" t="s">
        <v>3005</v>
      </c>
      <c r="M214" t="s">
        <v>707</v>
      </c>
      <c r="N214" t="s">
        <v>1641</v>
      </c>
      <c r="O214" t="s">
        <v>707</v>
      </c>
      <c r="P214" t="s">
        <v>1567</v>
      </c>
      <c r="Q214">
        <v>0.05</v>
      </c>
      <c r="R214" t="s">
        <v>1836</v>
      </c>
      <c r="V214" t="s">
        <v>1932</v>
      </c>
    </row>
    <row r="215" spans="1:22" hidden="1" x14ac:dyDescent="0.25">
      <c r="A215">
        <v>2023</v>
      </c>
      <c r="B215" t="s">
        <v>772</v>
      </c>
      <c r="C215" t="s">
        <v>859</v>
      </c>
      <c r="D215" t="s">
        <v>203</v>
      </c>
      <c r="E215" t="s">
        <v>1277</v>
      </c>
      <c r="G215" s="37" t="s">
        <v>11</v>
      </c>
      <c r="H215" s="37" t="s">
        <v>23</v>
      </c>
      <c r="I215" t="s">
        <v>1769</v>
      </c>
      <c r="J215" t="s">
        <v>1564</v>
      </c>
      <c r="K215" t="s">
        <v>1771</v>
      </c>
      <c r="L215" s="28" t="s">
        <v>3005</v>
      </c>
      <c r="M215" t="s">
        <v>707</v>
      </c>
      <c r="N215" t="s">
        <v>1641</v>
      </c>
      <c r="O215" t="s">
        <v>707</v>
      </c>
      <c r="P215" t="s">
        <v>1567</v>
      </c>
      <c r="Q215">
        <v>0.2</v>
      </c>
      <c r="R215" t="s">
        <v>1836</v>
      </c>
      <c r="V215" t="s">
        <v>1932</v>
      </c>
    </row>
    <row r="216" spans="1:22" hidden="1" x14ac:dyDescent="0.25">
      <c r="A216">
        <v>2023</v>
      </c>
      <c r="B216" t="s">
        <v>772</v>
      </c>
      <c r="C216" t="s">
        <v>859</v>
      </c>
      <c r="D216" t="s">
        <v>203</v>
      </c>
      <c r="E216" t="s">
        <v>1277</v>
      </c>
      <c r="G216" s="37" t="s">
        <v>11</v>
      </c>
      <c r="H216" s="37" t="s">
        <v>23</v>
      </c>
      <c r="I216" t="s">
        <v>1769</v>
      </c>
      <c r="J216" t="s">
        <v>1564</v>
      </c>
      <c r="K216" t="s">
        <v>1574</v>
      </c>
      <c r="L216" s="28" t="s">
        <v>3005</v>
      </c>
      <c r="M216" t="s">
        <v>707</v>
      </c>
      <c r="N216" t="s">
        <v>1641</v>
      </c>
      <c r="O216" t="s">
        <v>707</v>
      </c>
      <c r="P216" t="s">
        <v>1567</v>
      </c>
      <c r="Q216">
        <v>0.62</v>
      </c>
      <c r="R216" t="s">
        <v>1836</v>
      </c>
      <c r="V216" t="s">
        <v>1932</v>
      </c>
    </row>
    <row r="217" spans="1:22" hidden="1" x14ac:dyDescent="0.25">
      <c r="A217">
        <v>2023</v>
      </c>
      <c r="B217" t="s">
        <v>772</v>
      </c>
      <c r="C217" t="s">
        <v>859</v>
      </c>
      <c r="D217" t="s">
        <v>203</v>
      </c>
      <c r="E217" t="s">
        <v>1277</v>
      </c>
      <c r="G217" s="37" t="s">
        <v>11</v>
      </c>
      <c r="H217" s="37" t="s">
        <v>23</v>
      </c>
      <c r="I217" t="s">
        <v>16</v>
      </c>
      <c r="J217" t="s">
        <v>1564</v>
      </c>
      <c r="K217" t="s">
        <v>1771</v>
      </c>
      <c r="L217" s="28" t="s">
        <v>3005</v>
      </c>
      <c r="M217" t="s">
        <v>707</v>
      </c>
      <c r="N217" t="s">
        <v>1641</v>
      </c>
      <c r="O217" t="s">
        <v>707</v>
      </c>
      <c r="P217" t="s">
        <v>1567</v>
      </c>
      <c r="Q217">
        <v>0.01</v>
      </c>
      <c r="R217" t="s">
        <v>1836</v>
      </c>
      <c r="V217" t="s">
        <v>1932</v>
      </c>
    </row>
    <row r="218" spans="1:22" hidden="1" x14ac:dyDescent="0.25">
      <c r="A218">
        <v>2023</v>
      </c>
      <c r="B218" t="s">
        <v>772</v>
      </c>
      <c r="C218" t="s">
        <v>859</v>
      </c>
      <c r="D218" t="s">
        <v>203</v>
      </c>
      <c r="E218" t="s">
        <v>1277</v>
      </c>
      <c r="G218" s="37" t="s">
        <v>11</v>
      </c>
      <c r="H218" s="37" t="s">
        <v>23</v>
      </c>
      <c r="I218" t="s">
        <v>16</v>
      </c>
      <c r="J218" t="s">
        <v>1564</v>
      </c>
      <c r="K218" t="s">
        <v>1574</v>
      </c>
      <c r="L218" s="28" t="s">
        <v>3005</v>
      </c>
      <c r="M218" t="s">
        <v>707</v>
      </c>
      <c r="N218" t="s">
        <v>1641</v>
      </c>
      <c r="O218" t="s">
        <v>707</v>
      </c>
      <c r="P218" t="s">
        <v>1567</v>
      </c>
      <c r="Q218">
        <v>0.05</v>
      </c>
      <c r="R218" t="s">
        <v>1836</v>
      </c>
      <c r="V218" t="s">
        <v>1932</v>
      </c>
    </row>
    <row r="219" spans="1:22" hidden="1" x14ac:dyDescent="0.25">
      <c r="A219">
        <v>2025</v>
      </c>
      <c r="B219" t="s">
        <v>772</v>
      </c>
      <c r="C219" t="s">
        <v>717</v>
      </c>
      <c r="D219" t="s">
        <v>89</v>
      </c>
      <c r="E219" t="s">
        <v>1269</v>
      </c>
      <c r="F219" t="s">
        <v>1849</v>
      </c>
      <c r="G219" s="37" t="s">
        <v>11</v>
      </c>
      <c r="H219" s="37" t="s">
        <v>21</v>
      </c>
      <c r="I219" s="11" t="s">
        <v>1772</v>
      </c>
      <c r="J219" s="11" t="s">
        <v>1564</v>
      </c>
      <c r="K219" s="11" t="s">
        <v>1600</v>
      </c>
      <c r="L219" s="28" t="s">
        <v>3005</v>
      </c>
      <c r="M219">
        <v>11156000</v>
      </c>
      <c r="N219" s="11" t="s">
        <v>1641</v>
      </c>
      <c r="V219" t="s">
        <v>980</v>
      </c>
    </row>
    <row r="220" spans="1:22" hidden="1" x14ac:dyDescent="0.25">
      <c r="A220">
        <v>2025</v>
      </c>
      <c r="B220" t="s">
        <v>772</v>
      </c>
      <c r="C220" t="s">
        <v>717</v>
      </c>
      <c r="D220" t="s">
        <v>89</v>
      </c>
      <c r="E220" t="s">
        <v>1269</v>
      </c>
      <c r="F220" t="s">
        <v>1849</v>
      </c>
      <c r="G220" s="37" t="s">
        <v>11</v>
      </c>
      <c r="H220" s="37" t="s">
        <v>21</v>
      </c>
      <c r="I220" s="11" t="s">
        <v>16</v>
      </c>
      <c r="J220" s="11" t="s">
        <v>1564</v>
      </c>
      <c r="K220" s="11" t="s">
        <v>1600</v>
      </c>
      <c r="L220" s="28" t="s">
        <v>3005</v>
      </c>
      <c r="N220" s="11" t="s">
        <v>1641</v>
      </c>
      <c r="O220" s="11">
        <v>3.9</v>
      </c>
      <c r="P220" s="11" t="s">
        <v>1567</v>
      </c>
      <c r="V220" t="s">
        <v>980</v>
      </c>
    </row>
    <row r="221" spans="1:22" hidden="1" x14ac:dyDescent="0.25">
      <c r="A221">
        <v>2025</v>
      </c>
      <c r="B221" t="s">
        <v>772</v>
      </c>
      <c r="C221" t="s">
        <v>717</v>
      </c>
      <c r="D221" t="s">
        <v>89</v>
      </c>
      <c r="E221" t="s">
        <v>1269</v>
      </c>
      <c r="F221" t="s">
        <v>1849</v>
      </c>
      <c r="G221" s="37" t="s">
        <v>11</v>
      </c>
      <c r="H221" s="37" t="s">
        <v>21</v>
      </c>
      <c r="I221" s="11" t="s">
        <v>1551</v>
      </c>
      <c r="J221" s="11" t="s">
        <v>1564</v>
      </c>
      <c r="K221" s="11" t="s">
        <v>1600</v>
      </c>
      <c r="L221" s="28" t="s">
        <v>3005</v>
      </c>
      <c r="N221" s="11" t="s">
        <v>1641</v>
      </c>
      <c r="O221" s="11">
        <v>2.2599999999999998</v>
      </c>
      <c r="P221" s="11" t="s">
        <v>1589</v>
      </c>
      <c r="V221" t="s">
        <v>980</v>
      </c>
    </row>
    <row r="222" spans="1:22" hidden="1" x14ac:dyDescent="0.25">
      <c r="A222">
        <v>2025</v>
      </c>
      <c r="B222" t="s">
        <v>772</v>
      </c>
      <c r="C222" t="s">
        <v>717</v>
      </c>
      <c r="D222" t="s">
        <v>89</v>
      </c>
      <c r="E222" t="s">
        <v>1269</v>
      </c>
      <c r="F222" t="s">
        <v>1849</v>
      </c>
      <c r="G222" s="37" t="s">
        <v>11</v>
      </c>
      <c r="H222" s="37" t="s">
        <v>21</v>
      </c>
      <c r="I222" s="28" t="s">
        <v>125</v>
      </c>
      <c r="J222" s="11" t="s">
        <v>1564</v>
      </c>
      <c r="K222" s="11" t="s">
        <v>1600</v>
      </c>
      <c r="L222" s="28" t="s">
        <v>3005</v>
      </c>
      <c r="M222" s="29"/>
      <c r="N222" s="11" t="s">
        <v>1641</v>
      </c>
      <c r="O222" s="28">
        <v>0.66</v>
      </c>
      <c r="P222" s="28" t="s">
        <v>1589</v>
      </c>
      <c r="Q222" s="28"/>
      <c r="R222" s="28"/>
      <c r="S222" s="28"/>
      <c r="T222" s="28"/>
      <c r="U222" s="28"/>
      <c r="V222" t="s">
        <v>980</v>
      </c>
    </row>
    <row r="223" spans="1:22" hidden="1" x14ac:dyDescent="0.25">
      <c r="A223">
        <v>2025</v>
      </c>
      <c r="B223" t="s">
        <v>772</v>
      </c>
      <c r="C223" t="s">
        <v>717</v>
      </c>
      <c r="D223" t="s">
        <v>89</v>
      </c>
      <c r="E223" t="s">
        <v>1269</v>
      </c>
      <c r="F223" t="s">
        <v>1849</v>
      </c>
      <c r="G223" s="37" t="s">
        <v>11</v>
      </c>
      <c r="H223" s="37" t="s">
        <v>21</v>
      </c>
      <c r="I223" s="28" t="s">
        <v>1549</v>
      </c>
      <c r="J223" s="11" t="s">
        <v>1564</v>
      </c>
      <c r="K223" s="11" t="s">
        <v>1600</v>
      </c>
      <c r="L223" s="28" t="s">
        <v>3005</v>
      </c>
      <c r="M223" s="29"/>
      <c r="N223" s="11" t="s">
        <v>1641</v>
      </c>
      <c r="O223" s="28">
        <v>29.4</v>
      </c>
      <c r="P223" s="28" t="s">
        <v>1567</v>
      </c>
      <c r="Q223" s="28"/>
      <c r="R223" s="28"/>
      <c r="S223" s="28"/>
      <c r="T223" s="28"/>
      <c r="U223" s="28"/>
      <c r="V223" t="s">
        <v>980</v>
      </c>
    </row>
    <row r="224" spans="1:22" hidden="1" x14ac:dyDescent="0.25">
      <c r="A224">
        <v>2025</v>
      </c>
      <c r="B224" t="s">
        <v>772</v>
      </c>
      <c r="C224" t="s">
        <v>717</v>
      </c>
      <c r="D224" t="s">
        <v>89</v>
      </c>
      <c r="E224" t="s">
        <v>1269</v>
      </c>
      <c r="F224" t="s">
        <v>1849</v>
      </c>
      <c r="G224" s="37" t="s">
        <v>11</v>
      </c>
      <c r="H224" s="37" t="s">
        <v>21</v>
      </c>
      <c r="I224" s="11" t="s">
        <v>1772</v>
      </c>
      <c r="J224" s="11" t="s">
        <v>1570</v>
      </c>
      <c r="K224" s="11" t="s">
        <v>1573</v>
      </c>
      <c r="L224" s="28" t="s">
        <v>3005</v>
      </c>
      <c r="M224" s="29">
        <v>2513000</v>
      </c>
      <c r="N224" s="11" t="s">
        <v>1641</v>
      </c>
      <c r="O224" s="28"/>
      <c r="P224" s="28"/>
      <c r="Q224" s="28"/>
      <c r="R224" s="28"/>
      <c r="S224" s="28"/>
      <c r="T224" s="28"/>
      <c r="U224" s="28"/>
      <c r="V224" t="s">
        <v>980</v>
      </c>
    </row>
    <row r="225" spans="1:22" hidden="1" x14ac:dyDescent="0.25">
      <c r="A225">
        <v>2025</v>
      </c>
      <c r="B225" t="s">
        <v>772</v>
      </c>
      <c r="C225" t="s">
        <v>717</v>
      </c>
      <c r="D225" t="s">
        <v>89</v>
      </c>
      <c r="E225" t="s">
        <v>1269</v>
      </c>
      <c r="F225" t="s">
        <v>1849</v>
      </c>
      <c r="G225" s="37" t="s">
        <v>11</v>
      </c>
      <c r="H225" s="37" t="s">
        <v>21</v>
      </c>
      <c r="I225" s="11" t="s">
        <v>16</v>
      </c>
      <c r="J225" s="11" t="s">
        <v>1570</v>
      </c>
      <c r="K225" s="11" t="s">
        <v>1573</v>
      </c>
      <c r="L225" s="28" t="s">
        <v>3005</v>
      </c>
      <c r="M225" s="29"/>
      <c r="N225" s="28"/>
      <c r="O225" s="28">
        <v>3.7</v>
      </c>
      <c r="P225" s="11" t="s">
        <v>1567</v>
      </c>
      <c r="Q225" s="28"/>
      <c r="R225" s="28"/>
      <c r="S225" s="28"/>
      <c r="T225" s="28"/>
      <c r="U225" s="28"/>
      <c r="V225" t="s">
        <v>980</v>
      </c>
    </row>
    <row r="226" spans="1:22" hidden="1" x14ac:dyDescent="0.25">
      <c r="A226">
        <v>2025</v>
      </c>
      <c r="B226" t="s">
        <v>772</v>
      </c>
      <c r="C226" t="s">
        <v>717</v>
      </c>
      <c r="D226" t="s">
        <v>89</v>
      </c>
      <c r="E226" t="s">
        <v>1269</v>
      </c>
      <c r="F226" t="s">
        <v>1849</v>
      </c>
      <c r="G226" s="37" t="s">
        <v>11</v>
      </c>
      <c r="H226" s="37" t="s">
        <v>21</v>
      </c>
      <c r="I226" s="11" t="s">
        <v>1551</v>
      </c>
      <c r="J226" s="11" t="s">
        <v>1570</v>
      </c>
      <c r="K226" s="11" t="s">
        <v>1573</v>
      </c>
      <c r="L226" s="28" t="s">
        <v>3005</v>
      </c>
      <c r="M226" s="29"/>
      <c r="N226" s="28"/>
      <c r="O226" s="28">
        <v>1.42</v>
      </c>
      <c r="P226" s="11" t="s">
        <v>1589</v>
      </c>
      <c r="Q226" s="28"/>
      <c r="R226" s="28"/>
      <c r="S226" s="28"/>
      <c r="T226" s="28"/>
      <c r="U226" s="28"/>
      <c r="V226" t="s">
        <v>980</v>
      </c>
    </row>
    <row r="227" spans="1:22" hidden="1" x14ac:dyDescent="0.25">
      <c r="A227">
        <v>2025</v>
      </c>
      <c r="B227" t="s">
        <v>772</v>
      </c>
      <c r="C227" t="s">
        <v>717</v>
      </c>
      <c r="D227" t="s">
        <v>89</v>
      </c>
      <c r="E227" t="s">
        <v>1269</v>
      </c>
      <c r="F227" t="s">
        <v>1849</v>
      </c>
      <c r="G227" s="37" t="s">
        <v>11</v>
      </c>
      <c r="H227" s="37" t="s">
        <v>21</v>
      </c>
      <c r="I227" s="28" t="s">
        <v>125</v>
      </c>
      <c r="J227" s="11" t="s">
        <v>1570</v>
      </c>
      <c r="K227" s="11" t="s">
        <v>1573</v>
      </c>
      <c r="L227" s="28" t="s">
        <v>3005</v>
      </c>
      <c r="M227" s="29"/>
      <c r="N227" s="28"/>
      <c r="O227" s="28">
        <v>1.92</v>
      </c>
      <c r="P227" s="28" t="s">
        <v>1589</v>
      </c>
      <c r="Q227" s="28"/>
      <c r="R227" s="28"/>
      <c r="S227" s="28"/>
      <c r="T227" s="28"/>
      <c r="U227" s="28"/>
      <c r="V227" t="s">
        <v>980</v>
      </c>
    </row>
    <row r="228" spans="1:22" hidden="1" x14ac:dyDescent="0.25">
      <c r="A228">
        <v>2025</v>
      </c>
      <c r="B228" t="s">
        <v>772</v>
      </c>
      <c r="C228" t="s">
        <v>717</v>
      </c>
      <c r="D228" t="s">
        <v>89</v>
      </c>
      <c r="E228" t="s">
        <v>1269</v>
      </c>
      <c r="F228" t="s">
        <v>1849</v>
      </c>
      <c r="G228" s="37" t="s">
        <v>11</v>
      </c>
      <c r="H228" s="37" t="s">
        <v>21</v>
      </c>
      <c r="I228" s="28" t="s">
        <v>1549</v>
      </c>
      <c r="J228" s="11" t="s">
        <v>1570</v>
      </c>
      <c r="K228" s="11" t="s">
        <v>1573</v>
      </c>
      <c r="L228" s="28" t="s">
        <v>3005</v>
      </c>
      <c r="M228" s="29"/>
      <c r="N228" s="28"/>
      <c r="O228" s="28">
        <v>18.600000000000001</v>
      </c>
      <c r="P228" s="28" t="s">
        <v>1567</v>
      </c>
      <c r="Q228" s="28"/>
      <c r="R228" s="28"/>
      <c r="S228" s="28"/>
      <c r="T228" s="28"/>
      <c r="U228" s="28"/>
      <c r="V228" t="s">
        <v>980</v>
      </c>
    </row>
    <row r="229" spans="1:22" hidden="1" x14ac:dyDescent="0.25">
      <c r="A229">
        <v>2024</v>
      </c>
      <c r="B229" t="s">
        <v>772</v>
      </c>
      <c r="C229" t="s">
        <v>30</v>
      </c>
      <c r="D229" t="s">
        <v>31</v>
      </c>
      <c r="E229" t="s">
        <v>1210</v>
      </c>
      <c r="G229" s="37" t="s">
        <v>11</v>
      </c>
      <c r="H229" s="37" t="s">
        <v>13</v>
      </c>
      <c r="I229" t="s">
        <v>16</v>
      </c>
      <c r="J229" t="s">
        <v>1564</v>
      </c>
      <c r="K229" s="28" t="s">
        <v>1565</v>
      </c>
      <c r="L229" s="28" t="s">
        <v>3005</v>
      </c>
      <c r="M229">
        <v>1360</v>
      </c>
      <c r="N229" t="s">
        <v>1566</v>
      </c>
      <c r="O229">
        <v>5.72</v>
      </c>
      <c r="P229" t="s">
        <v>1567</v>
      </c>
      <c r="Q229">
        <v>250</v>
      </c>
      <c r="R229" t="s">
        <v>1550</v>
      </c>
      <c r="V229" t="s">
        <v>1879</v>
      </c>
    </row>
    <row r="230" spans="1:22" hidden="1" x14ac:dyDescent="0.25">
      <c r="A230">
        <v>2024</v>
      </c>
      <c r="B230" t="s">
        <v>772</v>
      </c>
      <c r="C230" t="s">
        <v>30</v>
      </c>
      <c r="D230" t="s">
        <v>31</v>
      </c>
      <c r="E230" t="s">
        <v>1210</v>
      </c>
      <c r="G230" s="37" t="s">
        <v>11</v>
      </c>
      <c r="H230" s="37" t="s">
        <v>13</v>
      </c>
      <c r="I230" t="s">
        <v>16</v>
      </c>
      <c r="J230" t="s">
        <v>1564</v>
      </c>
      <c r="K230" s="28" t="s">
        <v>1574</v>
      </c>
      <c r="L230" s="28" t="s">
        <v>3005</v>
      </c>
      <c r="M230">
        <v>4617</v>
      </c>
      <c r="N230" t="s">
        <v>1566</v>
      </c>
      <c r="O230">
        <v>6.92</v>
      </c>
      <c r="P230" t="s">
        <v>1567</v>
      </c>
      <c r="Q230">
        <v>1027</v>
      </c>
      <c r="R230" t="s">
        <v>1550</v>
      </c>
      <c r="V230" t="s">
        <v>1879</v>
      </c>
    </row>
    <row r="231" spans="1:22" hidden="1" x14ac:dyDescent="0.25">
      <c r="A231">
        <v>2024</v>
      </c>
      <c r="B231" t="s">
        <v>772</v>
      </c>
      <c r="C231" t="s">
        <v>30</v>
      </c>
      <c r="D231" t="s">
        <v>31</v>
      </c>
      <c r="E231" t="s">
        <v>1210</v>
      </c>
      <c r="G231" s="37" t="s">
        <v>11</v>
      </c>
      <c r="H231" s="37" t="s">
        <v>13</v>
      </c>
      <c r="I231" t="s">
        <v>16</v>
      </c>
      <c r="J231" t="s">
        <v>1570</v>
      </c>
      <c r="K231" t="s">
        <v>1571</v>
      </c>
      <c r="L231" s="28" t="s">
        <v>3005</v>
      </c>
      <c r="M231">
        <v>391266</v>
      </c>
      <c r="N231" t="s">
        <v>1566</v>
      </c>
      <c r="O231">
        <v>0.94</v>
      </c>
      <c r="P231" t="s">
        <v>1567</v>
      </c>
      <c r="Q231">
        <v>11797</v>
      </c>
      <c r="R231" t="s">
        <v>1550</v>
      </c>
      <c r="V231" t="s">
        <v>1879</v>
      </c>
    </row>
    <row r="232" spans="1:22" hidden="1" x14ac:dyDescent="0.25">
      <c r="A232">
        <v>2024</v>
      </c>
      <c r="B232" t="s">
        <v>772</v>
      </c>
      <c r="C232" t="s">
        <v>30</v>
      </c>
      <c r="D232" t="s">
        <v>31</v>
      </c>
      <c r="E232" t="s">
        <v>1210</v>
      </c>
      <c r="G232" s="37" t="s">
        <v>11</v>
      </c>
      <c r="H232" s="37" t="s">
        <v>13</v>
      </c>
      <c r="I232" t="s">
        <v>16</v>
      </c>
      <c r="J232" t="s">
        <v>1570</v>
      </c>
      <c r="K232" t="s">
        <v>1572</v>
      </c>
      <c r="L232" s="28" t="s">
        <v>3005</v>
      </c>
      <c r="M232">
        <v>277840</v>
      </c>
      <c r="N232" t="s">
        <v>1566</v>
      </c>
      <c r="O232">
        <v>1.1499999999999999</v>
      </c>
      <c r="P232" t="s">
        <v>1567</v>
      </c>
      <c r="Q232">
        <v>10242</v>
      </c>
      <c r="R232" t="s">
        <v>1550</v>
      </c>
      <c r="V232" t="s">
        <v>1879</v>
      </c>
    </row>
    <row r="233" spans="1:22" hidden="1" x14ac:dyDescent="0.25">
      <c r="A233">
        <v>2024</v>
      </c>
      <c r="B233" t="s">
        <v>772</v>
      </c>
      <c r="C233" t="s">
        <v>30</v>
      </c>
      <c r="D233" t="s">
        <v>31</v>
      </c>
      <c r="E233" t="s">
        <v>1210</v>
      </c>
      <c r="G233" s="37" t="s">
        <v>11</v>
      </c>
      <c r="H233" s="37" t="s">
        <v>13</v>
      </c>
      <c r="I233" t="s">
        <v>16</v>
      </c>
      <c r="J233" t="s">
        <v>1570</v>
      </c>
      <c r="K233" t="s">
        <v>1573</v>
      </c>
      <c r="L233" s="28" t="s">
        <v>3005</v>
      </c>
      <c r="M233">
        <v>114527</v>
      </c>
      <c r="N233" t="s">
        <v>1566</v>
      </c>
      <c r="O233">
        <v>1.84</v>
      </c>
      <c r="P233" t="s">
        <v>1567</v>
      </c>
      <c r="Q233">
        <v>6762</v>
      </c>
      <c r="R233" t="s">
        <v>1550</v>
      </c>
      <c r="V233" t="s">
        <v>1879</v>
      </c>
    </row>
    <row r="234" spans="1:22" hidden="1" x14ac:dyDescent="0.25">
      <c r="A234">
        <v>2024</v>
      </c>
      <c r="B234" t="s">
        <v>772</v>
      </c>
      <c r="C234" t="s">
        <v>14</v>
      </c>
      <c r="D234" t="s">
        <v>91</v>
      </c>
      <c r="E234" t="s">
        <v>1126</v>
      </c>
      <c r="G234" s="37" t="s">
        <v>11</v>
      </c>
      <c r="H234" s="37" t="s">
        <v>23</v>
      </c>
      <c r="I234" t="s">
        <v>92</v>
      </c>
      <c r="J234" t="s">
        <v>1564</v>
      </c>
      <c r="K234" t="s">
        <v>1565</v>
      </c>
      <c r="L234" s="28" t="s">
        <v>3005</v>
      </c>
      <c r="M234">
        <v>7424</v>
      </c>
      <c r="N234" t="s">
        <v>1566</v>
      </c>
      <c r="O234">
        <v>2.98</v>
      </c>
      <c r="P234" t="s">
        <v>1567</v>
      </c>
      <c r="Q234">
        <v>712</v>
      </c>
      <c r="R234" t="s">
        <v>1550</v>
      </c>
      <c r="T234">
        <v>94.6</v>
      </c>
      <c r="V234" t="s">
        <v>1568</v>
      </c>
    </row>
    <row r="235" spans="1:22" hidden="1" x14ac:dyDescent="0.25">
      <c r="A235">
        <v>2024</v>
      </c>
      <c r="B235" t="s">
        <v>772</v>
      </c>
      <c r="C235" t="s">
        <v>14</v>
      </c>
      <c r="D235" t="s">
        <v>91</v>
      </c>
      <c r="E235" t="s">
        <v>1126</v>
      </c>
      <c r="G235" s="37" t="s">
        <v>11</v>
      </c>
      <c r="H235" s="37" t="s">
        <v>23</v>
      </c>
      <c r="I235" t="s">
        <v>92</v>
      </c>
      <c r="J235" t="s">
        <v>1564</v>
      </c>
      <c r="K235" t="s">
        <v>1574</v>
      </c>
      <c r="L235" s="28" t="s">
        <v>3005</v>
      </c>
      <c r="M235">
        <v>12574</v>
      </c>
      <c r="N235" t="s">
        <v>1566</v>
      </c>
      <c r="O235">
        <v>5.0199999999999996</v>
      </c>
      <c r="P235" t="s">
        <v>1567</v>
      </c>
      <c r="Q235">
        <v>2028</v>
      </c>
      <c r="R235" t="s">
        <v>1550</v>
      </c>
      <c r="T235">
        <v>94.6</v>
      </c>
      <c r="V235" t="s">
        <v>1568</v>
      </c>
    </row>
    <row r="236" spans="1:22" hidden="1" x14ac:dyDescent="0.25">
      <c r="A236">
        <v>2024</v>
      </c>
      <c r="B236" t="s">
        <v>772</v>
      </c>
      <c r="C236" t="s">
        <v>14</v>
      </c>
      <c r="D236" t="s">
        <v>91</v>
      </c>
      <c r="E236" t="s">
        <v>1126</v>
      </c>
      <c r="G236" s="37" t="s">
        <v>11</v>
      </c>
      <c r="H236" s="37" t="s">
        <v>23</v>
      </c>
      <c r="I236" t="s">
        <v>92</v>
      </c>
      <c r="J236" t="s">
        <v>1570</v>
      </c>
      <c r="K236" t="s">
        <v>1572</v>
      </c>
      <c r="L236" s="28" t="s">
        <v>3005</v>
      </c>
      <c r="M236">
        <v>16945</v>
      </c>
      <c r="N236" t="s">
        <v>1566</v>
      </c>
      <c r="O236">
        <v>2.79</v>
      </c>
      <c r="P236" t="s">
        <v>1567</v>
      </c>
      <c r="Q236">
        <v>1522</v>
      </c>
      <c r="R236" t="s">
        <v>1550</v>
      </c>
      <c r="V236" t="s">
        <v>1568</v>
      </c>
    </row>
    <row r="237" spans="1:22" hidden="1" x14ac:dyDescent="0.25">
      <c r="A237">
        <v>2024</v>
      </c>
      <c r="B237" t="s">
        <v>772</v>
      </c>
      <c r="C237" t="s">
        <v>14</v>
      </c>
      <c r="D237" t="s">
        <v>91</v>
      </c>
      <c r="E237" t="s">
        <v>1126</v>
      </c>
      <c r="G237" s="37" t="s">
        <v>11</v>
      </c>
      <c r="H237" s="37" t="s">
        <v>23</v>
      </c>
      <c r="I237" t="s">
        <v>92</v>
      </c>
      <c r="J237" t="s">
        <v>1570</v>
      </c>
      <c r="K237" t="s">
        <v>1573</v>
      </c>
      <c r="L237" s="28" t="s">
        <v>3005</v>
      </c>
      <c r="M237">
        <v>8806</v>
      </c>
      <c r="N237" t="s">
        <v>1566</v>
      </c>
      <c r="O237">
        <v>4.38</v>
      </c>
      <c r="P237" t="s">
        <v>1567</v>
      </c>
      <c r="Q237">
        <v>1240</v>
      </c>
      <c r="R237" t="s">
        <v>1550</v>
      </c>
      <c r="V237" t="s">
        <v>1568</v>
      </c>
    </row>
    <row r="238" spans="1:22" hidden="1" x14ac:dyDescent="0.25">
      <c r="A238">
        <v>2024</v>
      </c>
      <c r="B238" t="s">
        <v>772</v>
      </c>
      <c r="C238" t="s">
        <v>14</v>
      </c>
      <c r="D238" t="s">
        <v>67</v>
      </c>
      <c r="E238" t="s">
        <v>1128</v>
      </c>
      <c r="G238" s="37" t="s">
        <v>11</v>
      </c>
      <c r="H238" s="37" t="s">
        <v>21</v>
      </c>
      <c r="I238" t="s">
        <v>64</v>
      </c>
      <c r="J238" t="s">
        <v>1564</v>
      </c>
      <c r="K238" t="s">
        <v>1565</v>
      </c>
      <c r="L238" s="28" t="s">
        <v>3005</v>
      </c>
      <c r="M238">
        <v>352</v>
      </c>
      <c r="N238" t="s">
        <v>1566</v>
      </c>
      <c r="O238">
        <v>12.65</v>
      </c>
      <c r="P238" t="s">
        <v>1567</v>
      </c>
      <c r="Q238">
        <v>143</v>
      </c>
      <c r="R238" t="s">
        <v>1550</v>
      </c>
      <c r="V238" t="s">
        <v>1568</v>
      </c>
    </row>
    <row r="239" spans="1:22" hidden="1" x14ac:dyDescent="0.25">
      <c r="A239">
        <v>2024</v>
      </c>
      <c r="B239" t="s">
        <v>772</v>
      </c>
      <c r="C239" t="s">
        <v>14</v>
      </c>
      <c r="D239" t="s">
        <v>67</v>
      </c>
      <c r="E239" t="s">
        <v>1128</v>
      </c>
      <c r="G239" s="37" t="s">
        <v>11</v>
      </c>
      <c r="H239" s="37" t="s">
        <v>21</v>
      </c>
      <c r="I239" t="s">
        <v>64</v>
      </c>
      <c r="J239" t="s">
        <v>1564</v>
      </c>
      <c r="K239" t="s">
        <v>1569</v>
      </c>
      <c r="L239" s="28" t="s">
        <v>3005</v>
      </c>
      <c r="M239">
        <v>6675</v>
      </c>
      <c r="N239" t="s">
        <v>1566</v>
      </c>
      <c r="O239">
        <v>9</v>
      </c>
      <c r="P239" t="s">
        <v>1567</v>
      </c>
      <c r="Q239">
        <v>1931</v>
      </c>
      <c r="R239" t="s">
        <v>1550</v>
      </c>
      <c r="V239" t="s">
        <v>1568</v>
      </c>
    </row>
    <row r="240" spans="1:22" hidden="1" x14ac:dyDescent="0.25">
      <c r="A240">
        <v>2024</v>
      </c>
      <c r="B240" t="s">
        <v>772</v>
      </c>
      <c r="C240" t="s">
        <v>14</v>
      </c>
      <c r="D240" t="s">
        <v>67</v>
      </c>
      <c r="E240" t="s">
        <v>1128</v>
      </c>
      <c r="G240" s="37" t="s">
        <v>11</v>
      </c>
      <c r="H240" s="37" t="s">
        <v>21</v>
      </c>
      <c r="I240" t="s">
        <v>64</v>
      </c>
      <c r="J240" t="s">
        <v>1570</v>
      </c>
      <c r="K240" t="s">
        <v>1571</v>
      </c>
      <c r="L240" s="28" t="s">
        <v>3005</v>
      </c>
      <c r="M240">
        <v>278</v>
      </c>
      <c r="N240" t="s">
        <v>1566</v>
      </c>
      <c r="O240">
        <v>8.4600000000000009</v>
      </c>
      <c r="P240" t="s">
        <v>1567</v>
      </c>
      <c r="Q240">
        <v>76</v>
      </c>
      <c r="R240" t="s">
        <v>1550</v>
      </c>
      <c r="V240" t="s">
        <v>1568</v>
      </c>
    </row>
    <row r="241" spans="1:22" hidden="1" x14ac:dyDescent="0.25">
      <c r="A241">
        <v>2024</v>
      </c>
      <c r="B241" t="s">
        <v>772</v>
      </c>
      <c r="C241" t="s">
        <v>14</v>
      </c>
      <c r="D241" t="s">
        <v>67</v>
      </c>
      <c r="E241" t="s">
        <v>1128</v>
      </c>
      <c r="G241" s="37" t="s">
        <v>11</v>
      </c>
      <c r="H241" s="37" t="s">
        <v>21</v>
      </c>
      <c r="I241" t="s">
        <v>64</v>
      </c>
      <c r="J241" t="s">
        <v>1570</v>
      </c>
      <c r="K241" t="s">
        <v>1572</v>
      </c>
      <c r="L241" s="28" t="s">
        <v>3005</v>
      </c>
      <c r="M241">
        <v>3144</v>
      </c>
      <c r="N241" t="s">
        <v>1566</v>
      </c>
      <c r="O241">
        <v>7.05</v>
      </c>
      <c r="P241" t="s">
        <v>1567</v>
      </c>
      <c r="Q241">
        <v>712</v>
      </c>
      <c r="R241" t="s">
        <v>1550</v>
      </c>
      <c r="V241" t="s">
        <v>1568</v>
      </c>
    </row>
    <row r="242" spans="1:22" hidden="1" x14ac:dyDescent="0.25">
      <c r="A242">
        <v>2024</v>
      </c>
      <c r="B242" t="s">
        <v>772</v>
      </c>
      <c r="C242" t="s">
        <v>14</v>
      </c>
      <c r="D242" t="s">
        <v>67</v>
      </c>
      <c r="E242" t="s">
        <v>1128</v>
      </c>
      <c r="G242" s="37" t="s">
        <v>11</v>
      </c>
      <c r="H242" s="37" t="s">
        <v>21</v>
      </c>
      <c r="I242" t="s">
        <v>64</v>
      </c>
      <c r="J242" t="s">
        <v>1570</v>
      </c>
      <c r="K242" t="s">
        <v>1573</v>
      </c>
      <c r="L242" s="28" t="s">
        <v>3005</v>
      </c>
      <c r="M242">
        <v>5524</v>
      </c>
      <c r="N242" t="s">
        <v>1566</v>
      </c>
      <c r="O242">
        <v>7.44</v>
      </c>
      <c r="P242" t="s">
        <v>1567</v>
      </c>
      <c r="Q242">
        <v>1322</v>
      </c>
      <c r="R242" t="s">
        <v>1550</v>
      </c>
      <c r="V242" t="s">
        <v>1568</v>
      </c>
    </row>
    <row r="243" spans="1:22" hidden="1" x14ac:dyDescent="0.25">
      <c r="A243">
        <v>2023</v>
      </c>
      <c r="B243" t="s">
        <v>772</v>
      </c>
      <c r="C243" t="s">
        <v>159</v>
      </c>
      <c r="D243" t="s">
        <v>160</v>
      </c>
      <c r="E243" t="s">
        <v>1165</v>
      </c>
      <c r="G243" s="37" t="s">
        <v>11</v>
      </c>
      <c r="H243" s="37" t="s">
        <v>34</v>
      </c>
      <c r="I243" t="s">
        <v>157</v>
      </c>
      <c r="J243" t="s">
        <v>1564</v>
      </c>
      <c r="K243" s="28" t="s">
        <v>1872</v>
      </c>
      <c r="L243" s="28" t="s">
        <v>3005</v>
      </c>
      <c r="M243">
        <v>663000</v>
      </c>
      <c r="N243" t="s">
        <v>1641</v>
      </c>
      <c r="U243" t="s">
        <v>2966</v>
      </c>
      <c r="V243" t="s">
        <v>2965</v>
      </c>
    </row>
    <row r="244" spans="1:22" ht="30" hidden="1" x14ac:dyDescent="0.25">
      <c r="A244">
        <v>2023</v>
      </c>
      <c r="B244" t="s">
        <v>772</v>
      </c>
      <c r="C244" t="s">
        <v>159</v>
      </c>
      <c r="D244" t="s">
        <v>160</v>
      </c>
      <c r="E244" t="s">
        <v>1165</v>
      </c>
      <c r="G244" s="37" t="s">
        <v>11</v>
      </c>
      <c r="H244" s="37" t="s">
        <v>34</v>
      </c>
      <c r="I244" t="s">
        <v>157</v>
      </c>
      <c r="J244" s="28" t="s">
        <v>1570</v>
      </c>
      <c r="K244" s="28" t="s">
        <v>1873</v>
      </c>
      <c r="L244" s="28" t="s">
        <v>3005</v>
      </c>
      <c r="M244">
        <v>1004000</v>
      </c>
      <c r="N244" t="s">
        <v>1641</v>
      </c>
      <c r="U244" t="s">
        <v>2966</v>
      </c>
      <c r="V244" t="s">
        <v>2965</v>
      </c>
    </row>
    <row r="245" spans="1:22" x14ac:dyDescent="0.25">
      <c r="A245">
        <v>2024</v>
      </c>
      <c r="B245" t="s">
        <v>772</v>
      </c>
      <c r="C245" t="s">
        <v>208</v>
      </c>
      <c r="D245" t="s">
        <v>212</v>
      </c>
      <c r="E245" t="s">
        <v>1176</v>
      </c>
      <c r="G245" s="37" t="s">
        <v>11</v>
      </c>
      <c r="H245" s="37" t="s">
        <v>44</v>
      </c>
      <c r="I245" t="s">
        <v>210</v>
      </c>
      <c r="J245" t="s">
        <v>1564</v>
      </c>
      <c r="K245" t="s">
        <v>1565</v>
      </c>
      <c r="L245" s="28" t="s">
        <v>3005</v>
      </c>
      <c r="M245">
        <v>1970.3</v>
      </c>
      <c r="N245" t="s">
        <v>1566</v>
      </c>
      <c r="O245">
        <v>6.81</v>
      </c>
      <c r="P245" t="s">
        <v>1652</v>
      </c>
      <c r="Q245">
        <v>295.8</v>
      </c>
      <c r="R245" t="s">
        <v>1709</v>
      </c>
      <c r="T245">
        <v>99.2</v>
      </c>
      <c r="V245" t="s">
        <v>1648</v>
      </c>
    </row>
    <row r="246" spans="1:22" x14ac:dyDescent="0.25">
      <c r="A246">
        <v>2024</v>
      </c>
      <c r="B246" t="s">
        <v>772</v>
      </c>
      <c r="C246" t="s">
        <v>208</v>
      </c>
      <c r="D246" t="s">
        <v>212</v>
      </c>
      <c r="E246" t="s">
        <v>1176</v>
      </c>
      <c r="G246" s="37" t="s">
        <v>11</v>
      </c>
      <c r="H246" s="37" t="s">
        <v>44</v>
      </c>
      <c r="I246" t="s">
        <v>210</v>
      </c>
      <c r="J246" t="s">
        <v>1564</v>
      </c>
      <c r="K246" t="s">
        <v>1574</v>
      </c>
      <c r="L246" s="28" t="s">
        <v>3005</v>
      </c>
      <c r="M246">
        <v>520.4</v>
      </c>
      <c r="N246" t="s">
        <v>1566</v>
      </c>
      <c r="O246">
        <v>5.56</v>
      </c>
      <c r="P246" t="s">
        <v>1652</v>
      </c>
      <c r="Q246">
        <v>63.7</v>
      </c>
      <c r="R246" t="s">
        <v>1709</v>
      </c>
      <c r="T246">
        <v>99.2</v>
      </c>
      <c r="V246" t="s">
        <v>1648</v>
      </c>
    </row>
    <row r="247" spans="1:22" x14ac:dyDescent="0.25">
      <c r="A247">
        <v>2024</v>
      </c>
      <c r="B247" t="s">
        <v>772</v>
      </c>
      <c r="C247" t="s">
        <v>208</v>
      </c>
      <c r="D247" t="s">
        <v>212</v>
      </c>
      <c r="E247" t="s">
        <v>1176</v>
      </c>
      <c r="G247" s="37" t="s">
        <v>11</v>
      </c>
      <c r="H247" s="37" t="s">
        <v>44</v>
      </c>
      <c r="I247" t="s">
        <v>210</v>
      </c>
      <c r="J247" t="s">
        <v>1570</v>
      </c>
      <c r="K247" t="s">
        <v>1571</v>
      </c>
      <c r="L247" s="28" t="s">
        <v>3005</v>
      </c>
      <c r="M247">
        <v>71.8</v>
      </c>
      <c r="N247" t="s">
        <v>1566</v>
      </c>
      <c r="O247">
        <v>2.2799999999999998</v>
      </c>
      <c r="P247" t="s">
        <v>1652</v>
      </c>
      <c r="Q247">
        <v>3.6</v>
      </c>
      <c r="R247" t="s">
        <v>1709</v>
      </c>
      <c r="V247" t="s">
        <v>1648</v>
      </c>
    </row>
    <row r="248" spans="1:22" x14ac:dyDescent="0.25">
      <c r="A248">
        <v>2024</v>
      </c>
      <c r="B248" t="s">
        <v>772</v>
      </c>
      <c r="C248" t="s">
        <v>208</v>
      </c>
      <c r="D248" t="s">
        <v>212</v>
      </c>
      <c r="E248" t="s">
        <v>1176</v>
      </c>
      <c r="G248" s="37" t="s">
        <v>11</v>
      </c>
      <c r="H248" s="37" t="s">
        <v>44</v>
      </c>
      <c r="I248" t="s">
        <v>210</v>
      </c>
      <c r="J248" t="s">
        <v>1570</v>
      </c>
      <c r="K248" t="s">
        <v>1572</v>
      </c>
      <c r="L248" s="28" t="s">
        <v>3005</v>
      </c>
      <c r="M248">
        <v>60.3</v>
      </c>
      <c r="N248" t="s">
        <v>1566</v>
      </c>
      <c r="O248">
        <v>2.31</v>
      </c>
      <c r="P248" t="s">
        <v>1652</v>
      </c>
      <c r="Q248">
        <v>3.1</v>
      </c>
      <c r="R248" t="s">
        <v>1709</v>
      </c>
      <c r="V248" t="s">
        <v>1648</v>
      </c>
    </row>
    <row r="249" spans="1:22" x14ac:dyDescent="0.25">
      <c r="A249">
        <v>2024</v>
      </c>
      <c r="B249" t="s">
        <v>772</v>
      </c>
      <c r="C249" t="s">
        <v>208</v>
      </c>
      <c r="D249" t="s">
        <v>212</v>
      </c>
      <c r="E249" t="s">
        <v>1176</v>
      </c>
      <c r="G249" s="37" t="s">
        <v>11</v>
      </c>
      <c r="H249" s="37" t="s">
        <v>44</v>
      </c>
      <c r="I249" t="s">
        <v>210</v>
      </c>
      <c r="J249" t="s">
        <v>1570</v>
      </c>
      <c r="K249" t="s">
        <v>1573</v>
      </c>
      <c r="L249" s="28" t="s">
        <v>3005</v>
      </c>
      <c r="M249">
        <v>36.4</v>
      </c>
      <c r="N249" t="s">
        <v>1566</v>
      </c>
      <c r="O249">
        <v>2.95</v>
      </c>
      <c r="P249" t="s">
        <v>1652</v>
      </c>
      <c r="Q249">
        <v>2.4</v>
      </c>
      <c r="R249" t="s">
        <v>1709</v>
      </c>
      <c r="V249" t="s">
        <v>1648</v>
      </c>
    </row>
    <row r="250" spans="1:22" hidden="1" x14ac:dyDescent="0.25">
      <c r="A250">
        <v>2024</v>
      </c>
      <c r="B250" t="s">
        <v>1537</v>
      </c>
      <c r="C250" t="s">
        <v>14</v>
      </c>
      <c r="D250" t="s">
        <v>20</v>
      </c>
      <c r="F250" t="s">
        <v>1749</v>
      </c>
      <c r="G250" s="37" t="s">
        <v>11</v>
      </c>
      <c r="H250" s="37" t="s">
        <v>23</v>
      </c>
      <c r="I250" t="s">
        <v>16</v>
      </c>
      <c r="J250" t="s">
        <v>1564</v>
      </c>
      <c r="K250" t="s">
        <v>1565</v>
      </c>
      <c r="L250" s="28" t="s">
        <v>3005</v>
      </c>
      <c r="M250">
        <v>3355</v>
      </c>
      <c r="N250" t="s">
        <v>1566</v>
      </c>
      <c r="O250">
        <v>1.86</v>
      </c>
      <c r="P250" t="s">
        <v>1567</v>
      </c>
      <c r="Q250">
        <v>200</v>
      </c>
      <c r="R250" t="s">
        <v>1550</v>
      </c>
      <c r="T250">
        <v>90.7</v>
      </c>
      <c r="V250" t="s">
        <v>1568</v>
      </c>
    </row>
    <row r="251" spans="1:22" hidden="1" x14ac:dyDescent="0.25">
      <c r="A251">
        <v>2024</v>
      </c>
      <c r="B251" t="s">
        <v>1537</v>
      </c>
      <c r="C251" t="s">
        <v>14</v>
      </c>
      <c r="D251" t="s">
        <v>20</v>
      </c>
      <c r="F251" t="s">
        <v>1749</v>
      </c>
      <c r="G251" s="37" t="s">
        <v>11</v>
      </c>
      <c r="H251" s="37" t="s">
        <v>23</v>
      </c>
      <c r="I251" t="s">
        <v>16</v>
      </c>
      <c r="J251" t="s">
        <v>1564</v>
      </c>
      <c r="K251" t="s">
        <v>1574</v>
      </c>
      <c r="L251" s="28" t="s">
        <v>3005</v>
      </c>
      <c r="M251">
        <v>11516</v>
      </c>
      <c r="N251" t="s">
        <v>1566</v>
      </c>
      <c r="O251">
        <v>3.8</v>
      </c>
      <c r="P251" t="s">
        <v>1567</v>
      </c>
      <c r="Q251">
        <v>1408</v>
      </c>
      <c r="R251" t="s">
        <v>1550</v>
      </c>
      <c r="T251">
        <v>90.7</v>
      </c>
      <c r="V251" t="s">
        <v>1568</v>
      </c>
    </row>
    <row r="252" spans="1:22" hidden="1" x14ac:dyDescent="0.25">
      <c r="A252">
        <v>2024</v>
      </c>
      <c r="B252" t="s">
        <v>1537</v>
      </c>
      <c r="C252" t="s">
        <v>14</v>
      </c>
      <c r="D252" t="s">
        <v>20</v>
      </c>
      <c r="F252" t="s">
        <v>1749</v>
      </c>
      <c r="G252" s="37" t="s">
        <v>11</v>
      </c>
      <c r="H252" s="37" t="s">
        <v>23</v>
      </c>
      <c r="I252" t="s">
        <v>16</v>
      </c>
      <c r="J252" t="s">
        <v>1570</v>
      </c>
      <c r="K252" t="s">
        <v>1572</v>
      </c>
      <c r="L252" s="28" t="s">
        <v>3005</v>
      </c>
      <c r="M252">
        <v>9915</v>
      </c>
      <c r="N252" t="s">
        <v>1566</v>
      </c>
      <c r="O252">
        <v>4.01</v>
      </c>
      <c r="P252" t="s">
        <v>1567</v>
      </c>
      <c r="Q252">
        <v>1277</v>
      </c>
      <c r="R252" t="s">
        <v>1550</v>
      </c>
      <c r="V252" t="s">
        <v>1568</v>
      </c>
    </row>
    <row r="253" spans="1:22" hidden="1" x14ac:dyDescent="0.25">
      <c r="A253">
        <v>2024</v>
      </c>
      <c r="B253" t="s">
        <v>1537</v>
      </c>
      <c r="C253" t="s">
        <v>14</v>
      </c>
      <c r="D253" t="s">
        <v>20</v>
      </c>
      <c r="F253" t="s">
        <v>1749</v>
      </c>
      <c r="G253" s="37" t="s">
        <v>11</v>
      </c>
      <c r="H253" s="37" t="s">
        <v>23</v>
      </c>
      <c r="I253" t="s">
        <v>16</v>
      </c>
      <c r="J253" t="s">
        <v>1570</v>
      </c>
      <c r="K253" t="s">
        <v>1573</v>
      </c>
      <c r="L253" s="28" t="s">
        <v>3005</v>
      </c>
      <c r="M253">
        <v>3960</v>
      </c>
      <c r="N253" t="s">
        <v>1566</v>
      </c>
      <c r="O253">
        <v>4.6500000000000004</v>
      </c>
      <c r="P253" t="s">
        <v>1567</v>
      </c>
      <c r="Q253">
        <v>592</v>
      </c>
      <c r="R253" t="s">
        <v>1550</v>
      </c>
      <c r="V253" t="s">
        <v>1568</v>
      </c>
    </row>
    <row r="254" spans="1:22" hidden="1" x14ac:dyDescent="0.25">
      <c r="A254">
        <v>2024</v>
      </c>
      <c r="B254" t="s">
        <v>772</v>
      </c>
      <c r="C254" t="s">
        <v>14</v>
      </c>
      <c r="D254" t="s">
        <v>22</v>
      </c>
      <c r="E254" t="s">
        <v>1129</v>
      </c>
      <c r="G254" s="37" t="s">
        <v>11</v>
      </c>
      <c r="H254" s="37" t="s">
        <v>13</v>
      </c>
      <c r="I254" t="s">
        <v>16</v>
      </c>
      <c r="J254" t="s">
        <v>1564</v>
      </c>
      <c r="K254" t="s">
        <v>1565</v>
      </c>
      <c r="L254" s="28" t="s">
        <v>3005</v>
      </c>
      <c r="M254">
        <v>1990</v>
      </c>
      <c r="N254" t="s">
        <v>1566</v>
      </c>
      <c r="O254">
        <v>6.37</v>
      </c>
      <c r="P254" t="s">
        <v>1567</v>
      </c>
      <c r="Q254">
        <v>407</v>
      </c>
      <c r="R254" t="s">
        <v>1550</v>
      </c>
      <c r="T254">
        <v>96</v>
      </c>
      <c r="V254" t="s">
        <v>1568</v>
      </c>
    </row>
    <row r="255" spans="1:22" hidden="1" x14ac:dyDescent="0.25">
      <c r="A255">
        <v>2024</v>
      </c>
      <c r="B255" t="s">
        <v>772</v>
      </c>
      <c r="C255" t="s">
        <v>14</v>
      </c>
      <c r="D255" t="s">
        <v>22</v>
      </c>
      <c r="E255" t="s">
        <v>1129</v>
      </c>
      <c r="G255" s="37" t="s">
        <v>11</v>
      </c>
      <c r="H255" s="37" t="s">
        <v>13</v>
      </c>
      <c r="I255" t="s">
        <v>16</v>
      </c>
      <c r="J255" t="s">
        <v>1564</v>
      </c>
      <c r="K255" t="s">
        <v>1569</v>
      </c>
      <c r="L255" s="28" t="s">
        <v>3005</v>
      </c>
      <c r="M255">
        <v>17798</v>
      </c>
      <c r="N255" t="s">
        <v>1566</v>
      </c>
      <c r="O255">
        <v>5.17</v>
      </c>
      <c r="P255" t="s">
        <v>1567</v>
      </c>
      <c r="Q255">
        <v>2958</v>
      </c>
      <c r="R255" t="s">
        <v>1550</v>
      </c>
      <c r="T255">
        <v>96</v>
      </c>
      <c r="V255" t="s">
        <v>1568</v>
      </c>
    </row>
    <row r="256" spans="1:22" hidden="1" x14ac:dyDescent="0.25">
      <c r="A256">
        <v>2024</v>
      </c>
      <c r="B256" t="s">
        <v>772</v>
      </c>
      <c r="C256" t="s">
        <v>14</v>
      </c>
      <c r="D256" t="s">
        <v>22</v>
      </c>
      <c r="E256" t="s">
        <v>1129</v>
      </c>
      <c r="G256" s="37" t="s">
        <v>11</v>
      </c>
      <c r="H256" s="37" t="s">
        <v>13</v>
      </c>
      <c r="I256" t="s">
        <v>16</v>
      </c>
      <c r="J256" t="s">
        <v>1570</v>
      </c>
      <c r="K256" t="s">
        <v>1571</v>
      </c>
      <c r="L256" s="28" t="s">
        <v>3005</v>
      </c>
      <c r="M256">
        <v>525</v>
      </c>
      <c r="N256" t="s">
        <v>1566</v>
      </c>
      <c r="O256">
        <v>4.53</v>
      </c>
      <c r="P256" t="s">
        <v>1567</v>
      </c>
      <c r="Q256">
        <v>76</v>
      </c>
      <c r="R256" t="s">
        <v>1550</v>
      </c>
      <c r="V256" t="s">
        <v>1568</v>
      </c>
    </row>
    <row r="257" spans="1:22" hidden="1" x14ac:dyDescent="0.25">
      <c r="A257">
        <v>2024</v>
      </c>
      <c r="B257" t="s">
        <v>772</v>
      </c>
      <c r="C257" t="s">
        <v>14</v>
      </c>
      <c r="D257" t="s">
        <v>22</v>
      </c>
      <c r="E257" t="s">
        <v>1129</v>
      </c>
      <c r="G257" s="37" t="s">
        <v>11</v>
      </c>
      <c r="H257" s="37" t="s">
        <v>13</v>
      </c>
      <c r="I257" t="s">
        <v>16</v>
      </c>
      <c r="J257" t="s">
        <v>1570</v>
      </c>
      <c r="K257" t="s">
        <v>1572</v>
      </c>
      <c r="L257" s="28" t="s">
        <v>3005</v>
      </c>
      <c r="M257">
        <v>13416</v>
      </c>
      <c r="N257" t="s">
        <v>1566</v>
      </c>
      <c r="O257">
        <v>3.8</v>
      </c>
      <c r="P257" t="s">
        <v>1567</v>
      </c>
      <c r="Q257">
        <v>1638</v>
      </c>
      <c r="R257" t="s">
        <v>1550</v>
      </c>
      <c r="V257" t="s">
        <v>1568</v>
      </c>
    </row>
    <row r="258" spans="1:22" hidden="1" x14ac:dyDescent="0.25">
      <c r="A258">
        <v>2024</v>
      </c>
      <c r="B258" t="s">
        <v>772</v>
      </c>
      <c r="C258" t="s">
        <v>14</v>
      </c>
      <c r="D258" t="s">
        <v>22</v>
      </c>
      <c r="E258" t="s">
        <v>1129</v>
      </c>
      <c r="G258" s="37" t="s">
        <v>11</v>
      </c>
      <c r="H258" s="37" t="s">
        <v>13</v>
      </c>
      <c r="I258" t="s">
        <v>16</v>
      </c>
      <c r="J258" t="s">
        <v>1570</v>
      </c>
      <c r="K258" t="s">
        <v>1573</v>
      </c>
      <c r="L258" s="28" t="s">
        <v>3005</v>
      </c>
      <c r="M258">
        <v>11696</v>
      </c>
      <c r="N258" t="s">
        <v>1566</v>
      </c>
      <c r="O258">
        <v>5.92</v>
      </c>
      <c r="P258" t="s">
        <v>1567</v>
      </c>
      <c r="Q258">
        <v>2225</v>
      </c>
      <c r="R258" t="s">
        <v>1550</v>
      </c>
      <c r="V258" t="s">
        <v>1568</v>
      </c>
    </row>
    <row r="259" spans="1:22" hidden="1" x14ac:dyDescent="0.25">
      <c r="A259">
        <v>2024</v>
      </c>
      <c r="B259" t="s">
        <v>772</v>
      </c>
      <c r="C259" t="s">
        <v>406</v>
      </c>
      <c r="D259" t="s">
        <v>131</v>
      </c>
      <c r="E259" t="s">
        <v>1222</v>
      </c>
      <c r="G259" s="37" t="s">
        <v>11</v>
      </c>
      <c r="H259" s="37" t="s">
        <v>21</v>
      </c>
      <c r="I259" t="s">
        <v>125</v>
      </c>
      <c r="J259" t="s">
        <v>1570</v>
      </c>
      <c r="K259" t="s">
        <v>1571</v>
      </c>
      <c r="L259" s="28" t="s">
        <v>3005</v>
      </c>
      <c r="M259">
        <v>8.4</v>
      </c>
      <c r="N259" t="s">
        <v>1641</v>
      </c>
      <c r="O259">
        <v>1.71</v>
      </c>
      <c r="P259" t="s">
        <v>1589</v>
      </c>
      <c r="Q259">
        <v>144</v>
      </c>
      <c r="R259" t="s">
        <v>1566</v>
      </c>
      <c r="V259" t="s">
        <v>1598</v>
      </c>
    </row>
    <row r="260" spans="1:22" hidden="1" x14ac:dyDescent="0.25">
      <c r="A260">
        <v>2024</v>
      </c>
      <c r="B260" t="s">
        <v>772</v>
      </c>
      <c r="C260" t="s">
        <v>406</v>
      </c>
      <c r="D260" t="s">
        <v>131</v>
      </c>
      <c r="E260" t="s">
        <v>1222</v>
      </c>
      <c r="G260" s="37" t="s">
        <v>11</v>
      </c>
      <c r="H260" s="37" t="s">
        <v>21</v>
      </c>
      <c r="I260" t="s">
        <v>16</v>
      </c>
      <c r="J260" t="s">
        <v>1570</v>
      </c>
      <c r="K260" t="s">
        <v>1571</v>
      </c>
      <c r="L260" s="28" t="s">
        <v>3005</v>
      </c>
      <c r="M260">
        <v>8.4</v>
      </c>
      <c r="N260" t="s">
        <v>1641</v>
      </c>
      <c r="O260">
        <v>0.5</v>
      </c>
      <c r="P260" t="s">
        <v>1567</v>
      </c>
      <c r="Q260">
        <v>124</v>
      </c>
      <c r="R260" t="s">
        <v>1550</v>
      </c>
      <c r="V260" t="s">
        <v>1598</v>
      </c>
    </row>
    <row r="261" spans="1:22" hidden="1" x14ac:dyDescent="0.25">
      <c r="A261">
        <v>2024</v>
      </c>
      <c r="B261" t="s">
        <v>772</v>
      </c>
      <c r="C261" t="s">
        <v>406</v>
      </c>
      <c r="D261" t="s">
        <v>131</v>
      </c>
      <c r="E261" t="s">
        <v>1222</v>
      </c>
      <c r="G261" s="37" t="s">
        <v>11</v>
      </c>
      <c r="H261" s="37" t="s">
        <v>21</v>
      </c>
      <c r="I261" t="s">
        <v>1549</v>
      </c>
      <c r="J261" t="s">
        <v>1570</v>
      </c>
      <c r="K261" t="s">
        <v>1571</v>
      </c>
      <c r="L261" s="28" t="s">
        <v>3005</v>
      </c>
      <c r="M261">
        <v>8.4</v>
      </c>
      <c r="N261" t="s">
        <v>1641</v>
      </c>
      <c r="O261">
        <v>3.6</v>
      </c>
      <c r="P261" t="s">
        <v>1567</v>
      </c>
      <c r="Q261">
        <v>962</v>
      </c>
      <c r="R261" t="s">
        <v>1550</v>
      </c>
      <c r="V261" t="s">
        <v>1598</v>
      </c>
    </row>
    <row r="262" spans="1:22" hidden="1" x14ac:dyDescent="0.25">
      <c r="A262">
        <v>2024</v>
      </c>
      <c r="B262" t="s">
        <v>772</v>
      </c>
      <c r="C262" t="s">
        <v>406</v>
      </c>
      <c r="D262" t="s">
        <v>131</v>
      </c>
      <c r="E262" t="s">
        <v>1222</v>
      </c>
      <c r="G262" s="37" t="s">
        <v>11</v>
      </c>
      <c r="H262" s="37" t="s">
        <v>21</v>
      </c>
      <c r="I262" t="s">
        <v>125</v>
      </c>
      <c r="J262" t="s">
        <v>1570</v>
      </c>
      <c r="K262" t="s">
        <v>1572</v>
      </c>
      <c r="L262" s="28" t="s">
        <v>3005</v>
      </c>
      <c r="M262">
        <v>15.3</v>
      </c>
      <c r="N262" t="s">
        <v>1641</v>
      </c>
      <c r="O262">
        <v>1.85</v>
      </c>
      <c r="P262" t="s">
        <v>1589</v>
      </c>
      <c r="Q262">
        <v>284</v>
      </c>
      <c r="R262" t="s">
        <v>1566</v>
      </c>
      <c r="V262" t="s">
        <v>1598</v>
      </c>
    </row>
    <row r="263" spans="1:22" hidden="1" x14ac:dyDescent="0.25">
      <c r="A263">
        <v>2024</v>
      </c>
      <c r="B263" t="s">
        <v>772</v>
      </c>
      <c r="C263" t="s">
        <v>406</v>
      </c>
      <c r="D263" t="s">
        <v>131</v>
      </c>
      <c r="E263" t="s">
        <v>1222</v>
      </c>
      <c r="G263" s="37" t="s">
        <v>11</v>
      </c>
      <c r="H263" s="37" t="s">
        <v>21</v>
      </c>
      <c r="I263" t="s">
        <v>16</v>
      </c>
      <c r="J263" t="s">
        <v>1570</v>
      </c>
      <c r="K263" t="s">
        <v>1572</v>
      </c>
      <c r="L263" s="28" t="s">
        <v>3005</v>
      </c>
      <c r="M263">
        <v>15.3</v>
      </c>
      <c r="N263" t="s">
        <v>1641</v>
      </c>
      <c r="O263">
        <v>0.3</v>
      </c>
      <c r="P263" t="s">
        <v>1567</v>
      </c>
      <c r="Q263">
        <v>148</v>
      </c>
      <c r="R263" t="s">
        <v>1550</v>
      </c>
      <c r="V263" t="s">
        <v>1598</v>
      </c>
    </row>
    <row r="264" spans="1:22" hidden="1" x14ac:dyDescent="0.25">
      <c r="A264">
        <v>2024</v>
      </c>
      <c r="B264" t="s">
        <v>772</v>
      </c>
      <c r="C264" t="s">
        <v>406</v>
      </c>
      <c r="D264" t="s">
        <v>131</v>
      </c>
      <c r="E264" t="s">
        <v>1222</v>
      </c>
      <c r="G264" s="37" t="s">
        <v>11</v>
      </c>
      <c r="H264" s="37" t="s">
        <v>21</v>
      </c>
      <c r="I264" t="s">
        <v>1549</v>
      </c>
      <c r="J264" t="s">
        <v>1570</v>
      </c>
      <c r="K264" t="s">
        <v>1572</v>
      </c>
      <c r="L264" s="28" t="s">
        <v>3005</v>
      </c>
      <c r="M264">
        <v>15.3</v>
      </c>
      <c r="N264" t="s">
        <v>1641</v>
      </c>
      <c r="O264">
        <v>2.4</v>
      </c>
      <c r="P264" t="s">
        <v>1567</v>
      </c>
      <c r="Q264">
        <v>1164</v>
      </c>
      <c r="R264" t="s">
        <v>1550</v>
      </c>
      <c r="V264" t="s">
        <v>1598</v>
      </c>
    </row>
    <row r="265" spans="1:22" hidden="1" x14ac:dyDescent="0.25">
      <c r="A265">
        <v>2024</v>
      </c>
      <c r="B265" t="s">
        <v>772</v>
      </c>
      <c r="C265" t="s">
        <v>406</v>
      </c>
      <c r="D265" t="s">
        <v>131</v>
      </c>
      <c r="E265" t="s">
        <v>1222</v>
      </c>
      <c r="G265" s="37" t="s">
        <v>11</v>
      </c>
      <c r="H265" s="37" t="s">
        <v>21</v>
      </c>
      <c r="I265" t="s">
        <v>125</v>
      </c>
      <c r="J265" t="s">
        <v>1570</v>
      </c>
      <c r="K265" t="s">
        <v>1573</v>
      </c>
      <c r="L265" s="28" t="s">
        <v>3005</v>
      </c>
      <c r="M265">
        <v>6.4</v>
      </c>
      <c r="N265" t="s">
        <v>1641</v>
      </c>
      <c r="O265">
        <v>1.86</v>
      </c>
      <c r="P265" t="s">
        <v>1589</v>
      </c>
      <c r="Q265">
        <v>120</v>
      </c>
      <c r="R265" t="s">
        <v>1566</v>
      </c>
      <c r="V265" t="s">
        <v>1598</v>
      </c>
    </row>
    <row r="266" spans="1:22" hidden="1" x14ac:dyDescent="0.25">
      <c r="A266">
        <v>2024</v>
      </c>
      <c r="B266" t="s">
        <v>772</v>
      </c>
      <c r="C266" t="s">
        <v>406</v>
      </c>
      <c r="D266" t="s">
        <v>131</v>
      </c>
      <c r="E266" t="s">
        <v>1222</v>
      </c>
      <c r="G266" s="37" t="s">
        <v>11</v>
      </c>
      <c r="H266" s="37" t="s">
        <v>21</v>
      </c>
      <c r="I266" t="s">
        <v>16</v>
      </c>
      <c r="J266" t="s">
        <v>1570</v>
      </c>
      <c r="K266" t="s">
        <v>1573</v>
      </c>
      <c r="L266" s="28" t="s">
        <v>3005</v>
      </c>
      <c r="M266">
        <v>6.4</v>
      </c>
      <c r="N266" t="s">
        <v>1641</v>
      </c>
      <c r="O266">
        <v>0.4</v>
      </c>
      <c r="P266" t="s">
        <v>1567</v>
      </c>
      <c r="Q266">
        <v>79</v>
      </c>
      <c r="R266" t="s">
        <v>1550</v>
      </c>
      <c r="V266" t="s">
        <v>1598</v>
      </c>
    </row>
    <row r="267" spans="1:22" hidden="1" x14ac:dyDescent="0.25">
      <c r="A267">
        <v>2024</v>
      </c>
      <c r="B267" t="s">
        <v>772</v>
      </c>
      <c r="C267" t="s">
        <v>406</v>
      </c>
      <c r="D267" t="s">
        <v>131</v>
      </c>
      <c r="E267" t="s">
        <v>1222</v>
      </c>
      <c r="G267" s="37" t="s">
        <v>11</v>
      </c>
      <c r="H267" s="37" t="s">
        <v>21</v>
      </c>
      <c r="I267" t="s">
        <v>1549</v>
      </c>
      <c r="J267" t="s">
        <v>1570</v>
      </c>
      <c r="K267" t="s">
        <v>1573</v>
      </c>
      <c r="L267" s="28" t="s">
        <v>3005</v>
      </c>
      <c r="M267">
        <v>6.4</v>
      </c>
      <c r="N267" t="s">
        <v>1641</v>
      </c>
      <c r="O267">
        <v>2.6</v>
      </c>
      <c r="P267" t="s">
        <v>1567</v>
      </c>
      <c r="Q267">
        <v>537</v>
      </c>
      <c r="R267" t="s">
        <v>1550</v>
      </c>
      <c r="V267" t="s">
        <v>1598</v>
      </c>
    </row>
    <row r="268" spans="1:22" hidden="1" x14ac:dyDescent="0.25">
      <c r="A268">
        <v>2024</v>
      </c>
      <c r="B268" t="s">
        <v>772</v>
      </c>
      <c r="C268" t="s">
        <v>54</v>
      </c>
      <c r="D268" t="s">
        <v>55</v>
      </c>
      <c r="E268" t="s">
        <v>1379</v>
      </c>
      <c r="G268" s="37" t="s">
        <v>11</v>
      </c>
      <c r="H268" s="37" t="s">
        <v>19</v>
      </c>
      <c r="I268" t="s">
        <v>16</v>
      </c>
      <c r="J268" t="s">
        <v>1570</v>
      </c>
      <c r="K268" t="s">
        <v>1544</v>
      </c>
      <c r="L268" s="28" t="s">
        <v>3005</v>
      </c>
      <c r="M268">
        <v>56.5</v>
      </c>
      <c r="N268" t="s">
        <v>1566</v>
      </c>
      <c r="O268">
        <v>1.1000000000000001</v>
      </c>
      <c r="P268" t="s">
        <v>1567</v>
      </c>
      <c r="Q268">
        <v>1980</v>
      </c>
      <c r="R268" t="s">
        <v>1550</v>
      </c>
      <c r="V268" t="s">
        <v>1932</v>
      </c>
    </row>
    <row r="269" spans="1:22" hidden="1" x14ac:dyDescent="0.25">
      <c r="A269">
        <v>2024</v>
      </c>
      <c r="B269" t="s">
        <v>772</v>
      </c>
      <c r="C269" t="s">
        <v>54</v>
      </c>
      <c r="D269" t="s">
        <v>55</v>
      </c>
      <c r="E269" t="s">
        <v>1379</v>
      </c>
      <c r="G269" s="37" t="s">
        <v>11</v>
      </c>
      <c r="H269" s="37" t="s">
        <v>19</v>
      </c>
      <c r="I269" t="s">
        <v>16</v>
      </c>
      <c r="J269" t="s">
        <v>1564</v>
      </c>
      <c r="K269" t="s">
        <v>1544</v>
      </c>
      <c r="L269" s="28" t="s">
        <v>3005</v>
      </c>
      <c r="M269">
        <v>38.299999999999997</v>
      </c>
      <c r="N269" t="s">
        <v>1566</v>
      </c>
      <c r="O269">
        <v>1.1000000000000001</v>
      </c>
      <c r="P269" t="s">
        <v>1567</v>
      </c>
      <c r="Q269">
        <v>1350</v>
      </c>
      <c r="R269" t="s">
        <v>1550</v>
      </c>
      <c r="V269" t="s">
        <v>1932</v>
      </c>
    </row>
    <row r="270" spans="1:22" hidden="1" x14ac:dyDescent="0.25">
      <c r="A270">
        <v>2024</v>
      </c>
      <c r="B270" t="s">
        <v>772</v>
      </c>
      <c r="C270" t="s">
        <v>793</v>
      </c>
      <c r="D270" t="s">
        <v>129</v>
      </c>
      <c r="E270" t="s">
        <v>1190</v>
      </c>
      <c r="G270" s="37" t="s">
        <v>11</v>
      </c>
      <c r="H270" s="37" t="s">
        <v>19</v>
      </c>
      <c r="I270" t="s">
        <v>16</v>
      </c>
      <c r="J270" t="s">
        <v>1564</v>
      </c>
      <c r="K270" s="28" t="s">
        <v>1565</v>
      </c>
      <c r="L270" s="28" t="s">
        <v>3005</v>
      </c>
      <c r="M270">
        <v>187961</v>
      </c>
      <c r="N270" t="s">
        <v>1566</v>
      </c>
      <c r="O270">
        <v>0.34</v>
      </c>
      <c r="P270" t="s">
        <v>1567</v>
      </c>
      <c r="Q270">
        <v>2056</v>
      </c>
      <c r="R270" t="s">
        <v>1548</v>
      </c>
      <c r="V270" t="s">
        <v>2967</v>
      </c>
    </row>
    <row r="271" spans="1:22" hidden="1" x14ac:dyDescent="0.25">
      <c r="A271">
        <v>2024</v>
      </c>
      <c r="B271" t="s">
        <v>772</v>
      </c>
      <c r="C271" t="s">
        <v>793</v>
      </c>
      <c r="D271" t="s">
        <v>129</v>
      </c>
      <c r="E271" t="s">
        <v>1190</v>
      </c>
      <c r="G271" s="37" t="s">
        <v>11</v>
      </c>
      <c r="H271" s="37" t="s">
        <v>19</v>
      </c>
      <c r="I271" t="s">
        <v>16</v>
      </c>
      <c r="J271" t="s">
        <v>1564</v>
      </c>
      <c r="K271" s="28" t="s">
        <v>1574</v>
      </c>
      <c r="L271" s="28" t="s">
        <v>3005</v>
      </c>
      <c r="M271">
        <v>76551</v>
      </c>
      <c r="N271" t="s">
        <v>1566</v>
      </c>
      <c r="O271">
        <v>0.31</v>
      </c>
      <c r="P271" t="s">
        <v>1567</v>
      </c>
      <c r="Q271">
        <v>770</v>
      </c>
      <c r="R271" t="s">
        <v>1548</v>
      </c>
      <c r="V271" t="s">
        <v>2967</v>
      </c>
    </row>
    <row r="272" spans="1:22" hidden="1" x14ac:dyDescent="0.25">
      <c r="A272">
        <v>2024</v>
      </c>
      <c r="B272" t="s">
        <v>772</v>
      </c>
      <c r="C272" t="s">
        <v>793</v>
      </c>
      <c r="D272" t="s">
        <v>129</v>
      </c>
      <c r="E272" t="s">
        <v>1190</v>
      </c>
      <c r="G272" s="37" t="s">
        <v>11</v>
      </c>
      <c r="H272" s="37" t="s">
        <v>19</v>
      </c>
      <c r="I272" t="s">
        <v>125</v>
      </c>
      <c r="J272" t="s">
        <v>1564</v>
      </c>
      <c r="K272" s="28" t="s">
        <v>1565</v>
      </c>
      <c r="L272" s="28" t="s">
        <v>3005</v>
      </c>
      <c r="M272" t="s">
        <v>707</v>
      </c>
      <c r="N272" t="s">
        <v>1566</v>
      </c>
      <c r="O272" s="25">
        <v>0.19</v>
      </c>
      <c r="P272" t="s">
        <v>1589</v>
      </c>
      <c r="Q272">
        <v>808</v>
      </c>
      <c r="R272" t="s">
        <v>1709</v>
      </c>
      <c r="V272" t="s">
        <v>2967</v>
      </c>
    </row>
    <row r="273" spans="1:22" hidden="1" x14ac:dyDescent="0.25">
      <c r="A273">
        <v>2024</v>
      </c>
      <c r="B273" t="s">
        <v>772</v>
      </c>
      <c r="C273" t="s">
        <v>793</v>
      </c>
      <c r="D273" t="s">
        <v>129</v>
      </c>
      <c r="E273" t="s">
        <v>1190</v>
      </c>
      <c r="G273" s="37" t="s">
        <v>11</v>
      </c>
      <c r="H273" s="37" t="s">
        <v>19</v>
      </c>
      <c r="I273" t="s">
        <v>125</v>
      </c>
      <c r="J273" t="s">
        <v>1564</v>
      </c>
      <c r="K273" s="28" t="s">
        <v>1574</v>
      </c>
      <c r="L273" s="28" t="s">
        <v>3005</v>
      </c>
      <c r="M273" t="s">
        <v>707</v>
      </c>
      <c r="N273" t="s">
        <v>1566</v>
      </c>
      <c r="O273">
        <v>0.2</v>
      </c>
      <c r="P273" t="s">
        <v>1589</v>
      </c>
      <c r="Q273">
        <v>342</v>
      </c>
      <c r="R273" t="s">
        <v>1709</v>
      </c>
      <c r="V273" t="s">
        <v>2967</v>
      </c>
    </row>
    <row r="274" spans="1:22" hidden="1" x14ac:dyDescent="0.25">
      <c r="A274">
        <v>2024</v>
      </c>
      <c r="B274" t="s">
        <v>772</v>
      </c>
      <c r="C274" t="s">
        <v>793</v>
      </c>
      <c r="D274" t="s">
        <v>129</v>
      </c>
      <c r="E274" t="s">
        <v>1190</v>
      </c>
      <c r="G274" s="37" t="s">
        <v>11</v>
      </c>
      <c r="H274" s="37" t="s">
        <v>19</v>
      </c>
      <c r="I274" t="s">
        <v>1876</v>
      </c>
      <c r="J274" t="s">
        <v>1564</v>
      </c>
      <c r="K274" s="28" t="s">
        <v>1565</v>
      </c>
      <c r="L274" s="28" t="s">
        <v>3005</v>
      </c>
      <c r="M274">
        <v>187961</v>
      </c>
      <c r="N274" t="s">
        <v>1566</v>
      </c>
      <c r="V274" t="s">
        <v>2967</v>
      </c>
    </row>
    <row r="275" spans="1:22" hidden="1" x14ac:dyDescent="0.25">
      <c r="A275">
        <v>2024</v>
      </c>
      <c r="B275" t="s">
        <v>772</v>
      </c>
      <c r="C275" t="s">
        <v>793</v>
      </c>
      <c r="D275" t="s">
        <v>129</v>
      </c>
      <c r="E275" t="s">
        <v>1190</v>
      </c>
      <c r="G275" s="37" t="s">
        <v>11</v>
      </c>
      <c r="H275" s="37" t="s">
        <v>19</v>
      </c>
      <c r="I275" t="s">
        <v>1876</v>
      </c>
      <c r="J275" t="s">
        <v>1564</v>
      </c>
      <c r="K275" s="28" t="s">
        <v>1574</v>
      </c>
      <c r="L275" s="28" t="s">
        <v>3005</v>
      </c>
      <c r="M275">
        <v>76551</v>
      </c>
      <c r="N275" t="s">
        <v>1566</v>
      </c>
      <c r="V275" t="s">
        <v>2967</v>
      </c>
    </row>
    <row r="276" spans="1:22" hidden="1" x14ac:dyDescent="0.25">
      <c r="A276">
        <v>2024</v>
      </c>
      <c r="B276" t="s">
        <v>772</v>
      </c>
      <c r="C276" t="s">
        <v>793</v>
      </c>
      <c r="D276" t="s">
        <v>129</v>
      </c>
      <c r="E276" t="s">
        <v>1190</v>
      </c>
      <c r="G276" s="37" t="s">
        <v>11</v>
      </c>
      <c r="H276" s="37" t="s">
        <v>19</v>
      </c>
      <c r="I276" t="s">
        <v>16</v>
      </c>
      <c r="J276" t="s">
        <v>1570</v>
      </c>
      <c r="K276" s="28" t="s">
        <v>1571</v>
      </c>
      <c r="L276" s="28" t="s">
        <v>3005</v>
      </c>
      <c r="M276">
        <v>91827</v>
      </c>
      <c r="N276" t="s">
        <v>1566</v>
      </c>
      <c r="O276">
        <v>0.25</v>
      </c>
      <c r="P276" t="s">
        <v>1567</v>
      </c>
      <c r="Q276">
        <v>743</v>
      </c>
      <c r="R276" t="s">
        <v>1550</v>
      </c>
      <c r="V276" t="s">
        <v>2967</v>
      </c>
    </row>
    <row r="277" spans="1:22" hidden="1" x14ac:dyDescent="0.25">
      <c r="A277">
        <v>2024</v>
      </c>
      <c r="B277" t="s">
        <v>772</v>
      </c>
      <c r="C277" t="s">
        <v>793</v>
      </c>
      <c r="D277" t="s">
        <v>129</v>
      </c>
      <c r="E277" t="s">
        <v>1190</v>
      </c>
      <c r="G277" s="37" t="s">
        <v>11</v>
      </c>
      <c r="H277" s="37" t="s">
        <v>19</v>
      </c>
      <c r="I277" t="s">
        <v>16</v>
      </c>
      <c r="J277" t="s">
        <v>1570</v>
      </c>
      <c r="K277" s="28" t="s">
        <v>1572</v>
      </c>
      <c r="L277" s="28" t="s">
        <v>3005</v>
      </c>
      <c r="M277">
        <v>92144</v>
      </c>
      <c r="N277" t="s">
        <v>1566</v>
      </c>
      <c r="O277">
        <v>0.28000000000000003</v>
      </c>
      <c r="P277" t="s">
        <v>1567</v>
      </c>
      <c r="Q277">
        <v>824</v>
      </c>
      <c r="R277" t="s">
        <v>1550</v>
      </c>
      <c r="V277" t="s">
        <v>2967</v>
      </c>
    </row>
    <row r="278" spans="1:22" hidden="1" x14ac:dyDescent="0.25">
      <c r="A278">
        <v>2024</v>
      </c>
      <c r="B278" t="s">
        <v>772</v>
      </c>
      <c r="C278" t="s">
        <v>793</v>
      </c>
      <c r="D278" t="s">
        <v>129</v>
      </c>
      <c r="E278" t="s">
        <v>1190</v>
      </c>
      <c r="G278" s="37" t="s">
        <v>11</v>
      </c>
      <c r="H278" s="37" t="s">
        <v>19</v>
      </c>
      <c r="I278" t="s">
        <v>16</v>
      </c>
      <c r="J278" t="s">
        <v>1570</v>
      </c>
      <c r="K278" s="28" t="s">
        <v>1573</v>
      </c>
      <c r="L278" s="28" t="s">
        <v>3005</v>
      </c>
      <c r="M278">
        <v>27924</v>
      </c>
      <c r="N278" t="s">
        <v>1566</v>
      </c>
      <c r="O278">
        <v>0.44</v>
      </c>
      <c r="P278" t="s">
        <v>1567</v>
      </c>
      <c r="Q278">
        <v>395</v>
      </c>
      <c r="R278" t="s">
        <v>1550</v>
      </c>
      <c r="V278" t="s">
        <v>2967</v>
      </c>
    </row>
    <row r="279" spans="1:22" hidden="1" x14ac:dyDescent="0.25">
      <c r="A279">
        <v>2024</v>
      </c>
      <c r="B279" t="s">
        <v>772</v>
      </c>
      <c r="C279" t="s">
        <v>793</v>
      </c>
      <c r="D279" t="s">
        <v>129</v>
      </c>
      <c r="E279" t="s">
        <v>1190</v>
      </c>
      <c r="G279" s="37" t="s">
        <v>11</v>
      </c>
      <c r="H279" s="37" t="s">
        <v>19</v>
      </c>
      <c r="I279" t="s">
        <v>1876</v>
      </c>
      <c r="J279" t="s">
        <v>1570</v>
      </c>
      <c r="K279" s="28" t="s">
        <v>1571</v>
      </c>
      <c r="L279" s="28" t="s">
        <v>3005</v>
      </c>
      <c r="M279">
        <v>91827</v>
      </c>
      <c r="N279" t="s">
        <v>1566</v>
      </c>
      <c r="V279" t="s">
        <v>2967</v>
      </c>
    </row>
    <row r="280" spans="1:22" hidden="1" x14ac:dyDescent="0.25">
      <c r="A280">
        <v>2024</v>
      </c>
      <c r="B280" t="s">
        <v>772</v>
      </c>
      <c r="C280" t="s">
        <v>793</v>
      </c>
      <c r="D280" t="s">
        <v>129</v>
      </c>
      <c r="E280" t="s">
        <v>1190</v>
      </c>
      <c r="G280" s="37" t="s">
        <v>11</v>
      </c>
      <c r="H280" s="37" t="s">
        <v>19</v>
      </c>
      <c r="I280" t="s">
        <v>1876</v>
      </c>
      <c r="J280" t="s">
        <v>1570</v>
      </c>
      <c r="K280" s="28" t="s">
        <v>1572</v>
      </c>
      <c r="L280" s="28" t="s">
        <v>3005</v>
      </c>
      <c r="M280">
        <v>92144</v>
      </c>
      <c r="N280" t="s">
        <v>1566</v>
      </c>
      <c r="V280" t="s">
        <v>2967</v>
      </c>
    </row>
    <row r="281" spans="1:22" hidden="1" x14ac:dyDescent="0.25">
      <c r="A281">
        <v>2024</v>
      </c>
      <c r="B281" t="s">
        <v>772</v>
      </c>
      <c r="C281" t="s">
        <v>793</v>
      </c>
      <c r="D281" t="s">
        <v>129</v>
      </c>
      <c r="E281" t="s">
        <v>1190</v>
      </c>
      <c r="G281" s="37" t="s">
        <v>11</v>
      </c>
      <c r="H281" s="37" t="s">
        <v>19</v>
      </c>
      <c r="I281" t="s">
        <v>1876</v>
      </c>
      <c r="J281" t="s">
        <v>1570</v>
      </c>
      <c r="K281" s="28" t="s">
        <v>1573</v>
      </c>
      <c r="L281" s="28" t="s">
        <v>3005</v>
      </c>
      <c r="M281">
        <v>27924</v>
      </c>
      <c r="N281" t="s">
        <v>1566</v>
      </c>
      <c r="V281" t="s">
        <v>2967</v>
      </c>
    </row>
    <row r="282" spans="1:22" hidden="1" x14ac:dyDescent="0.25">
      <c r="A282">
        <v>2024</v>
      </c>
      <c r="B282" t="s">
        <v>772</v>
      </c>
      <c r="C282" t="s">
        <v>793</v>
      </c>
      <c r="D282" t="s">
        <v>129</v>
      </c>
      <c r="E282" t="s">
        <v>1190</v>
      </c>
      <c r="G282" s="37" t="s">
        <v>11</v>
      </c>
      <c r="H282" s="37" t="s">
        <v>19</v>
      </c>
      <c r="I282" t="s">
        <v>125</v>
      </c>
      <c r="J282" t="s">
        <v>1570</v>
      </c>
      <c r="K282" s="28" t="s">
        <v>1571</v>
      </c>
      <c r="L282" s="28" t="s">
        <v>3005</v>
      </c>
      <c r="M282" t="s">
        <v>707</v>
      </c>
      <c r="N282" t="s">
        <v>1566</v>
      </c>
      <c r="O282">
        <v>0.19</v>
      </c>
      <c r="P282" t="s">
        <v>1589</v>
      </c>
      <c r="Q282">
        <v>384</v>
      </c>
      <c r="R282" t="s">
        <v>1709</v>
      </c>
      <c r="V282" t="s">
        <v>2967</v>
      </c>
    </row>
    <row r="283" spans="1:22" hidden="1" x14ac:dyDescent="0.25">
      <c r="A283">
        <v>2024</v>
      </c>
      <c r="B283" t="s">
        <v>772</v>
      </c>
      <c r="C283" t="s">
        <v>793</v>
      </c>
      <c r="D283" t="s">
        <v>129</v>
      </c>
      <c r="E283" t="s">
        <v>1190</v>
      </c>
      <c r="G283" s="37" t="s">
        <v>11</v>
      </c>
      <c r="H283" s="37" t="s">
        <v>19</v>
      </c>
      <c r="I283" t="s">
        <v>125</v>
      </c>
      <c r="J283" t="s">
        <v>1570</v>
      </c>
      <c r="K283" s="28" t="s">
        <v>1572</v>
      </c>
      <c r="L283" s="28" t="s">
        <v>3005</v>
      </c>
      <c r="M283" t="s">
        <v>707</v>
      </c>
      <c r="N283" t="s">
        <v>1566</v>
      </c>
      <c r="O283">
        <v>0.17</v>
      </c>
      <c r="P283" t="s">
        <v>1589</v>
      </c>
      <c r="Q283">
        <v>348</v>
      </c>
      <c r="R283" t="s">
        <v>1709</v>
      </c>
      <c r="V283" t="s">
        <v>2967</v>
      </c>
    </row>
    <row r="284" spans="1:22" hidden="1" x14ac:dyDescent="0.25">
      <c r="A284">
        <v>2024</v>
      </c>
      <c r="B284" t="s">
        <v>772</v>
      </c>
      <c r="C284" t="s">
        <v>793</v>
      </c>
      <c r="D284" t="s">
        <v>129</v>
      </c>
      <c r="E284" t="s">
        <v>1190</v>
      </c>
      <c r="G284" s="37" t="s">
        <v>11</v>
      </c>
      <c r="H284" s="37" t="s">
        <v>19</v>
      </c>
      <c r="I284" t="s">
        <v>125</v>
      </c>
      <c r="J284" t="s">
        <v>1570</v>
      </c>
      <c r="K284" s="28" t="s">
        <v>1573</v>
      </c>
      <c r="L284" s="28" t="s">
        <v>3005</v>
      </c>
      <c r="M284" t="s">
        <v>707</v>
      </c>
      <c r="N284" t="s">
        <v>1566</v>
      </c>
      <c r="O284">
        <v>0.12</v>
      </c>
      <c r="P284" t="s">
        <v>1589</v>
      </c>
      <c r="Q284">
        <v>74</v>
      </c>
      <c r="R284" t="s">
        <v>1709</v>
      </c>
      <c r="V284" t="s">
        <v>2967</v>
      </c>
    </row>
    <row r="285" spans="1:22" hidden="1" x14ac:dyDescent="0.25">
      <c r="A285">
        <v>2016</v>
      </c>
      <c r="B285" t="s">
        <v>772</v>
      </c>
      <c r="C285" t="s">
        <v>82</v>
      </c>
      <c r="D285" t="s">
        <v>83</v>
      </c>
      <c r="E285" t="s">
        <v>1278</v>
      </c>
      <c r="G285" s="37" t="s">
        <v>11</v>
      </c>
      <c r="H285" s="37" t="s">
        <v>19</v>
      </c>
      <c r="I285" t="s">
        <v>125</v>
      </c>
      <c r="J285" t="s">
        <v>1564</v>
      </c>
      <c r="K285" t="s">
        <v>1600</v>
      </c>
      <c r="L285" s="28" t="s">
        <v>3005</v>
      </c>
      <c r="M285">
        <v>54</v>
      </c>
      <c r="N285" t="s">
        <v>1641</v>
      </c>
      <c r="O285">
        <v>0.34</v>
      </c>
      <c r="P285" t="s">
        <v>1589</v>
      </c>
      <c r="Q285">
        <v>403</v>
      </c>
      <c r="R285" t="s">
        <v>1709</v>
      </c>
      <c r="V285" t="s">
        <v>1934</v>
      </c>
    </row>
    <row r="286" spans="1:22" hidden="1" x14ac:dyDescent="0.25">
      <c r="A286">
        <v>2016</v>
      </c>
      <c r="B286" t="s">
        <v>772</v>
      </c>
      <c r="C286" t="s">
        <v>82</v>
      </c>
      <c r="D286" t="s">
        <v>83</v>
      </c>
      <c r="E286" t="s">
        <v>1278</v>
      </c>
      <c r="G286" s="37" t="s">
        <v>11</v>
      </c>
      <c r="H286" s="37" t="s">
        <v>19</v>
      </c>
      <c r="I286" t="s">
        <v>16</v>
      </c>
      <c r="J286" t="s">
        <v>1564</v>
      </c>
      <c r="K286" t="s">
        <v>1600</v>
      </c>
      <c r="L286" s="28" t="s">
        <v>3005</v>
      </c>
      <c r="M286">
        <v>54</v>
      </c>
      <c r="N286" t="s">
        <v>1641</v>
      </c>
      <c r="O286">
        <v>0.32</v>
      </c>
      <c r="P286" t="s">
        <v>1567</v>
      </c>
      <c r="Q286">
        <v>550000</v>
      </c>
      <c r="R286" t="s">
        <v>1548</v>
      </c>
      <c r="V286" t="s">
        <v>1934</v>
      </c>
    </row>
    <row r="287" spans="1:22" hidden="1" x14ac:dyDescent="0.25">
      <c r="A287">
        <v>2016</v>
      </c>
      <c r="B287" t="s">
        <v>772</v>
      </c>
      <c r="C287" t="s">
        <v>82</v>
      </c>
      <c r="D287" t="s">
        <v>83</v>
      </c>
      <c r="E287" t="s">
        <v>1278</v>
      </c>
      <c r="G287" s="37" t="s">
        <v>11</v>
      </c>
      <c r="H287" s="37" t="s">
        <v>19</v>
      </c>
      <c r="I287" t="s">
        <v>1549</v>
      </c>
      <c r="J287" t="s">
        <v>1564</v>
      </c>
      <c r="K287" t="s">
        <v>1600</v>
      </c>
      <c r="L287" s="28" t="s">
        <v>3005</v>
      </c>
      <c r="M287">
        <v>54</v>
      </c>
      <c r="N287" t="s">
        <v>1641</v>
      </c>
      <c r="O287">
        <v>0.9</v>
      </c>
      <c r="P287" t="s">
        <v>1567</v>
      </c>
      <c r="Q287">
        <v>1542000</v>
      </c>
      <c r="R287" t="s">
        <v>1548</v>
      </c>
      <c r="V287" t="s">
        <v>1934</v>
      </c>
    </row>
    <row r="288" spans="1:22" hidden="1" x14ac:dyDescent="0.25">
      <c r="A288">
        <v>2016</v>
      </c>
      <c r="B288" t="s">
        <v>772</v>
      </c>
      <c r="C288" t="s">
        <v>82</v>
      </c>
      <c r="D288" t="s">
        <v>83</v>
      </c>
      <c r="E288" t="s">
        <v>1278</v>
      </c>
      <c r="G288" s="37" t="s">
        <v>11</v>
      </c>
      <c r="H288" s="37" t="s">
        <v>19</v>
      </c>
      <c r="I288" t="s">
        <v>125</v>
      </c>
      <c r="J288" t="s">
        <v>1570</v>
      </c>
      <c r="K288" t="s">
        <v>1602</v>
      </c>
      <c r="L288" s="28" t="s">
        <v>3005</v>
      </c>
      <c r="M288">
        <v>202</v>
      </c>
      <c r="N288" t="s">
        <v>1641</v>
      </c>
      <c r="O288">
        <v>0.28999999999999998</v>
      </c>
      <c r="P288" t="s">
        <v>1589</v>
      </c>
      <c r="Q288">
        <v>1281</v>
      </c>
      <c r="R288" t="s">
        <v>1709</v>
      </c>
      <c r="V288" t="s">
        <v>1934</v>
      </c>
    </row>
    <row r="289" spans="1:22" hidden="1" x14ac:dyDescent="0.25">
      <c r="A289">
        <v>2016</v>
      </c>
      <c r="B289" t="s">
        <v>772</v>
      </c>
      <c r="C289" t="s">
        <v>82</v>
      </c>
      <c r="D289" t="s">
        <v>83</v>
      </c>
      <c r="E289" t="s">
        <v>1278</v>
      </c>
      <c r="G289" s="37" t="s">
        <v>11</v>
      </c>
      <c r="H289" s="37" t="s">
        <v>19</v>
      </c>
      <c r="I289" t="s">
        <v>16</v>
      </c>
      <c r="J289" t="s">
        <v>1570</v>
      </c>
      <c r="K289" t="s">
        <v>1602</v>
      </c>
      <c r="L289" s="28" t="s">
        <v>3005</v>
      </c>
      <c r="M289">
        <v>202</v>
      </c>
      <c r="N289" t="s">
        <v>1641</v>
      </c>
      <c r="O289">
        <v>0.3</v>
      </c>
      <c r="P289" t="s">
        <v>1567</v>
      </c>
      <c r="Q289">
        <v>1974000</v>
      </c>
      <c r="R289" t="s">
        <v>1548</v>
      </c>
      <c r="V289" t="s">
        <v>1934</v>
      </c>
    </row>
    <row r="290" spans="1:22" hidden="1" x14ac:dyDescent="0.25">
      <c r="A290">
        <v>2016</v>
      </c>
      <c r="B290" t="s">
        <v>772</v>
      </c>
      <c r="C290" t="s">
        <v>82</v>
      </c>
      <c r="D290" t="s">
        <v>83</v>
      </c>
      <c r="E290" t="s">
        <v>1278</v>
      </c>
      <c r="G290" s="37" t="s">
        <v>11</v>
      </c>
      <c r="H290" s="37" t="s">
        <v>19</v>
      </c>
      <c r="I290" t="s">
        <v>1549</v>
      </c>
      <c r="J290" t="s">
        <v>1570</v>
      </c>
      <c r="K290" t="s">
        <v>1602</v>
      </c>
      <c r="L290" s="28" t="s">
        <v>3005</v>
      </c>
      <c r="M290">
        <v>202</v>
      </c>
      <c r="N290" t="s">
        <v>1641</v>
      </c>
      <c r="O290">
        <v>0.53</v>
      </c>
      <c r="P290" t="s">
        <v>1567</v>
      </c>
      <c r="Q290">
        <v>3425000</v>
      </c>
      <c r="R290" t="s">
        <v>1548</v>
      </c>
      <c r="V290" t="s">
        <v>1934</v>
      </c>
    </row>
    <row r="291" spans="1:22" hidden="1" x14ac:dyDescent="0.25">
      <c r="A291">
        <v>2016</v>
      </c>
      <c r="B291" t="s">
        <v>772</v>
      </c>
      <c r="C291" t="s">
        <v>82</v>
      </c>
      <c r="D291" t="s">
        <v>83</v>
      </c>
      <c r="E291" t="s">
        <v>1278</v>
      </c>
      <c r="G291" s="37" t="s">
        <v>11</v>
      </c>
      <c r="H291" s="37" t="s">
        <v>19</v>
      </c>
      <c r="I291" t="s">
        <v>125</v>
      </c>
      <c r="J291" t="s">
        <v>1570</v>
      </c>
      <c r="K291" t="s">
        <v>1573</v>
      </c>
      <c r="L291" s="28" t="s">
        <v>3005</v>
      </c>
      <c r="M291">
        <v>15</v>
      </c>
      <c r="N291" t="s">
        <v>1641</v>
      </c>
      <c r="O291">
        <v>0.16</v>
      </c>
      <c r="P291" t="s">
        <v>1589</v>
      </c>
      <c r="Q291">
        <v>52</v>
      </c>
      <c r="R291" t="s">
        <v>1709</v>
      </c>
      <c r="V291" t="s">
        <v>1934</v>
      </c>
    </row>
    <row r="292" spans="1:22" hidden="1" x14ac:dyDescent="0.25">
      <c r="A292">
        <v>2016</v>
      </c>
      <c r="B292" t="s">
        <v>772</v>
      </c>
      <c r="C292" t="s">
        <v>82</v>
      </c>
      <c r="D292" t="s">
        <v>83</v>
      </c>
      <c r="E292" t="s">
        <v>1278</v>
      </c>
      <c r="G292" s="37" t="s">
        <v>11</v>
      </c>
      <c r="H292" s="37" t="s">
        <v>19</v>
      </c>
      <c r="I292" t="s">
        <v>16</v>
      </c>
      <c r="J292" t="s">
        <v>1570</v>
      </c>
      <c r="K292" t="s">
        <v>1573</v>
      </c>
      <c r="L292" s="28" t="s">
        <v>3005</v>
      </c>
      <c r="M292">
        <v>15</v>
      </c>
      <c r="N292" t="s">
        <v>1641</v>
      </c>
      <c r="O292">
        <v>0.18</v>
      </c>
      <c r="P292" t="s">
        <v>1567</v>
      </c>
      <c r="Q292">
        <v>85000</v>
      </c>
      <c r="R292" t="s">
        <v>1548</v>
      </c>
      <c r="V292" t="s">
        <v>1934</v>
      </c>
    </row>
    <row r="293" spans="1:22" hidden="1" x14ac:dyDescent="0.25">
      <c r="A293">
        <v>2016</v>
      </c>
      <c r="B293" t="s">
        <v>772</v>
      </c>
      <c r="C293" t="s">
        <v>82</v>
      </c>
      <c r="D293" t="s">
        <v>83</v>
      </c>
      <c r="E293" t="s">
        <v>1278</v>
      </c>
      <c r="G293" s="37" t="s">
        <v>11</v>
      </c>
      <c r="H293" s="37" t="s">
        <v>19</v>
      </c>
      <c r="I293" t="s">
        <v>1549</v>
      </c>
      <c r="J293" t="s">
        <v>1570</v>
      </c>
      <c r="K293" t="s">
        <v>1573</v>
      </c>
      <c r="L293" s="28" t="s">
        <v>3005</v>
      </c>
      <c r="M293">
        <v>15</v>
      </c>
      <c r="N293" t="s">
        <v>1641</v>
      </c>
      <c r="O293">
        <v>0.13</v>
      </c>
      <c r="P293" t="s">
        <v>1567</v>
      </c>
      <c r="Q293">
        <v>61000</v>
      </c>
      <c r="R293" t="s">
        <v>1548</v>
      </c>
      <c r="V293" t="s">
        <v>1934</v>
      </c>
    </row>
    <row r="294" spans="1:22" hidden="1" x14ac:dyDescent="0.25">
      <c r="A294">
        <v>2023</v>
      </c>
      <c r="B294" t="s">
        <v>772</v>
      </c>
      <c r="C294" t="s">
        <v>1591</v>
      </c>
      <c r="D294" t="s">
        <v>78</v>
      </c>
      <c r="E294" t="s">
        <v>1321</v>
      </c>
      <c r="G294" s="37" t="s">
        <v>11</v>
      </c>
      <c r="H294" s="37" t="s">
        <v>21</v>
      </c>
      <c r="I294" t="s">
        <v>16</v>
      </c>
      <c r="J294" t="s">
        <v>1564</v>
      </c>
      <c r="K294" t="s">
        <v>1574</v>
      </c>
      <c r="L294" s="28" t="s">
        <v>3005</v>
      </c>
      <c r="M294">
        <v>3800</v>
      </c>
      <c r="N294" t="s">
        <v>1566</v>
      </c>
      <c r="O294">
        <v>6.3</v>
      </c>
      <c r="P294" t="s">
        <v>1567</v>
      </c>
      <c r="Q294">
        <v>800</v>
      </c>
      <c r="R294" t="s">
        <v>1550</v>
      </c>
      <c r="S294" t="s">
        <v>1588</v>
      </c>
      <c r="T294">
        <v>96</v>
      </c>
      <c r="V294" t="s">
        <v>1592</v>
      </c>
    </row>
    <row r="295" spans="1:22" hidden="1" x14ac:dyDescent="0.25">
      <c r="A295">
        <v>2023</v>
      </c>
      <c r="B295" t="s">
        <v>772</v>
      </c>
      <c r="C295" t="s">
        <v>1591</v>
      </c>
      <c r="D295" t="s">
        <v>78</v>
      </c>
      <c r="E295" t="s">
        <v>1321</v>
      </c>
      <c r="G295" s="37" t="s">
        <v>11</v>
      </c>
      <c r="H295" s="37" t="s">
        <v>21</v>
      </c>
      <c r="I295" t="s">
        <v>16</v>
      </c>
      <c r="J295" t="s">
        <v>1564</v>
      </c>
      <c r="K295" t="s">
        <v>1565</v>
      </c>
      <c r="L295" s="28" t="s">
        <v>3005</v>
      </c>
      <c r="M295">
        <v>3200</v>
      </c>
      <c r="N295" t="s">
        <v>1566</v>
      </c>
      <c r="O295">
        <v>6.78</v>
      </c>
      <c r="P295" t="s">
        <v>1567</v>
      </c>
      <c r="Q295">
        <v>700</v>
      </c>
      <c r="R295" t="s">
        <v>1550</v>
      </c>
      <c r="S295" t="s">
        <v>1588</v>
      </c>
      <c r="T295">
        <v>96</v>
      </c>
      <c r="V295" t="s">
        <v>1592</v>
      </c>
    </row>
    <row r="296" spans="1:22" hidden="1" x14ac:dyDescent="0.25">
      <c r="A296">
        <v>2023</v>
      </c>
      <c r="B296" t="s">
        <v>772</v>
      </c>
      <c r="C296" t="s">
        <v>1591</v>
      </c>
      <c r="D296" t="s">
        <v>78</v>
      </c>
      <c r="E296" t="s">
        <v>1321</v>
      </c>
      <c r="G296" s="37" t="s">
        <v>11</v>
      </c>
      <c r="H296" s="37" t="s">
        <v>21</v>
      </c>
      <c r="I296" t="s">
        <v>16</v>
      </c>
      <c r="J296" t="s">
        <v>1570</v>
      </c>
      <c r="K296" t="s">
        <v>1572</v>
      </c>
      <c r="L296" s="28" t="s">
        <v>3005</v>
      </c>
      <c r="M296">
        <v>1300</v>
      </c>
      <c r="N296" t="s">
        <v>1566</v>
      </c>
      <c r="O296">
        <v>4.17</v>
      </c>
      <c r="P296" t="s">
        <v>1567</v>
      </c>
      <c r="Q296">
        <v>200</v>
      </c>
      <c r="R296" t="s">
        <v>1550</v>
      </c>
      <c r="S296" t="s">
        <v>1588</v>
      </c>
      <c r="T296">
        <v>96</v>
      </c>
      <c r="V296" t="s">
        <v>1592</v>
      </c>
    </row>
    <row r="297" spans="1:22" hidden="1" x14ac:dyDescent="0.25">
      <c r="A297">
        <v>2023</v>
      </c>
      <c r="B297" t="s">
        <v>772</v>
      </c>
      <c r="C297" t="s">
        <v>1591</v>
      </c>
      <c r="D297" t="s">
        <v>78</v>
      </c>
      <c r="E297" t="s">
        <v>1321</v>
      </c>
      <c r="G297" s="37" t="s">
        <v>11</v>
      </c>
      <c r="H297" s="37" t="s">
        <v>21</v>
      </c>
      <c r="I297" t="s">
        <v>16</v>
      </c>
      <c r="J297" t="s">
        <v>1570</v>
      </c>
      <c r="K297" t="s">
        <v>1573</v>
      </c>
      <c r="L297" s="28" t="s">
        <v>3005</v>
      </c>
      <c r="M297">
        <v>1200</v>
      </c>
      <c r="N297" t="s">
        <v>1566</v>
      </c>
      <c r="O297">
        <v>4.96</v>
      </c>
      <c r="P297" t="s">
        <v>1567</v>
      </c>
      <c r="Q297">
        <v>200</v>
      </c>
      <c r="R297" t="s">
        <v>1550</v>
      </c>
      <c r="S297" t="s">
        <v>1588</v>
      </c>
      <c r="T297">
        <v>96</v>
      </c>
      <c r="V297" t="s">
        <v>1592</v>
      </c>
    </row>
    <row r="298" spans="1:22" hidden="1" x14ac:dyDescent="0.25">
      <c r="A298">
        <v>2023</v>
      </c>
      <c r="B298" t="s">
        <v>772</v>
      </c>
      <c r="C298" t="s">
        <v>1591</v>
      </c>
      <c r="D298" t="s">
        <v>78</v>
      </c>
      <c r="E298" t="s">
        <v>1321</v>
      </c>
      <c r="G298" s="37" t="s">
        <v>11</v>
      </c>
      <c r="H298" s="37" t="s">
        <v>21</v>
      </c>
      <c r="I298" t="s">
        <v>16</v>
      </c>
      <c r="J298" t="s">
        <v>1570</v>
      </c>
      <c r="K298" t="s">
        <v>1571</v>
      </c>
      <c r="L298" s="28" t="s">
        <v>3005</v>
      </c>
      <c r="M298">
        <v>900</v>
      </c>
      <c r="N298" t="s">
        <v>1566</v>
      </c>
      <c r="O298">
        <v>4.3600000000000003</v>
      </c>
      <c r="P298" t="s">
        <v>1567</v>
      </c>
      <c r="Q298">
        <v>100</v>
      </c>
      <c r="R298" t="s">
        <v>1550</v>
      </c>
      <c r="S298" t="s">
        <v>1588</v>
      </c>
      <c r="T298">
        <v>96</v>
      </c>
      <c r="V298" t="s">
        <v>1592</v>
      </c>
    </row>
    <row r="299" spans="1:22" hidden="1" x14ac:dyDescent="0.25">
      <c r="A299">
        <v>2024</v>
      </c>
      <c r="B299" t="s">
        <v>772</v>
      </c>
      <c r="C299" t="s">
        <v>755</v>
      </c>
      <c r="D299" t="s">
        <v>85</v>
      </c>
      <c r="E299" t="s">
        <v>1315</v>
      </c>
      <c r="G299" s="37" t="s">
        <v>11</v>
      </c>
      <c r="H299" s="37" t="s">
        <v>23</v>
      </c>
      <c r="I299" t="s">
        <v>16</v>
      </c>
      <c r="J299" t="s">
        <v>1564</v>
      </c>
      <c r="K299" t="s">
        <v>1574</v>
      </c>
      <c r="L299" s="28" t="s">
        <v>3005</v>
      </c>
      <c r="M299" s="23">
        <v>39567</v>
      </c>
      <c r="N299" t="s">
        <v>1566</v>
      </c>
      <c r="O299">
        <v>0.65</v>
      </c>
      <c r="P299" t="s">
        <v>1567</v>
      </c>
      <c r="Q299">
        <v>828</v>
      </c>
      <c r="R299" t="s">
        <v>1550</v>
      </c>
      <c r="V299" t="s">
        <v>1568</v>
      </c>
    </row>
    <row r="300" spans="1:22" hidden="1" x14ac:dyDescent="0.25">
      <c r="A300">
        <v>2024</v>
      </c>
      <c r="B300" t="s">
        <v>772</v>
      </c>
      <c r="C300" t="s">
        <v>755</v>
      </c>
      <c r="D300" t="s">
        <v>85</v>
      </c>
      <c r="E300" t="s">
        <v>1315</v>
      </c>
      <c r="G300" s="37" t="s">
        <v>11</v>
      </c>
      <c r="H300" s="37" t="s">
        <v>23</v>
      </c>
      <c r="I300" t="s">
        <v>16</v>
      </c>
      <c r="J300" t="s">
        <v>1570</v>
      </c>
      <c r="K300" t="s">
        <v>1571</v>
      </c>
      <c r="L300" s="28" t="s">
        <v>3005</v>
      </c>
      <c r="M300" s="23">
        <v>51195</v>
      </c>
      <c r="N300" t="s">
        <v>1566</v>
      </c>
      <c r="O300">
        <v>0.57999999999999996</v>
      </c>
      <c r="P300" t="s">
        <v>1567</v>
      </c>
      <c r="Q300">
        <v>958</v>
      </c>
      <c r="R300" t="s">
        <v>1550</v>
      </c>
      <c r="V300" t="s">
        <v>1568</v>
      </c>
    </row>
    <row r="301" spans="1:22" hidden="1" x14ac:dyDescent="0.25">
      <c r="A301">
        <v>2024</v>
      </c>
      <c r="B301" t="s">
        <v>772</v>
      </c>
      <c r="C301" t="s">
        <v>755</v>
      </c>
      <c r="D301" t="s">
        <v>85</v>
      </c>
      <c r="E301" t="s">
        <v>1315</v>
      </c>
      <c r="G301" s="37" t="s">
        <v>11</v>
      </c>
      <c r="H301" s="37" t="s">
        <v>23</v>
      </c>
      <c r="I301" t="s">
        <v>16</v>
      </c>
      <c r="J301" t="s">
        <v>1570</v>
      </c>
      <c r="K301" t="s">
        <v>1572</v>
      </c>
      <c r="L301" s="28" t="s">
        <v>3005</v>
      </c>
      <c r="M301" s="23">
        <v>30448</v>
      </c>
      <c r="N301" t="s">
        <v>1566</v>
      </c>
      <c r="O301">
        <v>0.4</v>
      </c>
      <c r="P301" t="s">
        <v>1567</v>
      </c>
      <c r="Q301">
        <v>393</v>
      </c>
      <c r="R301" t="s">
        <v>1550</v>
      </c>
      <c r="V301" t="s">
        <v>1568</v>
      </c>
    </row>
    <row r="302" spans="1:22" hidden="1" x14ac:dyDescent="0.25">
      <c r="A302">
        <v>2024</v>
      </c>
      <c r="B302" t="s">
        <v>772</v>
      </c>
      <c r="C302" t="s">
        <v>755</v>
      </c>
      <c r="D302" t="s">
        <v>85</v>
      </c>
      <c r="E302" t="s">
        <v>1315</v>
      </c>
      <c r="G302" s="37" t="s">
        <v>11</v>
      </c>
      <c r="H302" s="37" t="s">
        <v>23</v>
      </c>
      <c r="I302" t="s">
        <v>16</v>
      </c>
      <c r="J302" t="s">
        <v>1570</v>
      </c>
      <c r="K302" t="s">
        <v>1573</v>
      </c>
      <c r="L302" s="28" t="s">
        <v>3005</v>
      </c>
      <c r="M302" s="23">
        <v>132</v>
      </c>
      <c r="N302" t="s">
        <v>1566</v>
      </c>
      <c r="O302">
        <v>0.19</v>
      </c>
      <c r="P302" t="s">
        <v>1567</v>
      </c>
      <c r="Q302">
        <v>1</v>
      </c>
      <c r="R302" t="s">
        <v>1550</v>
      </c>
      <c r="V302" t="s">
        <v>1568</v>
      </c>
    </row>
    <row r="303" spans="1:22" hidden="1" x14ac:dyDescent="0.25">
      <c r="A303">
        <v>2024</v>
      </c>
      <c r="B303" t="s">
        <v>772</v>
      </c>
      <c r="C303" t="s">
        <v>755</v>
      </c>
      <c r="D303" t="s">
        <v>85</v>
      </c>
      <c r="E303" t="s">
        <v>1315</v>
      </c>
      <c r="G303" s="37" t="s">
        <v>11</v>
      </c>
      <c r="H303" s="37" t="s">
        <v>23</v>
      </c>
      <c r="I303" t="s">
        <v>1549</v>
      </c>
      <c r="J303" t="s">
        <v>1564</v>
      </c>
      <c r="K303" t="s">
        <v>1574</v>
      </c>
      <c r="L303" s="28" t="s">
        <v>3005</v>
      </c>
      <c r="M303" s="23">
        <v>39567</v>
      </c>
      <c r="N303" t="s">
        <v>1566</v>
      </c>
      <c r="O303">
        <v>1.77</v>
      </c>
      <c r="P303" t="s">
        <v>1567</v>
      </c>
      <c r="Q303">
        <v>2253</v>
      </c>
      <c r="R303" t="s">
        <v>1550</v>
      </c>
      <c r="V303" t="s">
        <v>1568</v>
      </c>
    </row>
    <row r="304" spans="1:22" hidden="1" x14ac:dyDescent="0.25">
      <c r="A304">
        <v>2024</v>
      </c>
      <c r="B304" t="s">
        <v>772</v>
      </c>
      <c r="C304" t="s">
        <v>755</v>
      </c>
      <c r="D304" t="s">
        <v>85</v>
      </c>
      <c r="E304" t="s">
        <v>1315</v>
      </c>
      <c r="G304" s="37" t="s">
        <v>11</v>
      </c>
      <c r="H304" s="37" t="s">
        <v>23</v>
      </c>
      <c r="I304" t="s">
        <v>1549</v>
      </c>
      <c r="J304" t="s">
        <v>1570</v>
      </c>
      <c r="K304" t="s">
        <v>1571</v>
      </c>
      <c r="L304" s="28" t="s">
        <v>3005</v>
      </c>
      <c r="M304" s="23">
        <v>51195</v>
      </c>
      <c r="N304" t="s">
        <v>1566</v>
      </c>
      <c r="O304">
        <v>1.81</v>
      </c>
      <c r="P304" t="s">
        <v>1567</v>
      </c>
      <c r="Q304">
        <v>2976</v>
      </c>
      <c r="R304" t="s">
        <v>1550</v>
      </c>
      <c r="V304" t="s">
        <v>1568</v>
      </c>
    </row>
    <row r="305" spans="1:22" hidden="1" x14ac:dyDescent="0.25">
      <c r="A305">
        <v>2024</v>
      </c>
      <c r="B305" t="s">
        <v>772</v>
      </c>
      <c r="C305" t="s">
        <v>755</v>
      </c>
      <c r="D305" t="s">
        <v>85</v>
      </c>
      <c r="E305" t="s">
        <v>1315</v>
      </c>
      <c r="G305" s="37" t="s">
        <v>11</v>
      </c>
      <c r="H305" s="37" t="s">
        <v>23</v>
      </c>
      <c r="I305" t="s">
        <v>1549</v>
      </c>
      <c r="J305" t="s">
        <v>1570</v>
      </c>
      <c r="K305" t="s">
        <v>1572</v>
      </c>
      <c r="L305" s="28" t="s">
        <v>3005</v>
      </c>
      <c r="M305" s="23">
        <v>30448</v>
      </c>
      <c r="N305" t="s">
        <v>1566</v>
      </c>
      <c r="O305">
        <v>1.49</v>
      </c>
      <c r="P305" t="s">
        <v>1567</v>
      </c>
      <c r="Q305">
        <v>1455</v>
      </c>
      <c r="R305" t="s">
        <v>1550</v>
      </c>
      <c r="V305" t="s">
        <v>1568</v>
      </c>
    </row>
    <row r="306" spans="1:22" hidden="1" x14ac:dyDescent="0.25">
      <c r="A306">
        <v>2024</v>
      </c>
      <c r="B306" t="s">
        <v>772</v>
      </c>
      <c r="C306" t="s">
        <v>755</v>
      </c>
      <c r="D306" t="s">
        <v>85</v>
      </c>
      <c r="E306" t="s">
        <v>1315</v>
      </c>
      <c r="G306" s="37" t="s">
        <v>11</v>
      </c>
      <c r="H306" s="37" t="s">
        <v>23</v>
      </c>
      <c r="I306" t="s">
        <v>1549</v>
      </c>
      <c r="J306" t="s">
        <v>1570</v>
      </c>
      <c r="K306" t="s">
        <v>1573</v>
      </c>
      <c r="L306" s="28" t="s">
        <v>3005</v>
      </c>
      <c r="M306" s="23">
        <v>132</v>
      </c>
      <c r="N306" t="s">
        <v>1566</v>
      </c>
      <c r="O306">
        <v>0.54</v>
      </c>
      <c r="P306" t="s">
        <v>1567</v>
      </c>
      <c r="Q306">
        <v>4431</v>
      </c>
      <c r="R306" t="s">
        <v>1550</v>
      </c>
      <c r="V306" t="s">
        <v>1568</v>
      </c>
    </row>
    <row r="307" spans="1:22" hidden="1" x14ac:dyDescent="0.25">
      <c r="A307">
        <v>2024</v>
      </c>
      <c r="B307" t="s">
        <v>772</v>
      </c>
      <c r="C307" t="s">
        <v>755</v>
      </c>
      <c r="D307" t="s">
        <v>85</v>
      </c>
      <c r="E307" t="s">
        <v>1315</v>
      </c>
      <c r="G307" s="37" t="s">
        <v>11</v>
      </c>
      <c r="H307" s="37" t="s">
        <v>23</v>
      </c>
      <c r="I307" t="s">
        <v>125</v>
      </c>
      <c r="J307" t="s">
        <v>1564</v>
      </c>
      <c r="K307" t="s">
        <v>1574</v>
      </c>
      <c r="L307" s="28" t="s">
        <v>3005</v>
      </c>
      <c r="M307" s="23">
        <v>39567</v>
      </c>
      <c r="N307" t="s">
        <v>1566</v>
      </c>
      <c r="O307">
        <v>0.72</v>
      </c>
      <c r="P307" t="s">
        <v>1589</v>
      </c>
      <c r="Q307">
        <v>631</v>
      </c>
      <c r="R307" t="s">
        <v>1709</v>
      </c>
      <c r="V307" t="s">
        <v>1568</v>
      </c>
    </row>
    <row r="308" spans="1:22" hidden="1" x14ac:dyDescent="0.25">
      <c r="A308">
        <v>2024</v>
      </c>
      <c r="B308" t="s">
        <v>772</v>
      </c>
      <c r="C308" t="s">
        <v>755</v>
      </c>
      <c r="D308" t="s">
        <v>85</v>
      </c>
      <c r="E308" t="s">
        <v>1315</v>
      </c>
      <c r="G308" s="37" t="s">
        <v>11</v>
      </c>
      <c r="H308" s="37" t="s">
        <v>23</v>
      </c>
      <c r="I308" t="s">
        <v>125</v>
      </c>
      <c r="J308" t="s">
        <v>1570</v>
      </c>
      <c r="K308" t="s">
        <v>1571</v>
      </c>
      <c r="L308" s="28" t="s">
        <v>3005</v>
      </c>
      <c r="M308" s="23">
        <v>51195</v>
      </c>
      <c r="N308" t="s">
        <v>1566</v>
      </c>
      <c r="O308">
        <v>0.67</v>
      </c>
      <c r="P308" t="s">
        <v>1589</v>
      </c>
      <c r="Q308">
        <v>758</v>
      </c>
      <c r="R308" t="s">
        <v>1709</v>
      </c>
      <c r="V308" t="s">
        <v>1568</v>
      </c>
    </row>
    <row r="309" spans="1:22" hidden="1" x14ac:dyDescent="0.25">
      <c r="A309">
        <v>2024</v>
      </c>
      <c r="B309" t="s">
        <v>772</v>
      </c>
      <c r="C309" t="s">
        <v>755</v>
      </c>
      <c r="D309" t="s">
        <v>85</v>
      </c>
      <c r="E309" t="s">
        <v>1315</v>
      </c>
      <c r="G309" s="37" t="s">
        <v>11</v>
      </c>
      <c r="H309" s="37" t="s">
        <v>23</v>
      </c>
      <c r="I309" t="s">
        <v>125</v>
      </c>
      <c r="J309" t="s">
        <v>1570</v>
      </c>
      <c r="K309" t="s">
        <v>1572</v>
      </c>
      <c r="L309" s="28" t="s">
        <v>3005</v>
      </c>
      <c r="M309" s="23">
        <v>30448</v>
      </c>
      <c r="N309" t="s">
        <v>1566</v>
      </c>
      <c r="O309">
        <v>0.51</v>
      </c>
      <c r="P309" t="s">
        <v>1589</v>
      </c>
      <c r="Q309">
        <v>342</v>
      </c>
      <c r="R309" t="s">
        <v>1709</v>
      </c>
      <c r="V309" t="s">
        <v>1568</v>
      </c>
    </row>
    <row r="310" spans="1:22" hidden="1" x14ac:dyDescent="0.25">
      <c r="A310">
        <v>2024</v>
      </c>
      <c r="B310" t="s">
        <v>772</v>
      </c>
      <c r="C310" t="s">
        <v>755</v>
      </c>
      <c r="D310" t="s">
        <v>85</v>
      </c>
      <c r="E310" t="s">
        <v>1315</v>
      </c>
      <c r="G310" s="37" t="s">
        <v>11</v>
      </c>
      <c r="H310" s="37" t="s">
        <v>23</v>
      </c>
      <c r="I310" t="s">
        <v>125</v>
      </c>
      <c r="J310" t="s">
        <v>1570</v>
      </c>
      <c r="K310" t="s">
        <v>1573</v>
      </c>
      <c r="L310" s="28" t="s">
        <v>3005</v>
      </c>
      <c r="M310" s="23">
        <v>132</v>
      </c>
      <c r="N310" t="s">
        <v>1566</v>
      </c>
      <c r="O310">
        <v>0.19</v>
      </c>
      <c r="P310" t="s">
        <v>1589</v>
      </c>
      <c r="Q310">
        <v>1</v>
      </c>
      <c r="R310" t="s">
        <v>1709</v>
      </c>
      <c r="V310" t="s">
        <v>1568</v>
      </c>
    </row>
    <row r="311" spans="1:22" hidden="1" x14ac:dyDescent="0.25">
      <c r="A311">
        <v>2025</v>
      </c>
      <c r="B311" t="s">
        <v>772</v>
      </c>
      <c r="C311" t="s">
        <v>717</v>
      </c>
      <c r="D311" t="s">
        <v>80</v>
      </c>
      <c r="E311" t="s">
        <v>1268</v>
      </c>
      <c r="F311" t="s">
        <v>1849</v>
      </c>
      <c r="G311" s="37" t="s">
        <v>11</v>
      </c>
      <c r="H311" s="37" t="s">
        <v>19</v>
      </c>
      <c r="I311" s="28" t="s">
        <v>1772</v>
      </c>
      <c r="J311" s="28" t="s">
        <v>1570</v>
      </c>
      <c r="K311" s="28" t="s">
        <v>1573</v>
      </c>
      <c r="L311" s="28" t="s">
        <v>3005</v>
      </c>
      <c r="M311">
        <v>2750000</v>
      </c>
      <c r="N311" s="11" t="s">
        <v>1641</v>
      </c>
      <c r="V311" t="s">
        <v>2967</v>
      </c>
    </row>
    <row r="312" spans="1:22" hidden="1" x14ac:dyDescent="0.25">
      <c r="A312">
        <v>2025</v>
      </c>
      <c r="B312" t="s">
        <v>772</v>
      </c>
      <c r="C312" t="s">
        <v>717</v>
      </c>
      <c r="D312" t="s">
        <v>80</v>
      </c>
      <c r="E312" t="s">
        <v>1268</v>
      </c>
      <c r="F312" t="s">
        <v>1849</v>
      </c>
      <c r="G312" s="37" t="s">
        <v>11</v>
      </c>
      <c r="H312" s="37" t="s">
        <v>19</v>
      </c>
      <c r="I312" s="28" t="s">
        <v>16</v>
      </c>
      <c r="J312" s="28" t="s">
        <v>1570</v>
      </c>
      <c r="K312" s="28" t="s">
        <v>1573</v>
      </c>
      <c r="L312" s="28" t="s">
        <v>3005</v>
      </c>
      <c r="O312">
        <v>4.5</v>
      </c>
      <c r="P312" t="s">
        <v>1567</v>
      </c>
      <c r="V312" t="s">
        <v>2967</v>
      </c>
    </row>
    <row r="313" spans="1:22" hidden="1" x14ac:dyDescent="0.25">
      <c r="A313">
        <v>2023</v>
      </c>
      <c r="B313" t="s">
        <v>772</v>
      </c>
      <c r="C313" t="s">
        <v>896</v>
      </c>
      <c r="D313" t="s">
        <v>173</v>
      </c>
      <c r="E313" t="s">
        <v>1366</v>
      </c>
      <c r="G313" s="37" t="s">
        <v>11</v>
      </c>
      <c r="H313" s="37" t="s">
        <v>17</v>
      </c>
      <c r="I313" t="s">
        <v>174</v>
      </c>
      <c r="J313" t="s">
        <v>1570</v>
      </c>
      <c r="K313" t="s">
        <v>2004</v>
      </c>
      <c r="L313" s="28" t="s">
        <v>3005</v>
      </c>
      <c r="M313">
        <v>58</v>
      </c>
      <c r="N313" t="s">
        <v>1641</v>
      </c>
      <c r="V313" t="s">
        <v>1874</v>
      </c>
    </row>
    <row r="314" spans="1:22" hidden="1" x14ac:dyDescent="0.25">
      <c r="A314">
        <v>2023</v>
      </c>
      <c r="B314" t="s">
        <v>1537</v>
      </c>
      <c r="C314" t="s">
        <v>1591</v>
      </c>
      <c r="D314" t="s">
        <v>1587</v>
      </c>
      <c r="F314" t="s">
        <v>1750</v>
      </c>
      <c r="G314" s="37" t="s">
        <v>11</v>
      </c>
      <c r="H314" s="37" t="s">
        <v>720</v>
      </c>
      <c r="I314" t="s">
        <v>16</v>
      </c>
      <c r="J314" t="s">
        <v>1564</v>
      </c>
      <c r="K314" t="s">
        <v>1574</v>
      </c>
      <c r="L314" s="28" t="s">
        <v>3005</v>
      </c>
      <c r="M314">
        <v>28200</v>
      </c>
      <c r="N314" t="s">
        <v>1566</v>
      </c>
      <c r="O314">
        <v>4.9399999999999897</v>
      </c>
      <c r="P314" t="s">
        <v>1567</v>
      </c>
      <c r="Q314">
        <v>1700</v>
      </c>
      <c r="R314" t="s">
        <v>1550</v>
      </c>
      <c r="S314" t="s">
        <v>1588</v>
      </c>
      <c r="T314">
        <v>93.5</v>
      </c>
      <c r="V314" t="s">
        <v>1592</v>
      </c>
    </row>
    <row r="315" spans="1:22" hidden="1" x14ac:dyDescent="0.25">
      <c r="A315">
        <v>2023</v>
      </c>
      <c r="B315" t="s">
        <v>1537</v>
      </c>
      <c r="C315" t="s">
        <v>1591</v>
      </c>
      <c r="D315" t="s">
        <v>1587</v>
      </c>
      <c r="F315" t="s">
        <v>1750</v>
      </c>
      <c r="G315" s="37" t="s">
        <v>11</v>
      </c>
      <c r="H315" s="37" t="s">
        <v>720</v>
      </c>
      <c r="I315" t="s">
        <v>16</v>
      </c>
      <c r="J315" t="s">
        <v>1564</v>
      </c>
      <c r="K315" t="s">
        <v>1565</v>
      </c>
      <c r="L315" s="28" t="s">
        <v>3005</v>
      </c>
      <c r="M315">
        <v>4600</v>
      </c>
      <c r="N315" t="s">
        <v>1566</v>
      </c>
      <c r="O315">
        <v>4.2450000000000001</v>
      </c>
      <c r="P315" t="s">
        <v>1567</v>
      </c>
      <c r="Q315">
        <v>400</v>
      </c>
      <c r="R315" t="s">
        <v>1550</v>
      </c>
      <c r="S315" t="s">
        <v>1588</v>
      </c>
      <c r="T315">
        <v>93.5</v>
      </c>
      <c r="V315" t="s">
        <v>1592</v>
      </c>
    </row>
    <row r="316" spans="1:22" hidden="1" x14ac:dyDescent="0.25">
      <c r="A316">
        <v>2023</v>
      </c>
      <c r="B316" t="s">
        <v>1537</v>
      </c>
      <c r="C316" t="s">
        <v>1591</v>
      </c>
      <c r="D316" t="s">
        <v>1587</v>
      </c>
      <c r="F316" t="s">
        <v>1750</v>
      </c>
      <c r="G316" s="37" t="s">
        <v>11</v>
      </c>
      <c r="H316" s="37" t="s">
        <v>720</v>
      </c>
      <c r="I316" t="s">
        <v>16</v>
      </c>
      <c r="J316" t="s">
        <v>1570</v>
      </c>
      <c r="K316" t="s">
        <v>1572</v>
      </c>
      <c r="L316" s="28" t="s">
        <v>3005</v>
      </c>
      <c r="M316">
        <v>67400</v>
      </c>
      <c r="N316" t="s">
        <v>1566</v>
      </c>
      <c r="O316">
        <v>4.2699999999999996</v>
      </c>
      <c r="P316" t="s">
        <v>1567</v>
      </c>
      <c r="Q316">
        <v>3700</v>
      </c>
      <c r="R316" t="s">
        <v>1550</v>
      </c>
      <c r="S316" t="s">
        <v>1588</v>
      </c>
      <c r="T316">
        <v>93</v>
      </c>
      <c r="V316" t="s">
        <v>1592</v>
      </c>
    </row>
    <row r="317" spans="1:22" hidden="1" x14ac:dyDescent="0.25">
      <c r="A317">
        <v>2023</v>
      </c>
      <c r="B317" t="s">
        <v>1537</v>
      </c>
      <c r="C317" t="s">
        <v>1591</v>
      </c>
      <c r="D317" t="s">
        <v>1587</v>
      </c>
      <c r="F317" t="s">
        <v>1750</v>
      </c>
      <c r="G317" s="37" t="s">
        <v>11</v>
      </c>
      <c r="H317" s="37" t="s">
        <v>720</v>
      </c>
      <c r="I317" t="s">
        <v>16</v>
      </c>
      <c r="J317" t="s">
        <v>1570</v>
      </c>
      <c r="K317" t="s">
        <v>1573</v>
      </c>
      <c r="L317" s="28" t="s">
        <v>3005</v>
      </c>
      <c r="M317">
        <v>62200</v>
      </c>
      <c r="N317" t="s">
        <v>1566</v>
      </c>
      <c r="O317">
        <v>4.75</v>
      </c>
      <c r="P317" t="s">
        <v>1567</v>
      </c>
      <c r="Q317">
        <v>3400</v>
      </c>
      <c r="R317" t="s">
        <v>1550</v>
      </c>
      <c r="S317" t="s">
        <v>1588</v>
      </c>
      <c r="T317">
        <v>93</v>
      </c>
      <c r="V317" t="s">
        <v>1592</v>
      </c>
    </row>
    <row r="318" spans="1:22" hidden="1" x14ac:dyDescent="0.25">
      <c r="A318">
        <v>2023</v>
      </c>
      <c r="B318" t="s">
        <v>1537</v>
      </c>
      <c r="C318" t="s">
        <v>1591</v>
      </c>
      <c r="D318" t="s">
        <v>1587</v>
      </c>
      <c r="F318" t="s">
        <v>1750</v>
      </c>
      <c r="G318" s="37" t="s">
        <v>11</v>
      </c>
      <c r="H318" s="37" t="s">
        <v>720</v>
      </c>
      <c r="I318" t="s">
        <v>16</v>
      </c>
      <c r="J318" t="s">
        <v>1570</v>
      </c>
      <c r="K318" t="s">
        <v>1571</v>
      </c>
      <c r="L318" s="28" t="s">
        <v>3005</v>
      </c>
      <c r="M318">
        <v>300</v>
      </c>
      <c r="N318" t="s">
        <v>1566</v>
      </c>
      <c r="O318">
        <v>2.57499999999999</v>
      </c>
      <c r="P318" t="s">
        <v>1567</v>
      </c>
      <c r="Q318">
        <v>0</v>
      </c>
      <c r="R318" t="s">
        <v>1550</v>
      </c>
      <c r="S318" t="s">
        <v>1588</v>
      </c>
      <c r="T318">
        <v>93</v>
      </c>
      <c r="V318" t="s">
        <v>1592</v>
      </c>
    </row>
    <row r="319" spans="1:22" hidden="1" x14ac:dyDescent="0.25">
      <c r="A319">
        <v>2024</v>
      </c>
      <c r="B319" t="s">
        <v>772</v>
      </c>
      <c r="C319" t="s">
        <v>715</v>
      </c>
      <c r="D319" s="11" t="s">
        <v>200</v>
      </c>
      <c r="E319" t="s">
        <v>1245</v>
      </c>
      <c r="G319" s="37" t="s">
        <v>11</v>
      </c>
      <c r="H319" s="37" t="s">
        <v>21</v>
      </c>
      <c r="I319" s="11" t="s">
        <v>1772</v>
      </c>
      <c r="J319" s="11" t="s">
        <v>1570</v>
      </c>
      <c r="K319" s="11" t="s">
        <v>1571</v>
      </c>
      <c r="L319" s="28" t="s">
        <v>3005</v>
      </c>
      <c r="M319" s="11">
        <v>8.1999999999999993</v>
      </c>
      <c r="N319" s="11" t="s">
        <v>1641</v>
      </c>
      <c r="O319" s="11"/>
      <c r="P319" s="11"/>
      <c r="Q319" s="11"/>
      <c r="R319" s="11"/>
      <c r="S319" s="11"/>
      <c r="T319" s="11"/>
      <c r="U319" s="11"/>
      <c r="V319" t="s">
        <v>2270</v>
      </c>
    </row>
    <row r="320" spans="1:22" hidden="1" x14ac:dyDescent="0.25">
      <c r="A320">
        <v>2024</v>
      </c>
      <c r="B320" t="s">
        <v>772</v>
      </c>
      <c r="C320" t="s">
        <v>715</v>
      </c>
      <c r="D320" s="11" t="s">
        <v>200</v>
      </c>
      <c r="E320" t="s">
        <v>1245</v>
      </c>
      <c r="G320" s="37" t="s">
        <v>11</v>
      </c>
      <c r="H320" s="37" t="s">
        <v>21</v>
      </c>
      <c r="I320" s="11" t="s">
        <v>557</v>
      </c>
      <c r="J320" s="11" t="s">
        <v>1570</v>
      </c>
      <c r="K320" s="11" t="s">
        <v>1571</v>
      </c>
      <c r="L320" s="28" t="s">
        <v>3005</v>
      </c>
      <c r="M320" s="11"/>
      <c r="N320" s="11" t="s">
        <v>1641</v>
      </c>
      <c r="O320" s="11">
        <v>3.12</v>
      </c>
      <c r="P320" s="11" t="s">
        <v>1589</v>
      </c>
      <c r="Q320" s="11"/>
      <c r="R320" s="11"/>
      <c r="S320" s="11"/>
      <c r="T320" s="11"/>
      <c r="U320" s="11"/>
      <c r="V320" t="s">
        <v>2270</v>
      </c>
    </row>
    <row r="321" spans="1:22" hidden="1" x14ac:dyDescent="0.25">
      <c r="A321">
        <v>2024</v>
      </c>
      <c r="B321" t="s">
        <v>772</v>
      </c>
      <c r="C321" t="s">
        <v>715</v>
      </c>
      <c r="D321" s="11" t="s">
        <v>200</v>
      </c>
      <c r="E321" t="s">
        <v>1245</v>
      </c>
      <c r="G321" s="37" t="s">
        <v>11</v>
      </c>
      <c r="H321" s="37" t="s">
        <v>21</v>
      </c>
      <c r="I321" s="11" t="s">
        <v>125</v>
      </c>
      <c r="J321" s="11" t="s">
        <v>1570</v>
      </c>
      <c r="K321" s="11" t="s">
        <v>1571</v>
      </c>
      <c r="L321" s="28" t="s">
        <v>3005</v>
      </c>
      <c r="M321" s="11"/>
      <c r="N321" s="11" t="s">
        <v>1641</v>
      </c>
      <c r="O321" s="11">
        <v>0.85</v>
      </c>
      <c r="P321" s="11" t="s">
        <v>1589</v>
      </c>
      <c r="Q321" s="11"/>
      <c r="R321" s="11"/>
      <c r="S321" s="11"/>
      <c r="T321" s="11"/>
      <c r="U321" s="11"/>
      <c r="V321" t="s">
        <v>2270</v>
      </c>
    </row>
    <row r="322" spans="1:22" hidden="1" x14ac:dyDescent="0.25">
      <c r="A322">
        <v>2024</v>
      </c>
      <c r="B322" t="s">
        <v>772</v>
      </c>
      <c r="C322" t="s">
        <v>715</v>
      </c>
      <c r="D322" s="11" t="s">
        <v>200</v>
      </c>
      <c r="E322" t="s">
        <v>1245</v>
      </c>
      <c r="G322" s="37" t="s">
        <v>11</v>
      </c>
      <c r="H322" s="37" t="s">
        <v>21</v>
      </c>
      <c r="I322" s="11" t="s">
        <v>1765</v>
      </c>
      <c r="J322" s="11" t="s">
        <v>1570</v>
      </c>
      <c r="K322" s="11" t="s">
        <v>1571</v>
      </c>
      <c r="L322" s="28" t="s">
        <v>3005</v>
      </c>
      <c r="M322" s="11"/>
      <c r="N322" s="11" t="s">
        <v>1641</v>
      </c>
      <c r="O322" s="11">
        <v>7.0000000000000007E-2</v>
      </c>
      <c r="P322" s="11" t="s">
        <v>1589</v>
      </c>
      <c r="Q322" s="11"/>
      <c r="R322" s="11"/>
      <c r="S322" s="11"/>
      <c r="T322" s="11"/>
      <c r="U322" s="11"/>
      <c r="V322" t="s">
        <v>2270</v>
      </c>
    </row>
    <row r="323" spans="1:22" hidden="1" x14ac:dyDescent="0.25">
      <c r="A323">
        <v>2024</v>
      </c>
      <c r="B323" t="s">
        <v>772</v>
      </c>
      <c r="C323" t="s">
        <v>715</v>
      </c>
      <c r="D323" s="11" t="s">
        <v>200</v>
      </c>
      <c r="E323" t="s">
        <v>1245</v>
      </c>
      <c r="G323" s="37" t="s">
        <v>11</v>
      </c>
      <c r="H323" s="37" t="s">
        <v>21</v>
      </c>
      <c r="I323" s="11" t="s">
        <v>1768</v>
      </c>
      <c r="J323" s="11" t="s">
        <v>1570</v>
      </c>
      <c r="K323" s="11" t="s">
        <v>1571</v>
      </c>
      <c r="L323" s="28" t="s">
        <v>3005</v>
      </c>
      <c r="M323" s="11"/>
      <c r="N323" s="11" t="s">
        <v>1641</v>
      </c>
      <c r="O323" s="11">
        <v>0.91</v>
      </c>
      <c r="P323" s="11" t="s">
        <v>1567</v>
      </c>
      <c r="Q323" s="11"/>
      <c r="R323" s="11"/>
      <c r="S323" s="11"/>
      <c r="T323" s="11"/>
      <c r="U323" s="11"/>
      <c r="V323" t="s">
        <v>2270</v>
      </c>
    </row>
    <row r="324" spans="1:22" hidden="1" x14ac:dyDescent="0.25">
      <c r="A324">
        <v>2024</v>
      </c>
      <c r="B324" t="s">
        <v>772</v>
      </c>
      <c r="C324" t="s">
        <v>715</v>
      </c>
      <c r="D324" s="11" t="s">
        <v>200</v>
      </c>
      <c r="E324" t="s">
        <v>1245</v>
      </c>
      <c r="G324" s="37" t="s">
        <v>11</v>
      </c>
      <c r="H324" s="37" t="s">
        <v>21</v>
      </c>
      <c r="I324" s="11" t="s">
        <v>1769</v>
      </c>
      <c r="J324" s="11" t="s">
        <v>1570</v>
      </c>
      <c r="K324" s="11" t="s">
        <v>1571</v>
      </c>
      <c r="L324" s="28" t="s">
        <v>3005</v>
      </c>
      <c r="M324" s="11"/>
      <c r="N324" s="11" t="s">
        <v>1641</v>
      </c>
      <c r="O324" s="11">
        <v>2.2000000000000002</v>
      </c>
      <c r="P324" s="11" t="s">
        <v>1567</v>
      </c>
      <c r="Q324" s="11"/>
      <c r="R324" s="11"/>
      <c r="S324" s="11"/>
      <c r="T324" s="11"/>
      <c r="U324" s="11"/>
      <c r="V324" t="s">
        <v>2270</v>
      </c>
    </row>
    <row r="325" spans="1:22" hidden="1" x14ac:dyDescent="0.25">
      <c r="A325">
        <v>2024</v>
      </c>
      <c r="B325" t="s">
        <v>772</v>
      </c>
      <c r="C325" t="s">
        <v>715</v>
      </c>
      <c r="D325" s="11" t="s">
        <v>200</v>
      </c>
      <c r="E325" t="s">
        <v>1245</v>
      </c>
      <c r="G325" s="37" t="s">
        <v>11</v>
      </c>
      <c r="H325" s="37" t="s">
        <v>21</v>
      </c>
      <c r="I325" s="11" t="s">
        <v>1772</v>
      </c>
      <c r="J325" s="11" t="s">
        <v>1570</v>
      </c>
      <c r="K325" s="11" t="s">
        <v>1572</v>
      </c>
      <c r="L325" s="28" t="s">
        <v>3005</v>
      </c>
      <c r="M325" s="11">
        <v>15.8</v>
      </c>
      <c r="N325" s="11" t="s">
        <v>1641</v>
      </c>
      <c r="O325" s="11"/>
      <c r="P325" s="11"/>
      <c r="Q325" s="11"/>
      <c r="R325" s="11"/>
      <c r="S325" s="11"/>
      <c r="T325" s="11"/>
      <c r="U325" s="11"/>
      <c r="V325" t="s">
        <v>2270</v>
      </c>
    </row>
    <row r="326" spans="1:22" hidden="1" x14ac:dyDescent="0.25">
      <c r="A326">
        <v>2024</v>
      </c>
      <c r="B326" t="s">
        <v>772</v>
      </c>
      <c r="C326" t="s">
        <v>715</v>
      </c>
      <c r="D326" s="11" t="s">
        <v>200</v>
      </c>
      <c r="E326" t="s">
        <v>1245</v>
      </c>
      <c r="G326" s="37" t="s">
        <v>11</v>
      </c>
      <c r="H326" s="37" t="s">
        <v>21</v>
      </c>
      <c r="I326" s="11" t="s">
        <v>557</v>
      </c>
      <c r="J326" s="11" t="s">
        <v>1570</v>
      </c>
      <c r="K326" s="11" t="s">
        <v>1572</v>
      </c>
      <c r="L326" s="28" t="s">
        <v>3005</v>
      </c>
      <c r="M326" s="11"/>
      <c r="N326" s="11" t="s">
        <v>1641</v>
      </c>
      <c r="O326" s="11">
        <v>3.12</v>
      </c>
      <c r="P326" s="11" t="s">
        <v>1589</v>
      </c>
      <c r="Q326" s="11"/>
      <c r="R326" s="11"/>
      <c r="S326" s="11"/>
      <c r="T326" s="11"/>
      <c r="U326" s="11"/>
      <c r="V326" t="s">
        <v>2270</v>
      </c>
    </row>
    <row r="327" spans="1:22" hidden="1" x14ac:dyDescent="0.25">
      <c r="A327">
        <v>2024</v>
      </c>
      <c r="B327" t="s">
        <v>772</v>
      </c>
      <c r="C327" t="s">
        <v>715</v>
      </c>
      <c r="D327" s="11" t="s">
        <v>200</v>
      </c>
      <c r="E327" t="s">
        <v>1245</v>
      </c>
      <c r="G327" s="37" t="s">
        <v>11</v>
      </c>
      <c r="H327" s="37" t="s">
        <v>21</v>
      </c>
      <c r="I327" s="11" t="s">
        <v>125</v>
      </c>
      <c r="J327" s="11" t="s">
        <v>1570</v>
      </c>
      <c r="K327" s="11" t="s">
        <v>1572</v>
      </c>
      <c r="L327" s="28" t="s">
        <v>3005</v>
      </c>
      <c r="M327" s="11"/>
      <c r="N327" s="11" t="s">
        <v>1641</v>
      </c>
      <c r="O327" s="11">
        <v>0.94</v>
      </c>
      <c r="P327" s="11" t="s">
        <v>1589</v>
      </c>
      <c r="Q327" s="11"/>
      <c r="R327" s="11"/>
      <c r="S327" s="11"/>
      <c r="T327" s="11"/>
      <c r="U327" s="11"/>
      <c r="V327" t="s">
        <v>2270</v>
      </c>
    </row>
    <row r="328" spans="1:22" hidden="1" x14ac:dyDescent="0.25">
      <c r="A328">
        <v>2024</v>
      </c>
      <c r="B328" t="s">
        <v>772</v>
      </c>
      <c r="C328" t="s">
        <v>715</v>
      </c>
      <c r="D328" s="11" t="s">
        <v>200</v>
      </c>
      <c r="E328" t="s">
        <v>1245</v>
      </c>
      <c r="G328" s="37" t="s">
        <v>11</v>
      </c>
      <c r="H328" s="37" t="s">
        <v>21</v>
      </c>
      <c r="I328" s="11" t="s">
        <v>1765</v>
      </c>
      <c r="J328" s="11" t="s">
        <v>1570</v>
      </c>
      <c r="K328" s="11" t="s">
        <v>1572</v>
      </c>
      <c r="L328" s="28" t="s">
        <v>3005</v>
      </c>
      <c r="M328" s="11"/>
      <c r="N328" s="11" t="s">
        <v>1641</v>
      </c>
      <c r="O328" s="11">
        <v>7.0000000000000007E-2</v>
      </c>
      <c r="P328" s="11" t="s">
        <v>1589</v>
      </c>
      <c r="Q328" s="11"/>
      <c r="R328" s="11"/>
      <c r="S328" s="11"/>
      <c r="T328" s="11"/>
      <c r="U328" s="11"/>
      <c r="V328" t="s">
        <v>2270</v>
      </c>
    </row>
    <row r="329" spans="1:22" hidden="1" x14ac:dyDescent="0.25">
      <c r="A329">
        <v>2024</v>
      </c>
      <c r="B329" t="s">
        <v>772</v>
      </c>
      <c r="C329" t="s">
        <v>715</v>
      </c>
      <c r="D329" s="11" t="s">
        <v>200</v>
      </c>
      <c r="E329" t="s">
        <v>1245</v>
      </c>
      <c r="G329" s="37" t="s">
        <v>11</v>
      </c>
      <c r="H329" s="37" t="s">
        <v>21</v>
      </c>
      <c r="I329" s="11" t="s">
        <v>1768</v>
      </c>
      <c r="J329" s="11" t="s">
        <v>1570</v>
      </c>
      <c r="K329" s="11" t="s">
        <v>1572</v>
      </c>
      <c r="L329" s="28" t="s">
        <v>3005</v>
      </c>
      <c r="M329" s="11"/>
      <c r="N329" s="11" t="s">
        <v>1641</v>
      </c>
      <c r="O329" s="11">
        <v>0.92</v>
      </c>
      <c r="P329" s="11" t="s">
        <v>1567</v>
      </c>
      <c r="Q329" s="11"/>
      <c r="R329" s="11"/>
      <c r="S329" s="11"/>
      <c r="T329" s="11"/>
      <c r="U329" s="11"/>
      <c r="V329" t="s">
        <v>2270</v>
      </c>
    </row>
    <row r="330" spans="1:22" hidden="1" x14ac:dyDescent="0.25">
      <c r="A330">
        <v>2024</v>
      </c>
      <c r="B330" t="s">
        <v>772</v>
      </c>
      <c r="C330" t="s">
        <v>715</v>
      </c>
      <c r="D330" s="11" t="s">
        <v>200</v>
      </c>
      <c r="E330" t="s">
        <v>1245</v>
      </c>
      <c r="G330" s="37" t="s">
        <v>11</v>
      </c>
      <c r="H330" s="37" t="s">
        <v>21</v>
      </c>
      <c r="I330" s="11" t="s">
        <v>1769</v>
      </c>
      <c r="J330" s="11" t="s">
        <v>1570</v>
      </c>
      <c r="K330" s="11" t="s">
        <v>1572</v>
      </c>
      <c r="L330" s="28" t="s">
        <v>3005</v>
      </c>
      <c r="M330" s="11"/>
      <c r="N330" s="11" t="s">
        <v>1641</v>
      </c>
      <c r="O330" s="11">
        <v>2.2999999999999998</v>
      </c>
      <c r="P330" s="11" t="s">
        <v>1567</v>
      </c>
      <c r="Q330" s="11"/>
      <c r="R330" s="11"/>
      <c r="S330" s="11"/>
      <c r="T330" s="11"/>
      <c r="U330" s="11"/>
      <c r="V330" t="s">
        <v>2270</v>
      </c>
    </row>
    <row r="331" spans="1:22" hidden="1" x14ac:dyDescent="0.25">
      <c r="A331">
        <v>2024</v>
      </c>
      <c r="B331" t="s">
        <v>772</v>
      </c>
      <c r="C331" t="s">
        <v>715</v>
      </c>
      <c r="D331" s="11" t="s">
        <v>200</v>
      </c>
      <c r="E331" t="s">
        <v>1245</v>
      </c>
      <c r="G331" s="37" t="s">
        <v>11</v>
      </c>
      <c r="H331" s="37" t="s">
        <v>21</v>
      </c>
      <c r="I331" s="11" t="s">
        <v>1772</v>
      </c>
      <c r="J331" s="11" t="s">
        <v>1570</v>
      </c>
      <c r="K331" s="11" t="s">
        <v>1573</v>
      </c>
      <c r="L331" s="28" t="s">
        <v>3005</v>
      </c>
      <c r="M331" s="11">
        <v>11</v>
      </c>
      <c r="N331" s="11" t="s">
        <v>1641</v>
      </c>
      <c r="O331" s="11"/>
      <c r="P331" s="11"/>
      <c r="Q331" s="11"/>
      <c r="R331" s="11"/>
      <c r="S331" s="11"/>
      <c r="T331" s="11"/>
      <c r="U331" s="11"/>
      <c r="V331" t="s">
        <v>2270</v>
      </c>
    </row>
    <row r="332" spans="1:22" hidden="1" x14ac:dyDescent="0.25">
      <c r="A332">
        <v>2024</v>
      </c>
      <c r="B332" t="s">
        <v>772</v>
      </c>
      <c r="C332" t="s">
        <v>715</v>
      </c>
      <c r="D332" s="11" t="s">
        <v>200</v>
      </c>
      <c r="E332" t="s">
        <v>1245</v>
      </c>
      <c r="G332" s="37" t="s">
        <v>11</v>
      </c>
      <c r="H332" s="37" t="s">
        <v>21</v>
      </c>
      <c r="I332" s="11" t="s">
        <v>557</v>
      </c>
      <c r="J332" s="11" t="s">
        <v>1570</v>
      </c>
      <c r="K332" s="11" t="s">
        <v>1573</v>
      </c>
      <c r="L332" s="28" t="s">
        <v>3005</v>
      </c>
      <c r="M332" s="11"/>
      <c r="N332" s="11" t="s">
        <v>1641</v>
      </c>
      <c r="O332" s="11">
        <v>3.22</v>
      </c>
      <c r="P332" s="11" t="s">
        <v>1589</v>
      </c>
      <c r="Q332" s="11"/>
      <c r="R332" s="11"/>
      <c r="S332" s="11"/>
      <c r="T332" s="11"/>
      <c r="U332" s="11"/>
      <c r="V332" t="s">
        <v>2270</v>
      </c>
    </row>
    <row r="333" spans="1:22" hidden="1" x14ac:dyDescent="0.25">
      <c r="A333">
        <v>2024</v>
      </c>
      <c r="B333" t="s">
        <v>772</v>
      </c>
      <c r="C333" t="s">
        <v>715</v>
      </c>
      <c r="D333" s="11" t="s">
        <v>200</v>
      </c>
      <c r="E333" t="s">
        <v>1245</v>
      </c>
      <c r="G333" s="37" t="s">
        <v>11</v>
      </c>
      <c r="H333" s="37" t="s">
        <v>21</v>
      </c>
      <c r="I333" s="11" t="s">
        <v>125</v>
      </c>
      <c r="J333" s="11" t="s">
        <v>1570</v>
      </c>
      <c r="K333" s="11" t="s">
        <v>1573</v>
      </c>
      <c r="L333" s="28" t="s">
        <v>3005</v>
      </c>
      <c r="M333" s="11"/>
      <c r="N333" s="11" t="s">
        <v>1641</v>
      </c>
      <c r="O333" s="11">
        <v>0.89</v>
      </c>
      <c r="P333" s="11" t="s">
        <v>1589</v>
      </c>
      <c r="Q333" s="11"/>
      <c r="R333" s="11"/>
      <c r="S333" s="11"/>
      <c r="T333" s="11"/>
      <c r="U333" s="11"/>
      <c r="V333" t="s">
        <v>2270</v>
      </c>
    </row>
    <row r="334" spans="1:22" hidden="1" x14ac:dyDescent="0.25">
      <c r="A334">
        <v>2024</v>
      </c>
      <c r="B334" t="s">
        <v>772</v>
      </c>
      <c r="C334" t="s">
        <v>715</v>
      </c>
      <c r="D334" s="11" t="s">
        <v>200</v>
      </c>
      <c r="E334" t="s">
        <v>1245</v>
      </c>
      <c r="G334" s="37" t="s">
        <v>11</v>
      </c>
      <c r="H334" s="37" t="s">
        <v>21</v>
      </c>
      <c r="I334" s="11" t="s">
        <v>1765</v>
      </c>
      <c r="J334" s="11" t="s">
        <v>1570</v>
      </c>
      <c r="K334" s="11" t="s">
        <v>1573</v>
      </c>
      <c r="L334" s="28" t="s">
        <v>3005</v>
      </c>
      <c r="M334" s="11"/>
      <c r="N334" s="11" t="s">
        <v>1641</v>
      </c>
      <c r="O334" s="11">
        <v>7.0000000000000007E-2</v>
      </c>
      <c r="P334" s="11" t="s">
        <v>1589</v>
      </c>
      <c r="Q334" s="11"/>
      <c r="R334" s="11"/>
      <c r="S334" s="11"/>
      <c r="T334" s="11"/>
      <c r="U334" s="11"/>
      <c r="V334" t="s">
        <v>2270</v>
      </c>
    </row>
    <row r="335" spans="1:22" hidden="1" x14ac:dyDescent="0.25">
      <c r="A335">
        <v>2024</v>
      </c>
      <c r="B335" t="s">
        <v>772</v>
      </c>
      <c r="C335" t="s">
        <v>715</v>
      </c>
      <c r="D335" s="11" t="s">
        <v>200</v>
      </c>
      <c r="E335" t="s">
        <v>1245</v>
      </c>
      <c r="G335" s="37" t="s">
        <v>11</v>
      </c>
      <c r="H335" s="37" t="s">
        <v>21</v>
      </c>
      <c r="I335" s="11" t="s">
        <v>1768</v>
      </c>
      <c r="J335" s="11" t="s">
        <v>1570</v>
      </c>
      <c r="K335" s="11" t="s">
        <v>1573</v>
      </c>
      <c r="L335" s="28" t="s">
        <v>3005</v>
      </c>
      <c r="M335" s="11"/>
      <c r="N335" s="11" t="s">
        <v>1641</v>
      </c>
      <c r="O335" s="11">
        <v>0.89</v>
      </c>
      <c r="P335" s="11" t="s">
        <v>1567</v>
      </c>
      <c r="Q335" s="11"/>
      <c r="R335" s="11"/>
      <c r="S335" s="11"/>
      <c r="T335" s="11"/>
      <c r="U335" s="11"/>
      <c r="V335" t="s">
        <v>2270</v>
      </c>
    </row>
    <row r="336" spans="1:22" hidden="1" x14ac:dyDescent="0.25">
      <c r="A336">
        <v>2024</v>
      </c>
      <c r="B336" t="s">
        <v>772</v>
      </c>
      <c r="C336" t="s">
        <v>715</v>
      </c>
      <c r="D336" s="11" t="s">
        <v>200</v>
      </c>
      <c r="E336" t="s">
        <v>1245</v>
      </c>
      <c r="G336" s="37" t="s">
        <v>11</v>
      </c>
      <c r="H336" s="37" t="s">
        <v>21</v>
      </c>
      <c r="I336" s="11" t="s">
        <v>1769</v>
      </c>
      <c r="J336" s="11" t="s">
        <v>1570</v>
      </c>
      <c r="K336" s="11" t="s">
        <v>1573</v>
      </c>
      <c r="L336" s="28" t="s">
        <v>3005</v>
      </c>
      <c r="M336" s="11"/>
      <c r="N336" s="11" t="s">
        <v>1641</v>
      </c>
      <c r="O336" s="11">
        <v>2.2999999999999998</v>
      </c>
      <c r="P336" s="11" t="s">
        <v>1567</v>
      </c>
      <c r="Q336" s="11"/>
      <c r="R336" s="11"/>
      <c r="S336" s="11"/>
      <c r="T336" s="11"/>
      <c r="U336" s="11"/>
      <c r="V336" t="s">
        <v>2270</v>
      </c>
    </row>
    <row r="337" spans="1:22" hidden="1" x14ac:dyDescent="0.25">
      <c r="A337">
        <v>2024</v>
      </c>
      <c r="B337" t="s">
        <v>772</v>
      </c>
      <c r="C337" t="s">
        <v>715</v>
      </c>
      <c r="D337" s="11" t="s">
        <v>200</v>
      </c>
      <c r="E337" t="s">
        <v>1245</v>
      </c>
      <c r="G337" s="37" t="s">
        <v>11</v>
      </c>
      <c r="H337" s="37" t="s">
        <v>21</v>
      </c>
      <c r="I337" s="11" t="s">
        <v>1772</v>
      </c>
      <c r="J337" s="11" t="s">
        <v>1564</v>
      </c>
      <c r="K337" s="11" t="s">
        <v>1771</v>
      </c>
      <c r="L337" s="28" t="s">
        <v>3005</v>
      </c>
      <c r="M337" s="11">
        <v>9</v>
      </c>
      <c r="N337" s="11" t="s">
        <v>1641</v>
      </c>
      <c r="O337" s="11"/>
      <c r="P337" s="11"/>
      <c r="Q337" s="11"/>
      <c r="R337" s="11"/>
      <c r="S337" s="11"/>
      <c r="T337" s="11"/>
      <c r="U337" s="11"/>
      <c r="V337" t="s">
        <v>2270</v>
      </c>
    </row>
    <row r="338" spans="1:22" hidden="1" x14ac:dyDescent="0.25">
      <c r="A338">
        <v>2024</v>
      </c>
      <c r="B338" t="s">
        <v>772</v>
      </c>
      <c r="C338" t="s">
        <v>715</v>
      </c>
      <c r="D338" s="11" t="s">
        <v>200</v>
      </c>
      <c r="E338" t="s">
        <v>1245</v>
      </c>
      <c r="G338" s="37" t="s">
        <v>11</v>
      </c>
      <c r="H338" s="37" t="s">
        <v>21</v>
      </c>
      <c r="I338" s="11" t="s">
        <v>557</v>
      </c>
      <c r="J338" s="11" t="s">
        <v>1564</v>
      </c>
      <c r="K338" s="11" t="s">
        <v>1771</v>
      </c>
      <c r="L338" s="28" t="s">
        <v>3005</v>
      </c>
      <c r="M338" s="11"/>
      <c r="N338" s="11" t="s">
        <v>1641</v>
      </c>
      <c r="O338" s="11">
        <v>2.46</v>
      </c>
      <c r="P338" s="11" t="s">
        <v>1589</v>
      </c>
      <c r="Q338" s="11"/>
      <c r="R338" s="11"/>
      <c r="S338" s="11"/>
      <c r="T338" s="11"/>
      <c r="U338" s="11"/>
      <c r="V338" t="s">
        <v>2270</v>
      </c>
    </row>
    <row r="339" spans="1:22" hidden="1" x14ac:dyDescent="0.25">
      <c r="A339">
        <v>2024</v>
      </c>
      <c r="B339" t="s">
        <v>772</v>
      </c>
      <c r="C339" t="s">
        <v>715</v>
      </c>
      <c r="D339" s="11" t="s">
        <v>200</v>
      </c>
      <c r="E339" t="s">
        <v>1245</v>
      </c>
      <c r="G339" s="37" t="s">
        <v>11</v>
      </c>
      <c r="H339" s="37" t="s">
        <v>21</v>
      </c>
      <c r="I339" s="11" t="s">
        <v>125</v>
      </c>
      <c r="J339" s="11" t="s">
        <v>1564</v>
      </c>
      <c r="K339" s="11" t="s">
        <v>1771</v>
      </c>
      <c r="L339" s="28" t="s">
        <v>3005</v>
      </c>
      <c r="M339" s="11"/>
      <c r="N339" s="11" t="s">
        <v>1641</v>
      </c>
      <c r="O339" s="11">
        <v>0.69</v>
      </c>
      <c r="P339" s="11" t="s">
        <v>1589</v>
      </c>
      <c r="Q339" s="11"/>
      <c r="R339" s="11"/>
      <c r="S339" s="11"/>
      <c r="T339" s="11"/>
      <c r="U339" s="11"/>
      <c r="V339" t="s">
        <v>2270</v>
      </c>
    </row>
    <row r="340" spans="1:22" hidden="1" x14ac:dyDescent="0.25">
      <c r="A340">
        <v>2024</v>
      </c>
      <c r="B340" t="s">
        <v>772</v>
      </c>
      <c r="C340" t="s">
        <v>715</v>
      </c>
      <c r="D340" s="11" t="s">
        <v>200</v>
      </c>
      <c r="E340" t="s">
        <v>1245</v>
      </c>
      <c r="G340" s="37" t="s">
        <v>11</v>
      </c>
      <c r="H340" s="37" t="s">
        <v>21</v>
      </c>
      <c r="I340" s="11" t="s">
        <v>1765</v>
      </c>
      <c r="J340" s="11" t="s">
        <v>1564</v>
      </c>
      <c r="K340" s="11" t="s">
        <v>1771</v>
      </c>
      <c r="L340" s="28" t="s">
        <v>3005</v>
      </c>
      <c r="M340" s="11"/>
      <c r="N340" s="11" t="s">
        <v>1641</v>
      </c>
      <c r="O340" s="11">
        <v>0.05</v>
      </c>
      <c r="P340" s="11" t="s">
        <v>1589</v>
      </c>
      <c r="Q340" s="11"/>
      <c r="R340" s="11"/>
      <c r="S340" s="11"/>
      <c r="T340" s="11"/>
      <c r="U340" s="11"/>
      <c r="V340" t="s">
        <v>2270</v>
      </c>
    </row>
    <row r="341" spans="1:22" hidden="1" x14ac:dyDescent="0.25">
      <c r="A341">
        <v>2024</v>
      </c>
      <c r="B341" t="s">
        <v>772</v>
      </c>
      <c r="C341" t="s">
        <v>715</v>
      </c>
      <c r="D341" s="11" t="s">
        <v>200</v>
      </c>
      <c r="E341" t="s">
        <v>1245</v>
      </c>
      <c r="G341" s="37" t="s">
        <v>11</v>
      </c>
      <c r="H341" s="37" t="s">
        <v>21</v>
      </c>
      <c r="I341" s="11" t="s">
        <v>1768</v>
      </c>
      <c r="J341" s="11" t="s">
        <v>1564</v>
      </c>
      <c r="K341" s="11" t="s">
        <v>1771</v>
      </c>
      <c r="L341" s="28" t="s">
        <v>3005</v>
      </c>
      <c r="M341" s="11"/>
      <c r="N341" s="11" t="s">
        <v>1641</v>
      </c>
      <c r="O341" s="11">
        <v>0.73</v>
      </c>
      <c r="P341" s="11" t="s">
        <v>1567</v>
      </c>
      <c r="Q341" s="11"/>
      <c r="R341" s="11"/>
      <c r="S341" s="11"/>
      <c r="T341" s="11"/>
      <c r="U341" s="11"/>
      <c r="V341" t="s">
        <v>2270</v>
      </c>
    </row>
    <row r="342" spans="1:22" hidden="1" x14ac:dyDescent="0.25">
      <c r="A342">
        <v>2024</v>
      </c>
      <c r="B342" t="s">
        <v>772</v>
      </c>
      <c r="C342" t="s">
        <v>715</v>
      </c>
      <c r="D342" s="11" t="s">
        <v>200</v>
      </c>
      <c r="E342" t="s">
        <v>1245</v>
      </c>
      <c r="G342" s="37" t="s">
        <v>11</v>
      </c>
      <c r="H342" s="37" t="s">
        <v>21</v>
      </c>
      <c r="I342" s="11" t="s">
        <v>1769</v>
      </c>
      <c r="J342" s="11" t="s">
        <v>1564</v>
      </c>
      <c r="K342" s="11" t="s">
        <v>1771</v>
      </c>
      <c r="L342" s="28" t="s">
        <v>3005</v>
      </c>
      <c r="M342" s="11"/>
      <c r="N342" s="11" t="s">
        <v>1641</v>
      </c>
      <c r="O342" s="11">
        <v>1.7</v>
      </c>
      <c r="P342" s="11" t="s">
        <v>1567</v>
      </c>
      <c r="Q342" s="11"/>
      <c r="R342" s="11"/>
      <c r="S342" s="11"/>
      <c r="T342" s="11"/>
      <c r="U342" s="11"/>
      <c r="V342" t="s">
        <v>2270</v>
      </c>
    </row>
    <row r="343" spans="1:22" hidden="1" x14ac:dyDescent="0.25">
      <c r="A343">
        <v>2024</v>
      </c>
      <c r="B343" t="s">
        <v>772</v>
      </c>
      <c r="C343" t="s">
        <v>715</v>
      </c>
      <c r="D343" s="11" t="s">
        <v>200</v>
      </c>
      <c r="E343" t="s">
        <v>1245</v>
      </c>
      <c r="G343" s="37" t="s">
        <v>11</v>
      </c>
      <c r="H343" s="37" t="s">
        <v>21</v>
      </c>
      <c r="I343" s="11" t="s">
        <v>1772</v>
      </c>
      <c r="J343" s="11" t="s">
        <v>1564</v>
      </c>
      <c r="K343" s="11" t="s">
        <v>1574</v>
      </c>
      <c r="L343" s="28" t="s">
        <v>3005</v>
      </c>
      <c r="M343" s="11">
        <v>6.3</v>
      </c>
      <c r="N343" s="11" t="s">
        <v>1641</v>
      </c>
      <c r="O343" s="11"/>
      <c r="P343" s="11"/>
      <c r="Q343" s="11"/>
      <c r="R343" s="11"/>
      <c r="S343" s="11"/>
      <c r="T343" s="11"/>
      <c r="U343" s="11"/>
      <c r="V343" t="s">
        <v>2270</v>
      </c>
    </row>
    <row r="344" spans="1:22" hidden="1" x14ac:dyDescent="0.25">
      <c r="A344">
        <v>2024</v>
      </c>
      <c r="B344" t="s">
        <v>772</v>
      </c>
      <c r="C344" t="s">
        <v>715</v>
      </c>
      <c r="D344" s="11" t="s">
        <v>200</v>
      </c>
      <c r="E344" t="s">
        <v>1245</v>
      </c>
      <c r="G344" s="37" t="s">
        <v>11</v>
      </c>
      <c r="H344" s="37" t="s">
        <v>21</v>
      </c>
      <c r="I344" s="11" t="s">
        <v>557</v>
      </c>
      <c r="J344" s="11" t="s">
        <v>1564</v>
      </c>
      <c r="K344" s="11" t="s">
        <v>1574</v>
      </c>
      <c r="L344" s="28" t="s">
        <v>3005</v>
      </c>
      <c r="M344" s="11"/>
      <c r="N344" s="11" t="s">
        <v>1641</v>
      </c>
      <c r="O344" s="11">
        <v>2.54</v>
      </c>
      <c r="P344" s="11" t="s">
        <v>1589</v>
      </c>
      <c r="Q344" s="11"/>
      <c r="R344" s="11"/>
      <c r="S344" s="11"/>
      <c r="T344" s="11"/>
      <c r="U344" s="11"/>
      <c r="V344" t="s">
        <v>2270</v>
      </c>
    </row>
    <row r="345" spans="1:22" hidden="1" x14ac:dyDescent="0.25">
      <c r="A345">
        <v>2024</v>
      </c>
      <c r="B345" t="s">
        <v>772</v>
      </c>
      <c r="C345" t="s">
        <v>715</v>
      </c>
      <c r="D345" s="11" t="s">
        <v>200</v>
      </c>
      <c r="E345" t="s">
        <v>1245</v>
      </c>
      <c r="G345" s="37" t="s">
        <v>11</v>
      </c>
      <c r="H345" s="37" t="s">
        <v>21</v>
      </c>
      <c r="I345" s="11" t="s">
        <v>125</v>
      </c>
      <c r="J345" s="11" t="s">
        <v>1564</v>
      </c>
      <c r="K345" s="11" t="s">
        <v>1574</v>
      </c>
      <c r="L345" s="28" t="s">
        <v>3005</v>
      </c>
      <c r="M345" s="11"/>
      <c r="N345" s="11" t="s">
        <v>1641</v>
      </c>
      <c r="O345" s="11">
        <v>0.71</v>
      </c>
      <c r="P345" s="11" t="s">
        <v>1589</v>
      </c>
      <c r="Q345" s="11"/>
      <c r="R345" s="11"/>
      <c r="S345" s="11"/>
      <c r="T345" s="11"/>
      <c r="U345" s="11"/>
      <c r="V345" t="s">
        <v>2270</v>
      </c>
    </row>
    <row r="346" spans="1:22" hidden="1" x14ac:dyDescent="0.25">
      <c r="A346">
        <v>2024</v>
      </c>
      <c r="B346" t="s">
        <v>772</v>
      </c>
      <c r="C346" t="s">
        <v>715</v>
      </c>
      <c r="D346" s="11" t="s">
        <v>200</v>
      </c>
      <c r="E346" t="s">
        <v>1245</v>
      </c>
      <c r="G346" s="37" t="s">
        <v>11</v>
      </c>
      <c r="H346" s="37" t="s">
        <v>21</v>
      </c>
      <c r="I346" s="11" t="s">
        <v>1765</v>
      </c>
      <c r="J346" s="11" t="s">
        <v>1564</v>
      </c>
      <c r="K346" s="11" t="s">
        <v>1574</v>
      </c>
      <c r="L346" s="28" t="s">
        <v>3005</v>
      </c>
      <c r="M346" s="11"/>
      <c r="N346" s="11" t="s">
        <v>1641</v>
      </c>
      <c r="O346" s="11">
        <v>0.06</v>
      </c>
      <c r="P346" s="11" t="s">
        <v>1589</v>
      </c>
      <c r="Q346" s="11"/>
      <c r="R346" s="11"/>
      <c r="S346" s="11"/>
      <c r="T346" s="11"/>
      <c r="U346" s="11"/>
      <c r="V346" t="s">
        <v>2270</v>
      </c>
    </row>
    <row r="347" spans="1:22" hidden="1" x14ac:dyDescent="0.25">
      <c r="A347">
        <v>2024</v>
      </c>
      <c r="B347" t="s">
        <v>772</v>
      </c>
      <c r="C347" t="s">
        <v>715</v>
      </c>
      <c r="D347" s="11" t="s">
        <v>200</v>
      </c>
      <c r="E347" t="s">
        <v>1245</v>
      </c>
      <c r="G347" s="37" t="s">
        <v>11</v>
      </c>
      <c r="H347" s="37" t="s">
        <v>21</v>
      </c>
      <c r="I347" s="11" t="s">
        <v>1768</v>
      </c>
      <c r="J347" s="11" t="s">
        <v>1564</v>
      </c>
      <c r="K347" s="11" t="s">
        <v>1574</v>
      </c>
      <c r="L347" s="28" t="s">
        <v>3005</v>
      </c>
      <c r="M347" s="11"/>
      <c r="N347" s="11" t="s">
        <v>1641</v>
      </c>
      <c r="O347" s="11">
        <v>0.77</v>
      </c>
      <c r="P347" s="11" t="s">
        <v>1567</v>
      </c>
      <c r="Q347" s="11"/>
      <c r="R347" s="11"/>
      <c r="S347" s="11"/>
      <c r="T347" s="11"/>
      <c r="U347" s="11"/>
      <c r="V347" t="s">
        <v>2270</v>
      </c>
    </row>
    <row r="348" spans="1:22" hidden="1" x14ac:dyDescent="0.25">
      <c r="A348">
        <v>2024</v>
      </c>
      <c r="B348" t="s">
        <v>772</v>
      </c>
      <c r="C348" t="s">
        <v>715</v>
      </c>
      <c r="D348" s="11" t="s">
        <v>200</v>
      </c>
      <c r="E348" t="s">
        <v>1245</v>
      </c>
      <c r="G348" s="37" t="s">
        <v>11</v>
      </c>
      <c r="H348" s="37" t="s">
        <v>21</v>
      </c>
      <c r="I348" s="11" t="s">
        <v>1769</v>
      </c>
      <c r="J348" s="11" t="s">
        <v>1564</v>
      </c>
      <c r="K348" s="11" t="s">
        <v>1574</v>
      </c>
      <c r="L348" s="28" t="s">
        <v>3005</v>
      </c>
      <c r="M348" s="11"/>
      <c r="N348" s="11" t="s">
        <v>1641</v>
      </c>
      <c r="O348" s="11">
        <v>1.8</v>
      </c>
      <c r="P348" s="11" t="s">
        <v>1567</v>
      </c>
      <c r="Q348" s="11"/>
      <c r="R348" s="11"/>
      <c r="S348" s="11"/>
      <c r="T348" s="11"/>
      <c r="U348" s="11"/>
      <c r="V348" t="s">
        <v>2270</v>
      </c>
    </row>
    <row r="349" spans="1:22" hidden="1" x14ac:dyDescent="0.25">
      <c r="A349">
        <v>2024</v>
      </c>
      <c r="B349" t="s">
        <v>772</v>
      </c>
      <c r="C349" t="s">
        <v>755</v>
      </c>
      <c r="D349" t="s">
        <v>76</v>
      </c>
      <c r="E349" t="s">
        <v>1314</v>
      </c>
      <c r="G349" s="37" t="s">
        <v>11</v>
      </c>
      <c r="H349" s="37" t="s">
        <v>13</v>
      </c>
      <c r="I349" t="s">
        <v>16</v>
      </c>
      <c r="J349" t="s">
        <v>1564</v>
      </c>
      <c r="K349" t="s">
        <v>1565</v>
      </c>
      <c r="L349" s="28" t="s">
        <v>3005</v>
      </c>
      <c r="M349" s="23">
        <v>15935</v>
      </c>
      <c r="N349" t="s">
        <v>1566</v>
      </c>
      <c r="O349">
        <v>0.44</v>
      </c>
      <c r="P349" t="s">
        <v>1567</v>
      </c>
      <c r="Q349">
        <v>223</v>
      </c>
      <c r="R349" t="s">
        <v>1550</v>
      </c>
      <c r="V349" t="s">
        <v>1568</v>
      </c>
    </row>
    <row r="350" spans="1:22" hidden="1" x14ac:dyDescent="0.25">
      <c r="A350">
        <v>2024</v>
      </c>
      <c r="B350" t="s">
        <v>772</v>
      </c>
      <c r="C350" t="s">
        <v>755</v>
      </c>
      <c r="D350" t="s">
        <v>76</v>
      </c>
      <c r="E350" t="s">
        <v>1314</v>
      </c>
      <c r="G350" s="37" t="s">
        <v>11</v>
      </c>
      <c r="H350" s="37" t="s">
        <v>13</v>
      </c>
      <c r="I350" t="s">
        <v>16</v>
      </c>
      <c r="J350" t="s">
        <v>1564</v>
      </c>
      <c r="K350" t="s">
        <v>1574</v>
      </c>
      <c r="L350" s="28" t="s">
        <v>3005</v>
      </c>
      <c r="M350" s="23">
        <v>36991</v>
      </c>
      <c r="N350" t="s">
        <v>1566</v>
      </c>
      <c r="O350">
        <v>1.6</v>
      </c>
      <c r="P350" t="s">
        <v>1567</v>
      </c>
      <c r="Q350">
        <v>1903</v>
      </c>
      <c r="R350" t="s">
        <v>1550</v>
      </c>
      <c r="V350" t="s">
        <v>1568</v>
      </c>
    </row>
    <row r="351" spans="1:22" hidden="1" x14ac:dyDescent="0.25">
      <c r="A351">
        <v>2024</v>
      </c>
      <c r="B351" t="s">
        <v>772</v>
      </c>
      <c r="C351" t="s">
        <v>755</v>
      </c>
      <c r="D351" t="s">
        <v>76</v>
      </c>
      <c r="E351" t="s">
        <v>1314</v>
      </c>
      <c r="G351" s="37" t="s">
        <v>11</v>
      </c>
      <c r="H351" s="37" t="s">
        <v>13</v>
      </c>
      <c r="I351" t="s">
        <v>16</v>
      </c>
      <c r="J351" t="s">
        <v>1570</v>
      </c>
      <c r="K351" t="s">
        <v>1571</v>
      </c>
      <c r="L351" s="28" t="s">
        <v>3005</v>
      </c>
      <c r="M351" s="23">
        <v>310</v>
      </c>
      <c r="N351" t="s">
        <v>1566</v>
      </c>
      <c r="O351">
        <v>2.74</v>
      </c>
      <c r="P351" t="s">
        <v>1567</v>
      </c>
      <c r="Q351">
        <v>27</v>
      </c>
      <c r="R351" t="s">
        <v>1550</v>
      </c>
      <c r="V351" t="s">
        <v>1568</v>
      </c>
    </row>
    <row r="352" spans="1:22" hidden="1" x14ac:dyDescent="0.25">
      <c r="A352">
        <v>2024</v>
      </c>
      <c r="B352" t="s">
        <v>772</v>
      </c>
      <c r="C352" t="s">
        <v>755</v>
      </c>
      <c r="D352" t="s">
        <v>76</v>
      </c>
      <c r="E352" t="s">
        <v>1314</v>
      </c>
      <c r="G352" s="37" t="s">
        <v>11</v>
      </c>
      <c r="H352" s="37" t="s">
        <v>13</v>
      </c>
      <c r="I352" t="s">
        <v>16</v>
      </c>
      <c r="J352" t="s">
        <v>1570</v>
      </c>
      <c r="K352" t="s">
        <v>1572</v>
      </c>
      <c r="L352" s="28" t="s">
        <v>3005</v>
      </c>
      <c r="M352" s="23">
        <v>34772</v>
      </c>
      <c r="N352" t="s">
        <v>1566</v>
      </c>
      <c r="O352">
        <v>1.1299999999999999</v>
      </c>
      <c r="P352" t="s">
        <v>1567</v>
      </c>
      <c r="Q352">
        <v>1267</v>
      </c>
      <c r="R352" t="s">
        <v>1550</v>
      </c>
      <c r="V352" t="s">
        <v>1568</v>
      </c>
    </row>
    <row r="353" spans="1:22" hidden="1" x14ac:dyDescent="0.25">
      <c r="A353">
        <v>2024</v>
      </c>
      <c r="B353" t="s">
        <v>772</v>
      </c>
      <c r="C353" t="s">
        <v>755</v>
      </c>
      <c r="D353" t="s">
        <v>76</v>
      </c>
      <c r="E353" t="s">
        <v>1314</v>
      </c>
      <c r="G353" s="37" t="s">
        <v>11</v>
      </c>
      <c r="H353" s="37" t="s">
        <v>13</v>
      </c>
      <c r="I353" t="s">
        <v>16</v>
      </c>
      <c r="J353" t="s">
        <v>1570</v>
      </c>
      <c r="K353" t="s">
        <v>1573</v>
      </c>
      <c r="L353" s="28" t="s">
        <v>3005</v>
      </c>
      <c r="M353" s="23">
        <v>7663</v>
      </c>
      <c r="N353" t="s">
        <v>1566</v>
      </c>
      <c r="O353">
        <v>1.62</v>
      </c>
      <c r="P353" t="s">
        <v>1567</v>
      </c>
      <c r="Q353">
        <v>398</v>
      </c>
      <c r="R353" t="s">
        <v>1550</v>
      </c>
      <c r="V353" t="s">
        <v>1568</v>
      </c>
    </row>
    <row r="354" spans="1:22" hidden="1" x14ac:dyDescent="0.25">
      <c r="A354">
        <v>2024</v>
      </c>
      <c r="B354" t="s">
        <v>772</v>
      </c>
      <c r="C354" t="s">
        <v>755</v>
      </c>
      <c r="D354" t="s">
        <v>76</v>
      </c>
      <c r="E354" t="s">
        <v>1314</v>
      </c>
      <c r="G354" s="37" t="s">
        <v>11</v>
      </c>
      <c r="H354" s="37" t="s">
        <v>13</v>
      </c>
      <c r="I354" t="s">
        <v>1549</v>
      </c>
      <c r="J354" t="s">
        <v>1564</v>
      </c>
      <c r="K354" t="s">
        <v>1565</v>
      </c>
      <c r="L354" s="28" t="s">
        <v>3005</v>
      </c>
      <c r="M354" s="23">
        <v>15935</v>
      </c>
      <c r="N354" t="s">
        <v>1566</v>
      </c>
      <c r="O354">
        <v>2.68</v>
      </c>
      <c r="P354" t="s">
        <v>1567</v>
      </c>
      <c r="Q354">
        <v>1371</v>
      </c>
      <c r="R354" t="s">
        <v>1550</v>
      </c>
      <c r="V354" t="s">
        <v>1568</v>
      </c>
    </row>
    <row r="355" spans="1:22" hidden="1" x14ac:dyDescent="0.25">
      <c r="A355">
        <v>2024</v>
      </c>
      <c r="B355" t="s">
        <v>772</v>
      </c>
      <c r="C355" t="s">
        <v>755</v>
      </c>
      <c r="D355" t="s">
        <v>76</v>
      </c>
      <c r="E355" t="s">
        <v>1314</v>
      </c>
      <c r="G355" s="37" t="s">
        <v>11</v>
      </c>
      <c r="H355" s="37" t="s">
        <v>13</v>
      </c>
      <c r="I355" t="s">
        <v>1549</v>
      </c>
      <c r="J355" t="s">
        <v>1564</v>
      </c>
      <c r="K355" t="s">
        <v>1574</v>
      </c>
      <c r="L355" s="28" t="s">
        <v>3005</v>
      </c>
      <c r="M355" s="23">
        <v>36991</v>
      </c>
      <c r="N355" t="s">
        <v>1566</v>
      </c>
      <c r="O355">
        <v>3.5</v>
      </c>
      <c r="P355" t="s">
        <v>1567</v>
      </c>
      <c r="Q355">
        <v>4164</v>
      </c>
      <c r="R355" t="s">
        <v>1550</v>
      </c>
      <c r="V355" t="s">
        <v>1568</v>
      </c>
    </row>
    <row r="356" spans="1:22" hidden="1" x14ac:dyDescent="0.25">
      <c r="A356">
        <v>2024</v>
      </c>
      <c r="B356" t="s">
        <v>772</v>
      </c>
      <c r="C356" t="s">
        <v>755</v>
      </c>
      <c r="D356" t="s">
        <v>76</v>
      </c>
      <c r="E356" t="s">
        <v>1314</v>
      </c>
      <c r="G356" s="37" t="s">
        <v>11</v>
      </c>
      <c r="H356" s="37" t="s">
        <v>13</v>
      </c>
      <c r="I356" t="s">
        <v>1549</v>
      </c>
      <c r="J356" t="s">
        <v>1570</v>
      </c>
      <c r="K356" t="s">
        <v>1571</v>
      </c>
      <c r="L356" s="28" t="s">
        <v>3005</v>
      </c>
      <c r="M356" s="23">
        <v>310</v>
      </c>
      <c r="N356" t="s">
        <v>1566</v>
      </c>
      <c r="O356">
        <v>26.38</v>
      </c>
      <c r="P356" t="s">
        <v>1567</v>
      </c>
      <c r="Q356">
        <v>263</v>
      </c>
      <c r="R356" t="s">
        <v>1550</v>
      </c>
      <c r="V356" t="s">
        <v>1568</v>
      </c>
    </row>
    <row r="357" spans="1:22" hidden="1" x14ac:dyDescent="0.25">
      <c r="A357">
        <v>2024</v>
      </c>
      <c r="B357" t="s">
        <v>772</v>
      </c>
      <c r="C357" t="s">
        <v>755</v>
      </c>
      <c r="D357" t="s">
        <v>76</v>
      </c>
      <c r="E357" t="s">
        <v>1314</v>
      </c>
      <c r="G357" s="37" t="s">
        <v>11</v>
      </c>
      <c r="H357" s="37" t="s">
        <v>13</v>
      </c>
      <c r="I357" t="s">
        <v>1549</v>
      </c>
      <c r="J357" t="s">
        <v>1570</v>
      </c>
      <c r="K357" t="s">
        <v>1572</v>
      </c>
      <c r="L357" s="28" t="s">
        <v>3005</v>
      </c>
      <c r="M357" s="23">
        <v>34772</v>
      </c>
      <c r="N357" t="s">
        <v>1566</v>
      </c>
      <c r="O357">
        <v>3.86</v>
      </c>
      <c r="P357" t="s">
        <v>1567</v>
      </c>
      <c r="Q357">
        <v>4310</v>
      </c>
      <c r="R357" t="s">
        <v>1550</v>
      </c>
      <c r="V357" t="s">
        <v>1568</v>
      </c>
    </row>
    <row r="358" spans="1:22" hidden="1" x14ac:dyDescent="0.25">
      <c r="A358">
        <v>2024</v>
      </c>
      <c r="B358" t="s">
        <v>772</v>
      </c>
      <c r="C358" t="s">
        <v>755</v>
      </c>
      <c r="D358" t="s">
        <v>76</v>
      </c>
      <c r="E358" t="s">
        <v>1314</v>
      </c>
      <c r="G358" s="37" t="s">
        <v>11</v>
      </c>
      <c r="H358" s="37" t="s">
        <v>13</v>
      </c>
      <c r="I358" t="s">
        <v>1549</v>
      </c>
      <c r="J358" t="s">
        <v>1570</v>
      </c>
      <c r="K358" t="s">
        <v>1573</v>
      </c>
      <c r="L358" s="28" t="s">
        <v>3005</v>
      </c>
      <c r="M358" s="23">
        <v>7663</v>
      </c>
      <c r="N358" t="s">
        <v>1566</v>
      </c>
      <c r="O358">
        <v>3.68</v>
      </c>
      <c r="P358" t="s">
        <v>1567</v>
      </c>
      <c r="Q358">
        <v>908</v>
      </c>
      <c r="R358" t="s">
        <v>1550</v>
      </c>
      <c r="V358" t="s">
        <v>1568</v>
      </c>
    </row>
    <row r="359" spans="1:22" hidden="1" x14ac:dyDescent="0.25">
      <c r="A359">
        <v>2023</v>
      </c>
      <c r="B359" t="s">
        <v>772</v>
      </c>
      <c r="C359" t="s">
        <v>1591</v>
      </c>
      <c r="D359" t="s">
        <v>86</v>
      </c>
      <c r="E359" t="s">
        <v>1322</v>
      </c>
      <c r="G359" s="37" t="s">
        <v>11</v>
      </c>
      <c r="H359" s="37" t="s">
        <v>19</v>
      </c>
      <c r="I359" t="s">
        <v>125</v>
      </c>
      <c r="J359" t="s">
        <v>1564</v>
      </c>
      <c r="K359" t="s">
        <v>1574</v>
      </c>
      <c r="L359" s="28" t="s">
        <v>3005</v>
      </c>
      <c r="M359">
        <v>201900</v>
      </c>
      <c r="N359" t="s">
        <v>1566</v>
      </c>
      <c r="O359">
        <v>0.51</v>
      </c>
      <c r="P359" t="s">
        <v>1589</v>
      </c>
      <c r="Q359">
        <v>2300</v>
      </c>
      <c r="R359" t="s">
        <v>1709</v>
      </c>
      <c r="S359" t="s">
        <v>1588</v>
      </c>
      <c r="T359">
        <v>84</v>
      </c>
      <c r="V359" t="s">
        <v>1592</v>
      </c>
    </row>
    <row r="360" spans="1:22" hidden="1" x14ac:dyDescent="0.25">
      <c r="A360">
        <v>2023</v>
      </c>
      <c r="B360" t="s">
        <v>772</v>
      </c>
      <c r="C360" t="s">
        <v>1591</v>
      </c>
      <c r="D360" t="s">
        <v>86</v>
      </c>
      <c r="E360" t="s">
        <v>1322</v>
      </c>
      <c r="G360" s="37" t="s">
        <v>11</v>
      </c>
      <c r="H360" s="37" t="s">
        <v>19</v>
      </c>
      <c r="I360" t="s">
        <v>16</v>
      </c>
      <c r="J360" t="s">
        <v>1564</v>
      </c>
      <c r="K360" t="s">
        <v>1574</v>
      </c>
      <c r="L360" s="28" t="s">
        <v>3005</v>
      </c>
      <c r="M360">
        <v>201900</v>
      </c>
      <c r="N360" t="s">
        <v>1566</v>
      </c>
      <c r="O360">
        <v>0.6</v>
      </c>
      <c r="P360" t="s">
        <v>1567</v>
      </c>
      <c r="Q360">
        <v>3900</v>
      </c>
      <c r="R360" t="s">
        <v>1550</v>
      </c>
      <c r="S360" t="s">
        <v>1588</v>
      </c>
      <c r="T360">
        <v>68</v>
      </c>
      <c r="V360" t="s">
        <v>1592</v>
      </c>
    </row>
    <row r="361" spans="1:22" hidden="1" x14ac:dyDescent="0.25">
      <c r="A361">
        <v>2023</v>
      </c>
      <c r="B361" t="s">
        <v>772</v>
      </c>
      <c r="C361" t="s">
        <v>1591</v>
      </c>
      <c r="D361" t="s">
        <v>86</v>
      </c>
      <c r="E361" t="s">
        <v>1322</v>
      </c>
      <c r="G361" s="37" t="s">
        <v>11</v>
      </c>
      <c r="H361" s="37" t="s">
        <v>19</v>
      </c>
      <c r="I361" t="s">
        <v>125</v>
      </c>
      <c r="J361" t="s">
        <v>1570</v>
      </c>
      <c r="K361" t="s">
        <v>1572</v>
      </c>
      <c r="L361" s="28" t="s">
        <v>3005</v>
      </c>
      <c r="M361">
        <v>334700</v>
      </c>
      <c r="N361" t="s">
        <v>1566</v>
      </c>
      <c r="O361">
        <v>0.34</v>
      </c>
      <c r="P361" t="s">
        <v>1589</v>
      </c>
      <c r="Q361">
        <v>2500</v>
      </c>
      <c r="R361" t="s">
        <v>1709</v>
      </c>
      <c r="S361" t="s">
        <v>1588</v>
      </c>
      <c r="T361">
        <v>81</v>
      </c>
      <c r="V361" t="s">
        <v>1592</v>
      </c>
    </row>
    <row r="362" spans="1:22" hidden="1" x14ac:dyDescent="0.25">
      <c r="A362">
        <v>2023</v>
      </c>
      <c r="B362" t="s">
        <v>772</v>
      </c>
      <c r="C362" t="s">
        <v>1591</v>
      </c>
      <c r="D362" t="s">
        <v>86</v>
      </c>
      <c r="E362" t="s">
        <v>1322</v>
      </c>
      <c r="G362" s="37" t="s">
        <v>11</v>
      </c>
      <c r="H362" s="37" t="s">
        <v>19</v>
      </c>
      <c r="I362" t="s">
        <v>16</v>
      </c>
      <c r="J362" t="s">
        <v>1570</v>
      </c>
      <c r="K362" t="s">
        <v>1572</v>
      </c>
      <c r="L362" s="28" t="s">
        <v>3005</v>
      </c>
      <c r="M362">
        <v>334700</v>
      </c>
      <c r="N362" t="s">
        <v>1566</v>
      </c>
      <c r="O362">
        <v>0.34</v>
      </c>
      <c r="P362" t="s">
        <v>1567</v>
      </c>
      <c r="Q362">
        <v>3600</v>
      </c>
      <c r="R362" t="s">
        <v>1550</v>
      </c>
      <c r="S362" t="s">
        <v>1588</v>
      </c>
      <c r="T362">
        <v>55</v>
      </c>
      <c r="V362" t="s">
        <v>1592</v>
      </c>
    </row>
    <row r="363" spans="1:22" hidden="1" x14ac:dyDescent="0.25">
      <c r="A363">
        <v>2023</v>
      </c>
      <c r="B363" t="s">
        <v>772</v>
      </c>
      <c r="C363" t="s">
        <v>1591</v>
      </c>
      <c r="D363" t="s">
        <v>86</v>
      </c>
      <c r="E363" t="s">
        <v>1322</v>
      </c>
      <c r="G363" s="37" t="s">
        <v>11</v>
      </c>
      <c r="H363" s="37" t="s">
        <v>19</v>
      </c>
      <c r="I363" t="s">
        <v>125</v>
      </c>
      <c r="J363" t="s">
        <v>1570</v>
      </c>
      <c r="K363" t="s">
        <v>1573</v>
      </c>
      <c r="L363" s="28" t="s">
        <v>3005</v>
      </c>
      <c r="M363">
        <v>62100</v>
      </c>
      <c r="N363" t="s">
        <v>1566</v>
      </c>
      <c r="O363">
        <v>0.36</v>
      </c>
      <c r="P363" t="s">
        <v>1589</v>
      </c>
      <c r="Q363">
        <v>500</v>
      </c>
      <c r="R363" t="s">
        <v>1709</v>
      </c>
      <c r="S363" t="s">
        <v>1588</v>
      </c>
      <c r="T363">
        <v>81</v>
      </c>
      <c r="V363" t="s">
        <v>1592</v>
      </c>
    </row>
    <row r="364" spans="1:22" hidden="1" x14ac:dyDescent="0.25">
      <c r="A364">
        <v>2023</v>
      </c>
      <c r="B364" t="s">
        <v>772</v>
      </c>
      <c r="C364" t="s">
        <v>1591</v>
      </c>
      <c r="D364" t="s">
        <v>86</v>
      </c>
      <c r="E364" t="s">
        <v>1322</v>
      </c>
      <c r="G364" s="37" t="s">
        <v>11</v>
      </c>
      <c r="H364" s="37" t="s">
        <v>19</v>
      </c>
      <c r="I364" t="s">
        <v>16</v>
      </c>
      <c r="J364" t="s">
        <v>1570</v>
      </c>
      <c r="K364" t="s">
        <v>1573</v>
      </c>
      <c r="L364" s="28" t="s">
        <v>3005</v>
      </c>
      <c r="M364">
        <v>62100</v>
      </c>
      <c r="N364" t="s">
        <v>1566</v>
      </c>
      <c r="O364">
        <v>0.35</v>
      </c>
      <c r="P364" t="s">
        <v>1567</v>
      </c>
      <c r="Q364">
        <v>700</v>
      </c>
      <c r="R364" t="s">
        <v>1550</v>
      </c>
      <c r="S364" t="s">
        <v>1588</v>
      </c>
      <c r="T364">
        <v>55</v>
      </c>
      <c r="V364" t="s">
        <v>1592</v>
      </c>
    </row>
    <row r="365" spans="1:22" hidden="1" x14ac:dyDescent="0.25">
      <c r="A365">
        <v>2024</v>
      </c>
      <c r="B365" t="s">
        <v>772</v>
      </c>
      <c r="C365" t="s">
        <v>798</v>
      </c>
      <c r="D365" t="s">
        <v>71</v>
      </c>
      <c r="E365" t="s">
        <v>1215</v>
      </c>
      <c r="I365" s="28" t="s">
        <v>16</v>
      </c>
      <c r="J365" s="28" t="s">
        <v>1564</v>
      </c>
      <c r="K365" s="28" t="s">
        <v>1574</v>
      </c>
      <c r="L365" s="28" t="s">
        <v>3005</v>
      </c>
      <c r="M365">
        <v>12.4</v>
      </c>
      <c r="N365" t="s">
        <v>1641</v>
      </c>
      <c r="O365">
        <v>6.87</v>
      </c>
      <c r="P365" t="s">
        <v>1567</v>
      </c>
      <c r="Q365">
        <v>2748</v>
      </c>
      <c r="R365" t="s">
        <v>1550</v>
      </c>
      <c r="V365" t="s">
        <v>1823</v>
      </c>
    </row>
    <row r="366" spans="1:22" hidden="1" x14ac:dyDescent="0.25">
      <c r="A366">
        <v>2024</v>
      </c>
      <c r="B366" t="s">
        <v>772</v>
      </c>
      <c r="C366" t="s">
        <v>798</v>
      </c>
      <c r="D366" t="s">
        <v>71</v>
      </c>
      <c r="E366" t="s">
        <v>1215</v>
      </c>
      <c r="G366" s="37" t="s">
        <v>11</v>
      </c>
      <c r="H366" s="37" t="s">
        <v>13</v>
      </c>
      <c r="I366" t="s">
        <v>16</v>
      </c>
      <c r="J366" s="28" t="s">
        <v>1570</v>
      </c>
      <c r="K366" s="28" t="s">
        <v>1572</v>
      </c>
      <c r="L366" s="28" t="s">
        <v>3005</v>
      </c>
      <c r="M366">
        <v>32.4</v>
      </c>
      <c r="N366" t="s">
        <v>1641</v>
      </c>
      <c r="O366">
        <v>6.89</v>
      </c>
      <c r="P366" t="s">
        <v>1567</v>
      </c>
      <c r="Q366">
        <v>7174</v>
      </c>
      <c r="R366" t="s">
        <v>1550</v>
      </c>
      <c r="V366" t="s">
        <v>1823</v>
      </c>
    </row>
    <row r="367" spans="1:22" hidden="1" x14ac:dyDescent="0.25">
      <c r="A367">
        <v>2024</v>
      </c>
      <c r="B367" t="s">
        <v>772</v>
      </c>
      <c r="C367" t="s">
        <v>798</v>
      </c>
      <c r="D367" t="s">
        <v>71</v>
      </c>
      <c r="E367" t="s">
        <v>1215</v>
      </c>
      <c r="G367" s="37" t="s">
        <v>11</v>
      </c>
      <c r="H367" s="37" t="s">
        <v>13</v>
      </c>
      <c r="I367" t="s">
        <v>16</v>
      </c>
      <c r="J367" s="28" t="s">
        <v>1570</v>
      </c>
      <c r="K367" s="28" t="s">
        <v>1573</v>
      </c>
      <c r="L367" s="28" t="s">
        <v>3005</v>
      </c>
      <c r="M367">
        <v>22.7</v>
      </c>
      <c r="N367" t="s">
        <v>1641</v>
      </c>
      <c r="O367">
        <v>6.1</v>
      </c>
      <c r="P367" t="s">
        <v>1567</v>
      </c>
      <c r="Q367">
        <v>4456</v>
      </c>
      <c r="R367" t="s">
        <v>1550</v>
      </c>
      <c r="V367" t="s">
        <v>1823</v>
      </c>
    </row>
    <row r="368" spans="1:22" hidden="1" x14ac:dyDescent="0.25">
      <c r="A368">
        <v>2023</v>
      </c>
      <c r="B368" t="s">
        <v>772</v>
      </c>
      <c r="C368" t="s">
        <v>165</v>
      </c>
      <c r="D368" t="s">
        <v>166</v>
      </c>
      <c r="E368" t="s">
        <v>1392</v>
      </c>
      <c r="G368" s="37" t="s">
        <v>11</v>
      </c>
      <c r="H368" s="37" t="s">
        <v>19</v>
      </c>
      <c r="I368" t="s">
        <v>157</v>
      </c>
      <c r="J368" t="s">
        <v>1564</v>
      </c>
      <c r="K368" t="s">
        <v>2004</v>
      </c>
      <c r="L368" s="28" t="s">
        <v>3005</v>
      </c>
      <c r="M368">
        <v>207600</v>
      </c>
      <c r="N368" t="s">
        <v>1566</v>
      </c>
      <c r="V368" t="s">
        <v>2361</v>
      </c>
    </row>
    <row r="369" spans="1:22" hidden="1" x14ac:dyDescent="0.25">
      <c r="A369">
        <v>2024</v>
      </c>
      <c r="B369" t="s">
        <v>1537</v>
      </c>
      <c r="C369" t="s">
        <v>902</v>
      </c>
      <c r="D369" t="s">
        <v>1943</v>
      </c>
      <c r="F369" t="s">
        <v>1942</v>
      </c>
      <c r="G369" s="37" t="s">
        <v>11</v>
      </c>
      <c r="H369" s="37" t="s">
        <v>44</v>
      </c>
      <c r="I369" t="s">
        <v>16</v>
      </c>
      <c r="J369" t="s">
        <v>1564</v>
      </c>
      <c r="K369" t="s">
        <v>1565</v>
      </c>
      <c r="L369" s="28" t="s">
        <v>3005</v>
      </c>
      <c r="M369">
        <v>335</v>
      </c>
      <c r="N369" t="s">
        <v>1566</v>
      </c>
      <c r="O369">
        <v>6.11</v>
      </c>
      <c r="P369" t="s">
        <v>1567</v>
      </c>
      <c r="Q369">
        <v>66</v>
      </c>
      <c r="R369" t="s">
        <v>1550</v>
      </c>
      <c r="T369">
        <v>96</v>
      </c>
      <c r="V369" t="s">
        <v>1947</v>
      </c>
    </row>
    <row r="370" spans="1:22" hidden="1" x14ac:dyDescent="0.25">
      <c r="A370">
        <v>2024</v>
      </c>
      <c r="B370" t="s">
        <v>1537</v>
      </c>
      <c r="C370" t="s">
        <v>902</v>
      </c>
      <c r="D370" t="s">
        <v>1943</v>
      </c>
      <c r="F370" t="s">
        <v>1942</v>
      </c>
      <c r="G370" s="37" t="s">
        <v>11</v>
      </c>
      <c r="H370" s="37" t="s">
        <v>44</v>
      </c>
      <c r="I370" t="s">
        <v>16</v>
      </c>
      <c r="J370" t="s">
        <v>1564</v>
      </c>
      <c r="K370" t="s">
        <v>1574</v>
      </c>
      <c r="L370" s="28" t="s">
        <v>3005</v>
      </c>
      <c r="M370">
        <v>1466</v>
      </c>
      <c r="N370" t="s">
        <v>1566</v>
      </c>
      <c r="O370">
        <v>5.16</v>
      </c>
      <c r="P370" t="s">
        <v>1567</v>
      </c>
      <c r="Q370">
        <v>243</v>
      </c>
      <c r="R370" t="s">
        <v>1550</v>
      </c>
      <c r="T370">
        <v>96</v>
      </c>
      <c r="V370" t="s">
        <v>1947</v>
      </c>
    </row>
    <row r="371" spans="1:22" hidden="1" x14ac:dyDescent="0.25">
      <c r="A371">
        <v>2024</v>
      </c>
      <c r="B371" t="s">
        <v>1537</v>
      </c>
      <c r="C371" t="s">
        <v>902</v>
      </c>
      <c r="D371" t="s">
        <v>1943</v>
      </c>
      <c r="F371" t="s">
        <v>1942</v>
      </c>
      <c r="G371" s="37" t="s">
        <v>11</v>
      </c>
      <c r="H371" s="37" t="s">
        <v>44</v>
      </c>
      <c r="I371" t="s">
        <v>16</v>
      </c>
      <c r="J371" t="s">
        <v>1570</v>
      </c>
      <c r="K371" t="s">
        <v>1571</v>
      </c>
      <c r="L371" s="28" t="s">
        <v>3005</v>
      </c>
      <c r="M371">
        <v>290</v>
      </c>
      <c r="N371" t="s">
        <v>1566</v>
      </c>
      <c r="O371">
        <v>6.34</v>
      </c>
      <c r="P371" t="s">
        <v>1567</v>
      </c>
      <c r="Q371">
        <v>59</v>
      </c>
      <c r="R371" t="s">
        <v>1550</v>
      </c>
      <c r="V371" t="s">
        <v>1947</v>
      </c>
    </row>
    <row r="372" spans="1:22" hidden="1" x14ac:dyDescent="0.25">
      <c r="A372">
        <v>2024</v>
      </c>
      <c r="B372" t="s">
        <v>1537</v>
      </c>
      <c r="C372" t="s">
        <v>902</v>
      </c>
      <c r="D372" t="s">
        <v>1943</v>
      </c>
      <c r="F372" t="s">
        <v>1942</v>
      </c>
      <c r="G372" s="37" t="s">
        <v>11</v>
      </c>
      <c r="H372" s="37" t="s">
        <v>44</v>
      </c>
      <c r="I372" t="s">
        <v>16</v>
      </c>
      <c r="J372" t="s">
        <v>1570</v>
      </c>
      <c r="K372" t="s">
        <v>1572</v>
      </c>
      <c r="L372" s="28" t="s">
        <v>3005</v>
      </c>
      <c r="M372">
        <v>2150</v>
      </c>
      <c r="N372" t="s">
        <v>1566</v>
      </c>
      <c r="O372">
        <v>5.0999999999999996</v>
      </c>
      <c r="P372" t="s">
        <v>1567</v>
      </c>
      <c r="Q372">
        <v>352</v>
      </c>
      <c r="R372" t="s">
        <v>1550</v>
      </c>
      <c r="V372" t="s">
        <v>1947</v>
      </c>
    </row>
    <row r="373" spans="1:22" hidden="1" x14ac:dyDescent="0.25">
      <c r="A373">
        <v>2024</v>
      </c>
      <c r="B373" t="s">
        <v>1537</v>
      </c>
      <c r="C373" t="s">
        <v>902</v>
      </c>
      <c r="D373" t="s">
        <v>1943</v>
      </c>
      <c r="F373" t="s">
        <v>1942</v>
      </c>
      <c r="G373" s="37" t="s">
        <v>11</v>
      </c>
      <c r="H373" s="37" t="s">
        <v>44</v>
      </c>
      <c r="I373" t="s">
        <v>16</v>
      </c>
      <c r="J373" t="s">
        <v>1570</v>
      </c>
      <c r="K373" t="s">
        <v>1573</v>
      </c>
      <c r="L373" s="28" t="s">
        <v>3005</v>
      </c>
      <c r="M373">
        <v>1464</v>
      </c>
      <c r="N373" t="s">
        <v>1566</v>
      </c>
      <c r="O373">
        <v>4.37</v>
      </c>
      <c r="P373" t="s">
        <v>1567</v>
      </c>
      <c r="Q373">
        <v>206</v>
      </c>
      <c r="R373" t="s">
        <v>1550</v>
      </c>
      <c r="V373" t="s">
        <v>1947</v>
      </c>
    </row>
    <row r="374" spans="1:22" hidden="1" x14ac:dyDescent="0.25">
      <c r="A374">
        <v>2022</v>
      </c>
      <c r="B374" t="s">
        <v>772</v>
      </c>
      <c r="C374" t="s">
        <v>774</v>
      </c>
      <c r="D374" t="s">
        <v>63</v>
      </c>
      <c r="E374" t="s">
        <v>1122</v>
      </c>
      <c r="G374" s="37" t="s">
        <v>11</v>
      </c>
      <c r="H374" s="37" t="s">
        <v>21</v>
      </c>
      <c r="I374" t="s">
        <v>16</v>
      </c>
      <c r="J374" s="28" t="s">
        <v>1570</v>
      </c>
      <c r="K374" s="28" t="s">
        <v>1572</v>
      </c>
      <c r="L374" s="28" t="s">
        <v>3005</v>
      </c>
      <c r="M374">
        <v>755000</v>
      </c>
      <c r="N374" t="s">
        <v>1641</v>
      </c>
      <c r="O374">
        <v>7.14</v>
      </c>
      <c r="P374" t="s">
        <v>1567</v>
      </c>
      <c r="Q374">
        <v>173300</v>
      </c>
      <c r="R374" t="s">
        <v>1548</v>
      </c>
      <c r="V374" t="s">
        <v>1870</v>
      </c>
    </row>
    <row r="375" spans="1:22" hidden="1" x14ac:dyDescent="0.25">
      <c r="A375">
        <v>2022</v>
      </c>
      <c r="B375" t="s">
        <v>772</v>
      </c>
      <c r="C375" t="s">
        <v>774</v>
      </c>
      <c r="D375" t="s">
        <v>63</v>
      </c>
      <c r="E375" t="s">
        <v>1122</v>
      </c>
      <c r="G375" s="37" t="s">
        <v>11</v>
      </c>
      <c r="H375" s="37" t="s">
        <v>21</v>
      </c>
      <c r="I375" t="s">
        <v>16</v>
      </c>
      <c r="J375" s="28" t="s">
        <v>1570</v>
      </c>
      <c r="K375" s="28" t="s">
        <v>1573</v>
      </c>
      <c r="L375" s="28" t="s">
        <v>3005</v>
      </c>
      <c r="M375">
        <v>884000</v>
      </c>
      <c r="N375" t="s">
        <v>1641</v>
      </c>
      <c r="O375">
        <v>8.74</v>
      </c>
      <c r="P375" t="s">
        <v>1567</v>
      </c>
      <c r="Q375">
        <v>248300</v>
      </c>
      <c r="R375" t="s">
        <v>1548</v>
      </c>
      <c r="V375" t="s">
        <v>1870</v>
      </c>
    </row>
    <row r="376" spans="1:22" ht="30" hidden="1" x14ac:dyDescent="0.25">
      <c r="A376">
        <v>2025</v>
      </c>
      <c r="B376" t="s">
        <v>1537</v>
      </c>
      <c r="C376" t="s">
        <v>717</v>
      </c>
      <c r="D376" t="s">
        <v>1778</v>
      </c>
      <c r="F376" t="s">
        <v>1849</v>
      </c>
      <c r="G376" s="37" t="s">
        <v>11</v>
      </c>
      <c r="H376" s="38" t="s">
        <v>23</v>
      </c>
      <c r="I376" s="28" t="s">
        <v>1772</v>
      </c>
      <c r="J376" s="28" t="s">
        <v>1564</v>
      </c>
      <c r="K376" s="28" t="s">
        <v>1574</v>
      </c>
      <c r="L376" s="28" t="s">
        <v>3005</v>
      </c>
      <c r="M376">
        <v>3110000</v>
      </c>
      <c r="N376" s="11" t="s">
        <v>1641</v>
      </c>
      <c r="Q376" s="28"/>
      <c r="R376" s="28"/>
      <c r="S376" s="28"/>
      <c r="T376" s="28"/>
      <c r="U376" s="28"/>
      <c r="V376" t="s">
        <v>2967</v>
      </c>
    </row>
    <row r="377" spans="1:22" ht="30" hidden="1" x14ac:dyDescent="0.25">
      <c r="A377">
        <v>2025</v>
      </c>
      <c r="B377" t="s">
        <v>1537</v>
      </c>
      <c r="C377" t="s">
        <v>717</v>
      </c>
      <c r="D377" t="s">
        <v>1778</v>
      </c>
      <c r="F377" t="s">
        <v>1849</v>
      </c>
      <c r="G377" s="37" t="s">
        <v>11</v>
      </c>
      <c r="H377" s="38" t="s">
        <v>23</v>
      </c>
      <c r="I377" s="11" t="s">
        <v>16</v>
      </c>
      <c r="J377" s="28" t="s">
        <v>1564</v>
      </c>
      <c r="K377" s="28" t="s">
        <v>1574</v>
      </c>
      <c r="L377" s="28" t="s">
        <v>3005</v>
      </c>
      <c r="N377" s="11" t="s">
        <v>1641</v>
      </c>
      <c r="O377" s="11">
        <v>2.2000000000000002</v>
      </c>
      <c r="P377" s="11" t="s">
        <v>1567</v>
      </c>
      <c r="Q377" s="28"/>
      <c r="R377" s="28"/>
      <c r="S377" s="28"/>
      <c r="T377" s="28"/>
      <c r="U377" s="28"/>
      <c r="V377" t="s">
        <v>2967</v>
      </c>
    </row>
    <row r="378" spans="1:22" ht="30" hidden="1" x14ac:dyDescent="0.25">
      <c r="A378">
        <v>2025</v>
      </c>
      <c r="B378" t="s">
        <v>1537</v>
      </c>
      <c r="C378" t="s">
        <v>717</v>
      </c>
      <c r="D378" t="s">
        <v>1778</v>
      </c>
      <c r="F378" t="s">
        <v>1849</v>
      </c>
      <c r="G378" s="37" t="s">
        <v>11</v>
      </c>
      <c r="H378" s="38" t="s">
        <v>23</v>
      </c>
      <c r="I378" s="11" t="s">
        <v>1551</v>
      </c>
      <c r="J378" s="28" t="s">
        <v>1564</v>
      </c>
      <c r="K378" s="28" t="s">
        <v>1574</v>
      </c>
      <c r="L378" s="28" t="s">
        <v>3005</v>
      </c>
      <c r="N378" s="11" t="s">
        <v>1641</v>
      </c>
      <c r="O378" s="11">
        <v>0.2</v>
      </c>
      <c r="P378" s="11" t="s">
        <v>1589</v>
      </c>
      <c r="Q378" s="28"/>
      <c r="R378" s="28"/>
      <c r="S378" s="28"/>
      <c r="T378" s="28"/>
      <c r="U378" s="28"/>
      <c r="V378" t="s">
        <v>2967</v>
      </c>
    </row>
    <row r="379" spans="1:22" ht="30" hidden="1" x14ac:dyDescent="0.25">
      <c r="A379">
        <v>2025</v>
      </c>
      <c r="B379" t="s">
        <v>1537</v>
      </c>
      <c r="C379" t="s">
        <v>717</v>
      </c>
      <c r="D379" t="s">
        <v>1778</v>
      </c>
      <c r="F379" t="s">
        <v>1849</v>
      </c>
      <c r="G379" s="37" t="s">
        <v>11</v>
      </c>
      <c r="H379" s="38" t="s">
        <v>23</v>
      </c>
      <c r="I379" s="28" t="s">
        <v>125</v>
      </c>
      <c r="J379" s="28" t="s">
        <v>1564</v>
      </c>
      <c r="K379" s="28" t="s">
        <v>1574</v>
      </c>
      <c r="L379" s="28" t="s">
        <v>3005</v>
      </c>
      <c r="M379" s="29"/>
      <c r="N379" s="11" t="s">
        <v>1641</v>
      </c>
      <c r="O379" s="28">
        <v>1.28</v>
      </c>
      <c r="P379" s="28" t="s">
        <v>1589</v>
      </c>
      <c r="V379" t="s">
        <v>2967</v>
      </c>
    </row>
    <row r="380" spans="1:22" ht="30" hidden="1" x14ac:dyDescent="0.25">
      <c r="A380">
        <v>2025</v>
      </c>
      <c r="B380" t="s">
        <v>1537</v>
      </c>
      <c r="C380" t="s">
        <v>717</v>
      </c>
      <c r="D380" t="s">
        <v>1778</v>
      </c>
      <c r="F380" t="s">
        <v>1849</v>
      </c>
      <c r="G380" s="37" t="s">
        <v>11</v>
      </c>
      <c r="H380" s="38" t="s">
        <v>23</v>
      </c>
      <c r="I380" s="28" t="s">
        <v>1549</v>
      </c>
      <c r="J380" s="28" t="s">
        <v>1564</v>
      </c>
      <c r="K380" s="28" t="s">
        <v>1574</v>
      </c>
      <c r="L380" s="28" t="s">
        <v>3005</v>
      </c>
      <c r="M380" s="29"/>
      <c r="N380" s="11" t="s">
        <v>1641</v>
      </c>
      <c r="O380" s="28">
        <v>5</v>
      </c>
      <c r="P380" s="28" t="s">
        <v>1567</v>
      </c>
      <c r="V380" t="s">
        <v>2967</v>
      </c>
    </row>
    <row r="381" spans="1:22" hidden="1" x14ac:dyDescent="0.25">
      <c r="A381">
        <v>2023</v>
      </c>
      <c r="B381" t="s">
        <v>772</v>
      </c>
      <c r="C381" t="s">
        <v>49</v>
      </c>
      <c r="D381" t="s">
        <v>50</v>
      </c>
      <c r="E381" t="s">
        <v>1372</v>
      </c>
      <c r="G381" s="37" t="s">
        <v>11</v>
      </c>
      <c r="H381" s="37" t="s">
        <v>13</v>
      </c>
      <c r="I381" t="s">
        <v>16</v>
      </c>
      <c r="J381" t="s">
        <v>1564</v>
      </c>
      <c r="K381" t="s">
        <v>1771</v>
      </c>
      <c r="L381" s="28" t="s">
        <v>3005</v>
      </c>
      <c r="M381">
        <v>2</v>
      </c>
      <c r="N381" t="s">
        <v>1641</v>
      </c>
      <c r="O381">
        <v>5.8</v>
      </c>
      <c r="P381" t="s">
        <v>1567</v>
      </c>
      <c r="Q381">
        <v>0</v>
      </c>
      <c r="R381" t="s">
        <v>1550</v>
      </c>
      <c r="V381" t="s">
        <v>1086</v>
      </c>
    </row>
    <row r="382" spans="1:22" hidden="1" x14ac:dyDescent="0.25">
      <c r="A382">
        <v>2023</v>
      </c>
      <c r="B382" t="s">
        <v>772</v>
      </c>
      <c r="C382" t="s">
        <v>49</v>
      </c>
      <c r="D382" t="s">
        <v>50</v>
      </c>
      <c r="E382" t="s">
        <v>1372</v>
      </c>
      <c r="G382" s="37" t="s">
        <v>11</v>
      </c>
      <c r="H382" s="37" t="s">
        <v>13</v>
      </c>
      <c r="I382" t="s">
        <v>16</v>
      </c>
      <c r="J382" t="s">
        <v>1564</v>
      </c>
      <c r="K382" t="s">
        <v>1574</v>
      </c>
      <c r="L382" s="28" t="s">
        <v>3005</v>
      </c>
      <c r="M382">
        <v>2872</v>
      </c>
      <c r="N382" t="s">
        <v>1641</v>
      </c>
      <c r="O382">
        <v>5.5</v>
      </c>
      <c r="P382" t="s">
        <v>1567</v>
      </c>
      <c r="Q382">
        <v>506</v>
      </c>
      <c r="R382" t="s">
        <v>1550</v>
      </c>
      <c r="V382" t="s">
        <v>1086</v>
      </c>
    </row>
    <row r="383" spans="1:22" hidden="1" x14ac:dyDescent="0.25">
      <c r="A383">
        <v>2023</v>
      </c>
      <c r="B383" t="s">
        <v>772</v>
      </c>
      <c r="C383" t="s">
        <v>49</v>
      </c>
      <c r="D383" t="s">
        <v>50</v>
      </c>
      <c r="E383" t="s">
        <v>1372</v>
      </c>
      <c r="G383" s="37" t="s">
        <v>11</v>
      </c>
      <c r="H383" s="37" t="s">
        <v>13</v>
      </c>
      <c r="I383" t="s">
        <v>16</v>
      </c>
      <c r="J383" t="s">
        <v>1570</v>
      </c>
      <c r="K383" t="s">
        <v>1602</v>
      </c>
      <c r="L383" s="28" t="s">
        <v>3005</v>
      </c>
      <c r="M383">
        <v>2.8</v>
      </c>
      <c r="N383" t="s">
        <v>1641</v>
      </c>
      <c r="O383">
        <v>8.5</v>
      </c>
      <c r="P383" t="s">
        <v>1567</v>
      </c>
      <c r="Q383">
        <v>768</v>
      </c>
      <c r="R383" t="s">
        <v>1550</v>
      </c>
      <c r="V383" t="s">
        <v>1086</v>
      </c>
    </row>
    <row r="384" spans="1:22" hidden="1" x14ac:dyDescent="0.25">
      <c r="A384">
        <v>2023</v>
      </c>
      <c r="B384" t="s">
        <v>772</v>
      </c>
      <c r="C384" t="s">
        <v>49</v>
      </c>
      <c r="D384" t="s">
        <v>50</v>
      </c>
      <c r="E384" t="s">
        <v>1372</v>
      </c>
      <c r="G384" s="37" t="s">
        <v>11</v>
      </c>
      <c r="H384" s="37" t="s">
        <v>13</v>
      </c>
      <c r="I384" t="s">
        <v>16</v>
      </c>
      <c r="J384" t="s">
        <v>1570</v>
      </c>
      <c r="K384" t="s">
        <v>1573</v>
      </c>
      <c r="L384" s="28" t="s">
        <v>3005</v>
      </c>
      <c r="M384">
        <v>2.0299999999999998</v>
      </c>
      <c r="N384" t="s">
        <v>1641</v>
      </c>
      <c r="O384">
        <v>7.8</v>
      </c>
      <c r="P384" t="s">
        <v>1567</v>
      </c>
      <c r="Q384">
        <v>510</v>
      </c>
      <c r="R384" t="s">
        <v>1550</v>
      </c>
      <c r="V384" t="s">
        <v>1086</v>
      </c>
    </row>
    <row r="385" spans="1:22" hidden="1" x14ac:dyDescent="0.25">
      <c r="A385">
        <v>2024</v>
      </c>
      <c r="B385" t="s">
        <v>1537</v>
      </c>
      <c r="C385" t="s">
        <v>756</v>
      </c>
      <c r="D385" t="s">
        <v>1536</v>
      </c>
      <c r="F385" t="s">
        <v>1751</v>
      </c>
      <c r="G385" s="37" t="s">
        <v>11</v>
      </c>
      <c r="H385" s="37" t="s">
        <v>13</v>
      </c>
      <c r="I385" t="s">
        <v>16</v>
      </c>
      <c r="J385" t="s">
        <v>1564</v>
      </c>
      <c r="K385" t="s">
        <v>1565</v>
      </c>
      <c r="L385" s="28" t="s">
        <v>3005</v>
      </c>
      <c r="M385">
        <v>5.4</v>
      </c>
      <c r="N385" t="s">
        <v>1641</v>
      </c>
      <c r="O385">
        <v>2.79</v>
      </c>
      <c r="P385" t="s">
        <v>1567</v>
      </c>
      <c r="Q385">
        <v>481.4</v>
      </c>
      <c r="R385" t="s">
        <v>1550</v>
      </c>
      <c r="V385" t="s">
        <v>1648</v>
      </c>
    </row>
    <row r="386" spans="1:22" hidden="1" x14ac:dyDescent="0.25">
      <c r="A386">
        <v>2024</v>
      </c>
      <c r="B386" t="s">
        <v>1537</v>
      </c>
      <c r="C386" t="s">
        <v>756</v>
      </c>
      <c r="D386" t="s">
        <v>1536</v>
      </c>
      <c r="F386" t="s">
        <v>1751</v>
      </c>
      <c r="G386" s="37" t="s">
        <v>11</v>
      </c>
      <c r="H386" s="37" t="s">
        <v>13</v>
      </c>
      <c r="I386" t="s">
        <v>16</v>
      </c>
      <c r="J386" t="s">
        <v>1564</v>
      </c>
      <c r="K386" t="s">
        <v>1574</v>
      </c>
      <c r="L386" s="28" t="s">
        <v>3005</v>
      </c>
      <c r="M386">
        <v>4.4000000000000004</v>
      </c>
      <c r="N386" t="s">
        <v>1641</v>
      </c>
      <c r="O386">
        <v>2.74</v>
      </c>
      <c r="P386" t="s">
        <v>1567</v>
      </c>
      <c r="Q386">
        <v>386.2</v>
      </c>
      <c r="R386" t="s">
        <v>1550</v>
      </c>
      <c r="V386" t="s">
        <v>1648</v>
      </c>
    </row>
    <row r="387" spans="1:22" hidden="1" x14ac:dyDescent="0.25">
      <c r="A387">
        <v>2024</v>
      </c>
      <c r="B387" t="s">
        <v>1537</v>
      </c>
      <c r="C387" t="s">
        <v>756</v>
      </c>
      <c r="D387" t="s">
        <v>1536</v>
      </c>
      <c r="F387" t="s">
        <v>1751</v>
      </c>
      <c r="G387" s="37" t="s">
        <v>11</v>
      </c>
      <c r="H387" s="37" t="s">
        <v>13</v>
      </c>
      <c r="I387" t="s">
        <v>16</v>
      </c>
      <c r="J387" t="s">
        <v>1570</v>
      </c>
      <c r="K387" t="s">
        <v>1571</v>
      </c>
      <c r="L387" s="28" t="s">
        <v>3005</v>
      </c>
      <c r="M387">
        <v>1.1000000000000001</v>
      </c>
      <c r="N387" t="s">
        <v>1641</v>
      </c>
      <c r="O387">
        <v>2.48</v>
      </c>
      <c r="P387" t="s">
        <v>1567</v>
      </c>
      <c r="Q387">
        <v>85.5</v>
      </c>
      <c r="R387" t="s">
        <v>1550</v>
      </c>
      <c r="V387" t="s">
        <v>1648</v>
      </c>
    </row>
    <row r="388" spans="1:22" hidden="1" x14ac:dyDescent="0.25">
      <c r="A388">
        <v>2024</v>
      </c>
      <c r="B388" t="s">
        <v>1537</v>
      </c>
      <c r="C388" t="s">
        <v>756</v>
      </c>
      <c r="D388" t="s">
        <v>1536</v>
      </c>
      <c r="F388" t="s">
        <v>1751</v>
      </c>
      <c r="G388" s="37" t="s">
        <v>11</v>
      </c>
      <c r="H388" s="37" t="s">
        <v>13</v>
      </c>
      <c r="I388" t="s">
        <v>16</v>
      </c>
      <c r="J388" t="s">
        <v>1570</v>
      </c>
      <c r="K388" t="s">
        <v>1572</v>
      </c>
      <c r="L388" s="28" t="s">
        <v>3005</v>
      </c>
      <c r="M388">
        <v>1.3</v>
      </c>
      <c r="N388" t="s">
        <v>1641</v>
      </c>
      <c r="O388">
        <v>2.76</v>
      </c>
      <c r="P388" t="s">
        <v>1567</v>
      </c>
      <c r="Q388">
        <v>114.2</v>
      </c>
      <c r="R388" t="s">
        <v>1550</v>
      </c>
      <c r="V388" t="s">
        <v>1648</v>
      </c>
    </row>
    <row r="389" spans="1:22" hidden="1" x14ac:dyDescent="0.25">
      <c r="A389">
        <v>2024</v>
      </c>
      <c r="B389" t="s">
        <v>772</v>
      </c>
      <c r="C389" t="s">
        <v>73</v>
      </c>
      <c r="D389" t="s">
        <v>74</v>
      </c>
      <c r="E389" t="s">
        <v>1276</v>
      </c>
      <c r="G389" s="37" t="s">
        <v>11</v>
      </c>
      <c r="H389" s="37" t="s">
        <v>13</v>
      </c>
      <c r="I389" t="s">
        <v>64</v>
      </c>
      <c r="J389" t="s">
        <v>1564</v>
      </c>
      <c r="K389" t="s">
        <v>1565</v>
      </c>
      <c r="L389" s="28" t="s">
        <v>3005</v>
      </c>
      <c r="M389">
        <v>1080</v>
      </c>
      <c r="N389" t="s">
        <v>1566</v>
      </c>
      <c r="O389">
        <v>8.64</v>
      </c>
      <c r="P389" t="s">
        <v>1567</v>
      </c>
      <c r="Q389">
        <v>300</v>
      </c>
      <c r="R389" t="s">
        <v>1550</v>
      </c>
      <c r="V389" t="s">
        <v>1923</v>
      </c>
    </row>
    <row r="390" spans="1:22" hidden="1" x14ac:dyDescent="0.25">
      <c r="A390">
        <v>2024</v>
      </c>
      <c r="B390" t="s">
        <v>772</v>
      </c>
      <c r="C390" t="s">
        <v>73</v>
      </c>
      <c r="D390" t="s">
        <v>74</v>
      </c>
      <c r="E390" t="s">
        <v>1276</v>
      </c>
      <c r="G390" s="37" t="s">
        <v>11</v>
      </c>
      <c r="H390" s="37" t="s">
        <v>13</v>
      </c>
      <c r="I390" t="s">
        <v>64</v>
      </c>
      <c r="J390" t="s">
        <v>1564</v>
      </c>
      <c r="K390" t="s">
        <v>1574</v>
      </c>
      <c r="L390" s="28" t="s">
        <v>3005</v>
      </c>
      <c r="M390">
        <v>2976</v>
      </c>
      <c r="N390" t="s">
        <v>1566</v>
      </c>
      <c r="O390">
        <v>7.35</v>
      </c>
      <c r="P390" t="s">
        <v>1567</v>
      </c>
      <c r="Q390">
        <v>704</v>
      </c>
      <c r="R390" t="s">
        <v>1550</v>
      </c>
      <c r="V390" t="s">
        <v>1923</v>
      </c>
    </row>
    <row r="391" spans="1:22" hidden="1" x14ac:dyDescent="0.25">
      <c r="A391">
        <v>2024</v>
      </c>
      <c r="B391" t="s">
        <v>772</v>
      </c>
      <c r="C391" t="s">
        <v>73</v>
      </c>
      <c r="D391" t="s">
        <v>74</v>
      </c>
      <c r="E391" t="s">
        <v>1276</v>
      </c>
      <c r="G391" s="37" t="s">
        <v>11</v>
      </c>
      <c r="H391" s="37" t="s">
        <v>13</v>
      </c>
      <c r="I391" t="s">
        <v>64</v>
      </c>
      <c r="J391" t="s">
        <v>1570</v>
      </c>
      <c r="K391" t="s">
        <v>1571</v>
      </c>
      <c r="L391" s="28" t="s">
        <v>3005</v>
      </c>
      <c r="M391">
        <v>1061</v>
      </c>
      <c r="N391" t="s">
        <v>1566</v>
      </c>
      <c r="O391">
        <v>9.17</v>
      </c>
      <c r="P391" t="s">
        <v>1567</v>
      </c>
      <c r="Q391">
        <v>313</v>
      </c>
      <c r="R391" t="s">
        <v>1550</v>
      </c>
      <c r="V391" t="s">
        <v>1923</v>
      </c>
    </row>
    <row r="392" spans="1:22" hidden="1" x14ac:dyDescent="0.25">
      <c r="A392">
        <v>2024</v>
      </c>
      <c r="B392" t="s">
        <v>772</v>
      </c>
      <c r="C392" t="s">
        <v>73</v>
      </c>
      <c r="D392" t="s">
        <v>74</v>
      </c>
      <c r="E392" t="s">
        <v>1276</v>
      </c>
      <c r="G392" s="37" t="s">
        <v>11</v>
      </c>
      <c r="H392" s="37" t="s">
        <v>13</v>
      </c>
      <c r="I392" t="s">
        <v>64</v>
      </c>
      <c r="J392" t="s">
        <v>1570</v>
      </c>
      <c r="K392" t="s">
        <v>1572</v>
      </c>
      <c r="L392" s="28" t="s">
        <v>3005</v>
      </c>
      <c r="M392">
        <v>5627</v>
      </c>
      <c r="N392" t="s">
        <v>1566</v>
      </c>
      <c r="O392">
        <v>7.75</v>
      </c>
      <c r="P392" t="s">
        <v>1567</v>
      </c>
      <c r="Q392">
        <v>1402</v>
      </c>
      <c r="R392" t="s">
        <v>1550</v>
      </c>
      <c r="V392" t="s">
        <v>1923</v>
      </c>
    </row>
    <row r="393" spans="1:22" hidden="1" x14ac:dyDescent="0.25">
      <c r="A393">
        <v>2024</v>
      </c>
      <c r="B393" t="s">
        <v>772</v>
      </c>
      <c r="C393" t="s">
        <v>73</v>
      </c>
      <c r="D393" t="s">
        <v>74</v>
      </c>
      <c r="E393" t="s">
        <v>1276</v>
      </c>
      <c r="G393" s="37" t="s">
        <v>11</v>
      </c>
      <c r="H393" s="37" t="s">
        <v>13</v>
      </c>
      <c r="I393" t="s">
        <v>64</v>
      </c>
      <c r="J393" t="s">
        <v>1570</v>
      </c>
      <c r="K393" t="s">
        <v>1573</v>
      </c>
      <c r="L393" s="28" t="s">
        <v>3005</v>
      </c>
      <c r="M393">
        <v>4369</v>
      </c>
      <c r="N393" t="s">
        <v>1566</v>
      </c>
      <c r="O393">
        <v>12.83</v>
      </c>
      <c r="P393" t="s">
        <v>1567</v>
      </c>
      <c r="Q393">
        <v>1802</v>
      </c>
      <c r="R393" t="s">
        <v>1550</v>
      </c>
      <c r="V393" t="s">
        <v>1923</v>
      </c>
    </row>
    <row r="394" spans="1:22" hidden="1" x14ac:dyDescent="0.25">
      <c r="A394">
        <v>2024</v>
      </c>
      <c r="B394" t="s">
        <v>772</v>
      </c>
      <c r="C394" t="s">
        <v>736</v>
      </c>
      <c r="D394" t="s">
        <v>26</v>
      </c>
      <c r="E394" t="s">
        <v>1135</v>
      </c>
      <c r="G394" s="37" t="s">
        <v>11</v>
      </c>
      <c r="H394" s="37" t="s">
        <v>13</v>
      </c>
      <c r="I394" t="s">
        <v>16</v>
      </c>
      <c r="J394" t="s">
        <v>1564</v>
      </c>
      <c r="K394" t="s">
        <v>1600</v>
      </c>
      <c r="L394" s="28" t="s">
        <v>3005</v>
      </c>
      <c r="M394">
        <v>41756</v>
      </c>
      <c r="N394" t="s">
        <v>1566</v>
      </c>
      <c r="O394">
        <v>2.2599999999999998</v>
      </c>
      <c r="P394" t="s">
        <v>1567</v>
      </c>
      <c r="Q394">
        <v>3030</v>
      </c>
      <c r="R394" t="s">
        <v>1550</v>
      </c>
      <c r="V394" t="s">
        <v>1601</v>
      </c>
    </row>
    <row r="395" spans="1:22" hidden="1" x14ac:dyDescent="0.25">
      <c r="A395">
        <v>2024</v>
      </c>
      <c r="B395" t="s">
        <v>772</v>
      </c>
      <c r="C395" t="s">
        <v>736</v>
      </c>
      <c r="D395" t="s">
        <v>26</v>
      </c>
      <c r="E395" t="s">
        <v>1135</v>
      </c>
      <c r="G395" s="37" t="s">
        <v>11</v>
      </c>
      <c r="H395" s="37" t="s">
        <v>13</v>
      </c>
      <c r="I395" t="s">
        <v>16</v>
      </c>
      <c r="J395" t="s">
        <v>1570</v>
      </c>
      <c r="K395" t="s">
        <v>1602</v>
      </c>
      <c r="L395" s="28" t="s">
        <v>3005</v>
      </c>
      <c r="M395">
        <v>12825</v>
      </c>
      <c r="N395" t="s">
        <v>1566</v>
      </c>
      <c r="O395">
        <v>2.87</v>
      </c>
      <c r="P395" t="s">
        <v>1567</v>
      </c>
      <c r="Q395">
        <v>1186</v>
      </c>
      <c r="R395" t="s">
        <v>1550</v>
      </c>
      <c r="V395" t="s">
        <v>1601</v>
      </c>
    </row>
  </sheetData>
  <autoFilter ref="A1:V395" xr:uid="{23E743C8-D14E-44FA-A271-4453D39FC361}">
    <filterColumn colId="8">
      <filters>
        <filter val="Uranium"/>
      </filters>
    </filterColumn>
    <sortState xmlns:xlrd2="http://schemas.microsoft.com/office/spreadsheetml/2017/richdata2" ref="A2:V395">
      <sortCondition ref="D1:D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51"/>
  <sheetViews>
    <sheetView workbookViewId="0">
      <selection activeCell="K28" sqref="K28"/>
    </sheetView>
  </sheetViews>
  <sheetFormatPr baseColWidth="10" defaultColWidth="8.7109375" defaultRowHeight="15" x14ac:dyDescent="0.25"/>
  <cols>
    <col min="1" max="1" width="6.85546875" bestFit="1" customWidth="1"/>
    <col min="2" max="2" width="12" bestFit="1" customWidth="1"/>
    <col min="3" max="3" width="10" bestFit="1" customWidth="1"/>
    <col min="4" max="4" width="26.5703125" customWidth="1"/>
    <col min="5" max="5" width="29" bestFit="1" customWidth="1"/>
    <col min="6" max="6" width="18" bestFit="1" customWidth="1"/>
    <col min="7" max="7" width="17.42578125" bestFit="1" customWidth="1"/>
    <col min="8" max="9" width="13.5703125" bestFit="1" customWidth="1"/>
    <col min="10" max="10" width="31.42578125" bestFit="1" customWidth="1"/>
    <col min="11" max="11" width="47.85546875" bestFit="1" customWidth="1"/>
    <col min="12" max="12" width="12.85546875" bestFit="1" customWidth="1"/>
    <col min="13" max="13" width="16.85546875" bestFit="1" customWidth="1"/>
    <col min="14" max="14" width="16.140625" bestFit="1" customWidth="1"/>
    <col min="15" max="15" width="9.85546875" bestFit="1" customWidth="1"/>
    <col min="16" max="16" width="9.42578125" bestFit="1" customWidth="1"/>
    <col min="17" max="17" width="12" bestFit="1" customWidth="1"/>
    <col min="18" max="18" width="26.140625" bestFit="1" customWidth="1"/>
    <col min="19" max="19" width="151.85546875" bestFit="1" customWidth="1"/>
    <col min="20" max="20" width="11.42578125" bestFit="1" customWidth="1"/>
  </cols>
  <sheetData>
    <row r="1" spans="1:22" x14ac:dyDescent="0.25">
      <c r="A1" s="6" t="s">
        <v>1538</v>
      </c>
      <c r="B1" s="6" t="s">
        <v>1539</v>
      </c>
      <c r="C1" s="6" t="s">
        <v>2898</v>
      </c>
      <c r="D1" s="7" t="s">
        <v>0</v>
      </c>
      <c r="E1" s="6" t="s">
        <v>1653</v>
      </c>
      <c r="F1" s="6" t="s">
        <v>2</v>
      </c>
      <c r="G1" s="6" t="s">
        <v>2012</v>
      </c>
      <c r="H1" s="6" t="s">
        <v>2010</v>
      </c>
      <c r="I1" s="6" t="s">
        <v>4</v>
      </c>
      <c r="J1" s="6" t="s">
        <v>6</v>
      </c>
      <c r="K1" s="6" t="s">
        <v>1777</v>
      </c>
      <c r="L1" s="6" t="s">
        <v>1540</v>
      </c>
      <c r="M1" s="6" t="s">
        <v>2481</v>
      </c>
      <c r="N1" s="6" t="s">
        <v>1541</v>
      </c>
      <c r="O1" s="6" t="s">
        <v>3003</v>
      </c>
      <c r="P1" s="6" t="s">
        <v>1542</v>
      </c>
      <c r="Q1" s="44" t="s">
        <v>2482</v>
      </c>
      <c r="R1" s="6" t="s">
        <v>7</v>
      </c>
      <c r="S1" s="6" t="s">
        <v>1543</v>
      </c>
    </row>
    <row r="2" spans="1:22" x14ac:dyDescent="0.25">
      <c r="A2">
        <v>2022</v>
      </c>
      <c r="B2" t="s">
        <v>772</v>
      </c>
      <c r="C2" t="s">
        <v>2899</v>
      </c>
      <c r="D2" t="s">
        <v>795</v>
      </c>
      <c r="E2" t="s">
        <v>162</v>
      </c>
      <c r="F2" t="s">
        <v>1192</v>
      </c>
      <c r="H2" t="s">
        <v>1993</v>
      </c>
      <c r="I2" t="s">
        <v>11</v>
      </c>
      <c r="J2" t="s">
        <v>34</v>
      </c>
      <c r="K2" t="s">
        <v>157</v>
      </c>
      <c r="L2" t="s">
        <v>157</v>
      </c>
      <c r="M2" t="s">
        <v>2990</v>
      </c>
      <c r="N2" t="s">
        <v>1775</v>
      </c>
      <c r="O2" t="s">
        <v>3004</v>
      </c>
      <c r="P2" t="s">
        <v>1589</v>
      </c>
      <c r="Q2" s="31">
        <v>66.2</v>
      </c>
      <c r="S2" t="s">
        <v>2476</v>
      </c>
      <c r="U2" s="10"/>
    </row>
    <row r="3" spans="1:22" x14ac:dyDescent="0.25">
      <c r="A3">
        <v>2023</v>
      </c>
      <c r="B3" t="s">
        <v>772</v>
      </c>
      <c r="C3" t="s">
        <v>2899</v>
      </c>
      <c r="D3" t="s">
        <v>39</v>
      </c>
      <c r="E3" t="s">
        <v>77</v>
      </c>
      <c r="F3" t="s">
        <v>1323</v>
      </c>
      <c r="H3" t="s">
        <v>2133</v>
      </c>
      <c r="I3" t="s">
        <v>11</v>
      </c>
      <c r="J3" t="s">
        <v>13</v>
      </c>
      <c r="K3" t="s">
        <v>64</v>
      </c>
      <c r="L3" t="s">
        <v>1772</v>
      </c>
      <c r="M3" t="s">
        <v>2989</v>
      </c>
      <c r="N3" t="s">
        <v>1595</v>
      </c>
      <c r="O3" t="s">
        <v>3004</v>
      </c>
      <c r="P3" t="s">
        <v>1567</v>
      </c>
      <c r="Q3" s="49">
        <v>5.6849999999999996</v>
      </c>
      <c r="S3" t="s">
        <v>1593</v>
      </c>
    </row>
    <row r="4" spans="1:22" x14ac:dyDescent="0.25">
      <c r="A4">
        <v>2023</v>
      </c>
      <c r="B4" t="s">
        <v>772</v>
      </c>
      <c r="C4" t="s">
        <v>2899</v>
      </c>
      <c r="D4" t="s">
        <v>39</v>
      </c>
      <c r="E4" t="s">
        <v>77</v>
      </c>
      <c r="F4" t="s">
        <v>1323</v>
      </c>
      <c r="H4" t="s">
        <v>2133</v>
      </c>
      <c r="I4" t="s">
        <v>11</v>
      </c>
      <c r="J4" t="s">
        <v>13</v>
      </c>
      <c r="K4" t="s">
        <v>64</v>
      </c>
      <c r="L4" t="s">
        <v>1772</v>
      </c>
      <c r="M4" t="s">
        <v>2989</v>
      </c>
      <c r="N4" t="s">
        <v>1599</v>
      </c>
      <c r="O4" t="s">
        <v>3004</v>
      </c>
      <c r="P4" t="s">
        <v>1589</v>
      </c>
      <c r="Q4" s="49">
        <v>96</v>
      </c>
      <c r="S4" t="s">
        <v>1593</v>
      </c>
    </row>
    <row r="5" spans="1:22" x14ac:dyDescent="0.25">
      <c r="A5">
        <v>2023</v>
      </c>
      <c r="B5" t="s">
        <v>772</v>
      </c>
      <c r="C5" t="s">
        <v>2899</v>
      </c>
      <c r="D5" t="s">
        <v>14</v>
      </c>
      <c r="E5" t="s">
        <v>65</v>
      </c>
      <c r="F5" t="s">
        <v>1125</v>
      </c>
      <c r="H5" t="s">
        <v>2016</v>
      </c>
      <c r="I5" t="s">
        <v>11</v>
      </c>
      <c r="J5" t="s">
        <v>19</v>
      </c>
      <c r="K5" t="s">
        <v>64</v>
      </c>
      <c r="L5" t="s">
        <v>1772</v>
      </c>
      <c r="M5" t="s">
        <v>2989</v>
      </c>
      <c r="N5" t="s">
        <v>1776</v>
      </c>
      <c r="O5" t="s">
        <v>3162</v>
      </c>
      <c r="P5" t="s">
        <v>2921</v>
      </c>
      <c r="Q5" s="46">
        <v>1.0001405976077076</v>
      </c>
      <c r="R5" t="s">
        <v>3163</v>
      </c>
      <c r="S5" t="s">
        <v>1547</v>
      </c>
    </row>
    <row r="6" spans="1:22" x14ac:dyDescent="0.25">
      <c r="A6">
        <v>2023</v>
      </c>
      <c r="B6" t="s">
        <v>772</v>
      </c>
      <c r="C6" t="s">
        <v>2899</v>
      </c>
      <c r="D6" t="s">
        <v>14</v>
      </c>
      <c r="E6" t="s">
        <v>65</v>
      </c>
      <c r="F6" t="s">
        <v>1125</v>
      </c>
      <c r="H6" t="s">
        <v>2016</v>
      </c>
      <c r="I6" t="s">
        <v>11</v>
      </c>
      <c r="J6" t="s">
        <v>19</v>
      </c>
      <c r="K6" t="s">
        <v>64</v>
      </c>
      <c r="L6" t="s">
        <v>16</v>
      </c>
      <c r="M6" t="s">
        <v>2989</v>
      </c>
      <c r="N6" t="s">
        <v>1731</v>
      </c>
      <c r="O6" t="s">
        <v>3004</v>
      </c>
      <c r="P6" t="s">
        <v>1567</v>
      </c>
      <c r="Q6" s="45">
        <v>1.17</v>
      </c>
      <c r="S6" t="s">
        <v>2974</v>
      </c>
    </row>
    <row r="7" spans="1:22" x14ac:dyDescent="0.25">
      <c r="A7">
        <v>2023</v>
      </c>
      <c r="B7" t="s">
        <v>772</v>
      </c>
      <c r="C7" t="s">
        <v>2899</v>
      </c>
      <c r="D7" t="s">
        <v>14</v>
      </c>
      <c r="E7" t="s">
        <v>65</v>
      </c>
      <c r="F7" t="s">
        <v>1125</v>
      </c>
      <c r="H7" t="s">
        <v>2016</v>
      </c>
      <c r="I7" t="s">
        <v>11</v>
      </c>
      <c r="J7" t="s">
        <v>19</v>
      </c>
      <c r="K7" t="s">
        <v>64</v>
      </c>
      <c r="L7" t="s">
        <v>16</v>
      </c>
      <c r="M7" t="s">
        <v>2989</v>
      </c>
      <c r="N7" t="s">
        <v>1712</v>
      </c>
      <c r="O7" t="s">
        <v>3004</v>
      </c>
      <c r="P7" t="s">
        <v>1589</v>
      </c>
      <c r="Q7" s="47">
        <v>92.8</v>
      </c>
      <c r="R7" s="46"/>
      <c r="S7" t="s">
        <v>2974</v>
      </c>
    </row>
    <row r="8" spans="1:22" x14ac:dyDescent="0.25">
      <c r="A8">
        <v>2024</v>
      </c>
      <c r="B8" t="s">
        <v>772</v>
      </c>
      <c r="C8" t="s">
        <v>2899</v>
      </c>
      <c r="D8" t="s">
        <v>8</v>
      </c>
      <c r="E8" t="s">
        <v>72</v>
      </c>
      <c r="F8" t="s">
        <v>1263</v>
      </c>
      <c r="H8" t="s">
        <v>1895</v>
      </c>
      <c r="I8" t="s">
        <v>11</v>
      </c>
      <c r="J8" t="s">
        <v>23</v>
      </c>
      <c r="K8" t="s">
        <v>64</v>
      </c>
      <c r="L8" t="s">
        <v>16</v>
      </c>
      <c r="M8" t="s">
        <v>2989</v>
      </c>
      <c r="N8" t="s">
        <v>1731</v>
      </c>
      <c r="O8" t="s">
        <v>3004</v>
      </c>
      <c r="P8" t="s">
        <v>1567</v>
      </c>
      <c r="Q8" s="31">
        <v>2.5099999999999998</v>
      </c>
      <c r="R8" s="49"/>
      <c r="S8" t="s">
        <v>973</v>
      </c>
    </row>
    <row r="9" spans="1:22" x14ac:dyDescent="0.25">
      <c r="A9">
        <v>2023</v>
      </c>
      <c r="B9" t="s">
        <v>772</v>
      </c>
      <c r="C9" t="s">
        <v>2899</v>
      </c>
      <c r="D9" t="s">
        <v>719</v>
      </c>
      <c r="E9" t="s">
        <v>190</v>
      </c>
      <c r="F9" t="s">
        <v>1420</v>
      </c>
      <c r="G9" t="s">
        <v>2193</v>
      </c>
      <c r="H9" t="s">
        <v>2191</v>
      </c>
      <c r="I9" t="s">
        <v>11</v>
      </c>
      <c r="J9" t="s">
        <v>21</v>
      </c>
      <c r="K9" t="s">
        <v>189</v>
      </c>
      <c r="L9" t="s">
        <v>557</v>
      </c>
      <c r="M9" t="s">
        <v>2989</v>
      </c>
      <c r="N9" t="s">
        <v>1731</v>
      </c>
      <c r="O9" t="s">
        <v>3004</v>
      </c>
      <c r="P9" t="s">
        <v>1589</v>
      </c>
      <c r="Q9" s="31">
        <v>1.17</v>
      </c>
      <c r="R9" s="46"/>
      <c r="S9" t="s">
        <v>3205</v>
      </c>
    </row>
    <row r="10" spans="1:22" x14ac:dyDescent="0.25">
      <c r="A10">
        <v>2023</v>
      </c>
      <c r="B10" t="s">
        <v>772</v>
      </c>
      <c r="C10" t="s">
        <v>2899</v>
      </c>
      <c r="D10" t="s">
        <v>719</v>
      </c>
      <c r="E10" t="s">
        <v>190</v>
      </c>
      <c r="F10" t="s">
        <v>1420</v>
      </c>
      <c r="G10" t="s">
        <v>2193</v>
      </c>
      <c r="H10" t="s">
        <v>2191</v>
      </c>
      <c r="I10" t="s">
        <v>11</v>
      </c>
      <c r="J10" t="s">
        <v>21</v>
      </c>
      <c r="K10" t="s">
        <v>189</v>
      </c>
      <c r="L10" t="s">
        <v>125</v>
      </c>
      <c r="M10" t="s">
        <v>2989</v>
      </c>
      <c r="N10" t="s">
        <v>1731</v>
      </c>
      <c r="O10" t="s">
        <v>3004</v>
      </c>
      <c r="P10" t="s">
        <v>1589</v>
      </c>
      <c r="Q10" s="31">
        <v>1.35</v>
      </c>
      <c r="R10" s="46"/>
      <c r="S10" t="s">
        <v>3205</v>
      </c>
    </row>
    <row r="11" spans="1:22" x14ac:dyDescent="0.25">
      <c r="A11">
        <v>2023</v>
      </c>
      <c r="B11" t="s">
        <v>772</v>
      </c>
      <c r="C11" t="s">
        <v>2899</v>
      </c>
      <c r="D11" t="s">
        <v>717</v>
      </c>
      <c r="E11" t="s">
        <v>132</v>
      </c>
      <c r="F11" t="s">
        <v>1270</v>
      </c>
      <c r="H11" t="s">
        <v>1848</v>
      </c>
      <c r="I11" t="s">
        <v>11</v>
      </c>
      <c r="J11" t="s">
        <v>21</v>
      </c>
      <c r="K11" t="s">
        <v>130</v>
      </c>
      <c r="L11" t="s">
        <v>1549</v>
      </c>
      <c r="M11" t="s">
        <v>2989</v>
      </c>
      <c r="N11" t="s">
        <v>1731</v>
      </c>
      <c r="O11" t="s">
        <v>3004</v>
      </c>
      <c r="P11" t="s">
        <v>1567</v>
      </c>
      <c r="Q11" s="31">
        <v>1.36</v>
      </c>
      <c r="S11" t="s">
        <v>1773</v>
      </c>
      <c r="U11" s="31"/>
      <c r="V11" s="10"/>
    </row>
    <row r="12" spans="1:22" x14ac:dyDescent="0.25">
      <c r="A12">
        <v>2023</v>
      </c>
      <c r="B12" t="s">
        <v>772</v>
      </c>
      <c r="C12" t="s">
        <v>2899</v>
      </c>
      <c r="D12" t="s">
        <v>717</v>
      </c>
      <c r="E12" t="s">
        <v>132</v>
      </c>
      <c r="F12" t="s">
        <v>1270</v>
      </c>
      <c r="H12" t="s">
        <v>1848</v>
      </c>
      <c r="I12" t="s">
        <v>11</v>
      </c>
      <c r="J12" t="s">
        <v>21</v>
      </c>
      <c r="K12" t="s">
        <v>130</v>
      </c>
      <c r="L12" t="s">
        <v>1549</v>
      </c>
      <c r="M12" t="s">
        <v>2989</v>
      </c>
      <c r="N12" t="s">
        <v>1712</v>
      </c>
      <c r="O12" t="s">
        <v>3004</v>
      </c>
      <c r="P12" t="s">
        <v>1589</v>
      </c>
      <c r="Q12" s="31">
        <v>73</v>
      </c>
      <c r="R12" t="s">
        <v>2978</v>
      </c>
      <c r="S12" t="s">
        <v>1773</v>
      </c>
    </row>
    <row r="13" spans="1:22" x14ac:dyDescent="0.25">
      <c r="A13">
        <v>2023</v>
      </c>
      <c r="B13" t="s">
        <v>772</v>
      </c>
      <c r="C13" t="s">
        <v>2899</v>
      </c>
      <c r="D13" t="s">
        <v>717</v>
      </c>
      <c r="E13" t="s">
        <v>132</v>
      </c>
      <c r="F13" t="s">
        <v>1270</v>
      </c>
      <c r="H13" t="s">
        <v>1848</v>
      </c>
      <c r="I13" t="s">
        <v>11</v>
      </c>
      <c r="J13" t="s">
        <v>21</v>
      </c>
      <c r="K13" t="s">
        <v>130</v>
      </c>
      <c r="L13" t="s">
        <v>1772</v>
      </c>
      <c r="M13" t="s">
        <v>2988</v>
      </c>
      <c r="N13" t="s">
        <v>1776</v>
      </c>
      <c r="O13" t="s">
        <v>3004</v>
      </c>
      <c r="P13" t="s">
        <v>2921</v>
      </c>
      <c r="Q13" s="31">
        <v>3.82</v>
      </c>
      <c r="R13" t="s">
        <v>2978</v>
      </c>
      <c r="S13" t="s">
        <v>1773</v>
      </c>
    </row>
    <row r="14" spans="1:22" x14ac:dyDescent="0.25">
      <c r="A14">
        <v>2023</v>
      </c>
      <c r="B14" t="s">
        <v>772</v>
      </c>
      <c r="C14" t="s">
        <v>2899</v>
      </c>
      <c r="D14" t="s">
        <v>717</v>
      </c>
      <c r="E14" t="s">
        <v>132</v>
      </c>
      <c r="F14" t="s">
        <v>1270</v>
      </c>
      <c r="H14" t="s">
        <v>1848</v>
      </c>
      <c r="I14" t="s">
        <v>11</v>
      </c>
      <c r="J14" t="s">
        <v>21</v>
      </c>
      <c r="K14" t="s">
        <v>130</v>
      </c>
      <c r="L14" t="s">
        <v>16</v>
      </c>
      <c r="M14" t="s">
        <v>2989</v>
      </c>
      <c r="N14" t="s">
        <v>1731</v>
      </c>
      <c r="O14" t="s">
        <v>3004</v>
      </c>
      <c r="P14" t="s">
        <v>1567</v>
      </c>
      <c r="Q14" s="31">
        <v>7.0000000000000007E-2</v>
      </c>
      <c r="S14" t="s">
        <v>1773</v>
      </c>
      <c r="T14" s="31"/>
      <c r="U14" s="10"/>
    </row>
    <row r="15" spans="1:22" x14ac:dyDescent="0.25">
      <c r="A15">
        <v>2023</v>
      </c>
      <c r="B15" t="s">
        <v>772</v>
      </c>
      <c r="C15" t="s">
        <v>2899</v>
      </c>
      <c r="D15" t="s">
        <v>717</v>
      </c>
      <c r="E15" t="s">
        <v>132</v>
      </c>
      <c r="F15" t="s">
        <v>1270</v>
      </c>
      <c r="H15" t="s">
        <v>1848</v>
      </c>
      <c r="I15" t="s">
        <v>11</v>
      </c>
      <c r="J15" t="s">
        <v>21</v>
      </c>
      <c r="K15" t="s">
        <v>130</v>
      </c>
      <c r="L15" t="s">
        <v>16</v>
      </c>
      <c r="M15" t="s">
        <v>2989</v>
      </c>
      <c r="N15" t="s">
        <v>1712</v>
      </c>
      <c r="O15" t="s">
        <v>3004</v>
      </c>
      <c r="P15" t="s">
        <v>1589</v>
      </c>
      <c r="Q15" s="31">
        <v>55.9</v>
      </c>
      <c r="R15" t="s">
        <v>2978</v>
      </c>
      <c r="S15" t="s">
        <v>1773</v>
      </c>
      <c r="T15" s="31"/>
      <c r="U15" s="10"/>
    </row>
    <row r="16" spans="1:22" x14ac:dyDescent="0.25">
      <c r="A16">
        <v>2023</v>
      </c>
      <c r="B16" t="s">
        <v>772</v>
      </c>
      <c r="C16" t="s">
        <v>2899</v>
      </c>
      <c r="D16" t="s">
        <v>717</v>
      </c>
      <c r="E16" t="s">
        <v>132</v>
      </c>
      <c r="F16" t="s">
        <v>1270</v>
      </c>
      <c r="H16" t="s">
        <v>1848</v>
      </c>
      <c r="I16" t="s">
        <v>11</v>
      </c>
      <c r="J16" t="s">
        <v>21</v>
      </c>
      <c r="K16" t="s">
        <v>130</v>
      </c>
      <c r="L16" t="s">
        <v>125</v>
      </c>
      <c r="M16" t="s">
        <v>2989</v>
      </c>
      <c r="N16" t="s">
        <v>1731</v>
      </c>
      <c r="O16" t="s">
        <v>3004</v>
      </c>
      <c r="P16" t="s">
        <v>1589</v>
      </c>
      <c r="Q16" s="31">
        <v>0.35</v>
      </c>
      <c r="R16" t="s">
        <v>2978</v>
      </c>
      <c r="S16" t="s">
        <v>1773</v>
      </c>
      <c r="T16" s="31"/>
      <c r="U16" s="10"/>
    </row>
    <row r="17" spans="1:22" x14ac:dyDescent="0.25">
      <c r="A17">
        <v>2023</v>
      </c>
      <c r="B17" t="s">
        <v>772</v>
      </c>
      <c r="C17" t="s">
        <v>2899</v>
      </c>
      <c r="D17" t="s">
        <v>717</v>
      </c>
      <c r="E17" t="s">
        <v>132</v>
      </c>
      <c r="F17" t="s">
        <v>1270</v>
      </c>
      <c r="H17" t="s">
        <v>1848</v>
      </c>
      <c r="I17" t="s">
        <v>11</v>
      </c>
      <c r="J17" t="s">
        <v>21</v>
      </c>
      <c r="K17" t="s">
        <v>130</v>
      </c>
      <c r="L17" t="s">
        <v>125</v>
      </c>
      <c r="M17" t="s">
        <v>2989</v>
      </c>
      <c r="N17" t="s">
        <v>1712</v>
      </c>
      <c r="O17" t="s">
        <v>3004</v>
      </c>
      <c r="P17" t="s">
        <v>1589</v>
      </c>
      <c r="Q17" s="31">
        <v>79.7</v>
      </c>
      <c r="R17" t="s">
        <v>2978</v>
      </c>
      <c r="S17" t="s">
        <v>1773</v>
      </c>
      <c r="T17" s="31"/>
      <c r="U17" s="10"/>
    </row>
    <row r="18" spans="1:22" x14ac:dyDescent="0.25">
      <c r="A18">
        <v>2023</v>
      </c>
      <c r="B18" t="s">
        <v>772</v>
      </c>
      <c r="C18" t="s">
        <v>2899</v>
      </c>
      <c r="D18" t="s">
        <v>717</v>
      </c>
      <c r="E18" t="s">
        <v>132</v>
      </c>
      <c r="F18" t="s">
        <v>1270</v>
      </c>
      <c r="H18" t="s">
        <v>1848</v>
      </c>
      <c r="I18" t="s">
        <v>11</v>
      </c>
      <c r="J18" t="s">
        <v>21</v>
      </c>
      <c r="K18" t="s">
        <v>130</v>
      </c>
      <c r="L18" t="s">
        <v>125</v>
      </c>
      <c r="M18" t="s">
        <v>2990</v>
      </c>
      <c r="N18" t="s">
        <v>1775</v>
      </c>
      <c r="O18" t="s">
        <v>3004</v>
      </c>
      <c r="P18" t="s">
        <v>1589</v>
      </c>
      <c r="Q18" s="31">
        <v>23.1</v>
      </c>
      <c r="R18" t="s">
        <v>2978</v>
      </c>
      <c r="S18" t="s">
        <v>1773</v>
      </c>
      <c r="T18" s="31"/>
      <c r="U18" s="10"/>
    </row>
    <row r="19" spans="1:22" x14ac:dyDescent="0.25">
      <c r="A19">
        <v>2023</v>
      </c>
      <c r="B19" t="s">
        <v>772</v>
      </c>
      <c r="C19" t="s">
        <v>2899</v>
      </c>
      <c r="D19" t="s">
        <v>719</v>
      </c>
      <c r="E19" t="s">
        <v>193</v>
      </c>
      <c r="F19" t="s">
        <v>1422</v>
      </c>
      <c r="G19" t="s">
        <v>2193</v>
      </c>
      <c r="H19" t="s">
        <v>2191</v>
      </c>
      <c r="I19" t="s">
        <v>11</v>
      </c>
      <c r="J19" t="s">
        <v>44</v>
      </c>
      <c r="K19" t="s">
        <v>189</v>
      </c>
      <c r="L19" t="s">
        <v>557</v>
      </c>
      <c r="M19" t="s">
        <v>2989</v>
      </c>
      <c r="N19" t="s">
        <v>1731</v>
      </c>
      <c r="O19" t="s">
        <v>3004</v>
      </c>
      <c r="P19" t="s">
        <v>1589</v>
      </c>
      <c r="Q19" s="31">
        <v>2.62</v>
      </c>
      <c r="S19" t="s">
        <v>3204</v>
      </c>
      <c r="T19" s="31"/>
      <c r="U19" s="10"/>
    </row>
    <row r="20" spans="1:22" x14ac:dyDescent="0.25">
      <c r="A20">
        <v>2023</v>
      </c>
      <c r="B20" t="s">
        <v>772</v>
      </c>
      <c r="C20" t="s">
        <v>2899</v>
      </c>
      <c r="D20" t="s">
        <v>719</v>
      </c>
      <c r="E20" t="s">
        <v>193</v>
      </c>
      <c r="F20" t="s">
        <v>1422</v>
      </c>
      <c r="G20" t="s">
        <v>2193</v>
      </c>
      <c r="H20" t="s">
        <v>2191</v>
      </c>
      <c r="I20" t="s">
        <v>11</v>
      </c>
      <c r="J20" t="s">
        <v>44</v>
      </c>
      <c r="K20" t="s">
        <v>189</v>
      </c>
      <c r="L20" t="s">
        <v>125</v>
      </c>
      <c r="M20" t="s">
        <v>2989</v>
      </c>
      <c r="N20" t="s">
        <v>1731</v>
      </c>
      <c r="O20" t="s">
        <v>3004</v>
      </c>
      <c r="P20" t="s">
        <v>1589</v>
      </c>
      <c r="Q20" s="31">
        <v>2.17</v>
      </c>
      <c r="S20" t="s">
        <v>3204</v>
      </c>
    </row>
    <row r="21" spans="1:22" x14ac:dyDescent="0.25">
      <c r="A21">
        <v>2023</v>
      </c>
      <c r="B21" t="s">
        <v>772</v>
      </c>
      <c r="C21" t="s">
        <v>2899</v>
      </c>
      <c r="D21" t="s">
        <v>14</v>
      </c>
      <c r="E21" t="s">
        <v>18</v>
      </c>
      <c r="F21" t="s">
        <v>1127</v>
      </c>
      <c r="H21" t="s">
        <v>2016</v>
      </c>
      <c r="I21" t="s">
        <v>11</v>
      </c>
      <c r="J21" t="s">
        <v>19</v>
      </c>
      <c r="K21" t="s">
        <v>16</v>
      </c>
      <c r="L21" t="s">
        <v>1772</v>
      </c>
      <c r="M21" t="s">
        <v>2989</v>
      </c>
      <c r="N21" t="s">
        <v>1776</v>
      </c>
      <c r="O21" t="s">
        <v>3162</v>
      </c>
      <c r="P21" t="s">
        <v>2921</v>
      </c>
      <c r="Q21">
        <v>4.3275814028000141</v>
      </c>
      <c r="R21" t="s">
        <v>3163</v>
      </c>
      <c r="S21" t="s">
        <v>1547</v>
      </c>
    </row>
    <row r="22" spans="1:22" x14ac:dyDescent="0.25">
      <c r="A22">
        <v>2023</v>
      </c>
      <c r="B22" t="s">
        <v>772</v>
      </c>
      <c r="C22" t="s">
        <v>2899</v>
      </c>
      <c r="D22" t="s">
        <v>730</v>
      </c>
      <c r="E22" t="s">
        <v>59</v>
      </c>
      <c r="F22" t="s">
        <v>1439</v>
      </c>
      <c r="H22" t="s">
        <v>2202</v>
      </c>
      <c r="I22" t="s">
        <v>11</v>
      </c>
      <c r="J22" t="s">
        <v>13</v>
      </c>
      <c r="K22" t="s">
        <v>16</v>
      </c>
      <c r="L22" t="s">
        <v>1772</v>
      </c>
      <c r="M22" t="s">
        <v>2989</v>
      </c>
      <c r="N22" t="s">
        <v>1776</v>
      </c>
      <c r="O22" t="s">
        <v>3162</v>
      </c>
      <c r="P22" t="s">
        <v>2921</v>
      </c>
      <c r="Q22">
        <v>0.64937765859486896</v>
      </c>
      <c r="R22" t="s">
        <v>3169</v>
      </c>
      <c r="S22" t="s">
        <v>1729</v>
      </c>
      <c r="T22" s="31"/>
      <c r="U22" s="10"/>
    </row>
    <row r="23" spans="1:22" x14ac:dyDescent="0.25">
      <c r="A23">
        <v>2023</v>
      </c>
      <c r="B23" t="s">
        <v>772</v>
      </c>
      <c r="C23" t="s">
        <v>2899</v>
      </c>
      <c r="D23" t="s">
        <v>730</v>
      </c>
      <c r="E23" t="s">
        <v>59</v>
      </c>
      <c r="F23" t="s">
        <v>1439</v>
      </c>
      <c r="H23" t="s">
        <v>2202</v>
      </c>
      <c r="I23" t="s">
        <v>11</v>
      </c>
      <c r="J23" t="s">
        <v>13</v>
      </c>
      <c r="K23" t="s">
        <v>16</v>
      </c>
      <c r="L23" t="s">
        <v>16</v>
      </c>
      <c r="M23" t="s">
        <v>2989</v>
      </c>
      <c r="N23" t="s">
        <v>1731</v>
      </c>
      <c r="O23" t="s">
        <v>3004</v>
      </c>
      <c r="P23" t="s">
        <v>1567</v>
      </c>
      <c r="Q23" s="31">
        <v>12.6</v>
      </c>
      <c r="S23" t="s">
        <v>1729</v>
      </c>
    </row>
    <row r="24" spans="1:22" x14ac:dyDescent="0.25">
      <c r="A24">
        <v>2023</v>
      </c>
      <c r="B24" t="s">
        <v>772</v>
      </c>
      <c r="C24" t="s">
        <v>2899</v>
      </c>
      <c r="D24" t="s">
        <v>730</v>
      </c>
      <c r="E24" t="s">
        <v>59</v>
      </c>
      <c r="F24" t="s">
        <v>1439</v>
      </c>
      <c r="H24" t="s">
        <v>2202</v>
      </c>
      <c r="I24" t="s">
        <v>11</v>
      </c>
      <c r="J24" t="s">
        <v>13</v>
      </c>
      <c r="K24" t="s">
        <v>16</v>
      </c>
      <c r="L24" t="s">
        <v>16</v>
      </c>
      <c r="M24" t="s">
        <v>2989</v>
      </c>
      <c r="N24" t="s">
        <v>1712</v>
      </c>
      <c r="O24" t="s">
        <v>3004</v>
      </c>
      <c r="P24" t="s">
        <v>1589</v>
      </c>
      <c r="Q24" s="31">
        <v>96.9</v>
      </c>
      <c r="S24" t="s">
        <v>1729</v>
      </c>
    </row>
    <row r="25" spans="1:22" x14ac:dyDescent="0.25">
      <c r="A25">
        <v>2023</v>
      </c>
      <c r="B25" t="s">
        <v>772</v>
      </c>
      <c r="C25" t="s">
        <v>2899</v>
      </c>
      <c r="D25" t="s">
        <v>39</v>
      </c>
      <c r="E25" t="s">
        <v>41</v>
      </c>
      <c r="F25" t="s">
        <v>1316</v>
      </c>
      <c r="H25" t="s">
        <v>2133</v>
      </c>
      <c r="I25" t="s">
        <v>11</v>
      </c>
      <c r="J25" t="s">
        <v>13</v>
      </c>
      <c r="K25" t="s">
        <v>16</v>
      </c>
      <c r="L25" t="s">
        <v>1772</v>
      </c>
      <c r="M25" t="s">
        <v>2989</v>
      </c>
      <c r="N25" t="s">
        <v>1776</v>
      </c>
      <c r="O25" t="s">
        <v>3162</v>
      </c>
      <c r="P25" t="s">
        <v>2921</v>
      </c>
      <c r="Q25">
        <v>0.36170620108368401</v>
      </c>
      <c r="R25" t="s">
        <v>3164</v>
      </c>
      <c r="S25" t="s">
        <v>1593</v>
      </c>
    </row>
    <row r="26" spans="1:22" x14ac:dyDescent="0.25">
      <c r="A26">
        <v>2023</v>
      </c>
      <c r="B26" t="s">
        <v>772</v>
      </c>
      <c r="C26" t="s">
        <v>2899</v>
      </c>
      <c r="D26" t="s">
        <v>39</v>
      </c>
      <c r="E26" t="s">
        <v>41</v>
      </c>
      <c r="F26" t="s">
        <v>1316</v>
      </c>
      <c r="H26" t="s">
        <v>2133</v>
      </c>
      <c r="I26" t="s">
        <v>11</v>
      </c>
      <c r="J26" t="s">
        <v>13</v>
      </c>
      <c r="K26" t="s">
        <v>16</v>
      </c>
      <c r="L26" t="s">
        <v>16</v>
      </c>
      <c r="M26" t="s">
        <v>2989</v>
      </c>
      <c r="N26" t="s">
        <v>1595</v>
      </c>
      <c r="O26" t="s">
        <v>3004</v>
      </c>
      <c r="P26" t="s">
        <v>1567</v>
      </c>
      <c r="Q26" s="31">
        <v>4.7850000000000001</v>
      </c>
      <c r="S26" t="s">
        <v>1593</v>
      </c>
      <c r="U26" s="31"/>
      <c r="V26" s="10"/>
    </row>
    <row r="27" spans="1:22" x14ac:dyDescent="0.25">
      <c r="A27">
        <v>2023</v>
      </c>
      <c r="B27" t="s">
        <v>772</v>
      </c>
      <c r="C27" t="s">
        <v>2899</v>
      </c>
      <c r="D27" t="s">
        <v>39</v>
      </c>
      <c r="E27" t="s">
        <v>41</v>
      </c>
      <c r="F27" t="s">
        <v>1316</v>
      </c>
      <c r="H27" t="s">
        <v>2133</v>
      </c>
      <c r="I27" t="s">
        <v>11</v>
      </c>
      <c r="J27" t="s">
        <v>13</v>
      </c>
      <c r="K27" t="s">
        <v>16</v>
      </c>
      <c r="L27" t="s">
        <v>16</v>
      </c>
      <c r="M27" t="s">
        <v>2989</v>
      </c>
      <c r="N27" t="s">
        <v>1599</v>
      </c>
      <c r="O27" t="s">
        <v>3004</v>
      </c>
      <c r="P27" t="s">
        <v>1589</v>
      </c>
      <c r="Q27" s="31">
        <v>91</v>
      </c>
      <c r="S27" t="s">
        <v>1593</v>
      </c>
      <c r="T27" s="31"/>
      <c r="U27" s="31"/>
    </row>
    <row r="28" spans="1:22" x14ac:dyDescent="0.25">
      <c r="A28">
        <v>2024</v>
      </c>
      <c r="B28" t="s">
        <v>772</v>
      </c>
      <c r="C28" t="s">
        <v>2899</v>
      </c>
      <c r="D28" t="s">
        <v>855</v>
      </c>
      <c r="E28" t="s">
        <v>33</v>
      </c>
      <c r="F28" t="s">
        <v>1257</v>
      </c>
      <c r="H28" t="s">
        <v>2091</v>
      </c>
      <c r="I28" t="s">
        <v>11</v>
      </c>
      <c r="J28" t="s">
        <v>13</v>
      </c>
      <c r="K28" t="s">
        <v>64</v>
      </c>
      <c r="L28" t="s">
        <v>16</v>
      </c>
      <c r="M28" t="s">
        <v>2988</v>
      </c>
      <c r="N28" t="s">
        <v>1776</v>
      </c>
      <c r="O28" t="s">
        <v>3004</v>
      </c>
      <c r="P28" t="s">
        <v>2921</v>
      </c>
      <c r="Q28">
        <v>47.7</v>
      </c>
      <c r="S28" s="2" t="s">
        <v>2919</v>
      </c>
      <c r="T28" s="31"/>
      <c r="U28" s="31"/>
    </row>
    <row r="29" spans="1:22" x14ac:dyDescent="0.25">
      <c r="A29">
        <v>2024</v>
      </c>
      <c r="B29" t="s">
        <v>772</v>
      </c>
      <c r="C29" t="s">
        <v>2899</v>
      </c>
      <c r="D29" t="s">
        <v>855</v>
      </c>
      <c r="E29" t="s">
        <v>33</v>
      </c>
      <c r="F29" t="s">
        <v>1257</v>
      </c>
      <c r="H29" t="s">
        <v>2091</v>
      </c>
      <c r="I29" t="s">
        <v>11</v>
      </c>
      <c r="J29" t="s">
        <v>13</v>
      </c>
      <c r="K29" t="s">
        <v>64</v>
      </c>
      <c r="L29" t="s">
        <v>16</v>
      </c>
      <c r="M29" t="s">
        <v>2989</v>
      </c>
      <c r="N29" t="s">
        <v>1630</v>
      </c>
      <c r="O29" t="s">
        <v>3004</v>
      </c>
      <c r="P29" t="s">
        <v>1567</v>
      </c>
      <c r="Q29" s="31">
        <v>4.26</v>
      </c>
      <c r="S29" t="s">
        <v>2919</v>
      </c>
    </row>
    <row r="30" spans="1:22" x14ac:dyDescent="0.25">
      <c r="A30">
        <v>2023</v>
      </c>
      <c r="B30" t="s">
        <v>772</v>
      </c>
      <c r="C30" t="s">
        <v>2899</v>
      </c>
      <c r="D30" t="s">
        <v>872</v>
      </c>
      <c r="E30" t="s">
        <v>38</v>
      </c>
      <c r="F30" t="s">
        <v>1304</v>
      </c>
      <c r="H30" t="s">
        <v>2125</v>
      </c>
      <c r="I30" t="s">
        <v>11</v>
      </c>
      <c r="J30" t="s">
        <v>23</v>
      </c>
      <c r="K30" t="s">
        <v>16</v>
      </c>
      <c r="L30" t="s">
        <v>16</v>
      </c>
      <c r="M30" t="s">
        <v>2989</v>
      </c>
      <c r="N30" t="s">
        <v>1731</v>
      </c>
      <c r="O30" t="s">
        <v>3004</v>
      </c>
      <c r="P30" t="s">
        <v>1567</v>
      </c>
      <c r="Q30" s="31">
        <v>3.31</v>
      </c>
      <c r="S30" t="s">
        <v>2336</v>
      </c>
    </row>
    <row r="31" spans="1:22" x14ac:dyDescent="0.25">
      <c r="A31">
        <v>2023</v>
      </c>
      <c r="B31" t="s">
        <v>772</v>
      </c>
      <c r="C31" t="s">
        <v>2899</v>
      </c>
      <c r="D31" t="s">
        <v>872</v>
      </c>
      <c r="E31" t="s">
        <v>38</v>
      </c>
      <c r="F31" t="s">
        <v>1304</v>
      </c>
      <c r="H31" t="s">
        <v>2125</v>
      </c>
      <c r="I31" t="s">
        <v>11</v>
      </c>
      <c r="J31" t="s">
        <v>23</v>
      </c>
      <c r="K31" t="s">
        <v>16</v>
      </c>
      <c r="L31" t="s">
        <v>16</v>
      </c>
      <c r="M31" t="s">
        <v>2989</v>
      </c>
      <c r="N31" t="s">
        <v>1630</v>
      </c>
      <c r="O31" t="s">
        <v>3004</v>
      </c>
      <c r="P31" t="s">
        <v>1567</v>
      </c>
      <c r="Q31" s="31">
        <v>3.4</v>
      </c>
      <c r="S31" t="s">
        <v>2336</v>
      </c>
    </row>
    <row r="32" spans="1:22" x14ac:dyDescent="0.25">
      <c r="A32">
        <v>2023</v>
      </c>
      <c r="B32" t="s">
        <v>772</v>
      </c>
      <c r="C32" t="s">
        <v>2899</v>
      </c>
      <c r="D32" t="s">
        <v>719</v>
      </c>
      <c r="E32" t="s">
        <v>194</v>
      </c>
      <c r="F32" t="s">
        <v>1419</v>
      </c>
      <c r="G32" t="s">
        <v>2193</v>
      </c>
      <c r="H32" t="s">
        <v>2191</v>
      </c>
      <c r="I32" t="s">
        <v>11</v>
      </c>
      <c r="J32" t="s">
        <v>44</v>
      </c>
      <c r="K32" t="s">
        <v>189</v>
      </c>
      <c r="L32" t="s">
        <v>557</v>
      </c>
      <c r="M32" t="s">
        <v>2989</v>
      </c>
      <c r="N32" t="s">
        <v>1731</v>
      </c>
      <c r="O32" t="s">
        <v>3004</v>
      </c>
      <c r="P32" t="s">
        <v>1589</v>
      </c>
      <c r="Q32" s="31">
        <v>1.29</v>
      </c>
      <c r="S32" t="s">
        <v>3203</v>
      </c>
      <c r="U32" s="10"/>
    </row>
    <row r="33" spans="1:21" x14ac:dyDescent="0.25">
      <c r="A33">
        <v>2023</v>
      </c>
      <c r="B33" t="s">
        <v>772</v>
      </c>
      <c r="C33" t="s">
        <v>2899</v>
      </c>
      <c r="D33" t="s">
        <v>719</v>
      </c>
      <c r="E33" t="s">
        <v>194</v>
      </c>
      <c r="F33" t="s">
        <v>1419</v>
      </c>
      <c r="G33" t="s">
        <v>2193</v>
      </c>
      <c r="H33" t="s">
        <v>2191</v>
      </c>
      <c r="I33" t="s">
        <v>11</v>
      </c>
      <c r="J33" t="s">
        <v>44</v>
      </c>
      <c r="K33" t="s">
        <v>189</v>
      </c>
      <c r="L33" t="s">
        <v>125</v>
      </c>
      <c r="M33" t="s">
        <v>2989</v>
      </c>
      <c r="N33" t="s">
        <v>1731</v>
      </c>
      <c r="O33" t="s">
        <v>3004</v>
      </c>
      <c r="P33" t="s">
        <v>1589</v>
      </c>
      <c r="Q33" s="31">
        <v>1.21</v>
      </c>
      <c r="S33" t="s">
        <v>3203</v>
      </c>
    </row>
    <row r="34" spans="1:21" x14ac:dyDescent="0.25">
      <c r="A34">
        <v>2023</v>
      </c>
      <c r="B34" t="s">
        <v>772</v>
      </c>
      <c r="C34" t="s">
        <v>2899</v>
      </c>
      <c r="D34" t="s">
        <v>135</v>
      </c>
      <c r="E34" t="s">
        <v>136</v>
      </c>
      <c r="F34" t="s">
        <v>1395</v>
      </c>
      <c r="H34" t="s">
        <v>2182</v>
      </c>
      <c r="I34" t="s">
        <v>11</v>
      </c>
      <c r="J34" t="s">
        <v>19</v>
      </c>
      <c r="K34" t="s">
        <v>137</v>
      </c>
      <c r="L34" t="s">
        <v>1772</v>
      </c>
      <c r="M34" t="s">
        <v>2989</v>
      </c>
      <c r="N34" t="s">
        <v>1776</v>
      </c>
      <c r="O34" t="s">
        <v>3004</v>
      </c>
      <c r="P34" t="s">
        <v>2921</v>
      </c>
      <c r="Q34" s="31">
        <v>1.3</v>
      </c>
      <c r="S34" t="s">
        <v>2997</v>
      </c>
    </row>
    <row r="35" spans="1:21" x14ac:dyDescent="0.25">
      <c r="A35">
        <v>2023</v>
      </c>
      <c r="B35" t="s">
        <v>772</v>
      </c>
      <c r="C35" t="s">
        <v>2899</v>
      </c>
      <c r="D35" t="s">
        <v>135</v>
      </c>
      <c r="E35" t="s">
        <v>136</v>
      </c>
      <c r="F35" t="s">
        <v>1395</v>
      </c>
      <c r="H35" t="s">
        <v>2182</v>
      </c>
      <c r="I35" t="s">
        <v>11</v>
      </c>
      <c r="J35" t="s">
        <v>19</v>
      </c>
      <c r="K35" t="s">
        <v>137</v>
      </c>
      <c r="L35" t="s">
        <v>125</v>
      </c>
      <c r="M35" t="s">
        <v>2990</v>
      </c>
      <c r="N35" t="s">
        <v>1731</v>
      </c>
      <c r="O35" t="s">
        <v>3004</v>
      </c>
      <c r="P35" t="s">
        <v>1589</v>
      </c>
      <c r="Q35" s="31">
        <v>0.25</v>
      </c>
      <c r="S35" t="s">
        <v>2997</v>
      </c>
      <c r="T35" s="31"/>
      <c r="U35" s="10"/>
    </row>
    <row r="36" spans="1:21" x14ac:dyDescent="0.25">
      <c r="A36">
        <v>2023</v>
      </c>
      <c r="B36" t="s">
        <v>772</v>
      </c>
      <c r="C36" t="s">
        <v>2899</v>
      </c>
      <c r="D36" t="s">
        <v>135</v>
      </c>
      <c r="E36" t="s">
        <v>136</v>
      </c>
      <c r="F36" t="s">
        <v>1395</v>
      </c>
      <c r="H36" t="s">
        <v>2182</v>
      </c>
      <c r="I36" t="s">
        <v>11</v>
      </c>
      <c r="J36" t="s">
        <v>19</v>
      </c>
      <c r="K36" t="s">
        <v>137</v>
      </c>
      <c r="L36" t="s">
        <v>125</v>
      </c>
      <c r="M36" t="s">
        <v>2990</v>
      </c>
      <c r="N36" t="s">
        <v>2998</v>
      </c>
      <c r="O36" t="s">
        <v>3004</v>
      </c>
      <c r="P36" t="s">
        <v>1589</v>
      </c>
      <c r="Q36" s="31">
        <v>82.6</v>
      </c>
      <c r="S36" t="s">
        <v>2997</v>
      </c>
    </row>
    <row r="37" spans="1:21" x14ac:dyDescent="0.25">
      <c r="A37">
        <v>2023</v>
      </c>
      <c r="B37" t="s">
        <v>772</v>
      </c>
      <c r="C37" t="s">
        <v>2899</v>
      </c>
      <c r="D37" t="s">
        <v>14</v>
      </c>
      <c r="E37" t="s">
        <v>66</v>
      </c>
      <c r="F37" t="s">
        <v>1124</v>
      </c>
      <c r="H37" t="s">
        <v>2016</v>
      </c>
      <c r="I37" t="s">
        <v>11</v>
      </c>
      <c r="J37" t="s">
        <v>13</v>
      </c>
      <c r="K37" t="s">
        <v>64</v>
      </c>
      <c r="L37" t="s">
        <v>16</v>
      </c>
      <c r="M37" t="s">
        <v>2989</v>
      </c>
      <c r="N37" t="s">
        <v>1731</v>
      </c>
      <c r="O37" t="s">
        <v>3004</v>
      </c>
      <c r="P37" t="s">
        <v>1567</v>
      </c>
      <c r="Q37" s="47">
        <v>1.74</v>
      </c>
      <c r="R37" s="48"/>
      <c r="S37" t="s">
        <v>2974</v>
      </c>
    </row>
    <row r="38" spans="1:21" x14ac:dyDescent="0.25">
      <c r="A38">
        <v>2023</v>
      </c>
      <c r="B38" t="s">
        <v>772</v>
      </c>
      <c r="C38" t="s">
        <v>2899</v>
      </c>
      <c r="D38" t="s">
        <v>14</v>
      </c>
      <c r="E38" t="s">
        <v>66</v>
      </c>
      <c r="F38" t="s">
        <v>1124</v>
      </c>
      <c r="H38" t="s">
        <v>2016</v>
      </c>
      <c r="I38" t="s">
        <v>11</v>
      </c>
      <c r="J38" t="s">
        <v>13</v>
      </c>
      <c r="K38" t="s">
        <v>64</v>
      </c>
      <c r="L38" t="s">
        <v>16</v>
      </c>
      <c r="M38" t="s">
        <v>2989</v>
      </c>
      <c r="N38" t="s">
        <v>1712</v>
      </c>
      <c r="O38" t="s">
        <v>3004</v>
      </c>
      <c r="P38" t="s">
        <v>1589</v>
      </c>
      <c r="Q38" s="47">
        <v>87.5</v>
      </c>
      <c r="R38" s="48"/>
      <c r="S38" t="s">
        <v>2974</v>
      </c>
    </row>
    <row r="39" spans="1:21" x14ac:dyDescent="0.25">
      <c r="A39">
        <v>2023</v>
      </c>
      <c r="B39" t="s">
        <v>772</v>
      </c>
      <c r="C39" t="s">
        <v>2899</v>
      </c>
      <c r="D39" t="s">
        <v>27</v>
      </c>
      <c r="E39" t="s">
        <v>28</v>
      </c>
      <c r="F39" t="s">
        <v>1166</v>
      </c>
      <c r="H39" t="s">
        <v>2037</v>
      </c>
      <c r="I39" t="s">
        <v>11</v>
      </c>
      <c r="J39" t="s">
        <v>23</v>
      </c>
      <c r="K39" t="s">
        <v>16</v>
      </c>
      <c r="L39" t="s">
        <v>1772</v>
      </c>
      <c r="M39" t="s">
        <v>2989</v>
      </c>
      <c r="N39" t="s">
        <v>1776</v>
      </c>
      <c r="O39" t="s">
        <v>3162</v>
      </c>
      <c r="P39" t="s">
        <v>2921</v>
      </c>
      <c r="Q39">
        <v>1.20852695359985</v>
      </c>
      <c r="R39" t="s">
        <v>3166</v>
      </c>
      <c r="S39" t="s">
        <v>1826</v>
      </c>
    </row>
    <row r="40" spans="1:21" x14ac:dyDescent="0.25">
      <c r="A40">
        <v>2019</v>
      </c>
      <c r="B40" t="s">
        <v>772</v>
      </c>
      <c r="C40" t="s">
        <v>2899</v>
      </c>
      <c r="D40" t="s">
        <v>101</v>
      </c>
      <c r="E40" t="s">
        <v>126</v>
      </c>
      <c r="F40" t="s">
        <v>1400</v>
      </c>
      <c r="H40" t="s">
        <v>1845</v>
      </c>
      <c r="I40" t="s">
        <v>11</v>
      </c>
      <c r="J40" t="s">
        <v>34</v>
      </c>
      <c r="K40" t="s">
        <v>127</v>
      </c>
      <c r="L40" t="s">
        <v>125</v>
      </c>
      <c r="M40" t="s">
        <v>2990</v>
      </c>
      <c r="N40" t="s">
        <v>1731</v>
      </c>
      <c r="O40" t="s">
        <v>3004</v>
      </c>
      <c r="P40" t="s">
        <v>1589</v>
      </c>
      <c r="Q40" s="31">
        <v>0.27800000000000002</v>
      </c>
      <c r="R40" s="31"/>
      <c r="S40" t="s">
        <v>3197</v>
      </c>
    </row>
    <row r="41" spans="1:21" x14ac:dyDescent="0.25">
      <c r="A41">
        <v>2023</v>
      </c>
      <c r="B41" t="s">
        <v>772</v>
      </c>
      <c r="C41" t="s">
        <v>2899</v>
      </c>
      <c r="D41" t="s">
        <v>736</v>
      </c>
      <c r="E41" t="s">
        <v>25</v>
      </c>
      <c r="F41" t="s">
        <v>1136</v>
      </c>
      <c r="H41" t="s">
        <v>2019</v>
      </c>
      <c r="I41" t="s">
        <v>11</v>
      </c>
      <c r="J41" t="s">
        <v>13</v>
      </c>
      <c r="K41" t="s">
        <v>16</v>
      </c>
      <c r="L41" t="s">
        <v>1772</v>
      </c>
      <c r="M41" t="s">
        <v>2989</v>
      </c>
      <c r="N41" t="s">
        <v>1776</v>
      </c>
      <c r="O41" t="s">
        <v>3162</v>
      </c>
      <c r="P41" t="s">
        <v>2921</v>
      </c>
      <c r="Q41">
        <v>0.16768245966796233</v>
      </c>
      <c r="R41" t="s">
        <v>3164</v>
      </c>
      <c r="S41" t="s">
        <v>1601</v>
      </c>
    </row>
    <row r="42" spans="1:21" x14ac:dyDescent="0.25">
      <c r="A42">
        <v>2023</v>
      </c>
      <c r="B42" t="s">
        <v>772</v>
      </c>
      <c r="C42" t="s">
        <v>2899</v>
      </c>
      <c r="D42" t="s">
        <v>736</v>
      </c>
      <c r="E42" t="s">
        <v>25</v>
      </c>
      <c r="F42" t="s">
        <v>1136</v>
      </c>
      <c r="H42" t="s">
        <v>2019</v>
      </c>
      <c r="I42" t="s">
        <v>11</v>
      </c>
      <c r="J42" t="s">
        <v>13</v>
      </c>
      <c r="K42" t="s">
        <v>16</v>
      </c>
      <c r="L42" t="s">
        <v>16</v>
      </c>
      <c r="M42" t="s">
        <v>2989</v>
      </c>
      <c r="N42" t="s">
        <v>1631</v>
      </c>
      <c r="O42" t="s">
        <v>3004</v>
      </c>
      <c r="P42" t="s">
        <v>1567</v>
      </c>
      <c r="Q42" s="31">
        <v>9.48</v>
      </c>
      <c r="R42" t="s">
        <v>3142</v>
      </c>
      <c r="S42" t="s">
        <v>1601</v>
      </c>
      <c r="T42" s="31"/>
      <c r="U42" s="10"/>
    </row>
    <row r="43" spans="1:21" x14ac:dyDescent="0.25">
      <c r="A43">
        <v>2023</v>
      </c>
      <c r="B43" t="s">
        <v>772</v>
      </c>
      <c r="C43" t="s">
        <v>2899</v>
      </c>
      <c r="D43" t="s">
        <v>736</v>
      </c>
      <c r="E43" t="s">
        <v>25</v>
      </c>
      <c r="F43" t="s">
        <v>1136</v>
      </c>
      <c r="H43" t="s">
        <v>2019</v>
      </c>
      <c r="I43" t="s">
        <v>11</v>
      </c>
      <c r="J43" t="s">
        <v>13</v>
      </c>
      <c r="K43" t="s">
        <v>16</v>
      </c>
      <c r="L43" t="s">
        <v>16</v>
      </c>
      <c r="M43" t="s">
        <v>2989</v>
      </c>
      <c r="N43" t="s">
        <v>1599</v>
      </c>
      <c r="O43" t="s">
        <v>3004</v>
      </c>
      <c r="P43" t="s">
        <v>1589</v>
      </c>
      <c r="Q43" s="31">
        <v>97</v>
      </c>
      <c r="S43" t="s">
        <v>1601</v>
      </c>
    </row>
    <row r="44" spans="1:21" x14ac:dyDescent="0.25">
      <c r="A44">
        <v>2023</v>
      </c>
      <c r="B44" t="s">
        <v>772</v>
      </c>
      <c r="C44" t="s">
        <v>2899</v>
      </c>
      <c r="D44" t="s">
        <v>736</v>
      </c>
      <c r="E44" t="s">
        <v>25</v>
      </c>
      <c r="F44" t="s">
        <v>1136</v>
      </c>
      <c r="H44" t="s">
        <v>2019</v>
      </c>
      <c r="I44" t="s">
        <v>11</v>
      </c>
      <c r="J44" t="s">
        <v>13</v>
      </c>
      <c r="K44" t="s">
        <v>16</v>
      </c>
      <c r="L44" t="s">
        <v>16</v>
      </c>
      <c r="M44" t="s">
        <v>2989</v>
      </c>
      <c r="N44" t="s">
        <v>1630</v>
      </c>
      <c r="O44" t="s">
        <v>3004</v>
      </c>
      <c r="P44" t="s">
        <v>1567</v>
      </c>
      <c r="Q44" s="31">
        <v>9.43</v>
      </c>
      <c r="R44" t="s">
        <v>3142</v>
      </c>
      <c r="S44" t="s">
        <v>1601</v>
      </c>
    </row>
    <row r="45" spans="1:21" x14ac:dyDescent="0.25">
      <c r="A45">
        <v>2024</v>
      </c>
      <c r="B45" t="s">
        <v>772</v>
      </c>
      <c r="C45" t="s">
        <v>2899</v>
      </c>
      <c r="D45" t="s">
        <v>8</v>
      </c>
      <c r="E45" t="s">
        <v>9</v>
      </c>
      <c r="F45" t="s">
        <v>1264</v>
      </c>
      <c r="H45" t="s">
        <v>1895</v>
      </c>
      <c r="I45" t="s">
        <v>11</v>
      </c>
      <c r="J45" t="s">
        <v>23</v>
      </c>
      <c r="K45" t="s">
        <v>12</v>
      </c>
      <c r="L45" t="s">
        <v>1549</v>
      </c>
      <c r="M45" t="s">
        <v>2989</v>
      </c>
      <c r="N45" t="s">
        <v>1731</v>
      </c>
      <c r="O45" t="s">
        <v>3004</v>
      </c>
      <c r="P45" t="s">
        <v>1567</v>
      </c>
      <c r="Q45" s="31">
        <v>944</v>
      </c>
      <c r="R45" s="31"/>
      <c r="S45" t="s">
        <v>3149</v>
      </c>
    </row>
    <row r="46" spans="1:21" x14ac:dyDescent="0.25">
      <c r="A46">
        <v>2024</v>
      </c>
      <c r="B46" t="s">
        <v>772</v>
      </c>
      <c r="C46" t="s">
        <v>2899</v>
      </c>
      <c r="D46" t="s">
        <v>8</v>
      </c>
      <c r="E46" t="s">
        <v>9</v>
      </c>
      <c r="F46" t="s">
        <v>1264</v>
      </c>
      <c r="H46" t="s">
        <v>1895</v>
      </c>
      <c r="I46" t="s">
        <v>11</v>
      </c>
      <c r="J46" t="s">
        <v>23</v>
      </c>
      <c r="K46" t="s">
        <v>12</v>
      </c>
      <c r="L46" t="s">
        <v>1615</v>
      </c>
      <c r="M46" t="s">
        <v>2989</v>
      </c>
      <c r="N46" t="s">
        <v>1731</v>
      </c>
      <c r="O46" t="s">
        <v>3004</v>
      </c>
      <c r="P46" t="s">
        <v>1589</v>
      </c>
      <c r="Q46" s="31">
        <v>2.11</v>
      </c>
      <c r="R46" s="31"/>
      <c r="S46" t="s">
        <v>3149</v>
      </c>
    </row>
    <row r="47" spans="1:21" x14ac:dyDescent="0.25">
      <c r="A47">
        <v>2024</v>
      </c>
      <c r="B47" t="s">
        <v>772</v>
      </c>
      <c r="C47" t="s">
        <v>2899</v>
      </c>
      <c r="D47" t="s">
        <v>8</v>
      </c>
      <c r="E47" t="s">
        <v>9</v>
      </c>
      <c r="F47" t="s">
        <v>1264</v>
      </c>
      <c r="H47" t="s">
        <v>1895</v>
      </c>
      <c r="I47" t="s">
        <v>11</v>
      </c>
      <c r="J47" t="s">
        <v>23</v>
      </c>
      <c r="K47" t="s">
        <v>12</v>
      </c>
      <c r="L47" t="s">
        <v>1551</v>
      </c>
      <c r="M47" t="s">
        <v>2989</v>
      </c>
      <c r="N47" t="s">
        <v>1731</v>
      </c>
      <c r="O47" t="s">
        <v>3004</v>
      </c>
      <c r="P47" t="s">
        <v>1589</v>
      </c>
      <c r="Q47" s="31">
        <v>1.34</v>
      </c>
      <c r="R47" s="31"/>
      <c r="S47" t="s">
        <v>3149</v>
      </c>
    </row>
    <row r="48" spans="1:21" x14ac:dyDescent="0.25">
      <c r="A48">
        <v>2023</v>
      </c>
      <c r="B48" t="s">
        <v>772</v>
      </c>
      <c r="C48" t="s">
        <v>2899</v>
      </c>
      <c r="D48" t="s">
        <v>715</v>
      </c>
      <c r="E48" t="s">
        <v>143</v>
      </c>
      <c r="F48" t="s">
        <v>1249</v>
      </c>
      <c r="H48" t="s">
        <v>2086</v>
      </c>
      <c r="I48" t="s">
        <v>11</v>
      </c>
      <c r="J48" t="s">
        <v>44</v>
      </c>
      <c r="K48" t="s">
        <v>144</v>
      </c>
      <c r="L48" t="s">
        <v>125</v>
      </c>
      <c r="M48" t="s">
        <v>2989</v>
      </c>
      <c r="N48" t="s">
        <v>1731</v>
      </c>
      <c r="O48" t="s">
        <v>3004</v>
      </c>
      <c r="P48" t="s">
        <v>1589</v>
      </c>
      <c r="Q48" s="31">
        <v>1.69</v>
      </c>
      <c r="R48" s="31"/>
      <c r="S48" t="s">
        <v>3198</v>
      </c>
    </row>
    <row r="49" spans="1:21" x14ac:dyDescent="0.25">
      <c r="A49">
        <v>2023</v>
      </c>
      <c r="B49" t="s">
        <v>772</v>
      </c>
      <c r="C49" t="s">
        <v>2899</v>
      </c>
      <c r="D49" t="s">
        <v>715</v>
      </c>
      <c r="E49" t="s">
        <v>143</v>
      </c>
      <c r="F49" t="s">
        <v>1249</v>
      </c>
      <c r="H49" t="s">
        <v>2086</v>
      </c>
      <c r="I49" t="s">
        <v>11</v>
      </c>
      <c r="J49" t="s">
        <v>44</v>
      </c>
      <c r="K49" t="s">
        <v>144</v>
      </c>
      <c r="L49" t="s">
        <v>1551</v>
      </c>
      <c r="M49" t="s">
        <v>2989</v>
      </c>
      <c r="N49" t="s">
        <v>1731</v>
      </c>
      <c r="O49" t="s">
        <v>3004</v>
      </c>
      <c r="P49" t="s">
        <v>1589</v>
      </c>
      <c r="Q49" s="31">
        <v>3.7</v>
      </c>
      <c r="S49" t="s">
        <v>3198</v>
      </c>
    </row>
    <row r="50" spans="1:21" x14ac:dyDescent="0.25">
      <c r="A50">
        <v>2023</v>
      </c>
      <c r="B50" t="s">
        <v>772</v>
      </c>
      <c r="C50" t="s">
        <v>2899</v>
      </c>
      <c r="D50" t="s">
        <v>730</v>
      </c>
      <c r="E50" t="s">
        <v>60</v>
      </c>
      <c r="F50" t="s">
        <v>1437</v>
      </c>
      <c r="H50" t="s">
        <v>2202</v>
      </c>
      <c r="I50" t="s">
        <v>11</v>
      </c>
      <c r="J50" t="s">
        <v>19</v>
      </c>
      <c r="K50" t="s">
        <v>16</v>
      </c>
      <c r="L50" t="s">
        <v>1772</v>
      </c>
      <c r="M50" t="s">
        <v>2989</v>
      </c>
      <c r="N50" t="s">
        <v>1776</v>
      </c>
      <c r="O50" t="s">
        <v>3162</v>
      </c>
      <c r="P50" t="s">
        <v>2921</v>
      </c>
      <c r="Q50">
        <v>0.848295561554397</v>
      </c>
      <c r="R50" t="s">
        <v>3169</v>
      </c>
      <c r="S50" t="s">
        <v>1729</v>
      </c>
    </row>
    <row r="51" spans="1:21" x14ac:dyDescent="0.25">
      <c r="A51">
        <v>2023</v>
      </c>
      <c r="B51" t="s">
        <v>772</v>
      </c>
      <c r="C51" t="s">
        <v>2899</v>
      </c>
      <c r="D51" t="s">
        <v>730</v>
      </c>
      <c r="E51" t="s">
        <v>60</v>
      </c>
      <c r="F51" t="s">
        <v>1437</v>
      </c>
      <c r="H51" t="s">
        <v>2202</v>
      </c>
      <c r="I51" t="s">
        <v>11</v>
      </c>
      <c r="J51" t="s">
        <v>19</v>
      </c>
      <c r="K51" t="s">
        <v>16</v>
      </c>
      <c r="L51" t="s">
        <v>16</v>
      </c>
      <c r="M51" t="s">
        <v>2989</v>
      </c>
      <c r="N51" t="s">
        <v>1731</v>
      </c>
      <c r="O51" t="s">
        <v>3004</v>
      </c>
      <c r="P51" t="s">
        <v>1567</v>
      </c>
      <c r="Q51" s="31">
        <v>5.9</v>
      </c>
      <c r="S51" t="s">
        <v>1729</v>
      </c>
    </row>
    <row r="52" spans="1:21" x14ac:dyDescent="0.25">
      <c r="A52">
        <v>2023</v>
      </c>
      <c r="B52" t="s">
        <v>772</v>
      </c>
      <c r="C52" t="s">
        <v>2899</v>
      </c>
      <c r="D52" t="s">
        <v>730</v>
      </c>
      <c r="E52" t="s">
        <v>60</v>
      </c>
      <c r="F52" t="s">
        <v>1437</v>
      </c>
      <c r="H52" t="s">
        <v>2202</v>
      </c>
      <c r="I52" t="s">
        <v>11</v>
      </c>
      <c r="J52" t="s">
        <v>19</v>
      </c>
      <c r="K52" t="s">
        <v>16</v>
      </c>
      <c r="L52" t="s">
        <v>16</v>
      </c>
      <c r="M52" t="s">
        <v>2989</v>
      </c>
      <c r="N52" t="s">
        <v>1712</v>
      </c>
      <c r="O52" t="s">
        <v>3004</v>
      </c>
      <c r="P52" t="s">
        <v>1589</v>
      </c>
      <c r="Q52" s="31">
        <v>98.3</v>
      </c>
      <c r="S52" t="s">
        <v>1729</v>
      </c>
    </row>
    <row r="53" spans="1:21" x14ac:dyDescent="0.25">
      <c r="A53">
        <v>2023</v>
      </c>
      <c r="B53" t="s">
        <v>772</v>
      </c>
      <c r="C53" t="s">
        <v>2899</v>
      </c>
      <c r="D53" t="s">
        <v>859</v>
      </c>
      <c r="E53" t="s">
        <v>203</v>
      </c>
      <c r="F53" t="s">
        <v>1277</v>
      </c>
      <c r="H53" t="s">
        <v>2101</v>
      </c>
      <c r="I53" t="s">
        <v>11</v>
      </c>
      <c r="J53" t="s">
        <v>23</v>
      </c>
      <c r="K53" t="s">
        <v>204</v>
      </c>
      <c r="L53" t="s">
        <v>2975</v>
      </c>
      <c r="M53" t="s">
        <v>2989</v>
      </c>
      <c r="N53" t="s">
        <v>1731</v>
      </c>
      <c r="O53" t="s">
        <v>3004</v>
      </c>
      <c r="P53" t="s">
        <v>1567</v>
      </c>
      <c r="Q53" s="31">
        <v>3.88</v>
      </c>
      <c r="S53" t="s">
        <v>1931</v>
      </c>
    </row>
    <row r="54" spans="1:21" x14ac:dyDescent="0.25">
      <c r="A54">
        <v>2023</v>
      </c>
      <c r="B54" t="s">
        <v>772</v>
      </c>
      <c r="C54" t="s">
        <v>2899</v>
      </c>
      <c r="D54" t="s">
        <v>717</v>
      </c>
      <c r="E54" t="s">
        <v>89</v>
      </c>
      <c r="F54" t="s">
        <v>1269</v>
      </c>
      <c r="G54" t="s">
        <v>1849</v>
      </c>
      <c r="H54" t="s">
        <v>1848</v>
      </c>
      <c r="I54" t="s">
        <v>11</v>
      </c>
      <c r="J54" t="s">
        <v>21</v>
      </c>
      <c r="K54" t="s">
        <v>90</v>
      </c>
      <c r="L54" t="s">
        <v>125</v>
      </c>
      <c r="M54" t="s">
        <v>2989</v>
      </c>
      <c r="N54" t="s">
        <v>1630</v>
      </c>
      <c r="O54" t="s">
        <v>3004</v>
      </c>
      <c r="P54" t="s">
        <v>1589</v>
      </c>
      <c r="Q54" s="31">
        <v>0.86</v>
      </c>
      <c r="S54" t="s">
        <v>1773</v>
      </c>
    </row>
    <row r="55" spans="1:21" x14ac:dyDescent="0.25">
      <c r="A55">
        <v>2023</v>
      </c>
      <c r="B55" t="s">
        <v>772</v>
      </c>
      <c r="C55" t="s">
        <v>2899</v>
      </c>
      <c r="D55" t="s">
        <v>717</v>
      </c>
      <c r="E55" t="s">
        <v>89</v>
      </c>
      <c r="F55" t="s">
        <v>1269</v>
      </c>
      <c r="G55" t="s">
        <v>1849</v>
      </c>
      <c r="H55" t="s">
        <v>1848</v>
      </c>
      <c r="I55" t="s">
        <v>11</v>
      </c>
      <c r="J55" t="s">
        <v>21</v>
      </c>
      <c r="K55" t="s">
        <v>90</v>
      </c>
      <c r="L55" t="s">
        <v>1549</v>
      </c>
      <c r="M55" t="s">
        <v>2989</v>
      </c>
      <c r="N55" t="s">
        <v>1630</v>
      </c>
      <c r="O55" t="s">
        <v>3004</v>
      </c>
      <c r="P55" t="s">
        <v>1567</v>
      </c>
      <c r="Q55" s="31">
        <v>24.51</v>
      </c>
      <c r="S55" t="s">
        <v>1773</v>
      </c>
    </row>
    <row r="56" spans="1:21" x14ac:dyDescent="0.25">
      <c r="A56">
        <v>2023</v>
      </c>
      <c r="B56" t="s">
        <v>772</v>
      </c>
      <c r="C56" t="s">
        <v>2899</v>
      </c>
      <c r="D56" t="s">
        <v>717</v>
      </c>
      <c r="E56" t="s">
        <v>89</v>
      </c>
      <c r="F56" t="s">
        <v>1269</v>
      </c>
      <c r="G56" t="s">
        <v>1849</v>
      </c>
      <c r="H56" t="s">
        <v>1848</v>
      </c>
      <c r="I56" t="s">
        <v>11</v>
      </c>
      <c r="J56" t="s">
        <v>21</v>
      </c>
      <c r="K56" t="s">
        <v>90</v>
      </c>
      <c r="L56" t="s">
        <v>1551</v>
      </c>
      <c r="M56" t="s">
        <v>2989</v>
      </c>
      <c r="N56" t="s">
        <v>1630</v>
      </c>
      <c r="O56" t="s">
        <v>3004</v>
      </c>
      <c r="P56" t="s">
        <v>1589</v>
      </c>
      <c r="Q56" s="31">
        <v>3</v>
      </c>
      <c r="S56" t="s">
        <v>1773</v>
      </c>
    </row>
    <row r="57" spans="1:21" x14ac:dyDescent="0.25">
      <c r="A57">
        <v>2023</v>
      </c>
      <c r="B57" t="s">
        <v>772</v>
      </c>
      <c r="C57" t="s">
        <v>2899</v>
      </c>
      <c r="D57" t="s">
        <v>717</v>
      </c>
      <c r="E57" t="s">
        <v>89</v>
      </c>
      <c r="F57" t="s">
        <v>1269</v>
      </c>
      <c r="G57" t="s">
        <v>1849</v>
      </c>
      <c r="H57" t="s">
        <v>1848</v>
      </c>
      <c r="I57" t="s">
        <v>11</v>
      </c>
      <c r="J57" t="s">
        <v>21</v>
      </c>
      <c r="K57" t="s">
        <v>90</v>
      </c>
      <c r="L57" t="s">
        <v>16</v>
      </c>
      <c r="M57" t="s">
        <v>2989</v>
      </c>
      <c r="N57" t="s">
        <v>1630</v>
      </c>
      <c r="O57" t="s">
        <v>3004</v>
      </c>
      <c r="P57" t="s">
        <v>1567</v>
      </c>
      <c r="Q57" s="31">
        <v>4.74</v>
      </c>
      <c r="S57" t="s">
        <v>1773</v>
      </c>
    </row>
    <row r="58" spans="1:21" x14ac:dyDescent="0.25">
      <c r="A58">
        <v>2023</v>
      </c>
      <c r="B58" t="s">
        <v>772</v>
      </c>
      <c r="C58" t="s">
        <v>2899</v>
      </c>
      <c r="D58" t="s">
        <v>30</v>
      </c>
      <c r="E58" t="s">
        <v>31</v>
      </c>
      <c r="F58" t="s">
        <v>1210</v>
      </c>
      <c r="H58" t="s">
        <v>2062</v>
      </c>
      <c r="I58" t="s">
        <v>11</v>
      </c>
      <c r="J58" t="s">
        <v>13</v>
      </c>
      <c r="K58" t="s">
        <v>16</v>
      </c>
      <c r="L58" t="s">
        <v>16</v>
      </c>
      <c r="M58" t="s">
        <v>2989</v>
      </c>
      <c r="N58" t="s">
        <v>1731</v>
      </c>
      <c r="O58" t="s">
        <v>3004</v>
      </c>
      <c r="P58" t="s">
        <v>1567</v>
      </c>
      <c r="Q58" s="31">
        <v>6.76</v>
      </c>
      <c r="S58" t="s">
        <v>1879</v>
      </c>
    </row>
    <row r="59" spans="1:21" x14ac:dyDescent="0.25">
      <c r="A59">
        <v>2023</v>
      </c>
      <c r="B59" t="s">
        <v>772</v>
      </c>
      <c r="C59" t="s">
        <v>2899</v>
      </c>
      <c r="D59" t="s">
        <v>30</v>
      </c>
      <c r="E59" t="s">
        <v>31</v>
      </c>
      <c r="F59" t="s">
        <v>1210</v>
      </c>
      <c r="H59" t="s">
        <v>2062</v>
      </c>
      <c r="I59" t="s">
        <v>11</v>
      </c>
      <c r="J59" t="s">
        <v>13</v>
      </c>
      <c r="K59" t="s">
        <v>16</v>
      </c>
      <c r="L59" t="s">
        <v>16</v>
      </c>
      <c r="M59" t="s">
        <v>2989</v>
      </c>
      <c r="N59" t="s">
        <v>1712</v>
      </c>
      <c r="O59" t="s">
        <v>3004</v>
      </c>
      <c r="P59" t="s">
        <v>1589</v>
      </c>
      <c r="Q59" s="31">
        <v>0.97099999999999997</v>
      </c>
      <c r="S59" t="s">
        <v>1879</v>
      </c>
    </row>
    <row r="60" spans="1:21" x14ac:dyDescent="0.25">
      <c r="A60">
        <v>2023</v>
      </c>
      <c r="B60" t="s">
        <v>772</v>
      </c>
      <c r="C60" t="s">
        <v>2899</v>
      </c>
      <c r="D60" t="s">
        <v>14</v>
      </c>
      <c r="E60" t="s">
        <v>91</v>
      </c>
      <c r="F60" t="s">
        <v>1126</v>
      </c>
      <c r="H60" t="s">
        <v>2016</v>
      </c>
      <c r="I60" t="s">
        <v>11</v>
      </c>
      <c r="J60" t="s">
        <v>13</v>
      </c>
      <c r="K60" t="s">
        <v>92</v>
      </c>
      <c r="L60" t="s">
        <v>125</v>
      </c>
      <c r="M60" t="s">
        <v>2989</v>
      </c>
      <c r="N60" t="s">
        <v>1731</v>
      </c>
      <c r="O60" t="s">
        <v>3004</v>
      </c>
      <c r="P60" t="s">
        <v>1589</v>
      </c>
      <c r="Q60" s="47">
        <v>0.13</v>
      </c>
      <c r="S60" t="s">
        <v>2974</v>
      </c>
    </row>
    <row r="61" spans="1:21" x14ac:dyDescent="0.25">
      <c r="A61">
        <v>2023</v>
      </c>
      <c r="B61" t="s">
        <v>772</v>
      </c>
      <c r="C61" t="s">
        <v>2899</v>
      </c>
      <c r="D61" t="s">
        <v>14</v>
      </c>
      <c r="E61" t="s">
        <v>91</v>
      </c>
      <c r="F61" t="s">
        <v>1126</v>
      </c>
      <c r="H61" t="s">
        <v>2016</v>
      </c>
      <c r="I61" t="s">
        <v>11</v>
      </c>
      <c r="J61" t="s">
        <v>13</v>
      </c>
      <c r="K61" t="s">
        <v>92</v>
      </c>
      <c r="L61" t="s">
        <v>125</v>
      </c>
      <c r="M61" t="s">
        <v>2989</v>
      </c>
      <c r="N61" t="s">
        <v>1712</v>
      </c>
      <c r="O61" t="s">
        <v>3004</v>
      </c>
      <c r="P61" t="s">
        <v>1589</v>
      </c>
      <c r="Q61" s="47">
        <v>80.8</v>
      </c>
      <c r="R61" s="48"/>
      <c r="S61" t="s">
        <v>2974</v>
      </c>
    </row>
    <row r="62" spans="1:21" x14ac:dyDescent="0.25">
      <c r="A62">
        <v>2023</v>
      </c>
      <c r="B62" t="s">
        <v>772</v>
      </c>
      <c r="C62" t="s">
        <v>2899</v>
      </c>
      <c r="D62" t="s">
        <v>14</v>
      </c>
      <c r="E62" t="s">
        <v>91</v>
      </c>
      <c r="F62" t="s">
        <v>1126</v>
      </c>
      <c r="H62" t="s">
        <v>2016</v>
      </c>
      <c r="I62" t="s">
        <v>11</v>
      </c>
      <c r="J62" t="s">
        <v>13</v>
      </c>
      <c r="K62" t="s">
        <v>92</v>
      </c>
      <c r="L62" t="s">
        <v>1772</v>
      </c>
      <c r="M62" t="s">
        <v>2989</v>
      </c>
      <c r="N62" t="s">
        <v>1776</v>
      </c>
      <c r="O62" t="s">
        <v>3162</v>
      </c>
      <c r="P62" t="s">
        <v>2921</v>
      </c>
      <c r="Q62">
        <v>1.46708992187948</v>
      </c>
      <c r="R62" t="s">
        <v>3163</v>
      </c>
      <c r="S62" t="s">
        <v>1547</v>
      </c>
    </row>
    <row r="63" spans="1:21" x14ac:dyDescent="0.25">
      <c r="A63">
        <v>2023</v>
      </c>
      <c r="B63" t="s">
        <v>772</v>
      </c>
      <c r="C63" t="s">
        <v>2899</v>
      </c>
      <c r="D63" t="s">
        <v>14</v>
      </c>
      <c r="E63" t="s">
        <v>91</v>
      </c>
      <c r="F63" t="s">
        <v>1126</v>
      </c>
      <c r="H63" t="s">
        <v>2016</v>
      </c>
      <c r="I63" t="s">
        <v>11</v>
      </c>
      <c r="J63" t="s">
        <v>13</v>
      </c>
      <c r="K63" t="s">
        <v>92</v>
      </c>
      <c r="L63" t="s">
        <v>16</v>
      </c>
      <c r="M63" t="s">
        <v>2989</v>
      </c>
      <c r="N63" t="s">
        <v>1731</v>
      </c>
      <c r="O63" t="s">
        <v>3004</v>
      </c>
      <c r="P63" t="s">
        <v>1567</v>
      </c>
      <c r="Q63" s="47">
        <v>5.23</v>
      </c>
      <c r="S63" t="s">
        <v>2974</v>
      </c>
    </row>
    <row r="64" spans="1:21" x14ac:dyDescent="0.25">
      <c r="A64">
        <v>2023</v>
      </c>
      <c r="B64" t="s">
        <v>772</v>
      </c>
      <c r="C64" t="s">
        <v>2899</v>
      </c>
      <c r="D64" t="s">
        <v>14</v>
      </c>
      <c r="E64" t="s">
        <v>91</v>
      </c>
      <c r="F64" t="s">
        <v>1126</v>
      </c>
      <c r="H64" t="s">
        <v>2016</v>
      </c>
      <c r="I64" t="s">
        <v>11</v>
      </c>
      <c r="J64" t="s">
        <v>13</v>
      </c>
      <c r="K64" t="s">
        <v>92</v>
      </c>
      <c r="L64" t="s">
        <v>16</v>
      </c>
      <c r="M64" t="s">
        <v>2989</v>
      </c>
      <c r="N64" t="s">
        <v>1712</v>
      </c>
      <c r="O64" t="s">
        <v>3004</v>
      </c>
      <c r="P64" t="s">
        <v>1589</v>
      </c>
      <c r="Q64" s="47">
        <v>93.5</v>
      </c>
      <c r="R64" s="48"/>
      <c r="S64" t="s">
        <v>2974</v>
      </c>
      <c r="T64" s="31"/>
      <c r="U64" s="10"/>
    </row>
    <row r="65" spans="1:19" x14ac:dyDescent="0.25">
      <c r="A65">
        <v>2023</v>
      </c>
      <c r="B65" t="s">
        <v>772</v>
      </c>
      <c r="C65" t="s">
        <v>2899</v>
      </c>
      <c r="D65" t="s">
        <v>14</v>
      </c>
      <c r="E65" t="s">
        <v>91</v>
      </c>
      <c r="F65" t="s">
        <v>1126</v>
      </c>
      <c r="H65" t="s">
        <v>2016</v>
      </c>
      <c r="I65" t="s">
        <v>11</v>
      </c>
      <c r="J65" t="s">
        <v>13</v>
      </c>
      <c r="K65" t="s">
        <v>92</v>
      </c>
      <c r="L65" t="s">
        <v>1549</v>
      </c>
      <c r="M65" t="s">
        <v>2989</v>
      </c>
      <c r="N65" t="s">
        <v>1731</v>
      </c>
      <c r="O65" t="s">
        <v>3004</v>
      </c>
      <c r="P65" t="s">
        <v>1567</v>
      </c>
      <c r="Q65" s="47">
        <v>16.149999999999999</v>
      </c>
      <c r="S65" t="s">
        <v>2974</v>
      </c>
    </row>
    <row r="66" spans="1:19" x14ac:dyDescent="0.25">
      <c r="A66">
        <v>2023</v>
      </c>
      <c r="B66" t="s">
        <v>772</v>
      </c>
      <c r="C66" t="s">
        <v>2899</v>
      </c>
      <c r="D66" t="s">
        <v>14</v>
      </c>
      <c r="E66" t="s">
        <v>91</v>
      </c>
      <c r="F66" t="s">
        <v>1126</v>
      </c>
      <c r="H66" t="s">
        <v>2016</v>
      </c>
      <c r="I66" t="s">
        <v>11</v>
      </c>
      <c r="J66" t="s">
        <v>13</v>
      </c>
      <c r="K66" t="s">
        <v>92</v>
      </c>
      <c r="L66" t="s">
        <v>1551</v>
      </c>
      <c r="M66" t="s">
        <v>2989</v>
      </c>
      <c r="N66" t="s">
        <v>1731</v>
      </c>
      <c r="O66" t="s">
        <v>3004</v>
      </c>
      <c r="P66" t="s">
        <v>1589</v>
      </c>
      <c r="Q66" s="47">
        <v>0.44</v>
      </c>
      <c r="S66" t="s">
        <v>2974</v>
      </c>
    </row>
    <row r="67" spans="1:19" x14ac:dyDescent="0.25">
      <c r="A67">
        <v>2023</v>
      </c>
      <c r="B67" t="s">
        <v>772</v>
      </c>
      <c r="C67" t="s">
        <v>2899</v>
      </c>
      <c r="D67" t="s">
        <v>14</v>
      </c>
      <c r="E67" t="s">
        <v>91</v>
      </c>
      <c r="F67" t="s">
        <v>1126</v>
      </c>
      <c r="H67" t="s">
        <v>2016</v>
      </c>
      <c r="I67" t="s">
        <v>11</v>
      </c>
      <c r="J67" t="s">
        <v>13</v>
      </c>
      <c r="K67" t="s">
        <v>92</v>
      </c>
      <c r="L67" t="s">
        <v>1549</v>
      </c>
      <c r="M67" t="s">
        <v>2989</v>
      </c>
      <c r="N67" t="s">
        <v>1712</v>
      </c>
      <c r="O67" t="s">
        <v>3004</v>
      </c>
      <c r="P67" t="s">
        <v>1589</v>
      </c>
      <c r="Q67" s="47">
        <v>85.7</v>
      </c>
      <c r="R67" s="48"/>
      <c r="S67" t="s">
        <v>2974</v>
      </c>
    </row>
    <row r="68" spans="1:19" x14ac:dyDescent="0.25">
      <c r="A68">
        <v>2023</v>
      </c>
      <c r="B68" t="s">
        <v>772</v>
      </c>
      <c r="C68" t="s">
        <v>2899</v>
      </c>
      <c r="D68" t="s">
        <v>14</v>
      </c>
      <c r="E68" t="s">
        <v>91</v>
      </c>
      <c r="F68" t="s">
        <v>1126</v>
      </c>
      <c r="H68" t="s">
        <v>2016</v>
      </c>
      <c r="I68" t="s">
        <v>11</v>
      </c>
      <c r="J68" t="s">
        <v>13</v>
      </c>
      <c r="K68" t="s">
        <v>92</v>
      </c>
      <c r="L68" t="s">
        <v>1551</v>
      </c>
      <c r="M68" t="s">
        <v>2989</v>
      </c>
      <c r="N68" t="s">
        <v>1712</v>
      </c>
      <c r="O68" t="s">
        <v>3004</v>
      </c>
      <c r="P68" t="s">
        <v>1589</v>
      </c>
      <c r="Q68" s="47">
        <v>76.8</v>
      </c>
      <c r="R68" s="48"/>
      <c r="S68" t="s">
        <v>2974</v>
      </c>
    </row>
    <row r="69" spans="1:19" x14ac:dyDescent="0.25">
      <c r="A69">
        <v>2023</v>
      </c>
      <c r="B69" t="s">
        <v>772</v>
      </c>
      <c r="C69" t="s">
        <v>2899</v>
      </c>
      <c r="D69" t="s">
        <v>14</v>
      </c>
      <c r="E69" t="s">
        <v>67</v>
      </c>
      <c r="F69" t="s">
        <v>1128</v>
      </c>
      <c r="H69" t="s">
        <v>2016</v>
      </c>
      <c r="I69" t="s">
        <v>11</v>
      </c>
      <c r="J69" t="s">
        <v>13</v>
      </c>
      <c r="K69" t="s">
        <v>64</v>
      </c>
      <c r="L69" t="s">
        <v>16</v>
      </c>
      <c r="M69" t="s">
        <v>2989</v>
      </c>
      <c r="N69" t="s">
        <v>1731</v>
      </c>
      <c r="O69" t="s">
        <v>3004</v>
      </c>
      <c r="P69" t="s">
        <v>1567</v>
      </c>
      <c r="Q69" s="47">
        <v>15.55</v>
      </c>
      <c r="R69" s="48"/>
      <c r="S69" t="s">
        <v>2974</v>
      </c>
    </row>
    <row r="70" spans="1:19" x14ac:dyDescent="0.25">
      <c r="A70">
        <v>2023</v>
      </c>
      <c r="B70" t="s">
        <v>772</v>
      </c>
      <c r="C70" t="s">
        <v>2899</v>
      </c>
      <c r="D70" t="s">
        <v>14</v>
      </c>
      <c r="E70" t="s">
        <v>67</v>
      </c>
      <c r="F70" t="s">
        <v>1128</v>
      </c>
      <c r="H70" t="s">
        <v>2016</v>
      </c>
      <c r="I70" t="s">
        <v>11</v>
      </c>
      <c r="J70" t="s">
        <v>13</v>
      </c>
      <c r="K70" t="s">
        <v>64</v>
      </c>
      <c r="L70" t="s">
        <v>16</v>
      </c>
      <c r="M70" t="s">
        <v>2989</v>
      </c>
      <c r="N70" t="s">
        <v>1712</v>
      </c>
      <c r="O70" t="s">
        <v>3004</v>
      </c>
      <c r="P70" t="s">
        <v>1589</v>
      </c>
      <c r="Q70" s="47">
        <v>97.4</v>
      </c>
      <c r="R70" s="48"/>
      <c r="S70" t="s">
        <v>2974</v>
      </c>
    </row>
    <row r="71" spans="1:19" x14ac:dyDescent="0.25">
      <c r="A71">
        <v>2023</v>
      </c>
      <c r="B71" t="s">
        <v>772</v>
      </c>
      <c r="C71" t="s">
        <v>2899</v>
      </c>
      <c r="D71" t="s">
        <v>784</v>
      </c>
      <c r="E71" t="s">
        <v>69</v>
      </c>
      <c r="F71" t="s">
        <v>1159</v>
      </c>
      <c r="H71" t="s">
        <v>2031</v>
      </c>
      <c r="I71" t="s">
        <v>11</v>
      </c>
      <c r="J71" t="s">
        <v>19</v>
      </c>
      <c r="K71" t="s">
        <v>64</v>
      </c>
      <c r="L71" t="s">
        <v>1772</v>
      </c>
      <c r="M71" t="s">
        <v>2989</v>
      </c>
      <c r="N71" t="s">
        <v>1776</v>
      </c>
      <c r="O71" t="s">
        <v>3162</v>
      </c>
      <c r="P71" t="s">
        <v>2921</v>
      </c>
      <c r="Q71">
        <v>5.7994562228508197</v>
      </c>
      <c r="R71" t="s">
        <v>3165</v>
      </c>
      <c r="S71" t="s">
        <v>1601</v>
      </c>
    </row>
    <row r="72" spans="1:19" x14ac:dyDescent="0.25">
      <c r="A72">
        <v>2024</v>
      </c>
      <c r="B72" t="s">
        <v>772</v>
      </c>
      <c r="C72" t="s">
        <v>2899</v>
      </c>
      <c r="D72" t="s">
        <v>784</v>
      </c>
      <c r="E72" t="s">
        <v>69</v>
      </c>
      <c r="F72" t="s">
        <v>1159</v>
      </c>
      <c r="H72" t="s">
        <v>2031</v>
      </c>
      <c r="I72" t="s">
        <v>11</v>
      </c>
      <c r="J72" t="s">
        <v>19</v>
      </c>
      <c r="K72" t="s">
        <v>64</v>
      </c>
      <c r="L72" t="s">
        <v>16</v>
      </c>
      <c r="M72" t="s">
        <v>2989</v>
      </c>
      <c r="N72" t="s">
        <v>1630</v>
      </c>
      <c r="O72" t="s">
        <v>3004</v>
      </c>
      <c r="P72" t="s">
        <v>1567</v>
      </c>
      <c r="Q72" s="31">
        <v>0.81</v>
      </c>
      <c r="R72" t="s">
        <v>2928</v>
      </c>
      <c r="S72" t="s">
        <v>1601</v>
      </c>
    </row>
    <row r="73" spans="1:19" x14ac:dyDescent="0.25">
      <c r="A73">
        <v>2024</v>
      </c>
      <c r="B73" t="s">
        <v>772</v>
      </c>
      <c r="C73" t="s">
        <v>2899</v>
      </c>
      <c r="D73" t="s">
        <v>784</v>
      </c>
      <c r="E73" t="s">
        <v>69</v>
      </c>
      <c r="F73" t="s">
        <v>1159</v>
      </c>
      <c r="H73" t="s">
        <v>2031</v>
      </c>
      <c r="I73" t="s">
        <v>11</v>
      </c>
      <c r="J73" t="s">
        <v>19</v>
      </c>
      <c r="K73" t="s">
        <v>64</v>
      </c>
      <c r="L73" t="s">
        <v>16</v>
      </c>
      <c r="M73" t="s">
        <v>2989</v>
      </c>
      <c r="N73" t="s">
        <v>1731</v>
      </c>
      <c r="O73" t="s">
        <v>3004</v>
      </c>
      <c r="P73" t="s">
        <v>1567</v>
      </c>
      <c r="Q73" s="31">
        <v>0.91</v>
      </c>
      <c r="R73" t="s">
        <v>2928</v>
      </c>
      <c r="S73" t="s">
        <v>1601</v>
      </c>
    </row>
    <row r="74" spans="1:19" x14ac:dyDescent="0.25">
      <c r="A74">
        <v>2024</v>
      </c>
      <c r="B74" t="s">
        <v>772</v>
      </c>
      <c r="C74" t="s">
        <v>2899</v>
      </c>
      <c r="D74" t="s">
        <v>784</v>
      </c>
      <c r="E74" t="s">
        <v>69</v>
      </c>
      <c r="F74" t="s">
        <v>1159</v>
      </c>
      <c r="H74" t="s">
        <v>2031</v>
      </c>
      <c r="I74" t="s">
        <v>11</v>
      </c>
      <c r="J74" t="s">
        <v>19</v>
      </c>
      <c r="K74" t="s">
        <v>64</v>
      </c>
      <c r="L74" t="s">
        <v>16</v>
      </c>
      <c r="M74" t="s">
        <v>2989</v>
      </c>
      <c r="N74" t="s">
        <v>1712</v>
      </c>
      <c r="O74" t="s">
        <v>3004</v>
      </c>
      <c r="P74" t="s">
        <v>1589</v>
      </c>
      <c r="Q74" s="31">
        <v>95</v>
      </c>
      <c r="R74" t="s">
        <v>2928</v>
      </c>
      <c r="S74" t="s">
        <v>1601</v>
      </c>
    </row>
    <row r="75" spans="1:19" x14ac:dyDescent="0.25">
      <c r="A75">
        <v>2023</v>
      </c>
      <c r="B75" t="s">
        <v>772</v>
      </c>
      <c r="C75" t="s">
        <v>2899</v>
      </c>
      <c r="D75" t="s">
        <v>138</v>
      </c>
      <c r="E75" t="s">
        <v>139</v>
      </c>
      <c r="F75" t="s">
        <v>1285</v>
      </c>
      <c r="H75" t="s">
        <v>2106</v>
      </c>
      <c r="I75" t="s">
        <v>11</v>
      </c>
      <c r="J75" t="s">
        <v>44</v>
      </c>
      <c r="K75" t="s">
        <v>141</v>
      </c>
      <c r="L75" t="s">
        <v>1765</v>
      </c>
      <c r="M75" t="s">
        <v>2989</v>
      </c>
      <c r="N75" t="s">
        <v>1731</v>
      </c>
      <c r="O75" t="s">
        <v>3004</v>
      </c>
      <c r="P75" t="s">
        <v>1589</v>
      </c>
      <c r="Q75" s="31">
        <v>0.01</v>
      </c>
      <c r="S75" t="s">
        <v>2107</v>
      </c>
    </row>
    <row r="76" spans="1:19" x14ac:dyDescent="0.25">
      <c r="A76">
        <v>2023</v>
      </c>
      <c r="B76" t="s">
        <v>772</v>
      </c>
      <c r="C76" t="s">
        <v>2899</v>
      </c>
      <c r="D76" t="s">
        <v>138</v>
      </c>
      <c r="E76" t="s">
        <v>139</v>
      </c>
      <c r="F76" t="s">
        <v>1285</v>
      </c>
      <c r="H76" t="s">
        <v>2106</v>
      </c>
      <c r="I76" t="s">
        <v>11</v>
      </c>
      <c r="J76" t="s">
        <v>44</v>
      </c>
      <c r="K76" t="s">
        <v>141</v>
      </c>
      <c r="L76" t="s">
        <v>1769</v>
      </c>
      <c r="M76" t="s">
        <v>2989</v>
      </c>
      <c r="N76" t="s">
        <v>1731</v>
      </c>
      <c r="O76" t="s">
        <v>3004</v>
      </c>
      <c r="P76" t="s">
        <v>1567</v>
      </c>
      <c r="Q76" s="31">
        <v>1.34</v>
      </c>
      <c r="S76" t="s">
        <v>2107</v>
      </c>
    </row>
    <row r="77" spans="1:19" x14ac:dyDescent="0.25">
      <c r="A77">
        <v>2023</v>
      </c>
      <c r="B77" t="s">
        <v>772</v>
      </c>
      <c r="C77" t="s">
        <v>2899</v>
      </c>
      <c r="D77" t="s">
        <v>138</v>
      </c>
      <c r="E77" t="s">
        <v>139</v>
      </c>
      <c r="F77" t="s">
        <v>1285</v>
      </c>
      <c r="H77" t="s">
        <v>2106</v>
      </c>
      <c r="I77" t="s">
        <v>11</v>
      </c>
      <c r="J77" t="s">
        <v>44</v>
      </c>
      <c r="K77" t="s">
        <v>141</v>
      </c>
      <c r="L77" t="s">
        <v>1768</v>
      </c>
      <c r="M77" t="s">
        <v>2989</v>
      </c>
      <c r="N77" t="s">
        <v>1731</v>
      </c>
      <c r="O77" t="s">
        <v>3004</v>
      </c>
      <c r="P77" t="s">
        <v>1567</v>
      </c>
      <c r="Q77" s="31">
        <v>1.03</v>
      </c>
      <c r="S77" t="s">
        <v>2107</v>
      </c>
    </row>
    <row r="78" spans="1:19" x14ac:dyDescent="0.25">
      <c r="A78">
        <v>2023</v>
      </c>
      <c r="B78" t="s">
        <v>772</v>
      </c>
      <c r="C78" t="s">
        <v>2899</v>
      </c>
      <c r="D78" t="s">
        <v>138</v>
      </c>
      <c r="E78" t="s">
        <v>139</v>
      </c>
      <c r="F78" t="s">
        <v>1285</v>
      </c>
      <c r="H78" t="s">
        <v>2106</v>
      </c>
      <c r="I78" t="s">
        <v>11</v>
      </c>
      <c r="J78" t="s">
        <v>44</v>
      </c>
      <c r="K78" t="s">
        <v>141</v>
      </c>
      <c r="L78" t="s">
        <v>1549</v>
      </c>
      <c r="M78" t="s">
        <v>2989</v>
      </c>
      <c r="N78" t="s">
        <v>1731</v>
      </c>
      <c r="O78" t="s">
        <v>3004</v>
      </c>
      <c r="P78" t="s">
        <v>1567</v>
      </c>
      <c r="Q78" s="31">
        <v>14.05</v>
      </c>
      <c r="S78" t="s">
        <v>2107</v>
      </c>
    </row>
    <row r="79" spans="1:19" x14ac:dyDescent="0.25">
      <c r="A79">
        <v>2023</v>
      </c>
      <c r="B79" t="s">
        <v>772</v>
      </c>
      <c r="C79" t="s">
        <v>2899</v>
      </c>
      <c r="D79" t="s">
        <v>138</v>
      </c>
      <c r="E79" t="s">
        <v>139</v>
      </c>
      <c r="F79" t="s">
        <v>1285</v>
      </c>
      <c r="H79" t="s">
        <v>2106</v>
      </c>
      <c r="I79" t="s">
        <v>11</v>
      </c>
      <c r="J79" t="s">
        <v>44</v>
      </c>
      <c r="K79" t="s">
        <v>141</v>
      </c>
      <c r="L79" t="s">
        <v>16</v>
      </c>
      <c r="M79" t="s">
        <v>2989</v>
      </c>
      <c r="N79" t="s">
        <v>1731</v>
      </c>
      <c r="O79" t="s">
        <v>3004</v>
      </c>
      <c r="P79" t="s">
        <v>1567</v>
      </c>
      <c r="Q79" s="31">
        <v>0.41</v>
      </c>
      <c r="S79" s="22" t="s">
        <v>2107</v>
      </c>
    </row>
    <row r="80" spans="1:19" x14ac:dyDescent="0.25">
      <c r="A80">
        <v>2023</v>
      </c>
      <c r="B80" t="s">
        <v>772</v>
      </c>
      <c r="C80" t="s">
        <v>2899</v>
      </c>
      <c r="D80" t="s">
        <v>138</v>
      </c>
      <c r="E80" t="s">
        <v>139</v>
      </c>
      <c r="F80" t="s">
        <v>1285</v>
      </c>
      <c r="H80" t="s">
        <v>2106</v>
      </c>
      <c r="I80" t="s">
        <v>11</v>
      </c>
      <c r="J80" t="s">
        <v>44</v>
      </c>
      <c r="K80" t="s">
        <v>141</v>
      </c>
      <c r="L80" t="s">
        <v>125</v>
      </c>
      <c r="M80" t="s">
        <v>2989</v>
      </c>
      <c r="N80" t="s">
        <v>1731</v>
      </c>
      <c r="O80" t="s">
        <v>3004</v>
      </c>
      <c r="P80" t="s">
        <v>1589</v>
      </c>
      <c r="Q80" s="31">
        <v>1.59</v>
      </c>
      <c r="S80" t="s">
        <v>2107</v>
      </c>
    </row>
    <row r="81" spans="1:19" x14ac:dyDescent="0.25">
      <c r="A81">
        <v>2023</v>
      </c>
      <c r="B81" t="s">
        <v>772</v>
      </c>
      <c r="C81" t="s">
        <v>2899</v>
      </c>
      <c r="D81" t="s">
        <v>138</v>
      </c>
      <c r="E81" t="s">
        <v>139</v>
      </c>
      <c r="F81" t="s">
        <v>1285</v>
      </c>
      <c r="H81" t="s">
        <v>2106</v>
      </c>
      <c r="I81" t="s">
        <v>11</v>
      </c>
      <c r="J81" t="s">
        <v>44</v>
      </c>
      <c r="K81" t="s">
        <v>141</v>
      </c>
      <c r="L81" t="s">
        <v>557</v>
      </c>
      <c r="M81" t="s">
        <v>2989</v>
      </c>
      <c r="N81" t="s">
        <v>1731</v>
      </c>
      <c r="O81" t="s">
        <v>3004</v>
      </c>
      <c r="P81" t="s">
        <v>1589</v>
      </c>
      <c r="Q81" s="31">
        <v>0.23</v>
      </c>
      <c r="S81" t="s">
        <v>2107</v>
      </c>
    </row>
    <row r="82" spans="1:19" x14ac:dyDescent="0.25">
      <c r="A82">
        <v>2023</v>
      </c>
      <c r="B82" t="s">
        <v>1537</v>
      </c>
      <c r="C82" t="s">
        <v>2899</v>
      </c>
      <c r="D82" t="s">
        <v>14</v>
      </c>
      <c r="E82" t="s">
        <v>20</v>
      </c>
      <c r="G82" t="s">
        <v>1749</v>
      </c>
      <c r="H82" t="s">
        <v>2016</v>
      </c>
      <c r="I82" t="s">
        <v>11</v>
      </c>
      <c r="J82" t="s">
        <v>23</v>
      </c>
      <c r="K82" t="s">
        <v>16</v>
      </c>
      <c r="L82" t="s">
        <v>1772</v>
      </c>
      <c r="M82" t="s">
        <v>2989</v>
      </c>
      <c r="N82" t="s">
        <v>1776</v>
      </c>
      <c r="O82" t="s">
        <v>3162</v>
      </c>
      <c r="P82" t="s">
        <v>2921</v>
      </c>
      <c r="Q82">
        <v>9.5538046923556639</v>
      </c>
      <c r="R82" t="s">
        <v>3163</v>
      </c>
      <c r="S82" t="s">
        <v>1547</v>
      </c>
    </row>
    <row r="83" spans="1:19" x14ac:dyDescent="0.25">
      <c r="A83">
        <v>2023</v>
      </c>
      <c r="B83" t="s">
        <v>1537</v>
      </c>
      <c r="C83" t="s">
        <v>2899</v>
      </c>
      <c r="D83" t="s">
        <v>14</v>
      </c>
      <c r="E83" t="s">
        <v>20</v>
      </c>
      <c r="G83" t="s">
        <v>1749</v>
      </c>
      <c r="H83" t="s">
        <v>2016</v>
      </c>
      <c r="I83" t="s">
        <v>11</v>
      </c>
      <c r="J83" t="s">
        <v>23</v>
      </c>
      <c r="K83" t="s">
        <v>16</v>
      </c>
      <c r="L83" t="s">
        <v>16</v>
      </c>
      <c r="M83" t="s">
        <v>2989</v>
      </c>
      <c r="N83" t="s">
        <v>1731</v>
      </c>
      <c r="O83" t="s">
        <v>3004</v>
      </c>
      <c r="P83" t="s">
        <v>1567</v>
      </c>
      <c r="Q83">
        <v>3.86</v>
      </c>
      <c r="S83" t="s">
        <v>2974</v>
      </c>
    </row>
    <row r="84" spans="1:19" x14ac:dyDescent="0.25">
      <c r="A84">
        <v>2023</v>
      </c>
      <c r="B84" t="s">
        <v>1537</v>
      </c>
      <c r="C84" t="s">
        <v>2899</v>
      </c>
      <c r="D84" t="s">
        <v>14</v>
      </c>
      <c r="E84" t="s">
        <v>20</v>
      </c>
      <c r="G84" t="s">
        <v>1749</v>
      </c>
      <c r="H84" t="s">
        <v>2016</v>
      </c>
      <c r="I84" t="s">
        <v>11</v>
      </c>
      <c r="J84" t="s">
        <v>23</v>
      </c>
      <c r="K84" t="s">
        <v>16</v>
      </c>
      <c r="L84" t="s">
        <v>16</v>
      </c>
      <c r="M84" t="s">
        <v>2989</v>
      </c>
      <c r="N84" t="s">
        <v>1712</v>
      </c>
      <c r="O84" t="s">
        <v>3004</v>
      </c>
      <c r="P84" t="s">
        <v>1589</v>
      </c>
      <c r="Q84">
        <v>90.6</v>
      </c>
      <c r="S84" t="s">
        <v>2974</v>
      </c>
    </row>
    <row r="85" spans="1:19" x14ac:dyDescent="0.25">
      <c r="A85">
        <v>2023</v>
      </c>
      <c r="B85" t="s">
        <v>772</v>
      </c>
      <c r="C85" t="s">
        <v>2899</v>
      </c>
      <c r="D85" t="s">
        <v>14</v>
      </c>
      <c r="E85" t="s">
        <v>22</v>
      </c>
      <c r="F85" t="s">
        <v>1129</v>
      </c>
      <c r="H85" t="s">
        <v>2016</v>
      </c>
      <c r="I85" t="s">
        <v>11</v>
      </c>
      <c r="J85" t="s">
        <v>13</v>
      </c>
      <c r="K85" t="s">
        <v>16</v>
      </c>
      <c r="L85" t="s">
        <v>1772</v>
      </c>
      <c r="M85" t="s">
        <v>2989</v>
      </c>
      <c r="N85" t="s">
        <v>1776</v>
      </c>
      <c r="O85" t="s">
        <v>3162</v>
      </c>
      <c r="P85" t="s">
        <v>2921</v>
      </c>
      <c r="Q85">
        <v>3.1482939488870225</v>
      </c>
      <c r="R85" t="s">
        <v>3163</v>
      </c>
      <c r="S85" t="s">
        <v>1547</v>
      </c>
    </row>
    <row r="86" spans="1:19" x14ac:dyDescent="0.25">
      <c r="A86">
        <v>2023</v>
      </c>
      <c r="B86" t="s">
        <v>772</v>
      </c>
      <c r="C86" t="s">
        <v>2899</v>
      </c>
      <c r="D86" t="s">
        <v>14</v>
      </c>
      <c r="E86" t="s">
        <v>22</v>
      </c>
      <c r="F86" t="s">
        <v>1129</v>
      </c>
      <c r="H86" t="s">
        <v>2016</v>
      </c>
      <c r="I86" t="s">
        <v>11</v>
      </c>
      <c r="J86" t="s">
        <v>13</v>
      </c>
      <c r="K86" t="s">
        <v>16</v>
      </c>
      <c r="L86" t="s">
        <v>16</v>
      </c>
      <c r="M86" t="s">
        <v>2989</v>
      </c>
      <c r="N86" t="s">
        <v>1731</v>
      </c>
      <c r="O86" t="s">
        <v>3004</v>
      </c>
      <c r="P86" t="s">
        <v>1567</v>
      </c>
      <c r="Q86">
        <v>6.11</v>
      </c>
      <c r="S86" t="s">
        <v>2974</v>
      </c>
    </row>
    <row r="87" spans="1:19" x14ac:dyDescent="0.25">
      <c r="A87">
        <v>2023</v>
      </c>
      <c r="B87" t="s">
        <v>772</v>
      </c>
      <c r="C87" t="s">
        <v>2899</v>
      </c>
      <c r="D87" t="s">
        <v>14</v>
      </c>
      <c r="E87" t="s">
        <v>22</v>
      </c>
      <c r="F87" t="s">
        <v>1129</v>
      </c>
      <c r="H87" t="s">
        <v>2016</v>
      </c>
      <c r="I87" t="s">
        <v>11</v>
      </c>
      <c r="J87" t="s">
        <v>13</v>
      </c>
      <c r="K87" t="s">
        <v>16</v>
      </c>
      <c r="L87" t="s">
        <v>16</v>
      </c>
      <c r="M87" t="s">
        <v>2989</v>
      </c>
      <c r="N87" t="s">
        <v>1712</v>
      </c>
      <c r="O87" t="s">
        <v>3004</v>
      </c>
      <c r="P87" t="s">
        <v>1589</v>
      </c>
      <c r="Q87">
        <v>96.6</v>
      </c>
      <c r="S87" t="s">
        <v>2974</v>
      </c>
    </row>
    <row r="88" spans="1:19" x14ac:dyDescent="0.25">
      <c r="A88">
        <v>2023</v>
      </c>
      <c r="B88" t="s">
        <v>772</v>
      </c>
      <c r="C88" t="s">
        <v>2899</v>
      </c>
      <c r="D88" t="s">
        <v>793</v>
      </c>
      <c r="E88" t="s">
        <v>129</v>
      </c>
      <c r="F88" t="s">
        <v>1190</v>
      </c>
      <c r="H88" t="s">
        <v>2046</v>
      </c>
      <c r="I88" t="s">
        <v>11</v>
      </c>
      <c r="J88" t="s">
        <v>19</v>
      </c>
      <c r="K88" t="s">
        <v>130</v>
      </c>
      <c r="L88" t="s">
        <v>125</v>
      </c>
      <c r="M88" t="s">
        <v>2989</v>
      </c>
      <c r="N88" t="s">
        <v>1731</v>
      </c>
      <c r="O88" t="s">
        <v>3004</v>
      </c>
      <c r="P88" t="s">
        <v>1589</v>
      </c>
      <c r="Q88" s="31">
        <v>0.18</v>
      </c>
      <c r="S88" t="s">
        <v>1879</v>
      </c>
    </row>
    <row r="89" spans="1:19" x14ac:dyDescent="0.25">
      <c r="A89">
        <v>2023</v>
      </c>
      <c r="B89" t="s">
        <v>772</v>
      </c>
      <c r="C89" t="s">
        <v>2899</v>
      </c>
      <c r="D89" t="s">
        <v>793</v>
      </c>
      <c r="E89" t="s">
        <v>129</v>
      </c>
      <c r="F89" t="s">
        <v>1190</v>
      </c>
      <c r="H89" t="s">
        <v>3139</v>
      </c>
      <c r="I89" t="s">
        <v>11</v>
      </c>
      <c r="J89" t="s">
        <v>19</v>
      </c>
      <c r="K89" t="s">
        <v>130</v>
      </c>
      <c r="L89" t="s">
        <v>125</v>
      </c>
      <c r="M89" t="s">
        <v>2989</v>
      </c>
      <c r="N89" t="s">
        <v>1712</v>
      </c>
      <c r="O89" t="s">
        <v>3004</v>
      </c>
      <c r="P89" t="s">
        <v>1589</v>
      </c>
      <c r="Q89" s="31">
        <v>77.599999999999994</v>
      </c>
      <c r="S89" t="s">
        <v>1879</v>
      </c>
    </row>
    <row r="90" spans="1:19" x14ac:dyDescent="0.25">
      <c r="A90">
        <v>2023</v>
      </c>
      <c r="B90" t="s">
        <v>772</v>
      </c>
      <c r="C90" t="s">
        <v>2899</v>
      </c>
      <c r="D90" t="s">
        <v>793</v>
      </c>
      <c r="E90" t="s">
        <v>129</v>
      </c>
      <c r="F90" t="s">
        <v>1190</v>
      </c>
      <c r="H90" t="s">
        <v>3140</v>
      </c>
      <c r="I90" t="s">
        <v>11</v>
      </c>
      <c r="J90" t="s">
        <v>19</v>
      </c>
      <c r="K90" t="s">
        <v>130</v>
      </c>
      <c r="L90" t="s">
        <v>16</v>
      </c>
      <c r="M90" t="s">
        <v>2989</v>
      </c>
      <c r="N90" t="s">
        <v>1731</v>
      </c>
      <c r="O90" t="s">
        <v>3004</v>
      </c>
      <c r="P90" t="s">
        <v>1567</v>
      </c>
      <c r="Q90" s="31">
        <v>0.36</v>
      </c>
      <c r="S90" t="s">
        <v>1879</v>
      </c>
    </row>
    <row r="91" spans="1:19" x14ac:dyDescent="0.25">
      <c r="A91">
        <v>2023</v>
      </c>
      <c r="B91" t="s">
        <v>772</v>
      </c>
      <c r="C91" t="s">
        <v>2899</v>
      </c>
      <c r="D91" t="s">
        <v>793</v>
      </c>
      <c r="E91" t="s">
        <v>129</v>
      </c>
      <c r="F91" t="s">
        <v>1190</v>
      </c>
      <c r="H91" t="s">
        <v>3141</v>
      </c>
      <c r="I91" t="s">
        <v>11</v>
      </c>
      <c r="J91" t="s">
        <v>19</v>
      </c>
      <c r="K91" t="s">
        <v>130</v>
      </c>
      <c r="L91" t="s">
        <v>16</v>
      </c>
      <c r="M91" t="s">
        <v>2989</v>
      </c>
      <c r="N91" t="s">
        <v>1712</v>
      </c>
      <c r="O91" t="s">
        <v>3004</v>
      </c>
      <c r="P91" t="s">
        <v>1589</v>
      </c>
      <c r="Q91" s="31">
        <v>64</v>
      </c>
      <c r="S91" t="s">
        <v>1879</v>
      </c>
    </row>
    <row r="92" spans="1:19" x14ac:dyDescent="0.25">
      <c r="A92">
        <v>2023</v>
      </c>
      <c r="B92" t="s">
        <v>772</v>
      </c>
      <c r="C92" t="s">
        <v>2899</v>
      </c>
      <c r="D92" t="s">
        <v>82</v>
      </c>
      <c r="E92" t="s">
        <v>83</v>
      </c>
      <c r="F92" t="s">
        <v>1278</v>
      </c>
      <c r="H92" t="s">
        <v>2103</v>
      </c>
      <c r="I92" t="s">
        <v>11</v>
      </c>
      <c r="J92" t="s">
        <v>19</v>
      </c>
      <c r="K92" t="s">
        <v>84</v>
      </c>
      <c r="L92" t="s">
        <v>125</v>
      </c>
      <c r="M92" t="s">
        <v>2989</v>
      </c>
      <c r="N92" t="s">
        <v>1630</v>
      </c>
      <c r="O92" t="s">
        <v>3004</v>
      </c>
      <c r="P92" t="s">
        <v>1589</v>
      </c>
      <c r="Q92" s="31">
        <v>0.28699999999999998</v>
      </c>
      <c r="S92" t="s">
        <v>1933</v>
      </c>
    </row>
    <row r="93" spans="1:19" x14ac:dyDescent="0.25">
      <c r="A93">
        <v>2023</v>
      </c>
      <c r="B93" t="s">
        <v>772</v>
      </c>
      <c r="C93" t="s">
        <v>2899</v>
      </c>
      <c r="D93" t="s">
        <v>82</v>
      </c>
      <c r="E93" t="s">
        <v>83</v>
      </c>
      <c r="F93" t="s">
        <v>1278</v>
      </c>
      <c r="H93" t="s">
        <v>2103</v>
      </c>
      <c r="I93" t="s">
        <v>11</v>
      </c>
      <c r="J93" t="s">
        <v>19</v>
      </c>
      <c r="K93" t="s">
        <v>84</v>
      </c>
      <c r="L93" t="s">
        <v>125</v>
      </c>
      <c r="M93" t="s">
        <v>2989</v>
      </c>
      <c r="N93" t="s">
        <v>1712</v>
      </c>
      <c r="O93" t="s">
        <v>3004</v>
      </c>
      <c r="P93" t="s">
        <v>1589</v>
      </c>
      <c r="Q93" s="31">
        <v>80</v>
      </c>
      <c r="S93" t="s">
        <v>1933</v>
      </c>
    </row>
    <row r="94" spans="1:19" x14ac:dyDescent="0.25">
      <c r="A94">
        <v>2023</v>
      </c>
      <c r="B94" t="s">
        <v>772</v>
      </c>
      <c r="C94" t="s">
        <v>2899</v>
      </c>
      <c r="D94" t="s">
        <v>82</v>
      </c>
      <c r="E94" t="s">
        <v>83</v>
      </c>
      <c r="F94" t="s">
        <v>1278</v>
      </c>
      <c r="H94" t="s">
        <v>2103</v>
      </c>
      <c r="I94" t="s">
        <v>11</v>
      </c>
      <c r="J94" t="s">
        <v>19</v>
      </c>
      <c r="K94" t="s">
        <v>84</v>
      </c>
      <c r="L94" t="s">
        <v>16</v>
      </c>
      <c r="M94" t="s">
        <v>2989</v>
      </c>
      <c r="N94" t="s">
        <v>1630</v>
      </c>
      <c r="O94" t="s">
        <v>3004</v>
      </c>
      <c r="P94" t="s">
        <v>1567</v>
      </c>
      <c r="Q94" s="31">
        <v>0.311</v>
      </c>
      <c r="S94" t="s">
        <v>1933</v>
      </c>
    </row>
    <row r="95" spans="1:19" x14ac:dyDescent="0.25">
      <c r="A95">
        <v>2023</v>
      </c>
      <c r="B95" t="s">
        <v>772</v>
      </c>
      <c r="C95" t="s">
        <v>2899</v>
      </c>
      <c r="D95" t="s">
        <v>82</v>
      </c>
      <c r="E95" t="s">
        <v>83</v>
      </c>
      <c r="F95" t="s">
        <v>1278</v>
      </c>
      <c r="H95" t="s">
        <v>2103</v>
      </c>
      <c r="I95" t="s">
        <v>11</v>
      </c>
      <c r="J95" t="s">
        <v>19</v>
      </c>
      <c r="K95" t="s">
        <v>84</v>
      </c>
      <c r="L95" t="s">
        <v>16</v>
      </c>
      <c r="M95" t="s">
        <v>2989</v>
      </c>
      <c r="N95" t="s">
        <v>1712</v>
      </c>
      <c r="O95" t="s">
        <v>3004</v>
      </c>
      <c r="P95" t="s">
        <v>1589</v>
      </c>
      <c r="Q95" s="31">
        <v>70.400000000000006</v>
      </c>
      <c r="S95" t="s">
        <v>1933</v>
      </c>
    </row>
    <row r="96" spans="1:19" x14ac:dyDescent="0.25">
      <c r="A96">
        <v>2023</v>
      </c>
      <c r="B96" t="s">
        <v>772</v>
      </c>
      <c r="C96" t="s">
        <v>2899</v>
      </c>
      <c r="D96" t="s">
        <v>39</v>
      </c>
      <c r="E96" t="s">
        <v>78</v>
      </c>
      <c r="F96" t="s">
        <v>1321</v>
      </c>
      <c r="H96" t="s">
        <v>2133</v>
      </c>
      <c r="I96" t="s">
        <v>11</v>
      </c>
      <c r="J96" t="s">
        <v>19</v>
      </c>
      <c r="K96" t="s">
        <v>84</v>
      </c>
      <c r="L96" t="s">
        <v>1772</v>
      </c>
      <c r="M96" t="s">
        <v>2989</v>
      </c>
      <c r="N96" t="s">
        <v>1776</v>
      </c>
      <c r="O96" t="s">
        <v>3162</v>
      </c>
      <c r="P96" t="s">
        <v>2921</v>
      </c>
      <c r="Q96">
        <v>0.68211478599221698</v>
      </c>
      <c r="R96" t="s">
        <v>3164</v>
      </c>
      <c r="S96" t="s">
        <v>1598</v>
      </c>
    </row>
    <row r="97" spans="1:19" x14ac:dyDescent="0.25">
      <c r="A97">
        <v>2023</v>
      </c>
      <c r="B97" t="s">
        <v>772</v>
      </c>
      <c r="C97" t="s">
        <v>2899</v>
      </c>
      <c r="D97" t="s">
        <v>39</v>
      </c>
      <c r="E97" t="s">
        <v>78</v>
      </c>
      <c r="F97" t="s">
        <v>1321</v>
      </c>
      <c r="H97" t="s">
        <v>2133</v>
      </c>
      <c r="I97" t="s">
        <v>11</v>
      </c>
      <c r="J97" t="s">
        <v>21</v>
      </c>
      <c r="K97" t="s">
        <v>64</v>
      </c>
      <c r="L97" t="s">
        <v>1772</v>
      </c>
      <c r="M97" t="s">
        <v>2989</v>
      </c>
      <c r="N97" t="s">
        <v>1595</v>
      </c>
      <c r="O97" t="s">
        <v>3004</v>
      </c>
      <c r="P97" t="s">
        <v>1567</v>
      </c>
      <c r="Q97" s="31">
        <v>5.7009999999999996</v>
      </c>
      <c r="S97" t="s">
        <v>1596</v>
      </c>
    </row>
    <row r="98" spans="1:19" x14ac:dyDescent="0.25">
      <c r="A98">
        <v>2023</v>
      </c>
      <c r="B98" t="s">
        <v>772</v>
      </c>
      <c r="C98" t="s">
        <v>2899</v>
      </c>
      <c r="D98" t="s">
        <v>39</v>
      </c>
      <c r="E98" t="s">
        <v>78</v>
      </c>
      <c r="F98" t="s">
        <v>1321</v>
      </c>
      <c r="H98" t="s">
        <v>2133</v>
      </c>
      <c r="I98" t="s">
        <v>11</v>
      </c>
      <c r="J98" t="s">
        <v>21</v>
      </c>
      <c r="K98" t="s">
        <v>64</v>
      </c>
      <c r="L98" t="s">
        <v>1772</v>
      </c>
      <c r="M98" t="s">
        <v>2989</v>
      </c>
      <c r="N98" t="s">
        <v>1599</v>
      </c>
      <c r="O98" t="s">
        <v>3004</v>
      </c>
      <c r="P98" t="s">
        <v>1589</v>
      </c>
      <c r="Q98" s="31">
        <v>95.7</v>
      </c>
      <c r="S98" t="s">
        <v>1597</v>
      </c>
    </row>
    <row r="99" spans="1:19" x14ac:dyDescent="0.25">
      <c r="A99">
        <v>2023</v>
      </c>
      <c r="B99" t="s">
        <v>772</v>
      </c>
      <c r="C99" t="s">
        <v>2899</v>
      </c>
      <c r="D99" t="s">
        <v>755</v>
      </c>
      <c r="E99" t="s">
        <v>85</v>
      </c>
      <c r="F99" t="s">
        <v>1315</v>
      </c>
      <c r="H99" t="s">
        <v>2132</v>
      </c>
      <c r="I99" t="s">
        <v>11</v>
      </c>
      <c r="J99" t="s">
        <v>23</v>
      </c>
      <c r="K99" t="s">
        <v>84</v>
      </c>
      <c r="L99" t="s">
        <v>125</v>
      </c>
      <c r="M99" t="s">
        <v>2989</v>
      </c>
      <c r="N99" t="s">
        <v>1630</v>
      </c>
      <c r="O99" t="s">
        <v>3004</v>
      </c>
      <c r="P99" t="s">
        <v>1589</v>
      </c>
      <c r="Q99" s="31">
        <v>0.77</v>
      </c>
      <c r="R99" t="s">
        <v>3143</v>
      </c>
      <c r="S99" t="s">
        <v>1710</v>
      </c>
    </row>
    <row r="100" spans="1:19" x14ac:dyDescent="0.25">
      <c r="A100">
        <v>2023</v>
      </c>
      <c r="B100" t="s">
        <v>772</v>
      </c>
      <c r="C100" t="s">
        <v>2899</v>
      </c>
      <c r="D100" t="s">
        <v>755</v>
      </c>
      <c r="E100" t="s">
        <v>85</v>
      </c>
      <c r="F100" t="s">
        <v>1315</v>
      </c>
      <c r="H100" t="s">
        <v>2132</v>
      </c>
      <c r="I100" t="s">
        <v>11</v>
      </c>
      <c r="J100" t="s">
        <v>23</v>
      </c>
      <c r="K100" t="s">
        <v>84</v>
      </c>
      <c r="L100" t="s">
        <v>125</v>
      </c>
      <c r="M100" t="s">
        <v>2989</v>
      </c>
      <c r="N100" t="s">
        <v>1712</v>
      </c>
      <c r="O100" t="s">
        <v>3004</v>
      </c>
      <c r="P100" t="s">
        <v>1589</v>
      </c>
      <c r="Q100" s="31">
        <v>91</v>
      </c>
      <c r="S100" t="s">
        <v>1710</v>
      </c>
    </row>
    <row r="101" spans="1:19" x14ac:dyDescent="0.25">
      <c r="A101">
        <v>2023</v>
      </c>
      <c r="B101" t="s">
        <v>772</v>
      </c>
      <c r="C101" t="s">
        <v>2899</v>
      </c>
      <c r="D101" t="s">
        <v>755</v>
      </c>
      <c r="E101" t="s">
        <v>85</v>
      </c>
      <c r="F101" t="s">
        <v>1315</v>
      </c>
      <c r="H101" t="s">
        <v>2132</v>
      </c>
      <c r="I101" t="s">
        <v>11</v>
      </c>
      <c r="J101" t="s">
        <v>23</v>
      </c>
      <c r="K101" t="s">
        <v>84</v>
      </c>
      <c r="L101" t="s">
        <v>1772</v>
      </c>
      <c r="M101" t="s">
        <v>2989</v>
      </c>
      <c r="N101" t="s">
        <v>1776</v>
      </c>
      <c r="O101" t="s">
        <v>3162</v>
      </c>
      <c r="P101" t="s">
        <v>2921</v>
      </c>
      <c r="Q101">
        <v>0.18713344208809099</v>
      </c>
      <c r="R101" t="s">
        <v>3169</v>
      </c>
      <c r="S101" t="s">
        <v>1710</v>
      </c>
    </row>
    <row r="102" spans="1:19" x14ac:dyDescent="0.25">
      <c r="A102">
        <v>2023</v>
      </c>
      <c r="B102" t="s">
        <v>772</v>
      </c>
      <c r="C102" t="s">
        <v>2899</v>
      </c>
      <c r="D102" t="s">
        <v>755</v>
      </c>
      <c r="E102" t="s">
        <v>85</v>
      </c>
      <c r="F102" t="s">
        <v>1315</v>
      </c>
      <c r="H102" t="s">
        <v>2132</v>
      </c>
      <c r="I102" t="s">
        <v>11</v>
      </c>
      <c r="J102" t="s">
        <v>23</v>
      </c>
      <c r="K102" t="s">
        <v>84</v>
      </c>
      <c r="L102" t="s">
        <v>16</v>
      </c>
      <c r="M102" t="s">
        <v>2989</v>
      </c>
      <c r="N102" t="s">
        <v>1630</v>
      </c>
      <c r="O102" t="s">
        <v>3004</v>
      </c>
      <c r="P102" t="s">
        <v>1567</v>
      </c>
      <c r="Q102" s="31">
        <v>0.72</v>
      </c>
      <c r="R102" t="s">
        <v>3143</v>
      </c>
      <c r="S102" t="s">
        <v>1710</v>
      </c>
    </row>
    <row r="103" spans="1:19" x14ac:dyDescent="0.25">
      <c r="A103">
        <v>2023</v>
      </c>
      <c r="B103" t="s">
        <v>772</v>
      </c>
      <c r="C103" t="s">
        <v>2899</v>
      </c>
      <c r="D103" t="s">
        <v>755</v>
      </c>
      <c r="E103" t="s">
        <v>85</v>
      </c>
      <c r="F103" t="s">
        <v>1315</v>
      </c>
      <c r="H103" t="s">
        <v>2132</v>
      </c>
      <c r="I103" t="s">
        <v>11</v>
      </c>
      <c r="J103" t="s">
        <v>23</v>
      </c>
      <c r="K103" t="s">
        <v>84</v>
      </c>
      <c r="L103" t="s">
        <v>16</v>
      </c>
      <c r="M103" t="s">
        <v>2989</v>
      </c>
      <c r="N103" t="s">
        <v>1712</v>
      </c>
      <c r="O103" t="s">
        <v>3004</v>
      </c>
      <c r="P103" t="s">
        <v>1589</v>
      </c>
      <c r="Q103" s="31">
        <v>90</v>
      </c>
      <c r="S103" t="s">
        <v>1710</v>
      </c>
    </row>
    <row r="104" spans="1:19" x14ac:dyDescent="0.25">
      <c r="A104">
        <v>2023</v>
      </c>
      <c r="B104" t="s">
        <v>772</v>
      </c>
      <c r="C104" t="s">
        <v>2899</v>
      </c>
      <c r="D104" t="s">
        <v>717</v>
      </c>
      <c r="E104" t="s">
        <v>80</v>
      </c>
      <c r="F104" t="s">
        <v>1268</v>
      </c>
      <c r="G104" t="s">
        <v>1849</v>
      </c>
      <c r="H104" t="s">
        <v>1848</v>
      </c>
      <c r="I104" t="s">
        <v>11</v>
      </c>
      <c r="J104" t="s">
        <v>19</v>
      </c>
      <c r="K104" t="s">
        <v>81</v>
      </c>
      <c r="L104" t="s">
        <v>125</v>
      </c>
      <c r="M104" t="s">
        <v>2989</v>
      </c>
      <c r="N104" t="s">
        <v>1731</v>
      </c>
      <c r="O104" t="s">
        <v>3004</v>
      </c>
      <c r="P104" t="s">
        <v>1589</v>
      </c>
      <c r="Q104" s="31">
        <v>1.03</v>
      </c>
      <c r="S104" t="s">
        <v>1773</v>
      </c>
    </row>
    <row r="105" spans="1:19" x14ac:dyDescent="0.25">
      <c r="A105">
        <v>2023</v>
      </c>
      <c r="B105" t="s">
        <v>772</v>
      </c>
      <c r="C105" t="s">
        <v>2899</v>
      </c>
      <c r="D105" t="s">
        <v>717</v>
      </c>
      <c r="E105" t="s">
        <v>80</v>
      </c>
      <c r="F105" t="s">
        <v>1268</v>
      </c>
      <c r="G105" t="s">
        <v>1849</v>
      </c>
      <c r="H105" t="s">
        <v>1848</v>
      </c>
      <c r="I105" t="s">
        <v>11</v>
      </c>
      <c r="J105" t="s">
        <v>19</v>
      </c>
      <c r="K105" t="s">
        <v>81</v>
      </c>
      <c r="L105" t="s">
        <v>125</v>
      </c>
      <c r="M105" t="s">
        <v>2989</v>
      </c>
      <c r="N105" t="s">
        <v>1712</v>
      </c>
      <c r="O105" t="s">
        <v>3004</v>
      </c>
      <c r="P105" t="s">
        <v>1589</v>
      </c>
      <c r="Q105" s="31">
        <v>93.3</v>
      </c>
      <c r="S105" t="s">
        <v>1773</v>
      </c>
    </row>
    <row r="106" spans="1:19" x14ac:dyDescent="0.25">
      <c r="A106">
        <v>2023</v>
      </c>
      <c r="B106" t="s">
        <v>772</v>
      </c>
      <c r="C106" t="s">
        <v>2899</v>
      </c>
      <c r="D106" t="s">
        <v>717</v>
      </c>
      <c r="E106" t="s">
        <v>80</v>
      </c>
      <c r="F106" t="s">
        <v>1268</v>
      </c>
      <c r="G106" t="s">
        <v>1849</v>
      </c>
      <c r="H106" t="s">
        <v>1848</v>
      </c>
      <c r="I106" t="s">
        <v>11</v>
      </c>
      <c r="J106" t="s">
        <v>19</v>
      </c>
      <c r="K106" t="s">
        <v>81</v>
      </c>
      <c r="L106" t="s">
        <v>125</v>
      </c>
      <c r="M106" t="s">
        <v>2990</v>
      </c>
      <c r="N106" t="s">
        <v>1775</v>
      </c>
      <c r="O106" t="s">
        <v>3004</v>
      </c>
      <c r="P106" t="s">
        <v>1764</v>
      </c>
      <c r="Q106" s="31">
        <v>15.44</v>
      </c>
      <c r="S106" t="s">
        <v>1773</v>
      </c>
    </row>
    <row r="107" spans="1:19" x14ac:dyDescent="0.25">
      <c r="A107">
        <v>2023</v>
      </c>
      <c r="B107" t="s">
        <v>772</v>
      </c>
      <c r="C107" t="s">
        <v>2899</v>
      </c>
      <c r="D107" t="s">
        <v>717</v>
      </c>
      <c r="E107" t="s">
        <v>80</v>
      </c>
      <c r="F107" t="s">
        <v>1268</v>
      </c>
      <c r="G107" t="s">
        <v>1849</v>
      </c>
      <c r="H107" t="s">
        <v>1848</v>
      </c>
      <c r="I107" t="s">
        <v>11</v>
      </c>
      <c r="J107" t="s">
        <v>19</v>
      </c>
      <c r="K107" t="s">
        <v>81</v>
      </c>
      <c r="L107" t="s">
        <v>16</v>
      </c>
      <c r="M107" t="s">
        <v>2989</v>
      </c>
      <c r="N107" t="s">
        <v>1731</v>
      </c>
      <c r="O107" t="s">
        <v>3004</v>
      </c>
      <c r="P107" t="s">
        <v>1567</v>
      </c>
      <c r="Q107" s="31">
        <v>6.76</v>
      </c>
      <c r="S107" t="s">
        <v>1773</v>
      </c>
    </row>
    <row r="108" spans="1:19" x14ac:dyDescent="0.25">
      <c r="A108">
        <v>2023</v>
      </c>
      <c r="B108" t="s">
        <v>772</v>
      </c>
      <c r="C108" t="s">
        <v>2899</v>
      </c>
      <c r="D108" t="s">
        <v>717</v>
      </c>
      <c r="E108" t="s">
        <v>80</v>
      </c>
      <c r="F108" t="s">
        <v>1268</v>
      </c>
      <c r="G108" t="s">
        <v>1849</v>
      </c>
      <c r="H108" t="s">
        <v>1848</v>
      </c>
      <c r="I108" t="s">
        <v>11</v>
      </c>
      <c r="J108" t="s">
        <v>19</v>
      </c>
      <c r="K108" t="s">
        <v>81</v>
      </c>
      <c r="L108" t="s">
        <v>16</v>
      </c>
      <c r="M108" t="s">
        <v>2989</v>
      </c>
      <c r="N108" t="s">
        <v>1712</v>
      </c>
      <c r="O108" t="s">
        <v>3004</v>
      </c>
      <c r="P108" t="s">
        <v>1589</v>
      </c>
      <c r="Q108" s="31">
        <v>88.6</v>
      </c>
      <c r="S108" t="s">
        <v>1773</v>
      </c>
    </row>
    <row r="109" spans="1:19" x14ac:dyDescent="0.25">
      <c r="A109">
        <v>2023</v>
      </c>
      <c r="B109" t="s">
        <v>772</v>
      </c>
      <c r="C109" t="s">
        <v>2899</v>
      </c>
      <c r="D109" t="s">
        <v>717</v>
      </c>
      <c r="E109" t="s">
        <v>80</v>
      </c>
      <c r="F109" t="s">
        <v>1268</v>
      </c>
      <c r="G109" t="s">
        <v>1849</v>
      </c>
      <c r="H109" t="s">
        <v>1848</v>
      </c>
      <c r="I109" t="s">
        <v>11</v>
      </c>
      <c r="J109" t="s">
        <v>19</v>
      </c>
      <c r="K109" t="s">
        <v>81</v>
      </c>
      <c r="L109" t="s">
        <v>1549</v>
      </c>
      <c r="M109" t="s">
        <v>2989</v>
      </c>
      <c r="N109" t="s">
        <v>1731</v>
      </c>
      <c r="O109" t="s">
        <v>3004</v>
      </c>
      <c r="P109" t="s">
        <v>1589</v>
      </c>
      <c r="Q109" s="31">
        <v>25.11</v>
      </c>
      <c r="S109" t="s">
        <v>1773</v>
      </c>
    </row>
    <row r="110" spans="1:19" x14ac:dyDescent="0.25">
      <c r="A110">
        <v>2023</v>
      </c>
      <c r="B110" t="s">
        <v>772</v>
      </c>
      <c r="C110" t="s">
        <v>2899</v>
      </c>
      <c r="D110" t="s">
        <v>717</v>
      </c>
      <c r="E110" t="s">
        <v>80</v>
      </c>
      <c r="F110" t="s">
        <v>1268</v>
      </c>
      <c r="G110" t="s">
        <v>1849</v>
      </c>
      <c r="H110" t="s">
        <v>1848</v>
      </c>
      <c r="I110" t="s">
        <v>11</v>
      </c>
      <c r="J110" t="s">
        <v>19</v>
      </c>
      <c r="K110" t="s">
        <v>81</v>
      </c>
      <c r="L110" t="s">
        <v>1549</v>
      </c>
      <c r="M110" t="s">
        <v>2989</v>
      </c>
      <c r="N110" t="s">
        <v>1712</v>
      </c>
      <c r="O110" t="s">
        <v>3004</v>
      </c>
      <c r="P110" t="s">
        <v>1589</v>
      </c>
      <c r="Q110" s="31">
        <v>81.5</v>
      </c>
      <c r="S110" t="s">
        <v>1773</v>
      </c>
    </row>
    <row r="111" spans="1:19" x14ac:dyDescent="0.25">
      <c r="A111">
        <v>2023</v>
      </c>
      <c r="B111" t="s">
        <v>772</v>
      </c>
      <c r="C111" t="s">
        <v>2899</v>
      </c>
      <c r="D111" t="s">
        <v>717</v>
      </c>
      <c r="E111" t="s">
        <v>80</v>
      </c>
      <c r="F111" t="s">
        <v>1268</v>
      </c>
      <c r="G111" t="s">
        <v>1849</v>
      </c>
      <c r="H111" t="s">
        <v>1848</v>
      </c>
      <c r="I111" t="s">
        <v>11</v>
      </c>
      <c r="J111" t="s">
        <v>19</v>
      </c>
      <c r="K111" t="s">
        <v>81</v>
      </c>
      <c r="L111" t="s">
        <v>1551</v>
      </c>
      <c r="M111" t="s">
        <v>2989</v>
      </c>
      <c r="N111" t="s">
        <v>1731</v>
      </c>
      <c r="O111" t="s">
        <v>3004</v>
      </c>
      <c r="P111" t="s">
        <v>1589</v>
      </c>
      <c r="Q111" s="31">
        <v>0.84</v>
      </c>
      <c r="S111" t="s">
        <v>1773</v>
      </c>
    </row>
    <row r="112" spans="1:19" x14ac:dyDescent="0.25">
      <c r="A112">
        <v>2023</v>
      </c>
      <c r="B112" t="s">
        <v>1537</v>
      </c>
      <c r="C112" t="s">
        <v>2899</v>
      </c>
      <c r="D112" t="s">
        <v>39</v>
      </c>
      <c r="E112" t="s">
        <v>1587</v>
      </c>
      <c r="G112" t="s">
        <v>1750</v>
      </c>
      <c r="H112" t="s">
        <v>2133</v>
      </c>
      <c r="I112" t="s">
        <v>11</v>
      </c>
      <c r="J112" t="s">
        <v>720</v>
      </c>
      <c r="K112" t="s">
        <v>16</v>
      </c>
      <c r="L112" t="s">
        <v>16</v>
      </c>
      <c r="M112" t="s">
        <v>2989</v>
      </c>
      <c r="N112" t="s">
        <v>1595</v>
      </c>
      <c r="O112" t="s">
        <v>3004</v>
      </c>
      <c r="P112" t="s">
        <v>1567</v>
      </c>
      <c r="Q112" s="31">
        <v>3.0150000000000001</v>
      </c>
      <c r="S112" t="s">
        <v>1593</v>
      </c>
    </row>
    <row r="113" spans="1:19" x14ac:dyDescent="0.25">
      <c r="A113">
        <v>2023</v>
      </c>
      <c r="B113" t="s">
        <v>1537</v>
      </c>
      <c r="C113" t="s">
        <v>2899</v>
      </c>
      <c r="D113" t="s">
        <v>39</v>
      </c>
      <c r="E113" t="s">
        <v>1587</v>
      </c>
      <c r="G113" t="s">
        <v>1750</v>
      </c>
      <c r="H113" t="s">
        <v>2133</v>
      </c>
      <c r="I113" t="s">
        <v>11</v>
      </c>
      <c r="J113" t="s">
        <v>720</v>
      </c>
      <c r="K113" t="s">
        <v>16</v>
      </c>
      <c r="L113" t="s">
        <v>16</v>
      </c>
      <c r="M113" t="s">
        <v>2989</v>
      </c>
      <c r="N113" t="s">
        <v>1599</v>
      </c>
      <c r="O113" t="s">
        <v>3004</v>
      </c>
      <c r="P113" t="s">
        <v>1589</v>
      </c>
      <c r="Q113" s="31">
        <v>91.4</v>
      </c>
      <c r="S113" t="s">
        <v>1593</v>
      </c>
    </row>
    <row r="114" spans="1:19" x14ac:dyDescent="0.25">
      <c r="A114">
        <v>2023</v>
      </c>
      <c r="B114" t="s">
        <v>772</v>
      </c>
      <c r="C114" t="s">
        <v>2899</v>
      </c>
      <c r="D114" t="s">
        <v>755</v>
      </c>
      <c r="E114" t="s">
        <v>76</v>
      </c>
      <c r="F114" t="s">
        <v>1314</v>
      </c>
      <c r="H114" t="s">
        <v>2132</v>
      </c>
      <c r="I114" t="s">
        <v>11</v>
      </c>
      <c r="J114" t="s">
        <v>13</v>
      </c>
      <c r="K114" t="s">
        <v>64</v>
      </c>
      <c r="L114" t="s">
        <v>1772</v>
      </c>
      <c r="M114" t="s">
        <v>2989</v>
      </c>
      <c r="N114" t="s">
        <v>1776</v>
      </c>
      <c r="O114" t="s">
        <v>3162</v>
      </c>
      <c r="P114" t="s">
        <v>2921</v>
      </c>
      <c r="Q114">
        <v>3.4725899132815998</v>
      </c>
      <c r="R114" t="s">
        <v>3169</v>
      </c>
      <c r="S114" t="s">
        <v>1710</v>
      </c>
    </row>
    <row r="115" spans="1:19" x14ac:dyDescent="0.25">
      <c r="A115">
        <v>2023</v>
      </c>
      <c r="B115" t="s">
        <v>772</v>
      </c>
      <c r="C115" t="s">
        <v>2899</v>
      </c>
      <c r="D115" t="s">
        <v>755</v>
      </c>
      <c r="E115" t="s">
        <v>76</v>
      </c>
      <c r="F115" t="s">
        <v>1314</v>
      </c>
      <c r="H115" t="s">
        <v>2132</v>
      </c>
      <c r="I115" t="s">
        <v>11</v>
      </c>
      <c r="J115" t="s">
        <v>13</v>
      </c>
      <c r="K115" t="s">
        <v>64</v>
      </c>
      <c r="L115" t="s">
        <v>16</v>
      </c>
      <c r="M115" t="s">
        <v>2989</v>
      </c>
      <c r="N115" t="s">
        <v>1630</v>
      </c>
      <c r="O115" t="s">
        <v>3004</v>
      </c>
      <c r="P115" t="s">
        <v>1567</v>
      </c>
      <c r="Q115" s="31">
        <v>0.99</v>
      </c>
      <c r="R115" t="s">
        <v>3143</v>
      </c>
      <c r="S115" t="s">
        <v>1710</v>
      </c>
    </row>
    <row r="116" spans="1:19" x14ac:dyDescent="0.25">
      <c r="A116">
        <v>2023</v>
      </c>
      <c r="B116" t="s">
        <v>772</v>
      </c>
      <c r="C116" t="s">
        <v>2899</v>
      </c>
      <c r="D116" t="s">
        <v>755</v>
      </c>
      <c r="E116" t="s">
        <v>76</v>
      </c>
      <c r="F116" t="s">
        <v>1314</v>
      </c>
      <c r="H116" t="s">
        <v>2132</v>
      </c>
      <c r="I116" t="s">
        <v>11</v>
      </c>
      <c r="J116" t="s">
        <v>13</v>
      </c>
      <c r="K116" t="s">
        <v>64</v>
      </c>
      <c r="L116" t="s">
        <v>1772</v>
      </c>
      <c r="M116" t="s">
        <v>2989</v>
      </c>
      <c r="N116" t="s">
        <v>1712</v>
      </c>
      <c r="O116" t="s">
        <v>3004</v>
      </c>
      <c r="P116" t="s">
        <v>1589</v>
      </c>
      <c r="Q116" s="31">
        <v>91</v>
      </c>
      <c r="S116" t="s">
        <v>1710</v>
      </c>
    </row>
    <row r="117" spans="1:19" x14ac:dyDescent="0.25">
      <c r="A117">
        <v>2023</v>
      </c>
      <c r="B117" t="s">
        <v>772</v>
      </c>
      <c r="C117" t="s">
        <v>2899</v>
      </c>
      <c r="D117" t="s">
        <v>39</v>
      </c>
      <c r="E117" t="s">
        <v>86</v>
      </c>
      <c r="F117" t="s">
        <v>1322</v>
      </c>
      <c r="H117" t="s">
        <v>2133</v>
      </c>
      <c r="I117" t="s">
        <v>11</v>
      </c>
      <c r="J117" t="s">
        <v>19</v>
      </c>
      <c r="K117" t="s">
        <v>84</v>
      </c>
      <c r="L117" t="s">
        <v>125</v>
      </c>
      <c r="M117" t="s">
        <v>2989</v>
      </c>
      <c r="N117" t="s">
        <v>1595</v>
      </c>
      <c r="O117" t="s">
        <v>3004</v>
      </c>
      <c r="P117" t="s">
        <v>1589</v>
      </c>
      <c r="Q117" s="31">
        <v>0.4</v>
      </c>
      <c r="S117" t="s">
        <v>1593</v>
      </c>
    </row>
    <row r="118" spans="1:19" x14ac:dyDescent="0.25">
      <c r="A118">
        <v>2023</v>
      </c>
      <c r="B118" t="s">
        <v>772</v>
      </c>
      <c r="C118" t="s">
        <v>2899</v>
      </c>
      <c r="D118" t="s">
        <v>39</v>
      </c>
      <c r="E118" t="s">
        <v>86</v>
      </c>
      <c r="F118" t="s">
        <v>1322</v>
      </c>
      <c r="H118" t="s">
        <v>2133</v>
      </c>
      <c r="I118" t="s">
        <v>11</v>
      </c>
      <c r="J118" t="s">
        <v>19</v>
      </c>
      <c r="K118" t="s">
        <v>84</v>
      </c>
      <c r="L118" t="s">
        <v>125</v>
      </c>
      <c r="M118" t="s">
        <v>2989</v>
      </c>
      <c r="N118" t="s">
        <v>1599</v>
      </c>
      <c r="O118" t="s">
        <v>3004</v>
      </c>
      <c r="P118" t="s">
        <v>1589</v>
      </c>
      <c r="Q118" s="31">
        <v>81.2</v>
      </c>
      <c r="S118" t="s">
        <v>1593</v>
      </c>
    </row>
    <row r="119" spans="1:19" x14ac:dyDescent="0.25">
      <c r="A119">
        <v>2023</v>
      </c>
      <c r="B119" t="s">
        <v>772</v>
      </c>
      <c r="C119" t="s">
        <v>2899</v>
      </c>
      <c r="D119" t="s">
        <v>39</v>
      </c>
      <c r="E119" t="s">
        <v>86</v>
      </c>
      <c r="F119" t="s">
        <v>1322</v>
      </c>
      <c r="H119" t="s">
        <v>2133</v>
      </c>
      <c r="I119" t="s">
        <v>11</v>
      </c>
      <c r="J119" t="s">
        <v>19</v>
      </c>
      <c r="K119" t="s">
        <v>84</v>
      </c>
      <c r="L119" t="s">
        <v>16</v>
      </c>
      <c r="M119" t="s">
        <v>2989</v>
      </c>
      <c r="N119" t="s">
        <v>1595</v>
      </c>
      <c r="O119" t="s">
        <v>3004</v>
      </c>
      <c r="P119" t="s">
        <v>1567</v>
      </c>
      <c r="Q119" s="31">
        <v>0.27600000000000002</v>
      </c>
      <c r="S119" t="s">
        <v>1593</v>
      </c>
    </row>
    <row r="120" spans="1:19" x14ac:dyDescent="0.25">
      <c r="A120">
        <v>2023</v>
      </c>
      <c r="B120" t="s">
        <v>772</v>
      </c>
      <c r="C120" t="s">
        <v>2899</v>
      </c>
      <c r="D120" t="s">
        <v>39</v>
      </c>
      <c r="E120" t="s">
        <v>86</v>
      </c>
      <c r="F120" t="s">
        <v>1322</v>
      </c>
      <c r="H120" t="s">
        <v>2133</v>
      </c>
      <c r="I120" t="s">
        <v>11</v>
      </c>
      <c r="J120" t="s">
        <v>19</v>
      </c>
      <c r="K120" t="s">
        <v>84</v>
      </c>
      <c r="L120" t="s">
        <v>16</v>
      </c>
      <c r="M120" t="s">
        <v>2989</v>
      </c>
      <c r="N120" t="s">
        <v>1599</v>
      </c>
      <c r="O120" t="s">
        <v>3004</v>
      </c>
      <c r="P120" t="s">
        <v>1589</v>
      </c>
      <c r="Q120" s="31">
        <v>54.2</v>
      </c>
      <c r="S120" t="s">
        <v>1593</v>
      </c>
    </row>
    <row r="121" spans="1:19" x14ac:dyDescent="0.25">
      <c r="A121">
        <v>2023</v>
      </c>
      <c r="B121" t="s">
        <v>772</v>
      </c>
      <c r="C121" t="s">
        <v>2899</v>
      </c>
      <c r="D121" t="s">
        <v>798</v>
      </c>
      <c r="E121" t="s">
        <v>71</v>
      </c>
      <c r="F121" t="s">
        <v>1215</v>
      </c>
      <c r="H121" t="s">
        <v>2067</v>
      </c>
      <c r="I121" t="s">
        <v>11</v>
      </c>
      <c r="J121" t="s">
        <v>13</v>
      </c>
      <c r="K121" t="s">
        <v>64</v>
      </c>
      <c r="L121" t="s">
        <v>1772</v>
      </c>
      <c r="M121" t="s">
        <v>2989</v>
      </c>
      <c r="N121" t="s">
        <v>1776</v>
      </c>
      <c r="O121" t="s">
        <v>3162</v>
      </c>
      <c r="P121" t="s">
        <v>2921</v>
      </c>
      <c r="Q121">
        <v>1.1810594530320999</v>
      </c>
      <c r="R121" t="s">
        <v>3167</v>
      </c>
      <c r="S121" t="s">
        <v>1824</v>
      </c>
    </row>
    <row r="122" spans="1:19" x14ac:dyDescent="0.25">
      <c r="A122">
        <v>2023</v>
      </c>
      <c r="B122" t="s">
        <v>1537</v>
      </c>
      <c r="C122" t="s">
        <v>2899</v>
      </c>
      <c r="D122" t="s">
        <v>902</v>
      </c>
      <c r="E122" t="s">
        <v>1943</v>
      </c>
      <c r="G122" t="s">
        <v>1942</v>
      </c>
      <c r="H122" t="s">
        <v>2169</v>
      </c>
      <c r="I122" t="s">
        <v>11</v>
      </c>
      <c r="J122" t="s">
        <v>44</v>
      </c>
      <c r="K122" t="s">
        <v>16</v>
      </c>
      <c r="L122" t="s">
        <v>16</v>
      </c>
      <c r="M122" t="s">
        <v>2989</v>
      </c>
      <c r="N122" t="s">
        <v>1946</v>
      </c>
      <c r="O122" t="s">
        <v>3004</v>
      </c>
      <c r="P122" t="s">
        <v>1567</v>
      </c>
      <c r="Q122" s="31">
        <v>10.14</v>
      </c>
      <c r="S122" t="s">
        <v>1931</v>
      </c>
    </row>
    <row r="123" spans="1:19" x14ac:dyDescent="0.25">
      <c r="A123">
        <v>2023</v>
      </c>
      <c r="B123" t="s">
        <v>1537</v>
      </c>
      <c r="C123" t="s">
        <v>2899</v>
      </c>
      <c r="D123" t="s">
        <v>902</v>
      </c>
      <c r="E123" t="s">
        <v>1943</v>
      </c>
      <c r="G123" t="s">
        <v>1942</v>
      </c>
      <c r="H123" t="s">
        <v>2169</v>
      </c>
      <c r="I123" t="s">
        <v>11</v>
      </c>
      <c r="J123" t="s">
        <v>44</v>
      </c>
      <c r="K123" t="s">
        <v>16</v>
      </c>
      <c r="L123" t="s">
        <v>16</v>
      </c>
      <c r="M123" t="s">
        <v>2989</v>
      </c>
      <c r="N123" t="s">
        <v>1712</v>
      </c>
      <c r="O123" t="s">
        <v>3004</v>
      </c>
      <c r="P123" t="s">
        <v>1589</v>
      </c>
      <c r="Q123" s="31">
        <v>97</v>
      </c>
      <c r="S123" t="s">
        <v>1931</v>
      </c>
    </row>
    <row r="124" spans="1:19" x14ac:dyDescent="0.25">
      <c r="A124">
        <v>2023</v>
      </c>
      <c r="B124" t="s">
        <v>1537</v>
      </c>
      <c r="C124" t="s">
        <v>2899</v>
      </c>
      <c r="D124" t="s">
        <v>717</v>
      </c>
      <c r="E124" t="s">
        <v>1778</v>
      </c>
      <c r="G124" t="s">
        <v>1849</v>
      </c>
      <c r="H124" t="s">
        <v>1848</v>
      </c>
      <c r="I124" t="s">
        <v>11</v>
      </c>
      <c r="J124" t="s">
        <v>3208</v>
      </c>
      <c r="K124" t="s">
        <v>90</v>
      </c>
      <c r="L124" t="s">
        <v>125</v>
      </c>
      <c r="M124" t="s">
        <v>2989</v>
      </c>
      <c r="N124" t="s">
        <v>1731</v>
      </c>
      <c r="O124" t="s">
        <v>3162</v>
      </c>
      <c r="P124" t="s">
        <v>1589</v>
      </c>
      <c r="Q124" s="31">
        <f>(0.86+1.03+0.74)/3</f>
        <v>0.87666666666666659</v>
      </c>
      <c r="R124" t="s">
        <v>3209</v>
      </c>
      <c r="S124" t="s">
        <v>1773</v>
      </c>
    </row>
    <row r="125" spans="1:19" x14ac:dyDescent="0.25">
      <c r="A125">
        <v>2023</v>
      </c>
      <c r="B125" t="s">
        <v>1537</v>
      </c>
      <c r="C125" t="s">
        <v>2899</v>
      </c>
      <c r="D125" t="s">
        <v>717</v>
      </c>
      <c r="E125" t="s">
        <v>1778</v>
      </c>
      <c r="G125" t="s">
        <v>1849</v>
      </c>
      <c r="H125" t="s">
        <v>1848</v>
      </c>
      <c r="I125" t="s">
        <v>11</v>
      </c>
      <c r="J125" t="s">
        <v>3208</v>
      </c>
      <c r="K125" t="s">
        <v>90</v>
      </c>
      <c r="L125" t="s">
        <v>16</v>
      </c>
      <c r="M125" t="s">
        <v>2989</v>
      </c>
      <c r="N125" t="s">
        <v>1731</v>
      </c>
      <c r="O125" t="s">
        <v>3162</v>
      </c>
      <c r="P125" t="s">
        <v>1567</v>
      </c>
      <c r="Q125" s="31">
        <f>(4.74+6.76+3.45)/2</f>
        <v>7.4749999999999996</v>
      </c>
      <c r="R125" t="s">
        <v>3209</v>
      </c>
      <c r="S125" t="s">
        <v>1773</v>
      </c>
    </row>
    <row r="126" spans="1:19" x14ac:dyDescent="0.25">
      <c r="A126">
        <v>2023</v>
      </c>
      <c r="B126" t="s">
        <v>1537</v>
      </c>
      <c r="C126" t="s">
        <v>2899</v>
      </c>
      <c r="D126" t="s">
        <v>717</v>
      </c>
      <c r="E126" t="s">
        <v>1778</v>
      </c>
      <c r="G126" t="s">
        <v>1849</v>
      </c>
      <c r="H126" t="s">
        <v>1848</v>
      </c>
      <c r="I126" t="s">
        <v>11</v>
      </c>
      <c r="J126" t="s">
        <v>3208</v>
      </c>
      <c r="K126" t="s">
        <v>90</v>
      </c>
      <c r="L126" t="s">
        <v>1549</v>
      </c>
      <c r="M126" t="s">
        <v>2989</v>
      </c>
      <c r="N126" t="s">
        <v>1731</v>
      </c>
      <c r="O126" t="s">
        <v>3162</v>
      </c>
      <c r="P126" t="s">
        <v>1567</v>
      </c>
      <c r="Q126" s="31">
        <f>(24.51+25.11+24.19)/3</f>
        <v>24.603333333333335</v>
      </c>
      <c r="R126" t="s">
        <v>3209</v>
      </c>
      <c r="S126" t="s">
        <v>1773</v>
      </c>
    </row>
    <row r="127" spans="1:19" x14ac:dyDescent="0.25">
      <c r="A127">
        <v>2023</v>
      </c>
      <c r="B127" t="s">
        <v>1537</v>
      </c>
      <c r="C127" t="s">
        <v>2899</v>
      </c>
      <c r="D127" t="s">
        <v>717</v>
      </c>
      <c r="E127" t="s">
        <v>1778</v>
      </c>
      <c r="G127" t="s">
        <v>1849</v>
      </c>
      <c r="H127" t="s">
        <v>1848</v>
      </c>
      <c r="I127" t="s">
        <v>11</v>
      </c>
      <c r="J127" t="s">
        <v>3208</v>
      </c>
      <c r="K127" t="s">
        <v>90</v>
      </c>
      <c r="L127" t="s">
        <v>1551</v>
      </c>
      <c r="M127" t="s">
        <v>2989</v>
      </c>
      <c r="N127" t="s">
        <v>1731</v>
      </c>
      <c r="O127" t="s">
        <v>3162</v>
      </c>
      <c r="P127" t="s">
        <v>1589</v>
      </c>
      <c r="Q127" s="31">
        <f>(3+0.84+4.36)</f>
        <v>8.1999999999999993</v>
      </c>
      <c r="R127" t="s">
        <v>3209</v>
      </c>
      <c r="S127" t="s">
        <v>1773</v>
      </c>
    </row>
    <row r="128" spans="1:19" x14ac:dyDescent="0.25">
      <c r="A128">
        <v>2023</v>
      </c>
      <c r="B128" t="s">
        <v>772</v>
      </c>
      <c r="C128" t="s">
        <v>2899</v>
      </c>
      <c r="D128" t="s">
        <v>717</v>
      </c>
      <c r="E128" t="s">
        <v>87</v>
      </c>
      <c r="F128" t="s">
        <v>1267</v>
      </c>
      <c r="G128" t="s">
        <v>1849</v>
      </c>
      <c r="H128" t="s">
        <v>1848</v>
      </c>
      <c r="I128" t="s">
        <v>11</v>
      </c>
      <c r="J128" t="s">
        <v>44</v>
      </c>
      <c r="K128" t="s">
        <v>88</v>
      </c>
      <c r="L128" t="s">
        <v>125</v>
      </c>
      <c r="M128" t="s">
        <v>2990</v>
      </c>
      <c r="N128" t="s">
        <v>1775</v>
      </c>
      <c r="O128" t="s">
        <v>3004</v>
      </c>
      <c r="P128" t="s">
        <v>1764</v>
      </c>
      <c r="Q128" s="31">
        <v>20.11</v>
      </c>
      <c r="S128" t="s">
        <v>1773</v>
      </c>
    </row>
    <row r="129" spans="1:19" x14ac:dyDescent="0.25">
      <c r="A129">
        <v>2023</v>
      </c>
      <c r="B129" t="s">
        <v>772</v>
      </c>
      <c r="C129" t="s">
        <v>2899</v>
      </c>
      <c r="D129" t="s">
        <v>717</v>
      </c>
      <c r="E129" t="s">
        <v>87</v>
      </c>
      <c r="F129" t="s">
        <v>1267</v>
      </c>
      <c r="G129" t="s">
        <v>1849</v>
      </c>
      <c r="H129" t="s">
        <v>1848</v>
      </c>
      <c r="I129" t="s">
        <v>11</v>
      </c>
      <c r="J129" t="s">
        <v>44</v>
      </c>
      <c r="K129" t="s">
        <v>88</v>
      </c>
      <c r="L129" t="s">
        <v>125</v>
      </c>
      <c r="M129" t="s">
        <v>2989</v>
      </c>
      <c r="N129" t="s">
        <v>1731</v>
      </c>
      <c r="O129" t="s">
        <v>3004</v>
      </c>
      <c r="P129" t="s">
        <v>1589</v>
      </c>
      <c r="Q129" s="31">
        <v>0.74</v>
      </c>
      <c r="S129" t="s">
        <v>1773</v>
      </c>
    </row>
    <row r="130" spans="1:19" x14ac:dyDescent="0.25">
      <c r="A130">
        <v>2023</v>
      </c>
      <c r="B130" t="s">
        <v>772</v>
      </c>
      <c r="C130" t="s">
        <v>2899</v>
      </c>
      <c r="D130" t="s">
        <v>717</v>
      </c>
      <c r="E130" t="s">
        <v>87</v>
      </c>
      <c r="F130" t="s">
        <v>1267</v>
      </c>
      <c r="G130" t="s">
        <v>1849</v>
      </c>
      <c r="H130" t="s">
        <v>1848</v>
      </c>
      <c r="I130" t="s">
        <v>11</v>
      </c>
      <c r="J130" t="s">
        <v>44</v>
      </c>
      <c r="K130" t="s">
        <v>88</v>
      </c>
      <c r="L130" t="s">
        <v>125</v>
      </c>
      <c r="M130" t="s">
        <v>2989</v>
      </c>
      <c r="N130" t="s">
        <v>1712</v>
      </c>
      <c r="O130" t="s">
        <v>3004</v>
      </c>
      <c r="P130" t="s">
        <v>1589</v>
      </c>
      <c r="Q130" s="31">
        <v>90.4</v>
      </c>
      <c r="S130" t="s">
        <v>1773</v>
      </c>
    </row>
    <row r="131" spans="1:19" x14ac:dyDescent="0.25">
      <c r="A131">
        <v>2023</v>
      </c>
      <c r="B131" t="s">
        <v>772</v>
      </c>
      <c r="C131" t="s">
        <v>2899</v>
      </c>
      <c r="D131" t="s">
        <v>717</v>
      </c>
      <c r="E131" t="s">
        <v>87</v>
      </c>
      <c r="F131" t="s">
        <v>1267</v>
      </c>
      <c r="G131" t="s">
        <v>1849</v>
      </c>
      <c r="H131" t="s">
        <v>1848</v>
      </c>
      <c r="I131" t="s">
        <v>11</v>
      </c>
      <c r="J131" t="s">
        <v>44</v>
      </c>
      <c r="K131" t="s">
        <v>88</v>
      </c>
      <c r="L131" t="s">
        <v>16</v>
      </c>
      <c r="M131" t="s">
        <v>2989</v>
      </c>
      <c r="N131" t="s">
        <v>1731</v>
      </c>
      <c r="O131" t="s">
        <v>3004</v>
      </c>
      <c r="P131" t="s">
        <v>1567</v>
      </c>
      <c r="Q131" s="31">
        <v>3.45</v>
      </c>
      <c r="S131" t="s">
        <v>1773</v>
      </c>
    </row>
    <row r="132" spans="1:19" x14ac:dyDescent="0.25">
      <c r="A132">
        <v>2023</v>
      </c>
      <c r="B132" t="s">
        <v>772</v>
      </c>
      <c r="C132" t="s">
        <v>2899</v>
      </c>
      <c r="D132" t="s">
        <v>717</v>
      </c>
      <c r="E132" t="s">
        <v>87</v>
      </c>
      <c r="F132" t="s">
        <v>1267</v>
      </c>
      <c r="G132" t="s">
        <v>1849</v>
      </c>
      <c r="H132" t="s">
        <v>1848</v>
      </c>
      <c r="I132" t="s">
        <v>11</v>
      </c>
      <c r="J132" t="s">
        <v>44</v>
      </c>
      <c r="K132" t="s">
        <v>88</v>
      </c>
      <c r="L132" t="s">
        <v>16</v>
      </c>
      <c r="M132" t="s">
        <v>2989</v>
      </c>
      <c r="N132" t="s">
        <v>1712</v>
      </c>
      <c r="O132" t="s">
        <v>3004</v>
      </c>
      <c r="P132" t="s">
        <v>1589</v>
      </c>
      <c r="Q132" s="31">
        <v>64.8</v>
      </c>
      <c r="S132" t="s">
        <v>1773</v>
      </c>
    </row>
    <row r="133" spans="1:19" x14ac:dyDescent="0.25">
      <c r="A133">
        <v>2023</v>
      </c>
      <c r="B133" t="s">
        <v>772</v>
      </c>
      <c r="C133" t="s">
        <v>2899</v>
      </c>
      <c r="D133" t="s">
        <v>717</v>
      </c>
      <c r="E133" t="s">
        <v>87</v>
      </c>
      <c r="F133" t="s">
        <v>1267</v>
      </c>
      <c r="G133" t="s">
        <v>1849</v>
      </c>
      <c r="H133" t="s">
        <v>1848</v>
      </c>
      <c r="I133" t="s">
        <v>11</v>
      </c>
      <c r="J133" t="s">
        <v>44</v>
      </c>
      <c r="K133" t="s">
        <v>88</v>
      </c>
      <c r="L133" t="s">
        <v>1549</v>
      </c>
      <c r="M133" t="s">
        <v>2989</v>
      </c>
      <c r="N133" t="s">
        <v>1731</v>
      </c>
      <c r="O133" t="s">
        <v>3004</v>
      </c>
      <c r="P133" t="s">
        <v>1567</v>
      </c>
      <c r="Q133" s="31">
        <v>24.19</v>
      </c>
      <c r="S133" t="s">
        <v>1773</v>
      </c>
    </row>
    <row r="134" spans="1:19" x14ac:dyDescent="0.25">
      <c r="A134">
        <v>2023</v>
      </c>
      <c r="B134" t="s">
        <v>772</v>
      </c>
      <c r="C134" t="s">
        <v>2899</v>
      </c>
      <c r="D134" t="s">
        <v>717</v>
      </c>
      <c r="E134" t="s">
        <v>87</v>
      </c>
      <c r="F134" t="s">
        <v>1267</v>
      </c>
      <c r="G134" t="s">
        <v>1849</v>
      </c>
      <c r="H134" t="s">
        <v>1848</v>
      </c>
      <c r="I134" t="s">
        <v>11</v>
      </c>
      <c r="J134" t="s">
        <v>44</v>
      </c>
      <c r="K134" t="s">
        <v>88</v>
      </c>
      <c r="L134" t="s">
        <v>1549</v>
      </c>
      <c r="M134" t="s">
        <v>2989</v>
      </c>
      <c r="N134" t="s">
        <v>1712</v>
      </c>
      <c r="O134" t="s">
        <v>3004</v>
      </c>
      <c r="P134" t="s">
        <v>1589</v>
      </c>
      <c r="Q134" s="31">
        <v>61.4</v>
      </c>
      <c r="S134" t="s">
        <v>1773</v>
      </c>
    </row>
    <row r="135" spans="1:19" x14ac:dyDescent="0.25">
      <c r="A135">
        <v>2023</v>
      </c>
      <c r="B135" t="s">
        <v>772</v>
      </c>
      <c r="C135" t="s">
        <v>2899</v>
      </c>
      <c r="D135" t="s">
        <v>717</v>
      </c>
      <c r="E135" t="s">
        <v>87</v>
      </c>
      <c r="F135" t="s">
        <v>1267</v>
      </c>
      <c r="G135" t="s">
        <v>1849</v>
      </c>
      <c r="H135" t="s">
        <v>1848</v>
      </c>
      <c r="I135" t="s">
        <v>11</v>
      </c>
      <c r="J135" t="s">
        <v>44</v>
      </c>
      <c r="K135" t="s">
        <v>88</v>
      </c>
      <c r="L135" t="s">
        <v>1551</v>
      </c>
      <c r="M135" t="s">
        <v>2990</v>
      </c>
      <c r="N135" t="s">
        <v>1775</v>
      </c>
      <c r="O135" t="s">
        <v>3004</v>
      </c>
      <c r="P135" t="s">
        <v>1766</v>
      </c>
      <c r="Q135" s="31">
        <v>51.84</v>
      </c>
      <c r="S135" t="s">
        <v>1773</v>
      </c>
    </row>
    <row r="136" spans="1:19" x14ac:dyDescent="0.25">
      <c r="A136">
        <v>2023</v>
      </c>
      <c r="B136" t="s">
        <v>772</v>
      </c>
      <c r="C136" t="s">
        <v>2899</v>
      </c>
      <c r="D136" t="s">
        <v>717</v>
      </c>
      <c r="E136" t="s">
        <v>87</v>
      </c>
      <c r="F136" t="s">
        <v>1267</v>
      </c>
      <c r="G136" t="s">
        <v>1849</v>
      </c>
      <c r="H136" t="s">
        <v>1848</v>
      </c>
      <c r="I136" t="s">
        <v>11</v>
      </c>
      <c r="J136" t="s">
        <v>44</v>
      </c>
      <c r="K136" t="s">
        <v>88</v>
      </c>
      <c r="L136" t="s">
        <v>1551</v>
      </c>
      <c r="M136" t="s">
        <v>2989</v>
      </c>
      <c r="N136" t="s">
        <v>1731</v>
      </c>
      <c r="O136" t="s">
        <v>3004</v>
      </c>
      <c r="P136" t="s">
        <v>1589</v>
      </c>
      <c r="Q136" s="31">
        <v>4.3600000000000003</v>
      </c>
      <c r="S136" t="s">
        <v>1773</v>
      </c>
    </row>
    <row r="137" spans="1:19" x14ac:dyDescent="0.25">
      <c r="A137">
        <v>2023</v>
      </c>
      <c r="B137" t="s">
        <v>772</v>
      </c>
      <c r="C137" t="s">
        <v>2899</v>
      </c>
      <c r="D137" t="s">
        <v>717</v>
      </c>
      <c r="E137" t="s">
        <v>87</v>
      </c>
      <c r="F137" t="s">
        <v>1267</v>
      </c>
      <c r="G137" t="s">
        <v>1849</v>
      </c>
      <c r="H137" t="s">
        <v>1848</v>
      </c>
      <c r="I137" t="s">
        <v>11</v>
      </c>
      <c r="J137" t="s">
        <v>44</v>
      </c>
      <c r="K137" t="s">
        <v>88</v>
      </c>
      <c r="L137" t="s">
        <v>1551</v>
      </c>
      <c r="M137" t="s">
        <v>2989</v>
      </c>
      <c r="N137" t="s">
        <v>1712</v>
      </c>
      <c r="O137" t="s">
        <v>3004</v>
      </c>
      <c r="P137" t="s">
        <v>1589</v>
      </c>
      <c r="Q137" s="31">
        <v>82.2</v>
      </c>
      <c r="S137" t="s">
        <v>1773</v>
      </c>
    </row>
    <row r="138" spans="1:19" x14ac:dyDescent="0.25">
      <c r="A138">
        <v>2023</v>
      </c>
      <c r="B138" t="s">
        <v>772</v>
      </c>
      <c r="C138" t="s">
        <v>2899</v>
      </c>
      <c r="D138" t="s">
        <v>900</v>
      </c>
      <c r="E138" t="s">
        <v>50</v>
      </c>
      <c r="F138" t="s">
        <v>1372</v>
      </c>
      <c r="H138" t="s">
        <v>2164</v>
      </c>
      <c r="I138" t="s">
        <v>11</v>
      </c>
      <c r="J138" t="s">
        <v>13</v>
      </c>
      <c r="K138" t="s">
        <v>16</v>
      </c>
      <c r="L138" t="s">
        <v>16</v>
      </c>
      <c r="M138" t="s">
        <v>2990</v>
      </c>
      <c r="N138" t="s">
        <v>1630</v>
      </c>
      <c r="O138" t="s">
        <v>3004</v>
      </c>
      <c r="P138" t="s">
        <v>1567</v>
      </c>
      <c r="Q138" s="31">
        <v>5.0999999999999996</v>
      </c>
      <c r="R138" t="s">
        <v>3143</v>
      </c>
      <c r="S138" s="2" t="s">
        <v>1874</v>
      </c>
    </row>
    <row r="139" spans="1:19" x14ac:dyDescent="0.25">
      <c r="A139">
        <v>2022</v>
      </c>
      <c r="B139" t="s">
        <v>772</v>
      </c>
      <c r="C139" t="s">
        <v>2899</v>
      </c>
      <c r="D139" t="s">
        <v>358</v>
      </c>
      <c r="E139" t="s">
        <v>359</v>
      </c>
      <c r="F139" t="s">
        <v>1371</v>
      </c>
      <c r="H139" t="s">
        <v>2163</v>
      </c>
      <c r="I139" t="s">
        <v>233</v>
      </c>
      <c r="J139" t="s">
        <v>274</v>
      </c>
      <c r="K139" t="s">
        <v>360</v>
      </c>
      <c r="L139" t="s">
        <v>557</v>
      </c>
      <c r="M139" t="s">
        <v>2989</v>
      </c>
      <c r="N139" t="s">
        <v>1712</v>
      </c>
      <c r="O139" t="s">
        <v>3004</v>
      </c>
      <c r="P139" t="s">
        <v>1589</v>
      </c>
      <c r="Q139" s="31">
        <v>83.5</v>
      </c>
      <c r="R139" t="s">
        <v>2351</v>
      </c>
      <c r="S139" t="s">
        <v>2350</v>
      </c>
    </row>
    <row r="140" spans="1:19" x14ac:dyDescent="0.25">
      <c r="A140">
        <v>2022</v>
      </c>
      <c r="B140" t="s">
        <v>772</v>
      </c>
      <c r="C140" t="s">
        <v>2899</v>
      </c>
      <c r="D140" t="s">
        <v>358</v>
      </c>
      <c r="E140" t="s">
        <v>359</v>
      </c>
      <c r="F140" t="s">
        <v>1371</v>
      </c>
      <c r="H140" t="s">
        <v>2163</v>
      </c>
      <c r="I140" t="s">
        <v>233</v>
      </c>
      <c r="J140" t="s">
        <v>274</v>
      </c>
      <c r="K140" t="s">
        <v>360</v>
      </c>
      <c r="L140" t="s">
        <v>1765</v>
      </c>
      <c r="M140" t="s">
        <v>2989</v>
      </c>
      <c r="N140" t="s">
        <v>1712</v>
      </c>
      <c r="O140" t="s">
        <v>3004</v>
      </c>
      <c r="P140" t="s">
        <v>1589</v>
      </c>
      <c r="Q140" s="31">
        <v>81.2</v>
      </c>
      <c r="R140" t="s">
        <v>2351</v>
      </c>
      <c r="S140" t="s">
        <v>2350</v>
      </c>
    </row>
    <row r="141" spans="1:19" x14ac:dyDescent="0.25">
      <c r="A141">
        <v>2023</v>
      </c>
      <c r="B141" t="s">
        <v>1537</v>
      </c>
      <c r="C141" t="s">
        <v>2899</v>
      </c>
      <c r="D141" t="s">
        <v>46</v>
      </c>
      <c r="E141" t="s">
        <v>1536</v>
      </c>
      <c r="G141" t="s">
        <v>1751</v>
      </c>
      <c r="H141" t="s">
        <v>2148</v>
      </c>
      <c r="I141" t="s">
        <v>720</v>
      </c>
      <c r="J141" t="s">
        <v>720</v>
      </c>
      <c r="K141" t="s">
        <v>16</v>
      </c>
      <c r="L141" t="s">
        <v>16</v>
      </c>
      <c r="M141" t="s">
        <v>2989</v>
      </c>
      <c r="N141" t="s">
        <v>1630</v>
      </c>
      <c r="O141" t="s">
        <v>3004</v>
      </c>
      <c r="P141" t="s">
        <v>1567</v>
      </c>
      <c r="Q141" s="31">
        <v>2.7</v>
      </c>
      <c r="R141" t="s">
        <v>3143</v>
      </c>
      <c r="S141" t="s">
        <v>1649</v>
      </c>
    </row>
    <row r="142" spans="1:19" x14ac:dyDescent="0.25">
      <c r="A142">
        <v>2023</v>
      </c>
      <c r="B142" t="s">
        <v>772</v>
      </c>
      <c r="C142" t="s">
        <v>2899</v>
      </c>
      <c r="D142" t="s">
        <v>719</v>
      </c>
      <c r="E142" t="s">
        <v>186</v>
      </c>
      <c r="F142" t="s">
        <v>1424</v>
      </c>
      <c r="G142" t="s">
        <v>2193</v>
      </c>
      <c r="H142" t="s">
        <v>2191</v>
      </c>
      <c r="I142" t="s">
        <v>11</v>
      </c>
      <c r="J142" t="s">
        <v>44</v>
      </c>
      <c r="K142" t="s">
        <v>189</v>
      </c>
      <c r="L142" t="s">
        <v>557</v>
      </c>
      <c r="M142" t="s">
        <v>2989</v>
      </c>
      <c r="N142" t="s">
        <v>1731</v>
      </c>
      <c r="O142" t="s">
        <v>3004</v>
      </c>
      <c r="P142" t="s">
        <v>1589</v>
      </c>
      <c r="Q142" s="31">
        <v>1.53</v>
      </c>
      <c r="S142" t="s">
        <v>3202</v>
      </c>
    </row>
    <row r="143" spans="1:19" x14ac:dyDescent="0.25">
      <c r="A143">
        <v>2023</v>
      </c>
      <c r="B143" t="s">
        <v>772</v>
      </c>
      <c r="C143" t="s">
        <v>2899</v>
      </c>
      <c r="D143" t="s">
        <v>719</v>
      </c>
      <c r="E143" t="s">
        <v>186</v>
      </c>
      <c r="F143" t="s">
        <v>1424</v>
      </c>
      <c r="G143" t="s">
        <v>2193</v>
      </c>
      <c r="H143" t="s">
        <v>2191</v>
      </c>
      <c r="I143" t="s">
        <v>11</v>
      </c>
      <c r="J143" t="s">
        <v>44</v>
      </c>
      <c r="K143" t="s">
        <v>189</v>
      </c>
      <c r="L143" t="s">
        <v>125</v>
      </c>
      <c r="M143" t="s">
        <v>2989</v>
      </c>
      <c r="N143" t="s">
        <v>1731</v>
      </c>
      <c r="O143" t="s">
        <v>3004</v>
      </c>
      <c r="P143" t="s">
        <v>1589</v>
      </c>
      <c r="Q143" s="31">
        <v>1.88</v>
      </c>
      <c r="S143" t="s">
        <v>3202</v>
      </c>
    </row>
    <row r="144" spans="1:19" x14ac:dyDescent="0.25">
      <c r="A144">
        <v>2023</v>
      </c>
      <c r="B144" t="s">
        <v>772</v>
      </c>
      <c r="C144" t="s">
        <v>2899</v>
      </c>
      <c r="D144" t="s">
        <v>73</v>
      </c>
      <c r="E144" t="s">
        <v>74</v>
      </c>
      <c r="F144" t="s">
        <v>1276</v>
      </c>
      <c r="H144" t="s">
        <v>2100</v>
      </c>
      <c r="I144" t="s">
        <v>11</v>
      </c>
      <c r="J144" t="s">
        <v>13</v>
      </c>
      <c r="K144" t="s">
        <v>64</v>
      </c>
      <c r="L144" t="s">
        <v>1772</v>
      </c>
      <c r="M144" t="s">
        <v>2989</v>
      </c>
      <c r="N144" t="s">
        <v>1776</v>
      </c>
      <c r="O144" t="s">
        <v>3162</v>
      </c>
      <c r="P144" t="s">
        <v>2921</v>
      </c>
      <c r="Q144">
        <v>2.3439110251450601</v>
      </c>
      <c r="R144" t="s">
        <v>3168</v>
      </c>
      <c r="S144" t="s">
        <v>2974</v>
      </c>
    </row>
    <row r="145" spans="1:19" x14ac:dyDescent="0.25">
      <c r="A145">
        <v>2023</v>
      </c>
      <c r="B145" t="s">
        <v>772</v>
      </c>
      <c r="C145" t="s">
        <v>2899</v>
      </c>
      <c r="D145" t="s">
        <v>73</v>
      </c>
      <c r="E145" t="s">
        <v>74</v>
      </c>
      <c r="F145" t="s">
        <v>1276</v>
      </c>
      <c r="H145" t="s">
        <v>2100</v>
      </c>
      <c r="I145" t="s">
        <v>11</v>
      </c>
      <c r="J145" t="s">
        <v>13</v>
      </c>
      <c r="K145" t="s">
        <v>64</v>
      </c>
      <c r="L145" t="s">
        <v>1772</v>
      </c>
      <c r="M145" t="s">
        <v>2989</v>
      </c>
      <c r="N145" t="s">
        <v>1731</v>
      </c>
      <c r="O145" t="s">
        <v>3004</v>
      </c>
      <c r="P145" t="s">
        <v>1567</v>
      </c>
      <c r="Q145" s="31">
        <v>3.03</v>
      </c>
      <c r="S145" t="s">
        <v>2974</v>
      </c>
    </row>
    <row r="146" spans="1:19" x14ac:dyDescent="0.25">
      <c r="A146">
        <v>2023</v>
      </c>
      <c r="B146" t="s">
        <v>772</v>
      </c>
      <c r="C146" t="s">
        <v>2899</v>
      </c>
      <c r="D146" t="s">
        <v>73</v>
      </c>
      <c r="E146" t="s">
        <v>74</v>
      </c>
      <c r="F146" t="s">
        <v>1276</v>
      </c>
      <c r="H146" t="s">
        <v>2100</v>
      </c>
      <c r="I146" t="s">
        <v>11</v>
      </c>
      <c r="J146" t="s">
        <v>13</v>
      </c>
      <c r="K146" t="s">
        <v>64</v>
      </c>
      <c r="L146" t="s">
        <v>1772</v>
      </c>
      <c r="M146" t="s">
        <v>2989</v>
      </c>
      <c r="N146" t="s">
        <v>1630</v>
      </c>
      <c r="O146" t="s">
        <v>3004</v>
      </c>
      <c r="P146" t="s">
        <v>1567</v>
      </c>
      <c r="Q146" s="31">
        <v>3.19</v>
      </c>
      <c r="S146" t="s">
        <v>2974</v>
      </c>
    </row>
    <row r="147" spans="1:19" x14ac:dyDescent="0.25">
      <c r="A147">
        <v>2023</v>
      </c>
      <c r="B147" t="s">
        <v>772</v>
      </c>
      <c r="C147" t="s">
        <v>2899</v>
      </c>
      <c r="D147" t="s">
        <v>73</v>
      </c>
      <c r="E147" t="s">
        <v>74</v>
      </c>
      <c r="F147" t="s">
        <v>1276</v>
      </c>
      <c r="H147" t="s">
        <v>2100</v>
      </c>
      <c r="I147" t="s">
        <v>11</v>
      </c>
      <c r="J147" t="s">
        <v>13</v>
      </c>
      <c r="K147" t="s">
        <v>64</v>
      </c>
      <c r="L147" t="s">
        <v>1772</v>
      </c>
      <c r="M147" t="s">
        <v>2989</v>
      </c>
      <c r="N147" t="s">
        <v>1712</v>
      </c>
      <c r="O147" t="s">
        <v>3004</v>
      </c>
      <c r="P147" t="s">
        <v>1589</v>
      </c>
      <c r="Q147" s="31">
        <v>93</v>
      </c>
      <c r="S147" t="s">
        <v>2974</v>
      </c>
    </row>
    <row r="148" spans="1:19" x14ac:dyDescent="0.25">
      <c r="A148">
        <v>2023</v>
      </c>
      <c r="B148" t="s">
        <v>772</v>
      </c>
      <c r="C148" t="s">
        <v>2899</v>
      </c>
      <c r="D148" t="s">
        <v>736</v>
      </c>
      <c r="E148" t="s">
        <v>26</v>
      </c>
      <c r="F148" t="s">
        <v>1135</v>
      </c>
      <c r="H148" t="s">
        <v>2019</v>
      </c>
      <c r="I148" t="s">
        <v>11</v>
      </c>
      <c r="J148" t="s">
        <v>13</v>
      </c>
      <c r="K148" t="s">
        <v>16</v>
      </c>
      <c r="L148" t="s">
        <v>1772</v>
      </c>
      <c r="M148" t="s">
        <v>2989</v>
      </c>
      <c r="N148" t="s">
        <v>1776</v>
      </c>
      <c r="O148" t="s">
        <v>3162</v>
      </c>
      <c r="P148" t="s">
        <v>2921</v>
      </c>
      <c r="Q148">
        <v>0.15680324192064901</v>
      </c>
      <c r="R148" t="s">
        <v>3164</v>
      </c>
      <c r="S148" t="s">
        <v>1601</v>
      </c>
    </row>
    <row r="149" spans="1:19" x14ac:dyDescent="0.25">
      <c r="A149">
        <v>2023</v>
      </c>
      <c r="B149" t="s">
        <v>772</v>
      </c>
      <c r="C149" t="s">
        <v>2899</v>
      </c>
      <c r="D149" t="s">
        <v>736</v>
      </c>
      <c r="E149" t="s">
        <v>26</v>
      </c>
      <c r="F149" t="s">
        <v>1135</v>
      </c>
      <c r="H149" t="s">
        <v>2019</v>
      </c>
      <c r="I149" t="s">
        <v>11</v>
      </c>
      <c r="J149" t="s">
        <v>13</v>
      </c>
      <c r="K149" t="s">
        <v>16</v>
      </c>
      <c r="L149" t="s">
        <v>16</v>
      </c>
      <c r="M149" t="s">
        <v>2989</v>
      </c>
      <c r="N149" t="s">
        <v>1631</v>
      </c>
      <c r="O149" t="s">
        <v>3004</v>
      </c>
      <c r="P149" t="s">
        <v>1567</v>
      </c>
      <c r="Q149" s="31">
        <v>2.2000000000000002</v>
      </c>
      <c r="R149" t="s">
        <v>3142</v>
      </c>
      <c r="S149" t="s">
        <v>1601</v>
      </c>
    </row>
    <row r="150" spans="1:19" x14ac:dyDescent="0.25">
      <c r="A150">
        <v>2023</v>
      </c>
      <c r="B150" t="s">
        <v>772</v>
      </c>
      <c r="C150" t="s">
        <v>2899</v>
      </c>
      <c r="D150" t="s">
        <v>736</v>
      </c>
      <c r="E150" t="s">
        <v>26</v>
      </c>
      <c r="F150" t="s">
        <v>1135</v>
      </c>
      <c r="H150" t="s">
        <v>2019</v>
      </c>
      <c r="I150" t="s">
        <v>11</v>
      </c>
      <c r="J150" t="s">
        <v>13</v>
      </c>
      <c r="K150" t="s">
        <v>16</v>
      </c>
      <c r="L150" t="s">
        <v>16</v>
      </c>
      <c r="M150" t="s">
        <v>2989</v>
      </c>
      <c r="N150" t="s">
        <v>1599</v>
      </c>
      <c r="O150" t="s">
        <v>3004</v>
      </c>
      <c r="P150" t="s">
        <v>1589</v>
      </c>
      <c r="Q150" s="31">
        <v>90</v>
      </c>
      <c r="S150" t="s">
        <v>1601</v>
      </c>
    </row>
    <row r="151" spans="1:19" x14ac:dyDescent="0.25">
      <c r="A151">
        <v>2023</v>
      </c>
      <c r="B151" t="s">
        <v>772</v>
      </c>
      <c r="C151" t="s">
        <v>2899</v>
      </c>
      <c r="D151" t="s">
        <v>736</v>
      </c>
      <c r="E151" t="s">
        <v>26</v>
      </c>
      <c r="F151" t="s">
        <v>1135</v>
      </c>
      <c r="H151" t="s">
        <v>2019</v>
      </c>
      <c r="I151" t="s">
        <v>11</v>
      </c>
      <c r="J151" t="s">
        <v>13</v>
      </c>
      <c r="K151" t="s">
        <v>16</v>
      </c>
      <c r="L151" t="s">
        <v>16</v>
      </c>
      <c r="M151" t="s">
        <v>2989</v>
      </c>
      <c r="N151" t="s">
        <v>1630</v>
      </c>
      <c r="O151" t="s">
        <v>3004</v>
      </c>
      <c r="P151" t="s">
        <v>1567</v>
      </c>
      <c r="Q151" s="31">
        <v>2.2000000000000002</v>
      </c>
      <c r="R151" t="s">
        <v>3142</v>
      </c>
      <c r="S151" t="s">
        <v>1601</v>
      </c>
    </row>
  </sheetData>
  <autoFilter ref="A1:S151" xr:uid="{64FE6E20-3A0D-4233-A6AC-071804281041}">
    <sortState xmlns:xlrd2="http://schemas.microsoft.com/office/spreadsheetml/2017/richdata2" ref="A2:S151">
      <sortCondition ref="E1:E151"/>
    </sortState>
  </autoFilter>
  <phoneticPr fontId="3" type="noConversion"/>
  <conditionalFormatting sqref="Q3:Q135 Q137:Q151">
    <cfRule type="cellIs" dxfId="0" priority="1" operator="lessThan">
      <formula>1.17</formula>
    </cfRule>
  </conditionalFormatting>
  <hyperlinks>
    <hyperlink ref="S28" r:id="rId1" xr:uid="{AA397135-92AC-48E1-8DBA-0029EC319D60}"/>
    <hyperlink ref="S138" r:id="rId2" display="https://www.geologyontario.mines.gov.on.ca/mineral-inventory/MDI42C14SE00006" xr:uid="{55979883-AC60-4C9D-9FCF-A1E3B38D33F4}"/>
    <hyperlink ref="S79" r:id="rId3" xr:uid="{2FDF5ABD-104C-4406-965F-CF94F2188FBF}"/>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3" topLeftCell="K1" activePane="topRight" state="frozen"/>
      <selection pane="topRight" activeCell="K25" sqref="K25"/>
    </sheetView>
  </sheetViews>
  <sheetFormatPr baseColWidth="10" defaultColWidth="8.7109375" defaultRowHeight="15" x14ac:dyDescent="0.25"/>
  <cols>
    <col min="1" max="1" width="49.85546875" bestFit="1" customWidth="1"/>
    <col min="2" max="2" width="45.5703125" customWidth="1"/>
    <col min="3" max="3" width="35.85546875" bestFit="1" customWidth="1"/>
    <col min="4" max="4" width="18" customWidth="1"/>
    <col min="5" max="5" width="15.85546875" bestFit="1" customWidth="1"/>
    <col min="6" max="6" width="13.42578125" bestFit="1" customWidth="1"/>
    <col min="7" max="7" width="35.42578125" bestFit="1" customWidth="1"/>
    <col min="8" max="8" width="38.140625" customWidth="1"/>
    <col min="9" max="9" width="50.5703125" bestFit="1" customWidth="1"/>
    <col min="10" max="10" width="87.5703125" customWidth="1"/>
    <col min="11" max="11" width="89.42578125" bestFit="1" customWidth="1"/>
    <col min="12" max="12" width="23.5703125" customWidth="1"/>
    <col min="13" max="13" width="31.42578125" bestFit="1" customWidth="1"/>
    <col min="14" max="14" width="30.85546875" bestFit="1" customWidth="1"/>
  </cols>
  <sheetData>
    <row r="1" spans="1:14" x14ac:dyDescent="0.25">
      <c r="A1" s="32" t="s">
        <v>1668</v>
      </c>
      <c r="B1" s="32" t="s">
        <v>1669</v>
      </c>
      <c r="C1" s="32" t="s">
        <v>1653</v>
      </c>
      <c r="D1" s="32" t="s">
        <v>2</v>
      </c>
      <c r="E1" s="1" t="s">
        <v>4</v>
      </c>
      <c r="F1" s="32" t="s">
        <v>3</v>
      </c>
      <c r="G1" s="14" t="s">
        <v>6</v>
      </c>
      <c r="H1" s="1" t="s">
        <v>1777</v>
      </c>
      <c r="I1" s="15" t="s">
        <v>813</v>
      </c>
      <c r="J1" s="16" t="s">
        <v>837</v>
      </c>
      <c r="K1" s="16" t="s">
        <v>814</v>
      </c>
      <c r="L1" s="32" t="s">
        <v>2208</v>
      </c>
      <c r="M1" s="32" t="s">
        <v>2209</v>
      </c>
      <c r="N1" s="32" t="s">
        <v>2210</v>
      </c>
    </row>
    <row r="2" spans="1:14" x14ac:dyDescent="0.25">
      <c r="A2" s="18" t="s">
        <v>717</v>
      </c>
      <c r="B2" s="18" t="s">
        <v>79</v>
      </c>
      <c r="C2" s="18" t="s">
        <v>464</v>
      </c>
      <c r="D2" s="18" t="s">
        <v>1272</v>
      </c>
      <c r="E2" s="18" t="s">
        <v>375</v>
      </c>
      <c r="F2" s="18" t="s">
        <v>374</v>
      </c>
      <c r="G2" s="18"/>
      <c r="H2" s="18" t="s">
        <v>90</v>
      </c>
      <c r="I2" s="18" t="s">
        <v>980</v>
      </c>
      <c r="J2" s="18" t="s">
        <v>707</v>
      </c>
      <c r="K2" s="18" t="s">
        <v>983</v>
      </c>
    </row>
    <row r="3" spans="1:14" x14ac:dyDescent="0.25">
      <c r="A3" s="18" t="s">
        <v>774</v>
      </c>
      <c r="B3" s="18" t="s">
        <v>62</v>
      </c>
      <c r="C3" s="18" t="s">
        <v>702</v>
      </c>
      <c r="D3" s="18" t="s">
        <v>1123</v>
      </c>
      <c r="E3" s="18" t="s">
        <v>375</v>
      </c>
      <c r="F3" s="18" t="s">
        <v>374</v>
      </c>
      <c r="G3" s="18"/>
      <c r="H3" s="18" t="s">
        <v>703</v>
      </c>
      <c r="I3" s="18"/>
      <c r="J3" s="18"/>
      <c r="K3" s="18"/>
    </row>
    <row r="4" spans="1:14" x14ac:dyDescent="0.25">
      <c r="A4" s="18" t="s">
        <v>14</v>
      </c>
      <c r="B4" s="18" t="s">
        <v>14</v>
      </c>
      <c r="C4" s="18" t="s">
        <v>429</v>
      </c>
      <c r="D4" s="18" t="s">
        <v>1132</v>
      </c>
      <c r="E4" s="18" t="s">
        <v>375</v>
      </c>
      <c r="F4" s="18" t="s">
        <v>374</v>
      </c>
      <c r="G4" s="18"/>
      <c r="H4" s="18" t="s">
        <v>81</v>
      </c>
      <c r="I4" s="18" t="s">
        <v>768</v>
      </c>
      <c r="J4" s="19" t="s">
        <v>1501</v>
      </c>
      <c r="K4" s="19" t="s">
        <v>1500</v>
      </c>
    </row>
    <row r="5" spans="1:14" x14ac:dyDescent="0.25">
      <c r="A5" s="18" t="s">
        <v>916</v>
      </c>
      <c r="B5" s="18" t="s">
        <v>691</v>
      </c>
      <c r="C5" s="18" t="s">
        <v>692</v>
      </c>
      <c r="D5" s="18" t="s">
        <v>1449</v>
      </c>
      <c r="E5" s="18" t="s">
        <v>375</v>
      </c>
      <c r="F5" s="18" t="s">
        <v>374</v>
      </c>
      <c r="G5" s="18"/>
      <c r="H5" s="18" t="s">
        <v>693</v>
      </c>
      <c r="I5" s="18"/>
      <c r="J5" s="18"/>
      <c r="K5" s="18"/>
    </row>
    <row r="6" spans="1:14" x14ac:dyDescent="0.25">
      <c r="A6" s="18" t="s">
        <v>135</v>
      </c>
      <c r="B6" s="18" t="s">
        <v>135</v>
      </c>
      <c r="C6" s="18" t="s">
        <v>595</v>
      </c>
      <c r="D6" s="18" t="s">
        <v>1397</v>
      </c>
      <c r="E6" s="18" t="s">
        <v>375</v>
      </c>
      <c r="F6" s="18" t="s">
        <v>374</v>
      </c>
      <c r="G6" s="18"/>
      <c r="H6" s="18" t="s">
        <v>177</v>
      </c>
      <c r="I6" s="18" t="s">
        <v>727</v>
      </c>
      <c r="J6" s="18"/>
      <c r="K6" s="18"/>
    </row>
    <row r="7" spans="1:14" x14ac:dyDescent="0.25">
      <c r="A7" t="s">
        <v>779</v>
      </c>
      <c r="B7" t="s">
        <v>242</v>
      </c>
      <c r="C7" t="s">
        <v>243</v>
      </c>
      <c r="D7" t="s">
        <v>1141</v>
      </c>
      <c r="E7" t="s">
        <v>233</v>
      </c>
      <c r="F7" t="s">
        <v>10</v>
      </c>
      <c r="G7" t="s">
        <v>245</v>
      </c>
      <c r="H7" t="s">
        <v>244</v>
      </c>
      <c r="I7" t="s">
        <v>778</v>
      </c>
      <c r="J7" s="22" t="s">
        <v>2025</v>
      </c>
      <c r="K7" t="s">
        <v>707</v>
      </c>
      <c r="M7" t="s">
        <v>2218</v>
      </c>
      <c r="N7" t="s">
        <v>2219</v>
      </c>
    </row>
    <row r="8" spans="1:14" x14ac:dyDescent="0.25">
      <c r="A8" t="s">
        <v>718</v>
      </c>
      <c r="B8" t="s">
        <v>246</v>
      </c>
      <c r="C8" t="s">
        <v>247</v>
      </c>
      <c r="D8" t="s">
        <v>1350</v>
      </c>
      <c r="E8" t="s">
        <v>233</v>
      </c>
      <c r="F8" t="s">
        <v>10</v>
      </c>
      <c r="G8" t="s">
        <v>249</v>
      </c>
      <c r="H8" t="s">
        <v>248</v>
      </c>
      <c r="I8" t="s">
        <v>1055</v>
      </c>
      <c r="J8" t="s">
        <v>1062</v>
      </c>
      <c r="K8" t="s">
        <v>707</v>
      </c>
      <c r="M8" t="s">
        <v>2271</v>
      </c>
    </row>
    <row r="9" spans="1:14" x14ac:dyDescent="0.25">
      <c r="A9" t="s">
        <v>718</v>
      </c>
      <c r="B9" t="s">
        <v>250</v>
      </c>
      <c r="C9" t="s">
        <v>251</v>
      </c>
      <c r="D9" t="s">
        <v>1352</v>
      </c>
      <c r="E9" t="s">
        <v>233</v>
      </c>
      <c r="F9" t="s">
        <v>10</v>
      </c>
      <c r="G9" t="s">
        <v>249</v>
      </c>
      <c r="H9" t="s">
        <v>252</v>
      </c>
      <c r="I9" t="s">
        <v>1058</v>
      </c>
      <c r="J9" t="s">
        <v>1062</v>
      </c>
      <c r="K9" t="s">
        <v>707</v>
      </c>
      <c r="M9" t="s">
        <v>2275</v>
      </c>
    </row>
    <row r="10" spans="1:14" x14ac:dyDescent="0.25">
      <c r="A10" t="s">
        <v>780</v>
      </c>
      <c r="B10" t="s">
        <v>253</v>
      </c>
      <c r="C10" t="s">
        <v>254</v>
      </c>
      <c r="D10" t="s">
        <v>1144</v>
      </c>
      <c r="E10" t="s">
        <v>233</v>
      </c>
      <c r="F10" t="s">
        <v>10</v>
      </c>
      <c r="G10" t="s">
        <v>255</v>
      </c>
      <c r="H10" t="s">
        <v>244</v>
      </c>
      <c r="I10" s="2" t="s">
        <v>782</v>
      </c>
      <c r="J10" s="2"/>
      <c r="K10" t="s">
        <v>707</v>
      </c>
      <c r="M10" t="s">
        <v>783</v>
      </c>
    </row>
    <row r="11" spans="1:14" x14ac:dyDescent="0.25">
      <c r="A11" t="s">
        <v>14</v>
      </c>
      <c r="B11" t="s">
        <v>14</v>
      </c>
      <c r="C11" t="s">
        <v>15</v>
      </c>
      <c r="D11" t="s">
        <v>1131</v>
      </c>
      <c r="E11" t="s">
        <v>11</v>
      </c>
      <c r="F11" t="s">
        <v>10</v>
      </c>
      <c r="G11" t="s">
        <v>17</v>
      </c>
      <c r="H11" t="s">
        <v>16</v>
      </c>
      <c r="I11" s="2" t="s">
        <v>768</v>
      </c>
      <c r="J11" s="2" t="s">
        <v>1501</v>
      </c>
      <c r="K11" s="2" t="s">
        <v>1500</v>
      </c>
      <c r="M11" t="s">
        <v>2212</v>
      </c>
      <c r="N11" t="s">
        <v>14</v>
      </c>
    </row>
    <row r="12" spans="1:14" x14ac:dyDescent="0.25">
      <c r="A12" t="s">
        <v>155</v>
      </c>
      <c r="B12" t="s">
        <v>256</v>
      </c>
      <c r="C12" t="s">
        <v>257</v>
      </c>
      <c r="D12" t="s">
        <v>1158</v>
      </c>
      <c r="E12" t="s">
        <v>233</v>
      </c>
      <c r="F12" t="s">
        <v>10</v>
      </c>
      <c r="G12" t="s">
        <v>258</v>
      </c>
      <c r="H12" t="s">
        <v>244</v>
      </c>
      <c r="I12" t="s">
        <v>769</v>
      </c>
      <c r="K12" t="s">
        <v>707</v>
      </c>
    </row>
    <row r="13" spans="1:14" x14ac:dyDescent="0.25">
      <c r="A13" t="s">
        <v>718</v>
      </c>
      <c r="B13" t="s">
        <v>246</v>
      </c>
      <c r="C13" t="s">
        <v>259</v>
      </c>
      <c r="D13" t="s">
        <v>1349</v>
      </c>
      <c r="E13" t="s">
        <v>233</v>
      </c>
      <c r="F13" t="s">
        <v>10</v>
      </c>
      <c r="G13" t="s">
        <v>249</v>
      </c>
      <c r="H13" t="s">
        <v>260</v>
      </c>
      <c r="I13" t="s">
        <v>1055</v>
      </c>
      <c r="J13" t="s">
        <v>1062</v>
      </c>
      <c r="K13" t="s">
        <v>707</v>
      </c>
      <c r="M13" t="s">
        <v>2271</v>
      </c>
    </row>
    <row r="14" spans="1:14" x14ac:dyDescent="0.25">
      <c r="A14" s="18" t="s">
        <v>897</v>
      </c>
      <c r="B14" s="18" t="s">
        <v>507</v>
      </c>
      <c r="C14" s="18" t="s">
        <v>508</v>
      </c>
      <c r="D14" s="18" t="s">
        <v>1367</v>
      </c>
      <c r="E14" s="18" t="s">
        <v>375</v>
      </c>
      <c r="F14" s="18" t="s">
        <v>374</v>
      </c>
      <c r="G14" s="18"/>
      <c r="H14" s="18" t="s">
        <v>509</v>
      </c>
      <c r="I14" s="18"/>
      <c r="J14" s="18"/>
      <c r="K14" s="18"/>
    </row>
    <row r="15" spans="1:14" x14ac:dyDescent="0.25">
      <c r="A15" s="18"/>
      <c r="B15" s="18" t="s">
        <v>551</v>
      </c>
      <c r="C15" s="18" t="s">
        <v>552</v>
      </c>
      <c r="D15" s="18" t="s">
        <v>1143</v>
      </c>
      <c r="E15" s="18" t="s">
        <v>375</v>
      </c>
      <c r="F15" s="18" t="s">
        <v>374</v>
      </c>
      <c r="G15" s="18"/>
      <c r="H15" s="18" t="s">
        <v>553</v>
      </c>
      <c r="I15" s="18"/>
      <c r="J15" s="18"/>
      <c r="K15" s="18"/>
    </row>
    <row r="16" spans="1:14" x14ac:dyDescent="0.25">
      <c r="A16" t="s">
        <v>261</v>
      </c>
      <c r="B16" t="s">
        <v>261</v>
      </c>
      <c r="C16" t="s">
        <v>262</v>
      </c>
      <c r="D16" t="s">
        <v>1137</v>
      </c>
      <c r="E16" t="s">
        <v>233</v>
      </c>
      <c r="F16" t="s">
        <v>10</v>
      </c>
      <c r="G16" t="s">
        <v>249</v>
      </c>
      <c r="H16" t="s">
        <v>248</v>
      </c>
      <c r="I16" t="s">
        <v>738</v>
      </c>
      <c r="J16" t="s">
        <v>2020</v>
      </c>
      <c r="K16" t="s">
        <v>707</v>
      </c>
      <c r="M16" t="s">
        <v>2216</v>
      </c>
      <c r="N16" t="s">
        <v>261</v>
      </c>
    </row>
    <row r="17" spans="1:14" x14ac:dyDescent="0.25">
      <c r="A17" s="18" t="s">
        <v>496</v>
      </c>
      <c r="B17" s="18" t="s">
        <v>496</v>
      </c>
      <c r="C17" s="18" t="s">
        <v>497</v>
      </c>
      <c r="D17" s="18" t="s">
        <v>1209</v>
      </c>
      <c r="E17" s="18" t="s">
        <v>375</v>
      </c>
      <c r="F17" s="18" t="s">
        <v>374</v>
      </c>
      <c r="G17" s="18"/>
      <c r="H17" s="18" t="s">
        <v>498</v>
      </c>
      <c r="I17" s="18"/>
      <c r="J17" s="18"/>
      <c r="K17" s="18"/>
    </row>
    <row r="18" spans="1:14" x14ac:dyDescent="0.25">
      <c r="A18" s="18" t="s">
        <v>869</v>
      </c>
      <c r="B18" s="18" t="s">
        <v>546</v>
      </c>
      <c r="C18" s="18" t="s">
        <v>547</v>
      </c>
      <c r="D18" s="18" t="s">
        <v>1300</v>
      </c>
      <c r="E18" s="18" t="s">
        <v>375</v>
      </c>
      <c r="F18" s="18" t="s">
        <v>374</v>
      </c>
      <c r="G18" s="18"/>
      <c r="H18" s="18" t="s">
        <v>548</v>
      </c>
      <c r="I18" s="18"/>
      <c r="J18" s="18"/>
      <c r="K18" s="18"/>
    </row>
    <row r="19" spans="1:14" x14ac:dyDescent="0.25">
      <c r="A19" s="18" t="s">
        <v>386</v>
      </c>
      <c r="B19" s="18" t="s">
        <v>386</v>
      </c>
      <c r="C19" s="18" t="s">
        <v>387</v>
      </c>
      <c r="D19" s="18" t="s">
        <v>1211</v>
      </c>
      <c r="E19" s="18" t="s">
        <v>375</v>
      </c>
      <c r="F19" s="18" t="s">
        <v>374</v>
      </c>
      <c r="G19" s="18"/>
      <c r="H19" s="18" t="s">
        <v>388</v>
      </c>
      <c r="I19" s="18"/>
      <c r="J19" s="18"/>
      <c r="K19" s="18"/>
    </row>
    <row r="20" spans="1:14" x14ac:dyDescent="0.25">
      <c r="A20" t="s">
        <v>720</v>
      </c>
      <c r="B20" t="s">
        <v>263</v>
      </c>
      <c r="C20" t="s">
        <v>264</v>
      </c>
      <c r="D20" t="s">
        <v>1167</v>
      </c>
      <c r="E20" t="s">
        <v>233</v>
      </c>
      <c r="F20" t="s">
        <v>10</v>
      </c>
      <c r="G20" t="s">
        <v>266</v>
      </c>
      <c r="H20" t="s">
        <v>265</v>
      </c>
      <c r="I20" t="s">
        <v>789</v>
      </c>
      <c r="J20" t="s">
        <v>2038</v>
      </c>
      <c r="K20" t="s">
        <v>707</v>
      </c>
      <c r="M20" t="s">
        <v>2225</v>
      </c>
      <c r="N20" t="s">
        <v>2226</v>
      </c>
    </row>
    <row r="21" spans="1:14" x14ac:dyDescent="0.25">
      <c r="A21" t="s">
        <v>720</v>
      </c>
      <c r="B21" t="s">
        <v>205</v>
      </c>
      <c r="C21" t="s">
        <v>206</v>
      </c>
      <c r="D21" t="s">
        <v>1193</v>
      </c>
      <c r="E21" t="s">
        <v>11</v>
      </c>
      <c r="F21" t="s">
        <v>10</v>
      </c>
      <c r="G21" t="s">
        <v>13</v>
      </c>
      <c r="H21" t="s">
        <v>207</v>
      </c>
      <c r="I21" t="s">
        <v>720</v>
      </c>
      <c r="J21" t="s">
        <v>720</v>
      </c>
      <c r="K21" t="s">
        <v>720</v>
      </c>
      <c r="M21" t="s">
        <v>2052</v>
      </c>
      <c r="N21" t="s">
        <v>2052</v>
      </c>
    </row>
    <row r="22" spans="1:14" ht="30" x14ac:dyDescent="0.25">
      <c r="A22" t="s">
        <v>740</v>
      </c>
      <c r="B22" t="s">
        <v>267</v>
      </c>
      <c r="C22" t="s">
        <v>268</v>
      </c>
      <c r="D22" t="s">
        <v>1140</v>
      </c>
      <c r="E22" t="s">
        <v>233</v>
      </c>
      <c r="F22" t="s">
        <v>10</v>
      </c>
      <c r="G22" t="s">
        <v>249</v>
      </c>
      <c r="H22" t="s">
        <v>248</v>
      </c>
      <c r="I22" t="s">
        <v>738</v>
      </c>
      <c r="J22" s="30" t="s">
        <v>2023</v>
      </c>
      <c r="K22" t="s">
        <v>707</v>
      </c>
      <c r="M22" t="s">
        <v>2217</v>
      </c>
      <c r="N22" t="s">
        <v>261</v>
      </c>
    </row>
    <row r="23" spans="1:14" x14ac:dyDescent="0.25">
      <c r="A23" s="18" t="s">
        <v>543</v>
      </c>
      <c r="B23" s="18" t="s">
        <v>543</v>
      </c>
      <c r="C23" s="18" t="s">
        <v>544</v>
      </c>
      <c r="D23" s="18" t="s">
        <v>1214</v>
      </c>
      <c r="E23" s="18" t="s">
        <v>375</v>
      </c>
      <c r="F23" s="18" t="s">
        <v>374</v>
      </c>
      <c r="G23" s="18"/>
      <c r="H23" s="18" t="s">
        <v>545</v>
      </c>
      <c r="I23" s="18"/>
      <c r="J23" s="18"/>
      <c r="K23" s="18"/>
    </row>
    <row r="24" spans="1:14" x14ac:dyDescent="0.25">
      <c r="A24" t="s">
        <v>269</v>
      </c>
      <c r="B24" t="s">
        <v>269</v>
      </c>
      <c r="C24" t="s">
        <v>270</v>
      </c>
      <c r="D24" t="s">
        <v>1221</v>
      </c>
      <c r="E24" t="s">
        <v>233</v>
      </c>
      <c r="F24" t="s">
        <v>10</v>
      </c>
      <c r="G24" t="s">
        <v>249</v>
      </c>
      <c r="H24" t="s">
        <v>271</v>
      </c>
      <c r="I24" s="3" t="s">
        <v>945</v>
      </c>
      <c r="J24" s="3" t="s">
        <v>944</v>
      </c>
      <c r="K24" t="s">
        <v>707</v>
      </c>
    </row>
    <row r="25" spans="1:14" x14ac:dyDescent="0.25">
      <c r="A25" t="s">
        <v>756</v>
      </c>
      <c r="B25" t="s">
        <v>46</v>
      </c>
      <c r="C25" t="s">
        <v>47</v>
      </c>
      <c r="D25" t="s">
        <v>1339</v>
      </c>
      <c r="E25" t="s">
        <v>11</v>
      </c>
      <c r="F25" t="s">
        <v>10</v>
      </c>
      <c r="G25" t="s">
        <v>13</v>
      </c>
      <c r="H25" t="s">
        <v>16</v>
      </c>
      <c r="I25" s="2" t="s">
        <v>763</v>
      </c>
      <c r="J25" s="2" t="s">
        <v>1044</v>
      </c>
      <c r="K25" s="2" t="s">
        <v>1043</v>
      </c>
      <c r="L25" t="s">
        <v>2256</v>
      </c>
      <c r="M25" t="s">
        <v>2257</v>
      </c>
    </row>
    <row r="26" spans="1:14" x14ac:dyDescent="0.25">
      <c r="A26" s="18" t="s">
        <v>905</v>
      </c>
      <c r="B26" s="18" t="s">
        <v>413</v>
      </c>
      <c r="C26" s="18" t="s">
        <v>414</v>
      </c>
      <c r="D26" s="18" t="s">
        <v>1388</v>
      </c>
      <c r="E26" s="18" t="s">
        <v>375</v>
      </c>
      <c r="F26" s="18" t="s">
        <v>374</v>
      </c>
      <c r="G26" s="18"/>
      <c r="H26" s="18" t="s">
        <v>415</v>
      </c>
      <c r="I26" s="18"/>
      <c r="J26" s="18"/>
      <c r="K26" s="18"/>
    </row>
    <row r="27" spans="1:14" x14ac:dyDescent="0.25">
      <c r="A27" s="18" t="s">
        <v>469</v>
      </c>
      <c r="B27" s="18" t="s">
        <v>469</v>
      </c>
      <c r="C27" s="18" t="s">
        <v>470</v>
      </c>
      <c r="D27" s="18" t="s">
        <v>1330</v>
      </c>
      <c r="E27" s="18" t="s">
        <v>375</v>
      </c>
      <c r="F27" s="18" t="s">
        <v>374</v>
      </c>
      <c r="G27" s="18"/>
      <c r="H27" s="18" t="s">
        <v>468</v>
      </c>
      <c r="I27" s="18"/>
      <c r="J27" s="18"/>
      <c r="K27" s="18"/>
    </row>
    <row r="28" spans="1:14" x14ac:dyDescent="0.25">
      <c r="A28" s="18" t="s">
        <v>489</v>
      </c>
      <c r="B28" s="18" t="s">
        <v>489</v>
      </c>
      <c r="C28" s="18" t="s">
        <v>490</v>
      </c>
      <c r="D28" s="18" t="s">
        <v>1383</v>
      </c>
      <c r="E28" s="18" t="s">
        <v>375</v>
      </c>
      <c r="F28" s="18" t="s">
        <v>374</v>
      </c>
      <c r="G28" s="18"/>
      <c r="H28" s="18" t="s">
        <v>491</v>
      </c>
      <c r="I28" s="18"/>
      <c r="J28" s="18"/>
      <c r="K28" s="18"/>
    </row>
    <row r="29" spans="1:14" x14ac:dyDescent="0.25">
      <c r="A29" s="18" t="s">
        <v>489</v>
      </c>
      <c r="B29" s="18" t="s">
        <v>489</v>
      </c>
      <c r="C29" s="18" t="s">
        <v>492</v>
      </c>
      <c r="D29" s="18" t="s">
        <v>1384</v>
      </c>
      <c r="E29" s="18" t="s">
        <v>375</v>
      </c>
      <c r="F29" s="18" t="s">
        <v>374</v>
      </c>
      <c r="G29" s="18"/>
      <c r="H29" s="18" t="s">
        <v>491</v>
      </c>
      <c r="I29" s="18"/>
      <c r="J29" s="18"/>
      <c r="K29" s="18"/>
    </row>
    <row r="30" spans="1:14" x14ac:dyDescent="0.25">
      <c r="A30" t="s">
        <v>208</v>
      </c>
      <c r="B30" t="s">
        <v>208</v>
      </c>
      <c r="C30" t="s">
        <v>272</v>
      </c>
      <c r="D30" t="s">
        <v>1179</v>
      </c>
      <c r="E30" t="s">
        <v>233</v>
      </c>
      <c r="F30" t="s">
        <v>10</v>
      </c>
      <c r="G30" t="s">
        <v>274</v>
      </c>
      <c r="H30" t="s">
        <v>273</v>
      </c>
      <c r="I30" t="s">
        <v>770</v>
      </c>
      <c r="J30" t="s">
        <v>1531</v>
      </c>
      <c r="K30" t="s">
        <v>707</v>
      </c>
    </row>
    <row r="31" spans="1:14" x14ac:dyDescent="0.25">
      <c r="A31" t="s">
        <v>795</v>
      </c>
      <c r="B31" t="s">
        <v>161</v>
      </c>
      <c r="C31" t="s">
        <v>162</v>
      </c>
      <c r="D31" t="s">
        <v>1192</v>
      </c>
      <c r="E31" t="s">
        <v>11</v>
      </c>
      <c r="F31" t="s">
        <v>10</v>
      </c>
      <c r="G31" t="s">
        <v>34</v>
      </c>
      <c r="H31" t="s">
        <v>157</v>
      </c>
      <c r="I31" t="s">
        <v>794</v>
      </c>
      <c r="J31" t="s">
        <v>2049</v>
      </c>
      <c r="K31" s="22" t="s">
        <v>2050</v>
      </c>
      <c r="M31" t="s">
        <v>2235</v>
      </c>
      <c r="N31" t="s">
        <v>2236</v>
      </c>
    </row>
    <row r="32" spans="1:14" x14ac:dyDescent="0.25">
      <c r="A32" s="18" t="s">
        <v>499</v>
      </c>
      <c r="B32" s="18" t="s">
        <v>499</v>
      </c>
      <c r="C32" s="18" t="s">
        <v>500</v>
      </c>
      <c r="D32" s="18" t="s">
        <v>1293</v>
      </c>
      <c r="E32" s="18" t="s">
        <v>375</v>
      </c>
      <c r="F32" s="18" t="s">
        <v>374</v>
      </c>
      <c r="G32" s="18"/>
      <c r="H32" s="18" t="s">
        <v>498</v>
      </c>
      <c r="I32" s="18"/>
      <c r="J32" s="18"/>
      <c r="K32" s="18"/>
    </row>
    <row r="33" spans="1:14" x14ac:dyDescent="0.25">
      <c r="A33" t="s">
        <v>39</v>
      </c>
      <c r="B33" t="s">
        <v>39</v>
      </c>
      <c r="C33" t="s">
        <v>40</v>
      </c>
      <c r="D33" t="s">
        <v>1320</v>
      </c>
      <c r="E33" t="s">
        <v>11</v>
      </c>
      <c r="F33" t="s">
        <v>10</v>
      </c>
      <c r="G33" t="s">
        <v>17</v>
      </c>
      <c r="H33" t="s">
        <v>16</v>
      </c>
      <c r="I33" t="s">
        <v>1030</v>
      </c>
      <c r="J33" t="s">
        <v>1026</v>
      </c>
      <c r="K33" t="s">
        <v>1029</v>
      </c>
      <c r="L33" t="s">
        <v>2386</v>
      </c>
      <c r="M33" t="s">
        <v>2389</v>
      </c>
    </row>
    <row r="34" spans="1:14" x14ac:dyDescent="0.25">
      <c r="A34" t="s">
        <v>785</v>
      </c>
      <c r="B34" t="s">
        <v>275</v>
      </c>
      <c r="C34" t="s">
        <v>276</v>
      </c>
      <c r="D34" t="s">
        <v>1161</v>
      </c>
      <c r="E34" t="s">
        <v>233</v>
      </c>
      <c r="F34" t="s">
        <v>10</v>
      </c>
      <c r="G34" t="s">
        <v>274</v>
      </c>
      <c r="H34" t="s">
        <v>64</v>
      </c>
      <c r="I34" t="s">
        <v>786</v>
      </c>
      <c r="K34" t="s">
        <v>707</v>
      </c>
      <c r="M34" t="s">
        <v>2222</v>
      </c>
      <c r="N34" t="s">
        <v>2223</v>
      </c>
    </row>
    <row r="35" spans="1:14" x14ac:dyDescent="0.25">
      <c r="A35" t="s">
        <v>39</v>
      </c>
      <c r="B35" t="s">
        <v>39</v>
      </c>
      <c r="C35" t="s">
        <v>77</v>
      </c>
      <c r="D35" t="s">
        <v>1323</v>
      </c>
      <c r="E35" t="s">
        <v>11</v>
      </c>
      <c r="F35" t="s">
        <v>10</v>
      </c>
      <c r="G35" t="s">
        <v>13</v>
      </c>
      <c r="H35" t="s">
        <v>64</v>
      </c>
      <c r="I35" t="s">
        <v>1030</v>
      </c>
      <c r="K35" s="22" t="s">
        <v>1035</v>
      </c>
      <c r="M35" t="s">
        <v>2252</v>
      </c>
    </row>
    <row r="36" spans="1:14" x14ac:dyDescent="0.25">
      <c r="A36" s="18"/>
      <c r="B36" s="18" t="s">
        <v>686</v>
      </c>
      <c r="C36" s="18" t="s">
        <v>687</v>
      </c>
      <c r="D36" s="18" t="s">
        <v>1171</v>
      </c>
      <c r="E36" s="18" t="s">
        <v>375</v>
      </c>
      <c r="F36" s="18" t="s">
        <v>374</v>
      </c>
      <c r="G36" s="18"/>
      <c r="H36" s="18" t="s">
        <v>688</v>
      </c>
      <c r="I36" s="18"/>
      <c r="J36" s="18"/>
      <c r="K36" s="18"/>
    </row>
    <row r="37" spans="1:14" x14ac:dyDescent="0.25">
      <c r="A37" s="18" t="s">
        <v>886</v>
      </c>
      <c r="B37" s="18" t="s">
        <v>676</v>
      </c>
      <c r="C37" s="18" t="s">
        <v>677</v>
      </c>
      <c r="D37" s="18" t="s">
        <v>1335</v>
      </c>
      <c r="E37" s="18" t="s">
        <v>375</v>
      </c>
      <c r="F37" s="18" t="s">
        <v>374</v>
      </c>
      <c r="G37" s="18"/>
      <c r="H37" s="18" t="s">
        <v>678</v>
      </c>
      <c r="I37" s="18"/>
      <c r="J37" s="18"/>
      <c r="K37" s="18"/>
    </row>
    <row r="38" spans="1:14" x14ac:dyDescent="0.25">
      <c r="A38" t="s">
        <v>714</v>
      </c>
      <c r="B38" t="s">
        <v>281</v>
      </c>
      <c r="C38" t="s">
        <v>282</v>
      </c>
      <c r="D38" t="s">
        <v>1243</v>
      </c>
      <c r="E38" t="s">
        <v>233</v>
      </c>
      <c r="F38" t="s">
        <v>10</v>
      </c>
      <c r="G38" t="s">
        <v>255</v>
      </c>
      <c r="H38" t="s">
        <v>244</v>
      </c>
      <c r="I38" t="s">
        <v>951</v>
      </c>
      <c r="J38" t="s">
        <v>707</v>
      </c>
      <c r="K38" t="s">
        <v>707</v>
      </c>
    </row>
    <row r="39" spans="1:14" x14ac:dyDescent="0.25">
      <c r="A39" t="s">
        <v>715</v>
      </c>
      <c r="B39" t="s">
        <v>142</v>
      </c>
      <c r="C39" t="s">
        <v>283</v>
      </c>
      <c r="D39" t="s">
        <v>1252</v>
      </c>
      <c r="E39" t="s">
        <v>233</v>
      </c>
      <c r="F39" t="s">
        <v>10</v>
      </c>
      <c r="G39" t="s">
        <v>274</v>
      </c>
      <c r="H39" t="s">
        <v>284</v>
      </c>
      <c r="I39" t="s">
        <v>962</v>
      </c>
      <c r="J39" t="s">
        <v>967</v>
      </c>
      <c r="K39" t="s">
        <v>707</v>
      </c>
      <c r="M39" t="s">
        <v>2267</v>
      </c>
      <c r="N39" t="s">
        <v>142</v>
      </c>
    </row>
    <row r="40" spans="1:14" x14ac:dyDescent="0.25">
      <c r="A40" t="s">
        <v>14</v>
      </c>
      <c r="B40" t="s">
        <v>14</v>
      </c>
      <c r="C40" t="s">
        <v>65</v>
      </c>
      <c r="D40" t="s">
        <v>1125</v>
      </c>
      <c r="E40" t="s">
        <v>11</v>
      </c>
      <c r="F40" t="s">
        <v>10</v>
      </c>
      <c r="G40" t="s">
        <v>13</v>
      </c>
      <c r="H40" t="s">
        <v>64</v>
      </c>
      <c r="I40" s="2" t="s">
        <v>768</v>
      </c>
      <c r="J40" s="2" t="s">
        <v>1506</v>
      </c>
      <c r="K40" s="2" t="s">
        <v>1507</v>
      </c>
      <c r="M40" t="s">
        <v>2212</v>
      </c>
      <c r="N40" t="s">
        <v>2213</v>
      </c>
    </row>
    <row r="41" spans="1:14" x14ac:dyDescent="0.25">
      <c r="A41" s="18" t="s">
        <v>408</v>
      </c>
      <c r="B41" s="18" t="s">
        <v>408</v>
      </c>
      <c r="C41" s="18" t="s">
        <v>409</v>
      </c>
      <c r="D41" s="18" t="s">
        <v>1258</v>
      </c>
      <c r="E41" s="18" t="s">
        <v>375</v>
      </c>
      <c r="F41" s="18" t="s">
        <v>374</v>
      </c>
      <c r="G41" s="18"/>
      <c r="H41" s="18" t="s">
        <v>410</v>
      </c>
      <c r="I41" s="18"/>
      <c r="J41" s="18"/>
      <c r="K41" s="18"/>
    </row>
    <row r="42" spans="1:14" x14ac:dyDescent="0.25">
      <c r="A42" t="s">
        <v>861</v>
      </c>
      <c r="B42" t="s">
        <v>163</v>
      </c>
      <c r="C42" t="s">
        <v>164</v>
      </c>
      <c r="D42" t="s">
        <v>1282</v>
      </c>
      <c r="E42" t="s">
        <v>11</v>
      </c>
      <c r="F42" t="s">
        <v>10</v>
      </c>
      <c r="G42" t="s">
        <v>19</v>
      </c>
      <c r="H42" t="s">
        <v>157</v>
      </c>
      <c r="I42" s="22" t="s">
        <v>995</v>
      </c>
      <c r="J42" s="2" t="s">
        <v>1064</v>
      </c>
      <c r="K42" s="22" t="s">
        <v>996</v>
      </c>
      <c r="M42" t="s">
        <v>2273</v>
      </c>
    </row>
    <row r="43" spans="1:14" x14ac:dyDescent="0.25">
      <c r="A43" t="s">
        <v>8</v>
      </c>
      <c r="B43" t="s">
        <v>8</v>
      </c>
      <c r="C43" t="s">
        <v>72</v>
      </c>
      <c r="D43" t="s">
        <v>1263</v>
      </c>
      <c r="E43" t="s">
        <v>11</v>
      </c>
      <c r="F43" t="s">
        <v>10</v>
      </c>
      <c r="G43" t="s">
        <v>13</v>
      </c>
      <c r="H43" t="s">
        <v>64</v>
      </c>
      <c r="I43" t="s">
        <v>722</v>
      </c>
      <c r="J43" t="s">
        <v>973</v>
      </c>
      <c r="K43" t="s">
        <v>975</v>
      </c>
      <c r="M43" t="s">
        <v>2242</v>
      </c>
      <c r="N43" t="s">
        <v>8</v>
      </c>
    </row>
    <row r="44" spans="1:14" x14ac:dyDescent="0.25">
      <c r="A44" s="18" t="s">
        <v>395</v>
      </c>
      <c r="B44" s="18" t="s">
        <v>395</v>
      </c>
      <c r="C44" s="18" t="s">
        <v>396</v>
      </c>
      <c r="D44" s="18" t="s">
        <v>1441</v>
      </c>
      <c r="E44" s="18" t="s">
        <v>375</v>
      </c>
      <c r="F44" s="18" t="s">
        <v>374</v>
      </c>
      <c r="G44" s="18"/>
      <c r="H44" s="18" t="s">
        <v>397</v>
      </c>
      <c r="I44" s="18"/>
      <c r="J44" s="18"/>
      <c r="K44" s="18"/>
    </row>
    <row r="45" spans="1:14" x14ac:dyDescent="0.25">
      <c r="A45" t="s">
        <v>715</v>
      </c>
      <c r="B45" t="s">
        <v>142</v>
      </c>
      <c r="C45" t="s">
        <v>285</v>
      </c>
      <c r="D45" t="s">
        <v>1250</v>
      </c>
      <c r="E45" t="s">
        <v>233</v>
      </c>
      <c r="F45" t="s">
        <v>10</v>
      </c>
      <c r="G45" t="s">
        <v>274</v>
      </c>
      <c r="H45" t="s">
        <v>286</v>
      </c>
      <c r="I45" t="s">
        <v>962</v>
      </c>
      <c r="J45" t="s">
        <v>966</v>
      </c>
      <c r="K45" t="s">
        <v>707</v>
      </c>
      <c r="M45" t="s">
        <v>2267</v>
      </c>
      <c r="N45" t="s">
        <v>142</v>
      </c>
    </row>
    <row r="46" spans="1:14" x14ac:dyDescent="0.25">
      <c r="A46" t="s">
        <v>208</v>
      </c>
      <c r="B46" t="s">
        <v>208</v>
      </c>
      <c r="C46" t="s">
        <v>209</v>
      </c>
      <c r="D46" t="s">
        <v>1175</v>
      </c>
      <c r="E46" t="s">
        <v>11</v>
      </c>
      <c r="F46" t="s">
        <v>10</v>
      </c>
      <c r="G46" t="s">
        <v>44</v>
      </c>
      <c r="H46" t="s">
        <v>210</v>
      </c>
      <c r="I46" t="s">
        <v>770</v>
      </c>
      <c r="J46" t="s">
        <v>1528</v>
      </c>
      <c r="K46" t="s">
        <v>829</v>
      </c>
      <c r="M46" t="s">
        <v>2378</v>
      </c>
      <c r="N46" t="s">
        <v>2229</v>
      </c>
    </row>
    <row r="47" spans="1:14" x14ac:dyDescent="0.25">
      <c r="A47" t="s">
        <v>719</v>
      </c>
      <c r="B47" t="s">
        <v>178</v>
      </c>
      <c r="C47" t="s">
        <v>190</v>
      </c>
      <c r="D47" t="s">
        <v>1420</v>
      </c>
      <c r="E47" t="s">
        <v>11</v>
      </c>
      <c r="F47" t="s">
        <v>10</v>
      </c>
      <c r="G47" t="s">
        <v>21</v>
      </c>
      <c r="H47" t="s">
        <v>189</v>
      </c>
      <c r="I47" t="s">
        <v>1472</v>
      </c>
      <c r="J47" t="s">
        <v>1475</v>
      </c>
      <c r="K47" t="s">
        <v>1476</v>
      </c>
      <c r="L47" t="s">
        <v>2263</v>
      </c>
    </row>
    <row r="48" spans="1:14" x14ac:dyDescent="0.25">
      <c r="A48" t="s">
        <v>719</v>
      </c>
      <c r="B48" t="s">
        <v>178</v>
      </c>
      <c r="C48" t="s">
        <v>191</v>
      </c>
      <c r="D48" t="s">
        <v>1423</v>
      </c>
      <c r="E48" t="s">
        <v>11</v>
      </c>
      <c r="F48" t="s">
        <v>10</v>
      </c>
      <c r="G48" t="s">
        <v>44</v>
      </c>
      <c r="H48" t="s">
        <v>189</v>
      </c>
      <c r="I48" t="s">
        <v>1472</v>
      </c>
      <c r="J48" t="s">
        <v>1475</v>
      </c>
      <c r="K48" s="22" t="s">
        <v>1476</v>
      </c>
      <c r="L48" t="s">
        <v>2393</v>
      </c>
      <c r="M48" t="s">
        <v>2392</v>
      </c>
      <c r="N48" t="s">
        <v>719</v>
      </c>
    </row>
    <row r="49" spans="1:14" x14ac:dyDescent="0.25">
      <c r="A49" t="s">
        <v>155</v>
      </c>
      <c r="B49" t="s">
        <v>287</v>
      </c>
      <c r="C49" t="s">
        <v>288</v>
      </c>
      <c r="D49" t="s">
        <v>1155</v>
      </c>
      <c r="E49" t="s">
        <v>233</v>
      </c>
      <c r="F49" t="s">
        <v>10</v>
      </c>
      <c r="G49" t="s">
        <v>255</v>
      </c>
      <c r="H49" t="s">
        <v>244</v>
      </c>
      <c r="I49" t="s">
        <v>812</v>
      </c>
      <c r="K49" t="s">
        <v>707</v>
      </c>
    </row>
    <row r="50" spans="1:14" x14ac:dyDescent="0.25">
      <c r="A50" t="s">
        <v>155</v>
      </c>
      <c r="B50" t="s">
        <v>287</v>
      </c>
      <c r="C50" t="s">
        <v>289</v>
      </c>
      <c r="D50" t="s">
        <v>1156</v>
      </c>
      <c r="E50" t="s">
        <v>233</v>
      </c>
      <c r="F50" t="s">
        <v>10</v>
      </c>
      <c r="G50" t="s">
        <v>255</v>
      </c>
      <c r="H50" t="s">
        <v>244</v>
      </c>
      <c r="I50" t="s">
        <v>812</v>
      </c>
      <c r="K50" t="s">
        <v>707</v>
      </c>
    </row>
    <row r="51" spans="1:14" x14ac:dyDescent="0.25">
      <c r="A51" t="s">
        <v>719</v>
      </c>
      <c r="B51" t="s">
        <v>178</v>
      </c>
      <c r="C51" t="s">
        <v>192</v>
      </c>
      <c r="D51" t="s">
        <v>1421</v>
      </c>
      <c r="E51" t="s">
        <v>11</v>
      </c>
      <c r="F51" t="s">
        <v>10</v>
      </c>
      <c r="G51" t="s">
        <v>44</v>
      </c>
      <c r="H51" t="s">
        <v>189</v>
      </c>
      <c r="I51" t="s">
        <v>1472</v>
      </c>
      <c r="J51" t="s">
        <v>1475</v>
      </c>
      <c r="K51" t="s">
        <v>1476</v>
      </c>
      <c r="L51" t="s">
        <v>2393</v>
      </c>
      <c r="M51" t="s">
        <v>2392</v>
      </c>
    </row>
    <row r="52" spans="1:14" x14ac:dyDescent="0.25">
      <c r="A52" t="s">
        <v>719</v>
      </c>
      <c r="B52" t="s">
        <v>178</v>
      </c>
      <c r="C52" t="s">
        <v>192</v>
      </c>
      <c r="D52" t="s">
        <v>1427</v>
      </c>
      <c r="E52" t="s">
        <v>233</v>
      </c>
      <c r="F52" t="s">
        <v>10</v>
      </c>
      <c r="G52" t="s">
        <v>44</v>
      </c>
      <c r="H52" t="s">
        <v>291</v>
      </c>
      <c r="I52" t="s">
        <v>1472</v>
      </c>
      <c r="J52" t="s">
        <v>1475</v>
      </c>
      <c r="K52" t="s">
        <v>707</v>
      </c>
      <c r="L52" t="s">
        <v>2263</v>
      </c>
    </row>
    <row r="53" spans="1:14" x14ac:dyDescent="0.25">
      <c r="A53" t="s">
        <v>717</v>
      </c>
      <c r="B53" t="s">
        <v>79</v>
      </c>
      <c r="C53" t="s">
        <v>132</v>
      </c>
      <c r="D53" t="s">
        <v>1270</v>
      </c>
      <c r="E53" t="s">
        <v>11</v>
      </c>
      <c r="F53" t="s">
        <v>10</v>
      </c>
      <c r="G53" t="s">
        <v>21</v>
      </c>
      <c r="H53" t="s">
        <v>130</v>
      </c>
      <c r="I53" t="s">
        <v>980</v>
      </c>
      <c r="J53" t="s">
        <v>707</v>
      </c>
      <c r="K53" t="s">
        <v>984</v>
      </c>
      <c r="M53" t="s">
        <v>2382</v>
      </c>
      <c r="N53" t="s">
        <v>2384</v>
      </c>
    </row>
    <row r="54" spans="1:14" x14ac:dyDescent="0.25">
      <c r="A54" s="18" t="s">
        <v>650</v>
      </c>
      <c r="B54" s="18" t="s">
        <v>650</v>
      </c>
      <c r="C54" s="18" t="s">
        <v>651</v>
      </c>
      <c r="D54" s="18" t="s">
        <v>1279</v>
      </c>
      <c r="E54" s="18" t="s">
        <v>375</v>
      </c>
      <c r="F54" s="18" t="s">
        <v>374</v>
      </c>
      <c r="G54" s="18"/>
      <c r="H54" s="18" t="s">
        <v>652</v>
      </c>
      <c r="I54" s="18"/>
      <c r="J54" s="18"/>
      <c r="K54" s="18"/>
    </row>
    <row r="55" spans="1:14" x14ac:dyDescent="0.25">
      <c r="A55" s="18"/>
      <c r="B55" s="18" t="s">
        <v>592</v>
      </c>
      <c r="C55" s="18" t="s">
        <v>593</v>
      </c>
      <c r="D55" s="18" t="s">
        <v>1180</v>
      </c>
      <c r="E55" s="18" t="s">
        <v>375</v>
      </c>
      <c r="F55" s="18" t="s">
        <v>374</v>
      </c>
      <c r="G55" s="18"/>
      <c r="H55" s="18" t="s">
        <v>594</v>
      </c>
      <c r="I55" s="18"/>
      <c r="J55" s="18"/>
      <c r="K55" s="18"/>
      <c r="L55" t="s">
        <v>707</v>
      </c>
      <c r="M55" t="s">
        <v>2231</v>
      </c>
      <c r="N55" t="s">
        <v>2229</v>
      </c>
    </row>
    <row r="56" spans="1:14" x14ac:dyDescent="0.25">
      <c r="A56" s="18" t="s">
        <v>867</v>
      </c>
      <c r="B56" s="18" t="s">
        <v>571</v>
      </c>
      <c r="C56" s="18" t="s">
        <v>572</v>
      </c>
      <c r="D56" s="18" t="s">
        <v>1295</v>
      </c>
      <c r="E56" s="18" t="s">
        <v>375</v>
      </c>
      <c r="F56" s="18" t="s">
        <v>374</v>
      </c>
      <c r="G56" s="18"/>
      <c r="H56" s="18" t="s">
        <v>573</v>
      </c>
      <c r="I56" s="18"/>
      <c r="J56" s="18"/>
      <c r="K56" s="18"/>
    </row>
    <row r="57" spans="1:14" x14ac:dyDescent="0.25">
      <c r="A57" t="s">
        <v>719</v>
      </c>
      <c r="B57" t="s">
        <v>178</v>
      </c>
      <c r="C57" t="s">
        <v>193</v>
      </c>
      <c r="D57" t="s">
        <v>1422</v>
      </c>
      <c r="E57" t="s">
        <v>11</v>
      </c>
      <c r="F57" t="s">
        <v>10</v>
      </c>
      <c r="G57" t="s">
        <v>44</v>
      </c>
      <c r="H57" t="s">
        <v>189</v>
      </c>
      <c r="I57" t="s">
        <v>1472</v>
      </c>
      <c r="J57" t="s">
        <v>1475</v>
      </c>
      <c r="K57" s="22" t="s">
        <v>1476</v>
      </c>
      <c r="L57" t="s">
        <v>2393</v>
      </c>
      <c r="M57" t="s">
        <v>2392</v>
      </c>
    </row>
    <row r="58" spans="1:14" x14ac:dyDescent="0.25">
      <c r="A58" s="18" t="s">
        <v>880</v>
      </c>
      <c r="B58" s="18" t="s">
        <v>596</v>
      </c>
      <c r="C58" s="18" t="s">
        <v>597</v>
      </c>
      <c r="D58" s="18" t="s">
        <v>1328</v>
      </c>
      <c r="E58" s="18" t="s">
        <v>375</v>
      </c>
      <c r="F58" s="18" t="s">
        <v>374</v>
      </c>
      <c r="G58" s="18"/>
      <c r="H58" s="18" t="s">
        <v>598</v>
      </c>
      <c r="I58" s="18"/>
      <c r="J58" s="18"/>
      <c r="K58" s="18"/>
    </row>
    <row r="59" spans="1:14" x14ac:dyDescent="0.25">
      <c r="A59" s="18" t="s">
        <v>850</v>
      </c>
      <c r="B59" s="18" t="s">
        <v>558</v>
      </c>
      <c r="C59" s="18" t="s">
        <v>559</v>
      </c>
      <c r="D59" s="18" t="s">
        <v>1235</v>
      </c>
      <c r="E59" s="18" t="s">
        <v>375</v>
      </c>
      <c r="F59" s="18" t="s">
        <v>374</v>
      </c>
      <c r="G59" s="18"/>
      <c r="H59" s="18" t="s">
        <v>560</v>
      </c>
      <c r="I59" s="18"/>
      <c r="J59" s="18"/>
      <c r="K59" s="18"/>
    </row>
    <row r="60" spans="1:14" x14ac:dyDescent="0.25">
      <c r="A60" s="18" t="s">
        <v>845</v>
      </c>
      <c r="B60" s="18" t="s">
        <v>458</v>
      </c>
      <c r="C60" s="18" t="s">
        <v>459</v>
      </c>
      <c r="D60" s="18" t="s">
        <v>1227</v>
      </c>
      <c r="E60" s="18" t="s">
        <v>375</v>
      </c>
      <c r="F60" s="18" t="s">
        <v>374</v>
      </c>
      <c r="G60" s="18"/>
      <c r="H60" s="18" t="s">
        <v>460</v>
      </c>
      <c r="I60" s="18"/>
      <c r="J60" s="18"/>
      <c r="K60" s="18"/>
    </row>
    <row r="61" spans="1:14" x14ac:dyDescent="0.25">
      <c r="A61" t="s">
        <v>261</v>
      </c>
      <c r="B61" t="s">
        <v>261</v>
      </c>
      <c r="C61" t="s">
        <v>293</v>
      </c>
      <c r="D61" t="s">
        <v>1138</v>
      </c>
      <c r="E61" t="s">
        <v>233</v>
      </c>
      <c r="F61" t="s">
        <v>10</v>
      </c>
      <c r="G61" t="s">
        <v>249</v>
      </c>
      <c r="H61" t="s">
        <v>252</v>
      </c>
      <c r="I61" t="s">
        <v>738</v>
      </c>
      <c r="J61" t="s">
        <v>2020</v>
      </c>
      <c r="K61" t="s">
        <v>707</v>
      </c>
      <c r="M61" t="s">
        <v>2216</v>
      </c>
      <c r="N61" t="s">
        <v>261</v>
      </c>
    </row>
    <row r="62" spans="1:14" x14ac:dyDescent="0.25">
      <c r="A62" t="s">
        <v>14</v>
      </c>
      <c r="B62" t="s">
        <v>14</v>
      </c>
      <c r="C62" t="s">
        <v>18</v>
      </c>
      <c r="D62" t="s">
        <v>1127</v>
      </c>
      <c r="E62" t="s">
        <v>11</v>
      </c>
      <c r="F62" t="s">
        <v>10</v>
      </c>
      <c r="G62" t="s">
        <v>19</v>
      </c>
      <c r="H62" t="s">
        <v>16</v>
      </c>
      <c r="I62" s="2" t="s">
        <v>768</v>
      </c>
      <c r="J62" s="2" t="s">
        <v>1502</v>
      </c>
      <c r="K62" s="2" t="s">
        <v>1503</v>
      </c>
      <c r="M62" t="s">
        <v>2212</v>
      </c>
      <c r="N62" t="s">
        <v>14</v>
      </c>
    </row>
    <row r="63" spans="1:14" x14ac:dyDescent="0.25">
      <c r="A63" t="s">
        <v>718</v>
      </c>
      <c r="B63" t="s">
        <v>151</v>
      </c>
      <c r="C63" t="s">
        <v>152</v>
      </c>
      <c r="D63" t="s">
        <v>1354</v>
      </c>
      <c r="E63" t="s">
        <v>11</v>
      </c>
      <c r="F63" t="s">
        <v>10</v>
      </c>
      <c r="G63" t="s">
        <v>148</v>
      </c>
      <c r="H63" t="s">
        <v>147</v>
      </c>
      <c r="I63" t="s">
        <v>1055</v>
      </c>
      <c r="J63" t="s">
        <v>1059</v>
      </c>
      <c r="K63" t="s">
        <v>1060</v>
      </c>
      <c r="M63" t="s">
        <v>2274</v>
      </c>
    </row>
    <row r="64" spans="1:14" x14ac:dyDescent="0.25">
      <c r="A64" s="18" t="s">
        <v>875</v>
      </c>
      <c r="B64" s="18" t="s">
        <v>537</v>
      </c>
      <c r="C64" s="18" t="s">
        <v>538</v>
      </c>
      <c r="D64" s="18" t="s">
        <v>1307</v>
      </c>
      <c r="E64" s="18" t="s">
        <v>375</v>
      </c>
      <c r="F64" s="18" t="s">
        <v>374</v>
      </c>
      <c r="G64" s="18"/>
      <c r="H64" s="18" t="s">
        <v>536</v>
      </c>
      <c r="I64" s="18"/>
      <c r="J64" s="18"/>
      <c r="K64" s="18"/>
    </row>
    <row r="65" spans="1:14" x14ac:dyDescent="0.25">
      <c r="A65" t="s">
        <v>167</v>
      </c>
      <c r="B65" t="s">
        <v>167</v>
      </c>
      <c r="C65" t="s">
        <v>168</v>
      </c>
      <c r="D65" t="s">
        <v>1398</v>
      </c>
      <c r="E65" t="s">
        <v>11</v>
      </c>
      <c r="F65" t="s">
        <v>10</v>
      </c>
      <c r="G65" t="s">
        <v>34</v>
      </c>
      <c r="H65" t="s">
        <v>157</v>
      </c>
      <c r="I65" t="s">
        <v>1100</v>
      </c>
      <c r="J65" t="s">
        <v>707</v>
      </c>
      <c r="K65" s="22" t="s">
        <v>1101</v>
      </c>
      <c r="M65" t="s">
        <v>2360</v>
      </c>
    </row>
    <row r="66" spans="1:14" x14ac:dyDescent="0.25">
      <c r="A66" t="s">
        <v>167</v>
      </c>
      <c r="B66" t="s">
        <v>167</v>
      </c>
      <c r="C66" t="s">
        <v>169</v>
      </c>
      <c r="D66" t="s">
        <v>1399</v>
      </c>
      <c r="E66" t="s">
        <v>11</v>
      </c>
      <c r="F66" t="s">
        <v>10</v>
      </c>
      <c r="G66" t="s">
        <v>34</v>
      </c>
      <c r="H66" t="s">
        <v>157</v>
      </c>
      <c r="I66" t="s">
        <v>1100</v>
      </c>
      <c r="M66" t="s">
        <v>2360</v>
      </c>
    </row>
    <row r="67" spans="1:14" x14ac:dyDescent="0.25">
      <c r="A67" s="18" t="s">
        <v>564</v>
      </c>
      <c r="B67" s="18" t="s">
        <v>564</v>
      </c>
      <c r="C67" s="18" t="s">
        <v>565</v>
      </c>
      <c r="D67" s="18" t="s">
        <v>1297</v>
      </c>
      <c r="E67" s="18" t="s">
        <v>375</v>
      </c>
      <c r="F67" s="18" t="s">
        <v>374</v>
      </c>
      <c r="G67" s="18"/>
      <c r="H67" s="18" t="s">
        <v>566</v>
      </c>
      <c r="I67" s="18"/>
      <c r="J67" s="18"/>
      <c r="K67" s="18"/>
    </row>
    <row r="68" spans="1:14" x14ac:dyDescent="0.25">
      <c r="A68" t="s">
        <v>56</v>
      </c>
      <c r="B68" t="s">
        <v>56</v>
      </c>
      <c r="C68" t="s">
        <v>57</v>
      </c>
      <c r="D68" t="s">
        <v>1431</v>
      </c>
      <c r="E68" t="s">
        <v>11</v>
      </c>
      <c r="F68" t="s">
        <v>10</v>
      </c>
      <c r="G68" t="s">
        <v>19</v>
      </c>
      <c r="H68" t="s">
        <v>16</v>
      </c>
      <c r="I68" s="22" t="s">
        <v>1111</v>
      </c>
      <c r="K68" t="s">
        <v>1112</v>
      </c>
      <c r="L68" t="s">
        <v>2264</v>
      </c>
      <c r="M68" t="s">
        <v>720</v>
      </c>
      <c r="N68" t="s">
        <v>720</v>
      </c>
    </row>
    <row r="69" spans="1:14" x14ac:dyDescent="0.25">
      <c r="A69" t="s">
        <v>730</v>
      </c>
      <c r="B69" t="s">
        <v>58</v>
      </c>
      <c r="C69" t="s">
        <v>59</v>
      </c>
      <c r="D69" t="s">
        <v>1439</v>
      </c>
      <c r="E69" t="s">
        <v>11</v>
      </c>
      <c r="F69" t="s">
        <v>10</v>
      </c>
      <c r="G69" t="s">
        <v>13</v>
      </c>
      <c r="H69" t="s">
        <v>16</v>
      </c>
      <c r="I69" t="s">
        <v>729</v>
      </c>
      <c r="J69" t="s">
        <v>1487</v>
      </c>
      <c r="K69" t="s">
        <v>1489</v>
      </c>
      <c r="L69" t="s">
        <v>2525</v>
      </c>
      <c r="M69" t="s">
        <v>2265</v>
      </c>
    </row>
    <row r="70" spans="1:14" x14ac:dyDescent="0.25">
      <c r="A70" s="18" t="s">
        <v>578</v>
      </c>
      <c r="B70" s="18" t="s">
        <v>578</v>
      </c>
      <c r="C70" s="18" t="s">
        <v>579</v>
      </c>
      <c r="D70" s="18" t="s">
        <v>1447</v>
      </c>
      <c r="E70" s="18" t="s">
        <v>375</v>
      </c>
      <c r="F70" s="18" t="s">
        <v>374</v>
      </c>
      <c r="G70" s="18"/>
      <c r="H70" s="18" t="s">
        <v>580</v>
      </c>
      <c r="I70" s="18"/>
      <c r="J70" s="18"/>
      <c r="K70" s="18"/>
    </row>
    <row r="71" spans="1:14" x14ac:dyDescent="0.25">
      <c r="A71" s="18" t="s">
        <v>452</v>
      </c>
      <c r="B71" s="18" t="s">
        <v>452</v>
      </c>
      <c r="C71" s="18" t="s">
        <v>453</v>
      </c>
      <c r="D71" s="18" t="s">
        <v>1288</v>
      </c>
      <c r="E71" s="18" t="s">
        <v>375</v>
      </c>
      <c r="F71" s="18" t="s">
        <v>374</v>
      </c>
      <c r="G71" s="18"/>
      <c r="H71" s="18" t="s">
        <v>454</v>
      </c>
      <c r="I71" s="18"/>
      <c r="J71" s="18"/>
      <c r="K71" s="18"/>
    </row>
    <row r="72" spans="1:14" ht="30" x14ac:dyDescent="0.25">
      <c r="A72" t="s">
        <v>145</v>
      </c>
      <c r="B72" t="s">
        <v>145</v>
      </c>
      <c r="C72" t="s">
        <v>146</v>
      </c>
      <c r="D72" t="s">
        <v>1172</v>
      </c>
      <c r="E72" t="s">
        <v>11</v>
      </c>
      <c r="F72" t="s">
        <v>10</v>
      </c>
      <c r="G72" t="s">
        <v>148</v>
      </c>
      <c r="H72" t="s">
        <v>147</v>
      </c>
      <c r="I72" s="17" t="s">
        <v>1527</v>
      </c>
      <c r="J72" s="17" t="s">
        <v>2040</v>
      </c>
      <c r="K72" s="17" t="s">
        <v>828</v>
      </c>
      <c r="M72" t="s">
        <v>2227</v>
      </c>
      <c r="N72" t="s">
        <v>2227</v>
      </c>
    </row>
    <row r="73" spans="1:14" x14ac:dyDescent="0.25">
      <c r="A73" s="18" t="s">
        <v>839</v>
      </c>
      <c r="B73" s="18" t="s">
        <v>628</v>
      </c>
      <c r="C73" s="18" t="s">
        <v>629</v>
      </c>
      <c r="D73" s="18" t="s">
        <v>1195</v>
      </c>
      <c r="E73" s="18" t="s">
        <v>375</v>
      </c>
      <c r="F73" s="18" t="s">
        <v>374</v>
      </c>
      <c r="G73" s="18"/>
      <c r="H73" s="18" t="s">
        <v>627</v>
      </c>
      <c r="I73" s="18"/>
      <c r="J73" s="18"/>
      <c r="K73" s="18"/>
    </row>
    <row r="74" spans="1:14" x14ac:dyDescent="0.25">
      <c r="A74" t="s">
        <v>39</v>
      </c>
      <c r="B74" t="s">
        <v>39</v>
      </c>
      <c r="C74" t="s">
        <v>41</v>
      </c>
      <c r="D74" t="s">
        <v>1316</v>
      </c>
      <c r="E74" t="s">
        <v>11</v>
      </c>
      <c r="F74" t="s">
        <v>10</v>
      </c>
      <c r="G74" t="s">
        <v>13</v>
      </c>
      <c r="H74" t="s">
        <v>16</v>
      </c>
      <c r="I74" t="s">
        <v>1030</v>
      </c>
      <c r="J74" s="2"/>
      <c r="K74" t="s">
        <v>1031</v>
      </c>
      <c r="L74" t="s">
        <v>1033</v>
      </c>
      <c r="M74" t="s">
        <v>2387</v>
      </c>
    </row>
    <row r="75" spans="1:14" x14ac:dyDescent="0.25">
      <c r="A75" t="s">
        <v>855</v>
      </c>
      <c r="B75" t="s">
        <v>32</v>
      </c>
      <c r="C75" t="s">
        <v>33</v>
      </c>
      <c r="D75" t="s">
        <v>1257</v>
      </c>
      <c r="E75" t="s">
        <v>11</v>
      </c>
      <c r="F75" t="s">
        <v>10</v>
      </c>
      <c r="G75" t="s">
        <v>34</v>
      </c>
      <c r="H75" t="s">
        <v>16</v>
      </c>
      <c r="I75" t="s">
        <v>955</v>
      </c>
      <c r="J75" t="s">
        <v>956</v>
      </c>
      <c r="K75" t="s">
        <v>957</v>
      </c>
      <c r="M75" t="s">
        <v>2381</v>
      </c>
      <c r="N75" t="s">
        <v>2383</v>
      </c>
    </row>
    <row r="76" spans="1:14" x14ac:dyDescent="0.25">
      <c r="A76" t="s">
        <v>797</v>
      </c>
      <c r="B76" t="s">
        <v>294</v>
      </c>
      <c r="C76" t="s">
        <v>295</v>
      </c>
      <c r="D76" t="s">
        <v>1212</v>
      </c>
      <c r="E76" t="s">
        <v>233</v>
      </c>
      <c r="F76" t="s">
        <v>10</v>
      </c>
      <c r="G76" t="s">
        <v>249</v>
      </c>
      <c r="H76" t="s">
        <v>296</v>
      </c>
      <c r="I76" s="3" t="s">
        <v>937</v>
      </c>
      <c r="J76" s="30" t="s">
        <v>936</v>
      </c>
      <c r="K76" t="s">
        <v>707</v>
      </c>
    </row>
    <row r="77" spans="1:14" x14ac:dyDescent="0.25">
      <c r="A77" s="18" t="s">
        <v>740</v>
      </c>
      <c r="B77" s="18" t="s">
        <v>372</v>
      </c>
      <c r="C77" s="18" t="s">
        <v>373</v>
      </c>
      <c r="D77" s="18" t="s">
        <v>1139</v>
      </c>
      <c r="E77" s="18" t="s">
        <v>375</v>
      </c>
      <c r="F77" s="18" t="s">
        <v>374</v>
      </c>
      <c r="G77" s="18"/>
      <c r="H77" s="18" t="s">
        <v>376</v>
      </c>
      <c r="I77" s="18"/>
      <c r="J77" s="18"/>
      <c r="K77" s="18"/>
    </row>
    <row r="78" spans="1:14" x14ac:dyDescent="0.25">
      <c r="A78" s="18" t="s">
        <v>446</v>
      </c>
      <c r="B78" s="18" t="s">
        <v>446</v>
      </c>
      <c r="C78" s="18" t="s">
        <v>447</v>
      </c>
      <c r="D78" s="18" t="s">
        <v>1374</v>
      </c>
      <c r="E78" s="18" t="s">
        <v>375</v>
      </c>
      <c r="F78" s="18" t="s">
        <v>374</v>
      </c>
      <c r="G78" s="18"/>
      <c r="H78" s="18" t="s">
        <v>448</v>
      </c>
      <c r="I78" s="18"/>
      <c r="J78" s="18"/>
      <c r="K78" s="18"/>
    </row>
    <row r="79" spans="1:14" x14ac:dyDescent="0.25">
      <c r="A79" t="s">
        <v>716</v>
      </c>
      <c r="B79" t="s">
        <v>297</v>
      </c>
      <c r="C79" t="s">
        <v>298</v>
      </c>
      <c r="D79" t="s">
        <v>1216</v>
      </c>
      <c r="E79" t="s">
        <v>233</v>
      </c>
      <c r="F79" t="s">
        <v>10</v>
      </c>
      <c r="G79" t="s">
        <v>255</v>
      </c>
      <c r="H79" t="s">
        <v>244</v>
      </c>
      <c r="I79" t="s">
        <v>943</v>
      </c>
      <c r="J79" t="s">
        <v>2283</v>
      </c>
      <c r="K79" t="s">
        <v>707</v>
      </c>
      <c r="M79" t="s">
        <v>2285</v>
      </c>
      <c r="N79" t="s">
        <v>716</v>
      </c>
    </row>
    <row r="80" spans="1:14" x14ac:dyDescent="0.25">
      <c r="A80" s="18"/>
      <c r="B80" s="18" t="s">
        <v>584</v>
      </c>
      <c r="C80" s="18" t="s">
        <v>585</v>
      </c>
      <c r="D80" s="18" t="s">
        <v>1187</v>
      </c>
      <c r="E80" s="18" t="s">
        <v>375</v>
      </c>
      <c r="F80" s="18" t="s">
        <v>374</v>
      </c>
      <c r="G80" s="18"/>
      <c r="H80" s="18" t="s">
        <v>586</v>
      </c>
      <c r="I80" s="18"/>
      <c r="J80" s="18"/>
      <c r="K80" s="18"/>
    </row>
    <row r="81" spans="1:14" x14ac:dyDescent="0.25">
      <c r="A81" t="s">
        <v>155</v>
      </c>
      <c r="B81" t="s">
        <v>155</v>
      </c>
      <c r="C81" t="s">
        <v>156</v>
      </c>
      <c r="D81" t="s">
        <v>1153</v>
      </c>
      <c r="E81" t="s">
        <v>11</v>
      </c>
      <c r="F81" t="s">
        <v>10</v>
      </c>
      <c r="G81" t="s">
        <v>34</v>
      </c>
      <c r="H81" t="s">
        <v>157</v>
      </c>
      <c r="I81" t="s">
        <v>811</v>
      </c>
      <c r="J81" t="s">
        <v>2401</v>
      </c>
      <c r="K81" s="22" t="s">
        <v>816</v>
      </c>
      <c r="M81" t="s">
        <v>2375</v>
      </c>
      <c r="N81" t="s">
        <v>2376</v>
      </c>
    </row>
    <row r="82" spans="1:14" x14ac:dyDescent="0.25">
      <c r="A82" s="18" t="s">
        <v>382</v>
      </c>
      <c r="B82" s="18" t="s">
        <v>382</v>
      </c>
      <c r="C82" s="18" t="s">
        <v>383</v>
      </c>
      <c r="D82" s="18" t="s">
        <v>1232</v>
      </c>
      <c r="E82" s="18" t="s">
        <v>375</v>
      </c>
      <c r="F82" s="18" t="s">
        <v>374</v>
      </c>
      <c r="G82" s="18"/>
      <c r="H82" s="18" t="s">
        <v>384</v>
      </c>
      <c r="I82" s="18"/>
      <c r="J82" s="18"/>
      <c r="K82" s="18"/>
    </row>
    <row r="83" spans="1:14" x14ac:dyDescent="0.25">
      <c r="A83" t="s">
        <v>872</v>
      </c>
      <c r="B83" t="s">
        <v>37</v>
      </c>
      <c r="C83" t="s">
        <v>38</v>
      </c>
      <c r="D83" t="s">
        <v>1304</v>
      </c>
      <c r="E83" t="s">
        <v>11</v>
      </c>
      <c r="F83" t="s">
        <v>10</v>
      </c>
      <c r="G83" t="s">
        <v>23</v>
      </c>
      <c r="H83" t="s">
        <v>16</v>
      </c>
      <c r="I83" t="s">
        <v>1013</v>
      </c>
      <c r="J83" s="22" t="s">
        <v>1014</v>
      </c>
      <c r="K83" s="22" t="s">
        <v>1015</v>
      </c>
      <c r="M83" t="s">
        <v>2335</v>
      </c>
    </row>
    <row r="84" spans="1:14" x14ac:dyDescent="0.25">
      <c r="A84" t="s">
        <v>715</v>
      </c>
      <c r="B84" t="s">
        <v>142</v>
      </c>
      <c r="C84" t="s">
        <v>195</v>
      </c>
      <c r="D84" t="s">
        <v>1247</v>
      </c>
      <c r="E84" t="s">
        <v>11</v>
      </c>
      <c r="F84" t="s">
        <v>10</v>
      </c>
      <c r="G84" t="s">
        <v>13</v>
      </c>
      <c r="H84" t="s">
        <v>196</v>
      </c>
      <c r="I84" t="s">
        <v>962</v>
      </c>
      <c r="J84" t="s">
        <v>963</v>
      </c>
      <c r="K84" s="22" t="s">
        <v>964</v>
      </c>
      <c r="M84" t="s">
        <v>2267</v>
      </c>
      <c r="N84" t="s">
        <v>142</v>
      </c>
    </row>
    <row r="85" spans="1:14" x14ac:dyDescent="0.25">
      <c r="A85" s="18" t="s">
        <v>908</v>
      </c>
      <c r="B85" s="18" t="s">
        <v>449</v>
      </c>
      <c r="C85" s="18" t="s">
        <v>450</v>
      </c>
      <c r="D85" s="18" t="s">
        <v>1414</v>
      </c>
      <c r="E85" s="18" t="s">
        <v>375</v>
      </c>
      <c r="F85" s="18" t="s">
        <v>374</v>
      </c>
      <c r="G85" s="18"/>
      <c r="H85" s="18" t="s">
        <v>451</v>
      </c>
      <c r="I85" s="18"/>
      <c r="J85" s="18"/>
      <c r="K85" s="18"/>
    </row>
    <row r="86" spans="1:14" x14ac:dyDescent="0.25">
      <c r="A86" t="s">
        <v>754</v>
      </c>
      <c r="B86" t="s">
        <v>149</v>
      </c>
      <c r="C86" t="s">
        <v>150</v>
      </c>
      <c r="D86" t="s">
        <v>1204</v>
      </c>
      <c r="E86" t="s">
        <v>11</v>
      </c>
      <c r="F86" t="s">
        <v>10</v>
      </c>
      <c r="G86" t="s">
        <v>98</v>
      </c>
      <c r="H86" t="s">
        <v>147</v>
      </c>
      <c r="I86" t="s">
        <v>930</v>
      </c>
      <c r="J86" t="s">
        <v>757</v>
      </c>
      <c r="K86" t="s">
        <v>929</v>
      </c>
      <c r="M86" t="s">
        <v>2237</v>
      </c>
      <c r="N86" t="s">
        <v>2238</v>
      </c>
    </row>
    <row r="87" spans="1:14" x14ac:dyDescent="0.25">
      <c r="A87" s="18" t="s">
        <v>39</v>
      </c>
      <c r="B87" s="18" t="s">
        <v>400</v>
      </c>
      <c r="C87" s="18" t="s">
        <v>401</v>
      </c>
      <c r="D87" s="18" t="s">
        <v>1325</v>
      </c>
      <c r="E87" s="18" t="s">
        <v>375</v>
      </c>
      <c r="F87" s="18" t="s">
        <v>374</v>
      </c>
      <c r="G87" s="18"/>
      <c r="H87" s="18" t="s">
        <v>130</v>
      </c>
      <c r="I87" s="18" t="s">
        <v>1038</v>
      </c>
      <c r="J87" s="18" t="s">
        <v>1038</v>
      </c>
      <c r="K87" s="18"/>
      <c r="L87" t="s">
        <v>2254</v>
      </c>
      <c r="M87" t="s">
        <v>2255</v>
      </c>
    </row>
    <row r="88" spans="1:14" x14ac:dyDescent="0.25">
      <c r="A88" t="s">
        <v>719</v>
      </c>
      <c r="B88" t="s">
        <v>178</v>
      </c>
      <c r="C88" t="s">
        <v>194</v>
      </c>
      <c r="D88" t="s">
        <v>1419</v>
      </c>
      <c r="E88" t="s">
        <v>11</v>
      </c>
      <c r="F88" t="s">
        <v>10</v>
      </c>
      <c r="G88" t="s">
        <v>23</v>
      </c>
      <c r="H88" t="s">
        <v>189</v>
      </c>
      <c r="I88" t="s">
        <v>1472</v>
      </c>
      <c r="J88" t="s">
        <v>1475</v>
      </c>
      <c r="K88" t="s">
        <v>1476</v>
      </c>
      <c r="L88" t="s">
        <v>2393</v>
      </c>
      <c r="M88" t="s">
        <v>2392</v>
      </c>
    </row>
    <row r="89" spans="1:14" x14ac:dyDescent="0.25">
      <c r="A89" t="s">
        <v>715</v>
      </c>
      <c r="B89" t="s">
        <v>142</v>
      </c>
      <c r="C89" t="s">
        <v>301</v>
      </c>
      <c r="D89" t="s">
        <v>1251</v>
      </c>
      <c r="E89" t="s">
        <v>233</v>
      </c>
      <c r="F89" t="s">
        <v>10</v>
      </c>
      <c r="G89" t="s">
        <v>303</v>
      </c>
      <c r="H89" t="s">
        <v>302</v>
      </c>
      <c r="I89" t="s">
        <v>962</v>
      </c>
      <c r="J89" s="22" t="s">
        <v>2089</v>
      </c>
      <c r="K89" t="s">
        <v>707</v>
      </c>
      <c r="M89" t="s">
        <v>2267</v>
      </c>
      <c r="N89" t="s">
        <v>142</v>
      </c>
    </row>
    <row r="90" spans="1:14" x14ac:dyDescent="0.25">
      <c r="A90" s="18" t="s">
        <v>892</v>
      </c>
      <c r="B90" s="18" t="s">
        <v>510</v>
      </c>
      <c r="C90" s="18" t="s">
        <v>511</v>
      </c>
      <c r="D90" s="18" t="s">
        <v>1359</v>
      </c>
      <c r="E90" s="18" t="s">
        <v>375</v>
      </c>
      <c r="F90" s="18" t="s">
        <v>374</v>
      </c>
      <c r="G90" s="18"/>
      <c r="H90" s="18" t="s">
        <v>509</v>
      </c>
      <c r="I90" s="18"/>
      <c r="J90" s="18"/>
      <c r="K90" s="18"/>
    </row>
    <row r="91" spans="1:14" x14ac:dyDescent="0.25">
      <c r="A91" t="s">
        <v>135</v>
      </c>
      <c r="B91" t="s">
        <v>135</v>
      </c>
      <c r="C91" t="s">
        <v>136</v>
      </c>
      <c r="D91" t="s">
        <v>1395</v>
      </c>
      <c r="E91" t="s">
        <v>11</v>
      </c>
      <c r="F91" t="s">
        <v>10</v>
      </c>
      <c r="G91" t="s">
        <v>19</v>
      </c>
      <c r="H91" t="s">
        <v>137</v>
      </c>
      <c r="I91" s="2" t="s">
        <v>727</v>
      </c>
      <c r="J91" s="22" t="s">
        <v>1461</v>
      </c>
      <c r="K91" s="22" t="s">
        <v>1460</v>
      </c>
      <c r="M91" t="s">
        <v>2363</v>
      </c>
    </row>
    <row r="92" spans="1:14" x14ac:dyDescent="0.25">
      <c r="A92" s="18" t="s">
        <v>39</v>
      </c>
      <c r="B92" s="18" t="s">
        <v>39</v>
      </c>
      <c r="C92" s="18" t="s">
        <v>402</v>
      </c>
      <c r="D92" s="18" t="s">
        <v>1324</v>
      </c>
      <c r="E92" s="18" t="s">
        <v>375</v>
      </c>
      <c r="F92" s="18" t="s">
        <v>374</v>
      </c>
      <c r="G92" s="18"/>
      <c r="H92" s="18" t="s">
        <v>130</v>
      </c>
      <c r="I92" s="18"/>
      <c r="J92" s="19"/>
      <c r="K92" s="18"/>
      <c r="M92" t="s">
        <v>2252</v>
      </c>
    </row>
    <row r="93" spans="1:14" x14ac:dyDescent="0.25">
      <c r="A93" s="18"/>
      <c r="B93" s="18" t="s">
        <v>430</v>
      </c>
      <c r="C93" s="18" t="s">
        <v>431</v>
      </c>
      <c r="D93" s="18" t="s">
        <v>1189</v>
      </c>
      <c r="E93" s="18" t="s">
        <v>375</v>
      </c>
      <c r="F93" s="18" t="s">
        <v>374</v>
      </c>
      <c r="G93" s="18"/>
      <c r="H93" s="18" t="s">
        <v>81</v>
      </c>
      <c r="I93" s="18"/>
      <c r="J93" s="18"/>
      <c r="K93" s="18"/>
    </row>
    <row r="94" spans="1:14" x14ac:dyDescent="0.25">
      <c r="A94" t="s">
        <v>14</v>
      </c>
      <c r="B94" t="s">
        <v>14</v>
      </c>
      <c r="C94" t="s">
        <v>66</v>
      </c>
      <c r="D94" t="s">
        <v>1124</v>
      </c>
      <c r="E94" t="s">
        <v>11</v>
      </c>
      <c r="F94" t="s">
        <v>10</v>
      </c>
      <c r="G94" t="s">
        <v>13</v>
      </c>
      <c r="H94" t="s">
        <v>64</v>
      </c>
      <c r="I94" s="2" t="s">
        <v>768</v>
      </c>
      <c r="J94" s="2" t="s">
        <v>1508</v>
      </c>
      <c r="K94" s="2" t="s">
        <v>1509</v>
      </c>
      <c r="M94" t="s">
        <v>2212</v>
      </c>
      <c r="N94" t="s">
        <v>14</v>
      </c>
    </row>
    <row r="95" spans="1:14" x14ac:dyDescent="0.25">
      <c r="A95" t="s">
        <v>718</v>
      </c>
      <c r="B95" t="s">
        <v>246</v>
      </c>
      <c r="C95" t="s">
        <v>304</v>
      </c>
      <c r="D95" t="s">
        <v>1346</v>
      </c>
      <c r="E95" t="s">
        <v>233</v>
      </c>
      <c r="F95" t="s">
        <v>10</v>
      </c>
      <c r="G95" t="s">
        <v>249</v>
      </c>
      <c r="H95" t="s">
        <v>248</v>
      </c>
      <c r="I95" t="s">
        <v>1055</v>
      </c>
      <c r="J95" t="s">
        <v>1062</v>
      </c>
      <c r="K95" t="s">
        <v>707</v>
      </c>
      <c r="M95" t="s">
        <v>2271</v>
      </c>
    </row>
    <row r="96" spans="1:14" x14ac:dyDescent="0.25">
      <c r="A96" s="18" t="s">
        <v>390</v>
      </c>
      <c r="B96" s="18" t="s">
        <v>390</v>
      </c>
      <c r="C96" s="18" t="s">
        <v>391</v>
      </c>
      <c r="D96" s="18" t="s">
        <v>1376</v>
      </c>
      <c r="E96" s="18" t="s">
        <v>375</v>
      </c>
      <c r="F96" s="18" t="s">
        <v>374</v>
      </c>
      <c r="G96" s="18"/>
      <c r="H96" s="18" t="s">
        <v>389</v>
      </c>
      <c r="I96" s="18"/>
      <c r="J96" s="18"/>
      <c r="K96" s="18"/>
    </row>
    <row r="97" spans="1:14" x14ac:dyDescent="0.25">
      <c r="A97" t="s">
        <v>903</v>
      </c>
      <c r="B97" t="s">
        <v>306</v>
      </c>
      <c r="C97" t="s">
        <v>307</v>
      </c>
      <c r="D97" t="s">
        <v>1380</v>
      </c>
      <c r="E97" t="s">
        <v>233</v>
      </c>
      <c r="F97" t="s">
        <v>10</v>
      </c>
      <c r="G97" t="s">
        <v>245</v>
      </c>
      <c r="H97" t="s">
        <v>244</v>
      </c>
      <c r="I97" t="s">
        <v>1097</v>
      </c>
      <c r="J97" t="s">
        <v>1098</v>
      </c>
      <c r="K97" t="s">
        <v>707</v>
      </c>
    </row>
    <row r="98" spans="1:14" x14ac:dyDescent="0.25">
      <c r="A98" t="s">
        <v>27</v>
      </c>
      <c r="B98" t="s">
        <v>27</v>
      </c>
      <c r="C98" t="s">
        <v>28</v>
      </c>
      <c r="D98" t="s">
        <v>1166</v>
      </c>
      <c r="E98" t="s">
        <v>11</v>
      </c>
      <c r="F98" t="s">
        <v>10</v>
      </c>
      <c r="G98" t="s">
        <v>23</v>
      </c>
      <c r="H98" t="s">
        <v>16</v>
      </c>
      <c r="I98" s="2" t="s">
        <v>751</v>
      </c>
      <c r="J98" t="s">
        <v>1525</v>
      </c>
      <c r="K98" t="s">
        <v>1524</v>
      </c>
      <c r="M98" t="s">
        <v>2377</v>
      </c>
      <c r="N98" t="s">
        <v>27</v>
      </c>
    </row>
    <row r="99" spans="1:14" x14ac:dyDescent="0.25">
      <c r="A99" s="18" t="s">
        <v>421</v>
      </c>
      <c r="B99" s="18" t="s">
        <v>421</v>
      </c>
      <c r="C99" s="18" t="s">
        <v>422</v>
      </c>
      <c r="D99" s="18" t="s">
        <v>1309</v>
      </c>
      <c r="E99" s="18" t="s">
        <v>375</v>
      </c>
      <c r="F99" s="18" t="s">
        <v>374</v>
      </c>
      <c r="G99" s="18"/>
      <c r="H99" s="18" t="s">
        <v>423</v>
      </c>
      <c r="I99" s="18"/>
      <c r="J99" s="18"/>
      <c r="K99" s="18"/>
    </row>
    <row r="100" spans="1:14" x14ac:dyDescent="0.25">
      <c r="A100" t="s">
        <v>101</v>
      </c>
      <c r="B100" t="s">
        <v>101</v>
      </c>
      <c r="C100" t="s">
        <v>126</v>
      </c>
      <c r="D100" t="s">
        <v>1400</v>
      </c>
      <c r="E100" t="s">
        <v>11</v>
      </c>
      <c r="F100" t="s">
        <v>10</v>
      </c>
      <c r="G100" t="s">
        <v>34</v>
      </c>
      <c r="H100" t="s">
        <v>127</v>
      </c>
      <c r="I100" t="s">
        <v>1466</v>
      </c>
      <c r="J100" t="s">
        <v>712</v>
      </c>
      <c r="K100" s="22" t="s">
        <v>1471</v>
      </c>
      <c r="M100" t="s">
        <v>2262</v>
      </c>
    </row>
    <row r="101" spans="1:14" x14ac:dyDescent="0.25">
      <c r="A101" t="s">
        <v>39</v>
      </c>
      <c r="B101" t="s">
        <v>39</v>
      </c>
      <c r="C101" t="s">
        <v>42</v>
      </c>
      <c r="D101" t="s">
        <v>1319</v>
      </c>
      <c r="E101" t="s">
        <v>11</v>
      </c>
      <c r="F101" t="s">
        <v>10</v>
      </c>
      <c r="G101" t="s">
        <v>13</v>
      </c>
      <c r="H101" t="s">
        <v>16</v>
      </c>
      <c r="I101" t="s">
        <v>1030</v>
      </c>
      <c r="J101" s="2" t="s">
        <v>1026</v>
      </c>
      <c r="K101" t="s">
        <v>1032</v>
      </c>
      <c r="L101" t="s">
        <v>2386</v>
      </c>
      <c r="M101" t="s">
        <v>2389</v>
      </c>
    </row>
    <row r="102" spans="1:14" x14ac:dyDescent="0.25">
      <c r="A102" s="18" t="s">
        <v>840</v>
      </c>
      <c r="B102" s="18" t="s">
        <v>704</v>
      </c>
      <c r="C102" s="18" t="s">
        <v>216</v>
      </c>
      <c r="D102" s="18" t="s">
        <v>1203</v>
      </c>
      <c r="E102" s="18" t="s">
        <v>375</v>
      </c>
      <c r="F102" s="18" t="s">
        <v>374</v>
      </c>
      <c r="G102" s="18"/>
      <c r="H102" s="18" t="s">
        <v>705</v>
      </c>
      <c r="I102" s="18"/>
      <c r="J102" s="18"/>
      <c r="K102" s="18"/>
    </row>
    <row r="103" spans="1:14" x14ac:dyDescent="0.25">
      <c r="A103" t="s">
        <v>715</v>
      </c>
      <c r="B103" t="s">
        <v>142</v>
      </c>
      <c r="C103" t="s">
        <v>308</v>
      </c>
      <c r="D103" t="s">
        <v>1253</v>
      </c>
      <c r="E103" t="s">
        <v>233</v>
      </c>
      <c r="F103" t="s">
        <v>10</v>
      </c>
      <c r="G103" t="s">
        <v>249</v>
      </c>
      <c r="H103" t="s">
        <v>309</v>
      </c>
      <c r="I103" t="s">
        <v>962</v>
      </c>
      <c r="J103" s="22" t="s">
        <v>2090</v>
      </c>
      <c r="K103" t="s">
        <v>707</v>
      </c>
      <c r="M103" t="s">
        <v>2267</v>
      </c>
      <c r="N103" t="s">
        <v>142</v>
      </c>
    </row>
    <row r="104" spans="1:14" x14ac:dyDescent="0.25">
      <c r="A104" s="18" t="s">
        <v>659</v>
      </c>
      <c r="B104" s="18" t="s">
        <v>659</v>
      </c>
      <c r="C104" s="18" t="s">
        <v>660</v>
      </c>
      <c r="D104" s="18" t="s">
        <v>1417</v>
      </c>
      <c r="E104" s="18" t="s">
        <v>375</v>
      </c>
      <c r="F104" s="18" t="s">
        <v>374</v>
      </c>
      <c r="G104" s="18"/>
      <c r="H104" s="18" t="s">
        <v>210</v>
      </c>
      <c r="I104" s="18"/>
      <c r="J104" s="18"/>
      <c r="K104" s="18"/>
    </row>
    <row r="105" spans="1:14" x14ac:dyDescent="0.25">
      <c r="A105" t="s">
        <v>39</v>
      </c>
      <c r="B105" t="s">
        <v>39</v>
      </c>
      <c r="C105" t="s">
        <v>43</v>
      </c>
      <c r="D105" t="s">
        <v>1317</v>
      </c>
      <c r="E105" t="s">
        <v>11</v>
      </c>
      <c r="F105" t="s">
        <v>10</v>
      </c>
      <c r="G105" t="s">
        <v>34</v>
      </c>
      <c r="H105" t="s">
        <v>16</v>
      </c>
      <c r="I105" t="s">
        <v>1030</v>
      </c>
      <c r="J105" t="s">
        <v>1026</v>
      </c>
      <c r="K105" t="s">
        <v>2134</v>
      </c>
      <c r="L105" t="s">
        <v>1033</v>
      </c>
      <c r="M105" t="s">
        <v>2252</v>
      </c>
    </row>
    <row r="106" spans="1:14" x14ac:dyDescent="0.25">
      <c r="A106" s="18" t="s">
        <v>898</v>
      </c>
      <c r="B106" s="18" t="s">
        <v>435</v>
      </c>
      <c r="C106" s="18" t="s">
        <v>436</v>
      </c>
      <c r="D106" s="18" t="s">
        <v>1368</v>
      </c>
      <c r="E106" s="18" t="s">
        <v>375</v>
      </c>
      <c r="F106" s="18" t="s">
        <v>374</v>
      </c>
      <c r="G106" s="18"/>
      <c r="H106" s="18" t="s">
        <v>437</v>
      </c>
      <c r="I106" s="18"/>
      <c r="J106" s="18"/>
      <c r="K106" s="18"/>
    </row>
    <row r="107" spans="1:14" x14ac:dyDescent="0.25">
      <c r="A107" t="s">
        <v>736</v>
      </c>
      <c r="B107" t="s">
        <v>24</v>
      </c>
      <c r="C107" t="s">
        <v>25</v>
      </c>
      <c r="D107" t="s">
        <v>1136</v>
      </c>
      <c r="E107" t="s">
        <v>11</v>
      </c>
      <c r="F107" t="s">
        <v>10</v>
      </c>
      <c r="G107" t="s">
        <v>13</v>
      </c>
      <c r="H107" t="s">
        <v>16</v>
      </c>
      <c r="I107" t="s">
        <v>737</v>
      </c>
      <c r="J107" s="2" t="s">
        <v>1518</v>
      </c>
      <c r="K107" s="2" t="s">
        <v>1520</v>
      </c>
      <c r="M107" t="s">
        <v>2215</v>
      </c>
      <c r="N107" t="s">
        <v>736</v>
      </c>
    </row>
    <row r="108" spans="1:14" x14ac:dyDescent="0.25">
      <c r="A108" t="s">
        <v>311</v>
      </c>
      <c r="B108" t="s">
        <v>311</v>
      </c>
      <c r="C108" t="s">
        <v>312</v>
      </c>
      <c r="D108" t="s">
        <v>1266</v>
      </c>
      <c r="E108" t="s">
        <v>233</v>
      </c>
      <c r="F108" t="s">
        <v>10</v>
      </c>
      <c r="G108" t="s">
        <v>255</v>
      </c>
      <c r="H108" t="s">
        <v>244</v>
      </c>
      <c r="I108" t="s">
        <v>978</v>
      </c>
      <c r="J108" t="s">
        <v>977</v>
      </c>
      <c r="K108" t="s">
        <v>2308</v>
      </c>
      <c r="M108" t="s">
        <v>2307</v>
      </c>
    </row>
    <row r="109" spans="1:14" x14ac:dyDescent="0.25">
      <c r="A109" s="18" t="s">
        <v>421</v>
      </c>
      <c r="B109" s="18" t="s">
        <v>421</v>
      </c>
      <c r="C109" s="18" t="s">
        <v>679</v>
      </c>
      <c r="D109" s="18" t="s">
        <v>1310</v>
      </c>
      <c r="E109" s="18" t="s">
        <v>375</v>
      </c>
      <c r="F109" s="18" t="s">
        <v>374</v>
      </c>
      <c r="G109" s="18"/>
      <c r="H109" s="18" t="s">
        <v>680</v>
      </c>
      <c r="I109" s="18"/>
      <c r="J109" s="18"/>
      <c r="K109" s="18"/>
      <c r="L109" t="s">
        <v>2250</v>
      </c>
    </row>
    <row r="110" spans="1:14" x14ac:dyDescent="0.25">
      <c r="A110" s="18"/>
      <c r="B110" s="18" t="s">
        <v>512</v>
      </c>
      <c r="C110" s="18" t="s">
        <v>513</v>
      </c>
      <c r="D110" s="18" t="s">
        <v>1142</v>
      </c>
      <c r="E110" s="18" t="s">
        <v>375</v>
      </c>
      <c r="F110" s="18" t="s">
        <v>374</v>
      </c>
      <c r="G110" s="18"/>
      <c r="H110" s="18" t="s">
        <v>509</v>
      </c>
      <c r="I110" s="18"/>
      <c r="J110" s="18"/>
      <c r="K110" s="18"/>
    </row>
    <row r="111" spans="1:14" x14ac:dyDescent="0.25">
      <c r="A111" s="18" t="s">
        <v>793</v>
      </c>
      <c r="B111" s="18" t="s">
        <v>128</v>
      </c>
      <c r="C111" s="18" t="s">
        <v>403</v>
      </c>
      <c r="D111" s="18" t="s">
        <v>1191</v>
      </c>
      <c r="E111" s="18" t="s">
        <v>375</v>
      </c>
      <c r="F111" s="18" t="s">
        <v>374</v>
      </c>
      <c r="G111" s="18"/>
      <c r="H111" s="18" t="s">
        <v>130</v>
      </c>
      <c r="I111" s="18" t="s">
        <v>743</v>
      </c>
      <c r="J111" s="20"/>
      <c r="K111" s="20"/>
    </row>
    <row r="112" spans="1:14" x14ac:dyDescent="0.25">
      <c r="A112" s="18" t="s">
        <v>906</v>
      </c>
      <c r="B112" s="18" t="s">
        <v>567</v>
      </c>
      <c r="C112" s="18" t="s">
        <v>568</v>
      </c>
      <c r="D112" s="18" t="s">
        <v>1394</v>
      </c>
      <c r="E112" s="18" t="s">
        <v>375</v>
      </c>
      <c r="F112" s="18" t="s">
        <v>374</v>
      </c>
      <c r="G112" s="18"/>
      <c r="H112" s="18" t="s">
        <v>183</v>
      </c>
      <c r="I112" s="18"/>
      <c r="J112" s="18"/>
      <c r="K112" s="18"/>
    </row>
    <row r="113" spans="1:14" x14ac:dyDescent="0.25">
      <c r="A113" t="s">
        <v>8</v>
      </c>
      <c r="B113" t="s">
        <v>8</v>
      </c>
      <c r="C113" t="s">
        <v>9</v>
      </c>
      <c r="D113" t="s">
        <v>1264</v>
      </c>
      <c r="E113" t="s">
        <v>11</v>
      </c>
      <c r="F113" t="s">
        <v>10</v>
      </c>
      <c r="G113" t="s">
        <v>23</v>
      </c>
      <c r="H113" t="s">
        <v>12</v>
      </c>
      <c r="I113" s="2" t="s">
        <v>722</v>
      </c>
      <c r="J113" t="s">
        <v>972</v>
      </c>
      <c r="K113" s="22" t="s">
        <v>971</v>
      </c>
      <c r="M113" t="s">
        <v>2242</v>
      </c>
      <c r="N113" t="s">
        <v>8</v>
      </c>
    </row>
    <row r="114" spans="1:14" x14ac:dyDescent="0.25">
      <c r="A114" t="s">
        <v>208</v>
      </c>
      <c r="B114" t="s">
        <v>208</v>
      </c>
      <c r="C114" t="s">
        <v>211</v>
      </c>
      <c r="D114" t="s">
        <v>1177</v>
      </c>
      <c r="E114" t="s">
        <v>11</v>
      </c>
      <c r="F114" t="s">
        <v>10</v>
      </c>
      <c r="G114" t="s">
        <v>21</v>
      </c>
      <c r="H114" t="s">
        <v>210</v>
      </c>
      <c r="I114" s="2" t="s">
        <v>770</v>
      </c>
      <c r="J114" t="s">
        <v>1530</v>
      </c>
      <c r="K114" t="s">
        <v>830</v>
      </c>
      <c r="L114" t="s">
        <v>707</v>
      </c>
      <c r="M114" t="s">
        <v>2380</v>
      </c>
      <c r="N114" t="s">
        <v>2229</v>
      </c>
    </row>
    <row r="115" spans="1:14" x14ac:dyDescent="0.25">
      <c r="A115" t="s">
        <v>715</v>
      </c>
      <c r="B115" t="s">
        <v>142</v>
      </c>
      <c r="C115" t="s">
        <v>143</v>
      </c>
      <c r="D115" t="s">
        <v>1249</v>
      </c>
      <c r="E115" t="s">
        <v>11</v>
      </c>
      <c r="F115" t="s">
        <v>10</v>
      </c>
      <c r="G115" t="s">
        <v>44</v>
      </c>
      <c r="H115" t="s">
        <v>144</v>
      </c>
      <c r="I115" t="s">
        <v>962</v>
      </c>
      <c r="J115" t="s">
        <v>960</v>
      </c>
      <c r="K115" s="22" t="s">
        <v>961</v>
      </c>
      <c r="M115" t="s">
        <v>2267</v>
      </c>
      <c r="N115" t="s">
        <v>142</v>
      </c>
    </row>
    <row r="116" spans="1:14" x14ac:dyDescent="0.25">
      <c r="A116" t="s">
        <v>730</v>
      </c>
      <c r="B116" t="s">
        <v>58</v>
      </c>
      <c r="C116" t="s">
        <v>60</v>
      </c>
      <c r="D116" t="s">
        <v>1437</v>
      </c>
      <c r="E116" t="s">
        <v>11</v>
      </c>
      <c r="F116" t="s">
        <v>10</v>
      </c>
      <c r="G116" t="s">
        <v>19</v>
      </c>
      <c r="H116" t="s">
        <v>16</v>
      </c>
      <c r="I116" s="2" t="s">
        <v>729</v>
      </c>
      <c r="J116" t="s">
        <v>1488</v>
      </c>
      <c r="K116" t="s">
        <v>1490</v>
      </c>
      <c r="M116" t="s">
        <v>2265</v>
      </c>
    </row>
    <row r="117" spans="1:14" x14ac:dyDescent="0.25">
      <c r="A117" s="18" t="s">
        <v>857</v>
      </c>
      <c r="B117" s="18" t="s">
        <v>501</v>
      </c>
      <c r="C117" s="18" t="s">
        <v>502</v>
      </c>
      <c r="D117" s="18" t="s">
        <v>1261</v>
      </c>
      <c r="E117" s="18" t="s">
        <v>375</v>
      </c>
      <c r="F117" s="18" t="s">
        <v>374</v>
      </c>
      <c r="G117" s="18"/>
      <c r="H117" s="18" t="s">
        <v>498</v>
      </c>
      <c r="I117" s="18"/>
      <c r="J117" s="18"/>
      <c r="K117" s="18"/>
    </row>
    <row r="118" spans="1:14" x14ac:dyDescent="0.25">
      <c r="A118" t="s">
        <v>863</v>
      </c>
      <c r="B118" t="s">
        <v>313</v>
      </c>
      <c r="C118" t="s">
        <v>314</v>
      </c>
      <c r="D118" t="s">
        <v>1287</v>
      </c>
      <c r="E118" t="s">
        <v>233</v>
      </c>
      <c r="F118" t="s">
        <v>10</v>
      </c>
      <c r="G118" t="s">
        <v>1002</v>
      </c>
      <c r="H118" t="s">
        <v>707</v>
      </c>
      <c r="I118" t="s">
        <v>1001</v>
      </c>
      <c r="J118" t="s">
        <v>707</v>
      </c>
      <c r="K118" t="s">
        <v>707</v>
      </c>
    </row>
    <row r="119" spans="1:14" x14ac:dyDescent="0.25">
      <c r="A119" t="s">
        <v>718</v>
      </c>
      <c r="B119" t="s">
        <v>246</v>
      </c>
      <c r="C119" t="s">
        <v>315</v>
      </c>
      <c r="D119" t="s">
        <v>1351</v>
      </c>
      <c r="E119" t="s">
        <v>233</v>
      </c>
      <c r="F119" t="s">
        <v>10</v>
      </c>
      <c r="G119" t="s">
        <v>249</v>
      </c>
      <c r="H119" t="s">
        <v>248</v>
      </c>
      <c r="I119" t="s">
        <v>1055</v>
      </c>
      <c r="J119" t="s">
        <v>1063</v>
      </c>
      <c r="K119" t="s">
        <v>707</v>
      </c>
      <c r="M119" t="s">
        <v>2271</v>
      </c>
    </row>
    <row r="120" spans="1:14" x14ac:dyDescent="0.25">
      <c r="A120" s="18" t="s">
        <v>443</v>
      </c>
      <c r="B120" s="18" t="s">
        <v>443</v>
      </c>
      <c r="C120" s="18" t="s">
        <v>444</v>
      </c>
      <c r="D120" s="18" t="s">
        <v>1208</v>
      </c>
      <c r="E120" s="18" t="s">
        <v>375</v>
      </c>
      <c r="F120" s="18" t="s">
        <v>374</v>
      </c>
      <c r="G120" s="18"/>
      <c r="H120" s="18" t="s">
        <v>445</v>
      </c>
      <c r="I120" s="18"/>
      <c r="J120" s="18"/>
      <c r="K120" s="18"/>
    </row>
    <row r="121" spans="1:14" x14ac:dyDescent="0.25">
      <c r="A121" s="18" t="s">
        <v>893</v>
      </c>
      <c r="B121" s="18" t="s">
        <v>455</v>
      </c>
      <c r="C121" s="18" t="s">
        <v>456</v>
      </c>
      <c r="D121" s="18" t="s">
        <v>1360</v>
      </c>
      <c r="E121" s="18" t="s">
        <v>375</v>
      </c>
      <c r="F121" s="18" t="s">
        <v>374</v>
      </c>
      <c r="G121" s="18"/>
      <c r="H121" s="18" t="s">
        <v>457</v>
      </c>
      <c r="I121" s="18"/>
      <c r="J121" s="18"/>
      <c r="K121" s="18"/>
    </row>
    <row r="122" spans="1:14" x14ac:dyDescent="0.25">
      <c r="A122" s="18" t="s">
        <v>898</v>
      </c>
      <c r="B122" s="18" t="s">
        <v>435</v>
      </c>
      <c r="C122" s="18" t="s">
        <v>438</v>
      </c>
      <c r="D122" s="18" t="s">
        <v>1369</v>
      </c>
      <c r="E122" s="18" t="s">
        <v>375</v>
      </c>
      <c r="F122" s="18" t="s">
        <v>374</v>
      </c>
      <c r="G122" s="18"/>
      <c r="H122" s="18" t="s">
        <v>439</v>
      </c>
      <c r="I122" s="18"/>
      <c r="J122" s="18"/>
      <c r="K122" s="18"/>
    </row>
    <row r="123" spans="1:14" x14ac:dyDescent="0.25">
      <c r="A123" s="18"/>
      <c r="B123" s="18" t="s">
        <v>689</v>
      </c>
      <c r="C123" s="18" t="s">
        <v>690</v>
      </c>
      <c r="D123" s="18" t="s">
        <v>1170</v>
      </c>
      <c r="E123" s="18" t="s">
        <v>375</v>
      </c>
      <c r="F123" s="18" t="s">
        <v>374</v>
      </c>
      <c r="G123" s="18"/>
      <c r="H123" s="18" t="s">
        <v>688</v>
      </c>
      <c r="I123" s="18"/>
      <c r="J123" s="18"/>
      <c r="K123" s="18"/>
    </row>
    <row r="124" spans="1:14" x14ac:dyDescent="0.25">
      <c r="A124" s="18" t="s">
        <v>864</v>
      </c>
      <c r="B124" s="18" t="s">
        <v>426</v>
      </c>
      <c r="C124" s="18" t="s">
        <v>427</v>
      </c>
      <c r="D124" s="18" t="s">
        <v>1289</v>
      </c>
      <c r="E124" s="18" t="s">
        <v>375</v>
      </c>
      <c r="F124" s="18" t="s">
        <v>374</v>
      </c>
      <c r="G124" s="18"/>
      <c r="H124" s="18" t="s">
        <v>428</v>
      </c>
      <c r="I124" s="18"/>
      <c r="J124" s="18"/>
      <c r="K124" s="18"/>
    </row>
    <row r="125" spans="1:14" x14ac:dyDescent="0.25">
      <c r="A125" s="18" t="s">
        <v>883</v>
      </c>
      <c r="B125" s="18" t="s">
        <v>404</v>
      </c>
      <c r="C125" s="18" t="s">
        <v>405</v>
      </c>
      <c r="D125" s="18" t="s">
        <v>1332</v>
      </c>
      <c r="E125" s="18" t="s">
        <v>375</v>
      </c>
      <c r="F125" s="18" t="s">
        <v>374</v>
      </c>
      <c r="G125" s="18"/>
      <c r="H125" s="18" t="s">
        <v>130</v>
      </c>
      <c r="I125" s="18"/>
      <c r="J125" s="18"/>
      <c r="K125" s="18"/>
    </row>
    <row r="126" spans="1:14" x14ac:dyDescent="0.25">
      <c r="A126" s="18" t="s">
        <v>645</v>
      </c>
      <c r="B126" s="18" t="s">
        <v>645</v>
      </c>
      <c r="C126" s="18" t="s">
        <v>646</v>
      </c>
      <c r="D126" s="18" t="s">
        <v>1375</v>
      </c>
      <c r="E126" s="18" t="s">
        <v>375</v>
      </c>
      <c r="F126" s="18" t="s">
        <v>374</v>
      </c>
      <c r="G126" s="18"/>
      <c r="H126" s="18" t="s">
        <v>647</v>
      </c>
      <c r="I126" s="18"/>
      <c r="J126" s="18"/>
      <c r="K126" s="18"/>
      <c r="L126" t="s">
        <v>2259</v>
      </c>
    </row>
    <row r="127" spans="1:14" x14ac:dyDescent="0.25">
      <c r="A127" s="18" t="s">
        <v>866</v>
      </c>
      <c r="B127" s="18" t="s">
        <v>471</v>
      </c>
      <c r="C127" s="18" t="s">
        <v>472</v>
      </c>
      <c r="D127" s="18" t="s">
        <v>1294</v>
      </c>
      <c r="E127" s="18" t="s">
        <v>375</v>
      </c>
      <c r="F127" s="18" t="s">
        <v>374</v>
      </c>
      <c r="G127" s="18"/>
      <c r="H127" s="18" t="s">
        <v>468</v>
      </c>
      <c r="I127" s="18"/>
      <c r="J127" s="18"/>
      <c r="K127" s="18"/>
    </row>
    <row r="128" spans="1:14" x14ac:dyDescent="0.25">
      <c r="A128" t="s">
        <v>859</v>
      </c>
      <c r="B128" t="s">
        <v>202</v>
      </c>
      <c r="C128" t="s">
        <v>203</v>
      </c>
      <c r="D128" t="s">
        <v>1277</v>
      </c>
      <c r="E128" t="s">
        <v>11</v>
      </c>
      <c r="F128" t="s">
        <v>10</v>
      </c>
      <c r="G128" t="s">
        <v>23</v>
      </c>
      <c r="H128" t="s">
        <v>204</v>
      </c>
      <c r="I128" t="s">
        <v>987</v>
      </c>
      <c r="J128" t="s">
        <v>988</v>
      </c>
      <c r="K128" t="s">
        <v>989</v>
      </c>
      <c r="M128" t="s">
        <v>2244</v>
      </c>
      <c r="N128" t="s">
        <v>859</v>
      </c>
    </row>
    <row r="129" spans="1:14" x14ac:dyDescent="0.25">
      <c r="A129" s="18" t="s">
        <v>910</v>
      </c>
      <c r="B129" s="18" t="s">
        <v>493</v>
      </c>
      <c r="C129" s="18" t="s">
        <v>494</v>
      </c>
      <c r="D129" s="18" t="s">
        <v>1430</v>
      </c>
      <c r="E129" s="18" t="s">
        <v>375</v>
      </c>
      <c r="F129" s="18" t="s">
        <v>374</v>
      </c>
      <c r="G129" s="18"/>
      <c r="H129" s="18" t="s">
        <v>491</v>
      </c>
      <c r="I129" s="18"/>
      <c r="J129" s="18"/>
      <c r="K129" s="18"/>
    </row>
    <row r="130" spans="1:14" x14ac:dyDescent="0.25">
      <c r="A130" s="18" t="s">
        <v>871</v>
      </c>
      <c r="B130" s="18" t="s">
        <v>473</v>
      </c>
      <c r="C130" s="18" t="s">
        <v>474</v>
      </c>
      <c r="D130" s="18" t="s">
        <v>1302</v>
      </c>
      <c r="E130" s="18" t="s">
        <v>375</v>
      </c>
      <c r="F130" s="18" t="s">
        <v>374</v>
      </c>
      <c r="G130" s="18"/>
      <c r="H130" s="18" t="s">
        <v>468</v>
      </c>
      <c r="I130" s="18"/>
      <c r="J130" s="18"/>
      <c r="K130" s="18"/>
    </row>
    <row r="131" spans="1:14" x14ac:dyDescent="0.25">
      <c r="A131" s="18" t="s">
        <v>848</v>
      </c>
      <c r="B131" s="18" t="s">
        <v>479</v>
      </c>
      <c r="C131" s="18" t="s">
        <v>480</v>
      </c>
      <c r="D131" s="18" t="s">
        <v>1230</v>
      </c>
      <c r="E131" s="18" t="s">
        <v>375</v>
      </c>
      <c r="F131" s="18" t="s">
        <v>374</v>
      </c>
      <c r="G131" s="18"/>
      <c r="H131" s="18" t="s">
        <v>468</v>
      </c>
      <c r="I131" s="18"/>
      <c r="J131" s="18"/>
      <c r="K131" s="18"/>
    </row>
    <row r="132" spans="1:14" x14ac:dyDescent="0.25">
      <c r="A132" s="18" t="s">
        <v>874</v>
      </c>
      <c r="B132" s="18" t="s">
        <v>475</v>
      </c>
      <c r="C132" s="18" t="s">
        <v>476</v>
      </c>
      <c r="D132" s="18" t="s">
        <v>1306</v>
      </c>
      <c r="E132" s="18" t="s">
        <v>375</v>
      </c>
      <c r="F132" s="18" t="s">
        <v>374</v>
      </c>
      <c r="G132" s="18"/>
      <c r="H132" s="18" t="s">
        <v>468</v>
      </c>
      <c r="I132" s="18"/>
      <c r="J132" s="18"/>
      <c r="K132" s="18"/>
    </row>
    <row r="133" spans="1:14" x14ac:dyDescent="0.25">
      <c r="A133" t="s">
        <v>718</v>
      </c>
      <c r="B133" t="s">
        <v>151</v>
      </c>
      <c r="C133" t="s">
        <v>170</v>
      </c>
      <c r="D133" t="s">
        <v>1353</v>
      </c>
      <c r="E133" t="s">
        <v>11</v>
      </c>
      <c r="F133" t="s">
        <v>10</v>
      </c>
      <c r="G133" t="s">
        <v>34</v>
      </c>
      <c r="H133" t="s">
        <v>171</v>
      </c>
      <c r="I133" t="s">
        <v>1055</v>
      </c>
      <c r="J133" t="s">
        <v>1065</v>
      </c>
      <c r="K133" t="s">
        <v>1067</v>
      </c>
      <c r="M133" t="s">
        <v>2271</v>
      </c>
    </row>
    <row r="134" spans="1:14" x14ac:dyDescent="0.25">
      <c r="A134" t="s">
        <v>903</v>
      </c>
      <c r="B134" t="s">
        <v>306</v>
      </c>
      <c r="C134" t="s">
        <v>316</v>
      </c>
      <c r="D134" t="s">
        <v>1381</v>
      </c>
      <c r="E134" t="s">
        <v>233</v>
      </c>
      <c r="F134" t="s">
        <v>10</v>
      </c>
      <c r="G134" t="s">
        <v>245</v>
      </c>
      <c r="H134" t="s">
        <v>244</v>
      </c>
      <c r="I134" t="s">
        <v>1097</v>
      </c>
      <c r="J134" t="s">
        <v>1098</v>
      </c>
      <c r="K134" t="s">
        <v>707</v>
      </c>
    </row>
    <row r="135" spans="1:14" x14ac:dyDescent="0.25">
      <c r="A135" t="s">
        <v>717</v>
      </c>
      <c r="B135" t="s">
        <v>79</v>
      </c>
      <c r="C135" t="s">
        <v>89</v>
      </c>
      <c r="D135" t="s">
        <v>1269</v>
      </c>
      <c r="E135" t="s">
        <v>11</v>
      </c>
      <c r="F135" t="s">
        <v>10</v>
      </c>
      <c r="G135" t="s">
        <v>21</v>
      </c>
      <c r="H135" t="s">
        <v>90</v>
      </c>
      <c r="I135" t="s">
        <v>980</v>
      </c>
      <c r="J135" t="s">
        <v>707</v>
      </c>
      <c r="K135" s="22" t="s">
        <v>983</v>
      </c>
      <c r="M135" t="s">
        <v>2382</v>
      </c>
    </row>
    <row r="136" spans="1:14" x14ac:dyDescent="0.25">
      <c r="A136" t="s">
        <v>30</v>
      </c>
      <c r="B136" t="s">
        <v>30</v>
      </c>
      <c r="C136" t="s">
        <v>31</v>
      </c>
      <c r="D136" t="s">
        <v>1210</v>
      </c>
      <c r="E136" t="s">
        <v>11</v>
      </c>
      <c r="F136" t="s">
        <v>10</v>
      </c>
      <c r="G136" t="s">
        <v>13</v>
      </c>
      <c r="H136" t="s">
        <v>16</v>
      </c>
      <c r="I136" t="s">
        <v>758</v>
      </c>
      <c r="J136" t="s">
        <v>934</v>
      </c>
      <c r="K136" t="s">
        <v>933</v>
      </c>
      <c r="M136" t="s">
        <v>2239</v>
      </c>
      <c r="N136" t="s">
        <v>30</v>
      </c>
    </row>
    <row r="137" spans="1:14" x14ac:dyDescent="0.25">
      <c r="A137" t="s">
        <v>14</v>
      </c>
      <c r="B137" t="s">
        <v>14</v>
      </c>
      <c r="C137" t="s">
        <v>91</v>
      </c>
      <c r="D137" t="s">
        <v>1126</v>
      </c>
      <c r="E137" t="s">
        <v>11</v>
      </c>
      <c r="F137" t="s">
        <v>10</v>
      </c>
      <c r="G137" t="s">
        <v>23</v>
      </c>
      <c r="H137" t="s">
        <v>92</v>
      </c>
      <c r="I137" s="2" t="s">
        <v>768</v>
      </c>
      <c r="J137" s="2" t="s">
        <v>1512</v>
      </c>
      <c r="K137" s="2" t="s">
        <v>1513</v>
      </c>
      <c r="M137" t="s">
        <v>2212</v>
      </c>
      <c r="N137" t="s">
        <v>14</v>
      </c>
    </row>
    <row r="138" spans="1:14" x14ac:dyDescent="0.25">
      <c r="A138" t="s">
        <v>718</v>
      </c>
      <c r="B138" t="s">
        <v>246</v>
      </c>
      <c r="C138" t="s">
        <v>317</v>
      </c>
      <c r="D138" t="s">
        <v>1347</v>
      </c>
      <c r="E138" t="s">
        <v>233</v>
      </c>
      <c r="F138" t="s">
        <v>10</v>
      </c>
      <c r="G138" t="s">
        <v>249</v>
      </c>
      <c r="H138" t="s">
        <v>248</v>
      </c>
      <c r="I138" t="s">
        <v>1055</v>
      </c>
      <c r="J138" t="s">
        <v>1062</v>
      </c>
      <c r="K138" t="s">
        <v>707</v>
      </c>
      <c r="M138" t="s">
        <v>2271</v>
      </c>
    </row>
    <row r="139" spans="1:14" x14ac:dyDescent="0.25">
      <c r="A139" s="18" t="s">
        <v>377</v>
      </c>
      <c r="B139" s="18" t="s">
        <v>377</v>
      </c>
      <c r="C139" s="18" t="s">
        <v>378</v>
      </c>
      <c r="D139" s="18" t="s">
        <v>1292</v>
      </c>
      <c r="E139" s="18" t="s">
        <v>375</v>
      </c>
      <c r="F139" s="18" t="s">
        <v>374</v>
      </c>
      <c r="G139" s="18"/>
      <c r="H139" s="18" t="s">
        <v>379</v>
      </c>
      <c r="I139" s="18"/>
      <c r="J139" s="18"/>
      <c r="K139" s="18"/>
    </row>
    <row r="140" spans="1:14" x14ac:dyDescent="0.2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25">
      <c r="A141" t="s">
        <v>719</v>
      </c>
      <c r="B141" t="s">
        <v>181</v>
      </c>
      <c r="C141" t="s">
        <v>318</v>
      </c>
      <c r="D141" t="s">
        <v>1429</v>
      </c>
      <c r="E141" t="s">
        <v>233</v>
      </c>
      <c r="F141" t="s">
        <v>10</v>
      </c>
      <c r="G141" t="s">
        <v>23</v>
      </c>
      <c r="H141" t="s">
        <v>183</v>
      </c>
      <c r="I141" t="s">
        <v>1472</v>
      </c>
      <c r="J141" t="s">
        <v>1481</v>
      </c>
      <c r="K141" t="s">
        <v>707</v>
      </c>
    </row>
    <row r="142" spans="1:14" x14ac:dyDescent="0.2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25">
      <c r="A143" t="s">
        <v>14</v>
      </c>
      <c r="B143" t="s">
        <v>14</v>
      </c>
      <c r="C143" t="s">
        <v>67</v>
      </c>
      <c r="D143" t="s">
        <v>1128</v>
      </c>
      <c r="E143" t="s">
        <v>11</v>
      </c>
      <c r="F143" t="s">
        <v>10</v>
      </c>
      <c r="G143" t="s">
        <v>21</v>
      </c>
      <c r="H143" t="s">
        <v>64</v>
      </c>
      <c r="I143" s="2" t="s">
        <v>768</v>
      </c>
      <c r="J143" s="2" t="s">
        <v>1510</v>
      </c>
      <c r="K143" s="2" t="s">
        <v>1511</v>
      </c>
      <c r="M143" t="s">
        <v>2212</v>
      </c>
      <c r="N143" t="s">
        <v>14</v>
      </c>
    </row>
    <row r="144" spans="1:14" x14ac:dyDescent="0.25">
      <c r="A144" s="18" t="s">
        <v>843</v>
      </c>
      <c r="B144" s="18" t="s">
        <v>654</v>
      </c>
      <c r="C144" s="18" t="s">
        <v>694</v>
      </c>
      <c r="D144" s="18" t="s">
        <v>1225</v>
      </c>
      <c r="E144" s="18" t="s">
        <v>375</v>
      </c>
      <c r="F144" s="18" t="s">
        <v>374</v>
      </c>
      <c r="G144" s="18"/>
      <c r="H144" s="18" t="s">
        <v>693</v>
      </c>
      <c r="I144" s="18"/>
      <c r="J144" s="18"/>
      <c r="K144" s="18"/>
    </row>
    <row r="145" spans="1:14" x14ac:dyDescent="0.25">
      <c r="A145" s="18" t="s">
        <v>843</v>
      </c>
      <c r="B145" s="18" t="s">
        <v>654</v>
      </c>
      <c r="C145" s="18" t="s">
        <v>655</v>
      </c>
      <c r="D145" s="18" t="s">
        <v>1224</v>
      </c>
      <c r="E145" s="18" t="s">
        <v>375</v>
      </c>
      <c r="F145" s="18" t="s">
        <v>374</v>
      </c>
      <c r="G145" s="18"/>
      <c r="H145" s="18" t="s">
        <v>653</v>
      </c>
      <c r="I145" s="18"/>
      <c r="J145" s="18"/>
      <c r="K145" s="18"/>
    </row>
    <row r="146" spans="1:14" x14ac:dyDescent="0.25">
      <c r="A146" t="s">
        <v>784</v>
      </c>
      <c r="B146" t="s">
        <v>68</v>
      </c>
      <c r="C146" t="s">
        <v>69</v>
      </c>
      <c r="D146" t="s">
        <v>1159</v>
      </c>
      <c r="E146" t="s">
        <v>11</v>
      </c>
      <c r="F146" t="s">
        <v>10</v>
      </c>
      <c r="G146" t="s">
        <v>19</v>
      </c>
      <c r="H146" t="s">
        <v>64</v>
      </c>
      <c r="I146" t="s">
        <v>788</v>
      </c>
      <c r="K146" s="22" t="s">
        <v>819</v>
      </c>
      <c r="L146" t="s">
        <v>2220</v>
      </c>
      <c r="M146" t="s">
        <v>2215</v>
      </c>
      <c r="N146" t="s">
        <v>2221</v>
      </c>
    </row>
    <row r="147" spans="1:14" x14ac:dyDescent="0.25">
      <c r="A147" s="18" t="s">
        <v>856</v>
      </c>
      <c r="B147" s="18" t="s">
        <v>581</v>
      </c>
      <c r="C147" s="18" t="s">
        <v>582</v>
      </c>
      <c r="D147" s="18" t="s">
        <v>1260</v>
      </c>
      <c r="E147" s="18" t="s">
        <v>375</v>
      </c>
      <c r="F147" s="18" t="s">
        <v>374</v>
      </c>
      <c r="G147" s="18"/>
      <c r="H147" s="18" t="s">
        <v>583</v>
      </c>
      <c r="I147" s="18"/>
      <c r="J147" s="18"/>
      <c r="K147" s="18"/>
    </row>
    <row r="148" spans="1:14" x14ac:dyDescent="0.25">
      <c r="A148" t="s">
        <v>714</v>
      </c>
      <c r="B148" t="s">
        <v>281</v>
      </c>
      <c r="C148" t="s">
        <v>319</v>
      </c>
      <c r="D148" t="s">
        <v>1244</v>
      </c>
      <c r="E148" t="s">
        <v>233</v>
      </c>
      <c r="F148" t="s">
        <v>10</v>
      </c>
      <c r="G148" t="s">
        <v>255</v>
      </c>
      <c r="H148" t="s">
        <v>244</v>
      </c>
      <c r="I148" t="s">
        <v>951</v>
      </c>
      <c r="J148" t="s">
        <v>707</v>
      </c>
      <c r="K148" t="s">
        <v>707</v>
      </c>
    </row>
    <row r="149" spans="1:14" x14ac:dyDescent="0.25">
      <c r="A149" s="18" t="s">
        <v>554</v>
      </c>
      <c r="B149" s="18" t="s">
        <v>554</v>
      </c>
      <c r="C149" s="18" t="s">
        <v>29</v>
      </c>
      <c r="D149" s="18" t="s">
        <v>1237</v>
      </c>
      <c r="E149" s="18" t="s">
        <v>375</v>
      </c>
      <c r="F149" s="18" t="s">
        <v>374</v>
      </c>
      <c r="G149" s="18"/>
      <c r="H149" s="18" t="s">
        <v>599</v>
      </c>
      <c r="I149" s="18"/>
      <c r="J149" s="18"/>
      <c r="K149" s="18"/>
    </row>
    <row r="150" spans="1:14" x14ac:dyDescent="0.25">
      <c r="A150" s="18" t="s">
        <v>865</v>
      </c>
      <c r="B150" s="18" t="s">
        <v>530</v>
      </c>
      <c r="C150" s="18" t="s">
        <v>531</v>
      </c>
      <c r="D150" s="18" t="s">
        <v>1291</v>
      </c>
      <c r="E150" s="18" t="s">
        <v>375</v>
      </c>
      <c r="F150" s="18" t="s">
        <v>374</v>
      </c>
      <c r="G150" s="18"/>
      <c r="H150" s="18" t="s">
        <v>532</v>
      </c>
      <c r="I150" s="18"/>
      <c r="J150" s="18"/>
      <c r="K150" s="18"/>
    </row>
    <row r="151" spans="1:14" x14ac:dyDescent="0.25">
      <c r="A151" s="18" t="s">
        <v>849</v>
      </c>
      <c r="B151" s="18" t="s">
        <v>603</v>
      </c>
      <c r="C151" s="18" t="s">
        <v>604</v>
      </c>
      <c r="D151" s="18" t="s">
        <v>1234</v>
      </c>
      <c r="E151" s="18" t="s">
        <v>375</v>
      </c>
      <c r="F151" s="18" t="s">
        <v>374</v>
      </c>
      <c r="G151" s="18"/>
      <c r="H151" s="18" t="s">
        <v>605</v>
      </c>
      <c r="I151" s="18"/>
      <c r="J151" s="18"/>
      <c r="K151" s="18"/>
    </row>
    <row r="152" spans="1:14" x14ac:dyDescent="0.25">
      <c r="A152" t="s">
        <v>159</v>
      </c>
      <c r="B152" t="s">
        <v>159</v>
      </c>
      <c r="C152" t="s">
        <v>160</v>
      </c>
      <c r="D152" t="s">
        <v>1165</v>
      </c>
      <c r="E152" t="s">
        <v>11</v>
      </c>
      <c r="F152" t="s">
        <v>10</v>
      </c>
      <c r="G152" t="s">
        <v>34</v>
      </c>
      <c r="H152" t="s">
        <v>157</v>
      </c>
      <c r="I152" s="3" t="s">
        <v>1526</v>
      </c>
      <c r="J152" s="3" t="s">
        <v>821</v>
      </c>
      <c r="K152" s="30" t="s">
        <v>823</v>
      </c>
      <c r="M152" t="s">
        <v>2224</v>
      </c>
      <c r="N152" t="s">
        <v>159</v>
      </c>
    </row>
    <row r="153" spans="1:14" x14ac:dyDescent="0.25">
      <c r="A153" s="18" t="s">
        <v>885</v>
      </c>
      <c r="B153" s="18" t="s">
        <v>477</v>
      </c>
      <c r="C153" s="18" t="s">
        <v>478</v>
      </c>
      <c r="D153" s="18" t="s">
        <v>1334</v>
      </c>
      <c r="E153" s="18" t="s">
        <v>375</v>
      </c>
      <c r="F153" s="18" t="s">
        <v>374</v>
      </c>
      <c r="G153" s="18"/>
      <c r="H153" s="18" t="s">
        <v>468</v>
      </c>
      <c r="I153" s="18"/>
      <c r="J153" s="18"/>
      <c r="K153" s="18"/>
    </row>
    <row r="154" spans="1:14" x14ac:dyDescent="0.25">
      <c r="A154" t="s">
        <v>208</v>
      </c>
      <c r="B154" t="s">
        <v>208</v>
      </c>
      <c r="C154" t="s">
        <v>212</v>
      </c>
      <c r="D154" t="s">
        <v>1176</v>
      </c>
      <c r="E154" t="s">
        <v>11</v>
      </c>
      <c r="F154" t="s">
        <v>10</v>
      </c>
      <c r="G154" t="s">
        <v>44</v>
      </c>
      <c r="H154" t="s">
        <v>210</v>
      </c>
      <c r="I154" t="s">
        <v>770</v>
      </c>
      <c r="J154" t="s">
        <v>1530</v>
      </c>
      <c r="K154" t="s">
        <v>830</v>
      </c>
      <c r="L154" t="s">
        <v>707</v>
      </c>
      <c r="M154" t="s">
        <v>2379</v>
      </c>
      <c r="N154" t="s">
        <v>2229</v>
      </c>
    </row>
    <row r="155" spans="1:14" ht="30" x14ac:dyDescent="0.25">
      <c r="A155" t="s">
        <v>887</v>
      </c>
      <c r="B155" t="s">
        <v>213</v>
      </c>
      <c r="C155" t="s">
        <v>214</v>
      </c>
      <c r="D155" t="s">
        <v>1336</v>
      </c>
      <c r="E155" t="s">
        <v>11</v>
      </c>
      <c r="F155" t="s">
        <v>10</v>
      </c>
      <c r="G155" t="s">
        <v>21</v>
      </c>
      <c r="H155" t="s">
        <v>210</v>
      </c>
      <c r="I155" t="s">
        <v>1040</v>
      </c>
      <c r="J155" s="30" t="s">
        <v>2340</v>
      </c>
      <c r="K155" s="22" t="s">
        <v>1042</v>
      </c>
      <c r="M155" t="s">
        <v>2341</v>
      </c>
      <c r="N155" t="s">
        <v>887</v>
      </c>
    </row>
    <row r="156" spans="1:14" x14ac:dyDescent="0.25">
      <c r="A156" t="s">
        <v>725</v>
      </c>
      <c r="B156" t="s">
        <v>138</v>
      </c>
      <c r="C156" t="s">
        <v>139</v>
      </c>
      <c r="D156" t="s">
        <v>1285</v>
      </c>
      <c r="E156" t="s">
        <v>11</v>
      </c>
      <c r="F156" t="s">
        <v>10</v>
      </c>
      <c r="G156" t="s">
        <v>44</v>
      </c>
      <c r="H156" t="s">
        <v>141</v>
      </c>
      <c r="I156" s="2" t="s">
        <v>724</v>
      </c>
      <c r="J156" t="s">
        <v>2107</v>
      </c>
      <c r="K156" s="22" t="s">
        <v>1000</v>
      </c>
      <c r="L156" t="s">
        <v>2247</v>
      </c>
      <c r="M156" t="s">
        <v>2248</v>
      </c>
    </row>
    <row r="157" spans="1:14" x14ac:dyDescent="0.25">
      <c r="A157" s="18" t="s">
        <v>424</v>
      </c>
      <c r="B157" s="18" t="s">
        <v>424</v>
      </c>
      <c r="C157" s="18" t="s">
        <v>425</v>
      </c>
      <c r="D157" s="18" t="s">
        <v>1231</v>
      </c>
      <c r="E157" s="18" t="s">
        <v>375</v>
      </c>
      <c r="F157" s="18" t="s">
        <v>374</v>
      </c>
      <c r="G157" s="18"/>
      <c r="H157" s="18" t="s">
        <v>423</v>
      </c>
      <c r="I157" s="18"/>
      <c r="J157" s="18"/>
      <c r="K157" s="18"/>
    </row>
    <row r="158" spans="1:14" x14ac:dyDescent="0.25">
      <c r="A158" t="s">
        <v>14</v>
      </c>
      <c r="B158" t="s">
        <v>14</v>
      </c>
      <c r="C158" t="s">
        <v>20</v>
      </c>
      <c r="D158" t="s">
        <v>1130</v>
      </c>
      <c r="E158" t="s">
        <v>11</v>
      </c>
      <c r="F158" t="s">
        <v>10</v>
      </c>
      <c r="G158" t="s">
        <v>19</v>
      </c>
      <c r="H158" t="s">
        <v>16</v>
      </c>
      <c r="I158" s="2" t="s">
        <v>768</v>
      </c>
      <c r="J158" s="2" t="s">
        <v>1501</v>
      </c>
      <c r="K158" s="2" t="s">
        <v>1500</v>
      </c>
      <c r="M158" t="s">
        <v>2212</v>
      </c>
      <c r="N158" t="s">
        <v>14</v>
      </c>
    </row>
    <row r="159" spans="1:14" x14ac:dyDescent="0.25">
      <c r="A159" t="s">
        <v>14</v>
      </c>
      <c r="B159" t="s">
        <v>14</v>
      </c>
      <c r="C159" t="s">
        <v>22</v>
      </c>
      <c r="D159" t="s">
        <v>1129</v>
      </c>
      <c r="E159" t="s">
        <v>11</v>
      </c>
      <c r="F159" t="s">
        <v>10</v>
      </c>
      <c r="G159" t="s">
        <v>13</v>
      </c>
      <c r="H159" t="s">
        <v>16</v>
      </c>
      <c r="I159" s="2" t="s">
        <v>768</v>
      </c>
      <c r="J159" s="2" t="s">
        <v>1505</v>
      </c>
      <c r="K159" s="2" t="s">
        <v>1504</v>
      </c>
      <c r="M159" t="s">
        <v>2212</v>
      </c>
      <c r="N159" t="s">
        <v>14</v>
      </c>
    </row>
    <row r="160" spans="1:14" x14ac:dyDescent="0.25">
      <c r="A160" s="18" t="s">
        <v>661</v>
      </c>
      <c r="B160" s="18" t="s">
        <v>661</v>
      </c>
      <c r="C160" s="18" t="s">
        <v>662</v>
      </c>
      <c r="D160" s="18" t="s">
        <v>1338</v>
      </c>
      <c r="E160" s="18" t="s">
        <v>375</v>
      </c>
      <c r="F160" s="18" t="s">
        <v>374</v>
      </c>
      <c r="G160" s="18"/>
      <c r="H160" s="18" t="s">
        <v>210</v>
      </c>
      <c r="I160" s="18"/>
      <c r="J160" s="18"/>
      <c r="K160" s="18"/>
    </row>
    <row r="161" spans="1:14" x14ac:dyDescent="0.25">
      <c r="A161" s="18" t="s">
        <v>847</v>
      </c>
      <c r="B161" s="18" t="s">
        <v>555</v>
      </c>
      <c r="C161" s="18" t="s">
        <v>556</v>
      </c>
      <c r="D161" s="18" t="s">
        <v>1229</v>
      </c>
      <c r="E161" s="18" t="s">
        <v>375</v>
      </c>
      <c r="F161" s="18" t="s">
        <v>374</v>
      </c>
      <c r="G161" s="18"/>
      <c r="H161" s="18" t="s">
        <v>557</v>
      </c>
      <c r="I161" s="18"/>
      <c r="J161" s="18"/>
      <c r="K161" s="18"/>
    </row>
    <row r="162" spans="1:14" x14ac:dyDescent="0.25">
      <c r="A162" t="s">
        <v>406</v>
      </c>
      <c r="B162" t="s">
        <v>123</v>
      </c>
      <c r="C162" t="s">
        <v>131</v>
      </c>
      <c r="D162" t="s">
        <v>1222</v>
      </c>
      <c r="E162" t="s">
        <v>11</v>
      </c>
      <c r="F162" t="s">
        <v>10</v>
      </c>
      <c r="G162" t="s">
        <v>21</v>
      </c>
      <c r="H162" t="s">
        <v>130</v>
      </c>
      <c r="I162" s="22" t="s">
        <v>947</v>
      </c>
      <c r="J162" s="22" t="s">
        <v>948</v>
      </c>
      <c r="K162" s="22" t="s">
        <v>950</v>
      </c>
      <c r="L162" t="s">
        <v>2500</v>
      </c>
      <c r="M162" t="s">
        <v>2241</v>
      </c>
      <c r="N162" t="s">
        <v>406</v>
      </c>
    </row>
    <row r="163" spans="1:14" x14ac:dyDescent="0.25">
      <c r="A163" t="s">
        <v>133</v>
      </c>
      <c r="B163" t="s">
        <v>133</v>
      </c>
      <c r="C163" t="s">
        <v>134</v>
      </c>
      <c r="D163" t="s">
        <v>1308</v>
      </c>
      <c r="E163" t="s">
        <v>11</v>
      </c>
      <c r="F163" t="s">
        <v>10</v>
      </c>
      <c r="G163" t="s">
        <v>23</v>
      </c>
      <c r="H163" t="s">
        <v>130</v>
      </c>
      <c r="I163" t="s">
        <v>1019</v>
      </c>
      <c r="K163" s="22" t="s">
        <v>1020</v>
      </c>
      <c r="L163" t="s">
        <v>2500</v>
      </c>
      <c r="M163" t="s">
        <v>2339</v>
      </c>
      <c r="N163" t="s">
        <v>133</v>
      </c>
    </row>
    <row r="164" spans="1:14" x14ac:dyDescent="0.2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25">
      <c r="A165" s="18" t="s">
        <v>514</v>
      </c>
      <c r="B165" s="18" t="s">
        <v>514</v>
      </c>
      <c r="C165" s="18" t="s">
        <v>515</v>
      </c>
      <c r="D165" s="18" t="s">
        <v>1365</v>
      </c>
      <c r="E165" s="18" t="s">
        <v>375</v>
      </c>
      <c r="F165" s="18" t="s">
        <v>374</v>
      </c>
      <c r="G165" s="18"/>
      <c r="H165" s="18" t="s">
        <v>509</v>
      </c>
      <c r="I165" s="18"/>
      <c r="J165" s="18"/>
      <c r="K165" s="18"/>
    </row>
    <row r="166" spans="1:14" x14ac:dyDescent="0.25">
      <c r="A166" s="18" t="s">
        <v>912</v>
      </c>
      <c r="B166" s="18" t="s">
        <v>486</v>
      </c>
      <c r="C166" s="18" t="s">
        <v>487</v>
      </c>
      <c r="D166" s="18" t="s">
        <v>1435</v>
      </c>
      <c r="E166" s="18" t="s">
        <v>375</v>
      </c>
      <c r="F166" s="18" t="s">
        <v>374</v>
      </c>
      <c r="G166" s="18"/>
      <c r="H166" s="18" t="s">
        <v>488</v>
      </c>
      <c r="I166" s="18"/>
      <c r="J166" s="18"/>
      <c r="K166" s="18"/>
    </row>
    <row r="167" spans="1:14" x14ac:dyDescent="0.25">
      <c r="A167" t="s">
        <v>155</v>
      </c>
      <c r="B167" t="s">
        <v>155</v>
      </c>
      <c r="C167" t="s">
        <v>158</v>
      </c>
      <c r="D167" t="s">
        <v>1152</v>
      </c>
      <c r="E167" t="s">
        <v>11</v>
      </c>
      <c r="F167" t="s">
        <v>10</v>
      </c>
      <c r="G167" t="s">
        <v>19</v>
      </c>
      <c r="H167" t="s">
        <v>157</v>
      </c>
      <c r="I167" t="s">
        <v>811</v>
      </c>
      <c r="J167" t="s">
        <v>2401</v>
      </c>
      <c r="K167" s="2" t="s">
        <v>815</v>
      </c>
      <c r="M167" t="s">
        <v>2375</v>
      </c>
      <c r="N167" t="s">
        <v>2376</v>
      </c>
    </row>
    <row r="168" spans="1:14" x14ac:dyDescent="0.25">
      <c r="A168" s="18" t="s">
        <v>14</v>
      </c>
      <c r="B168" s="18" t="s">
        <v>14</v>
      </c>
      <c r="C168" s="18" t="s">
        <v>461</v>
      </c>
      <c r="D168" s="18" t="s">
        <v>1134</v>
      </c>
      <c r="E168" s="18" t="s">
        <v>375</v>
      </c>
      <c r="F168" s="18" t="s">
        <v>374</v>
      </c>
      <c r="G168" s="18"/>
      <c r="H168" s="18" t="s">
        <v>462</v>
      </c>
      <c r="I168" s="18" t="s">
        <v>768</v>
      </c>
      <c r="J168" s="18" t="s">
        <v>1512</v>
      </c>
      <c r="K168" s="18" t="s">
        <v>1516</v>
      </c>
      <c r="L168" t="s">
        <v>2214</v>
      </c>
    </row>
    <row r="169" spans="1:14" x14ac:dyDescent="0.25">
      <c r="A169" t="s">
        <v>54</v>
      </c>
      <c r="B169" t="s">
        <v>54</v>
      </c>
      <c r="C169" t="s">
        <v>55</v>
      </c>
      <c r="D169" t="s">
        <v>1379</v>
      </c>
      <c r="E169" t="s">
        <v>11</v>
      </c>
      <c r="F169" t="s">
        <v>10</v>
      </c>
      <c r="G169" t="s">
        <v>19</v>
      </c>
      <c r="H169" t="s">
        <v>16</v>
      </c>
      <c r="I169" t="s">
        <v>1093</v>
      </c>
      <c r="J169" t="s">
        <v>1096</v>
      </c>
      <c r="K169" t="s">
        <v>1095</v>
      </c>
      <c r="L169" t="s">
        <v>2500</v>
      </c>
      <c r="M169" t="s">
        <v>2260</v>
      </c>
    </row>
    <row r="170" spans="1:14" x14ac:dyDescent="0.25">
      <c r="A170" t="s">
        <v>793</v>
      </c>
      <c r="B170" t="s">
        <v>128</v>
      </c>
      <c r="C170" t="s">
        <v>129</v>
      </c>
      <c r="D170" t="s">
        <v>1190</v>
      </c>
      <c r="E170" t="s">
        <v>11</v>
      </c>
      <c r="F170" t="s">
        <v>10</v>
      </c>
      <c r="G170" t="s">
        <v>19</v>
      </c>
      <c r="H170" t="s">
        <v>130</v>
      </c>
      <c r="I170" s="3" t="s">
        <v>743</v>
      </c>
      <c r="J170" t="s">
        <v>744</v>
      </c>
      <c r="K170" s="22" t="s">
        <v>2047</v>
      </c>
      <c r="M170" t="s">
        <v>2233</v>
      </c>
      <c r="N170" t="s">
        <v>2234</v>
      </c>
    </row>
    <row r="171" spans="1:14" x14ac:dyDescent="0.25">
      <c r="A171" t="s">
        <v>82</v>
      </c>
      <c r="B171" t="s">
        <v>82</v>
      </c>
      <c r="C171" t="s">
        <v>83</v>
      </c>
      <c r="D171" t="s">
        <v>1278</v>
      </c>
      <c r="E171" t="s">
        <v>11</v>
      </c>
      <c r="F171" t="s">
        <v>10</v>
      </c>
      <c r="G171" t="s">
        <v>19</v>
      </c>
      <c r="H171" t="s">
        <v>84</v>
      </c>
      <c r="I171" t="s">
        <v>990</v>
      </c>
      <c r="J171" t="s">
        <v>991</v>
      </c>
      <c r="K171" t="s">
        <v>992</v>
      </c>
      <c r="M171" t="s">
        <v>2245</v>
      </c>
      <c r="N171" t="s">
        <v>2246</v>
      </c>
    </row>
    <row r="172" spans="1:14" x14ac:dyDescent="0.25">
      <c r="A172" s="18"/>
      <c r="B172" s="18" t="s">
        <v>700</v>
      </c>
      <c r="C172" s="18" t="s">
        <v>701</v>
      </c>
      <c r="D172" s="18" t="s">
        <v>1181</v>
      </c>
      <c r="E172" s="18" t="s">
        <v>375</v>
      </c>
      <c r="F172" s="18" t="s">
        <v>374</v>
      </c>
      <c r="G172" s="18"/>
      <c r="H172" s="18" t="s">
        <v>699</v>
      </c>
      <c r="I172" s="18"/>
      <c r="J172" s="18"/>
      <c r="K172" s="18"/>
      <c r="L172" t="s">
        <v>707</v>
      </c>
      <c r="M172" t="s">
        <v>2228</v>
      </c>
      <c r="N172" t="s">
        <v>2229</v>
      </c>
    </row>
    <row r="173" spans="1:14" x14ac:dyDescent="0.25">
      <c r="A173" t="s">
        <v>39</v>
      </c>
      <c r="B173" t="s">
        <v>39</v>
      </c>
      <c r="C173" t="s">
        <v>78</v>
      </c>
      <c r="D173" t="s">
        <v>1321</v>
      </c>
      <c r="E173" t="s">
        <v>11</v>
      </c>
      <c r="F173" t="s">
        <v>10</v>
      </c>
      <c r="G173" t="s">
        <v>21</v>
      </c>
      <c r="H173" t="s">
        <v>64</v>
      </c>
      <c r="I173" t="s">
        <v>720</v>
      </c>
      <c r="J173" t="s">
        <v>720</v>
      </c>
      <c r="K173" t="s">
        <v>1036</v>
      </c>
      <c r="L173" t="s">
        <v>1033</v>
      </c>
      <c r="M173" t="s">
        <v>2388</v>
      </c>
    </row>
    <row r="174" spans="1:14" x14ac:dyDescent="0.25">
      <c r="A174" t="s">
        <v>228</v>
      </c>
      <c r="B174" t="s">
        <v>228</v>
      </c>
      <c r="C174" t="s">
        <v>229</v>
      </c>
      <c r="D174" t="s">
        <v>1410</v>
      </c>
      <c r="E174" t="s">
        <v>11</v>
      </c>
      <c r="F174" t="s">
        <v>10</v>
      </c>
      <c r="G174" t="s">
        <v>44</v>
      </c>
      <c r="H174" t="s">
        <v>230</v>
      </c>
      <c r="I174" t="s">
        <v>1106</v>
      </c>
      <c r="K174" t="s">
        <v>1107</v>
      </c>
      <c r="L174" t="s">
        <v>2500</v>
      </c>
      <c r="M174" t="s">
        <v>2368</v>
      </c>
      <c r="N174" t="s">
        <v>2369</v>
      </c>
    </row>
    <row r="175" spans="1:14" x14ac:dyDescent="0.25">
      <c r="A175" s="18"/>
      <c r="B175" s="18" t="s">
        <v>695</v>
      </c>
      <c r="C175" s="18" t="s">
        <v>696</v>
      </c>
      <c r="D175" s="18" t="s">
        <v>1174</v>
      </c>
      <c r="E175" s="18" t="s">
        <v>375</v>
      </c>
      <c r="F175" s="18" t="s">
        <v>374</v>
      </c>
      <c r="G175" s="18"/>
      <c r="H175" s="18" t="s">
        <v>693</v>
      </c>
      <c r="I175" s="18"/>
      <c r="J175" s="18"/>
      <c r="K175" s="18"/>
    </row>
    <row r="176" spans="1:14" x14ac:dyDescent="0.25">
      <c r="A176" s="18" t="s">
        <v>741</v>
      </c>
      <c r="B176" s="18" t="s">
        <v>516</v>
      </c>
      <c r="C176" s="18" t="s">
        <v>643</v>
      </c>
      <c r="D176" s="18" t="s">
        <v>1164</v>
      </c>
      <c r="E176" s="18" t="s">
        <v>375</v>
      </c>
      <c r="F176" s="18" t="s">
        <v>374</v>
      </c>
      <c r="G176" s="18"/>
      <c r="H176" s="18" t="s">
        <v>644</v>
      </c>
      <c r="I176" s="18" t="s">
        <v>742</v>
      </c>
      <c r="J176" s="18"/>
      <c r="K176" s="18"/>
    </row>
    <row r="177" spans="1:14" x14ac:dyDescent="0.25">
      <c r="A177" s="18" t="s">
        <v>911</v>
      </c>
      <c r="B177" s="18" t="s">
        <v>630</v>
      </c>
      <c r="C177" s="18" t="s">
        <v>631</v>
      </c>
      <c r="D177" s="18" t="s">
        <v>1433</v>
      </c>
      <c r="E177" s="18" t="s">
        <v>375</v>
      </c>
      <c r="F177" s="18" t="s">
        <v>374</v>
      </c>
      <c r="G177" s="18"/>
      <c r="H177" s="18" t="s">
        <v>627</v>
      </c>
      <c r="I177" s="18"/>
      <c r="J177" s="18"/>
      <c r="K177" s="18"/>
    </row>
    <row r="178" spans="1:14" x14ac:dyDescent="0.25">
      <c r="A178" s="18" t="s">
        <v>876</v>
      </c>
      <c r="B178" s="18" t="s">
        <v>520</v>
      </c>
      <c r="C178" s="18" t="s">
        <v>528</v>
      </c>
      <c r="D178" s="18" t="s">
        <v>1312</v>
      </c>
      <c r="E178" s="18" t="s">
        <v>375</v>
      </c>
      <c r="F178" s="18" t="s">
        <v>374</v>
      </c>
      <c r="G178" s="18"/>
      <c r="H178" s="18" t="s">
        <v>529</v>
      </c>
      <c r="I178" s="18"/>
      <c r="J178" s="18"/>
      <c r="K178" s="18"/>
    </row>
    <row r="179" spans="1:14" x14ac:dyDescent="0.25">
      <c r="A179" t="s">
        <v>755</v>
      </c>
      <c r="B179" t="s">
        <v>75</v>
      </c>
      <c r="C179" t="s">
        <v>85</v>
      </c>
      <c r="D179" t="s">
        <v>1315</v>
      </c>
      <c r="E179" t="s">
        <v>11</v>
      </c>
      <c r="F179" t="s">
        <v>10</v>
      </c>
      <c r="G179" t="s">
        <v>23</v>
      </c>
      <c r="H179" t="s">
        <v>84</v>
      </c>
      <c r="I179" s="2" t="s">
        <v>762</v>
      </c>
      <c r="J179" t="s">
        <v>1022</v>
      </c>
      <c r="K179" t="s">
        <v>1024</v>
      </c>
      <c r="M179" t="s">
        <v>2251</v>
      </c>
    </row>
    <row r="180" spans="1:14" x14ac:dyDescent="0.25">
      <c r="A180" t="s">
        <v>717</v>
      </c>
      <c r="B180" t="s">
        <v>79</v>
      </c>
      <c r="C180" t="s">
        <v>80</v>
      </c>
      <c r="D180" t="s">
        <v>1268</v>
      </c>
      <c r="E180" t="s">
        <v>11</v>
      </c>
      <c r="F180" t="s">
        <v>10</v>
      </c>
      <c r="G180" t="s">
        <v>19</v>
      </c>
      <c r="H180" t="s">
        <v>81</v>
      </c>
      <c r="I180" s="2" t="s">
        <v>980</v>
      </c>
      <c r="J180" t="s">
        <v>707</v>
      </c>
      <c r="K180" t="s">
        <v>983</v>
      </c>
      <c r="M180" t="s">
        <v>2382</v>
      </c>
    </row>
    <row r="181" spans="1:14" x14ac:dyDescent="0.25">
      <c r="A181" t="s">
        <v>715</v>
      </c>
      <c r="B181" t="s">
        <v>142</v>
      </c>
      <c r="C181" t="s">
        <v>184</v>
      </c>
      <c r="D181" t="s">
        <v>1246</v>
      </c>
      <c r="E181" t="s">
        <v>11</v>
      </c>
      <c r="F181" t="s">
        <v>10</v>
      </c>
      <c r="G181" t="s">
        <v>13</v>
      </c>
      <c r="H181" t="s">
        <v>185</v>
      </c>
      <c r="I181" t="s">
        <v>962</v>
      </c>
      <c r="J181" t="s">
        <v>963</v>
      </c>
      <c r="K181" t="s">
        <v>964</v>
      </c>
      <c r="M181" t="s">
        <v>2267</v>
      </c>
      <c r="N181" t="s">
        <v>142</v>
      </c>
    </row>
    <row r="182" spans="1:14" x14ac:dyDescent="0.25">
      <c r="A182" s="18" t="s">
        <v>879</v>
      </c>
      <c r="B182" s="18" t="s">
        <v>589</v>
      </c>
      <c r="C182" s="18" t="s">
        <v>590</v>
      </c>
      <c r="D182" s="18" t="s">
        <v>1327</v>
      </c>
      <c r="E182" s="18" t="s">
        <v>375</v>
      </c>
      <c r="F182" s="18" t="s">
        <v>374</v>
      </c>
      <c r="G182" s="18"/>
      <c r="H182" s="18" t="s">
        <v>591</v>
      </c>
      <c r="I182" s="18"/>
      <c r="J182" s="18"/>
      <c r="K182" s="18"/>
    </row>
    <row r="183" spans="1:14" x14ac:dyDescent="0.25">
      <c r="A183" s="18" t="s">
        <v>382</v>
      </c>
      <c r="B183" s="18" t="s">
        <v>382</v>
      </c>
      <c r="C183" s="18" t="s">
        <v>385</v>
      </c>
      <c r="D183" s="18" t="s">
        <v>1233</v>
      </c>
      <c r="E183" s="18" t="s">
        <v>375</v>
      </c>
      <c r="F183" s="18" t="s">
        <v>374</v>
      </c>
      <c r="G183" s="18"/>
      <c r="H183" s="18" t="s">
        <v>384</v>
      </c>
      <c r="I183" s="18"/>
      <c r="J183" s="18"/>
      <c r="K183" s="18"/>
    </row>
    <row r="184" spans="1:14" x14ac:dyDescent="0.25">
      <c r="A184" t="s">
        <v>868</v>
      </c>
      <c r="B184" t="s">
        <v>175</v>
      </c>
      <c r="C184" t="s">
        <v>176</v>
      </c>
      <c r="D184" t="s">
        <v>1299</v>
      </c>
      <c r="E184" t="s">
        <v>11</v>
      </c>
      <c r="F184" t="s">
        <v>10</v>
      </c>
      <c r="G184" t="s">
        <v>13</v>
      </c>
      <c r="H184" t="s">
        <v>177</v>
      </c>
      <c r="I184" t="s">
        <v>1003</v>
      </c>
      <c r="J184" t="s">
        <v>1005</v>
      </c>
      <c r="K184" t="s">
        <v>1006</v>
      </c>
      <c r="M184" t="s">
        <v>2385</v>
      </c>
      <c r="N184" t="s">
        <v>2320</v>
      </c>
    </row>
    <row r="185" spans="1:14" x14ac:dyDescent="0.25">
      <c r="A185" t="s">
        <v>325</v>
      </c>
      <c r="B185" t="s">
        <v>325</v>
      </c>
      <c r="C185" t="s">
        <v>326</v>
      </c>
      <c r="D185" t="s">
        <v>1298</v>
      </c>
      <c r="E185" t="s">
        <v>233</v>
      </c>
      <c r="F185" t="s">
        <v>10</v>
      </c>
      <c r="G185" t="s">
        <v>2530</v>
      </c>
      <c r="H185" t="s">
        <v>327</v>
      </c>
      <c r="I185" t="s">
        <v>1003</v>
      </c>
      <c r="J185" s="22" t="s">
        <v>1005</v>
      </c>
      <c r="K185" s="22" t="s">
        <v>1006</v>
      </c>
      <c r="M185" t="s">
        <v>2321</v>
      </c>
      <c r="N185" t="s">
        <v>2320</v>
      </c>
    </row>
    <row r="186" spans="1:14" x14ac:dyDescent="0.25">
      <c r="A186" t="s">
        <v>896</v>
      </c>
      <c r="B186" t="s">
        <v>172</v>
      </c>
      <c r="C186" t="s">
        <v>173</v>
      </c>
      <c r="D186" t="s">
        <v>1366</v>
      </c>
      <c r="E186" t="s">
        <v>11</v>
      </c>
      <c r="F186" t="s">
        <v>10</v>
      </c>
      <c r="G186" t="s">
        <v>17</v>
      </c>
      <c r="H186" t="s">
        <v>174</v>
      </c>
      <c r="I186" s="22" t="s">
        <v>1078</v>
      </c>
      <c r="J186" s="22" t="s">
        <v>2345</v>
      </c>
      <c r="K186" t="s">
        <v>1080</v>
      </c>
      <c r="M186" t="s">
        <v>2346</v>
      </c>
    </row>
    <row r="187" spans="1:14" x14ac:dyDescent="0.25">
      <c r="A187" s="18" t="s">
        <v>882</v>
      </c>
      <c r="B187" s="18" t="s">
        <v>392</v>
      </c>
      <c r="C187" s="18" t="s">
        <v>393</v>
      </c>
      <c r="D187" s="18" t="s">
        <v>1331</v>
      </c>
      <c r="E187" s="18" t="s">
        <v>375</v>
      </c>
      <c r="F187" s="18" t="s">
        <v>374</v>
      </c>
      <c r="G187" s="18"/>
      <c r="H187" s="18" t="s">
        <v>394</v>
      </c>
      <c r="I187" s="18"/>
      <c r="J187" s="18"/>
      <c r="K187" s="18"/>
    </row>
    <row r="188" spans="1:14" x14ac:dyDescent="0.25">
      <c r="A188" t="s">
        <v>406</v>
      </c>
      <c r="B188" t="s">
        <v>123</v>
      </c>
      <c r="C188" t="s">
        <v>124</v>
      </c>
      <c r="D188" t="s">
        <v>1223</v>
      </c>
      <c r="E188" t="s">
        <v>11</v>
      </c>
      <c r="F188" t="s">
        <v>10</v>
      </c>
      <c r="G188" t="s">
        <v>44</v>
      </c>
      <c r="H188" t="s">
        <v>125</v>
      </c>
      <c r="I188" s="22" t="s">
        <v>947</v>
      </c>
      <c r="J188" s="22" t="s">
        <v>949</v>
      </c>
      <c r="L188" t="s">
        <v>2500</v>
      </c>
      <c r="M188" t="s">
        <v>2241</v>
      </c>
      <c r="N188" t="s">
        <v>406</v>
      </c>
    </row>
    <row r="189" spans="1:14" x14ac:dyDescent="0.25">
      <c r="A189" t="s">
        <v>753</v>
      </c>
      <c r="B189" t="s">
        <v>197</v>
      </c>
      <c r="C189" t="s">
        <v>198</v>
      </c>
      <c r="D189" t="s">
        <v>1188</v>
      </c>
      <c r="E189" t="s">
        <v>11</v>
      </c>
      <c r="F189" t="s">
        <v>10</v>
      </c>
      <c r="G189" t="s">
        <v>23</v>
      </c>
      <c r="H189" t="s">
        <v>199</v>
      </c>
      <c r="I189" s="2" t="s">
        <v>752</v>
      </c>
      <c r="J189" t="s">
        <v>707</v>
      </c>
      <c r="K189" s="22" t="s">
        <v>835</v>
      </c>
      <c r="M189" t="s">
        <v>2232</v>
      </c>
      <c r="N189" t="s">
        <v>753</v>
      </c>
    </row>
    <row r="190" spans="1:14" x14ac:dyDescent="0.25">
      <c r="A190" s="18" t="s">
        <v>715</v>
      </c>
      <c r="B190" s="18" t="s">
        <v>142</v>
      </c>
      <c r="C190" s="18" t="s">
        <v>574</v>
      </c>
      <c r="D190" s="18" t="s">
        <v>1255</v>
      </c>
      <c r="E190" s="18" t="s">
        <v>375</v>
      </c>
      <c r="F190" s="18" t="s">
        <v>374</v>
      </c>
      <c r="G190" s="18"/>
      <c r="H190" s="18" t="s">
        <v>575</v>
      </c>
      <c r="I190" s="18"/>
      <c r="J190" s="18"/>
      <c r="K190" s="18" t="s">
        <v>707</v>
      </c>
      <c r="M190" t="s">
        <v>2267</v>
      </c>
      <c r="N190" t="s">
        <v>142</v>
      </c>
    </row>
    <row r="191" spans="1:14" x14ac:dyDescent="0.25">
      <c r="A191" s="18" t="s">
        <v>380</v>
      </c>
      <c r="B191" s="18" t="s">
        <v>380</v>
      </c>
      <c r="C191" s="18" t="s">
        <v>381</v>
      </c>
      <c r="D191" s="18" t="s">
        <v>1290</v>
      </c>
      <c r="E191" s="18" t="s">
        <v>375</v>
      </c>
      <c r="F191" s="18" t="s">
        <v>374</v>
      </c>
      <c r="G191" s="18"/>
      <c r="H191" s="18" t="s">
        <v>379</v>
      </c>
      <c r="I191" s="18"/>
      <c r="J191" s="18"/>
      <c r="K191" s="18"/>
    </row>
    <row r="192" spans="1:14" x14ac:dyDescent="0.25">
      <c r="A192" s="18" t="s">
        <v>904</v>
      </c>
      <c r="B192" s="18" t="s">
        <v>398</v>
      </c>
      <c r="C192" s="18" t="s">
        <v>399</v>
      </c>
      <c r="D192" s="18" t="s">
        <v>1387</v>
      </c>
      <c r="E192" s="18" t="s">
        <v>375</v>
      </c>
      <c r="F192" s="18" t="s">
        <v>374</v>
      </c>
      <c r="G192" s="18"/>
      <c r="H192" s="18" t="s">
        <v>397</v>
      </c>
      <c r="I192" s="18"/>
      <c r="J192" s="18"/>
      <c r="K192" s="18"/>
    </row>
    <row r="193" spans="1:14" x14ac:dyDescent="0.25">
      <c r="A193" t="s">
        <v>328</v>
      </c>
      <c r="B193" t="s">
        <v>328</v>
      </c>
      <c r="C193" t="s">
        <v>329</v>
      </c>
      <c r="D193" t="s">
        <v>1362</v>
      </c>
      <c r="E193" t="s">
        <v>233</v>
      </c>
      <c r="F193" t="s">
        <v>10</v>
      </c>
      <c r="G193" t="s">
        <v>274</v>
      </c>
      <c r="H193" t="s">
        <v>64</v>
      </c>
      <c r="I193" t="s">
        <v>1075</v>
      </c>
      <c r="J193" t="s">
        <v>1076</v>
      </c>
      <c r="K193" t="s">
        <v>707</v>
      </c>
    </row>
    <row r="194" spans="1:14" x14ac:dyDescent="0.25">
      <c r="A194" t="s">
        <v>330</v>
      </c>
      <c r="B194" t="s">
        <v>330</v>
      </c>
      <c r="C194" t="s">
        <v>331</v>
      </c>
      <c r="D194" t="s">
        <v>1303</v>
      </c>
      <c r="E194" t="s">
        <v>233</v>
      </c>
      <c r="F194" t="s">
        <v>10</v>
      </c>
      <c r="G194" t="s">
        <v>274</v>
      </c>
      <c r="H194" t="s">
        <v>332</v>
      </c>
      <c r="I194" t="s">
        <v>2334</v>
      </c>
      <c r="J194" t="s">
        <v>707</v>
      </c>
      <c r="K194" t="s">
        <v>707</v>
      </c>
      <c r="M194" t="s">
        <v>709</v>
      </c>
      <c r="N194" t="s">
        <v>709</v>
      </c>
    </row>
    <row r="195" spans="1:14" x14ac:dyDescent="0.25">
      <c r="A195" s="18" t="s">
        <v>851</v>
      </c>
      <c r="B195" s="18" t="s">
        <v>525</v>
      </c>
      <c r="C195" s="18" t="s">
        <v>526</v>
      </c>
      <c r="D195" s="18" t="s">
        <v>1236</v>
      </c>
      <c r="E195" s="18" t="s">
        <v>375</v>
      </c>
      <c r="F195" s="18" t="s">
        <v>374</v>
      </c>
      <c r="G195" s="18"/>
      <c r="H195" s="18" t="s">
        <v>527</v>
      </c>
      <c r="I195" s="18"/>
      <c r="J195" s="18"/>
      <c r="K195" s="18"/>
    </row>
    <row r="196" spans="1:14" x14ac:dyDescent="0.25">
      <c r="A196" s="18" t="s">
        <v>846</v>
      </c>
      <c r="B196" s="18" t="s">
        <v>663</v>
      </c>
      <c r="C196" s="18" t="s">
        <v>664</v>
      </c>
      <c r="D196" s="18" t="s">
        <v>1228</v>
      </c>
      <c r="E196" s="18" t="s">
        <v>375</v>
      </c>
      <c r="F196" s="18" t="s">
        <v>374</v>
      </c>
      <c r="G196" s="18"/>
      <c r="H196" s="18" t="s">
        <v>210</v>
      </c>
      <c r="I196" s="18"/>
      <c r="J196" s="18"/>
      <c r="K196" s="18"/>
    </row>
    <row r="197" spans="1:14" x14ac:dyDescent="0.25">
      <c r="A197" s="18" t="s">
        <v>888</v>
      </c>
      <c r="B197" s="18" t="s">
        <v>681</v>
      </c>
      <c r="C197" s="18" t="s">
        <v>682</v>
      </c>
      <c r="D197" s="18" t="s">
        <v>1337</v>
      </c>
      <c r="E197" s="18" t="s">
        <v>375</v>
      </c>
      <c r="F197" s="18" t="s">
        <v>374</v>
      </c>
      <c r="G197" s="18"/>
      <c r="H197" s="18" t="s">
        <v>683</v>
      </c>
      <c r="I197" s="18"/>
      <c r="J197" s="18"/>
      <c r="K197" s="18"/>
    </row>
    <row r="198" spans="1:14" x14ac:dyDescent="0.25">
      <c r="A198" t="s">
        <v>870</v>
      </c>
      <c r="B198" t="s">
        <v>35</v>
      </c>
      <c r="C198" t="s">
        <v>36</v>
      </c>
      <c r="D198" t="s">
        <v>1301</v>
      </c>
      <c r="E198" t="s">
        <v>11</v>
      </c>
      <c r="F198" t="s">
        <v>10</v>
      </c>
      <c r="G198" t="s">
        <v>19</v>
      </c>
      <c r="H198" t="s">
        <v>16</v>
      </c>
      <c r="I198" t="s">
        <v>1007</v>
      </c>
      <c r="J198" s="22" t="s">
        <v>1008</v>
      </c>
      <c r="K198" s="22" t="s">
        <v>1009</v>
      </c>
      <c r="L198" t="s">
        <v>2500</v>
      </c>
      <c r="M198" t="s">
        <v>2333</v>
      </c>
    </row>
    <row r="199" spans="1:14" x14ac:dyDescent="0.25">
      <c r="A199" t="s">
        <v>39</v>
      </c>
      <c r="B199" t="s">
        <v>39</v>
      </c>
      <c r="C199" t="s">
        <v>45</v>
      </c>
      <c r="D199" t="s">
        <v>1318</v>
      </c>
      <c r="E199" t="s">
        <v>11</v>
      </c>
      <c r="F199" t="s">
        <v>10</v>
      </c>
      <c r="G199" t="s">
        <v>44</v>
      </c>
      <c r="H199" t="s">
        <v>16</v>
      </c>
      <c r="I199" t="s">
        <v>1030</v>
      </c>
      <c r="J199" t="s">
        <v>1026</v>
      </c>
      <c r="K199" t="s">
        <v>1034</v>
      </c>
      <c r="L199" t="s">
        <v>2386</v>
      </c>
      <c r="M199" t="s">
        <v>2389</v>
      </c>
    </row>
    <row r="200" spans="1:14" x14ac:dyDescent="0.25">
      <c r="A200" t="s">
        <v>719</v>
      </c>
      <c r="B200" t="s">
        <v>178</v>
      </c>
      <c r="C200" t="s">
        <v>333</v>
      </c>
      <c r="D200" t="s">
        <v>1426</v>
      </c>
      <c r="E200" t="s">
        <v>233</v>
      </c>
      <c r="F200" t="s">
        <v>10</v>
      </c>
      <c r="G200" t="s">
        <v>44</v>
      </c>
      <c r="H200" t="s">
        <v>334</v>
      </c>
      <c r="I200" t="s">
        <v>1472</v>
      </c>
      <c r="J200" t="s">
        <v>1474</v>
      </c>
      <c r="K200" t="s">
        <v>707</v>
      </c>
    </row>
    <row r="201" spans="1:14" x14ac:dyDescent="0.25">
      <c r="A201" t="s">
        <v>208</v>
      </c>
      <c r="B201" t="s">
        <v>208</v>
      </c>
      <c r="C201" t="s">
        <v>335</v>
      </c>
      <c r="D201" t="s">
        <v>1178</v>
      </c>
      <c r="E201" t="s">
        <v>233</v>
      </c>
      <c r="F201" t="s">
        <v>10</v>
      </c>
      <c r="G201" t="s">
        <v>337</v>
      </c>
      <c r="H201" t="s">
        <v>336</v>
      </c>
      <c r="I201" t="s">
        <v>770</v>
      </c>
      <c r="J201" t="s">
        <v>1532</v>
      </c>
      <c r="K201" t="s">
        <v>707</v>
      </c>
      <c r="L201" t="s">
        <v>707</v>
      </c>
      <c r="M201" t="s">
        <v>2230</v>
      </c>
      <c r="N201" t="s">
        <v>2229</v>
      </c>
    </row>
    <row r="202" spans="1:14" x14ac:dyDescent="0.25">
      <c r="A202" t="s">
        <v>155</v>
      </c>
      <c r="B202" t="s">
        <v>338</v>
      </c>
      <c r="C202" t="s">
        <v>339</v>
      </c>
      <c r="D202" t="s">
        <v>1157</v>
      </c>
      <c r="E202" t="s">
        <v>233</v>
      </c>
      <c r="F202" t="s">
        <v>10</v>
      </c>
      <c r="G202" t="s">
        <v>341</v>
      </c>
      <c r="H202" t="s">
        <v>340</v>
      </c>
      <c r="I202" t="s">
        <v>769</v>
      </c>
      <c r="J202" t="s">
        <v>2401</v>
      </c>
      <c r="K202" t="s">
        <v>707</v>
      </c>
    </row>
    <row r="203" spans="1:14" x14ac:dyDescent="0.25">
      <c r="A203" s="18" t="s">
        <v>884</v>
      </c>
      <c r="B203" s="18" t="s">
        <v>697</v>
      </c>
      <c r="C203" s="18" t="s">
        <v>698</v>
      </c>
      <c r="D203" s="18" t="s">
        <v>1333</v>
      </c>
      <c r="E203" s="18" t="s">
        <v>375</v>
      </c>
      <c r="F203" s="18" t="s">
        <v>374</v>
      </c>
      <c r="G203" s="18"/>
      <c r="H203" s="18" t="s">
        <v>693</v>
      </c>
      <c r="I203" s="18"/>
      <c r="J203" s="18"/>
      <c r="K203" s="18"/>
    </row>
    <row r="204" spans="1:14" x14ac:dyDescent="0.25">
      <c r="A204" s="18"/>
      <c r="B204" s="18" t="s">
        <v>503</v>
      </c>
      <c r="C204" s="18" t="s">
        <v>504</v>
      </c>
      <c r="D204" s="18" t="s">
        <v>1160</v>
      </c>
      <c r="E204" s="18" t="s">
        <v>375</v>
      </c>
      <c r="F204" s="18" t="s">
        <v>374</v>
      </c>
      <c r="G204" s="18"/>
      <c r="H204" s="18" t="s">
        <v>498</v>
      </c>
      <c r="I204" s="18"/>
      <c r="J204" s="18"/>
      <c r="K204" s="18"/>
    </row>
    <row r="205" spans="1:14" x14ac:dyDescent="0.25">
      <c r="A205" s="18" t="s">
        <v>8</v>
      </c>
      <c r="B205" s="18" t="s">
        <v>8</v>
      </c>
      <c r="C205" s="18" t="s">
        <v>463</v>
      </c>
      <c r="D205" s="18" t="s">
        <v>1265</v>
      </c>
      <c r="E205" s="18" t="s">
        <v>375</v>
      </c>
      <c r="F205" s="18" t="s">
        <v>374</v>
      </c>
      <c r="G205" s="18"/>
      <c r="H205" s="18" t="s">
        <v>462</v>
      </c>
      <c r="I205" s="18" t="s">
        <v>722</v>
      </c>
      <c r="J205" s="18" t="s">
        <v>974</v>
      </c>
      <c r="K205" s="18" t="s">
        <v>976</v>
      </c>
    </row>
    <row r="206" spans="1:14" x14ac:dyDescent="0.25">
      <c r="A206" t="s">
        <v>715</v>
      </c>
      <c r="B206" t="s">
        <v>142</v>
      </c>
      <c r="C206" t="s">
        <v>200</v>
      </c>
      <c r="D206" t="s">
        <v>1245</v>
      </c>
      <c r="E206" t="s">
        <v>11</v>
      </c>
      <c r="F206" t="s">
        <v>10</v>
      </c>
      <c r="G206" t="s">
        <v>21</v>
      </c>
      <c r="H206" t="s">
        <v>201</v>
      </c>
      <c r="I206" t="s">
        <v>962</v>
      </c>
      <c r="J206" t="s">
        <v>968</v>
      </c>
      <c r="K206" s="22" t="s">
        <v>969</v>
      </c>
      <c r="M206" t="s">
        <v>2267</v>
      </c>
      <c r="N206" t="s">
        <v>142</v>
      </c>
    </row>
    <row r="207" spans="1:14" x14ac:dyDescent="0.25">
      <c r="A207" s="18" t="s">
        <v>717</v>
      </c>
      <c r="B207" s="18" t="s">
        <v>79</v>
      </c>
      <c r="C207" s="18" t="s">
        <v>411</v>
      </c>
      <c r="D207" s="18" t="s">
        <v>1271</v>
      </c>
      <c r="E207" s="18" t="s">
        <v>375</v>
      </c>
      <c r="F207" s="18" t="s">
        <v>374</v>
      </c>
      <c r="G207" s="18"/>
      <c r="H207" s="18" t="s">
        <v>412</v>
      </c>
      <c r="I207" s="18" t="s">
        <v>980</v>
      </c>
      <c r="J207" s="18" t="s">
        <v>707</v>
      </c>
      <c r="K207" s="18"/>
    </row>
    <row r="208" spans="1:14" x14ac:dyDescent="0.25">
      <c r="A208" s="18" t="s">
        <v>505</v>
      </c>
      <c r="B208" s="18" t="s">
        <v>505</v>
      </c>
      <c r="C208" s="18" t="s">
        <v>506</v>
      </c>
      <c r="D208" s="18" t="s">
        <v>1434</v>
      </c>
      <c r="E208" s="18" t="s">
        <v>375</v>
      </c>
      <c r="F208" s="18" t="s">
        <v>374</v>
      </c>
      <c r="G208" s="18"/>
      <c r="H208" s="18" t="s">
        <v>498</v>
      </c>
      <c r="I208" s="18"/>
      <c r="J208" s="18"/>
      <c r="K208" s="18"/>
    </row>
    <row r="209" spans="1:14" x14ac:dyDescent="0.25">
      <c r="A209" t="s">
        <v>755</v>
      </c>
      <c r="B209" t="s">
        <v>75</v>
      </c>
      <c r="C209" t="s">
        <v>76</v>
      </c>
      <c r="D209" t="s">
        <v>1314</v>
      </c>
      <c r="E209" t="s">
        <v>11</v>
      </c>
      <c r="F209" t="s">
        <v>10</v>
      </c>
      <c r="G209" t="s">
        <v>13</v>
      </c>
      <c r="H209" t="s">
        <v>64</v>
      </c>
      <c r="I209" t="s">
        <v>762</v>
      </c>
      <c r="J209" t="s">
        <v>1021</v>
      </c>
      <c r="K209" t="s">
        <v>1023</v>
      </c>
      <c r="M209" t="s">
        <v>2251</v>
      </c>
    </row>
    <row r="210" spans="1:14" x14ac:dyDescent="0.25">
      <c r="A210" s="18" t="s">
        <v>634</v>
      </c>
      <c r="B210" s="18" t="s">
        <v>634</v>
      </c>
      <c r="C210" s="18" t="s">
        <v>635</v>
      </c>
      <c r="D210" s="18" t="s">
        <v>1416</v>
      </c>
      <c r="E210" s="18" t="s">
        <v>375</v>
      </c>
      <c r="F210" s="18" t="s">
        <v>374</v>
      </c>
      <c r="G210" s="18"/>
      <c r="H210" s="18" t="s">
        <v>627</v>
      </c>
      <c r="I210" s="18"/>
      <c r="J210" s="18"/>
      <c r="K210" s="18"/>
    </row>
    <row r="211" spans="1:14" x14ac:dyDescent="0.25">
      <c r="A211" s="18" t="s">
        <v>632</v>
      </c>
      <c r="B211" s="18" t="s">
        <v>632</v>
      </c>
      <c r="C211" s="18" t="s">
        <v>633</v>
      </c>
      <c r="D211" s="18" t="s">
        <v>1364</v>
      </c>
      <c r="E211" s="18" t="s">
        <v>375</v>
      </c>
      <c r="F211" s="18" t="s">
        <v>374</v>
      </c>
      <c r="G211" s="18"/>
      <c r="H211" s="18" t="s">
        <v>627</v>
      </c>
      <c r="I211" s="18"/>
      <c r="J211" s="18"/>
      <c r="K211" s="18"/>
    </row>
    <row r="212" spans="1:14" x14ac:dyDescent="0.25">
      <c r="A212" s="18" t="s">
        <v>913</v>
      </c>
      <c r="B212" s="18" t="s">
        <v>539</v>
      </c>
      <c r="C212" s="18" t="s">
        <v>540</v>
      </c>
      <c r="D212" s="18" t="s">
        <v>1440</v>
      </c>
      <c r="E212" s="18" t="s">
        <v>375</v>
      </c>
      <c r="F212" s="18" t="s">
        <v>374</v>
      </c>
      <c r="G212" s="18"/>
      <c r="H212" s="18" t="s">
        <v>536</v>
      </c>
      <c r="I212" s="18"/>
      <c r="J212" s="18"/>
      <c r="K212" s="18"/>
    </row>
    <row r="213" spans="1:14" x14ac:dyDescent="0.25">
      <c r="A213" t="s">
        <v>39</v>
      </c>
      <c r="B213" t="s">
        <v>39</v>
      </c>
      <c r="C213" t="s">
        <v>86</v>
      </c>
      <c r="D213" t="s">
        <v>1322</v>
      </c>
      <c r="E213" t="s">
        <v>11</v>
      </c>
      <c r="F213" t="s">
        <v>10</v>
      </c>
      <c r="G213" t="s">
        <v>19</v>
      </c>
      <c r="H213" t="s">
        <v>84</v>
      </c>
      <c r="I213" t="s">
        <v>1030</v>
      </c>
      <c r="J213" t="s">
        <v>1027</v>
      </c>
      <c r="K213" s="22" t="s">
        <v>1037</v>
      </c>
      <c r="M213" t="s">
        <v>2253</v>
      </c>
    </row>
    <row r="214" spans="1:14" x14ac:dyDescent="0.25">
      <c r="A214" t="s">
        <v>798</v>
      </c>
      <c r="B214" t="s">
        <v>70</v>
      </c>
      <c r="C214" t="s">
        <v>71</v>
      </c>
      <c r="D214" t="s">
        <v>1215</v>
      </c>
      <c r="E214" t="s">
        <v>11</v>
      </c>
      <c r="F214" t="s">
        <v>10</v>
      </c>
      <c r="G214" t="s">
        <v>13</v>
      </c>
      <c r="H214" t="s">
        <v>64</v>
      </c>
      <c r="I214" t="s">
        <v>800</v>
      </c>
      <c r="J214" t="s">
        <v>940</v>
      </c>
      <c r="K214" t="s">
        <v>941</v>
      </c>
      <c r="M214" t="s">
        <v>2240</v>
      </c>
      <c r="N214" t="s">
        <v>30</v>
      </c>
    </row>
    <row r="215" spans="1:14" x14ac:dyDescent="0.25">
      <c r="A215" s="18" t="s">
        <v>853</v>
      </c>
      <c r="B215" s="18" t="s">
        <v>636</v>
      </c>
      <c r="C215" s="18" t="s">
        <v>637</v>
      </c>
      <c r="D215" s="18" t="s">
        <v>1239</v>
      </c>
      <c r="E215" s="18" t="s">
        <v>375</v>
      </c>
      <c r="F215" s="18" t="s">
        <v>374</v>
      </c>
      <c r="G215" s="18"/>
      <c r="H215" s="18" t="s">
        <v>627</v>
      </c>
      <c r="I215" s="18"/>
      <c r="J215" s="18"/>
      <c r="K215" s="18"/>
    </row>
    <row r="216" spans="1:14" ht="30" x14ac:dyDescent="0.25">
      <c r="A216" t="s">
        <v>153</v>
      </c>
      <c r="B216" t="s">
        <v>153</v>
      </c>
      <c r="C216" t="s">
        <v>154</v>
      </c>
      <c r="D216" t="s">
        <v>1382</v>
      </c>
      <c r="E216" t="s">
        <v>11</v>
      </c>
      <c r="F216" t="s">
        <v>10</v>
      </c>
      <c r="G216" t="s">
        <v>23</v>
      </c>
      <c r="H216" t="s">
        <v>147</v>
      </c>
      <c r="I216" s="3" t="s">
        <v>1452</v>
      </c>
      <c r="J216" s="30" t="s">
        <v>1451</v>
      </c>
      <c r="K216" s="17" t="s">
        <v>1450</v>
      </c>
      <c r="L216" t="s">
        <v>2500</v>
      </c>
      <c r="M216" t="s">
        <v>2261</v>
      </c>
    </row>
    <row r="217" spans="1:14" x14ac:dyDescent="0.25">
      <c r="A217" s="18" t="s">
        <v>894</v>
      </c>
      <c r="B217" s="18" t="s">
        <v>440</v>
      </c>
      <c r="C217" s="18" t="s">
        <v>441</v>
      </c>
      <c r="D217" s="18" t="s">
        <v>1361</v>
      </c>
      <c r="E217" s="18" t="s">
        <v>375</v>
      </c>
      <c r="F217" s="18" t="s">
        <v>374</v>
      </c>
      <c r="G217" s="18"/>
      <c r="H217" s="18" t="s">
        <v>442</v>
      </c>
      <c r="I217" s="18"/>
      <c r="J217" s="18"/>
      <c r="K217" s="18"/>
    </row>
    <row r="218" spans="1:14" x14ac:dyDescent="0.25">
      <c r="A218" t="s">
        <v>718</v>
      </c>
      <c r="B218" t="s">
        <v>151</v>
      </c>
      <c r="C218" t="s">
        <v>345</v>
      </c>
      <c r="D218" t="s">
        <v>1355</v>
      </c>
      <c r="E218" t="s">
        <v>233</v>
      </c>
      <c r="F218" t="s">
        <v>10</v>
      </c>
      <c r="G218" t="s">
        <v>255</v>
      </c>
      <c r="H218" t="s">
        <v>346</v>
      </c>
      <c r="I218" t="s">
        <v>1055</v>
      </c>
      <c r="J218" t="s">
        <v>1065</v>
      </c>
      <c r="M218" t="s">
        <v>2271</v>
      </c>
    </row>
    <row r="219" spans="1:14" x14ac:dyDescent="0.25">
      <c r="A219" s="18" t="s">
        <v>877</v>
      </c>
      <c r="B219" s="18" t="s">
        <v>600</v>
      </c>
      <c r="C219" s="18" t="s">
        <v>601</v>
      </c>
      <c r="D219" s="18" t="s">
        <v>1313</v>
      </c>
      <c r="E219" s="18" t="s">
        <v>375</v>
      </c>
      <c r="F219" s="18" t="s">
        <v>374</v>
      </c>
      <c r="G219" s="18"/>
      <c r="H219" s="18" t="s">
        <v>602</v>
      </c>
      <c r="I219" s="18"/>
      <c r="J219" s="18"/>
      <c r="K219" s="18"/>
    </row>
    <row r="220" spans="1:14" x14ac:dyDescent="0.25">
      <c r="A220" s="18" t="s">
        <v>878</v>
      </c>
      <c r="B220" s="18" t="s">
        <v>665</v>
      </c>
      <c r="C220" s="18" t="s">
        <v>666</v>
      </c>
      <c r="D220" s="18" t="s">
        <v>1326</v>
      </c>
      <c r="E220" s="18" t="s">
        <v>375</v>
      </c>
      <c r="F220" s="18" t="s">
        <v>374</v>
      </c>
      <c r="G220" s="18"/>
      <c r="H220" s="18" t="s">
        <v>210</v>
      </c>
      <c r="I220" s="18"/>
      <c r="J220" s="18"/>
      <c r="K220" s="18"/>
    </row>
    <row r="221" spans="1:14" x14ac:dyDescent="0.25">
      <c r="A221" s="18" t="s">
        <v>522</v>
      </c>
      <c r="B221" s="18" t="s">
        <v>522</v>
      </c>
      <c r="C221" s="18" t="s">
        <v>523</v>
      </c>
      <c r="D221" s="18" t="s">
        <v>1200</v>
      </c>
      <c r="E221" s="18" t="s">
        <v>375</v>
      </c>
      <c r="F221" s="18" t="s">
        <v>374</v>
      </c>
      <c r="G221" s="18"/>
      <c r="H221" s="18" t="s">
        <v>524</v>
      </c>
      <c r="I221" s="18"/>
      <c r="J221" s="18"/>
      <c r="K221" s="18"/>
    </row>
    <row r="222" spans="1:14" x14ac:dyDescent="0.25">
      <c r="A222" t="s">
        <v>902</v>
      </c>
      <c r="B222" t="s">
        <v>51</v>
      </c>
      <c r="C222" t="s">
        <v>52</v>
      </c>
      <c r="D222" t="s">
        <v>1377</v>
      </c>
      <c r="E222" t="s">
        <v>11</v>
      </c>
      <c r="F222" t="s">
        <v>10</v>
      </c>
      <c r="G222" t="s">
        <v>44</v>
      </c>
      <c r="H222" t="s">
        <v>16</v>
      </c>
      <c r="I222" t="s">
        <v>1089</v>
      </c>
      <c r="J222" t="s">
        <v>1090</v>
      </c>
      <c r="K222" t="s">
        <v>1092</v>
      </c>
      <c r="M222" t="s">
        <v>2390</v>
      </c>
    </row>
    <row r="223" spans="1:14" x14ac:dyDescent="0.25">
      <c r="A223" s="18" t="s">
        <v>670</v>
      </c>
      <c r="B223" s="18" t="s">
        <v>670</v>
      </c>
      <c r="C223" s="18" t="s">
        <v>671</v>
      </c>
      <c r="D223" s="18" t="s">
        <v>1201</v>
      </c>
      <c r="E223" s="18" t="s">
        <v>375</v>
      </c>
      <c r="F223" s="18" t="s">
        <v>374</v>
      </c>
      <c r="G223" s="18"/>
      <c r="H223" s="18" t="s">
        <v>672</v>
      </c>
      <c r="I223" s="18"/>
      <c r="J223" s="18"/>
      <c r="K223" s="18"/>
      <c r="M223" t="s">
        <v>2215</v>
      </c>
    </row>
    <row r="224" spans="1:14" x14ac:dyDescent="0.25">
      <c r="A224" s="18" t="s">
        <v>718</v>
      </c>
      <c r="B224" s="18" t="s">
        <v>151</v>
      </c>
      <c r="C224" s="18" t="s">
        <v>648</v>
      </c>
      <c r="D224" s="18" t="s">
        <v>1357</v>
      </c>
      <c r="E224" s="18" t="s">
        <v>375</v>
      </c>
      <c r="F224" s="18" t="s">
        <v>374</v>
      </c>
      <c r="G224" s="18"/>
      <c r="H224" s="18" t="s">
        <v>649</v>
      </c>
      <c r="I224" s="18" t="s">
        <v>1055</v>
      </c>
      <c r="J224" s="18" t="s">
        <v>1065</v>
      </c>
      <c r="K224" s="18"/>
    </row>
    <row r="225" spans="1:14" x14ac:dyDescent="0.25">
      <c r="A225" s="18" t="s">
        <v>101</v>
      </c>
      <c r="B225" s="18" t="s">
        <v>101</v>
      </c>
      <c r="C225" s="18" t="s">
        <v>416</v>
      </c>
      <c r="D225" s="18" t="s">
        <v>1406</v>
      </c>
      <c r="E225" s="18" t="s">
        <v>375</v>
      </c>
      <c r="F225" s="18" t="s">
        <v>374</v>
      </c>
      <c r="G225" s="18"/>
      <c r="H225" s="18" t="s">
        <v>417</v>
      </c>
      <c r="I225" s="18"/>
      <c r="J225" s="19" t="s">
        <v>711</v>
      </c>
      <c r="K225" s="18" t="s">
        <v>707</v>
      </c>
    </row>
    <row r="226" spans="1:14" x14ac:dyDescent="0.25">
      <c r="A226" t="s">
        <v>761</v>
      </c>
      <c r="B226" t="s">
        <v>165</v>
      </c>
      <c r="C226" t="s">
        <v>166</v>
      </c>
      <c r="D226" t="s">
        <v>1392</v>
      </c>
      <c r="E226" t="s">
        <v>11</v>
      </c>
      <c r="F226" t="s">
        <v>10</v>
      </c>
      <c r="G226" t="s">
        <v>19</v>
      </c>
      <c r="H226" t="s">
        <v>157</v>
      </c>
      <c r="I226" s="22" t="s">
        <v>767</v>
      </c>
      <c r="J226" s="22" t="s">
        <v>2361</v>
      </c>
      <c r="K226" s="22" t="s">
        <v>1459</v>
      </c>
      <c r="M226" t="s">
        <v>2391</v>
      </c>
    </row>
    <row r="227" spans="1:14" x14ac:dyDescent="0.25">
      <c r="A227" s="18" t="s">
        <v>761</v>
      </c>
      <c r="B227" s="18" t="s">
        <v>165</v>
      </c>
      <c r="C227" s="18" t="s">
        <v>541</v>
      </c>
      <c r="D227" s="18" t="s">
        <v>1393</v>
      </c>
      <c r="E227" s="18" t="s">
        <v>375</v>
      </c>
      <c r="F227" s="18" t="s">
        <v>374</v>
      </c>
      <c r="G227" s="18"/>
      <c r="H227" s="18" t="s">
        <v>542</v>
      </c>
      <c r="I227" s="18" t="s">
        <v>767</v>
      </c>
      <c r="J227" s="18"/>
      <c r="K227" s="18"/>
    </row>
    <row r="228" spans="1:14" x14ac:dyDescent="0.25">
      <c r="A228" t="s">
        <v>902</v>
      </c>
      <c r="B228" t="s">
        <v>51</v>
      </c>
      <c r="C228" t="s">
        <v>53</v>
      </c>
      <c r="D228" t="s">
        <v>1378</v>
      </c>
      <c r="E228" t="s">
        <v>11</v>
      </c>
      <c r="F228" t="s">
        <v>10</v>
      </c>
      <c r="G228" t="s">
        <v>21</v>
      </c>
      <c r="H228" t="s">
        <v>16</v>
      </c>
      <c r="I228" t="s">
        <v>1089</v>
      </c>
      <c r="J228" t="s">
        <v>1090</v>
      </c>
      <c r="K228" t="s">
        <v>1092</v>
      </c>
      <c r="M228" t="s">
        <v>2390</v>
      </c>
    </row>
    <row r="229" spans="1:14" x14ac:dyDescent="0.25">
      <c r="A229" t="s">
        <v>714</v>
      </c>
      <c r="B229" t="s">
        <v>350</v>
      </c>
      <c r="C229" t="s">
        <v>351</v>
      </c>
      <c r="D229" t="s">
        <v>1241</v>
      </c>
      <c r="E229" t="s">
        <v>233</v>
      </c>
      <c r="F229" t="s">
        <v>10</v>
      </c>
      <c r="G229" t="s">
        <v>2530</v>
      </c>
      <c r="H229" t="s">
        <v>1544</v>
      </c>
      <c r="I229" t="s">
        <v>951</v>
      </c>
      <c r="J229" t="s">
        <v>707</v>
      </c>
      <c r="K229" t="s">
        <v>707</v>
      </c>
    </row>
    <row r="230" spans="1:14" x14ac:dyDescent="0.25">
      <c r="A230" s="18" t="s">
        <v>899</v>
      </c>
      <c r="B230" s="18" t="s">
        <v>684</v>
      </c>
      <c r="C230" s="18" t="s">
        <v>685</v>
      </c>
      <c r="D230" s="18" t="s">
        <v>1370</v>
      </c>
      <c r="E230" s="18" t="s">
        <v>375</v>
      </c>
      <c r="F230" s="18" t="s">
        <v>374</v>
      </c>
      <c r="G230" s="18"/>
      <c r="H230" s="18" t="s">
        <v>683</v>
      </c>
      <c r="I230" s="18"/>
      <c r="J230" s="18"/>
      <c r="K230" s="18"/>
    </row>
    <row r="231" spans="1:14" x14ac:dyDescent="0.25">
      <c r="A231" s="18" t="s">
        <v>741</v>
      </c>
      <c r="B231" s="18" t="s">
        <v>516</v>
      </c>
      <c r="C231" s="18" t="s">
        <v>517</v>
      </c>
      <c r="D231" s="18" t="s">
        <v>1163</v>
      </c>
      <c r="E231" s="18" t="s">
        <v>375</v>
      </c>
      <c r="F231" s="18" t="s">
        <v>374</v>
      </c>
      <c r="G231" s="18"/>
      <c r="H231" s="18" t="s">
        <v>509</v>
      </c>
      <c r="I231" s="18" t="s">
        <v>742</v>
      </c>
      <c r="J231" s="18"/>
      <c r="K231" s="18"/>
    </row>
    <row r="232" spans="1:14" x14ac:dyDescent="0.25">
      <c r="A232" s="18" t="s">
        <v>518</v>
      </c>
      <c r="B232" s="18" t="s">
        <v>518</v>
      </c>
      <c r="C232" s="18" t="s">
        <v>519</v>
      </c>
      <c r="D232" s="18" t="s">
        <v>1259</v>
      </c>
      <c r="E232" s="18" t="s">
        <v>375</v>
      </c>
      <c r="F232" s="18" t="s">
        <v>374</v>
      </c>
      <c r="G232" s="18"/>
      <c r="H232" s="18" t="s">
        <v>509</v>
      </c>
      <c r="I232" s="18"/>
      <c r="J232" s="18"/>
      <c r="K232" s="18"/>
    </row>
    <row r="233" spans="1:14" x14ac:dyDescent="0.25">
      <c r="A233" s="18" t="s">
        <v>867</v>
      </c>
      <c r="B233" s="18" t="s">
        <v>571</v>
      </c>
      <c r="C233" s="18" t="s">
        <v>587</v>
      </c>
      <c r="D233" s="18" t="s">
        <v>1296</v>
      </c>
      <c r="E233" s="18" t="s">
        <v>375</v>
      </c>
      <c r="F233" s="18" t="s">
        <v>374</v>
      </c>
      <c r="G233" s="18"/>
      <c r="H233" s="18" t="s">
        <v>588</v>
      </c>
      <c r="I233" s="18"/>
      <c r="J233" s="18"/>
      <c r="K233" s="18"/>
    </row>
    <row r="234" spans="1:14" x14ac:dyDescent="0.25">
      <c r="A234" s="18" t="s">
        <v>533</v>
      </c>
      <c r="B234" s="18" t="s">
        <v>533</v>
      </c>
      <c r="C234" s="18" t="s">
        <v>534</v>
      </c>
      <c r="D234" s="18" t="s">
        <v>1432</v>
      </c>
      <c r="E234" s="18" t="s">
        <v>375</v>
      </c>
      <c r="F234" s="18" t="s">
        <v>374</v>
      </c>
      <c r="G234" s="18"/>
      <c r="H234" s="18" t="s">
        <v>535</v>
      </c>
      <c r="I234" s="18"/>
      <c r="J234" s="18"/>
      <c r="K234" s="18"/>
    </row>
    <row r="235" spans="1:14" x14ac:dyDescent="0.25">
      <c r="A235" s="18" t="s">
        <v>881</v>
      </c>
      <c r="B235" s="18" t="s">
        <v>657</v>
      </c>
      <c r="C235" s="18" t="s">
        <v>658</v>
      </c>
      <c r="D235" s="18" t="s">
        <v>1329</v>
      </c>
      <c r="E235" s="18" t="s">
        <v>375</v>
      </c>
      <c r="F235" s="18" t="s">
        <v>374</v>
      </c>
      <c r="G235" s="18"/>
      <c r="H235" s="18" t="s">
        <v>656</v>
      </c>
      <c r="I235" s="18"/>
      <c r="J235" s="18"/>
      <c r="K235" s="18"/>
    </row>
    <row r="236" spans="1:14" x14ac:dyDescent="0.25">
      <c r="A236" t="s">
        <v>774</v>
      </c>
      <c r="B236" t="s">
        <v>62</v>
      </c>
      <c r="C236" t="s">
        <v>63</v>
      </c>
      <c r="D236" t="s">
        <v>1122</v>
      </c>
      <c r="E236" t="s">
        <v>11</v>
      </c>
      <c r="F236" t="s">
        <v>10</v>
      </c>
      <c r="G236" t="s">
        <v>21</v>
      </c>
      <c r="H236" t="s">
        <v>64</v>
      </c>
      <c r="I236" s="22" t="s">
        <v>775</v>
      </c>
      <c r="J236" t="s">
        <v>2014</v>
      </c>
      <c r="K236" t="s">
        <v>2015</v>
      </c>
      <c r="M236" t="s">
        <v>2211</v>
      </c>
      <c r="N236" t="s">
        <v>774</v>
      </c>
    </row>
    <row r="237" spans="1:14" x14ac:dyDescent="0.25">
      <c r="A237" t="s">
        <v>354</v>
      </c>
      <c r="B237" t="s">
        <v>354</v>
      </c>
      <c r="C237" t="s">
        <v>355</v>
      </c>
      <c r="D237" t="s">
        <v>1389</v>
      </c>
      <c r="E237" t="s">
        <v>233</v>
      </c>
      <c r="F237" t="s">
        <v>10</v>
      </c>
      <c r="G237" t="s">
        <v>255</v>
      </c>
      <c r="H237" t="s">
        <v>244</v>
      </c>
      <c r="I237" t="s">
        <v>1104</v>
      </c>
      <c r="J237" t="s">
        <v>1103</v>
      </c>
      <c r="K237" t="s">
        <v>707</v>
      </c>
      <c r="M237" t="s">
        <v>2358</v>
      </c>
    </row>
    <row r="238" spans="1:14" x14ac:dyDescent="0.25">
      <c r="A238" t="s">
        <v>717</v>
      </c>
      <c r="B238" t="s">
        <v>79</v>
      </c>
      <c r="C238" t="s">
        <v>87</v>
      </c>
      <c r="D238" t="s">
        <v>1267</v>
      </c>
      <c r="E238" t="s">
        <v>11</v>
      </c>
      <c r="F238" t="s">
        <v>10</v>
      </c>
      <c r="G238" t="s">
        <v>44</v>
      </c>
      <c r="H238" t="s">
        <v>88</v>
      </c>
      <c r="I238" t="s">
        <v>980</v>
      </c>
      <c r="J238" t="s">
        <v>707</v>
      </c>
      <c r="K238" t="s">
        <v>983</v>
      </c>
      <c r="M238" t="s">
        <v>2382</v>
      </c>
    </row>
    <row r="239" spans="1:14" x14ac:dyDescent="0.25">
      <c r="A239" s="18" t="s">
        <v>907</v>
      </c>
      <c r="B239" s="18" t="s">
        <v>640</v>
      </c>
      <c r="C239" s="18" t="s">
        <v>641</v>
      </c>
      <c r="D239" s="18" t="s">
        <v>1409</v>
      </c>
      <c r="E239" s="18" t="s">
        <v>375</v>
      </c>
      <c r="F239" s="18" t="s">
        <v>374</v>
      </c>
      <c r="G239" s="18"/>
      <c r="H239" s="18" t="s">
        <v>642</v>
      </c>
      <c r="I239" s="18"/>
      <c r="J239" s="18"/>
      <c r="K239" s="18"/>
    </row>
    <row r="240" spans="1:14" x14ac:dyDescent="0.25">
      <c r="A240" t="s">
        <v>715</v>
      </c>
      <c r="B240" t="s">
        <v>142</v>
      </c>
      <c r="C240" t="s">
        <v>188</v>
      </c>
      <c r="D240" t="s">
        <v>1248</v>
      </c>
      <c r="E240" t="s">
        <v>11</v>
      </c>
      <c r="F240" t="s">
        <v>10</v>
      </c>
      <c r="G240" t="s">
        <v>44</v>
      </c>
      <c r="H240" t="s">
        <v>189</v>
      </c>
      <c r="I240" t="s">
        <v>962</v>
      </c>
      <c r="J240" t="s">
        <v>963</v>
      </c>
      <c r="K240" t="s">
        <v>964</v>
      </c>
      <c r="M240" t="s">
        <v>2267</v>
      </c>
      <c r="N240" t="s">
        <v>142</v>
      </c>
    </row>
    <row r="241" spans="1:14" x14ac:dyDescent="0.25">
      <c r="A241" t="s">
        <v>715</v>
      </c>
      <c r="B241" t="s">
        <v>142</v>
      </c>
      <c r="C241" t="s">
        <v>140</v>
      </c>
      <c r="D241" t="s">
        <v>1254</v>
      </c>
      <c r="E241" t="s">
        <v>233</v>
      </c>
      <c r="F241" t="s">
        <v>10</v>
      </c>
      <c r="G241" t="s">
        <v>357</v>
      </c>
      <c r="H241" t="s">
        <v>356</v>
      </c>
      <c r="I241" t="s">
        <v>962</v>
      </c>
      <c r="J241" t="s">
        <v>963</v>
      </c>
      <c r="K241" s="22" t="s">
        <v>964</v>
      </c>
      <c r="M241" t="s">
        <v>2267</v>
      </c>
      <c r="N241" t="s">
        <v>142</v>
      </c>
    </row>
    <row r="242" spans="1:14" x14ac:dyDescent="0.25">
      <c r="A242" t="s">
        <v>900</v>
      </c>
      <c r="B242" t="s">
        <v>49</v>
      </c>
      <c r="C242" t="s">
        <v>50</v>
      </c>
      <c r="D242" t="s">
        <v>1372</v>
      </c>
      <c r="E242" t="s">
        <v>11</v>
      </c>
      <c r="F242" t="s">
        <v>10</v>
      </c>
      <c r="G242" t="s">
        <v>13</v>
      </c>
      <c r="H242" t="s">
        <v>16</v>
      </c>
      <c r="I242" t="s">
        <v>1084</v>
      </c>
      <c r="J242" t="s">
        <v>1086</v>
      </c>
      <c r="K242" t="s">
        <v>1083</v>
      </c>
      <c r="L242" t="s">
        <v>2500</v>
      </c>
      <c r="M242" t="s">
        <v>2258</v>
      </c>
    </row>
    <row r="243" spans="1:14" x14ac:dyDescent="0.25">
      <c r="A243" s="18" t="s">
        <v>674</v>
      </c>
      <c r="B243" s="18" t="s">
        <v>674</v>
      </c>
      <c r="C243" s="18" t="s">
        <v>675</v>
      </c>
      <c r="D243" s="18" t="s">
        <v>1436</v>
      </c>
      <c r="E243" s="18" t="s">
        <v>375</v>
      </c>
      <c r="F243" s="18" t="s">
        <v>374</v>
      </c>
      <c r="G243" s="18"/>
      <c r="H243" s="18" t="s">
        <v>673</v>
      </c>
      <c r="I243" s="18"/>
      <c r="J243" s="18"/>
      <c r="K243" s="18"/>
    </row>
    <row r="244" spans="1:14" x14ac:dyDescent="0.25">
      <c r="A244" s="18" t="s">
        <v>717</v>
      </c>
      <c r="B244" s="18" t="s">
        <v>79</v>
      </c>
      <c r="C244" s="18" t="s">
        <v>465</v>
      </c>
      <c r="D244" s="18" t="s">
        <v>1273</v>
      </c>
      <c r="E244" s="18" t="s">
        <v>375</v>
      </c>
      <c r="F244" s="18" t="s">
        <v>374</v>
      </c>
      <c r="G244" s="18"/>
      <c r="H244" s="18" t="s">
        <v>90</v>
      </c>
      <c r="I244" s="18" t="s">
        <v>980</v>
      </c>
      <c r="J244" s="18" t="s">
        <v>707</v>
      </c>
      <c r="K244" s="18"/>
    </row>
    <row r="245" spans="1:14" x14ac:dyDescent="0.25">
      <c r="A245" t="s">
        <v>901</v>
      </c>
      <c r="B245" t="s">
        <v>119</v>
      </c>
      <c r="C245" t="s">
        <v>120</v>
      </c>
      <c r="D245" t="s">
        <v>1373</v>
      </c>
      <c r="E245" t="s">
        <v>11</v>
      </c>
      <c r="F245" t="s">
        <v>10</v>
      </c>
      <c r="G245" t="s">
        <v>122</v>
      </c>
      <c r="H245" t="s">
        <v>121</v>
      </c>
      <c r="I245" t="s">
        <v>1087</v>
      </c>
      <c r="J245" s="22" t="s">
        <v>1087</v>
      </c>
      <c r="K245" t="s">
        <v>1088</v>
      </c>
      <c r="M245" t="s">
        <v>2356</v>
      </c>
      <c r="N245" t="s">
        <v>2355</v>
      </c>
    </row>
    <row r="246" spans="1:14" x14ac:dyDescent="0.25">
      <c r="A246" t="s">
        <v>764</v>
      </c>
      <c r="B246" t="s">
        <v>358</v>
      </c>
      <c r="C246" t="s">
        <v>359</v>
      </c>
      <c r="D246" t="s">
        <v>1371</v>
      </c>
      <c r="E246" t="s">
        <v>233</v>
      </c>
      <c r="F246" t="s">
        <v>10</v>
      </c>
      <c r="G246" t="s">
        <v>274</v>
      </c>
      <c r="H246" t="s">
        <v>360</v>
      </c>
      <c r="I246" s="3" t="s">
        <v>1082</v>
      </c>
      <c r="J246" s="30" t="s">
        <v>2347</v>
      </c>
      <c r="K246" t="s">
        <v>707</v>
      </c>
      <c r="M246" t="s">
        <v>2348</v>
      </c>
    </row>
    <row r="247" spans="1:14" x14ac:dyDescent="0.25">
      <c r="A247" s="18"/>
      <c r="B247" s="18" t="s">
        <v>418</v>
      </c>
      <c r="C247" s="18" t="s">
        <v>419</v>
      </c>
      <c r="D247" s="18" t="s">
        <v>1182</v>
      </c>
      <c r="E247" s="18" t="s">
        <v>375</v>
      </c>
      <c r="F247" s="18" t="s">
        <v>374</v>
      </c>
      <c r="G247" s="18"/>
      <c r="H247" s="18" t="s">
        <v>420</v>
      </c>
      <c r="I247" s="18"/>
      <c r="J247" s="18"/>
      <c r="K247" s="18"/>
    </row>
    <row r="248" spans="1:14" x14ac:dyDescent="0.25">
      <c r="A248" t="s">
        <v>719</v>
      </c>
      <c r="B248" t="s">
        <v>178</v>
      </c>
      <c r="C248" t="s">
        <v>179</v>
      </c>
      <c r="D248" t="s">
        <v>1425</v>
      </c>
      <c r="E248" t="s">
        <v>11</v>
      </c>
      <c r="F248" t="s">
        <v>10</v>
      </c>
      <c r="G248" t="s">
        <v>292</v>
      </c>
      <c r="H248" t="s">
        <v>180</v>
      </c>
      <c r="I248" t="s">
        <v>1472</v>
      </c>
      <c r="J248" t="s">
        <v>1478</v>
      </c>
      <c r="K248" t="s">
        <v>1477</v>
      </c>
      <c r="L248" t="s">
        <v>2393</v>
      </c>
      <c r="M248" t="s">
        <v>2392</v>
      </c>
    </row>
    <row r="249" spans="1:14" x14ac:dyDescent="0.25">
      <c r="A249" s="18" t="s">
        <v>838</v>
      </c>
      <c r="B249" s="18" t="s">
        <v>606</v>
      </c>
      <c r="C249" s="18" t="s">
        <v>607</v>
      </c>
      <c r="D249" s="18" t="s">
        <v>1194</v>
      </c>
      <c r="E249" s="18" t="s">
        <v>375</v>
      </c>
      <c r="F249" s="18" t="s">
        <v>374</v>
      </c>
      <c r="G249" s="18"/>
      <c r="H249" s="18" t="s">
        <v>608</v>
      </c>
      <c r="I249" s="18"/>
      <c r="J249" s="18"/>
      <c r="K249" s="18"/>
    </row>
    <row r="250" spans="1:14" x14ac:dyDescent="0.25">
      <c r="A250" t="s">
        <v>756</v>
      </c>
      <c r="B250" t="s">
        <v>46</v>
      </c>
      <c r="C250" t="s">
        <v>48</v>
      </c>
      <c r="D250" t="s">
        <v>1340</v>
      </c>
      <c r="E250" t="s">
        <v>11</v>
      </c>
      <c r="F250" t="s">
        <v>10</v>
      </c>
      <c r="G250" t="s">
        <v>44</v>
      </c>
      <c r="H250" t="s">
        <v>16</v>
      </c>
      <c r="I250" t="s">
        <v>763</v>
      </c>
      <c r="J250" s="2" t="s">
        <v>1044</v>
      </c>
      <c r="K250" s="2" t="s">
        <v>1046</v>
      </c>
      <c r="L250" t="s">
        <v>2256</v>
      </c>
      <c r="M250" t="s">
        <v>2257</v>
      </c>
    </row>
    <row r="251" spans="1:14" x14ac:dyDescent="0.25">
      <c r="A251" t="s">
        <v>719</v>
      </c>
      <c r="B251" t="s">
        <v>178</v>
      </c>
      <c r="C251" t="s">
        <v>186</v>
      </c>
      <c r="D251" t="s">
        <v>1424</v>
      </c>
      <c r="E251" t="s">
        <v>11</v>
      </c>
      <c r="F251" t="s">
        <v>10</v>
      </c>
      <c r="G251" t="s">
        <v>274</v>
      </c>
      <c r="H251" t="s">
        <v>187</v>
      </c>
      <c r="I251" t="s">
        <v>1472</v>
      </c>
      <c r="K251" t="s">
        <v>1479</v>
      </c>
      <c r="L251" t="s">
        <v>2393</v>
      </c>
      <c r="M251" t="s">
        <v>2392</v>
      </c>
    </row>
    <row r="252" spans="1:14" x14ac:dyDescent="0.25">
      <c r="A252" s="18" t="s">
        <v>717</v>
      </c>
      <c r="B252" s="18" t="s">
        <v>79</v>
      </c>
      <c r="C252" s="18" t="s">
        <v>466</v>
      </c>
      <c r="D252" s="18" t="s">
        <v>1274</v>
      </c>
      <c r="E252" s="18" t="s">
        <v>375</v>
      </c>
      <c r="F252" s="18" t="s">
        <v>374</v>
      </c>
      <c r="G252" s="18"/>
      <c r="H252" s="18" t="s">
        <v>90</v>
      </c>
      <c r="I252" s="18" t="s">
        <v>980</v>
      </c>
      <c r="J252" s="18" t="s">
        <v>707</v>
      </c>
      <c r="K252" s="18"/>
    </row>
    <row r="253" spans="1:14" x14ac:dyDescent="0.25">
      <c r="A253" t="s">
        <v>101</v>
      </c>
      <c r="B253" t="s">
        <v>101</v>
      </c>
      <c r="C253" t="s">
        <v>361</v>
      </c>
      <c r="D253" t="s">
        <v>1405</v>
      </c>
      <c r="E253" t="s">
        <v>233</v>
      </c>
      <c r="F253" t="s">
        <v>10</v>
      </c>
      <c r="G253" t="s">
        <v>292</v>
      </c>
      <c r="H253" t="s">
        <v>362</v>
      </c>
      <c r="I253" t="s">
        <v>1466</v>
      </c>
    </row>
    <row r="254" spans="1:14" x14ac:dyDescent="0.25">
      <c r="A254" s="18" t="s">
        <v>433</v>
      </c>
      <c r="B254" s="18" t="s">
        <v>433</v>
      </c>
      <c r="C254" s="18" t="s">
        <v>434</v>
      </c>
      <c r="D254" s="18" t="s">
        <v>1415</v>
      </c>
      <c r="E254" s="18" t="s">
        <v>375</v>
      </c>
      <c r="F254" s="18" t="s">
        <v>374</v>
      </c>
      <c r="G254" s="18"/>
      <c r="H254" s="18" t="s">
        <v>84</v>
      </c>
      <c r="I254" s="18"/>
      <c r="J254" s="18"/>
      <c r="K254" s="18"/>
    </row>
    <row r="255" spans="1:14" x14ac:dyDescent="0.25">
      <c r="A255" s="18" t="s">
        <v>858</v>
      </c>
      <c r="B255" s="18" t="s">
        <v>561</v>
      </c>
      <c r="C255" s="18" t="s">
        <v>562</v>
      </c>
      <c r="D255" s="18" t="s">
        <v>1262</v>
      </c>
      <c r="E255" s="18" t="s">
        <v>375</v>
      </c>
      <c r="F255" s="18" t="s">
        <v>374</v>
      </c>
      <c r="G255" s="18"/>
      <c r="H255" s="18" t="s">
        <v>563</v>
      </c>
      <c r="I255" s="18"/>
      <c r="J255" s="18"/>
      <c r="K255" s="18"/>
    </row>
    <row r="256" spans="1:14" x14ac:dyDescent="0.25">
      <c r="A256" s="18" t="s">
        <v>14</v>
      </c>
      <c r="B256" s="18" t="s">
        <v>14</v>
      </c>
      <c r="C256" s="18" t="s">
        <v>432</v>
      </c>
      <c r="D256" s="18" t="s">
        <v>1133</v>
      </c>
      <c r="E256" s="18" t="s">
        <v>375</v>
      </c>
      <c r="F256" s="18" t="s">
        <v>374</v>
      </c>
      <c r="G256" s="18"/>
      <c r="H256" s="18" t="s">
        <v>81</v>
      </c>
      <c r="I256" s="18" t="s">
        <v>768</v>
      </c>
      <c r="J256" s="18" t="s">
        <v>1512</v>
      </c>
      <c r="K256" s="18"/>
    </row>
    <row r="257" spans="1:14" x14ac:dyDescent="0.25">
      <c r="A257" t="s">
        <v>718</v>
      </c>
      <c r="B257" t="s">
        <v>246</v>
      </c>
      <c r="C257" t="s">
        <v>363</v>
      </c>
      <c r="D257" t="s">
        <v>1348</v>
      </c>
      <c r="E257" t="s">
        <v>233</v>
      </c>
      <c r="F257" t="s">
        <v>10</v>
      </c>
      <c r="G257" t="s">
        <v>274</v>
      </c>
      <c r="H257" t="s">
        <v>364</v>
      </c>
      <c r="I257" t="s">
        <v>1055</v>
      </c>
      <c r="J257" t="s">
        <v>1062</v>
      </c>
      <c r="K257" t="s">
        <v>707</v>
      </c>
      <c r="M257" t="s">
        <v>2271</v>
      </c>
    </row>
    <row r="258" spans="1:14" x14ac:dyDescent="0.25">
      <c r="A258" s="18" t="s">
        <v>725</v>
      </c>
      <c r="B258" s="18" t="s">
        <v>138</v>
      </c>
      <c r="C258" s="18" t="s">
        <v>576</v>
      </c>
      <c r="D258" s="18" t="s">
        <v>1286</v>
      </c>
      <c r="E258" s="18" t="s">
        <v>375</v>
      </c>
      <c r="F258" s="18" t="s">
        <v>374</v>
      </c>
      <c r="G258" s="18"/>
      <c r="H258" s="18" t="s">
        <v>577</v>
      </c>
      <c r="I258" s="18" t="s">
        <v>724</v>
      </c>
      <c r="J258" s="18"/>
      <c r="K258" s="18"/>
      <c r="M258" t="s">
        <v>2249</v>
      </c>
    </row>
    <row r="259" spans="1:14" x14ac:dyDescent="0.25">
      <c r="A259" t="s">
        <v>719</v>
      </c>
      <c r="B259" t="s">
        <v>181</v>
      </c>
      <c r="C259" t="s">
        <v>182</v>
      </c>
      <c r="D259" t="s">
        <v>1428</v>
      </c>
      <c r="E259" t="s">
        <v>11</v>
      </c>
      <c r="F259" t="s">
        <v>10</v>
      </c>
      <c r="G259" t="s">
        <v>274</v>
      </c>
      <c r="H259" t="s">
        <v>183</v>
      </c>
      <c r="I259" t="s">
        <v>1472</v>
      </c>
      <c r="J259" t="s">
        <v>1482</v>
      </c>
      <c r="K259" s="22" t="s">
        <v>1483</v>
      </c>
      <c r="L259" t="s">
        <v>2393</v>
      </c>
      <c r="M259" t="s">
        <v>2392</v>
      </c>
    </row>
    <row r="260" spans="1:14" x14ac:dyDescent="0.25">
      <c r="A260" s="18" t="s">
        <v>842</v>
      </c>
      <c r="B260" s="18" t="s">
        <v>667</v>
      </c>
      <c r="C260" s="18" t="s">
        <v>668</v>
      </c>
      <c r="D260" s="18" t="s">
        <v>1206</v>
      </c>
      <c r="E260" s="18" t="s">
        <v>375</v>
      </c>
      <c r="F260" s="18" t="s">
        <v>374</v>
      </c>
      <c r="G260" s="18"/>
      <c r="H260" s="18" t="s">
        <v>210</v>
      </c>
      <c r="I260" s="18"/>
      <c r="J260" s="18"/>
      <c r="K260" s="18"/>
    </row>
    <row r="261" spans="1:14" x14ac:dyDescent="0.25">
      <c r="A261" t="s">
        <v>909</v>
      </c>
      <c r="B261" t="s">
        <v>367</v>
      </c>
      <c r="C261" t="s">
        <v>368</v>
      </c>
      <c r="D261" t="s">
        <v>1418</v>
      </c>
      <c r="E261" t="s">
        <v>233</v>
      </c>
      <c r="F261" t="s">
        <v>10</v>
      </c>
      <c r="G261" t="s">
        <v>255</v>
      </c>
      <c r="H261" t="s">
        <v>244</v>
      </c>
      <c r="I261" t="s">
        <v>1110</v>
      </c>
      <c r="J261" t="s">
        <v>2371</v>
      </c>
      <c r="K261" t="s">
        <v>707</v>
      </c>
    </row>
    <row r="262" spans="1:14" x14ac:dyDescent="0.25">
      <c r="A262" t="s">
        <v>73</v>
      </c>
      <c r="B262" t="s">
        <v>73</v>
      </c>
      <c r="C262" t="s">
        <v>74</v>
      </c>
      <c r="D262" t="s">
        <v>1276</v>
      </c>
      <c r="E262" t="s">
        <v>11</v>
      </c>
      <c r="F262" t="s">
        <v>10</v>
      </c>
      <c r="G262" t="s">
        <v>13</v>
      </c>
      <c r="H262" t="s">
        <v>64</v>
      </c>
      <c r="I262" s="2" t="s">
        <v>759</v>
      </c>
      <c r="J262" s="22" t="s">
        <v>985</v>
      </c>
      <c r="K262" s="22" t="s">
        <v>986</v>
      </c>
      <c r="M262" t="s">
        <v>2243</v>
      </c>
      <c r="N262" t="s">
        <v>73</v>
      </c>
    </row>
    <row r="263" spans="1:14" x14ac:dyDescent="0.25">
      <c r="A263" s="18" t="s">
        <v>876</v>
      </c>
      <c r="B263" s="18" t="s">
        <v>520</v>
      </c>
      <c r="C263" s="18" t="s">
        <v>521</v>
      </c>
      <c r="D263" s="18" t="s">
        <v>1311</v>
      </c>
      <c r="E263" s="18" t="s">
        <v>375</v>
      </c>
      <c r="F263" s="18" t="s">
        <v>374</v>
      </c>
      <c r="G263" s="18"/>
      <c r="H263" s="18" t="s">
        <v>509</v>
      </c>
      <c r="I263" s="18"/>
      <c r="J263" s="18"/>
      <c r="K263" s="18"/>
    </row>
    <row r="264" spans="1:14" x14ac:dyDescent="0.25">
      <c r="A264" s="18" t="s">
        <v>842</v>
      </c>
      <c r="B264" s="18" t="s">
        <v>667</v>
      </c>
      <c r="C264" s="18" t="s">
        <v>669</v>
      </c>
      <c r="D264" s="18" t="s">
        <v>1207</v>
      </c>
      <c r="E264" s="18" t="s">
        <v>375</v>
      </c>
      <c r="F264" s="18" t="s">
        <v>374</v>
      </c>
      <c r="G264" s="18"/>
      <c r="H264" s="18" t="s">
        <v>210</v>
      </c>
      <c r="I264" s="18"/>
      <c r="J264" s="18"/>
      <c r="K264" s="18"/>
    </row>
    <row r="265" spans="1:14" x14ac:dyDescent="0.25">
      <c r="A265" t="s">
        <v>714</v>
      </c>
      <c r="B265" t="s">
        <v>350</v>
      </c>
      <c r="C265" t="s">
        <v>370</v>
      </c>
      <c r="D265" t="s">
        <v>1240</v>
      </c>
      <c r="E265" t="s">
        <v>233</v>
      </c>
      <c r="F265" t="s">
        <v>10</v>
      </c>
      <c r="G265" t="s">
        <v>2530</v>
      </c>
      <c r="H265" t="s">
        <v>1544</v>
      </c>
      <c r="I265" t="s">
        <v>951</v>
      </c>
      <c r="J265" t="s">
        <v>2305</v>
      </c>
      <c r="K265" t="s">
        <v>707</v>
      </c>
    </row>
    <row r="266" spans="1:14" x14ac:dyDescent="0.25">
      <c r="A266" t="s">
        <v>714</v>
      </c>
      <c r="B266" t="s">
        <v>281</v>
      </c>
      <c r="C266" t="s">
        <v>371</v>
      </c>
      <c r="D266" t="s">
        <v>1242</v>
      </c>
      <c r="E266" t="s">
        <v>233</v>
      </c>
      <c r="F266" t="s">
        <v>10</v>
      </c>
      <c r="G266" t="s">
        <v>255</v>
      </c>
      <c r="H266" t="s">
        <v>244</v>
      </c>
      <c r="I266" t="s">
        <v>951</v>
      </c>
      <c r="J266" t="s">
        <v>2301</v>
      </c>
      <c r="K266" t="s">
        <v>2301</v>
      </c>
      <c r="M266" t="s">
        <v>2302</v>
      </c>
      <c r="N266" t="s">
        <v>714</v>
      </c>
    </row>
    <row r="267" spans="1:14" x14ac:dyDescent="0.25">
      <c r="A267" s="18" t="s">
        <v>841</v>
      </c>
      <c r="B267" s="18" t="s">
        <v>638</v>
      </c>
      <c r="C267" s="18" t="s">
        <v>639</v>
      </c>
      <c r="D267" s="18" t="s">
        <v>1205</v>
      </c>
      <c r="E267" s="18" t="s">
        <v>375</v>
      </c>
      <c r="F267" s="18" t="s">
        <v>374</v>
      </c>
      <c r="G267" s="18"/>
      <c r="H267" s="18" t="s">
        <v>627</v>
      </c>
      <c r="I267" s="18"/>
      <c r="J267" s="18"/>
      <c r="K267" s="18"/>
    </row>
    <row r="268" spans="1:14" x14ac:dyDescent="0.25">
      <c r="A268" s="18" t="s">
        <v>717</v>
      </c>
      <c r="B268" s="18" t="s">
        <v>79</v>
      </c>
      <c r="C268" s="18" t="s">
        <v>467</v>
      </c>
      <c r="D268" s="18" t="s">
        <v>1275</v>
      </c>
      <c r="E268" s="18" t="s">
        <v>375</v>
      </c>
      <c r="F268" s="18" t="s">
        <v>374</v>
      </c>
      <c r="G268" s="18"/>
      <c r="H268" s="18" t="s">
        <v>90</v>
      </c>
      <c r="I268" s="18" t="s">
        <v>980</v>
      </c>
      <c r="J268" s="18" t="s">
        <v>707</v>
      </c>
      <c r="K268" s="18"/>
    </row>
    <row r="269" spans="1:14" x14ac:dyDescent="0.25">
      <c r="A269" s="18"/>
      <c r="B269" s="18" t="s">
        <v>549</v>
      </c>
      <c r="C269" s="18" t="s">
        <v>550</v>
      </c>
      <c r="D269" s="18" t="s">
        <v>1183</v>
      </c>
      <c r="E269" s="18" t="s">
        <v>375</v>
      </c>
      <c r="F269" s="18" t="s">
        <v>374</v>
      </c>
      <c r="G269" s="18"/>
      <c r="H269" s="18" t="s">
        <v>548</v>
      </c>
      <c r="I269" s="18"/>
      <c r="J269" s="18"/>
      <c r="K269" s="18"/>
    </row>
    <row r="270" spans="1:14" x14ac:dyDescent="0.2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25">
      <c r="A271" t="s">
        <v>736</v>
      </c>
      <c r="B271" t="s">
        <v>24</v>
      </c>
      <c r="C271" t="s">
        <v>26</v>
      </c>
      <c r="D271" t="s">
        <v>1135</v>
      </c>
      <c r="E271" t="s">
        <v>11</v>
      </c>
      <c r="F271" t="s">
        <v>10</v>
      </c>
      <c r="G271" t="s">
        <v>13</v>
      </c>
      <c r="H271" t="s">
        <v>16</v>
      </c>
      <c r="I271" s="2" t="s">
        <v>737</v>
      </c>
      <c r="J271" s="2" t="s">
        <v>1519</v>
      </c>
      <c r="K271" s="2" t="s">
        <v>1521</v>
      </c>
      <c r="M271" t="s">
        <v>2215</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109375" defaultRowHeight="15" x14ac:dyDescent="0.25"/>
  <cols>
    <col min="1" max="1" width="6.85546875" bestFit="1" customWidth="1"/>
    <col min="2" max="2" width="16" bestFit="1" customWidth="1"/>
    <col min="3" max="3" width="27.85546875" bestFit="1" customWidth="1"/>
    <col min="4" max="4" width="20" bestFit="1" customWidth="1"/>
    <col min="5" max="5" width="17.85546875" bestFit="1" customWidth="1"/>
    <col min="6" max="6" width="17.42578125" bestFit="1" customWidth="1"/>
    <col min="7" max="7" width="13.5703125" bestFit="1" customWidth="1"/>
    <col min="8" max="8" width="22.42578125" bestFit="1" customWidth="1"/>
    <col min="9" max="9" width="31.42578125" bestFit="1" customWidth="1"/>
    <col min="10" max="10" width="29.140625" bestFit="1" customWidth="1"/>
    <col min="11" max="11" width="11.5703125" bestFit="1" customWidth="1"/>
    <col min="12" max="12" width="63" bestFit="1" customWidth="1"/>
    <col min="13" max="13" width="6.42578125" bestFit="1" customWidth="1"/>
    <col min="14" max="14" width="12.42578125" bestFit="1" customWidth="1"/>
    <col min="15" max="15" width="20.140625" bestFit="1" customWidth="1"/>
    <col min="16" max="16" width="151.85546875" bestFit="1" customWidth="1"/>
  </cols>
  <sheetData>
    <row r="1" spans="1:16" x14ac:dyDescent="0.25">
      <c r="A1" s="6" t="s">
        <v>1538</v>
      </c>
      <c r="B1" s="6" t="s">
        <v>1553</v>
      </c>
      <c r="C1" s="7" t="s">
        <v>0</v>
      </c>
      <c r="D1" s="6" t="s">
        <v>1653</v>
      </c>
      <c r="E1" s="6" t="s">
        <v>2</v>
      </c>
      <c r="F1" s="6" t="s">
        <v>2012</v>
      </c>
      <c r="G1" s="6" t="s">
        <v>2010</v>
      </c>
      <c r="H1" s="36" t="s">
        <v>4</v>
      </c>
      <c r="I1" s="36" t="s">
        <v>6</v>
      </c>
      <c r="J1" s="6" t="s">
        <v>1540</v>
      </c>
      <c r="K1" s="6" t="s">
        <v>2979</v>
      </c>
      <c r="L1" s="6" t="s">
        <v>2984</v>
      </c>
      <c r="M1" s="6" t="s">
        <v>1542</v>
      </c>
      <c r="N1" s="9" t="s">
        <v>2482</v>
      </c>
      <c r="O1" s="6" t="s">
        <v>7</v>
      </c>
      <c r="P1" s="6" t="s">
        <v>1543</v>
      </c>
    </row>
    <row r="2" spans="1:16" x14ac:dyDescent="0.25">
      <c r="A2">
        <v>2023</v>
      </c>
      <c r="B2" t="s">
        <v>772</v>
      </c>
      <c r="C2" t="s">
        <v>14</v>
      </c>
      <c r="D2" t="s">
        <v>65</v>
      </c>
      <c r="E2" t="s">
        <v>1125</v>
      </c>
      <c r="G2" t="s">
        <v>2016</v>
      </c>
      <c r="H2" s="37" t="s">
        <v>11</v>
      </c>
      <c r="I2" s="37" t="s">
        <v>13</v>
      </c>
      <c r="J2" t="s">
        <v>64</v>
      </c>
      <c r="K2" t="s">
        <v>1744</v>
      </c>
      <c r="L2" t="s">
        <v>1677</v>
      </c>
      <c r="M2" t="s">
        <v>1546</v>
      </c>
      <c r="N2" s="10">
        <v>19597683</v>
      </c>
      <c r="P2" t="s">
        <v>2973</v>
      </c>
    </row>
    <row r="3" spans="1:16" x14ac:dyDescent="0.25">
      <c r="A3">
        <v>2023</v>
      </c>
      <c r="B3" t="s">
        <v>772</v>
      </c>
      <c r="C3" t="s">
        <v>14</v>
      </c>
      <c r="D3" t="s">
        <v>65</v>
      </c>
      <c r="E3" t="s">
        <v>1125</v>
      </c>
      <c r="G3" t="s">
        <v>2016</v>
      </c>
      <c r="H3" s="37" t="s">
        <v>11</v>
      </c>
      <c r="I3" s="37" t="s">
        <v>13</v>
      </c>
      <c r="J3" t="s">
        <v>64</v>
      </c>
      <c r="K3" t="s">
        <v>1744</v>
      </c>
      <c r="L3" t="s">
        <v>1678</v>
      </c>
      <c r="M3" t="s">
        <v>1546</v>
      </c>
      <c r="N3" s="10"/>
      <c r="O3" t="s">
        <v>1681</v>
      </c>
      <c r="P3" t="s">
        <v>2973</v>
      </c>
    </row>
    <row r="4" spans="1:16" x14ac:dyDescent="0.25">
      <c r="A4">
        <v>2023</v>
      </c>
      <c r="B4" t="s">
        <v>772</v>
      </c>
      <c r="C4" t="s">
        <v>14</v>
      </c>
      <c r="D4" t="s">
        <v>65</v>
      </c>
      <c r="E4" t="s">
        <v>1125</v>
      </c>
      <c r="G4" t="s">
        <v>2016</v>
      </c>
      <c r="H4" s="37" t="s">
        <v>11</v>
      </c>
      <c r="I4" s="37" t="s">
        <v>13</v>
      </c>
      <c r="J4" t="s">
        <v>64</v>
      </c>
      <c r="K4" t="s">
        <v>1744</v>
      </c>
      <c r="L4" t="s">
        <v>1679</v>
      </c>
      <c r="M4" t="s">
        <v>1546</v>
      </c>
      <c r="N4" s="10">
        <v>19583538</v>
      </c>
      <c r="P4" t="s">
        <v>2973</v>
      </c>
    </row>
    <row r="5" spans="1:16" x14ac:dyDescent="0.25">
      <c r="A5">
        <v>2023</v>
      </c>
      <c r="B5" t="s">
        <v>772</v>
      </c>
      <c r="C5" t="s">
        <v>14</v>
      </c>
      <c r="D5" t="s">
        <v>65</v>
      </c>
      <c r="E5" t="s">
        <v>1125</v>
      </c>
      <c r="G5" t="s">
        <v>2016</v>
      </c>
      <c r="H5" s="37" t="s">
        <v>11</v>
      </c>
      <c r="I5" s="37" t="s">
        <v>13</v>
      </c>
      <c r="J5" t="s">
        <v>64</v>
      </c>
      <c r="K5" t="s">
        <v>1744</v>
      </c>
      <c r="L5" t="s">
        <v>1680</v>
      </c>
      <c r="M5" t="s">
        <v>1546</v>
      </c>
      <c r="N5" s="10">
        <v>19583538</v>
      </c>
      <c r="P5" t="s">
        <v>2973</v>
      </c>
    </row>
    <row r="6" spans="1:16" ht="14.45" customHeight="1" x14ac:dyDescent="0.25">
      <c r="A6">
        <v>2023</v>
      </c>
      <c r="B6" t="s">
        <v>772</v>
      </c>
      <c r="C6" t="s">
        <v>14</v>
      </c>
      <c r="D6" t="s">
        <v>18</v>
      </c>
      <c r="E6" t="s">
        <v>1127</v>
      </c>
      <c r="G6" t="s">
        <v>2016</v>
      </c>
      <c r="H6" s="37" t="s">
        <v>11</v>
      </c>
      <c r="I6" s="37" t="s">
        <v>19</v>
      </c>
      <c r="J6" t="s">
        <v>16</v>
      </c>
      <c r="K6" t="s">
        <v>1744</v>
      </c>
      <c r="L6" t="s">
        <v>1677</v>
      </c>
      <c r="M6" t="s">
        <v>1546</v>
      </c>
      <c r="N6" s="10">
        <v>110071399</v>
      </c>
      <c r="O6" s="21"/>
      <c r="P6" t="s">
        <v>2973</v>
      </c>
    </row>
    <row r="7" spans="1:16" ht="14.45" customHeight="1" x14ac:dyDescent="0.25">
      <c r="A7">
        <v>2023</v>
      </c>
      <c r="B7" t="s">
        <v>772</v>
      </c>
      <c r="C7" t="s">
        <v>14</v>
      </c>
      <c r="D7" t="s">
        <v>18</v>
      </c>
      <c r="E7" t="s">
        <v>1127</v>
      </c>
      <c r="G7" t="s">
        <v>2016</v>
      </c>
      <c r="H7" s="37" t="s">
        <v>11</v>
      </c>
      <c r="I7" s="37" t="s">
        <v>19</v>
      </c>
      <c r="J7" t="s">
        <v>16</v>
      </c>
      <c r="K7" t="s">
        <v>1744</v>
      </c>
      <c r="L7" t="s">
        <v>1678</v>
      </c>
      <c r="M7" t="s">
        <v>1546</v>
      </c>
      <c r="N7" s="10">
        <v>84640098</v>
      </c>
      <c r="O7" s="21"/>
      <c r="P7" t="s">
        <v>2973</v>
      </c>
    </row>
    <row r="8" spans="1:16" x14ac:dyDescent="0.25">
      <c r="A8">
        <v>2023</v>
      </c>
      <c r="B8" t="s">
        <v>772</v>
      </c>
      <c r="C8" t="s">
        <v>14</v>
      </c>
      <c r="D8" t="s">
        <v>18</v>
      </c>
      <c r="E8" t="s">
        <v>1127</v>
      </c>
      <c r="G8" t="s">
        <v>2016</v>
      </c>
      <c r="H8" s="37" t="s">
        <v>11</v>
      </c>
      <c r="I8" s="37" t="s">
        <v>19</v>
      </c>
      <c r="J8" t="s">
        <v>16</v>
      </c>
      <c r="K8" t="s">
        <v>1744</v>
      </c>
      <c r="L8" t="s">
        <v>1679</v>
      </c>
      <c r="M8" t="s">
        <v>1546</v>
      </c>
      <c r="N8" s="10">
        <v>25430000</v>
      </c>
      <c r="O8" s="21"/>
      <c r="P8" t="s">
        <v>2973</v>
      </c>
    </row>
    <row r="9" spans="1:16" x14ac:dyDescent="0.25">
      <c r="A9">
        <v>2023</v>
      </c>
      <c r="B9" t="s">
        <v>772</v>
      </c>
      <c r="C9" t="s">
        <v>14</v>
      </c>
      <c r="D9" t="s">
        <v>18</v>
      </c>
      <c r="E9" t="s">
        <v>1127</v>
      </c>
      <c r="G9" t="s">
        <v>2016</v>
      </c>
      <c r="H9" s="37" t="s">
        <v>11</v>
      </c>
      <c r="I9" s="37" t="s">
        <v>19</v>
      </c>
      <c r="J9" t="s">
        <v>16</v>
      </c>
      <c r="K9" t="s">
        <v>1744</v>
      </c>
      <c r="L9" t="s">
        <v>1680</v>
      </c>
      <c r="M9" t="s">
        <v>1546</v>
      </c>
      <c r="N9" s="10">
        <v>110070098</v>
      </c>
      <c r="O9" s="21"/>
      <c r="P9" t="s">
        <v>2973</v>
      </c>
    </row>
    <row r="10" spans="1:16" x14ac:dyDescent="0.25">
      <c r="A10">
        <v>2023</v>
      </c>
      <c r="B10" t="s">
        <v>772</v>
      </c>
      <c r="C10" t="s">
        <v>14</v>
      </c>
      <c r="D10" t="s">
        <v>66</v>
      </c>
      <c r="E10" t="s">
        <v>1124</v>
      </c>
      <c r="G10" t="s">
        <v>2016</v>
      </c>
      <c r="H10" s="37" t="s">
        <v>11</v>
      </c>
      <c r="I10" s="37" t="s">
        <v>13</v>
      </c>
      <c r="J10" t="s">
        <v>64</v>
      </c>
      <c r="K10" t="s">
        <v>1744</v>
      </c>
      <c r="L10" t="s">
        <v>1677</v>
      </c>
      <c r="M10" t="s">
        <v>1546</v>
      </c>
      <c r="N10" s="10">
        <v>3268938.1</v>
      </c>
      <c r="O10" s="21"/>
      <c r="P10" t="s">
        <v>2973</v>
      </c>
    </row>
    <row r="11" spans="1:16" x14ac:dyDescent="0.25">
      <c r="A11">
        <v>2023</v>
      </c>
      <c r="B11" t="s">
        <v>772</v>
      </c>
      <c r="C11" t="s">
        <v>14</v>
      </c>
      <c r="D11" t="s">
        <v>66</v>
      </c>
      <c r="E11" t="s">
        <v>1124</v>
      </c>
      <c r="G11" t="s">
        <v>2016</v>
      </c>
      <c r="H11" s="37" t="s">
        <v>11</v>
      </c>
      <c r="I11" s="37" t="s">
        <v>13</v>
      </c>
      <c r="J11" t="s">
        <v>64</v>
      </c>
      <c r="K11" t="s">
        <v>1744</v>
      </c>
      <c r="L11" t="s">
        <v>1678</v>
      </c>
      <c r="M11" t="s">
        <v>1546</v>
      </c>
      <c r="N11" s="10">
        <v>468055</v>
      </c>
      <c r="O11" s="21"/>
      <c r="P11" t="s">
        <v>2973</v>
      </c>
    </row>
    <row r="12" spans="1:16" x14ac:dyDescent="0.25">
      <c r="A12">
        <v>2023</v>
      </c>
      <c r="B12" t="s">
        <v>772</v>
      </c>
      <c r="C12" t="s">
        <v>14</v>
      </c>
      <c r="D12" t="s">
        <v>66</v>
      </c>
      <c r="E12" t="s">
        <v>1124</v>
      </c>
      <c r="G12" t="s">
        <v>2016</v>
      </c>
      <c r="H12" s="37" t="s">
        <v>11</v>
      </c>
      <c r="I12" s="37" t="s">
        <v>13</v>
      </c>
      <c r="J12" t="s">
        <v>64</v>
      </c>
      <c r="K12" t="s">
        <v>1744</v>
      </c>
      <c r="L12" t="s">
        <v>1679</v>
      </c>
      <c r="M12" t="s">
        <v>1546</v>
      </c>
      <c r="N12" s="10">
        <v>2800764</v>
      </c>
      <c r="O12" s="21"/>
      <c r="P12" t="s">
        <v>2973</v>
      </c>
    </row>
    <row r="13" spans="1:16" x14ac:dyDescent="0.25">
      <c r="A13">
        <v>2023</v>
      </c>
      <c r="B13" t="s">
        <v>772</v>
      </c>
      <c r="C13" t="s">
        <v>14</v>
      </c>
      <c r="D13" t="s">
        <v>66</v>
      </c>
      <c r="E13" t="s">
        <v>1124</v>
      </c>
      <c r="G13" t="s">
        <v>2016</v>
      </c>
      <c r="H13" s="37" t="s">
        <v>11</v>
      </c>
      <c r="I13" s="37" t="s">
        <v>13</v>
      </c>
      <c r="J13" t="s">
        <v>64</v>
      </c>
      <c r="K13" t="s">
        <v>1744</v>
      </c>
      <c r="L13" t="s">
        <v>1680</v>
      </c>
      <c r="M13" t="s">
        <v>1546</v>
      </c>
      <c r="N13" s="10">
        <v>3268819</v>
      </c>
      <c r="O13" s="21"/>
      <c r="P13" t="s">
        <v>2973</v>
      </c>
    </row>
    <row r="14" spans="1:16" x14ac:dyDescent="0.25">
      <c r="A14">
        <v>2023</v>
      </c>
      <c r="B14" t="s">
        <v>772</v>
      </c>
      <c r="C14" t="s">
        <v>14</v>
      </c>
      <c r="D14" t="s">
        <v>91</v>
      </c>
      <c r="E14" t="s">
        <v>1126</v>
      </c>
      <c r="G14" t="s">
        <v>2016</v>
      </c>
      <c r="H14" s="37" t="s">
        <v>11</v>
      </c>
      <c r="I14" s="37" t="s">
        <v>23</v>
      </c>
      <c r="J14" t="s">
        <v>92</v>
      </c>
      <c r="K14" t="s">
        <v>1744</v>
      </c>
      <c r="L14" t="s">
        <v>1677</v>
      </c>
      <c r="M14" t="s">
        <v>1546</v>
      </c>
      <c r="N14" s="10">
        <v>3900105.9220000003</v>
      </c>
      <c r="P14" t="s">
        <v>2973</v>
      </c>
    </row>
    <row r="15" spans="1:16" x14ac:dyDescent="0.25">
      <c r="A15">
        <v>2023</v>
      </c>
      <c r="B15" t="s">
        <v>772</v>
      </c>
      <c r="C15" t="s">
        <v>14</v>
      </c>
      <c r="D15" t="s">
        <v>91</v>
      </c>
      <c r="E15" t="s">
        <v>1126</v>
      </c>
      <c r="G15" t="s">
        <v>2016</v>
      </c>
      <c r="H15" s="37" t="s">
        <v>11</v>
      </c>
      <c r="I15" s="37" t="s">
        <v>23</v>
      </c>
      <c r="J15" t="s">
        <v>92</v>
      </c>
      <c r="K15" t="s">
        <v>1744</v>
      </c>
      <c r="L15" t="s">
        <v>1678</v>
      </c>
      <c r="M15" t="s">
        <v>1546</v>
      </c>
      <c r="N15" s="10">
        <v>1192036.2</v>
      </c>
      <c r="P15" t="s">
        <v>2973</v>
      </c>
    </row>
    <row r="16" spans="1:16" x14ac:dyDescent="0.25">
      <c r="A16">
        <v>2023</v>
      </c>
      <c r="B16" t="s">
        <v>772</v>
      </c>
      <c r="C16" t="s">
        <v>14</v>
      </c>
      <c r="D16" t="s">
        <v>91</v>
      </c>
      <c r="E16" t="s">
        <v>1126</v>
      </c>
      <c r="G16" t="s">
        <v>2016</v>
      </c>
      <c r="H16" s="37" t="s">
        <v>11</v>
      </c>
      <c r="I16" s="37" t="s">
        <v>23</v>
      </c>
      <c r="J16" t="s">
        <v>92</v>
      </c>
      <c r="K16" t="s">
        <v>1744</v>
      </c>
      <c r="L16" t="s">
        <v>1679</v>
      </c>
      <c r="M16" t="s">
        <v>1546</v>
      </c>
      <c r="N16" s="10">
        <v>60933565</v>
      </c>
      <c r="P16" t="s">
        <v>2973</v>
      </c>
    </row>
    <row r="17" spans="1:16" x14ac:dyDescent="0.25">
      <c r="A17">
        <v>2023</v>
      </c>
      <c r="B17" t="s">
        <v>772</v>
      </c>
      <c r="C17" t="s">
        <v>14</v>
      </c>
      <c r="D17" t="s">
        <v>91</v>
      </c>
      <c r="E17" t="s">
        <v>1126</v>
      </c>
      <c r="G17" t="s">
        <v>2016</v>
      </c>
      <c r="H17" s="37" t="s">
        <v>11</v>
      </c>
      <c r="I17" s="37" t="s">
        <v>23</v>
      </c>
      <c r="J17" t="s">
        <v>92</v>
      </c>
      <c r="K17" t="s">
        <v>1744</v>
      </c>
      <c r="L17" t="s">
        <v>1680</v>
      </c>
      <c r="M17" t="s">
        <v>1546</v>
      </c>
      <c r="N17" s="10">
        <v>204497986.30199999</v>
      </c>
      <c r="P17" t="s">
        <v>2973</v>
      </c>
    </row>
    <row r="18" spans="1:16" x14ac:dyDescent="0.25">
      <c r="A18">
        <v>2023</v>
      </c>
      <c r="B18" t="s">
        <v>772</v>
      </c>
      <c r="C18" t="s">
        <v>14</v>
      </c>
      <c r="D18" t="s">
        <v>67</v>
      </c>
      <c r="E18" t="s">
        <v>1128</v>
      </c>
      <c r="G18" t="s">
        <v>2016</v>
      </c>
      <c r="H18" s="37" t="s">
        <v>11</v>
      </c>
      <c r="I18" s="37" t="s">
        <v>21</v>
      </c>
      <c r="J18" t="s">
        <v>64</v>
      </c>
      <c r="K18" t="s">
        <v>1744</v>
      </c>
      <c r="L18" t="s">
        <v>1677</v>
      </c>
      <c r="M18" t="s">
        <v>1546</v>
      </c>
      <c r="N18" s="10">
        <v>878017.01</v>
      </c>
      <c r="O18" s="21"/>
      <c r="P18" t="s">
        <v>2973</v>
      </c>
    </row>
    <row r="19" spans="1:16" x14ac:dyDescent="0.25">
      <c r="A19">
        <v>2023</v>
      </c>
      <c r="B19" t="s">
        <v>772</v>
      </c>
      <c r="C19" t="s">
        <v>14</v>
      </c>
      <c r="D19" t="s">
        <v>67</v>
      </c>
      <c r="E19" t="s">
        <v>1128</v>
      </c>
      <c r="G19" t="s">
        <v>2016</v>
      </c>
      <c r="H19" s="37" t="s">
        <v>11</v>
      </c>
      <c r="I19" s="37" t="s">
        <v>21</v>
      </c>
      <c r="J19" t="s">
        <v>64</v>
      </c>
      <c r="K19" t="s">
        <v>1744</v>
      </c>
      <c r="L19" t="s">
        <v>1678</v>
      </c>
      <c r="M19" t="s">
        <v>1546</v>
      </c>
      <c r="N19" s="10">
        <v>552101</v>
      </c>
      <c r="O19" s="21"/>
      <c r="P19" t="s">
        <v>2973</v>
      </c>
    </row>
    <row r="20" spans="1:16" x14ac:dyDescent="0.25">
      <c r="A20">
        <v>2023</v>
      </c>
      <c r="B20" t="s">
        <v>772</v>
      </c>
      <c r="C20" t="s">
        <v>14</v>
      </c>
      <c r="D20" t="s">
        <v>67</v>
      </c>
      <c r="E20" t="s">
        <v>1128</v>
      </c>
      <c r="G20" t="s">
        <v>2016</v>
      </c>
      <c r="H20" s="37" t="s">
        <v>11</v>
      </c>
      <c r="I20" s="37" t="s">
        <v>21</v>
      </c>
      <c r="J20" t="s">
        <v>64</v>
      </c>
      <c r="K20" t="s">
        <v>1744</v>
      </c>
      <c r="L20" t="s">
        <v>1679</v>
      </c>
      <c r="M20" t="s">
        <v>1546</v>
      </c>
      <c r="N20" s="10">
        <v>325845</v>
      </c>
      <c r="O20" s="21"/>
      <c r="P20" t="s">
        <v>2973</v>
      </c>
    </row>
    <row r="21" spans="1:16" x14ac:dyDescent="0.25">
      <c r="A21">
        <v>2023</v>
      </c>
      <c r="B21" t="s">
        <v>772</v>
      </c>
      <c r="C21" t="s">
        <v>14</v>
      </c>
      <c r="D21" t="s">
        <v>67</v>
      </c>
      <c r="E21" t="s">
        <v>1128</v>
      </c>
      <c r="G21" t="s">
        <v>2016</v>
      </c>
      <c r="H21" s="37" t="s">
        <v>11</v>
      </c>
      <c r="I21" s="37" t="s">
        <v>21</v>
      </c>
      <c r="J21" t="s">
        <v>64</v>
      </c>
      <c r="K21" t="s">
        <v>1744</v>
      </c>
      <c r="L21" t="s">
        <v>1680</v>
      </c>
      <c r="M21" t="s">
        <v>1546</v>
      </c>
      <c r="N21" s="10">
        <v>877946</v>
      </c>
      <c r="O21" s="21"/>
      <c r="P21" t="s">
        <v>2973</v>
      </c>
    </row>
    <row r="22" spans="1:16" x14ac:dyDescent="0.25">
      <c r="A22">
        <v>2023</v>
      </c>
      <c r="B22" t="s">
        <v>1537</v>
      </c>
      <c r="C22" t="s">
        <v>14</v>
      </c>
      <c r="D22" t="s">
        <v>20</v>
      </c>
      <c r="F22" t="s">
        <v>1749</v>
      </c>
      <c r="G22" t="s">
        <v>2016</v>
      </c>
      <c r="H22" s="37" t="s">
        <v>11</v>
      </c>
      <c r="I22" s="37" t="s">
        <v>23</v>
      </c>
      <c r="J22" t="s">
        <v>16</v>
      </c>
      <c r="K22" t="s">
        <v>1744</v>
      </c>
      <c r="L22" t="s">
        <v>1677</v>
      </c>
      <c r="M22" t="s">
        <v>1546</v>
      </c>
      <c r="N22" s="10">
        <v>36711918.101999991</v>
      </c>
      <c r="O22" s="21"/>
      <c r="P22" t="s">
        <v>2973</v>
      </c>
    </row>
    <row r="23" spans="1:16" x14ac:dyDescent="0.25">
      <c r="A23">
        <v>2023</v>
      </c>
      <c r="B23" t="s">
        <v>1537</v>
      </c>
      <c r="C23" t="s">
        <v>14</v>
      </c>
      <c r="D23" t="s">
        <v>20</v>
      </c>
      <c r="F23" t="s">
        <v>1749</v>
      </c>
      <c r="G23" t="s">
        <v>2016</v>
      </c>
      <c r="H23" s="37" t="s">
        <v>11</v>
      </c>
      <c r="I23" s="37" t="s">
        <v>23</v>
      </c>
      <c r="J23" t="s">
        <v>16</v>
      </c>
      <c r="K23" t="s">
        <v>1744</v>
      </c>
      <c r="L23" t="s">
        <v>1678</v>
      </c>
      <c r="M23" t="s">
        <v>1546</v>
      </c>
      <c r="N23" s="10">
        <v>32867064.101999987</v>
      </c>
      <c r="O23" s="21"/>
      <c r="P23" t="s">
        <v>2973</v>
      </c>
    </row>
    <row r="24" spans="1:16" x14ac:dyDescent="0.25">
      <c r="A24">
        <v>2023</v>
      </c>
      <c r="B24" t="s">
        <v>1537</v>
      </c>
      <c r="C24" t="s">
        <v>14</v>
      </c>
      <c r="D24" t="s">
        <v>20</v>
      </c>
      <c r="F24" t="s">
        <v>1749</v>
      </c>
      <c r="G24" t="s">
        <v>2016</v>
      </c>
      <c r="H24" s="37" t="s">
        <v>11</v>
      </c>
      <c r="I24" s="37" t="s">
        <v>23</v>
      </c>
      <c r="J24" t="s">
        <v>16</v>
      </c>
      <c r="K24" t="s">
        <v>1744</v>
      </c>
      <c r="L24" t="s">
        <v>1679</v>
      </c>
      <c r="M24" t="s">
        <v>1546</v>
      </c>
      <c r="N24" s="10">
        <v>3842647</v>
      </c>
      <c r="O24" s="21"/>
      <c r="P24" t="s">
        <v>2973</v>
      </c>
    </row>
    <row r="25" spans="1:16" x14ac:dyDescent="0.25">
      <c r="A25">
        <v>2023</v>
      </c>
      <c r="B25" t="s">
        <v>1537</v>
      </c>
      <c r="C25" t="s">
        <v>14</v>
      </c>
      <c r="D25" t="s">
        <v>20</v>
      </c>
      <c r="F25" t="s">
        <v>1749</v>
      </c>
      <c r="G25" t="s">
        <v>2016</v>
      </c>
      <c r="H25" s="37" t="s">
        <v>11</v>
      </c>
      <c r="I25" s="37" t="s">
        <v>23</v>
      </c>
      <c r="J25" t="s">
        <v>16</v>
      </c>
      <c r="K25" t="s">
        <v>1744</v>
      </c>
      <c r="L25" t="s">
        <v>1680</v>
      </c>
      <c r="M25" t="s">
        <v>1546</v>
      </c>
      <c r="N25" s="10">
        <v>36709711.101999983</v>
      </c>
      <c r="O25" s="21"/>
      <c r="P25" t="s">
        <v>2973</v>
      </c>
    </row>
    <row r="26" spans="1:16" x14ac:dyDescent="0.25">
      <c r="A26">
        <v>2023</v>
      </c>
      <c r="B26" t="s">
        <v>772</v>
      </c>
      <c r="C26" t="s">
        <v>14</v>
      </c>
      <c r="D26" t="s">
        <v>22</v>
      </c>
      <c r="E26" t="s">
        <v>1129</v>
      </c>
      <c r="G26" t="s">
        <v>2016</v>
      </c>
      <c r="H26" s="37" t="s">
        <v>11</v>
      </c>
      <c r="I26" s="37" t="s">
        <v>13</v>
      </c>
      <c r="J26" t="s">
        <v>16</v>
      </c>
      <c r="K26" t="s">
        <v>1744</v>
      </c>
      <c r="L26" t="s">
        <v>1677</v>
      </c>
      <c r="M26" t="s">
        <v>1546</v>
      </c>
      <c r="N26" s="10">
        <v>6038878</v>
      </c>
      <c r="O26" s="21"/>
      <c r="P26" t="s">
        <v>2973</v>
      </c>
    </row>
    <row r="27" spans="1:16" x14ac:dyDescent="0.25">
      <c r="A27">
        <v>2023</v>
      </c>
      <c r="B27" t="s">
        <v>772</v>
      </c>
      <c r="C27" t="s">
        <v>14</v>
      </c>
      <c r="D27" t="s">
        <v>22</v>
      </c>
      <c r="E27" t="s">
        <v>1129</v>
      </c>
      <c r="G27" t="s">
        <v>2016</v>
      </c>
      <c r="H27" s="37" t="s">
        <v>11</v>
      </c>
      <c r="I27" s="37" t="s">
        <v>13</v>
      </c>
      <c r="J27" t="s">
        <v>16</v>
      </c>
      <c r="K27" t="s">
        <v>1744</v>
      </c>
      <c r="L27" t="s">
        <v>1678</v>
      </c>
      <c r="M27" t="s">
        <v>1546</v>
      </c>
      <c r="N27" s="10">
        <v>4119386</v>
      </c>
      <c r="O27" s="21"/>
      <c r="P27" t="s">
        <v>2973</v>
      </c>
    </row>
    <row r="28" spans="1:16" x14ac:dyDescent="0.25">
      <c r="A28">
        <v>2023</v>
      </c>
      <c r="B28" t="s">
        <v>772</v>
      </c>
      <c r="C28" t="s">
        <v>14</v>
      </c>
      <c r="D28" t="s">
        <v>22</v>
      </c>
      <c r="E28" t="s">
        <v>1129</v>
      </c>
      <c r="G28" t="s">
        <v>2016</v>
      </c>
      <c r="H28" s="37" t="s">
        <v>11</v>
      </c>
      <c r="I28" s="37" t="s">
        <v>13</v>
      </c>
      <c r="J28" t="s">
        <v>16</v>
      </c>
      <c r="K28" t="s">
        <v>1744</v>
      </c>
      <c r="L28" t="s">
        <v>1679</v>
      </c>
      <c r="M28" t="s">
        <v>1546</v>
      </c>
      <c r="N28" s="10">
        <v>1918143</v>
      </c>
      <c r="O28" s="21"/>
      <c r="P28" t="s">
        <v>2973</v>
      </c>
    </row>
    <row r="29" spans="1:16" x14ac:dyDescent="0.25">
      <c r="A29">
        <v>2023</v>
      </c>
      <c r="B29" t="s">
        <v>772</v>
      </c>
      <c r="C29" t="s">
        <v>14</v>
      </c>
      <c r="D29" t="s">
        <v>22</v>
      </c>
      <c r="E29" t="s">
        <v>1129</v>
      </c>
      <c r="G29" t="s">
        <v>2016</v>
      </c>
      <c r="H29" s="37" t="s">
        <v>11</v>
      </c>
      <c r="I29" s="37" t="s">
        <v>13</v>
      </c>
      <c r="J29" t="s">
        <v>16</v>
      </c>
      <c r="K29" t="s">
        <v>1744</v>
      </c>
      <c r="L29" t="s">
        <v>1680</v>
      </c>
      <c r="M29" t="s">
        <v>1546</v>
      </c>
      <c r="N29" s="10">
        <v>6037529</v>
      </c>
      <c r="O29" s="21"/>
      <c r="P29" t="s">
        <v>2973</v>
      </c>
    </row>
    <row r="30" spans="1:16" x14ac:dyDescent="0.25">
      <c r="A30">
        <v>2023</v>
      </c>
      <c r="B30" t="s">
        <v>772</v>
      </c>
      <c r="C30" t="s">
        <v>736</v>
      </c>
      <c r="D30" t="s">
        <v>25</v>
      </c>
      <c r="E30" t="s">
        <v>1136</v>
      </c>
      <c r="G30" t="s">
        <v>2019</v>
      </c>
      <c r="H30" t="s">
        <v>11</v>
      </c>
      <c r="I30" t="s">
        <v>13</v>
      </c>
      <c r="J30" t="s">
        <v>16</v>
      </c>
      <c r="K30" t="s">
        <v>1744</v>
      </c>
      <c r="L30" t="s">
        <v>1624</v>
      </c>
      <c r="M30" t="s">
        <v>1546</v>
      </c>
      <c r="N30" s="10">
        <v>482598</v>
      </c>
      <c r="P30" t="s">
        <v>1601</v>
      </c>
    </row>
    <row r="31" spans="1:16" x14ac:dyDescent="0.25">
      <c r="A31">
        <v>2023</v>
      </c>
      <c r="B31" t="s">
        <v>772</v>
      </c>
      <c r="C31" t="s">
        <v>736</v>
      </c>
      <c r="D31" t="s">
        <v>25</v>
      </c>
      <c r="E31" t="s">
        <v>1136</v>
      </c>
      <c r="G31" t="s">
        <v>2019</v>
      </c>
      <c r="H31" t="s">
        <v>11</v>
      </c>
      <c r="I31" t="s">
        <v>13</v>
      </c>
      <c r="J31" t="s">
        <v>16</v>
      </c>
      <c r="K31" t="s">
        <v>1744</v>
      </c>
      <c r="L31" t="s">
        <v>1625</v>
      </c>
      <c r="M31" t="s">
        <v>1546</v>
      </c>
      <c r="N31" s="10">
        <v>4300</v>
      </c>
      <c r="P31" t="s">
        <v>1601</v>
      </c>
    </row>
    <row r="32" spans="1:16" x14ac:dyDescent="0.25">
      <c r="A32">
        <v>2023</v>
      </c>
      <c r="B32" t="s">
        <v>772</v>
      </c>
      <c r="C32" t="s">
        <v>736</v>
      </c>
      <c r="D32" t="s">
        <v>25</v>
      </c>
      <c r="E32" t="s">
        <v>1136</v>
      </c>
      <c r="G32" t="s">
        <v>2019</v>
      </c>
      <c r="H32" t="s">
        <v>11</v>
      </c>
      <c r="I32" t="s">
        <v>13</v>
      </c>
      <c r="J32" t="s">
        <v>16</v>
      </c>
      <c r="K32" t="s">
        <v>1744</v>
      </c>
      <c r="L32" t="s">
        <v>1623</v>
      </c>
      <c r="M32" t="s">
        <v>1546</v>
      </c>
      <c r="N32" s="10">
        <v>921606</v>
      </c>
      <c r="P32" t="s">
        <v>1601</v>
      </c>
    </row>
    <row r="33" spans="1:16" x14ac:dyDescent="0.25">
      <c r="A33">
        <v>2023</v>
      </c>
      <c r="B33" t="s">
        <v>772</v>
      </c>
      <c r="C33" t="s">
        <v>736</v>
      </c>
      <c r="D33" t="s">
        <v>25</v>
      </c>
      <c r="E33" t="s">
        <v>1136</v>
      </c>
      <c r="G33" t="s">
        <v>2019</v>
      </c>
      <c r="H33" t="s">
        <v>11</v>
      </c>
      <c r="I33" t="s">
        <v>13</v>
      </c>
      <c r="J33" t="s">
        <v>16</v>
      </c>
      <c r="K33" t="s">
        <v>1744</v>
      </c>
      <c r="L33" t="s">
        <v>1628</v>
      </c>
      <c r="M33" t="s">
        <v>1546</v>
      </c>
      <c r="N33" s="10">
        <v>439008</v>
      </c>
      <c r="P33" t="s">
        <v>1601</v>
      </c>
    </row>
    <row r="34" spans="1:16" x14ac:dyDescent="0.25">
      <c r="A34">
        <v>2023</v>
      </c>
      <c r="B34" t="s">
        <v>772</v>
      </c>
      <c r="C34" t="s">
        <v>736</v>
      </c>
      <c r="D34" t="s">
        <v>26</v>
      </c>
      <c r="E34" t="s">
        <v>1135</v>
      </c>
      <c r="G34" t="s">
        <v>2019</v>
      </c>
      <c r="H34" t="s">
        <v>11</v>
      </c>
      <c r="I34" t="s">
        <v>13</v>
      </c>
      <c r="J34" t="s">
        <v>16</v>
      </c>
      <c r="K34" t="s">
        <v>1744</v>
      </c>
      <c r="L34" t="s">
        <v>1624</v>
      </c>
      <c r="M34" t="s">
        <v>1546</v>
      </c>
      <c r="N34" s="10">
        <v>451287.1</v>
      </c>
      <c r="P34" t="s">
        <v>1601</v>
      </c>
    </row>
    <row r="35" spans="1:16" ht="14.45" customHeight="1" x14ac:dyDescent="0.25">
      <c r="A35">
        <v>2023</v>
      </c>
      <c r="B35" t="s">
        <v>772</v>
      </c>
      <c r="C35" t="s">
        <v>736</v>
      </c>
      <c r="D35" t="s">
        <v>26</v>
      </c>
      <c r="E35" t="s">
        <v>1135</v>
      </c>
      <c r="G35" t="s">
        <v>2019</v>
      </c>
      <c r="H35" t="s">
        <v>11</v>
      </c>
      <c r="I35" t="s">
        <v>13</v>
      </c>
      <c r="J35" t="s">
        <v>16</v>
      </c>
      <c r="K35" t="s">
        <v>1744</v>
      </c>
      <c r="L35" t="s">
        <v>1625</v>
      </c>
      <c r="M35" t="s">
        <v>1546</v>
      </c>
      <c r="N35" s="10">
        <v>1317</v>
      </c>
      <c r="P35" t="s">
        <v>1601</v>
      </c>
    </row>
    <row r="36" spans="1:16" x14ac:dyDescent="0.25">
      <c r="A36">
        <v>2023</v>
      </c>
      <c r="B36" t="s">
        <v>772</v>
      </c>
      <c r="C36" t="s">
        <v>736</v>
      </c>
      <c r="D36" t="s">
        <v>26</v>
      </c>
      <c r="E36" t="s">
        <v>1135</v>
      </c>
      <c r="G36" t="s">
        <v>2019</v>
      </c>
      <c r="H36" t="s">
        <v>11</v>
      </c>
      <c r="I36" t="s">
        <v>13</v>
      </c>
      <c r="J36" t="s">
        <v>16</v>
      </c>
      <c r="K36" t="s">
        <v>1744</v>
      </c>
      <c r="L36" t="s">
        <v>1623</v>
      </c>
      <c r="M36" t="s">
        <v>1546</v>
      </c>
      <c r="N36" s="10">
        <v>3329334.0631360002</v>
      </c>
      <c r="P36" t="s">
        <v>1601</v>
      </c>
    </row>
    <row r="37" spans="1:16" x14ac:dyDescent="0.25">
      <c r="A37">
        <v>2023</v>
      </c>
      <c r="B37" t="s">
        <v>772</v>
      </c>
      <c r="C37" t="s">
        <v>736</v>
      </c>
      <c r="D37" t="s">
        <v>26</v>
      </c>
      <c r="E37" t="s">
        <v>1135</v>
      </c>
      <c r="G37" t="s">
        <v>2019</v>
      </c>
      <c r="H37" t="s">
        <v>11</v>
      </c>
      <c r="I37" t="s">
        <v>13</v>
      </c>
      <c r="J37" t="s">
        <v>16</v>
      </c>
      <c r="K37" t="s">
        <v>1744</v>
      </c>
      <c r="L37" t="s">
        <v>1628</v>
      </c>
      <c r="M37" t="s">
        <v>1546</v>
      </c>
      <c r="N37" s="10">
        <v>2878047</v>
      </c>
      <c r="P37" t="s">
        <v>1601</v>
      </c>
    </row>
    <row r="38" spans="1:16" x14ac:dyDescent="0.25">
      <c r="A38">
        <v>2024</v>
      </c>
      <c r="B38" t="s">
        <v>772</v>
      </c>
      <c r="C38" t="s">
        <v>784</v>
      </c>
      <c r="D38" t="s">
        <v>69</v>
      </c>
      <c r="E38" t="s">
        <v>1159</v>
      </c>
      <c r="G38" t="s">
        <v>2031</v>
      </c>
      <c r="H38" s="37" t="s">
        <v>11</v>
      </c>
      <c r="I38" s="37" t="s">
        <v>19</v>
      </c>
      <c r="J38" t="s">
        <v>16</v>
      </c>
      <c r="K38" t="s">
        <v>1744</v>
      </c>
      <c r="L38" t="s">
        <v>1711</v>
      </c>
      <c r="M38" t="s">
        <v>1546</v>
      </c>
      <c r="N38" s="31">
        <v>6759562</v>
      </c>
      <c r="O38" t="s">
        <v>2928</v>
      </c>
      <c r="P38" t="s">
        <v>1601</v>
      </c>
    </row>
    <row r="39" spans="1:16" x14ac:dyDescent="0.25">
      <c r="A39">
        <v>2023</v>
      </c>
      <c r="B39" t="s">
        <v>772</v>
      </c>
      <c r="C39" t="s">
        <v>27</v>
      </c>
      <c r="D39" t="s">
        <v>28</v>
      </c>
      <c r="E39" t="s">
        <v>1166</v>
      </c>
      <c r="G39" t="s">
        <v>2037</v>
      </c>
      <c r="H39" s="37" t="s">
        <v>11</v>
      </c>
      <c r="I39" s="37" t="s">
        <v>23</v>
      </c>
      <c r="J39" t="s">
        <v>16</v>
      </c>
      <c r="K39" t="s">
        <v>1744</v>
      </c>
      <c r="L39" t="s">
        <v>1827</v>
      </c>
      <c r="M39" t="s">
        <v>1546</v>
      </c>
      <c r="N39" s="31">
        <v>1530006</v>
      </c>
      <c r="O39" t="s">
        <v>2895</v>
      </c>
      <c r="P39" t="s">
        <v>1826</v>
      </c>
    </row>
    <row r="40" spans="1:16" x14ac:dyDescent="0.25">
      <c r="A40">
        <v>2023</v>
      </c>
      <c r="B40" t="s">
        <v>772</v>
      </c>
      <c r="C40" t="s">
        <v>145</v>
      </c>
      <c r="D40" t="s">
        <v>146</v>
      </c>
      <c r="E40" t="s">
        <v>1172</v>
      </c>
      <c r="G40" t="s">
        <v>2039</v>
      </c>
      <c r="H40" s="37" t="s">
        <v>11</v>
      </c>
      <c r="I40" s="37" t="s">
        <v>148</v>
      </c>
      <c r="J40" t="s">
        <v>147</v>
      </c>
      <c r="K40" t="s">
        <v>1744</v>
      </c>
      <c r="L40" t="s">
        <v>1711</v>
      </c>
      <c r="M40" t="s">
        <v>1802</v>
      </c>
      <c r="N40" s="31">
        <v>16.600000000000001</v>
      </c>
      <c r="P40" t="s">
        <v>1805</v>
      </c>
    </row>
    <row r="41" spans="1:16" x14ac:dyDescent="0.25">
      <c r="A41">
        <v>2023</v>
      </c>
      <c r="B41" t="s">
        <v>772</v>
      </c>
      <c r="C41" t="s">
        <v>793</v>
      </c>
      <c r="D41" t="s">
        <v>129</v>
      </c>
      <c r="E41" t="s">
        <v>1190</v>
      </c>
      <c r="G41" t="s">
        <v>2046</v>
      </c>
      <c r="H41" s="37" t="s">
        <v>11</v>
      </c>
      <c r="I41" s="37" t="s">
        <v>19</v>
      </c>
      <c r="J41" t="s">
        <v>130</v>
      </c>
      <c r="K41" t="s">
        <v>1744</v>
      </c>
      <c r="L41" t="s">
        <v>1881</v>
      </c>
      <c r="M41" t="s">
        <v>1546</v>
      </c>
      <c r="N41" s="10">
        <v>23170013</v>
      </c>
      <c r="P41" t="s">
        <v>1879</v>
      </c>
    </row>
    <row r="42" spans="1:16" ht="14.45" customHeight="1" x14ac:dyDescent="0.25">
      <c r="A42">
        <v>2023</v>
      </c>
      <c r="B42" t="s">
        <v>772</v>
      </c>
      <c r="C42" t="s">
        <v>793</v>
      </c>
      <c r="D42" t="s">
        <v>129</v>
      </c>
      <c r="E42" t="s">
        <v>1190</v>
      </c>
      <c r="G42" t="s">
        <v>2046</v>
      </c>
      <c r="H42" s="37" t="s">
        <v>11</v>
      </c>
      <c r="I42" s="37" t="s">
        <v>19</v>
      </c>
      <c r="J42" t="s">
        <v>130</v>
      </c>
      <c r="K42" t="s">
        <v>1744</v>
      </c>
      <c r="L42" t="s">
        <v>3056</v>
      </c>
      <c r="M42" t="s">
        <v>1546</v>
      </c>
      <c r="N42" s="10">
        <v>7261.1</v>
      </c>
      <c r="P42" t="s">
        <v>1879</v>
      </c>
    </row>
    <row r="43" spans="1:16" x14ac:dyDescent="0.25">
      <c r="A43">
        <v>2023</v>
      </c>
      <c r="B43" t="s">
        <v>772</v>
      </c>
      <c r="C43" t="s">
        <v>793</v>
      </c>
      <c r="D43" t="s">
        <v>129</v>
      </c>
      <c r="E43" t="s">
        <v>1190</v>
      </c>
      <c r="G43" t="s">
        <v>2046</v>
      </c>
      <c r="H43" s="37" t="s">
        <v>11</v>
      </c>
      <c r="I43" s="37" t="s">
        <v>19</v>
      </c>
      <c r="J43" t="s">
        <v>130</v>
      </c>
      <c r="K43" t="s">
        <v>1744</v>
      </c>
      <c r="L43" t="s">
        <v>1743</v>
      </c>
      <c r="M43" t="s">
        <v>1546</v>
      </c>
      <c r="N43" s="10">
        <v>28177873</v>
      </c>
      <c r="P43" t="s">
        <v>1879</v>
      </c>
    </row>
    <row r="44" spans="1:16" x14ac:dyDescent="0.25">
      <c r="A44">
        <v>2023</v>
      </c>
      <c r="B44" t="s">
        <v>772</v>
      </c>
      <c r="C44" t="s">
        <v>793</v>
      </c>
      <c r="D44" t="s">
        <v>129</v>
      </c>
      <c r="E44" t="s">
        <v>1190</v>
      </c>
      <c r="G44" t="s">
        <v>2046</v>
      </c>
      <c r="H44" s="37" t="s">
        <v>11</v>
      </c>
      <c r="I44" s="37" t="s">
        <v>19</v>
      </c>
      <c r="J44" t="s">
        <v>130</v>
      </c>
      <c r="K44" t="s">
        <v>1744</v>
      </c>
      <c r="L44" t="s">
        <v>1818</v>
      </c>
      <c r="M44" t="s">
        <v>1546</v>
      </c>
      <c r="N44" s="10">
        <v>592.79</v>
      </c>
      <c r="P44" t="s">
        <v>1879</v>
      </c>
    </row>
    <row r="45" spans="1:16" x14ac:dyDescent="0.25">
      <c r="A45">
        <v>2023</v>
      </c>
      <c r="B45" t="s">
        <v>772</v>
      </c>
      <c r="C45" t="s">
        <v>30</v>
      </c>
      <c r="D45" t="s">
        <v>31</v>
      </c>
      <c r="E45" t="s">
        <v>1210</v>
      </c>
      <c r="G45" t="s">
        <v>2062</v>
      </c>
      <c r="H45" s="37" t="s">
        <v>11</v>
      </c>
      <c r="I45" s="37" t="s">
        <v>13</v>
      </c>
      <c r="J45" t="s">
        <v>16</v>
      </c>
      <c r="K45" t="s">
        <v>1744</v>
      </c>
      <c r="L45" t="s">
        <v>1889</v>
      </c>
      <c r="M45" t="s">
        <v>1546</v>
      </c>
      <c r="N45" s="10">
        <v>232583</v>
      </c>
      <c r="P45" t="s">
        <v>1886</v>
      </c>
    </row>
    <row r="46" spans="1:16" x14ac:dyDescent="0.25">
      <c r="A46">
        <v>2023</v>
      </c>
      <c r="B46" t="s">
        <v>772</v>
      </c>
      <c r="C46" t="s">
        <v>30</v>
      </c>
      <c r="D46" t="s">
        <v>31</v>
      </c>
      <c r="E46" t="s">
        <v>1210</v>
      </c>
      <c r="G46" t="s">
        <v>2062</v>
      </c>
      <c r="H46" s="37" t="s">
        <v>11</v>
      </c>
      <c r="I46" s="37" t="s">
        <v>13</v>
      </c>
      <c r="J46" t="s">
        <v>16</v>
      </c>
      <c r="K46" t="s">
        <v>1744</v>
      </c>
      <c r="L46" t="s">
        <v>1622</v>
      </c>
      <c r="M46" t="s">
        <v>1546</v>
      </c>
      <c r="N46" s="10">
        <v>852679</v>
      </c>
      <c r="P46" t="s">
        <v>1886</v>
      </c>
    </row>
    <row r="47" spans="1:16" x14ac:dyDescent="0.25">
      <c r="A47">
        <v>2023</v>
      </c>
      <c r="B47" t="s">
        <v>772</v>
      </c>
      <c r="C47" t="s">
        <v>30</v>
      </c>
      <c r="D47" t="s">
        <v>31</v>
      </c>
      <c r="E47" t="s">
        <v>1210</v>
      </c>
      <c r="G47" t="s">
        <v>2062</v>
      </c>
      <c r="H47" s="37" t="s">
        <v>11</v>
      </c>
      <c r="I47" s="37" t="s">
        <v>13</v>
      </c>
      <c r="J47" t="s">
        <v>16</v>
      </c>
      <c r="K47" t="s">
        <v>1744</v>
      </c>
      <c r="L47" t="s">
        <v>1890</v>
      </c>
      <c r="M47" t="s">
        <v>1546</v>
      </c>
      <c r="N47" s="10">
        <v>1153</v>
      </c>
      <c r="P47" t="s">
        <v>1886</v>
      </c>
    </row>
    <row r="48" spans="1:16" x14ac:dyDescent="0.25">
      <c r="A48">
        <v>2023</v>
      </c>
      <c r="B48" t="s">
        <v>772</v>
      </c>
      <c r="C48" t="s">
        <v>30</v>
      </c>
      <c r="D48" t="s">
        <v>31</v>
      </c>
      <c r="E48" t="s">
        <v>1210</v>
      </c>
      <c r="G48" t="s">
        <v>2062</v>
      </c>
      <c r="H48" s="37" t="s">
        <v>11</v>
      </c>
      <c r="I48" s="37" t="s">
        <v>13</v>
      </c>
      <c r="J48" t="s">
        <v>16</v>
      </c>
      <c r="K48" t="s">
        <v>1744</v>
      </c>
      <c r="L48" t="s">
        <v>1891</v>
      </c>
      <c r="M48" t="s">
        <v>1546</v>
      </c>
      <c r="N48" s="10">
        <v>1406</v>
      </c>
      <c r="P48" t="s">
        <v>1886</v>
      </c>
    </row>
    <row r="49" spans="1:16" x14ac:dyDescent="0.25">
      <c r="A49">
        <v>2024</v>
      </c>
      <c r="B49" t="s">
        <v>772</v>
      </c>
      <c r="C49" t="s">
        <v>798</v>
      </c>
      <c r="D49" t="s">
        <v>71</v>
      </c>
      <c r="E49" t="s">
        <v>1215</v>
      </c>
      <c r="G49" t="s">
        <v>2067</v>
      </c>
      <c r="H49" s="37" t="s">
        <v>11</v>
      </c>
      <c r="I49" s="37" t="s">
        <v>13</v>
      </c>
      <c r="J49" t="s">
        <v>64</v>
      </c>
      <c r="K49" t="s">
        <v>1744</v>
      </c>
      <c r="L49" t="s">
        <v>1817</v>
      </c>
      <c r="M49" s="10" t="s">
        <v>1546</v>
      </c>
      <c r="N49" s="10">
        <v>8877.1664999999994</v>
      </c>
      <c r="P49" t="s">
        <v>1824</v>
      </c>
    </row>
    <row r="50" spans="1:16" x14ac:dyDescent="0.25">
      <c r="A50">
        <v>2024</v>
      </c>
      <c r="B50" t="s">
        <v>772</v>
      </c>
      <c r="C50" t="s">
        <v>798</v>
      </c>
      <c r="D50" t="s">
        <v>71</v>
      </c>
      <c r="E50" t="s">
        <v>1215</v>
      </c>
      <c r="G50" t="s">
        <v>2067</v>
      </c>
      <c r="H50" s="37" t="s">
        <v>11</v>
      </c>
      <c r="I50" s="37" t="s">
        <v>13</v>
      </c>
      <c r="J50" t="s">
        <v>64</v>
      </c>
      <c r="K50" t="s">
        <v>1744</v>
      </c>
      <c r="L50" t="s">
        <v>1818</v>
      </c>
      <c r="M50" s="10" t="s">
        <v>1546</v>
      </c>
      <c r="N50" s="10">
        <v>622.02440707999995</v>
      </c>
      <c r="P50" t="s">
        <v>1824</v>
      </c>
    </row>
    <row r="51" spans="1:16" ht="14.45" customHeight="1" x14ac:dyDescent="0.25">
      <c r="A51">
        <v>2024</v>
      </c>
      <c r="B51" t="s">
        <v>772</v>
      </c>
      <c r="C51" t="s">
        <v>798</v>
      </c>
      <c r="D51" t="s">
        <v>71</v>
      </c>
      <c r="E51" t="s">
        <v>1215</v>
      </c>
      <c r="G51" t="s">
        <v>2067</v>
      </c>
      <c r="H51" s="37" t="s">
        <v>11</v>
      </c>
      <c r="I51" s="37" t="s">
        <v>13</v>
      </c>
      <c r="J51" t="s">
        <v>64</v>
      </c>
      <c r="K51" t="s">
        <v>1744</v>
      </c>
      <c r="L51" t="s">
        <v>1677</v>
      </c>
      <c r="M51" s="10" t="s">
        <v>1546</v>
      </c>
      <c r="N51" s="10">
        <v>9499.1909070799993</v>
      </c>
      <c r="P51" t="s">
        <v>1824</v>
      </c>
    </row>
    <row r="52" spans="1:16" ht="14.45" customHeight="1" x14ac:dyDescent="0.25">
      <c r="A52">
        <v>2024</v>
      </c>
      <c r="B52" t="s">
        <v>772</v>
      </c>
      <c r="C52" t="s">
        <v>798</v>
      </c>
      <c r="D52" t="s">
        <v>71</v>
      </c>
      <c r="E52" t="s">
        <v>1215</v>
      </c>
      <c r="G52" t="s">
        <v>2067</v>
      </c>
      <c r="H52" s="37" t="s">
        <v>11</v>
      </c>
      <c r="I52" s="37" t="s">
        <v>13</v>
      </c>
      <c r="J52" t="s">
        <v>64</v>
      </c>
      <c r="K52" t="s">
        <v>1744</v>
      </c>
      <c r="L52" t="s">
        <v>1819</v>
      </c>
      <c r="M52" s="10" t="s">
        <v>1546</v>
      </c>
      <c r="N52" s="10">
        <v>993271</v>
      </c>
      <c r="P52" t="s">
        <v>1824</v>
      </c>
    </row>
    <row r="53" spans="1:16" x14ac:dyDescent="0.25">
      <c r="A53">
        <v>2024</v>
      </c>
      <c r="B53" t="s">
        <v>772</v>
      </c>
      <c r="C53" t="s">
        <v>798</v>
      </c>
      <c r="D53" t="s">
        <v>71</v>
      </c>
      <c r="E53" t="s">
        <v>1215</v>
      </c>
      <c r="G53" t="s">
        <v>2067</v>
      </c>
      <c r="H53" s="37" t="s">
        <v>11</v>
      </c>
      <c r="I53" s="37" t="s">
        <v>13</v>
      </c>
      <c r="J53" t="s">
        <v>64</v>
      </c>
      <c r="K53" t="s">
        <v>1744</v>
      </c>
      <c r="L53" t="s">
        <v>1820</v>
      </c>
      <c r="M53" s="10" t="s">
        <v>1546</v>
      </c>
      <c r="N53" s="10">
        <v>9499.1910000000007</v>
      </c>
      <c r="P53" t="s">
        <v>1824</v>
      </c>
    </row>
    <row r="54" spans="1:16" x14ac:dyDescent="0.25">
      <c r="A54">
        <v>2024</v>
      </c>
      <c r="B54" t="s">
        <v>772</v>
      </c>
      <c r="C54" t="s">
        <v>798</v>
      </c>
      <c r="D54" t="s">
        <v>71</v>
      </c>
      <c r="E54" t="s">
        <v>1215</v>
      </c>
      <c r="G54" t="s">
        <v>2067</v>
      </c>
      <c r="H54" s="37" t="s">
        <v>11</v>
      </c>
      <c r="I54" s="37" t="s">
        <v>13</v>
      </c>
      <c r="J54" t="s">
        <v>1772</v>
      </c>
      <c r="K54" t="s">
        <v>1744</v>
      </c>
      <c r="L54" t="s">
        <v>1711</v>
      </c>
      <c r="M54" t="s">
        <v>1546</v>
      </c>
      <c r="N54" s="31">
        <v>993271</v>
      </c>
      <c r="P54" t="s">
        <v>1824</v>
      </c>
    </row>
    <row r="55" spans="1:16" x14ac:dyDescent="0.25">
      <c r="A55">
        <v>2024</v>
      </c>
      <c r="B55" t="s">
        <v>772</v>
      </c>
      <c r="C55" t="s">
        <v>855</v>
      </c>
      <c r="D55" t="s">
        <v>33</v>
      </c>
      <c r="E55" t="s">
        <v>1257</v>
      </c>
      <c r="G55" t="s">
        <v>2091</v>
      </c>
      <c r="H55" s="37" t="s">
        <v>11</v>
      </c>
      <c r="I55" s="37" t="s">
        <v>13</v>
      </c>
      <c r="J55" t="s">
        <v>16</v>
      </c>
      <c r="K55" t="s">
        <v>1744</v>
      </c>
      <c r="L55" t="s">
        <v>1711</v>
      </c>
      <c r="M55" t="s">
        <v>1546</v>
      </c>
      <c r="N55" s="31">
        <v>1623010</v>
      </c>
      <c r="P55" t="s">
        <v>2919</v>
      </c>
    </row>
    <row r="56" spans="1:16" x14ac:dyDescent="0.25">
      <c r="A56">
        <v>2023</v>
      </c>
      <c r="B56" t="s">
        <v>772</v>
      </c>
      <c r="C56" t="s">
        <v>73</v>
      </c>
      <c r="D56" t="s">
        <v>74</v>
      </c>
      <c r="E56" t="s">
        <v>1276</v>
      </c>
      <c r="G56" t="s">
        <v>2100</v>
      </c>
      <c r="H56" s="37" t="s">
        <v>11</v>
      </c>
      <c r="I56" s="37" t="s">
        <v>13</v>
      </c>
      <c r="J56" t="s">
        <v>64</v>
      </c>
      <c r="K56" t="s">
        <v>1744</v>
      </c>
      <c r="L56" t="s">
        <v>1920</v>
      </c>
      <c r="M56" t="s">
        <v>1546</v>
      </c>
      <c r="N56" s="10">
        <v>2423604</v>
      </c>
      <c r="P56" t="s">
        <v>1909</v>
      </c>
    </row>
    <row r="57" spans="1:16" x14ac:dyDescent="0.25">
      <c r="A57">
        <v>2023</v>
      </c>
      <c r="B57" t="s">
        <v>772</v>
      </c>
      <c r="C57" t="s">
        <v>73</v>
      </c>
      <c r="D57" t="s">
        <v>74</v>
      </c>
      <c r="E57" t="s">
        <v>1276</v>
      </c>
      <c r="G57" t="s">
        <v>2100</v>
      </c>
      <c r="H57" s="37" t="s">
        <v>11</v>
      </c>
      <c r="I57" s="37" t="s">
        <v>13</v>
      </c>
      <c r="J57" t="s">
        <v>64</v>
      </c>
      <c r="K57" t="s">
        <v>1744</v>
      </c>
      <c r="L57" t="s">
        <v>1921</v>
      </c>
      <c r="M57" t="s">
        <v>1546</v>
      </c>
      <c r="N57" s="10">
        <v>927386</v>
      </c>
      <c r="P57" t="s">
        <v>1909</v>
      </c>
    </row>
    <row r="58" spans="1:16" x14ac:dyDescent="0.25">
      <c r="A58">
        <v>2023</v>
      </c>
      <c r="B58" t="s">
        <v>772</v>
      </c>
      <c r="C58" t="s">
        <v>73</v>
      </c>
      <c r="D58" t="s">
        <v>74</v>
      </c>
      <c r="E58" t="s">
        <v>1276</v>
      </c>
      <c r="G58" t="s">
        <v>2100</v>
      </c>
      <c r="H58" s="37" t="s">
        <v>11</v>
      </c>
      <c r="I58" s="37" t="s">
        <v>13</v>
      </c>
      <c r="J58" t="s">
        <v>64</v>
      </c>
      <c r="K58" t="s">
        <v>1744</v>
      </c>
      <c r="L58" t="s">
        <v>3147</v>
      </c>
      <c r="M58" t="s">
        <v>1546</v>
      </c>
      <c r="N58" s="10">
        <v>10095</v>
      </c>
      <c r="P58" t="s">
        <v>1909</v>
      </c>
    </row>
    <row r="59" spans="1:16" x14ac:dyDescent="0.25">
      <c r="A59">
        <v>2023</v>
      </c>
      <c r="B59" t="s">
        <v>772</v>
      </c>
      <c r="C59" t="s">
        <v>73</v>
      </c>
      <c r="D59" t="s">
        <v>74</v>
      </c>
      <c r="E59" t="s">
        <v>1276</v>
      </c>
      <c r="G59" t="s">
        <v>2100</v>
      </c>
      <c r="H59" s="37" t="s">
        <v>11</v>
      </c>
      <c r="I59" s="37" t="s">
        <v>13</v>
      </c>
      <c r="J59" t="s">
        <v>64</v>
      </c>
      <c r="K59" t="s">
        <v>1744</v>
      </c>
      <c r="L59" t="s">
        <v>1922</v>
      </c>
      <c r="M59" t="s">
        <v>1546</v>
      </c>
      <c r="N59" s="10">
        <v>1185440</v>
      </c>
      <c r="P59" t="s">
        <v>1909</v>
      </c>
    </row>
    <row r="60" spans="1:16" x14ac:dyDescent="0.25">
      <c r="A60">
        <v>2023</v>
      </c>
      <c r="B60" t="s">
        <v>772</v>
      </c>
      <c r="C60" t="s">
        <v>755</v>
      </c>
      <c r="D60" t="s">
        <v>85</v>
      </c>
      <c r="E60" t="s">
        <v>1315</v>
      </c>
      <c r="G60" t="s">
        <v>2132</v>
      </c>
      <c r="H60" t="s">
        <v>11</v>
      </c>
      <c r="I60" t="s">
        <v>23</v>
      </c>
      <c r="J60" t="s">
        <v>84</v>
      </c>
      <c r="K60" t="s">
        <v>1744</v>
      </c>
      <c r="L60" t="s">
        <v>1677</v>
      </c>
      <c r="M60" t="s">
        <v>1546</v>
      </c>
      <c r="N60" s="10">
        <v>1230.6189999999999</v>
      </c>
      <c r="P60" t="s">
        <v>1864</v>
      </c>
    </row>
    <row r="61" spans="1:16" x14ac:dyDescent="0.25">
      <c r="A61">
        <v>2023</v>
      </c>
      <c r="B61" t="s">
        <v>772</v>
      </c>
      <c r="C61" t="s">
        <v>755</v>
      </c>
      <c r="D61" t="s">
        <v>85</v>
      </c>
      <c r="E61" t="s">
        <v>1315</v>
      </c>
      <c r="G61" t="s">
        <v>2132</v>
      </c>
      <c r="H61" t="s">
        <v>11</v>
      </c>
      <c r="I61" t="s">
        <v>23</v>
      </c>
      <c r="J61" t="s">
        <v>84</v>
      </c>
      <c r="K61" t="s">
        <v>1744</v>
      </c>
      <c r="L61" t="s">
        <v>1743</v>
      </c>
      <c r="M61" t="s">
        <v>1546</v>
      </c>
      <c r="N61" s="10">
        <v>2970929</v>
      </c>
      <c r="P61" t="s">
        <v>1864</v>
      </c>
    </row>
    <row r="62" spans="1:16" x14ac:dyDescent="0.25">
      <c r="A62">
        <v>2023</v>
      </c>
      <c r="B62" t="s">
        <v>772</v>
      </c>
      <c r="C62" t="s">
        <v>755</v>
      </c>
      <c r="D62" t="s">
        <v>85</v>
      </c>
      <c r="E62" t="s">
        <v>1315</v>
      </c>
      <c r="G62" t="s">
        <v>2132</v>
      </c>
      <c r="H62" t="s">
        <v>11</v>
      </c>
      <c r="I62" t="s">
        <v>23</v>
      </c>
      <c r="J62" t="s">
        <v>84</v>
      </c>
      <c r="K62" t="s">
        <v>1744</v>
      </c>
      <c r="L62" t="s">
        <v>1624</v>
      </c>
      <c r="M62" t="s">
        <v>1546</v>
      </c>
      <c r="N62" s="10">
        <v>573564</v>
      </c>
      <c r="P62" t="s">
        <v>1864</v>
      </c>
    </row>
    <row r="63" spans="1:16" x14ac:dyDescent="0.25">
      <c r="A63">
        <v>2023</v>
      </c>
      <c r="B63" t="s">
        <v>772</v>
      </c>
      <c r="C63" t="s">
        <v>755</v>
      </c>
      <c r="D63" t="s">
        <v>85</v>
      </c>
      <c r="E63" t="s">
        <v>1315</v>
      </c>
      <c r="G63" t="s">
        <v>2132</v>
      </c>
      <c r="H63" t="s">
        <v>11</v>
      </c>
      <c r="I63" t="s">
        <v>23</v>
      </c>
      <c r="J63" t="s">
        <v>1772</v>
      </c>
      <c r="K63" t="s">
        <v>1744</v>
      </c>
      <c r="L63" t="s">
        <v>1711</v>
      </c>
      <c r="M63" t="s">
        <v>1566</v>
      </c>
      <c r="N63" s="31">
        <v>574</v>
      </c>
      <c r="P63" t="s">
        <v>1710</v>
      </c>
    </row>
    <row r="64" spans="1:16" x14ac:dyDescent="0.25">
      <c r="A64">
        <v>2023</v>
      </c>
      <c r="B64" t="s">
        <v>772</v>
      </c>
      <c r="C64" t="s">
        <v>755</v>
      </c>
      <c r="D64" t="s">
        <v>76</v>
      </c>
      <c r="E64" t="s">
        <v>1314</v>
      </c>
      <c r="G64" t="s">
        <v>2132</v>
      </c>
      <c r="H64" t="s">
        <v>11</v>
      </c>
      <c r="I64" t="s">
        <v>13</v>
      </c>
      <c r="J64" t="s">
        <v>64</v>
      </c>
      <c r="K64" t="s">
        <v>1744</v>
      </c>
      <c r="L64" t="s">
        <v>1677</v>
      </c>
      <c r="M64" t="s">
        <v>1546</v>
      </c>
      <c r="N64" s="10">
        <v>2158.62</v>
      </c>
      <c r="P64" t="s">
        <v>1864</v>
      </c>
    </row>
    <row r="65" spans="1:16" ht="14.45" customHeight="1" x14ac:dyDescent="0.25">
      <c r="A65">
        <v>2023</v>
      </c>
      <c r="B65" t="s">
        <v>772</v>
      </c>
      <c r="C65" t="s">
        <v>755</v>
      </c>
      <c r="D65" t="s">
        <v>76</v>
      </c>
      <c r="E65" t="s">
        <v>1314</v>
      </c>
      <c r="G65" t="s">
        <v>2132</v>
      </c>
      <c r="H65" t="s">
        <v>11</v>
      </c>
      <c r="I65" t="s">
        <v>13</v>
      </c>
      <c r="J65" t="s">
        <v>64</v>
      </c>
      <c r="K65" t="s">
        <v>1744</v>
      </c>
      <c r="L65" t="s">
        <v>1743</v>
      </c>
      <c r="M65" t="s">
        <v>1546</v>
      </c>
      <c r="N65" s="10">
        <v>8764782</v>
      </c>
      <c r="P65" t="s">
        <v>1864</v>
      </c>
    </row>
    <row r="66" spans="1:16" x14ac:dyDescent="0.25">
      <c r="A66">
        <v>2023</v>
      </c>
      <c r="B66" t="s">
        <v>772</v>
      </c>
      <c r="C66" t="s">
        <v>755</v>
      </c>
      <c r="D66" t="s">
        <v>76</v>
      </c>
      <c r="E66" t="s">
        <v>1314</v>
      </c>
      <c r="G66" t="s">
        <v>2132</v>
      </c>
      <c r="H66" t="s">
        <v>11</v>
      </c>
      <c r="I66" t="s">
        <v>13</v>
      </c>
      <c r="J66" t="s">
        <v>64</v>
      </c>
      <c r="K66" t="s">
        <v>1744</v>
      </c>
      <c r="L66" t="s">
        <v>1624</v>
      </c>
      <c r="M66" t="s">
        <v>1546</v>
      </c>
      <c r="N66" s="10">
        <v>30433778</v>
      </c>
      <c r="P66" t="s">
        <v>1864</v>
      </c>
    </row>
    <row r="67" spans="1:16" x14ac:dyDescent="0.25">
      <c r="A67">
        <v>2023</v>
      </c>
      <c r="B67" t="s">
        <v>772</v>
      </c>
      <c r="C67" t="s">
        <v>755</v>
      </c>
      <c r="D67" t="s">
        <v>76</v>
      </c>
      <c r="E67" t="s">
        <v>1314</v>
      </c>
      <c r="G67" t="s">
        <v>2132</v>
      </c>
      <c r="H67" t="s">
        <v>11</v>
      </c>
      <c r="I67" t="s">
        <v>13</v>
      </c>
      <c r="J67" t="s">
        <v>1772</v>
      </c>
      <c r="K67" t="s">
        <v>1744</v>
      </c>
      <c r="L67" t="s">
        <v>1711</v>
      </c>
      <c r="M67" t="s">
        <v>1566</v>
      </c>
      <c r="N67" s="31">
        <v>31553</v>
      </c>
      <c r="P67" t="s">
        <v>1710</v>
      </c>
    </row>
    <row r="68" spans="1:16" x14ac:dyDescent="0.25">
      <c r="A68">
        <v>2023</v>
      </c>
      <c r="B68" t="s">
        <v>772</v>
      </c>
      <c r="C68" t="s">
        <v>39</v>
      </c>
      <c r="D68" t="s">
        <v>41</v>
      </c>
      <c r="E68" t="s">
        <v>1316</v>
      </c>
      <c r="G68" t="s">
        <v>2133</v>
      </c>
      <c r="H68" t="s">
        <v>11</v>
      </c>
      <c r="I68" t="s">
        <v>13</v>
      </c>
      <c r="J68" t="s">
        <v>16</v>
      </c>
      <c r="K68" t="s">
        <v>1744</v>
      </c>
      <c r="L68" s="27" t="s">
        <v>1743</v>
      </c>
      <c r="M68" t="s">
        <v>1546</v>
      </c>
      <c r="N68" s="10">
        <v>1660564</v>
      </c>
      <c r="P68" t="s">
        <v>1865</v>
      </c>
    </row>
    <row r="69" spans="1:16" x14ac:dyDescent="0.25">
      <c r="A69">
        <v>2023</v>
      </c>
      <c r="B69" t="s">
        <v>772</v>
      </c>
      <c r="C69" t="s">
        <v>39</v>
      </c>
      <c r="D69" t="s">
        <v>41</v>
      </c>
      <c r="E69" t="s">
        <v>1316</v>
      </c>
      <c r="G69" t="s">
        <v>2133</v>
      </c>
      <c r="H69" t="s">
        <v>11</v>
      </c>
      <c r="I69" t="s">
        <v>13</v>
      </c>
      <c r="J69" t="s">
        <v>16</v>
      </c>
      <c r="K69" t="s">
        <v>1744</v>
      </c>
      <c r="L69" s="27" t="s">
        <v>1624</v>
      </c>
      <c r="M69" t="s">
        <v>1546</v>
      </c>
      <c r="N69" s="10">
        <v>600794</v>
      </c>
      <c r="P69" t="s">
        <v>1865</v>
      </c>
    </row>
    <row r="70" spans="1:16" x14ac:dyDescent="0.25">
      <c r="A70">
        <v>2023</v>
      </c>
      <c r="B70" t="s">
        <v>772</v>
      </c>
      <c r="C70" t="s">
        <v>39</v>
      </c>
      <c r="D70" t="s">
        <v>78</v>
      </c>
      <c r="E70" t="s">
        <v>1321</v>
      </c>
      <c r="G70" t="s">
        <v>2133</v>
      </c>
      <c r="H70" t="s">
        <v>11</v>
      </c>
      <c r="I70" t="s">
        <v>21</v>
      </c>
      <c r="J70" t="s">
        <v>64</v>
      </c>
      <c r="K70" t="s">
        <v>1744</v>
      </c>
      <c r="L70" s="27" t="s">
        <v>1743</v>
      </c>
      <c r="M70" t="s">
        <v>1546</v>
      </c>
      <c r="N70" s="10">
        <v>1028185</v>
      </c>
      <c r="P70" t="s">
        <v>1865</v>
      </c>
    </row>
    <row r="71" spans="1:16" x14ac:dyDescent="0.25">
      <c r="A71">
        <v>2023</v>
      </c>
      <c r="B71" t="s">
        <v>772</v>
      </c>
      <c r="C71" t="s">
        <v>39</v>
      </c>
      <c r="D71" t="s">
        <v>78</v>
      </c>
      <c r="E71" t="s">
        <v>1321</v>
      </c>
      <c r="G71" t="s">
        <v>2133</v>
      </c>
      <c r="H71" t="s">
        <v>11</v>
      </c>
      <c r="I71" t="s">
        <v>21</v>
      </c>
      <c r="J71" t="s">
        <v>64</v>
      </c>
      <c r="K71" t="s">
        <v>1744</v>
      </c>
      <c r="L71" s="27" t="s">
        <v>1624</v>
      </c>
      <c r="M71" t="s">
        <v>1546</v>
      </c>
      <c r="N71" s="10">
        <v>701214</v>
      </c>
      <c r="P71" t="s">
        <v>1865</v>
      </c>
    </row>
    <row r="72" spans="1:16" x14ac:dyDescent="0.25">
      <c r="A72">
        <v>2023</v>
      </c>
      <c r="B72" t="s">
        <v>1537</v>
      </c>
      <c r="C72" t="s">
        <v>39</v>
      </c>
      <c r="D72" t="s">
        <v>1587</v>
      </c>
      <c r="F72" t="s">
        <v>1750</v>
      </c>
      <c r="G72" t="s">
        <v>2133</v>
      </c>
      <c r="H72" t="s">
        <v>11</v>
      </c>
      <c r="I72" t="s">
        <v>17</v>
      </c>
      <c r="J72" t="s">
        <v>16</v>
      </c>
      <c r="K72" t="s">
        <v>1744</v>
      </c>
      <c r="L72" s="27" t="s">
        <v>1743</v>
      </c>
      <c r="M72" t="s">
        <v>1546</v>
      </c>
      <c r="N72" s="10">
        <v>2911165</v>
      </c>
      <c r="P72" t="s">
        <v>1865</v>
      </c>
    </row>
    <row r="73" spans="1:16" x14ac:dyDescent="0.25">
      <c r="A73">
        <v>2023</v>
      </c>
      <c r="B73" t="s">
        <v>1537</v>
      </c>
      <c r="C73" t="s">
        <v>39</v>
      </c>
      <c r="D73" t="s">
        <v>1587</v>
      </c>
      <c r="F73" t="s">
        <v>1750</v>
      </c>
      <c r="G73" t="s">
        <v>2133</v>
      </c>
      <c r="H73" t="s">
        <v>11</v>
      </c>
      <c r="I73" t="s">
        <v>17</v>
      </c>
      <c r="J73" t="s">
        <v>16</v>
      </c>
      <c r="K73" t="s">
        <v>1744</v>
      </c>
      <c r="L73" s="27" t="s">
        <v>1624</v>
      </c>
      <c r="M73" t="s">
        <v>1546</v>
      </c>
      <c r="N73" s="10">
        <v>4629650</v>
      </c>
      <c r="P73" t="s">
        <v>1865</v>
      </c>
    </row>
    <row r="74" spans="1:16" x14ac:dyDescent="0.25">
      <c r="A74">
        <v>2023</v>
      </c>
      <c r="B74" t="s">
        <v>1537</v>
      </c>
      <c r="C74" t="s">
        <v>756</v>
      </c>
      <c r="D74" t="s">
        <v>1536</v>
      </c>
      <c r="F74" t="s">
        <v>1751</v>
      </c>
      <c r="G74" t="s">
        <v>2148</v>
      </c>
      <c r="H74" s="37" t="s">
        <v>11</v>
      </c>
      <c r="I74" s="37" t="s">
        <v>13</v>
      </c>
      <c r="J74" t="s">
        <v>16</v>
      </c>
      <c r="K74" t="s">
        <v>1744</v>
      </c>
      <c r="L74" t="s">
        <v>1640</v>
      </c>
      <c r="M74" t="s">
        <v>1641</v>
      </c>
      <c r="N74" s="10">
        <v>24.1</v>
      </c>
      <c r="P74" t="s">
        <v>1866</v>
      </c>
    </row>
    <row r="75" spans="1:16" x14ac:dyDescent="0.25">
      <c r="A75">
        <v>2023</v>
      </c>
      <c r="B75" t="s">
        <v>1537</v>
      </c>
      <c r="C75" t="s">
        <v>756</v>
      </c>
      <c r="D75" t="s">
        <v>1536</v>
      </c>
      <c r="F75" t="s">
        <v>1751</v>
      </c>
      <c r="G75" t="s">
        <v>2148</v>
      </c>
      <c r="H75" s="37" t="s">
        <v>11</v>
      </c>
      <c r="I75" s="37" t="s">
        <v>13</v>
      </c>
      <c r="J75" t="s">
        <v>16</v>
      </c>
      <c r="K75" t="s">
        <v>1744</v>
      </c>
      <c r="L75" t="s">
        <v>1642</v>
      </c>
      <c r="M75" t="s">
        <v>1641</v>
      </c>
      <c r="N75" s="10">
        <v>13.8</v>
      </c>
      <c r="P75" t="s">
        <v>1866</v>
      </c>
    </row>
    <row r="76" spans="1:16" x14ac:dyDescent="0.25">
      <c r="A76">
        <v>2023</v>
      </c>
      <c r="B76" t="s">
        <v>1537</v>
      </c>
      <c r="C76" t="s">
        <v>756</v>
      </c>
      <c r="D76" t="s">
        <v>1536</v>
      </c>
      <c r="F76" t="s">
        <v>1751</v>
      </c>
      <c r="G76" t="s">
        <v>2148</v>
      </c>
      <c r="H76" s="37" t="s">
        <v>11</v>
      </c>
      <c r="I76" s="37" t="s">
        <v>13</v>
      </c>
      <c r="J76" t="s">
        <v>16</v>
      </c>
      <c r="K76" t="s">
        <v>1744</v>
      </c>
      <c r="L76" t="s">
        <v>1644</v>
      </c>
      <c r="M76" t="s">
        <v>1643</v>
      </c>
      <c r="N76" s="10">
        <v>1573733.1</v>
      </c>
      <c r="P76" t="s">
        <v>1866</v>
      </c>
    </row>
    <row r="77" spans="1:16" x14ac:dyDescent="0.25">
      <c r="A77">
        <v>2023</v>
      </c>
      <c r="B77" t="s">
        <v>1537</v>
      </c>
      <c r="C77" t="s">
        <v>756</v>
      </c>
      <c r="D77" t="s">
        <v>1536</v>
      </c>
      <c r="F77" t="s">
        <v>1751</v>
      </c>
      <c r="G77" t="s">
        <v>2148</v>
      </c>
      <c r="H77" s="37" t="s">
        <v>11</v>
      </c>
      <c r="I77" s="37" t="s">
        <v>13</v>
      </c>
      <c r="J77" t="s">
        <v>16</v>
      </c>
      <c r="K77" t="s">
        <v>1744</v>
      </c>
      <c r="L77" t="s">
        <v>1645</v>
      </c>
      <c r="M77" t="s">
        <v>1643</v>
      </c>
      <c r="N77" s="10">
        <v>401350</v>
      </c>
      <c r="P77" t="s">
        <v>1866</v>
      </c>
    </row>
    <row r="78" spans="1:16" x14ac:dyDescent="0.25">
      <c r="A78">
        <v>2023</v>
      </c>
      <c r="B78" t="s">
        <v>1537</v>
      </c>
      <c r="C78" t="s">
        <v>756</v>
      </c>
      <c r="D78" t="s">
        <v>1536</v>
      </c>
      <c r="F78" t="s">
        <v>1751</v>
      </c>
      <c r="G78" t="s">
        <v>2148</v>
      </c>
      <c r="H78" s="37" t="s">
        <v>11</v>
      </c>
      <c r="I78" s="37" t="s">
        <v>13</v>
      </c>
      <c r="J78" t="s">
        <v>16</v>
      </c>
      <c r="K78" t="s">
        <v>1744</v>
      </c>
      <c r="L78" t="s">
        <v>1646</v>
      </c>
      <c r="M78" t="s">
        <v>1546</v>
      </c>
      <c r="N78" s="10">
        <v>103803</v>
      </c>
      <c r="P78" t="s">
        <v>1866</v>
      </c>
    </row>
    <row r="79" spans="1:16" x14ac:dyDescent="0.25">
      <c r="A79">
        <v>2023</v>
      </c>
      <c r="B79" t="s">
        <v>1537</v>
      </c>
      <c r="C79" t="s">
        <v>756</v>
      </c>
      <c r="D79" t="s">
        <v>1536</v>
      </c>
      <c r="F79" t="s">
        <v>1751</v>
      </c>
      <c r="G79" t="s">
        <v>2148</v>
      </c>
      <c r="H79" s="37" t="s">
        <v>11</v>
      </c>
      <c r="I79" s="37" t="s">
        <v>13</v>
      </c>
      <c r="J79" t="s">
        <v>16</v>
      </c>
      <c r="K79" t="s">
        <v>1744</v>
      </c>
      <c r="L79" t="s">
        <v>1647</v>
      </c>
      <c r="M79" t="s">
        <v>1546</v>
      </c>
      <c r="N79" s="10">
        <v>573800</v>
      </c>
      <c r="P79" t="s">
        <v>1866</v>
      </c>
    </row>
    <row r="80" spans="1:16" x14ac:dyDescent="0.25">
      <c r="A80">
        <v>2023</v>
      </c>
      <c r="B80" t="s">
        <v>1537</v>
      </c>
      <c r="C80" t="s">
        <v>902</v>
      </c>
      <c r="D80" t="s">
        <v>1943</v>
      </c>
      <c r="F80" t="s">
        <v>1942</v>
      </c>
      <c r="G80" t="s">
        <v>2169</v>
      </c>
      <c r="H80" s="37" t="s">
        <v>11</v>
      </c>
      <c r="I80" s="37" t="s">
        <v>44</v>
      </c>
      <c r="J80" t="s">
        <v>16</v>
      </c>
      <c r="K80" t="s">
        <v>1744</v>
      </c>
      <c r="L80" t="s">
        <v>1944</v>
      </c>
      <c r="M80" t="s">
        <v>1546</v>
      </c>
      <c r="N80" s="10">
        <v>318053</v>
      </c>
      <c r="P80" t="s">
        <v>1886</v>
      </c>
    </row>
    <row r="81" spans="1:16" x14ac:dyDescent="0.25">
      <c r="A81">
        <v>2023</v>
      </c>
      <c r="B81" t="s">
        <v>1537</v>
      </c>
      <c r="C81" t="s">
        <v>902</v>
      </c>
      <c r="D81" t="s">
        <v>1943</v>
      </c>
      <c r="F81" t="s">
        <v>1942</v>
      </c>
      <c r="G81" t="s">
        <v>2169</v>
      </c>
      <c r="H81" s="37" t="s">
        <v>11</v>
      </c>
      <c r="I81" s="37" t="s">
        <v>44</v>
      </c>
      <c r="J81" t="s">
        <v>16</v>
      </c>
      <c r="K81" t="s">
        <v>1744</v>
      </c>
      <c r="L81" t="s">
        <v>1827</v>
      </c>
      <c r="M81" t="s">
        <v>1546</v>
      </c>
      <c r="N81" s="10">
        <v>307070</v>
      </c>
      <c r="P81" t="s">
        <v>1886</v>
      </c>
    </row>
    <row r="82" spans="1:16" x14ac:dyDescent="0.25">
      <c r="A82">
        <v>2023</v>
      </c>
      <c r="B82" t="s">
        <v>1537</v>
      </c>
      <c r="C82" t="s">
        <v>902</v>
      </c>
      <c r="D82" t="s">
        <v>1943</v>
      </c>
      <c r="F82" t="s">
        <v>1942</v>
      </c>
      <c r="G82" t="s">
        <v>2169</v>
      </c>
      <c r="H82" s="37" t="s">
        <v>11</v>
      </c>
      <c r="I82" s="37" t="s">
        <v>44</v>
      </c>
      <c r="J82" t="s">
        <v>16</v>
      </c>
      <c r="K82" t="s">
        <v>1744</v>
      </c>
      <c r="L82" t="s">
        <v>1945</v>
      </c>
      <c r="M82" t="s">
        <v>1546</v>
      </c>
      <c r="N82" s="10">
        <v>307070</v>
      </c>
      <c r="P82" t="s">
        <v>1886</v>
      </c>
    </row>
    <row r="83" spans="1:16" x14ac:dyDescent="0.25">
      <c r="A83">
        <v>2023</v>
      </c>
      <c r="B83" t="s">
        <v>1537</v>
      </c>
      <c r="C83" t="s">
        <v>902</v>
      </c>
      <c r="D83" t="s">
        <v>1943</v>
      </c>
      <c r="F83" t="s">
        <v>1942</v>
      </c>
      <c r="G83" t="s">
        <v>2169</v>
      </c>
      <c r="H83" s="37" t="s">
        <v>11</v>
      </c>
      <c r="I83" s="37" t="s">
        <v>44</v>
      </c>
      <c r="J83" t="s">
        <v>16</v>
      </c>
      <c r="K83" t="s">
        <v>1744</v>
      </c>
      <c r="L83" t="s">
        <v>1757</v>
      </c>
      <c r="M83" t="s">
        <v>1546</v>
      </c>
      <c r="N83" s="10">
        <v>84</v>
      </c>
      <c r="P83" t="s">
        <v>1886</v>
      </c>
    </row>
    <row r="84" spans="1:16" x14ac:dyDescent="0.25">
      <c r="A84">
        <v>2023</v>
      </c>
      <c r="B84" t="s">
        <v>772</v>
      </c>
      <c r="C84" t="s">
        <v>135</v>
      </c>
      <c r="D84" t="s">
        <v>136</v>
      </c>
      <c r="E84" t="s">
        <v>1395</v>
      </c>
      <c r="G84" t="s">
        <v>2182</v>
      </c>
      <c r="H84" s="37" t="s">
        <v>11</v>
      </c>
      <c r="I84" s="37" t="s">
        <v>19</v>
      </c>
      <c r="J84" t="s">
        <v>137</v>
      </c>
      <c r="K84" t="s">
        <v>1744</v>
      </c>
      <c r="L84" t="s">
        <v>1622</v>
      </c>
      <c r="M84" t="s">
        <v>1546</v>
      </c>
      <c r="N84" s="10">
        <v>27122843</v>
      </c>
      <c r="P84" t="s">
        <v>1886</v>
      </c>
    </row>
    <row r="85" spans="1:16" x14ac:dyDescent="0.25">
      <c r="A85">
        <v>2023</v>
      </c>
      <c r="B85" t="s">
        <v>772</v>
      </c>
      <c r="C85" t="s">
        <v>135</v>
      </c>
      <c r="D85" t="s">
        <v>136</v>
      </c>
      <c r="E85" t="s">
        <v>1395</v>
      </c>
      <c r="G85" t="s">
        <v>2182</v>
      </c>
      <c r="H85" s="37" t="s">
        <v>11</v>
      </c>
      <c r="I85" s="37" t="s">
        <v>19</v>
      </c>
      <c r="J85" t="s">
        <v>137</v>
      </c>
      <c r="K85" t="s">
        <v>1744</v>
      </c>
      <c r="L85" t="s">
        <v>1707</v>
      </c>
      <c r="M85" t="s">
        <v>1546</v>
      </c>
      <c r="N85" s="10">
        <v>44910851</v>
      </c>
      <c r="P85" t="s">
        <v>1886</v>
      </c>
    </row>
    <row r="86" spans="1:16" x14ac:dyDescent="0.25">
      <c r="A86">
        <v>2023</v>
      </c>
      <c r="B86" t="s">
        <v>772</v>
      </c>
      <c r="C86" t="s">
        <v>730</v>
      </c>
      <c r="D86" t="s">
        <v>59</v>
      </c>
      <c r="E86" t="s">
        <v>1439</v>
      </c>
      <c r="G86" t="s">
        <v>2202</v>
      </c>
      <c r="H86" s="37" t="s">
        <v>11</v>
      </c>
      <c r="I86" s="37" t="s">
        <v>13</v>
      </c>
      <c r="J86" t="s">
        <v>16</v>
      </c>
      <c r="K86" t="s">
        <v>1744</v>
      </c>
      <c r="L86" t="s">
        <v>1707</v>
      </c>
      <c r="M86" t="s">
        <v>1546</v>
      </c>
      <c r="N86" s="10">
        <v>144569</v>
      </c>
      <c r="P86" t="s">
        <v>1867</v>
      </c>
    </row>
    <row r="87" spans="1:16" x14ac:dyDescent="0.25">
      <c r="A87">
        <v>2023</v>
      </c>
      <c r="B87" t="s">
        <v>772</v>
      </c>
      <c r="C87" t="s">
        <v>730</v>
      </c>
      <c r="D87" t="s">
        <v>59</v>
      </c>
      <c r="E87" t="s">
        <v>1439</v>
      </c>
      <c r="G87" t="s">
        <v>2202</v>
      </c>
      <c r="H87" s="37" t="s">
        <v>11</v>
      </c>
      <c r="I87" s="37" t="s">
        <v>13</v>
      </c>
      <c r="J87" t="s">
        <v>16</v>
      </c>
      <c r="K87" t="s">
        <v>1744</v>
      </c>
      <c r="L87" t="s">
        <v>1727</v>
      </c>
      <c r="M87" t="s">
        <v>1546</v>
      </c>
      <c r="N87" s="10">
        <v>225768</v>
      </c>
      <c r="P87" t="s">
        <v>1867</v>
      </c>
    </row>
    <row r="88" spans="1:16" x14ac:dyDescent="0.25">
      <c r="A88">
        <v>2023</v>
      </c>
      <c r="B88" t="s">
        <v>772</v>
      </c>
      <c r="C88" t="s">
        <v>730</v>
      </c>
      <c r="D88" t="s">
        <v>59</v>
      </c>
      <c r="E88" t="s">
        <v>1439</v>
      </c>
      <c r="G88" t="s">
        <v>2202</v>
      </c>
      <c r="H88" s="37" t="s">
        <v>11</v>
      </c>
      <c r="I88" s="37" t="s">
        <v>13</v>
      </c>
      <c r="J88" t="s">
        <v>16</v>
      </c>
      <c r="K88" t="s">
        <v>1744</v>
      </c>
      <c r="L88" t="s">
        <v>1693</v>
      </c>
      <c r="M88" t="s">
        <v>1546</v>
      </c>
      <c r="N88" s="10">
        <v>1486</v>
      </c>
      <c r="P88" t="s">
        <v>1867</v>
      </c>
    </row>
    <row r="89" spans="1:16" x14ac:dyDescent="0.25">
      <c r="A89">
        <v>2023</v>
      </c>
      <c r="B89" t="s">
        <v>772</v>
      </c>
      <c r="C89" t="s">
        <v>730</v>
      </c>
      <c r="D89" t="s">
        <v>60</v>
      </c>
      <c r="E89" t="s">
        <v>1437</v>
      </c>
      <c r="G89" t="s">
        <v>2202</v>
      </c>
      <c r="H89" s="37" t="s">
        <v>11</v>
      </c>
      <c r="I89" s="37" t="s">
        <v>19</v>
      </c>
      <c r="J89" t="s">
        <v>16</v>
      </c>
      <c r="K89" t="s">
        <v>1744</v>
      </c>
      <c r="L89" t="s">
        <v>1707</v>
      </c>
      <c r="M89" t="s">
        <v>1546</v>
      </c>
      <c r="N89" s="10">
        <v>162150</v>
      </c>
      <c r="P89" t="s">
        <v>1867</v>
      </c>
    </row>
    <row r="90" spans="1:16" x14ac:dyDescent="0.25">
      <c r="A90">
        <v>2023</v>
      </c>
      <c r="B90" t="s">
        <v>772</v>
      </c>
      <c r="C90" t="s">
        <v>730</v>
      </c>
      <c r="D90" t="s">
        <v>60</v>
      </c>
      <c r="E90" t="s">
        <v>1437</v>
      </c>
      <c r="G90" t="s">
        <v>2202</v>
      </c>
      <c r="H90" s="37" t="s">
        <v>11</v>
      </c>
      <c r="I90" s="37" t="s">
        <v>19</v>
      </c>
      <c r="J90" t="s">
        <v>16</v>
      </c>
      <c r="K90" t="s">
        <v>1744</v>
      </c>
      <c r="L90" t="s">
        <v>1727</v>
      </c>
      <c r="M90" t="s">
        <v>1546</v>
      </c>
      <c r="N90" s="10">
        <v>198644</v>
      </c>
      <c r="P90" t="s">
        <v>1867</v>
      </c>
    </row>
    <row r="91" spans="1:16" x14ac:dyDescent="0.25">
      <c r="A91">
        <v>2023</v>
      </c>
      <c r="B91" t="s">
        <v>772</v>
      </c>
      <c r="C91" t="s">
        <v>730</v>
      </c>
      <c r="D91" t="s">
        <v>60</v>
      </c>
      <c r="E91" t="s">
        <v>1437</v>
      </c>
      <c r="G91" t="s">
        <v>2202</v>
      </c>
      <c r="H91" s="37" t="s">
        <v>11</v>
      </c>
      <c r="I91" s="37" t="s">
        <v>19</v>
      </c>
      <c r="J91" t="s">
        <v>16</v>
      </c>
      <c r="K91" t="s">
        <v>1744</v>
      </c>
      <c r="L91" t="s">
        <v>1693</v>
      </c>
      <c r="M91" t="s">
        <v>1546</v>
      </c>
      <c r="N91" s="10">
        <v>749</v>
      </c>
      <c r="P91" t="s">
        <v>1867</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sheetPr filterMode="1"/>
  <dimension ref="A1:T293"/>
  <sheetViews>
    <sheetView zoomScaleNormal="100" workbookViewId="0">
      <pane xSplit="6" topLeftCell="G1" activePane="topRight" state="frozen"/>
      <selection pane="topRight" activeCell="L223" sqref="L223"/>
    </sheetView>
  </sheetViews>
  <sheetFormatPr baseColWidth="10" defaultColWidth="8.7109375" defaultRowHeight="15" x14ac:dyDescent="0.25"/>
  <cols>
    <col min="2" max="2" width="17" bestFit="1" customWidth="1"/>
    <col min="3" max="3" width="31.140625" bestFit="1" customWidth="1"/>
    <col min="4" max="4" width="21.140625" bestFit="1" customWidth="1"/>
    <col min="5" max="5" width="18.140625" bestFit="1" customWidth="1"/>
    <col min="6" max="7" width="18.85546875" customWidth="1"/>
    <col min="8" max="8" width="24.140625" style="37" bestFit="1" customWidth="1"/>
    <col min="9" max="9" width="31.42578125" style="37" bestFit="1" customWidth="1"/>
    <col min="10" max="10" width="83.42578125" bestFit="1" customWidth="1"/>
    <col min="11" max="11" width="21.5703125" bestFit="1" customWidth="1"/>
    <col min="12" max="12" width="21.5703125" customWidth="1"/>
    <col min="13" max="13" width="18.85546875" bestFit="1" customWidth="1"/>
    <col min="14" max="14" width="42" bestFit="1" customWidth="1"/>
    <col min="15" max="15" width="36.85546875" customWidth="1"/>
    <col min="16" max="16" width="66.5703125" bestFit="1" customWidth="1"/>
    <col min="17" max="17" width="16.5703125" bestFit="1" customWidth="1"/>
    <col min="18" max="18" width="23.5703125" style="10" bestFit="1" customWidth="1"/>
    <col min="19" max="19" width="121.140625" bestFit="1" customWidth="1"/>
    <col min="20" max="20" width="56.42578125" bestFit="1" customWidth="1"/>
  </cols>
  <sheetData>
    <row r="1" spans="1:20" x14ac:dyDescent="0.25">
      <c r="A1" s="6" t="s">
        <v>1538</v>
      </c>
      <c r="B1" s="6" t="s">
        <v>1553</v>
      </c>
      <c r="C1" s="7" t="s">
        <v>0</v>
      </c>
      <c r="D1" s="6" t="s">
        <v>1653</v>
      </c>
      <c r="E1" s="6" t="s">
        <v>2</v>
      </c>
      <c r="F1" s="6" t="s">
        <v>2012</v>
      </c>
      <c r="G1" s="6" t="s">
        <v>2010</v>
      </c>
      <c r="H1" s="36" t="s">
        <v>4</v>
      </c>
      <c r="I1" s="36" t="s">
        <v>6</v>
      </c>
      <c r="J1" s="6" t="s">
        <v>1540</v>
      </c>
      <c r="K1" s="6" t="s">
        <v>3037</v>
      </c>
      <c r="L1" s="6" t="s">
        <v>3065</v>
      </c>
      <c r="M1" s="6" t="s">
        <v>3064</v>
      </c>
      <c r="N1" s="6" t="s">
        <v>2980</v>
      </c>
      <c r="O1" s="6" t="s">
        <v>3053</v>
      </c>
      <c r="P1" s="6" t="s">
        <v>2984</v>
      </c>
      <c r="Q1" s="6" t="s">
        <v>1542</v>
      </c>
      <c r="R1" s="9" t="s">
        <v>2482</v>
      </c>
      <c r="S1" s="6" t="s">
        <v>7</v>
      </c>
      <c r="T1" s="6" t="s">
        <v>1543</v>
      </c>
    </row>
    <row r="2" spans="1:20" hidden="1" x14ac:dyDescent="0.25">
      <c r="A2">
        <v>2023</v>
      </c>
      <c r="B2" t="s">
        <v>772</v>
      </c>
      <c r="C2" t="s">
        <v>39</v>
      </c>
      <c r="D2" t="s">
        <v>77</v>
      </c>
      <c r="E2" t="s">
        <v>1323</v>
      </c>
      <c r="G2" t="s">
        <v>2133</v>
      </c>
      <c r="H2" s="37" t="s">
        <v>11</v>
      </c>
      <c r="I2" s="37" t="s">
        <v>13</v>
      </c>
      <c r="J2" t="s">
        <v>64</v>
      </c>
      <c r="K2" t="s">
        <v>2982</v>
      </c>
      <c r="L2" t="s">
        <v>3068</v>
      </c>
      <c r="M2" t="s">
        <v>3055</v>
      </c>
      <c r="N2" t="s">
        <v>2982</v>
      </c>
      <c r="O2" s="39" t="s">
        <v>3058</v>
      </c>
      <c r="P2" t="s">
        <v>1616</v>
      </c>
      <c r="Q2" t="s">
        <v>1617</v>
      </c>
      <c r="R2" s="10">
        <v>7</v>
      </c>
      <c r="S2" t="s">
        <v>1616</v>
      </c>
      <c r="T2" t="s">
        <v>1865</v>
      </c>
    </row>
    <row r="3" spans="1:20" hidden="1" x14ac:dyDescent="0.25">
      <c r="A3">
        <v>2023</v>
      </c>
      <c r="B3" t="s">
        <v>772</v>
      </c>
      <c r="C3" t="s">
        <v>39</v>
      </c>
      <c r="D3" t="s">
        <v>77</v>
      </c>
      <c r="E3" t="s">
        <v>1323</v>
      </c>
      <c r="G3" t="s">
        <v>2133</v>
      </c>
      <c r="H3" s="37" t="s">
        <v>11</v>
      </c>
      <c r="I3" s="37" t="s">
        <v>13</v>
      </c>
      <c r="J3" t="s">
        <v>64</v>
      </c>
      <c r="K3" t="s">
        <v>2983</v>
      </c>
      <c r="L3" t="s">
        <v>3066</v>
      </c>
      <c r="M3" t="s">
        <v>3055</v>
      </c>
      <c r="N3" t="s">
        <v>3040</v>
      </c>
      <c r="O3" s="39" t="s">
        <v>3057</v>
      </c>
      <c r="P3" t="s">
        <v>1605</v>
      </c>
      <c r="Q3" t="s">
        <v>1635</v>
      </c>
      <c r="R3" s="10">
        <v>30881.462464386499</v>
      </c>
      <c r="S3" t="s">
        <v>1605</v>
      </c>
      <c r="T3" t="s">
        <v>1865</v>
      </c>
    </row>
    <row r="4" spans="1:20" hidden="1" x14ac:dyDescent="0.25">
      <c r="A4">
        <v>2023</v>
      </c>
      <c r="B4" t="s">
        <v>772</v>
      </c>
      <c r="C4" t="s">
        <v>39</v>
      </c>
      <c r="D4" t="s">
        <v>77</v>
      </c>
      <c r="E4" t="s">
        <v>1323</v>
      </c>
      <c r="G4" t="s">
        <v>2133</v>
      </c>
      <c r="H4" s="37" t="s">
        <v>11</v>
      </c>
      <c r="I4" s="37" t="s">
        <v>13</v>
      </c>
      <c r="J4" t="s">
        <v>64</v>
      </c>
      <c r="K4" t="s">
        <v>2983</v>
      </c>
      <c r="L4" t="s">
        <v>3066</v>
      </c>
      <c r="M4" t="s">
        <v>3055</v>
      </c>
      <c r="N4" t="s">
        <v>3040</v>
      </c>
      <c r="O4" s="39" t="s">
        <v>3057</v>
      </c>
      <c r="P4" t="s">
        <v>1606</v>
      </c>
      <c r="Q4" t="s">
        <v>1635</v>
      </c>
      <c r="R4" s="10">
        <v>1153.8249914</v>
      </c>
      <c r="S4" t="s">
        <v>1606</v>
      </c>
      <c r="T4" t="s">
        <v>1865</v>
      </c>
    </row>
    <row r="5" spans="1:20" hidden="1" x14ac:dyDescent="0.25">
      <c r="A5">
        <v>2023</v>
      </c>
      <c r="B5" t="s">
        <v>772</v>
      </c>
      <c r="C5" t="s">
        <v>39</v>
      </c>
      <c r="D5" t="s">
        <v>77</v>
      </c>
      <c r="E5" t="s">
        <v>1323</v>
      </c>
      <c r="G5" t="s">
        <v>2133</v>
      </c>
      <c r="H5" s="37" t="s">
        <v>11</v>
      </c>
      <c r="I5" s="37" t="s">
        <v>13</v>
      </c>
      <c r="J5" t="s">
        <v>64</v>
      </c>
      <c r="K5" t="s">
        <v>2983</v>
      </c>
      <c r="L5" t="s">
        <v>3066</v>
      </c>
      <c r="M5" t="s">
        <v>3055</v>
      </c>
      <c r="N5" t="s">
        <v>3040</v>
      </c>
      <c r="O5" s="39" t="s">
        <v>3057</v>
      </c>
      <c r="P5" t="s">
        <v>1607</v>
      </c>
      <c r="Q5" t="s">
        <v>1635</v>
      </c>
      <c r="R5" s="10">
        <v>77581.033383311107</v>
      </c>
      <c r="S5" t="s">
        <v>1607</v>
      </c>
      <c r="T5" t="s">
        <v>1865</v>
      </c>
    </row>
    <row r="6" spans="1:20" hidden="1" x14ac:dyDescent="0.25">
      <c r="A6">
        <v>2023</v>
      </c>
      <c r="B6" t="s">
        <v>772</v>
      </c>
      <c r="C6" t="s">
        <v>14</v>
      </c>
      <c r="D6" t="s">
        <v>65</v>
      </c>
      <c r="E6" t="s">
        <v>1125</v>
      </c>
      <c r="G6" t="s">
        <v>2016</v>
      </c>
      <c r="H6" s="37" t="s">
        <v>11</v>
      </c>
      <c r="I6" s="37" t="s">
        <v>13</v>
      </c>
      <c r="J6" t="s">
        <v>64</v>
      </c>
      <c r="K6" t="s">
        <v>2983</v>
      </c>
      <c r="L6" t="s">
        <v>3066</v>
      </c>
      <c r="M6" t="s">
        <v>3055</v>
      </c>
      <c r="N6" t="s">
        <v>1636</v>
      </c>
      <c r="O6" s="39" t="s">
        <v>3059</v>
      </c>
      <c r="P6" t="s">
        <v>707</v>
      </c>
      <c r="Q6" t="s">
        <v>1546</v>
      </c>
      <c r="R6" s="10">
        <v>4802</v>
      </c>
      <c r="S6" s="21" t="s">
        <v>1671</v>
      </c>
      <c r="T6" t="s">
        <v>2973</v>
      </c>
    </row>
    <row r="7" spans="1:20" hidden="1" x14ac:dyDescent="0.25">
      <c r="A7">
        <v>2023</v>
      </c>
      <c r="B7" t="s">
        <v>772</v>
      </c>
      <c r="C7" t="s">
        <v>14</v>
      </c>
      <c r="D7" t="s">
        <v>65</v>
      </c>
      <c r="E7" t="s">
        <v>1125</v>
      </c>
      <c r="G7" t="s">
        <v>2016</v>
      </c>
      <c r="H7" s="37" t="s">
        <v>11</v>
      </c>
      <c r="I7" s="37" t="s">
        <v>13</v>
      </c>
      <c r="J7" t="s">
        <v>64</v>
      </c>
      <c r="K7" t="s">
        <v>2983</v>
      </c>
      <c r="L7" t="s">
        <v>3066</v>
      </c>
      <c r="M7" t="s">
        <v>3055</v>
      </c>
      <c r="N7" t="s">
        <v>1637</v>
      </c>
      <c r="O7" s="39" t="s">
        <v>3063</v>
      </c>
      <c r="P7" t="s">
        <v>707</v>
      </c>
      <c r="Q7" t="s">
        <v>1546</v>
      </c>
      <c r="R7" s="10">
        <v>315</v>
      </c>
      <c r="S7" s="21" t="s">
        <v>1671</v>
      </c>
      <c r="T7" t="s">
        <v>2973</v>
      </c>
    </row>
    <row r="8" spans="1:20" hidden="1" x14ac:dyDescent="0.25">
      <c r="A8">
        <v>2023</v>
      </c>
      <c r="B8" t="s">
        <v>772</v>
      </c>
      <c r="C8" t="s">
        <v>14</v>
      </c>
      <c r="D8" t="s">
        <v>65</v>
      </c>
      <c r="E8" t="s">
        <v>1125</v>
      </c>
      <c r="G8" t="s">
        <v>2016</v>
      </c>
      <c r="H8" s="37" t="s">
        <v>11</v>
      </c>
      <c r="I8" s="37" t="s">
        <v>13</v>
      </c>
      <c r="J8" t="s">
        <v>64</v>
      </c>
      <c r="K8" t="s">
        <v>2982</v>
      </c>
      <c r="L8" t="s">
        <v>3068</v>
      </c>
      <c r="M8" t="s">
        <v>3055</v>
      </c>
      <c r="N8" t="s">
        <v>2982</v>
      </c>
      <c r="O8" s="39" t="s">
        <v>3058</v>
      </c>
      <c r="P8" t="s">
        <v>1616</v>
      </c>
      <c r="Q8" t="s">
        <v>1638</v>
      </c>
      <c r="R8" s="10">
        <v>12904502</v>
      </c>
      <c r="S8" t="s">
        <v>1616</v>
      </c>
      <c r="T8" t="s">
        <v>2973</v>
      </c>
    </row>
    <row r="9" spans="1:20" hidden="1" x14ac:dyDescent="0.25">
      <c r="A9">
        <v>2023</v>
      </c>
      <c r="B9" t="s">
        <v>772</v>
      </c>
      <c r="C9" t="s">
        <v>14</v>
      </c>
      <c r="D9" t="s">
        <v>65</v>
      </c>
      <c r="E9" t="s">
        <v>1125</v>
      </c>
      <c r="G9" t="s">
        <v>2016</v>
      </c>
      <c r="H9" s="37" t="s">
        <v>11</v>
      </c>
      <c r="I9" s="37" t="s">
        <v>13</v>
      </c>
      <c r="J9" t="s">
        <v>64</v>
      </c>
      <c r="K9" t="s">
        <v>2982</v>
      </c>
      <c r="L9" t="s">
        <v>3070</v>
      </c>
      <c r="M9" t="s">
        <v>3055</v>
      </c>
      <c r="N9" t="s">
        <v>2982</v>
      </c>
      <c r="O9" s="39" t="s">
        <v>3058</v>
      </c>
      <c r="P9" t="s">
        <v>1639</v>
      </c>
      <c r="Q9" t="s">
        <v>1638</v>
      </c>
      <c r="R9" s="10">
        <v>12929907</v>
      </c>
      <c r="S9" t="s">
        <v>1639</v>
      </c>
      <c r="T9" t="s">
        <v>2973</v>
      </c>
    </row>
    <row r="10" spans="1:20" hidden="1" x14ac:dyDescent="0.25">
      <c r="A10">
        <v>2023</v>
      </c>
      <c r="B10" t="s">
        <v>772</v>
      </c>
      <c r="C10" t="s">
        <v>14</v>
      </c>
      <c r="D10" t="s">
        <v>65</v>
      </c>
      <c r="E10" t="s">
        <v>1125</v>
      </c>
      <c r="G10" t="s">
        <v>2016</v>
      </c>
      <c r="H10" s="37" t="s">
        <v>11</v>
      </c>
      <c r="I10" s="37" t="s">
        <v>13</v>
      </c>
      <c r="J10" t="s">
        <v>64</v>
      </c>
      <c r="K10" t="s">
        <v>2982</v>
      </c>
      <c r="L10" t="s">
        <v>3069</v>
      </c>
      <c r="M10" t="s">
        <v>3055</v>
      </c>
      <c r="N10" t="s">
        <v>2982</v>
      </c>
      <c r="O10" s="39" t="s">
        <v>3058</v>
      </c>
      <c r="P10" t="s">
        <v>1676</v>
      </c>
      <c r="Q10" t="s">
        <v>1638</v>
      </c>
      <c r="R10" s="10">
        <v>7468148</v>
      </c>
      <c r="S10" t="s">
        <v>1676</v>
      </c>
      <c r="T10" t="s">
        <v>2973</v>
      </c>
    </row>
    <row r="11" spans="1:20" hidden="1" x14ac:dyDescent="0.25">
      <c r="A11">
        <v>2023</v>
      </c>
      <c r="B11" t="s">
        <v>772</v>
      </c>
      <c r="C11" t="s">
        <v>14</v>
      </c>
      <c r="D11" t="s">
        <v>65</v>
      </c>
      <c r="E11" t="s">
        <v>1125</v>
      </c>
      <c r="G11" t="s">
        <v>2016</v>
      </c>
      <c r="H11" s="37" t="s">
        <v>11</v>
      </c>
      <c r="I11" s="37" t="s">
        <v>13</v>
      </c>
      <c r="J11" t="s">
        <v>64</v>
      </c>
      <c r="K11" t="s">
        <v>2981</v>
      </c>
      <c r="L11" t="s">
        <v>3067</v>
      </c>
      <c r="O11" s="39"/>
      <c r="P11" t="s">
        <v>1682</v>
      </c>
      <c r="Q11" t="s">
        <v>1629</v>
      </c>
      <c r="R11" s="10">
        <v>2445</v>
      </c>
      <c r="S11" t="s">
        <v>1682</v>
      </c>
      <c r="T11" t="s">
        <v>2973</v>
      </c>
    </row>
    <row r="12" spans="1:20" hidden="1" x14ac:dyDescent="0.25">
      <c r="A12">
        <v>2023</v>
      </c>
      <c r="B12" t="s">
        <v>772</v>
      </c>
      <c r="C12" t="s">
        <v>14</v>
      </c>
      <c r="D12" t="s">
        <v>65</v>
      </c>
      <c r="E12" t="s">
        <v>1125</v>
      </c>
      <c r="G12" t="s">
        <v>2016</v>
      </c>
      <c r="H12" s="37" t="s">
        <v>11</v>
      </c>
      <c r="I12" s="37" t="s">
        <v>13</v>
      </c>
      <c r="J12" t="s">
        <v>64</v>
      </c>
      <c r="K12" t="s">
        <v>2981</v>
      </c>
      <c r="L12" t="s">
        <v>3067</v>
      </c>
      <c r="O12" s="39"/>
      <c r="P12" t="s">
        <v>1683</v>
      </c>
      <c r="Q12" t="s">
        <v>1629</v>
      </c>
      <c r="R12" s="10">
        <v>2074</v>
      </c>
      <c r="S12" t="s">
        <v>1683</v>
      </c>
      <c r="T12" t="s">
        <v>2973</v>
      </c>
    </row>
    <row r="13" spans="1:20" hidden="1" x14ac:dyDescent="0.25">
      <c r="A13">
        <v>2023</v>
      </c>
      <c r="B13" t="s">
        <v>772</v>
      </c>
      <c r="C13" t="s">
        <v>14</v>
      </c>
      <c r="D13" t="s">
        <v>65</v>
      </c>
      <c r="E13" t="s">
        <v>1125</v>
      </c>
      <c r="G13" t="s">
        <v>2016</v>
      </c>
      <c r="H13" s="37" t="s">
        <v>11</v>
      </c>
      <c r="I13" s="37" t="s">
        <v>13</v>
      </c>
      <c r="J13" t="s">
        <v>64</v>
      </c>
      <c r="K13" t="s">
        <v>2981</v>
      </c>
      <c r="L13" t="s">
        <v>3067</v>
      </c>
      <c r="O13" s="39"/>
      <c r="P13" t="s">
        <v>1684</v>
      </c>
      <c r="Q13" t="s">
        <v>1629</v>
      </c>
      <c r="R13" s="10">
        <v>371</v>
      </c>
      <c r="S13" t="s">
        <v>1684</v>
      </c>
      <c r="T13" t="s">
        <v>2973</v>
      </c>
    </row>
    <row r="14" spans="1:20" hidden="1" x14ac:dyDescent="0.25">
      <c r="A14">
        <v>2023</v>
      </c>
      <c r="B14" t="s">
        <v>772</v>
      </c>
      <c r="C14" t="s">
        <v>14</v>
      </c>
      <c r="D14" t="s">
        <v>65</v>
      </c>
      <c r="E14" t="s">
        <v>1125</v>
      </c>
      <c r="G14" t="s">
        <v>2016</v>
      </c>
      <c r="H14" s="37" t="s">
        <v>11</v>
      </c>
      <c r="I14" s="37" t="s">
        <v>13</v>
      </c>
      <c r="J14" t="s">
        <v>64</v>
      </c>
      <c r="K14" t="s">
        <v>2982</v>
      </c>
      <c r="L14" t="s">
        <v>3068</v>
      </c>
      <c r="M14" t="s">
        <v>3055</v>
      </c>
      <c r="N14" t="s">
        <v>2982</v>
      </c>
      <c r="O14" s="39" t="s">
        <v>3058</v>
      </c>
      <c r="P14" t="s">
        <v>1753</v>
      </c>
      <c r="Q14" t="s">
        <v>1638</v>
      </c>
      <c r="R14" s="10">
        <v>635385</v>
      </c>
      <c r="S14" t="s">
        <v>1672</v>
      </c>
      <c r="T14" t="s">
        <v>2973</v>
      </c>
    </row>
    <row r="15" spans="1:20" hidden="1" x14ac:dyDescent="0.25">
      <c r="A15">
        <v>2023</v>
      </c>
      <c r="B15" t="s">
        <v>772</v>
      </c>
      <c r="C15" t="s">
        <v>861</v>
      </c>
      <c r="D15" t="s">
        <v>164</v>
      </c>
      <c r="E15" t="s">
        <v>1282</v>
      </c>
      <c r="G15" t="s">
        <v>2105</v>
      </c>
      <c r="H15" s="37" t="s">
        <v>11</v>
      </c>
      <c r="I15" s="37" t="s">
        <v>19</v>
      </c>
      <c r="J15" t="s">
        <v>157</v>
      </c>
      <c r="K15" t="s">
        <v>2983</v>
      </c>
      <c r="L15" t="s">
        <v>3066</v>
      </c>
      <c r="M15" t="s">
        <v>3055</v>
      </c>
      <c r="N15" t="s">
        <v>3040</v>
      </c>
      <c r="O15" s="39" t="s">
        <v>3057</v>
      </c>
      <c r="P15" t="s">
        <v>1692</v>
      </c>
      <c r="Q15" t="s">
        <v>1635</v>
      </c>
      <c r="R15">
        <f>599+146+118+33</f>
        <v>896</v>
      </c>
      <c r="S15" t="s">
        <v>1692</v>
      </c>
      <c r="T15" t="s">
        <v>1904</v>
      </c>
    </row>
    <row r="16" spans="1:20" hidden="1" x14ac:dyDescent="0.25">
      <c r="A16">
        <v>2023</v>
      </c>
      <c r="B16" t="s">
        <v>772</v>
      </c>
      <c r="C16" t="s">
        <v>8</v>
      </c>
      <c r="D16" t="s">
        <v>72</v>
      </c>
      <c r="E16" t="s">
        <v>1263</v>
      </c>
      <c r="G16" t="s">
        <v>1895</v>
      </c>
      <c r="H16" s="37" t="s">
        <v>11</v>
      </c>
      <c r="I16" s="37" t="s">
        <v>21</v>
      </c>
      <c r="J16" t="s">
        <v>130</v>
      </c>
      <c r="K16" t="s">
        <v>2983</v>
      </c>
      <c r="L16" t="s">
        <v>3066</v>
      </c>
      <c r="M16" t="s">
        <v>3055</v>
      </c>
      <c r="N16" t="s">
        <v>3040</v>
      </c>
      <c r="O16" s="39" t="s">
        <v>3057</v>
      </c>
      <c r="P16" t="s">
        <v>1605</v>
      </c>
      <c r="Q16" t="s">
        <v>1635</v>
      </c>
      <c r="R16" s="10">
        <v>33340</v>
      </c>
      <c r="S16" t="s">
        <v>1605</v>
      </c>
      <c r="T16" t="s">
        <v>1904</v>
      </c>
    </row>
    <row r="17" spans="1:20" hidden="1" x14ac:dyDescent="0.25">
      <c r="A17">
        <v>2023</v>
      </c>
      <c r="B17" t="s">
        <v>772</v>
      </c>
      <c r="C17" t="s">
        <v>8</v>
      </c>
      <c r="D17" t="s">
        <v>72</v>
      </c>
      <c r="E17" t="s">
        <v>1263</v>
      </c>
      <c r="G17" t="s">
        <v>1895</v>
      </c>
      <c r="H17" s="37" t="s">
        <v>11</v>
      </c>
      <c r="I17" s="37" t="s">
        <v>21</v>
      </c>
      <c r="J17" t="s">
        <v>130</v>
      </c>
      <c r="K17" t="s">
        <v>2983</v>
      </c>
      <c r="L17" t="s">
        <v>3066</v>
      </c>
      <c r="M17" t="s">
        <v>3055</v>
      </c>
      <c r="N17" t="s">
        <v>3040</v>
      </c>
      <c r="O17" s="39" t="s">
        <v>3057</v>
      </c>
      <c r="P17" t="s">
        <v>1606</v>
      </c>
      <c r="Q17" t="s">
        <v>1635</v>
      </c>
      <c r="R17" s="10">
        <v>179</v>
      </c>
      <c r="S17" t="s">
        <v>1606</v>
      </c>
      <c r="T17" t="s">
        <v>1904</v>
      </c>
    </row>
    <row r="18" spans="1:20" hidden="1" x14ac:dyDescent="0.25">
      <c r="A18">
        <v>2023</v>
      </c>
      <c r="B18" t="s">
        <v>772</v>
      </c>
      <c r="C18" t="s">
        <v>717</v>
      </c>
      <c r="D18" t="s">
        <v>132</v>
      </c>
      <c r="E18" t="s">
        <v>1270</v>
      </c>
      <c r="G18" t="s">
        <v>1848</v>
      </c>
      <c r="H18" s="37" t="s">
        <v>11</v>
      </c>
      <c r="I18" s="37" t="s">
        <v>19</v>
      </c>
      <c r="J18" t="s">
        <v>130</v>
      </c>
      <c r="K18" t="s">
        <v>2983</v>
      </c>
      <c r="L18" t="s">
        <v>3066</v>
      </c>
      <c r="M18" t="s">
        <v>3055</v>
      </c>
      <c r="N18" t="s">
        <v>3040</v>
      </c>
      <c r="O18" s="39" t="s">
        <v>3057</v>
      </c>
      <c r="P18" t="s">
        <v>1605</v>
      </c>
      <c r="Q18" s="10" t="s">
        <v>1782</v>
      </c>
      <c r="R18" s="10">
        <v>67</v>
      </c>
      <c r="S18" t="s">
        <v>1605</v>
      </c>
      <c r="T18" t="s">
        <v>1781</v>
      </c>
    </row>
    <row r="19" spans="1:20" hidden="1" x14ac:dyDescent="0.25">
      <c r="A19">
        <v>2023</v>
      </c>
      <c r="B19" t="s">
        <v>772</v>
      </c>
      <c r="C19" t="s">
        <v>717</v>
      </c>
      <c r="D19" t="s">
        <v>132</v>
      </c>
      <c r="E19" t="s">
        <v>1270</v>
      </c>
      <c r="G19" t="s">
        <v>1848</v>
      </c>
      <c r="H19" s="37" t="s">
        <v>11</v>
      </c>
      <c r="I19" s="37" t="s">
        <v>19</v>
      </c>
      <c r="J19" t="s">
        <v>130</v>
      </c>
      <c r="K19" t="s">
        <v>2983</v>
      </c>
      <c r="L19" t="s">
        <v>3066</v>
      </c>
      <c r="M19" t="s">
        <v>3055</v>
      </c>
      <c r="N19" t="s">
        <v>3040</v>
      </c>
      <c r="O19" s="39" t="s">
        <v>3057</v>
      </c>
      <c r="P19" t="s">
        <v>1606</v>
      </c>
      <c r="Q19" s="10" t="s">
        <v>1782</v>
      </c>
      <c r="R19" s="10">
        <v>8</v>
      </c>
      <c r="S19" t="s">
        <v>1606</v>
      </c>
      <c r="T19" t="s">
        <v>1781</v>
      </c>
    </row>
    <row r="20" spans="1:20" hidden="1" x14ac:dyDescent="0.25">
      <c r="A20">
        <v>2023</v>
      </c>
      <c r="B20" t="s">
        <v>772</v>
      </c>
      <c r="C20" t="s">
        <v>14</v>
      </c>
      <c r="D20" t="s">
        <v>18</v>
      </c>
      <c r="E20" t="s">
        <v>1127</v>
      </c>
      <c r="G20" t="s">
        <v>2016</v>
      </c>
      <c r="H20" s="37" t="s">
        <v>11</v>
      </c>
      <c r="I20" s="37" t="s">
        <v>19</v>
      </c>
      <c r="J20" t="s">
        <v>16</v>
      </c>
      <c r="K20" t="s">
        <v>2983</v>
      </c>
      <c r="L20" t="s">
        <v>3066</v>
      </c>
      <c r="M20" t="s">
        <v>3055</v>
      </c>
      <c r="N20" t="s">
        <v>1636</v>
      </c>
      <c r="O20" s="39" t="s">
        <v>3059</v>
      </c>
      <c r="P20" t="s">
        <v>707</v>
      </c>
      <c r="Q20" t="s">
        <v>1546</v>
      </c>
      <c r="R20" s="10">
        <v>7414</v>
      </c>
      <c r="S20" s="21" t="s">
        <v>1671</v>
      </c>
      <c r="T20" t="s">
        <v>2973</v>
      </c>
    </row>
    <row r="21" spans="1:20" hidden="1" x14ac:dyDescent="0.25">
      <c r="A21">
        <v>2023</v>
      </c>
      <c r="B21" t="s">
        <v>772</v>
      </c>
      <c r="C21" t="s">
        <v>14</v>
      </c>
      <c r="D21" t="s">
        <v>18</v>
      </c>
      <c r="E21" t="s">
        <v>1127</v>
      </c>
      <c r="G21" t="s">
        <v>2016</v>
      </c>
      <c r="H21" s="37" t="s">
        <v>11</v>
      </c>
      <c r="I21" s="37" t="s">
        <v>19</v>
      </c>
      <c r="J21" t="s">
        <v>16</v>
      </c>
      <c r="K21" t="s">
        <v>2983</v>
      </c>
      <c r="L21" t="s">
        <v>3066</v>
      </c>
      <c r="M21" t="s">
        <v>3055</v>
      </c>
      <c r="N21" t="s">
        <v>1637</v>
      </c>
      <c r="O21" s="39" t="s">
        <v>3063</v>
      </c>
      <c r="P21" t="s">
        <v>707</v>
      </c>
      <c r="Q21" t="s">
        <v>1546</v>
      </c>
      <c r="R21" s="10">
        <v>486</v>
      </c>
      <c r="S21" s="21" t="s">
        <v>1671</v>
      </c>
      <c r="T21" t="s">
        <v>2973</v>
      </c>
    </row>
    <row r="22" spans="1:20" hidden="1" x14ac:dyDescent="0.25">
      <c r="A22">
        <v>2023</v>
      </c>
      <c r="B22" t="s">
        <v>772</v>
      </c>
      <c r="C22" t="s">
        <v>14</v>
      </c>
      <c r="D22" t="s">
        <v>18</v>
      </c>
      <c r="E22" t="s">
        <v>1127</v>
      </c>
      <c r="G22" t="s">
        <v>2016</v>
      </c>
      <c r="H22" s="37" t="s">
        <v>11</v>
      </c>
      <c r="I22" s="37" t="s">
        <v>19</v>
      </c>
      <c r="J22" t="s">
        <v>16</v>
      </c>
      <c r="K22" t="s">
        <v>2982</v>
      </c>
      <c r="L22" t="s">
        <v>3068</v>
      </c>
      <c r="M22" t="s">
        <v>3055</v>
      </c>
      <c r="N22" t="s">
        <v>2982</v>
      </c>
      <c r="O22" s="39" t="s">
        <v>3058</v>
      </c>
      <c r="P22" t="s">
        <v>1616</v>
      </c>
      <c r="Q22" t="s">
        <v>1638</v>
      </c>
      <c r="R22" s="10">
        <v>595540</v>
      </c>
      <c r="S22" t="s">
        <v>1616</v>
      </c>
      <c r="T22" t="s">
        <v>2973</v>
      </c>
    </row>
    <row r="23" spans="1:20" hidden="1" x14ac:dyDescent="0.25">
      <c r="A23">
        <v>2023</v>
      </c>
      <c r="B23" t="s">
        <v>772</v>
      </c>
      <c r="C23" t="s">
        <v>14</v>
      </c>
      <c r="D23" t="s">
        <v>18</v>
      </c>
      <c r="E23" t="s">
        <v>1127</v>
      </c>
      <c r="G23" t="s">
        <v>2016</v>
      </c>
      <c r="H23" s="37" t="s">
        <v>11</v>
      </c>
      <c r="I23" s="37" t="s">
        <v>19</v>
      </c>
      <c r="J23" t="s">
        <v>16</v>
      </c>
      <c r="K23" t="s">
        <v>2982</v>
      </c>
      <c r="L23" t="s">
        <v>3070</v>
      </c>
      <c r="M23" t="s">
        <v>3055</v>
      </c>
      <c r="N23" t="s">
        <v>2982</v>
      </c>
      <c r="O23" s="39" t="s">
        <v>3058</v>
      </c>
      <c r="P23" t="s">
        <v>1639</v>
      </c>
      <c r="Q23" t="s">
        <v>1638</v>
      </c>
      <c r="R23" s="10">
        <v>6298809</v>
      </c>
      <c r="S23" t="s">
        <v>1639</v>
      </c>
      <c r="T23" t="s">
        <v>2973</v>
      </c>
    </row>
    <row r="24" spans="1:20" hidden="1" x14ac:dyDescent="0.25">
      <c r="A24">
        <v>2023</v>
      </c>
      <c r="B24" t="s">
        <v>772</v>
      </c>
      <c r="C24" t="s">
        <v>14</v>
      </c>
      <c r="D24" t="s">
        <v>18</v>
      </c>
      <c r="E24" t="s">
        <v>1127</v>
      </c>
      <c r="G24" t="s">
        <v>2016</v>
      </c>
      <c r="H24" s="37" t="s">
        <v>11</v>
      </c>
      <c r="I24" s="37" t="s">
        <v>19</v>
      </c>
      <c r="J24" t="s">
        <v>16</v>
      </c>
      <c r="K24" t="s">
        <v>2982</v>
      </c>
      <c r="L24" t="s">
        <v>3069</v>
      </c>
      <c r="M24" t="s">
        <v>3055</v>
      </c>
      <c r="N24" t="s">
        <v>2982</v>
      </c>
      <c r="O24" s="39" t="s">
        <v>3058</v>
      </c>
      <c r="P24" t="s">
        <v>1676</v>
      </c>
      <c r="Q24" t="s">
        <v>1638</v>
      </c>
      <c r="R24" s="10">
        <v>4374352</v>
      </c>
      <c r="S24" t="s">
        <v>1676</v>
      </c>
      <c r="T24" t="s">
        <v>2973</v>
      </c>
    </row>
    <row r="25" spans="1:20" hidden="1" x14ac:dyDescent="0.25">
      <c r="A25">
        <v>2023</v>
      </c>
      <c r="B25" t="s">
        <v>772</v>
      </c>
      <c r="C25" t="s">
        <v>14</v>
      </c>
      <c r="D25" t="s">
        <v>18</v>
      </c>
      <c r="E25" t="s">
        <v>1127</v>
      </c>
      <c r="G25" t="s">
        <v>2016</v>
      </c>
      <c r="H25" s="37" t="s">
        <v>11</v>
      </c>
      <c r="I25" s="37" t="s">
        <v>19</v>
      </c>
      <c r="J25" t="s">
        <v>16</v>
      </c>
      <c r="K25" t="s">
        <v>2981</v>
      </c>
      <c r="L25" t="s">
        <v>3067</v>
      </c>
      <c r="O25" s="39"/>
      <c r="P25" t="s">
        <v>1682</v>
      </c>
      <c r="Q25" t="s">
        <v>1629</v>
      </c>
      <c r="R25" s="10">
        <v>64093</v>
      </c>
      <c r="S25" t="s">
        <v>1682</v>
      </c>
      <c r="T25" t="s">
        <v>2973</v>
      </c>
    </row>
    <row r="26" spans="1:20" hidden="1" x14ac:dyDescent="0.25">
      <c r="A26">
        <v>2023</v>
      </c>
      <c r="B26" t="s">
        <v>772</v>
      </c>
      <c r="C26" t="s">
        <v>14</v>
      </c>
      <c r="D26" t="s">
        <v>18</v>
      </c>
      <c r="E26" t="s">
        <v>1127</v>
      </c>
      <c r="G26" t="s">
        <v>2016</v>
      </c>
      <c r="H26" s="37" t="s">
        <v>11</v>
      </c>
      <c r="I26" s="37" t="s">
        <v>19</v>
      </c>
      <c r="J26" t="s">
        <v>16</v>
      </c>
      <c r="K26" t="s">
        <v>2981</v>
      </c>
      <c r="L26" t="s">
        <v>3067</v>
      </c>
      <c r="O26" s="39"/>
      <c r="P26" t="s">
        <v>1683</v>
      </c>
      <c r="Q26" t="s">
        <v>1629</v>
      </c>
      <c r="R26" s="10">
        <v>3399</v>
      </c>
      <c r="S26" t="s">
        <v>1683</v>
      </c>
      <c r="T26" t="s">
        <v>2973</v>
      </c>
    </row>
    <row r="27" spans="1:20" hidden="1" x14ac:dyDescent="0.25">
      <c r="A27">
        <v>2023</v>
      </c>
      <c r="B27" t="s">
        <v>772</v>
      </c>
      <c r="C27" t="s">
        <v>14</v>
      </c>
      <c r="D27" t="s">
        <v>18</v>
      </c>
      <c r="E27" t="s">
        <v>1127</v>
      </c>
      <c r="G27" t="s">
        <v>2016</v>
      </c>
      <c r="H27" s="37" t="s">
        <v>11</v>
      </c>
      <c r="I27" s="37" t="s">
        <v>19</v>
      </c>
      <c r="J27" t="s">
        <v>16</v>
      </c>
      <c r="K27" t="s">
        <v>2981</v>
      </c>
      <c r="L27" t="s">
        <v>3067</v>
      </c>
      <c r="O27" s="39"/>
      <c r="P27" t="s">
        <v>1684</v>
      </c>
      <c r="Q27" t="s">
        <v>1629</v>
      </c>
      <c r="R27" s="10">
        <v>60694</v>
      </c>
      <c r="S27" t="s">
        <v>1684</v>
      </c>
      <c r="T27" t="s">
        <v>2973</v>
      </c>
    </row>
    <row r="28" spans="1:20" hidden="1" x14ac:dyDescent="0.25">
      <c r="A28">
        <v>2023</v>
      </c>
      <c r="B28" t="s">
        <v>772</v>
      </c>
      <c r="C28" t="s">
        <v>14</v>
      </c>
      <c r="D28" t="s">
        <v>18</v>
      </c>
      <c r="E28" t="s">
        <v>1127</v>
      </c>
      <c r="G28" t="s">
        <v>2016</v>
      </c>
      <c r="H28" s="37" t="s">
        <v>11</v>
      </c>
      <c r="I28" s="37" t="s">
        <v>19</v>
      </c>
      <c r="J28" t="s">
        <v>16</v>
      </c>
      <c r="K28" t="s">
        <v>2982</v>
      </c>
      <c r="L28" t="s">
        <v>3068</v>
      </c>
      <c r="M28" t="s">
        <v>3055</v>
      </c>
      <c r="N28" t="s">
        <v>2982</v>
      </c>
      <c r="O28" s="39" t="s">
        <v>3058</v>
      </c>
      <c r="P28" t="s">
        <v>1753</v>
      </c>
      <c r="Q28" t="s">
        <v>1638</v>
      </c>
      <c r="R28" s="10">
        <v>595540</v>
      </c>
      <c r="S28" t="s">
        <v>1672</v>
      </c>
      <c r="T28" t="s">
        <v>2973</v>
      </c>
    </row>
    <row r="29" spans="1:20" hidden="1" x14ac:dyDescent="0.25">
      <c r="A29">
        <v>2023</v>
      </c>
      <c r="B29" t="s">
        <v>772</v>
      </c>
      <c r="C29" t="s">
        <v>730</v>
      </c>
      <c r="D29" t="s">
        <v>59</v>
      </c>
      <c r="E29" t="s">
        <v>1439</v>
      </c>
      <c r="G29" t="s">
        <v>2202</v>
      </c>
      <c r="H29" s="37" t="s">
        <v>11</v>
      </c>
      <c r="I29" s="37" t="s">
        <v>13</v>
      </c>
      <c r="J29" t="s">
        <v>16</v>
      </c>
      <c r="K29" t="s">
        <v>2982</v>
      </c>
      <c r="L29" t="s">
        <v>3070</v>
      </c>
      <c r="M29" t="s">
        <v>3055</v>
      </c>
      <c r="N29" t="s">
        <v>2982</v>
      </c>
      <c r="O29" s="39" t="s">
        <v>3058</v>
      </c>
      <c r="P29" t="s">
        <v>1639</v>
      </c>
      <c r="Q29" t="s">
        <v>1638</v>
      </c>
      <c r="R29" s="10">
        <v>29350</v>
      </c>
      <c r="S29" t="s">
        <v>1639</v>
      </c>
      <c r="T29" t="s">
        <v>1867</v>
      </c>
    </row>
    <row r="30" spans="1:20" hidden="1" x14ac:dyDescent="0.25">
      <c r="A30">
        <v>2023</v>
      </c>
      <c r="B30" t="s">
        <v>772</v>
      </c>
      <c r="C30" t="s">
        <v>730</v>
      </c>
      <c r="D30" t="s">
        <v>59</v>
      </c>
      <c r="E30" t="s">
        <v>1439</v>
      </c>
      <c r="G30" t="s">
        <v>2202</v>
      </c>
      <c r="H30" s="37" t="s">
        <v>11</v>
      </c>
      <c r="I30" s="37" t="s">
        <v>13</v>
      </c>
      <c r="J30" t="s">
        <v>16</v>
      </c>
      <c r="K30" t="s">
        <v>2982</v>
      </c>
      <c r="L30" t="s">
        <v>3069</v>
      </c>
      <c r="M30" t="s">
        <v>3055</v>
      </c>
      <c r="N30" t="s">
        <v>2982</v>
      </c>
      <c r="O30" s="39" t="s">
        <v>3058</v>
      </c>
      <c r="P30" t="s">
        <v>1676</v>
      </c>
      <c r="Q30" t="s">
        <v>1638</v>
      </c>
      <c r="R30" s="10">
        <v>324347</v>
      </c>
      <c r="S30" t="s">
        <v>1676</v>
      </c>
      <c r="T30" t="s">
        <v>1867</v>
      </c>
    </row>
    <row r="31" spans="1:20" hidden="1" x14ac:dyDescent="0.25">
      <c r="A31">
        <v>2023</v>
      </c>
      <c r="B31" t="s">
        <v>772</v>
      </c>
      <c r="C31" t="s">
        <v>730</v>
      </c>
      <c r="D31" t="s">
        <v>59</v>
      </c>
      <c r="E31" t="s">
        <v>1439</v>
      </c>
      <c r="G31" t="s">
        <v>2202</v>
      </c>
      <c r="H31" s="37" t="s">
        <v>11</v>
      </c>
      <c r="I31" s="37" t="s">
        <v>13</v>
      </c>
      <c r="J31" t="s">
        <v>16</v>
      </c>
      <c r="K31" t="s">
        <v>2982</v>
      </c>
      <c r="L31" t="s">
        <v>3068</v>
      </c>
      <c r="M31" t="s">
        <v>3055</v>
      </c>
      <c r="N31" t="s">
        <v>2982</v>
      </c>
      <c r="O31" s="39" t="s">
        <v>3058</v>
      </c>
      <c r="P31" t="s">
        <v>1616</v>
      </c>
      <c r="Q31" t="s">
        <v>1638</v>
      </c>
      <c r="R31" s="10">
        <v>518856</v>
      </c>
      <c r="S31" t="s">
        <v>1685</v>
      </c>
      <c r="T31" t="s">
        <v>1867</v>
      </c>
    </row>
    <row r="32" spans="1:20" hidden="1" x14ac:dyDescent="0.25">
      <c r="A32">
        <v>2023</v>
      </c>
      <c r="B32" t="s">
        <v>772</v>
      </c>
      <c r="C32" t="s">
        <v>730</v>
      </c>
      <c r="D32" t="s">
        <v>59</v>
      </c>
      <c r="E32" t="s">
        <v>1439</v>
      </c>
      <c r="G32" t="s">
        <v>2202</v>
      </c>
      <c r="H32" s="37" t="s">
        <v>11</v>
      </c>
      <c r="I32" s="37" t="s">
        <v>13</v>
      </c>
      <c r="J32" t="s">
        <v>16</v>
      </c>
      <c r="K32" t="s">
        <v>2982</v>
      </c>
      <c r="L32" t="s">
        <v>3068</v>
      </c>
      <c r="M32" t="s">
        <v>3055</v>
      </c>
      <c r="N32" t="s">
        <v>2982</v>
      </c>
      <c r="O32" s="39" t="s">
        <v>3058</v>
      </c>
      <c r="P32" t="s">
        <v>1753</v>
      </c>
      <c r="Q32" t="s">
        <v>1638</v>
      </c>
      <c r="R32" s="10">
        <v>518856</v>
      </c>
      <c r="S32" t="s">
        <v>1721</v>
      </c>
      <c r="T32" t="s">
        <v>1867</v>
      </c>
    </row>
    <row r="33" spans="1:20" hidden="1" x14ac:dyDescent="0.25">
      <c r="A33">
        <v>2023</v>
      </c>
      <c r="B33" t="s">
        <v>772</v>
      </c>
      <c r="C33" t="s">
        <v>730</v>
      </c>
      <c r="D33" t="s">
        <v>59</v>
      </c>
      <c r="E33" t="s">
        <v>1439</v>
      </c>
      <c r="G33" t="s">
        <v>2202</v>
      </c>
      <c r="H33" s="37" t="s">
        <v>11</v>
      </c>
      <c r="I33" s="37" t="s">
        <v>13</v>
      </c>
      <c r="J33" t="s">
        <v>16</v>
      </c>
      <c r="K33" t="s">
        <v>2983</v>
      </c>
      <c r="L33" t="s">
        <v>3066</v>
      </c>
      <c r="M33" t="s">
        <v>3054</v>
      </c>
      <c r="N33" t="s">
        <v>3161</v>
      </c>
      <c r="O33" s="39" t="s">
        <v>3042</v>
      </c>
      <c r="P33" t="s">
        <v>707</v>
      </c>
      <c r="Q33" t="s">
        <v>1546</v>
      </c>
      <c r="R33" s="10">
        <v>18.670000000000002</v>
      </c>
      <c r="T33" t="s">
        <v>1867</v>
      </c>
    </row>
    <row r="34" spans="1:20" hidden="1" x14ac:dyDescent="0.25">
      <c r="A34">
        <v>2023</v>
      </c>
      <c r="B34" t="s">
        <v>772</v>
      </c>
      <c r="C34" t="s">
        <v>730</v>
      </c>
      <c r="D34" t="s">
        <v>59</v>
      </c>
      <c r="E34" t="s">
        <v>1439</v>
      </c>
      <c r="G34" t="s">
        <v>2202</v>
      </c>
      <c r="H34" s="37" t="s">
        <v>11</v>
      </c>
      <c r="I34" s="37" t="s">
        <v>13</v>
      </c>
      <c r="J34" t="s">
        <v>16</v>
      </c>
      <c r="K34" t="s">
        <v>2983</v>
      </c>
      <c r="L34" t="s">
        <v>3066</v>
      </c>
      <c r="M34" t="s">
        <v>3055</v>
      </c>
      <c r="N34" t="s">
        <v>3040</v>
      </c>
      <c r="O34" s="39" t="s">
        <v>3057</v>
      </c>
      <c r="P34" t="s">
        <v>1605</v>
      </c>
      <c r="Q34" t="s">
        <v>1635</v>
      </c>
      <c r="R34" s="10">
        <v>12303</v>
      </c>
      <c r="S34" t="s">
        <v>1605</v>
      </c>
      <c r="T34" t="s">
        <v>1867</v>
      </c>
    </row>
    <row r="35" spans="1:20" hidden="1" x14ac:dyDescent="0.25">
      <c r="A35">
        <v>2023</v>
      </c>
      <c r="B35" t="s">
        <v>772</v>
      </c>
      <c r="C35" t="s">
        <v>730</v>
      </c>
      <c r="D35" t="s">
        <v>59</v>
      </c>
      <c r="E35" t="s">
        <v>1439</v>
      </c>
      <c r="G35" t="s">
        <v>2202</v>
      </c>
      <c r="H35" s="37" t="s">
        <v>11</v>
      </c>
      <c r="I35" s="37" t="s">
        <v>13</v>
      </c>
      <c r="J35" t="s">
        <v>16</v>
      </c>
      <c r="K35" t="s">
        <v>2983</v>
      </c>
      <c r="L35" t="s">
        <v>3066</v>
      </c>
      <c r="M35" t="s">
        <v>3055</v>
      </c>
      <c r="N35" t="s">
        <v>3040</v>
      </c>
      <c r="O35" s="39" t="s">
        <v>3057</v>
      </c>
      <c r="P35" t="s">
        <v>1606</v>
      </c>
      <c r="Q35" t="s">
        <v>1635</v>
      </c>
      <c r="R35" s="10">
        <v>2791</v>
      </c>
      <c r="S35" t="s">
        <v>1606</v>
      </c>
      <c r="T35" t="s">
        <v>1867</v>
      </c>
    </row>
    <row r="36" spans="1:20" hidden="1" x14ac:dyDescent="0.25">
      <c r="A36">
        <v>2023</v>
      </c>
      <c r="B36" t="s">
        <v>772</v>
      </c>
      <c r="C36" t="s">
        <v>730</v>
      </c>
      <c r="D36" t="s">
        <v>59</v>
      </c>
      <c r="E36" t="s">
        <v>1439</v>
      </c>
      <c r="G36" t="s">
        <v>2202</v>
      </c>
      <c r="H36" s="37" t="s">
        <v>11</v>
      </c>
      <c r="I36" s="37" t="s">
        <v>13</v>
      </c>
      <c r="J36" t="s">
        <v>16</v>
      </c>
      <c r="K36" t="s">
        <v>2983</v>
      </c>
      <c r="L36" t="s">
        <v>3066</v>
      </c>
      <c r="M36" t="s">
        <v>3054</v>
      </c>
      <c r="N36" t="s">
        <v>3158</v>
      </c>
      <c r="O36" s="39" t="s">
        <v>3043</v>
      </c>
      <c r="P36" t="s">
        <v>707</v>
      </c>
      <c r="Q36" t="s">
        <v>1691</v>
      </c>
      <c r="R36" s="10">
        <v>0.05</v>
      </c>
      <c r="T36" t="s">
        <v>1867</v>
      </c>
    </row>
    <row r="37" spans="1:20" hidden="1" x14ac:dyDescent="0.25">
      <c r="A37">
        <v>2023</v>
      </c>
      <c r="B37" t="s">
        <v>772</v>
      </c>
      <c r="C37" t="s">
        <v>730</v>
      </c>
      <c r="D37" t="s">
        <v>59</v>
      </c>
      <c r="E37" t="s">
        <v>1439</v>
      </c>
      <c r="G37" t="s">
        <v>2202</v>
      </c>
      <c r="H37" s="37" t="s">
        <v>11</v>
      </c>
      <c r="I37" s="37" t="s">
        <v>13</v>
      </c>
      <c r="J37" t="s">
        <v>16</v>
      </c>
      <c r="K37" t="s">
        <v>2983</v>
      </c>
      <c r="L37" t="s">
        <v>3066</v>
      </c>
      <c r="M37" t="s">
        <v>3054</v>
      </c>
      <c r="N37" t="s">
        <v>3157</v>
      </c>
      <c r="O37" s="39" t="s">
        <v>3045</v>
      </c>
      <c r="P37" t="s">
        <v>707</v>
      </c>
      <c r="Q37" t="s">
        <v>1691</v>
      </c>
      <c r="R37" s="10">
        <v>0</v>
      </c>
      <c r="T37" t="s">
        <v>1867</v>
      </c>
    </row>
    <row r="38" spans="1:20" hidden="1" x14ac:dyDescent="0.25">
      <c r="A38">
        <v>2023</v>
      </c>
      <c r="B38" t="s">
        <v>772</v>
      </c>
      <c r="C38" t="s">
        <v>730</v>
      </c>
      <c r="D38" t="s">
        <v>59</v>
      </c>
      <c r="E38" t="s">
        <v>1439</v>
      </c>
      <c r="G38" t="s">
        <v>2202</v>
      </c>
      <c r="H38" s="37" t="s">
        <v>11</v>
      </c>
      <c r="I38" s="37" t="s">
        <v>13</v>
      </c>
      <c r="J38" t="s">
        <v>16</v>
      </c>
      <c r="K38" t="s">
        <v>2983</v>
      </c>
      <c r="L38" t="s">
        <v>3066</v>
      </c>
      <c r="M38" t="s">
        <v>3054</v>
      </c>
      <c r="N38" t="s">
        <v>1651</v>
      </c>
      <c r="O38" s="39" t="s">
        <v>3050</v>
      </c>
      <c r="P38" t="s">
        <v>707</v>
      </c>
      <c r="Q38" t="s">
        <v>1546</v>
      </c>
      <c r="R38" s="10">
        <v>10.92</v>
      </c>
      <c r="T38" t="s">
        <v>1867</v>
      </c>
    </row>
    <row r="39" spans="1:20" hidden="1" x14ac:dyDescent="0.25">
      <c r="A39">
        <v>2023</v>
      </c>
      <c r="B39" t="s">
        <v>772</v>
      </c>
      <c r="C39" t="s">
        <v>730</v>
      </c>
      <c r="D39" t="s">
        <v>59</v>
      </c>
      <c r="E39" t="s">
        <v>1439</v>
      </c>
      <c r="G39" t="s">
        <v>2202</v>
      </c>
      <c r="H39" s="37" t="s">
        <v>11</v>
      </c>
      <c r="I39" s="37" t="s">
        <v>13</v>
      </c>
      <c r="J39" t="s">
        <v>16</v>
      </c>
      <c r="K39" t="s">
        <v>2983</v>
      </c>
      <c r="L39" t="s">
        <v>3066</v>
      </c>
      <c r="M39" t="s">
        <v>3054</v>
      </c>
      <c r="N39" t="s">
        <v>1650</v>
      </c>
      <c r="O39" s="39">
        <v>2025884</v>
      </c>
      <c r="P39" t="s">
        <v>707</v>
      </c>
      <c r="Q39" t="s">
        <v>1546</v>
      </c>
      <c r="R39" s="10">
        <v>0.61</v>
      </c>
      <c r="T39" t="s">
        <v>1867</v>
      </c>
    </row>
    <row r="40" spans="1:20" hidden="1" x14ac:dyDescent="0.25">
      <c r="A40">
        <v>2023</v>
      </c>
      <c r="B40" t="s">
        <v>772</v>
      </c>
      <c r="C40" t="s">
        <v>730</v>
      </c>
      <c r="D40" t="s">
        <v>59</v>
      </c>
      <c r="E40" t="s">
        <v>1439</v>
      </c>
      <c r="G40" t="s">
        <v>2202</v>
      </c>
      <c r="H40" s="37" t="s">
        <v>11</v>
      </c>
      <c r="I40" s="37" t="s">
        <v>13</v>
      </c>
      <c r="J40" t="s">
        <v>16</v>
      </c>
      <c r="K40" t="s">
        <v>2983</v>
      </c>
      <c r="L40" t="s">
        <v>3066</v>
      </c>
      <c r="M40" t="s">
        <v>3055</v>
      </c>
      <c r="N40" t="s">
        <v>3155</v>
      </c>
      <c r="O40" s="39" t="s">
        <v>3047</v>
      </c>
      <c r="P40" t="s">
        <v>707</v>
      </c>
      <c r="Q40" t="s">
        <v>1546</v>
      </c>
      <c r="R40" s="10">
        <v>0.2</v>
      </c>
      <c r="T40" t="s">
        <v>1867</v>
      </c>
    </row>
    <row r="41" spans="1:20" hidden="1" x14ac:dyDescent="0.25">
      <c r="A41">
        <v>2023</v>
      </c>
      <c r="B41" t="s">
        <v>772</v>
      </c>
      <c r="C41" t="s">
        <v>39</v>
      </c>
      <c r="D41" t="s">
        <v>41</v>
      </c>
      <c r="E41" t="s">
        <v>1316</v>
      </c>
      <c r="G41" t="s">
        <v>2133</v>
      </c>
      <c r="H41" s="37" t="s">
        <v>11</v>
      </c>
      <c r="I41" s="37" t="s">
        <v>13</v>
      </c>
      <c r="J41" t="s">
        <v>16</v>
      </c>
      <c r="K41" t="s">
        <v>2982</v>
      </c>
      <c r="L41" t="s">
        <v>3069</v>
      </c>
      <c r="M41" t="s">
        <v>3055</v>
      </c>
      <c r="N41" t="s">
        <v>2982</v>
      </c>
      <c r="O41" s="39" t="s">
        <v>3058</v>
      </c>
      <c r="P41" s="27" t="s">
        <v>1676</v>
      </c>
      <c r="Q41" t="s">
        <v>1617</v>
      </c>
      <c r="R41" s="10">
        <v>2226.0140000000001</v>
      </c>
      <c r="S41" s="27" t="s">
        <v>1676</v>
      </c>
      <c r="T41" t="s">
        <v>1865</v>
      </c>
    </row>
    <row r="42" spans="1:20" hidden="1" x14ac:dyDescent="0.25">
      <c r="A42">
        <v>2023</v>
      </c>
      <c r="B42" t="s">
        <v>772</v>
      </c>
      <c r="C42" t="s">
        <v>39</v>
      </c>
      <c r="D42" t="s">
        <v>41</v>
      </c>
      <c r="E42" t="s">
        <v>1316</v>
      </c>
      <c r="G42" t="s">
        <v>2133</v>
      </c>
      <c r="H42" s="37" t="s">
        <v>11</v>
      </c>
      <c r="I42" s="37" t="s">
        <v>13</v>
      </c>
      <c r="J42" t="s">
        <v>16</v>
      </c>
      <c r="K42" t="s">
        <v>2982</v>
      </c>
      <c r="L42" t="s">
        <v>3070</v>
      </c>
      <c r="M42" t="s">
        <v>3055</v>
      </c>
      <c r="N42" t="s">
        <v>2982</v>
      </c>
      <c r="O42" s="39" t="s">
        <v>3058</v>
      </c>
      <c r="P42" t="s">
        <v>1639</v>
      </c>
      <c r="Q42" t="s">
        <v>1617</v>
      </c>
      <c r="R42" s="10">
        <v>1006.4450000000001</v>
      </c>
      <c r="S42" s="27" t="s">
        <v>1746</v>
      </c>
      <c r="T42" t="s">
        <v>1865</v>
      </c>
    </row>
    <row r="43" spans="1:20" hidden="1" x14ac:dyDescent="0.25">
      <c r="A43">
        <v>2023</v>
      </c>
      <c r="B43" t="s">
        <v>772</v>
      </c>
      <c r="C43" t="s">
        <v>39</v>
      </c>
      <c r="D43" t="s">
        <v>41</v>
      </c>
      <c r="E43" t="s">
        <v>1316</v>
      </c>
      <c r="G43" t="s">
        <v>2133</v>
      </c>
      <c r="H43" s="37" t="s">
        <v>11</v>
      </c>
      <c r="I43" s="37" t="s">
        <v>13</v>
      </c>
      <c r="J43" t="s">
        <v>16</v>
      </c>
      <c r="K43" t="s">
        <v>2982</v>
      </c>
      <c r="L43" t="s">
        <v>3068</v>
      </c>
      <c r="M43" t="s">
        <v>3055</v>
      </c>
      <c r="N43" t="s">
        <v>2982</v>
      </c>
      <c r="O43" s="39" t="s">
        <v>3058</v>
      </c>
      <c r="P43" t="s">
        <v>1616</v>
      </c>
      <c r="Q43" t="s">
        <v>1617</v>
      </c>
      <c r="R43" s="10">
        <v>3232.4589999999998</v>
      </c>
      <c r="S43" s="27" t="s">
        <v>1745</v>
      </c>
      <c r="T43" t="s">
        <v>1865</v>
      </c>
    </row>
    <row r="44" spans="1:20" hidden="1" x14ac:dyDescent="0.25">
      <c r="A44">
        <v>2023</v>
      </c>
      <c r="B44" t="s">
        <v>772</v>
      </c>
      <c r="C44" t="s">
        <v>39</v>
      </c>
      <c r="D44" t="s">
        <v>41</v>
      </c>
      <c r="E44" t="s">
        <v>1316</v>
      </c>
      <c r="G44" t="s">
        <v>2133</v>
      </c>
      <c r="H44" s="37" t="s">
        <v>11</v>
      </c>
      <c r="I44" s="37" t="s">
        <v>13</v>
      </c>
      <c r="J44" t="s">
        <v>16</v>
      </c>
      <c r="K44" t="s">
        <v>2983</v>
      </c>
      <c r="L44" t="s">
        <v>3066</v>
      </c>
      <c r="M44" t="s">
        <v>3054</v>
      </c>
      <c r="N44" t="s">
        <v>3161</v>
      </c>
      <c r="O44" s="39" t="s">
        <v>3042</v>
      </c>
      <c r="P44" t="s">
        <v>707</v>
      </c>
      <c r="Q44" t="s">
        <v>1546</v>
      </c>
      <c r="R44" s="10">
        <v>159.19999999999999</v>
      </c>
      <c r="T44" t="s">
        <v>1865</v>
      </c>
    </row>
    <row r="45" spans="1:20" hidden="1" x14ac:dyDescent="0.25">
      <c r="A45">
        <v>2023</v>
      </c>
      <c r="B45" t="s">
        <v>772</v>
      </c>
      <c r="C45" t="s">
        <v>39</v>
      </c>
      <c r="D45" t="s">
        <v>41</v>
      </c>
      <c r="E45" t="s">
        <v>1316</v>
      </c>
      <c r="G45" t="s">
        <v>2133</v>
      </c>
      <c r="H45" s="37" t="s">
        <v>11</v>
      </c>
      <c r="I45" s="37" t="s">
        <v>13</v>
      </c>
      <c r="J45" t="s">
        <v>16</v>
      </c>
      <c r="K45" t="s">
        <v>2983</v>
      </c>
      <c r="L45" t="s">
        <v>3066</v>
      </c>
      <c r="M45" t="s">
        <v>3055</v>
      </c>
      <c r="N45" t="s">
        <v>3040</v>
      </c>
      <c r="O45" s="39" t="s">
        <v>3057</v>
      </c>
      <c r="P45" t="s">
        <v>1605</v>
      </c>
      <c r="Q45" t="s">
        <v>1635</v>
      </c>
      <c r="R45" s="10">
        <v>39711.867141113798</v>
      </c>
      <c r="S45" t="s">
        <v>1605</v>
      </c>
      <c r="T45" t="s">
        <v>1865</v>
      </c>
    </row>
    <row r="46" spans="1:20" hidden="1" x14ac:dyDescent="0.25">
      <c r="A46">
        <v>2023</v>
      </c>
      <c r="B46" t="s">
        <v>772</v>
      </c>
      <c r="C46" t="s">
        <v>39</v>
      </c>
      <c r="D46" t="s">
        <v>41</v>
      </c>
      <c r="E46" t="s">
        <v>1316</v>
      </c>
      <c r="G46" t="s">
        <v>2133</v>
      </c>
      <c r="H46" s="37" t="s">
        <v>11</v>
      </c>
      <c r="I46" s="37" t="s">
        <v>13</v>
      </c>
      <c r="J46" t="s">
        <v>16</v>
      </c>
      <c r="K46" t="s">
        <v>2983</v>
      </c>
      <c r="L46" t="s">
        <v>3066</v>
      </c>
      <c r="M46" t="s">
        <v>3055</v>
      </c>
      <c r="N46" t="s">
        <v>3040</v>
      </c>
      <c r="O46" s="39" t="s">
        <v>3057</v>
      </c>
      <c r="P46" t="s">
        <v>1606</v>
      </c>
      <c r="Q46" t="s">
        <v>1635</v>
      </c>
      <c r="R46" s="10">
        <v>371.76247934999998</v>
      </c>
      <c r="S46" t="s">
        <v>1606</v>
      </c>
      <c r="T46" t="s">
        <v>1865</v>
      </c>
    </row>
    <row r="47" spans="1:20" hidden="1" x14ac:dyDescent="0.25">
      <c r="A47">
        <v>2023</v>
      </c>
      <c r="B47" t="s">
        <v>772</v>
      </c>
      <c r="C47" t="s">
        <v>39</v>
      </c>
      <c r="D47" t="s">
        <v>41</v>
      </c>
      <c r="E47" t="s">
        <v>1316</v>
      </c>
      <c r="G47" t="s">
        <v>2133</v>
      </c>
      <c r="H47" s="37" t="s">
        <v>11</v>
      </c>
      <c r="I47" s="37" t="s">
        <v>13</v>
      </c>
      <c r="J47" t="s">
        <v>16</v>
      </c>
      <c r="K47" t="s">
        <v>2983</v>
      </c>
      <c r="L47" t="s">
        <v>3066</v>
      </c>
      <c r="M47" t="s">
        <v>3055</v>
      </c>
      <c r="N47" t="s">
        <v>3040</v>
      </c>
      <c r="O47" s="39" t="s">
        <v>3057</v>
      </c>
      <c r="P47" t="s">
        <v>1607</v>
      </c>
      <c r="Q47" t="s">
        <v>1635</v>
      </c>
      <c r="R47" s="10">
        <v>98442.976808040796</v>
      </c>
      <c r="S47" t="s">
        <v>1607</v>
      </c>
      <c r="T47" t="s">
        <v>1865</v>
      </c>
    </row>
    <row r="48" spans="1:20" hidden="1" x14ac:dyDescent="0.25">
      <c r="A48">
        <v>2023</v>
      </c>
      <c r="B48" t="s">
        <v>772</v>
      </c>
      <c r="C48" t="s">
        <v>39</v>
      </c>
      <c r="D48" t="s">
        <v>41</v>
      </c>
      <c r="E48" t="s">
        <v>1316</v>
      </c>
      <c r="G48" t="s">
        <v>2133</v>
      </c>
      <c r="H48" s="37" t="s">
        <v>11</v>
      </c>
      <c r="I48" s="37" t="s">
        <v>13</v>
      </c>
      <c r="J48" t="s">
        <v>16</v>
      </c>
      <c r="K48" t="s">
        <v>2983</v>
      </c>
      <c r="L48" t="s">
        <v>3066</v>
      </c>
      <c r="M48" t="s">
        <v>3055</v>
      </c>
      <c r="N48" t="s">
        <v>1636</v>
      </c>
      <c r="O48" s="39" t="s">
        <v>3059</v>
      </c>
      <c r="P48" t="s">
        <v>707</v>
      </c>
      <c r="Q48" t="s">
        <v>1546</v>
      </c>
      <c r="R48" s="10">
        <v>111.3</v>
      </c>
      <c r="T48" t="s">
        <v>1865</v>
      </c>
    </row>
    <row r="49" spans="1:20" hidden="1" x14ac:dyDescent="0.25">
      <c r="A49">
        <v>2023</v>
      </c>
      <c r="B49" t="s">
        <v>772</v>
      </c>
      <c r="C49" t="s">
        <v>39</v>
      </c>
      <c r="D49" t="s">
        <v>41</v>
      </c>
      <c r="E49" t="s">
        <v>1316</v>
      </c>
      <c r="G49" t="s">
        <v>2133</v>
      </c>
      <c r="H49" s="37" t="s">
        <v>11</v>
      </c>
      <c r="I49" s="37" t="s">
        <v>13</v>
      </c>
      <c r="J49" t="s">
        <v>16</v>
      </c>
      <c r="K49" t="s">
        <v>2983</v>
      </c>
      <c r="L49" t="s">
        <v>3066</v>
      </c>
      <c r="M49" t="s">
        <v>3055</v>
      </c>
      <c r="N49" t="s">
        <v>3160</v>
      </c>
      <c r="O49" s="39" t="s">
        <v>3074</v>
      </c>
      <c r="P49" t="s">
        <v>707</v>
      </c>
      <c r="Q49" t="s">
        <v>1546</v>
      </c>
      <c r="R49" s="10">
        <v>900</v>
      </c>
      <c r="T49" t="s">
        <v>1865</v>
      </c>
    </row>
    <row r="50" spans="1:20" hidden="1" x14ac:dyDescent="0.25">
      <c r="A50">
        <v>2023</v>
      </c>
      <c r="B50" t="s">
        <v>772</v>
      </c>
      <c r="C50" t="s">
        <v>39</v>
      </c>
      <c r="D50" t="s">
        <v>41</v>
      </c>
      <c r="E50" t="s">
        <v>1316</v>
      </c>
      <c r="G50" t="s">
        <v>2133</v>
      </c>
      <c r="H50" s="37" t="s">
        <v>11</v>
      </c>
      <c r="I50" s="37" t="s">
        <v>13</v>
      </c>
      <c r="J50" t="s">
        <v>16</v>
      </c>
      <c r="K50" t="s">
        <v>2983</v>
      </c>
      <c r="L50" t="s">
        <v>3066</v>
      </c>
      <c r="M50" t="s">
        <v>3055</v>
      </c>
      <c r="N50" t="s">
        <v>3075</v>
      </c>
      <c r="O50" s="39" t="s">
        <v>3076</v>
      </c>
      <c r="P50" t="s">
        <v>707</v>
      </c>
      <c r="Q50" t="s">
        <v>1546</v>
      </c>
      <c r="R50" s="10">
        <v>321.7</v>
      </c>
      <c r="T50" t="s">
        <v>1865</v>
      </c>
    </row>
    <row r="51" spans="1:20" hidden="1" x14ac:dyDescent="0.25">
      <c r="A51">
        <v>2023</v>
      </c>
      <c r="B51" t="s">
        <v>772</v>
      </c>
      <c r="C51" t="s">
        <v>39</v>
      </c>
      <c r="D51" t="s">
        <v>41</v>
      </c>
      <c r="E51" t="s">
        <v>1316</v>
      </c>
      <c r="G51" t="s">
        <v>2133</v>
      </c>
      <c r="H51" s="37" t="s">
        <v>11</v>
      </c>
      <c r="I51" s="37" t="s">
        <v>13</v>
      </c>
      <c r="J51" t="s">
        <v>16</v>
      </c>
      <c r="K51" t="s">
        <v>2983</v>
      </c>
      <c r="L51" t="s">
        <v>3066</v>
      </c>
      <c r="M51" t="s">
        <v>3055</v>
      </c>
      <c r="N51" t="s">
        <v>2987</v>
      </c>
      <c r="O51" s="39" t="s">
        <v>3062</v>
      </c>
      <c r="P51" t="s">
        <v>707</v>
      </c>
      <c r="Q51" t="s">
        <v>1546</v>
      </c>
      <c r="R51" s="10">
        <v>1.1000000000000001E-3</v>
      </c>
      <c r="T51" t="s">
        <v>1865</v>
      </c>
    </row>
    <row r="52" spans="1:20" hidden="1" x14ac:dyDescent="0.25">
      <c r="A52">
        <v>2023</v>
      </c>
      <c r="B52" t="s">
        <v>772</v>
      </c>
      <c r="C52" t="s">
        <v>39</v>
      </c>
      <c r="D52" t="s">
        <v>41</v>
      </c>
      <c r="E52" t="s">
        <v>1316</v>
      </c>
      <c r="G52" t="s">
        <v>2133</v>
      </c>
      <c r="H52" s="37" t="s">
        <v>11</v>
      </c>
      <c r="I52" s="37" t="s">
        <v>13</v>
      </c>
      <c r="J52" t="s">
        <v>16</v>
      </c>
      <c r="K52" t="s">
        <v>2983</v>
      </c>
      <c r="L52" t="s">
        <v>3066</v>
      </c>
      <c r="M52" t="s">
        <v>3055</v>
      </c>
      <c r="N52" t="s">
        <v>1637</v>
      </c>
      <c r="O52" s="39" t="s">
        <v>3063</v>
      </c>
      <c r="P52" t="s">
        <v>707</v>
      </c>
      <c r="Q52" t="s">
        <v>1546</v>
      </c>
      <c r="R52" s="25">
        <v>4.8</v>
      </c>
      <c r="T52" t="s">
        <v>1865</v>
      </c>
    </row>
    <row r="53" spans="1:20" hidden="1" x14ac:dyDescent="0.25">
      <c r="A53">
        <v>2023</v>
      </c>
      <c r="B53" t="s">
        <v>772</v>
      </c>
      <c r="C53" t="s">
        <v>39</v>
      </c>
      <c r="D53" t="s">
        <v>41</v>
      </c>
      <c r="E53" t="s">
        <v>1316</v>
      </c>
      <c r="G53" t="s">
        <v>2133</v>
      </c>
      <c r="H53" s="37" t="s">
        <v>11</v>
      </c>
      <c r="I53" s="37" t="s">
        <v>13</v>
      </c>
      <c r="J53" t="s">
        <v>16</v>
      </c>
      <c r="K53" t="s">
        <v>2983</v>
      </c>
      <c r="L53" t="s">
        <v>3066</v>
      </c>
      <c r="M53" t="s">
        <v>3055</v>
      </c>
      <c r="N53" t="s">
        <v>3155</v>
      </c>
      <c r="O53" s="39" t="s">
        <v>3047</v>
      </c>
      <c r="P53" t="s">
        <v>707</v>
      </c>
      <c r="Q53" t="s">
        <v>1546</v>
      </c>
      <c r="R53" s="10">
        <v>2.4</v>
      </c>
      <c r="T53" t="s">
        <v>1865</v>
      </c>
    </row>
    <row r="54" spans="1:20" hidden="1" x14ac:dyDescent="0.25">
      <c r="A54">
        <v>2023</v>
      </c>
      <c r="B54" t="s">
        <v>772</v>
      </c>
      <c r="C54" t="s">
        <v>39</v>
      </c>
      <c r="D54" t="s">
        <v>41</v>
      </c>
      <c r="E54" t="s">
        <v>1316</v>
      </c>
      <c r="G54" t="s">
        <v>2133</v>
      </c>
      <c r="H54" s="37" t="s">
        <v>11</v>
      </c>
      <c r="I54" s="37" t="s">
        <v>13</v>
      </c>
      <c r="J54" t="s">
        <v>16</v>
      </c>
      <c r="K54" t="s">
        <v>2981</v>
      </c>
      <c r="L54" t="s">
        <v>3067</v>
      </c>
      <c r="O54" s="39"/>
      <c r="P54" t="s">
        <v>1734</v>
      </c>
      <c r="Q54" t="s">
        <v>1629</v>
      </c>
      <c r="R54" s="10">
        <v>398.06040000000002</v>
      </c>
      <c r="S54" t="s">
        <v>1734</v>
      </c>
      <c r="T54" t="s">
        <v>1865</v>
      </c>
    </row>
    <row r="55" spans="1:20" hidden="1" x14ac:dyDescent="0.25">
      <c r="A55">
        <v>2023</v>
      </c>
      <c r="B55" t="s">
        <v>772</v>
      </c>
      <c r="C55" t="s">
        <v>135</v>
      </c>
      <c r="D55" t="s">
        <v>136</v>
      </c>
      <c r="E55" t="s">
        <v>1395</v>
      </c>
      <c r="G55" t="s">
        <v>2182</v>
      </c>
      <c r="H55" s="37" t="s">
        <v>11</v>
      </c>
      <c r="I55" s="37" t="s">
        <v>19</v>
      </c>
      <c r="J55" t="s">
        <v>137</v>
      </c>
      <c r="K55" t="s">
        <v>2982</v>
      </c>
      <c r="L55" t="s">
        <v>3068</v>
      </c>
      <c r="M55" t="s">
        <v>3055</v>
      </c>
      <c r="N55" t="s">
        <v>2982</v>
      </c>
      <c r="O55" s="39" t="s">
        <v>3058</v>
      </c>
      <c r="P55" t="s">
        <v>1753</v>
      </c>
      <c r="Q55" t="s">
        <v>1784</v>
      </c>
      <c r="R55" s="10">
        <v>141</v>
      </c>
      <c r="S55" t="s">
        <v>1899</v>
      </c>
      <c r="T55" t="s">
        <v>1886</v>
      </c>
    </row>
    <row r="56" spans="1:20" hidden="1" x14ac:dyDescent="0.25">
      <c r="A56">
        <v>2023</v>
      </c>
      <c r="B56" t="s">
        <v>772</v>
      </c>
      <c r="C56" t="s">
        <v>135</v>
      </c>
      <c r="D56" t="s">
        <v>136</v>
      </c>
      <c r="E56" t="s">
        <v>1395</v>
      </c>
      <c r="G56" t="s">
        <v>2182</v>
      </c>
      <c r="H56" s="37" t="s">
        <v>11</v>
      </c>
      <c r="I56" s="37" t="s">
        <v>19</v>
      </c>
      <c r="J56" t="s">
        <v>137</v>
      </c>
      <c r="K56" t="s">
        <v>2982</v>
      </c>
      <c r="L56" t="s">
        <v>3070</v>
      </c>
      <c r="M56" t="s">
        <v>3055</v>
      </c>
      <c r="N56" t="s">
        <v>2982</v>
      </c>
      <c r="O56" s="39" t="s">
        <v>3058</v>
      </c>
      <c r="P56" t="s">
        <v>3190</v>
      </c>
      <c r="Q56" t="s">
        <v>1784</v>
      </c>
      <c r="R56" s="10">
        <v>6140</v>
      </c>
      <c r="S56" t="s">
        <v>2365</v>
      </c>
      <c r="T56" t="s">
        <v>1886</v>
      </c>
    </row>
    <row r="57" spans="1:20" hidden="1" x14ac:dyDescent="0.25">
      <c r="A57">
        <v>2023</v>
      </c>
      <c r="B57" t="s">
        <v>772</v>
      </c>
      <c r="C57" t="s">
        <v>14</v>
      </c>
      <c r="D57" t="s">
        <v>66</v>
      </c>
      <c r="E57" t="s">
        <v>1124</v>
      </c>
      <c r="G57" t="s">
        <v>2016</v>
      </c>
      <c r="H57" s="37" t="s">
        <v>11</v>
      </c>
      <c r="I57" s="37" t="s">
        <v>13</v>
      </c>
      <c r="J57" t="s">
        <v>64</v>
      </c>
      <c r="K57" t="s">
        <v>2983</v>
      </c>
      <c r="L57" t="s">
        <v>3066</v>
      </c>
      <c r="M57" t="s">
        <v>3055</v>
      </c>
      <c r="N57" t="s">
        <v>1636</v>
      </c>
      <c r="O57" s="39" t="s">
        <v>3059</v>
      </c>
      <c r="P57" t="s">
        <v>707</v>
      </c>
      <c r="Q57" t="s">
        <v>1546</v>
      </c>
      <c r="R57" s="10">
        <v>4</v>
      </c>
      <c r="S57" s="21" t="s">
        <v>1671</v>
      </c>
      <c r="T57" t="s">
        <v>2973</v>
      </c>
    </row>
    <row r="58" spans="1:20" hidden="1" x14ac:dyDescent="0.25">
      <c r="A58">
        <v>2023</v>
      </c>
      <c r="B58" t="s">
        <v>772</v>
      </c>
      <c r="C58" t="s">
        <v>14</v>
      </c>
      <c r="D58" t="s">
        <v>66</v>
      </c>
      <c r="E58" t="s">
        <v>1124</v>
      </c>
      <c r="G58" t="s">
        <v>2016</v>
      </c>
      <c r="H58" s="37" t="s">
        <v>11</v>
      </c>
      <c r="I58" s="37" t="s">
        <v>13</v>
      </c>
      <c r="J58" t="s">
        <v>64</v>
      </c>
      <c r="K58" t="s">
        <v>2983</v>
      </c>
      <c r="L58" t="s">
        <v>3066</v>
      </c>
      <c r="M58" t="s">
        <v>3055</v>
      </c>
      <c r="N58" t="s">
        <v>1637</v>
      </c>
      <c r="O58" s="39" t="s">
        <v>3063</v>
      </c>
      <c r="P58" t="s">
        <v>707</v>
      </c>
      <c r="Q58" t="s">
        <v>1546</v>
      </c>
      <c r="R58" s="10">
        <v>38</v>
      </c>
      <c r="S58" s="21" t="s">
        <v>1671</v>
      </c>
      <c r="T58" t="s">
        <v>2973</v>
      </c>
    </row>
    <row r="59" spans="1:20" hidden="1" x14ac:dyDescent="0.25">
      <c r="A59">
        <v>2023</v>
      </c>
      <c r="B59" t="s">
        <v>772</v>
      </c>
      <c r="C59" t="s">
        <v>14</v>
      </c>
      <c r="D59" t="s">
        <v>66</v>
      </c>
      <c r="E59" t="s">
        <v>1124</v>
      </c>
      <c r="G59" t="s">
        <v>2016</v>
      </c>
      <c r="H59" s="37" t="s">
        <v>11</v>
      </c>
      <c r="I59" s="37" t="s">
        <v>13</v>
      </c>
      <c r="J59" t="s">
        <v>64</v>
      </c>
      <c r="K59" t="s">
        <v>2981</v>
      </c>
      <c r="L59" t="s">
        <v>3067</v>
      </c>
      <c r="O59" s="39"/>
      <c r="P59" t="s">
        <v>1682</v>
      </c>
      <c r="Q59" t="s">
        <v>1629</v>
      </c>
      <c r="R59" s="10">
        <v>519</v>
      </c>
      <c r="S59" t="s">
        <v>1682</v>
      </c>
      <c r="T59" t="s">
        <v>2973</v>
      </c>
    </row>
    <row r="60" spans="1:20" hidden="1" x14ac:dyDescent="0.25">
      <c r="A60">
        <v>2023</v>
      </c>
      <c r="B60" t="s">
        <v>772</v>
      </c>
      <c r="C60" t="s">
        <v>14</v>
      </c>
      <c r="D60" t="s">
        <v>66</v>
      </c>
      <c r="E60" t="s">
        <v>1124</v>
      </c>
      <c r="G60" t="s">
        <v>2016</v>
      </c>
      <c r="H60" s="37" t="s">
        <v>11</v>
      </c>
      <c r="I60" s="37" t="s">
        <v>13</v>
      </c>
      <c r="J60" t="s">
        <v>64</v>
      </c>
      <c r="K60" t="s">
        <v>2981</v>
      </c>
      <c r="L60" t="s">
        <v>3067</v>
      </c>
      <c r="O60" s="39"/>
      <c r="P60" t="s">
        <v>1683</v>
      </c>
      <c r="Q60" t="s">
        <v>1629</v>
      </c>
      <c r="R60" s="10">
        <v>330</v>
      </c>
      <c r="S60" t="s">
        <v>1683</v>
      </c>
      <c r="T60" t="s">
        <v>2973</v>
      </c>
    </row>
    <row r="61" spans="1:20" hidden="1" x14ac:dyDescent="0.25">
      <c r="A61">
        <v>2023</v>
      </c>
      <c r="B61" t="s">
        <v>772</v>
      </c>
      <c r="C61" t="s">
        <v>14</v>
      </c>
      <c r="D61" t="s">
        <v>66</v>
      </c>
      <c r="E61" t="s">
        <v>1124</v>
      </c>
      <c r="G61" t="s">
        <v>2016</v>
      </c>
      <c r="H61" s="37" t="s">
        <v>11</v>
      </c>
      <c r="I61" s="37" t="s">
        <v>13</v>
      </c>
      <c r="J61" t="s">
        <v>64</v>
      </c>
      <c r="K61" t="s">
        <v>2981</v>
      </c>
      <c r="L61" t="s">
        <v>3067</v>
      </c>
      <c r="O61" s="39"/>
      <c r="P61" t="s">
        <v>1684</v>
      </c>
      <c r="Q61" t="s">
        <v>1629</v>
      </c>
      <c r="R61" s="10">
        <v>189</v>
      </c>
      <c r="S61" t="s">
        <v>1684</v>
      </c>
      <c r="T61" t="s">
        <v>2973</v>
      </c>
    </row>
    <row r="62" spans="1:20" hidden="1" x14ac:dyDescent="0.25">
      <c r="A62">
        <v>2023</v>
      </c>
      <c r="B62" t="s">
        <v>772</v>
      </c>
      <c r="C62" t="s">
        <v>14</v>
      </c>
      <c r="D62" t="s">
        <v>66</v>
      </c>
      <c r="E62" t="s">
        <v>1124</v>
      </c>
      <c r="G62" t="s">
        <v>2016</v>
      </c>
      <c r="H62" s="37" t="s">
        <v>11</v>
      </c>
      <c r="I62" s="37" t="s">
        <v>13</v>
      </c>
      <c r="J62" t="s">
        <v>64</v>
      </c>
      <c r="K62" t="s">
        <v>2982</v>
      </c>
      <c r="L62" t="s">
        <v>3068</v>
      </c>
      <c r="M62" t="s">
        <v>3055</v>
      </c>
      <c r="N62" t="s">
        <v>2982</v>
      </c>
      <c r="O62" s="39" t="s">
        <v>3058</v>
      </c>
      <c r="P62" t="s">
        <v>1616</v>
      </c>
      <c r="Q62" t="s">
        <v>1638</v>
      </c>
      <c r="R62" s="10">
        <v>1823142.8</v>
      </c>
      <c r="S62" t="s">
        <v>1616</v>
      </c>
      <c r="T62" t="s">
        <v>2973</v>
      </c>
    </row>
    <row r="63" spans="1:20" hidden="1" x14ac:dyDescent="0.25">
      <c r="A63">
        <v>2023</v>
      </c>
      <c r="B63" t="s">
        <v>772</v>
      </c>
      <c r="C63" t="s">
        <v>14</v>
      </c>
      <c r="D63" t="s">
        <v>66</v>
      </c>
      <c r="E63" t="s">
        <v>1124</v>
      </c>
      <c r="G63" t="s">
        <v>2016</v>
      </c>
      <c r="H63" s="37" t="s">
        <v>11</v>
      </c>
      <c r="I63" s="37" t="s">
        <v>13</v>
      </c>
      <c r="J63" t="s">
        <v>64</v>
      </c>
      <c r="K63" t="s">
        <v>2982</v>
      </c>
      <c r="L63" t="s">
        <v>3070</v>
      </c>
      <c r="M63" t="s">
        <v>3055</v>
      </c>
      <c r="N63" t="s">
        <v>2982</v>
      </c>
      <c r="O63" s="39" t="s">
        <v>3058</v>
      </c>
      <c r="P63" t="s">
        <v>1639</v>
      </c>
      <c r="Q63" t="s">
        <v>1638</v>
      </c>
      <c r="R63" s="10">
        <v>762807.59999999963</v>
      </c>
      <c r="S63" t="s">
        <v>1639</v>
      </c>
      <c r="T63" t="s">
        <v>2973</v>
      </c>
    </row>
    <row r="64" spans="1:20" hidden="1" x14ac:dyDescent="0.25">
      <c r="A64">
        <v>2023</v>
      </c>
      <c r="B64" t="s">
        <v>772</v>
      </c>
      <c r="C64" t="s">
        <v>14</v>
      </c>
      <c r="D64" t="s">
        <v>66</v>
      </c>
      <c r="E64" t="s">
        <v>1124</v>
      </c>
      <c r="G64" t="s">
        <v>2016</v>
      </c>
      <c r="H64" s="37" t="s">
        <v>11</v>
      </c>
      <c r="I64" s="37" t="s">
        <v>13</v>
      </c>
      <c r="J64" t="s">
        <v>64</v>
      </c>
      <c r="K64" t="s">
        <v>2982</v>
      </c>
      <c r="L64" t="s">
        <v>3069</v>
      </c>
      <c r="M64" t="s">
        <v>3055</v>
      </c>
      <c r="N64" t="s">
        <v>2982</v>
      </c>
      <c r="O64" s="39" t="s">
        <v>3058</v>
      </c>
      <c r="P64" t="s">
        <v>1676</v>
      </c>
      <c r="Q64" t="s">
        <v>1638</v>
      </c>
      <c r="R64" s="10">
        <v>4366105</v>
      </c>
      <c r="S64" t="s">
        <v>1676</v>
      </c>
      <c r="T64" t="s">
        <v>2973</v>
      </c>
    </row>
    <row r="65" spans="1:20" hidden="1" x14ac:dyDescent="0.25">
      <c r="A65">
        <v>2023</v>
      </c>
      <c r="B65" t="s">
        <v>772</v>
      </c>
      <c r="C65" t="s">
        <v>14</v>
      </c>
      <c r="D65" t="s">
        <v>66</v>
      </c>
      <c r="E65" t="s">
        <v>1124</v>
      </c>
      <c r="G65" t="s">
        <v>2016</v>
      </c>
      <c r="H65" s="37" t="s">
        <v>11</v>
      </c>
      <c r="I65" s="37" t="s">
        <v>13</v>
      </c>
      <c r="J65" t="s">
        <v>64</v>
      </c>
      <c r="K65" t="s">
        <v>2982</v>
      </c>
      <c r="L65" t="s">
        <v>3068</v>
      </c>
      <c r="M65" t="s">
        <v>3055</v>
      </c>
      <c r="N65" t="s">
        <v>2982</v>
      </c>
      <c r="O65" s="39" t="s">
        <v>3058</v>
      </c>
      <c r="P65" t="s">
        <v>1753</v>
      </c>
      <c r="Q65" t="s">
        <v>1638</v>
      </c>
      <c r="R65" s="10">
        <v>1823142.8</v>
      </c>
      <c r="S65" t="s">
        <v>1672</v>
      </c>
      <c r="T65" t="s">
        <v>2973</v>
      </c>
    </row>
    <row r="66" spans="1:20" hidden="1" x14ac:dyDescent="0.25">
      <c r="A66">
        <v>2023</v>
      </c>
      <c r="B66" t="s">
        <v>772</v>
      </c>
      <c r="C66" t="s">
        <v>27</v>
      </c>
      <c r="D66" t="s">
        <v>28</v>
      </c>
      <c r="E66" t="s">
        <v>1166</v>
      </c>
      <c r="G66" t="s">
        <v>2037</v>
      </c>
      <c r="H66" s="37" t="s">
        <v>11</v>
      </c>
      <c r="I66" s="37" t="s">
        <v>23</v>
      </c>
      <c r="J66" t="s">
        <v>16</v>
      </c>
      <c r="K66" t="s">
        <v>2982</v>
      </c>
      <c r="L66" t="s">
        <v>3069</v>
      </c>
      <c r="M66" t="s">
        <v>3055</v>
      </c>
      <c r="N66" t="s">
        <v>2982</v>
      </c>
      <c r="O66" s="39" t="s">
        <v>3058</v>
      </c>
      <c r="P66" t="s">
        <v>3189</v>
      </c>
      <c r="Q66" s="10" t="s">
        <v>1638</v>
      </c>
      <c r="R66" s="10">
        <v>2145</v>
      </c>
      <c r="S66" t="s">
        <v>1829</v>
      </c>
      <c r="T66" t="s">
        <v>1825</v>
      </c>
    </row>
    <row r="67" spans="1:20" hidden="1" x14ac:dyDescent="0.25">
      <c r="A67">
        <v>2023</v>
      </c>
      <c r="B67" t="s">
        <v>772</v>
      </c>
      <c r="C67" t="s">
        <v>27</v>
      </c>
      <c r="D67" t="s">
        <v>28</v>
      </c>
      <c r="E67" t="s">
        <v>1166</v>
      </c>
      <c r="G67" t="s">
        <v>2037</v>
      </c>
      <c r="H67" s="37" t="s">
        <v>11</v>
      </c>
      <c r="I67" s="37" t="s">
        <v>23</v>
      </c>
      <c r="J67" t="s">
        <v>16</v>
      </c>
      <c r="K67" t="s">
        <v>2982</v>
      </c>
      <c r="L67" t="s">
        <v>3070</v>
      </c>
      <c r="M67" t="s">
        <v>3055</v>
      </c>
      <c r="N67" t="s">
        <v>2982</v>
      </c>
      <c r="O67" s="39" t="s">
        <v>3058</v>
      </c>
      <c r="P67" t="s">
        <v>1639</v>
      </c>
      <c r="Q67" s="10" t="s">
        <v>1638</v>
      </c>
      <c r="R67" s="10">
        <v>39664</v>
      </c>
      <c r="S67" t="s">
        <v>1619</v>
      </c>
      <c r="T67" t="s">
        <v>1825</v>
      </c>
    </row>
    <row r="68" spans="1:20" hidden="1" x14ac:dyDescent="0.25">
      <c r="A68">
        <v>2023</v>
      </c>
      <c r="B68" t="s">
        <v>772</v>
      </c>
      <c r="C68" t="s">
        <v>27</v>
      </c>
      <c r="D68" t="s">
        <v>28</v>
      </c>
      <c r="E68" t="s">
        <v>1166</v>
      </c>
      <c r="G68" t="s">
        <v>2037</v>
      </c>
      <c r="H68" s="37" t="s">
        <v>11</v>
      </c>
      <c r="I68" s="37" t="s">
        <v>23</v>
      </c>
      <c r="J68" t="s">
        <v>16</v>
      </c>
      <c r="K68" t="s">
        <v>2982</v>
      </c>
      <c r="L68" t="s">
        <v>3068</v>
      </c>
      <c r="M68" t="s">
        <v>3055</v>
      </c>
      <c r="N68" t="s">
        <v>2982</v>
      </c>
      <c r="O68" s="39" t="s">
        <v>3058</v>
      </c>
      <c r="P68" t="s">
        <v>1828</v>
      </c>
      <c r="Q68" s="10" t="s">
        <v>1638</v>
      </c>
      <c r="R68" s="10">
        <v>3343</v>
      </c>
      <c r="S68" t="s">
        <v>1828</v>
      </c>
      <c r="T68" t="s">
        <v>1825</v>
      </c>
    </row>
    <row r="69" spans="1:20" hidden="1" x14ac:dyDescent="0.25">
      <c r="A69">
        <v>2023</v>
      </c>
      <c r="B69" t="s">
        <v>772</v>
      </c>
      <c r="C69" t="s">
        <v>27</v>
      </c>
      <c r="D69" t="s">
        <v>28</v>
      </c>
      <c r="E69" t="s">
        <v>1166</v>
      </c>
      <c r="G69" t="s">
        <v>2037</v>
      </c>
      <c r="H69" s="37" t="s">
        <v>11</v>
      </c>
      <c r="I69" s="37" t="s">
        <v>23</v>
      </c>
      <c r="J69" t="s">
        <v>16</v>
      </c>
      <c r="K69" t="s">
        <v>2983</v>
      </c>
      <c r="L69" t="s">
        <v>3066</v>
      </c>
      <c r="M69" t="s">
        <v>3055</v>
      </c>
      <c r="N69" t="s">
        <v>3040</v>
      </c>
      <c r="O69" s="39" t="s">
        <v>3057</v>
      </c>
      <c r="P69" t="s">
        <v>1605</v>
      </c>
      <c r="Q69" s="10" t="s">
        <v>1635</v>
      </c>
      <c r="R69">
        <v>20000</v>
      </c>
      <c r="S69" t="s">
        <v>1605</v>
      </c>
      <c r="T69" t="s">
        <v>1825</v>
      </c>
    </row>
    <row r="70" spans="1:20" hidden="1" x14ac:dyDescent="0.25">
      <c r="A70">
        <v>2023</v>
      </c>
      <c r="B70" t="s">
        <v>772</v>
      </c>
      <c r="C70" t="s">
        <v>27</v>
      </c>
      <c r="D70" t="s">
        <v>28</v>
      </c>
      <c r="E70" t="s">
        <v>1166</v>
      </c>
      <c r="G70" t="s">
        <v>2037</v>
      </c>
      <c r="H70" s="37" t="s">
        <v>11</v>
      </c>
      <c r="I70" s="37" t="s">
        <v>23</v>
      </c>
      <c r="J70" t="s">
        <v>16</v>
      </c>
      <c r="K70" t="s">
        <v>2983</v>
      </c>
      <c r="L70" t="s">
        <v>3066</v>
      </c>
      <c r="M70" t="s">
        <v>3055</v>
      </c>
      <c r="N70" t="s">
        <v>3040</v>
      </c>
      <c r="O70" s="39" t="s">
        <v>3057</v>
      </c>
      <c r="P70" t="s">
        <v>1606</v>
      </c>
      <c r="Q70" s="10" t="s">
        <v>1635</v>
      </c>
      <c r="R70">
        <v>5000</v>
      </c>
      <c r="S70" t="s">
        <v>1606</v>
      </c>
      <c r="T70" t="s">
        <v>1825</v>
      </c>
    </row>
    <row r="71" spans="1:20" hidden="1" x14ac:dyDescent="0.25">
      <c r="A71">
        <v>2023</v>
      </c>
      <c r="B71" t="s">
        <v>772</v>
      </c>
      <c r="C71" t="s">
        <v>101</v>
      </c>
      <c r="D71" t="s">
        <v>126</v>
      </c>
      <c r="E71" t="s">
        <v>1400</v>
      </c>
      <c r="G71" t="s">
        <v>1845</v>
      </c>
      <c r="H71" s="37" t="s">
        <v>11</v>
      </c>
      <c r="I71" s="37" t="s">
        <v>34</v>
      </c>
      <c r="J71" t="s">
        <v>127</v>
      </c>
      <c r="K71" t="s">
        <v>2982</v>
      </c>
      <c r="L71" t="s">
        <v>3069</v>
      </c>
      <c r="M71" t="s">
        <v>3055</v>
      </c>
      <c r="N71" t="s">
        <v>2982</v>
      </c>
      <c r="O71" s="39" t="s">
        <v>3058</v>
      </c>
      <c r="P71" t="s">
        <v>1676</v>
      </c>
      <c r="Q71" t="s">
        <v>1617</v>
      </c>
      <c r="R71" s="10">
        <v>1986.9308999999998</v>
      </c>
      <c r="S71" t="s">
        <v>1686</v>
      </c>
      <c r="T71" t="s">
        <v>1843</v>
      </c>
    </row>
    <row r="72" spans="1:20" hidden="1" x14ac:dyDescent="0.25">
      <c r="A72">
        <v>2023</v>
      </c>
      <c r="B72" t="s">
        <v>772</v>
      </c>
      <c r="C72" t="s">
        <v>101</v>
      </c>
      <c r="D72" t="s">
        <v>126</v>
      </c>
      <c r="E72" t="s">
        <v>1400</v>
      </c>
      <c r="G72" t="s">
        <v>1845</v>
      </c>
      <c r="H72" s="37" t="s">
        <v>11</v>
      </c>
      <c r="I72" s="37" t="s">
        <v>34</v>
      </c>
      <c r="J72" t="s">
        <v>127</v>
      </c>
      <c r="K72" t="s">
        <v>2982</v>
      </c>
      <c r="L72" t="s">
        <v>3070</v>
      </c>
      <c r="M72" t="s">
        <v>3055</v>
      </c>
      <c r="N72" t="s">
        <v>2982</v>
      </c>
      <c r="O72" s="39" t="s">
        <v>3058</v>
      </c>
      <c r="P72" t="s">
        <v>1639</v>
      </c>
      <c r="Q72" t="s">
        <v>1617</v>
      </c>
      <c r="R72" s="10">
        <v>23241.256000000001</v>
      </c>
      <c r="S72" t="s">
        <v>1687</v>
      </c>
      <c r="T72" t="s">
        <v>1843</v>
      </c>
    </row>
    <row r="73" spans="1:20" hidden="1" x14ac:dyDescent="0.25">
      <c r="A73">
        <v>2023</v>
      </c>
      <c r="B73" t="s">
        <v>772</v>
      </c>
      <c r="C73" t="s">
        <v>101</v>
      </c>
      <c r="D73" t="s">
        <v>126</v>
      </c>
      <c r="E73" t="s">
        <v>1400</v>
      </c>
      <c r="G73" t="s">
        <v>1845</v>
      </c>
      <c r="H73" s="37" t="s">
        <v>11</v>
      </c>
      <c r="I73" s="37" t="s">
        <v>34</v>
      </c>
      <c r="J73" t="s">
        <v>127</v>
      </c>
      <c r="K73" t="s">
        <v>2982</v>
      </c>
      <c r="L73" t="s">
        <v>3068</v>
      </c>
      <c r="M73" t="s">
        <v>3055</v>
      </c>
      <c r="N73" t="s">
        <v>2982</v>
      </c>
      <c r="O73" s="39" t="s">
        <v>3058</v>
      </c>
      <c r="P73" t="s">
        <v>1616</v>
      </c>
      <c r="Q73" t="s">
        <v>1617</v>
      </c>
      <c r="R73" s="10">
        <v>17062.697499999998</v>
      </c>
      <c r="S73" t="s">
        <v>1685</v>
      </c>
      <c r="T73" t="s">
        <v>1843</v>
      </c>
    </row>
    <row r="74" spans="1:20" hidden="1" x14ac:dyDescent="0.25">
      <c r="A74">
        <v>2023</v>
      </c>
      <c r="B74" t="s">
        <v>772</v>
      </c>
      <c r="C74" t="s">
        <v>101</v>
      </c>
      <c r="D74" t="s">
        <v>126</v>
      </c>
      <c r="E74" t="s">
        <v>1400</v>
      </c>
      <c r="G74" t="s">
        <v>1845</v>
      </c>
      <c r="H74" s="37" t="s">
        <v>11</v>
      </c>
      <c r="I74" s="37" t="s">
        <v>34</v>
      </c>
      <c r="J74" t="s">
        <v>127</v>
      </c>
      <c r="K74" t="s">
        <v>2983</v>
      </c>
      <c r="L74" t="s">
        <v>3066</v>
      </c>
      <c r="M74" t="s">
        <v>3054</v>
      </c>
      <c r="N74" t="s">
        <v>3161</v>
      </c>
      <c r="O74" s="39" t="s">
        <v>3042</v>
      </c>
      <c r="P74" t="s">
        <v>707</v>
      </c>
      <c r="Q74" t="s">
        <v>1546</v>
      </c>
      <c r="R74" s="10">
        <v>707.8</v>
      </c>
      <c r="T74" t="s">
        <v>1843</v>
      </c>
    </row>
    <row r="75" spans="1:20" hidden="1" x14ac:dyDescent="0.25">
      <c r="A75">
        <v>2023</v>
      </c>
      <c r="B75" t="s">
        <v>772</v>
      </c>
      <c r="C75" t="s">
        <v>101</v>
      </c>
      <c r="D75" t="s">
        <v>126</v>
      </c>
      <c r="E75" t="s">
        <v>1400</v>
      </c>
      <c r="G75" t="s">
        <v>1845</v>
      </c>
      <c r="H75" s="37" t="s">
        <v>11</v>
      </c>
      <c r="I75" s="37" t="s">
        <v>34</v>
      </c>
      <c r="J75" t="s">
        <v>127</v>
      </c>
      <c r="K75" t="s">
        <v>2983</v>
      </c>
      <c r="L75" t="s">
        <v>3066</v>
      </c>
      <c r="M75" t="s">
        <v>3054</v>
      </c>
      <c r="N75" t="s">
        <v>1651</v>
      </c>
      <c r="O75" s="39" t="s">
        <v>3050</v>
      </c>
      <c r="P75" t="s">
        <v>707</v>
      </c>
      <c r="Q75" t="s">
        <v>1546</v>
      </c>
      <c r="R75" s="10">
        <v>175.6</v>
      </c>
      <c r="T75" t="s">
        <v>1843</v>
      </c>
    </row>
    <row r="76" spans="1:20" hidden="1" x14ac:dyDescent="0.25">
      <c r="A76">
        <v>2023</v>
      </c>
      <c r="B76" t="s">
        <v>772</v>
      </c>
      <c r="C76" t="s">
        <v>101</v>
      </c>
      <c r="D76" t="s">
        <v>126</v>
      </c>
      <c r="E76" t="s">
        <v>1400</v>
      </c>
      <c r="G76" t="s">
        <v>1845</v>
      </c>
      <c r="H76" s="37" t="s">
        <v>11</v>
      </c>
      <c r="I76" s="37" t="s">
        <v>34</v>
      </c>
      <c r="J76" t="s">
        <v>127</v>
      </c>
      <c r="K76" t="s">
        <v>2983</v>
      </c>
      <c r="L76" t="s">
        <v>3066</v>
      </c>
      <c r="M76" t="s">
        <v>3054</v>
      </c>
      <c r="N76" t="s">
        <v>1650</v>
      </c>
      <c r="O76" s="39">
        <v>2025884</v>
      </c>
      <c r="P76" t="s">
        <v>707</v>
      </c>
      <c r="Q76" t="s">
        <v>1546</v>
      </c>
      <c r="R76" s="10">
        <v>1.7010000000000001</v>
      </c>
      <c r="T76" t="s">
        <v>1843</v>
      </c>
    </row>
    <row r="77" spans="1:20" hidden="1" x14ac:dyDescent="0.25">
      <c r="A77">
        <v>2023</v>
      </c>
      <c r="B77" t="s">
        <v>772</v>
      </c>
      <c r="C77" t="s">
        <v>101</v>
      </c>
      <c r="D77" t="s">
        <v>126</v>
      </c>
      <c r="E77" t="s">
        <v>1400</v>
      </c>
      <c r="G77" t="s">
        <v>1845</v>
      </c>
      <c r="H77" s="37" t="s">
        <v>11</v>
      </c>
      <c r="I77" s="37" t="s">
        <v>34</v>
      </c>
      <c r="J77" t="s">
        <v>127</v>
      </c>
      <c r="K77" t="s">
        <v>2983</v>
      </c>
      <c r="L77" t="s">
        <v>3066</v>
      </c>
      <c r="M77" t="s">
        <v>3055</v>
      </c>
      <c r="N77" t="s">
        <v>3071</v>
      </c>
      <c r="O77" s="39" t="s">
        <v>3072</v>
      </c>
      <c r="P77" t="s">
        <v>707</v>
      </c>
      <c r="Q77" t="s">
        <v>1546</v>
      </c>
      <c r="R77" s="10">
        <v>7.74</v>
      </c>
      <c r="T77" t="s">
        <v>1843</v>
      </c>
    </row>
    <row r="78" spans="1:20" hidden="1" x14ac:dyDescent="0.25">
      <c r="A78">
        <v>2023</v>
      </c>
      <c r="B78" t="s">
        <v>772</v>
      </c>
      <c r="C78" t="s">
        <v>101</v>
      </c>
      <c r="D78" t="s">
        <v>126</v>
      </c>
      <c r="E78" t="s">
        <v>1400</v>
      </c>
      <c r="G78" t="s">
        <v>1845</v>
      </c>
      <c r="H78" s="37" t="s">
        <v>11</v>
      </c>
      <c r="I78" s="37" t="s">
        <v>34</v>
      </c>
      <c r="J78" t="s">
        <v>127</v>
      </c>
      <c r="K78" t="s">
        <v>2983</v>
      </c>
      <c r="L78" t="s">
        <v>3066</v>
      </c>
      <c r="M78" t="s">
        <v>3055</v>
      </c>
      <c r="N78" t="s">
        <v>3155</v>
      </c>
      <c r="O78" s="39" t="s">
        <v>3047</v>
      </c>
      <c r="P78" t="s">
        <v>707</v>
      </c>
      <c r="Q78" t="s">
        <v>1546</v>
      </c>
      <c r="R78" s="10">
        <v>45.9</v>
      </c>
      <c r="T78" t="s">
        <v>1843</v>
      </c>
    </row>
    <row r="79" spans="1:20" hidden="1" x14ac:dyDescent="0.25">
      <c r="A79">
        <v>2023</v>
      </c>
      <c r="B79" t="s">
        <v>772</v>
      </c>
      <c r="C79" t="s">
        <v>736</v>
      </c>
      <c r="D79" t="s">
        <v>25</v>
      </c>
      <c r="E79" t="s">
        <v>1136</v>
      </c>
      <c r="G79" t="s">
        <v>2019</v>
      </c>
      <c r="H79" s="37" t="s">
        <v>11</v>
      </c>
      <c r="I79" s="37" t="s">
        <v>13</v>
      </c>
      <c r="J79" t="s">
        <v>16</v>
      </c>
      <c r="K79" t="s">
        <v>2983</v>
      </c>
      <c r="L79" t="s">
        <v>3066</v>
      </c>
      <c r="M79" t="s">
        <v>3054</v>
      </c>
      <c r="N79" t="s">
        <v>3161</v>
      </c>
      <c r="O79" s="39" t="s">
        <v>3042</v>
      </c>
      <c r="P79" t="s">
        <v>707</v>
      </c>
      <c r="Q79" t="s">
        <v>1546</v>
      </c>
      <c r="R79" s="10">
        <v>322.2</v>
      </c>
      <c r="T79" t="s">
        <v>1601</v>
      </c>
    </row>
    <row r="80" spans="1:20" hidden="1" x14ac:dyDescent="0.25">
      <c r="A80">
        <v>2023</v>
      </c>
      <c r="B80" t="s">
        <v>772</v>
      </c>
      <c r="C80" t="s">
        <v>736</v>
      </c>
      <c r="D80" t="s">
        <v>25</v>
      </c>
      <c r="E80" t="s">
        <v>1136</v>
      </c>
      <c r="G80" t="s">
        <v>2019</v>
      </c>
      <c r="H80" s="37" t="s">
        <v>11</v>
      </c>
      <c r="I80" s="37" t="s">
        <v>13</v>
      </c>
      <c r="J80" t="s">
        <v>16</v>
      </c>
      <c r="K80" t="s">
        <v>2983</v>
      </c>
      <c r="L80" t="s">
        <v>3066</v>
      </c>
      <c r="M80" t="s">
        <v>3055</v>
      </c>
      <c r="N80" t="s">
        <v>3040</v>
      </c>
      <c r="O80" s="39" t="s">
        <v>3057</v>
      </c>
      <c r="P80" t="s">
        <v>1605</v>
      </c>
      <c r="Q80" t="s">
        <v>1635</v>
      </c>
      <c r="R80" s="10">
        <v>20111</v>
      </c>
      <c r="S80" t="s">
        <v>1605</v>
      </c>
      <c r="T80" t="s">
        <v>1601</v>
      </c>
    </row>
    <row r="81" spans="1:20" hidden="1" x14ac:dyDescent="0.25">
      <c r="A81">
        <v>2023</v>
      </c>
      <c r="B81" t="s">
        <v>772</v>
      </c>
      <c r="C81" t="s">
        <v>736</v>
      </c>
      <c r="D81" t="s">
        <v>25</v>
      </c>
      <c r="E81" t="s">
        <v>1136</v>
      </c>
      <c r="G81" t="s">
        <v>2019</v>
      </c>
      <c r="H81" s="37" t="s">
        <v>11</v>
      </c>
      <c r="I81" s="37" t="s">
        <v>13</v>
      </c>
      <c r="J81" t="s">
        <v>16</v>
      </c>
      <c r="K81" t="s">
        <v>2983</v>
      </c>
      <c r="L81" t="s">
        <v>3066</v>
      </c>
      <c r="M81" t="s">
        <v>3055</v>
      </c>
      <c r="N81" t="s">
        <v>3040</v>
      </c>
      <c r="O81" s="39" t="s">
        <v>3057</v>
      </c>
      <c r="P81" t="s">
        <v>1606</v>
      </c>
      <c r="Q81" t="s">
        <v>1635</v>
      </c>
      <c r="R81" s="10">
        <v>2785</v>
      </c>
      <c r="S81" t="s">
        <v>1606</v>
      </c>
      <c r="T81" t="s">
        <v>1601</v>
      </c>
    </row>
    <row r="82" spans="1:20" hidden="1" x14ac:dyDescent="0.25">
      <c r="A82">
        <v>2023</v>
      </c>
      <c r="B82" t="s">
        <v>772</v>
      </c>
      <c r="C82" t="s">
        <v>736</v>
      </c>
      <c r="D82" t="s">
        <v>25</v>
      </c>
      <c r="E82" t="s">
        <v>1136</v>
      </c>
      <c r="G82" t="s">
        <v>2019</v>
      </c>
      <c r="H82" s="37" t="s">
        <v>11</v>
      </c>
      <c r="I82" s="37" t="s">
        <v>13</v>
      </c>
      <c r="J82" t="s">
        <v>16</v>
      </c>
      <c r="K82" t="s">
        <v>2983</v>
      </c>
      <c r="L82" t="s">
        <v>3066</v>
      </c>
      <c r="M82" t="s">
        <v>3055</v>
      </c>
      <c r="N82" t="s">
        <v>3040</v>
      </c>
      <c r="O82" s="39" t="s">
        <v>3057</v>
      </c>
      <c r="P82" t="s">
        <v>1607</v>
      </c>
      <c r="Q82" t="s">
        <v>1635</v>
      </c>
      <c r="R82" s="10">
        <v>72766</v>
      </c>
      <c r="S82" t="s">
        <v>1607</v>
      </c>
      <c r="T82" t="s">
        <v>1601</v>
      </c>
    </row>
    <row r="83" spans="1:20" hidden="1" x14ac:dyDescent="0.25">
      <c r="A83">
        <v>2023</v>
      </c>
      <c r="B83" t="s">
        <v>772</v>
      </c>
      <c r="C83" t="s">
        <v>736</v>
      </c>
      <c r="D83" t="s">
        <v>25</v>
      </c>
      <c r="E83" t="s">
        <v>1136</v>
      </c>
      <c r="G83" t="s">
        <v>2019</v>
      </c>
      <c r="H83" s="37" t="s">
        <v>11</v>
      </c>
      <c r="I83" s="37" t="s">
        <v>13</v>
      </c>
      <c r="J83" t="s">
        <v>16</v>
      </c>
      <c r="K83" t="s">
        <v>2983</v>
      </c>
      <c r="L83" t="s">
        <v>3066</v>
      </c>
      <c r="M83" t="s">
        <v>3054</v>
      </c>
      <c r="N83" t="s">
        <v>3158</v>
      </c>
      <c r="O83" s="39" t="s">
        <v>3043</v>
      </c>
      <c r="P83" t="s">
        <v>707</v>
      </c>
      <c r="Q83" t="s">
        <v>1546</v>
      </c>
      <c r="R83" s="10">
        <v>3.3257557699805198E-4</v>
      </c>
      <c r="T83" t="s">
        <v>1601</v>
      </c>
    </row>
    <row r="84" spans="1:20" hidden="1" x14ac:dyDescent="0.25">
      <c r="A84">
        <v>2023</v>
      </c>
      <c r="B84" t="s">
        <v>772</v>
      </c>
      <c r="C84" t="s">
        <v>736</v>
      </c>
      <c r="D84" t="s">
        <v>25</v>
      </c>
      <c r="E84" t="s">
        <v>1136</v>
      </c>
      <c r="G84" t="s">
        <v>2019</v>
      </c>
      <c r="H84" s="37" t="s">
        <v>11</v>
      </c>
      <c r="I84" s="37" t="s">
        <v>13</v>
      </c>
      <c r="J84" t="s">
        <v>16</v>
      </c>
      <c r="K84" t="s">
        <v>2983</v>
      </c>
      <c r="L84" t="s">
        <v>3066</v>
      </c>
      <c r="M84" t="s">
        <v>3054</v>
      </c>
      <c r="N84" t="s">
        <v>3157</v>
      </c>
      <c r="O84" s="39" t="s">
        <v>3045</v>
      </c>
      <c r="P84" t="s">
        <v>707</v>
      </c>
      <c r="Q84" t="s">
        <v>1546</v>
      </c>
      <c r="R84" s="10">
        <v>1.90290400308735E-5</v>
      </c>
      <c r="T84" t="s">
        <v>1601</v>
      </c>
    </row>
    <row r="85" spans="1:20" hidden="1" x14ac:dyDescent="0.25">
      <c r="A85">
        <v>2023</v>
      </c>
      <c r="B85" t="s">
        <v>772</v>
      </c>
      <c r="C85" t="s">
        <v>736</v>
      </c>
      <c r="D85" t="s">
        <v>25</v>
      </c>
      <c r="E85" t="s">
        <v>1136</v>
      </c>
      <c r="G85" t="s">
        <v>2019</v>
      </c>
      <c r="H85" s="37" t="s">
        <v>11</v>
      </c>
      <c r="I85" s="37" t="s">
        <v>13</v>
      </c>
      <c r="J85" t="s">
        <v>16</v>
      </c>
      <c r="K85" t="s">
        <v>2983</v>
      </c>
      <c r="L85" t="s">
        <v>3066</v>
      </c>
      <c r="M85" t="s">
        <v>3054</v>
      </c>
      <c r="N85" t="s">
        <v>2985</v>
      </c>
      <c r="O85" s="39" t="s">
        <v>3048</v>
      </c>
      <c r="P85" t="s">
        <v>1605</v>
      </c>
      <c r="Q85" t="s">
        <v>1635</v>
      </c>
      <c r="R85" s="10">
        <v>127</v>
      </c>
      <c r="S85" t="s">
        <v>1605</v>
      </c>
      <c r="T85" t="s">
        <v>1601</v>
      </c>
    </row>
    <row r="86" spans="1:20" hidden="1" x14ac:dyDescent="0.25">
      <c r="A86">
        <v>2023</v>
      </c>
      <c r="B86" t="s">
        <v>772</v>
      </c>
      <c r="C86" t="s">
        <v>736</v>
      </c>
      <c r="D86" t="s">
        <v>25</v>
      </c>
      <c r="E86" t="s">
        <v>1136</v>
      </c>
      <c r="G86" t="s">
        <v>2019</v>
      </c>
      <c r="H86" s="37" t="s">
        <v>11</v>
      </c>
      <c r="I86" s="37" t="s">
        <v>13</v>
      </c>
      <c r="J86" t="s">
        <v>16</v>
      </c>
      <c r="K86" t="s">
        <v>2983</v>
      </c>
      <c r="L86" t="s">
        <v>3066</v>
      </c>
      <c r="M86" t="s">
        <v>3055</v>
      </c>
      <c r="N86" t="s">
        <v>1636</v>
      </c>
      <c r="O86" s="39" t="s">
        <v>3059</v>
      </c>
      <c r="P86" t="s">
        <v>707</v>
      </c>
      <c r="Q86" t="s">
        <v>1546</v>
      </c>
      <c r="R86" s="10">
        <v>440.2</v>
      </c>
      <c r="T86" t="s">
        <v>1601</v>
      </c>
    </row>
    <row r="87" spans="1:20" hidden="1" x14ac:dyDescent="0.25">
      <c r="A87">
        <v>2023</v>
      </c>
      <c r="B87" t="s">
        <v>772</v>
      </c>
      <c r="C87" t="s">
        <v>736</v>
      </c>
      <c r="D87" t="s">
        <v>25</v>
      </c>
      <c r="E87" t="s">
        <v>1136</v>
      </c>
      <c r="G87" t="s">
        <v>2019</v>
      </c>
      <c r="H87" s="37" t="s">
        <v>11</v>
      </c>
      <c r="I87" s="37" t="s">
        <v>13</v>
      </c>
      <c r="J87" t="s">
        <v>16</v>
      </c>
      <c r="K87" t="s">
        <v>2983</v>
      </c>
      <c r="L87" t="s">
        <v>3066</v>
      </c>
      <c r="M87" t="s">
        <v>3055</v>
      </c>
      <c r="N87" t="s">
        <v>3160</v>
      </c>
      <c r="O87" s="39" t="s">
        <v>3074</v>
      </c>
      <c r="P87" t="s">
        <v>707</v>
      </c>
      <c r="Q87" t="s">
        <v>1546</v>
      </c>
      <c r="R87" s="10">
        <v>83.19</v>
      </c>
      <c r="T87" t="s">
        <v>1601</v>
      </c>
    </row>
    <row r="88" spans="1:20" hidden="1" x14ac:dyDescent="0.25">
      <c r="A88">
        <v>2023</v>
      </c>
      <c r="B88" t="s">
        <v>772</v>
      </c>
      <c r="C88" t="s">
        <v>736</v>
      </c>
      <c r="D88" t="s">
        <v>25</v>
      </c>
      <c r="E88" t="s">
        <v>1136</v>
      </c>
      <c r="G88" t="s">
        <v>2019</v>
      </c>
      <c r="H88" s="37" t="s">
        <v>11</v>
      </c>
      <c r="I88" s="37" t="s">
        <v>13</v>
      </c>
      <c r="J88" t="s">
        <v>16</v>
      </c>
      <c r="K88" t="s">
        <v>2983</v>
      </c>
      <c r="L88" t="s">
        <v>3066</v>
      </c>
      <c r="M88" t="s">
        <v>3055</v>
      </c>
      <c r="N88" t="s">
        <v>2986</v>
      </c>
      <c r="O88" s="39" t="s">
        <v>3061</v>
      </c>
      <c r="P88" t="s">
        <v>1605</v>
      </c>
      <c r="Q88" t="s">
        <v>1635</v>
      </c>
      <c r="R88" s="10">
        <v>31</v>
      </c>
      <c r="S88" t="s">
        <v>1605</v>
      </c>
      <c r="T88" t="s">
        <v>1601</v>
      </c>
    </row>
    <row r="89" spans="1:20" hidden="1" x14ac:dyDescent="0.25">
      <c r="A89">
        <v>2023</v>
      </c>
      <c r="B89" t="s">
        <v>772</v>
      </c>
      <c r="C89" t="s">
        <v>736</v>
      </c>
      <c r="D89" t="s">
        <v>25</v>
      </c>
      <c r="E89" t="s">
        <v>1136</v>
      </c>
      <c r="G89" t="s">
        <v>2019</v>
      </c>
      <c r="H89" s="37" t="s">
        <v>11</v>
      </c>
      <c r="I89" s="37" t="s">
        <v>13</v>
      </c>
      <c r="J89" t="s">
        <v>16</v>
      </c>
      <c r="K89" t="s">
        <v>2983</v>
      </c>
      <c r="L89" t="s">
        <v>3066</v>
      </c>
      <c r="M89" t="s">
        <v>3055</v>
      </c>
      <c r="N89" t="s">
        <v>3075</v>
      </c>
      <c r="O89" s="39" t="s">
        <v>3076</v>
      </c>
      <c r="P89" t="s">
        <v>707</v>
      </c>
      <c r="Q89" t="s">
        <v>1546</v>
      </c>
      <c r="R89" s="10">
        <v>61.61</v>
      </c>
      <c r="T89" t="s">
        <v>1601</v>
      </c>
    </row>
    <row r="90" spans="1:20" hidden="1" x14ac:dyDescent="0.25">
      <c r="A90">
        <v>2023</v>
      </c>
      <c r="B90" t="s">
        <v>772</v>
      </c>
      <c r="C90" t="s">
        <v>736</v>
      </c>
      <c r="D90" t="s">
        <v>25</v>
      </c>
      <c r="E90" t="s">
        <v>1136</v>
      </c>
      <c r="G90" t="s">
        <v>2019</v>
      </c>
      <c r="H90" s="37" t="s">
        <v>11</v>
      </c>
      <c r="I90" s="37" t="s">
        <v>13</v>
      </c>
      <c r="J90" t="s">
        <v>16</v>
      </c>
      <c r="K90" t="s">
        <v>2983</v>
      </c>
      <c r="L90" t="s">
        <v>3066</v>
      </c>
      <c r="M90" t="s">
        <v>3055</v>
      </c>
      <c r="N90" t="s">
        <v>2987</v>
      </c>
      <c r="O90" s="39" t="s">
        <v>3062</v>
      </c>
      <c r="P90" t="s">
        <v>707</v>
      </c>
      <c r="Q90" t="s">
        <v>1546</v>
      </c>
      <c r="R90" s="10">
        <v>0.41799999999999998</v>
      </c>
      <c r="T90" t="s">
        <v>1601</v>
      </c>
    </row>
    <row r="91" spans="1:20" hidden="1" x14ac:dyDescent="0.25">
      <c r="A91">
        <v>2023</v>
      </c>
      <c r="B91" t="s">
        <v>772</v>
      </c>
      <c r="C91" t="s">
        <v>736</v>
      </c>
      <c r="D91" t="s">
        <v>25</v>
      </c>
      <c r="E91" t="s">
        <v>1136</v>
      </c>
      <c r="G91" t="s">
        <v>2019</v>
      </c>
      <c r="H91" s="37" t="s">
        <v>11</v>
      </c>
      <c r="I91" s="37" t="s">
        <v>13</v>
      </c>
      <c r="J91" t="s">
        <v>16</v>
      </c>
      <c r="K91" t="s">
        <v>2983</v>
      </c>
      <c r="L91" t="s">
        <v>3066</v>
      </c>
      <c r="M91" t="s">
        <v>3055</v>
      </c>
      <c r="N91" t="s">
        <v>1637</v>
      </c>
      <c r="O91" s="39" t="s">
        <v>3063</v>
      </c>
      <c r="P91" t="s">
        <v>707</v>
      </c>
      <c r="Q91" t="s">
        <v>1546</v>
      </c>
      <c r="R91" s="10">
        <v>0.66</v>
      </c>
      <c r="T91" t="s">
        <v>1601</v>
      </c>
    </row>
    <row r="92" spans="1:20" hidden="1" x14ac:dyDescent="0.25">
      <c r="A92">
        <v>2023</v>
      </c>
      <c r="B92" t="s">
        <v>772</v>
      </c>
      <c r="C92" t="s">
        <v>736</v>
      </c>
      <c r="D92" t="s">
        <v>25</v>
      </c>
      <c r="E92" t="s">
        <v>1136</v>
      </c>
      <c r="G92" t="s">
        <v>2019</v>
      </c>
      <c r="H92" s="37" t="s">
        <v>11</v>
      </c>
      <c r="I92" s="37" t="s">
        <v>13</v>
      </c>
      <c r="J92" t="s">
        <v>16</v>
      </c>
      <c r="K92" t="s">
        <v>2983</v>
      </c>
      <c r="L92" t="s">
        <v>3066</v>
      </c>
      <c r="M92" t="s">
        <v>3055</v>
      </c>
      <c r="N92" t="s">
        <v>3155</v>
      </c>
      <c r="O92" s="39" t="s">
        <v>3047</v>
      </c>
      <c r="P92" t="s">
        <v>707</v>
      </c>
      <c r="Q92" t="s">
        <v>1546</v>
      </c>
      <c r="R92" s="10">
        <v>8.5</v>
      </c>
      <c r="T92" t="s">
        <v>1601</v>
      </c>
    </row>
    <row r="93" spans="1:20" hidden="1" x14ac:dyDescent="0.25">
      <c r="A93">
        <v>2023</v>
      </c>
      <c r="B93" t="s">
        <v>772</v>
      </c>
      <c r="C93" t="s">
        <v>736</v>
      </c>
      <c r="D93" t="s">
        <v>25</v>
      </c>
      <c r="E93" t="s">
        <v>1136</v>
      </c>
      <c r="G93" t="s">
        <v>2019</v>
      </c>
      <c r="H93" s="37" t="s">
        <v>11</v>
      </c>
      <c r="I93" s="37" t="s">
        <v>13</v>
      </c>
      <c r="J93" t="s">
        <v>16</v>
      </c>
      <c r="K93" t="s">
        <v>2982</v>
      </c>
      <c r="L93" t="s">
        <v>3068</v>
      </c>
      <c r="M93" t="s">
        <v>3055</v>
      </c>
      <c r="N93" t="s">
        <v>2982</v>
      </c>
      <c r="O93" s="39" t="s">
        <v>3058</v>
      </c>
      <c r="P93" t="s">
        <v>1616</v>
      </c>
      <c r="Q93" t="s">
        <v>1617</v>
      </c>
      <c r="R93" s="10">
        <v>944.3</v>
      </c>
      <c r="S93" t="s">
        <v>1616</v>
      </c>
      <c r="T93" t="s">
        <v>1601</v>
      </c>
    </row>
    <row r="94" spans="1:20" hidden="1" x14ac:dyDescent="0.25">
      <c r="A94">
        <v>2023</v>
      </c>
      <c r="B94" t="s">
        <v>772</v>
      </c>
      <c r="C94" t="s">
        <v>736</v>
      </c>
      <c r="D94" t="s">
        <v>25</v>
      </c>
      <c r="E94" t="s">
        <v>1136</v>
      </c>
      <c r="G94" t="s">
        <v>2019</v>
      </c>
      <c r="H94" s="37" t="s">
        <v>11</v>
      </c>
      <c r="I94" s="37" t="s">
        <v>13</v>
      </c>
      <c r="J94" t="s">
        <v>16</v>
      </c>
      <c r="K94" t="s">
        <v>2982</v>
      </c>
      <c r="L94" t="s">
        <v>3069</v>
      </c>
      <c r="M94" t="s">
        <v>3055</v>
      </c>
      <c r="N94" t="s">
        <v>2982</v>
      </c>
      <c r="O94" s="39" t="s">
        <v>3058</v>
      </c>
      <c r="P94" t="s">
        <v>1676</v>
      </c>
      <c r="Q94" t="s">
        <v>1617</v>
      </c>
      <c r="R94" s="10">
        <v>1428.9</v>
      </c>
      <c r="S94" t="s">
        <v>1618</v>
      </c>
      <c r="T94" t="s">
        <v>1601</v>
      </c>
    </row>
    <row r="95" spans="1:20" hidden="1" x14ac:dyDescent="0.25">
      <c r="A95">
        <v>2023</v>
      </c>
      <c r="B95" t="s">
        <v>772</v>
      </c>
      <c r="C95" t="s">
        <v>736</v>
      </c>
      <c r="D95" t="s">
        <v>25</v>
      </c>
      <c r="E95" t="s">
        <v>1136</v>
      </c>
      <c r="G95" t="s">
        <v>2019</v>
      </c>
      <c r="H95" s="37" t="s">
        <v>11</v>
      </c>
      <c r="I95" s="37" t="s">
        <v>13</v>
      </c>
      <c r="J95" t="s">
        <v>16</v>
      </c>
      <c r="K95" t="s">
        <v>2981</v>
      </c>
      <c r="L95" t="s">
        <v>3067</v>
      </c>
      <c r="O95" s="39"/>
      <c r="P95" t="s">
        <v>1626</v>
      </c>
      <c r="Q95" t="s">
        <v>1629</v>
      </c>
      <c r="R95" s="10">
        <v>1375</v>
      </c>
      <c r="S95" t="s">
        <v>1626</v>
      </c>
      <c r="T95" t="s">
        <v>1601</v>
      </c>
    </row>
    <row r="96" spans="1:20" hidden="1" x14ac:dyDescent="0.25">
      <c r="A96">
        <v>2023</v>
      </c>
      <c r="B96" t="s">
        <v>772</v>
      </c>
      <c r="C96" t="s">
        <v>736</v>
      </c>
      <c r="D96" t="s">
        <v>25</v>
      </c>
      <c r="E96" t="s">
        <v>1136</v>
      </c>
      <c r="G96" t="s">
        <v>2019</v>
      </c>
      <c r="H96" s="37" t="s">
        <v>11</v>
      </c>
      <c r="I96" s="37" t="s">
        <v>13</v>
      </c>
      <c r="J96" t="s">
        <v>16</v>
      </c>
      <c r="K96" t="s">
        <v>2981</v>
      </c>
      <c r="L96" t="s">
        <v>3067</v>
      </c>
      <c r="O96" s="39"/>
      <c r="P96" t="s">
        <v>1627</v>
      </c>
      <c r="Q96" t="s">
        <v>1629</v>
      </c>
      <c r="R96" s="10">
        <v>235</v>
      </c>
      <c r="S96" t="s">
        <v>1627</v>
      </c>
      <c r="T96" t="s">
        <v>1601</v>
      </c>
    </row>
    <row r="97" spans="1:20" hidden="1" x14ac:dyDescent="0.25">
      <c r="A97">
        <v>2023</v>
      </c>
      <c r="B97" t="s">
        <v>772</v>
      </c>
      <c r="C97" t="s">
        <v>8</v>
      </c>
      <c r="D97" t="s">
        <v>9</v>
      </c>
      <c r="E97" t="s">
        <v>1264</v>
      </c>
      <c r="G97" t="s">
        <v>1895</v>
      </c>
      <c r="H97" s="37" t="s">
        <v>11</v>
      </c>
      <c r="I97" s="37" t="s">
        <v>23</v>
      </c>
      <c r="J97" t="s">
        <v>12</v>
      </c>
      <c r="K97" t="s">
        <v>2983</v>
      </c>
      <c r="L97" t="s">
        <v>3066</v>
      </c>
      <c r="M97" t="s">
        <v>3055</v>
      </c>
      <c r="N97" t="s">
        <v>3040</v>
      </c>
      <c r="O97" s="39" t="s">
        <v>3057</v>
      </c>
      <c r="P97" t="s">
        <v>1605</v>
      </c>
      <c r="Q97" t="s">
        <v>1635</v>
      </c>
      <c r="R97" s="10">
        <v>7271</v>
      </c>
      <c r="S97" t="s">
        <v>1605</v>
      </c>
      <c r="T97" t="s">
        <v>1904</v>
      </c>
    </row>
    <row r="98" spans="1:20" hidden="1" x14ac:dyDescent="0.25">
      <c r="A98">
        <v>2023</v>
      </c>
      <c r="B98" t="s">
        <v>772</v>
      </c>
      <c r="C98" t="s">
        <v>8</v>
      </c>
      <c r="D98" t="s">
        <v>9</v>
      </c>
      <c r="E98" t="s">
        <v>1264</v>
      </c>
      <c r="G98" t="s">
        <v>1895</v>
      </c>
      <c r="H98" s="37" t="s">
        <v>11</v>
      </c>
      <c r="I98" s="37" t="s">
        <v>23</v>
      </c>
      <c r="J98" t="s">
        <v>12</v>
      </c>
      <c r="K98" t="s">
        <v>2983</v>
      </c>
      <c r="L98" t="s">
        <v>3066</v>
      </c>
      <c r="M98" t="s">
        <v>3055</v>
      </c>
      <c r="N98" t="s">
        <v>3040</v>
      </c>
      <c r="O98" s="39" t="s">
        <v>3057</v>
      </c>
      <c r="P98" t="s">
        <v>1606</v>
      </c>
      <c r="Q98" t="s">
        <v>1635</v>
      </c>
      <c r="R98" s="10">
        <v>1408</v>
      </c>
      <c r="S98" t="s">
        <v>1606</v>
      </c>
      <c r="T98" t="s">
        <v>1904</v>
      </c>
    </row>
    <row r="99" spans="1:20" hidden="1" x14ac:dyDescent="0.25">
      <c r="A99">
        <v>2023</v>
      </c>
      <c r="B99" t="s">
        <v>772</v>
      </c>
      <c r="C99" t="s">
        <v>730</v>
      </c>
      <c r="D99" t="s">
        <v>60</v>
      </c>
      <c r="E99" t="s">
        <v>1437</v>
      </c>
      <c r="G99" t="s">
        <v>2202</v>
      </c>
      <c r="H99" s="37" t="s">
        <v>11</v>
      </c>
      <c r="I99" s="37" t="s">
        <v>19</v>
      </c>
      <c r="J99" t="s">
        <v>16</v>
      </c>
      <c r="K99" t="s">
        <v>2982</v>
      </c>
      <c r="L99" t="s">
        <v>3070</v>
      </c>
      <c r="M99" t="s">
        <v>3055</v>
      </c>
      <c r="N99" t="s">
        <v>2982</v>
      </c>
      <c r="O99" s="39" t="s">
        <v>3058</v>
      </c>
      <c r="P99" t="s">
        <v>1639</v>
      </c>
      <c r="Q99" t="s">
        <v>1638</v>
      </c>
      <c r="R99" s="10">
        <v>82144</v>
      </c>
      <c r="S99" t="s">
        <v>1639</v>
      </c>
      <c r="T99" t="s">
        <v>1867</v>
      </c>
    </row>
    <row r="100" spans="1:20" hidden="1" x14ac:dyDescent="0.25">
      <c r="A100">
        <v>2023</v>
      </c>
      <c r="B100" t="s">
        <v>772</v>
      </c>
      <c r="C100" t="s">
        <v>730</v>
      </c>
      <c r="D100" t="s">
        <v>60</v>
      </c>
      <c r="E100" t="s">
        <v>1437</v>
      </c>
      <c r="G100" t="s">
        <v>2202</v>
      </c>
      <c r="H100" s="37" t="s">
        <v>11</v>
      </c>
      <c r="I100" s="37" t="s">
        <v>19</v>
      </c>
      <c r="J100" t="s">
        <v>16</v>
      </c>
      <c r="K100" t="s">
        <v>2982</v>
      </c>
      <c r="L100" t="s">
        <v>3069</v>
      </c>
      <c r="M100" t="s">
        <v>3055</v>
      </c>
      <c r="N100" t="s">
        <v>2982</v>
      </c>
      <c r="O100" s="39" t="s">
        <v>3058</v>
      </c>
      <c r="P100" t="s">
        <v>1676</v>
      </c>
      <c r="Q100" t="s">
        <v>1638</v>
      </c>
      <c r="R100" s="10">
        <v>536420</v>
      </c>
      <c r="S100" t="s">
        <v>1676</v>
      </c>
      <c r="T100" t="s">
        <v>1867</v>
      </c>
    </row>
    <row r="101" spans="1:20" hidden="1" x14ac:dyDescent="0.25">
      <c r="A101">
        <v>2023</v>
      </c>
      <c r="B101" t="s">
        <v>772</v>
      </c>
      <c r="C101" t="s">
        <v>730</v>
      </c>
      <c r="D101" t="s">
        <v>60</v>
      </c>
      <c r="E101" t="s">
        <v>1437</v>
      </c>
      <c r="G101" t="s">
        <v>2202</v>
      </c>
      <c r="H101" s="37" t="s">
        <v>11</v>
      </c>
      <c r="I101" s="37" t="s">
        <v>19</v>
      </c>
      <c r="J101" t="s">
        <v>16</v>
      </c>
      <c r="K101" t="s">
        <v>2982</v>
      </c>
      <c r="L101" t="s">
        <v>3068</v>
      </c>
      <c r="M101" t="s">
        <v>3055</v>
      </c>
      <c r="N101" t="s">
        <v>2982</v>
      </c>
      <c r="O101" s="39" t="s">
        <v>3058</v>
      </c>
      <c r="P101" t="s">
        <v>1616</v>
      </c>
      <c r="Q101" t="s">
        <v>1638</v>
      </c>
      <c r="R101" s="10">
        <v>168115</v>
      </c>
      <c r="S101" t="s">
        <v>1685</v>
      </c>
      <c r="T101" t="s">
        <v>1867</v>
      </c>
    </row>
    <row r="102" spans="1:20" hidden="1" x14ac:dyDescent="0.25">
      <c r="A102">
        <v>2023</v>
      </c>
      <c r="B102" t="s">
        <v>772</v>
      </c>
      <c r="C102" t="s">
        <v>730</v>
      </c>
      <c r="D102" t="s">
        <v>60</v>
      </c>
      <c r="E102" t="s">
        <v>1437</v>
      </c>
      <c r="G102" t="s">
        <v>2202</v>
      </c>
      <c r="H102" s="37" t="s">
        <v>11</v>
      </c>
      <c r="I102" s="37" t="s">
        <v>19</v>
      </c>
      <c r="J102" t="s">
        <v>16</v>
      </c>
      <c r="K102" t="s">
        <v>2982</v>
      </c>
      <c r="L102" t="s">
        <v>3068</v>
      </c>
      <c r="M102" t="s">
        <v>3055</v>
      </c>
      <c r="N102" t="s">
        <v>2982</v>
      </c>
      <c r="O102" s="39" t="s">
        <v>3058</v>
      </c>
      <c r="P102" t="s">
        <v>1753</v>
      </c>
      <c r="Q102" t="s">
        <v>1638</v>
      </c>
      <c r="R102" s="10">
        <v>168115</v>
      </c>
      <c r="S102" t="s">
        <v>1721</v>
      </c>
      <c r="T102" t="s">
        <v>1867</v>
      </c>
    </row>
    <row r="103" spans="1:20" hidden="1" x14ac:dyDescent="0.25">
      <c r="A103">
        <v>2023</v>
      </c>
      <c r="B103" t="s">
        <v>772</v>
      </c>
      <c r="C103" t="s">
        <v>730</v>
      </c>
      <c r="D103" t="s">
        <v>60</v>
      </c>
      <c r="E103" t="s">
        <v>1437</v>
      </c>
      <c r="G103" t="s">
        <v>2202</v>
      </c>
      <c r="H103" s="37" t="s">
        <v>11</v>
      </c>
      <c r="I103" s="37" t="s">
        <v>19</v>
      </c>
      <c r="J103" t="s">
        <v>16</v>
      </c>
      <c r="K103" t="s">
        <v>2983</v>
      </c>
      <c r="L103" t="s">
        <v>3066</v>
      </c>
      <c r="M103" t="s">
        <v>3054</v>
      </c>
      <c r="N103" t="s">
        <v>3161</v>
      </c>
      <c r="O103" s="39" t="s">
        <v>3042</v>
      </c>
      <c r="P103" t="s">
        <v>707</v>
      </c>
      <c r="Q103" t="s">
        <v>1546</v>
      </c>
      <c r="R103" s="10">
        <v>21.85</v>
      </c>
      <c r="T103" t="s">
        <v>1867</v>
      </c>
    </row>
    <row r="104" spans="1:20" hidden="1" x14ac:dyDescent="0.25">
      <c r="A104">
        <v>2023</v>
      </c>
      <c r="B104" t="s">
        <v>772</v>
      </c>
      <c r="C104" t="s">
        <v>730</v>
      </c>
      <c r="D104" t="s">
        <v>60</v>
      </c>
      <c r="E104" t="s">
        <v>1437</v>
      </c>
      <c r="G104" t="s">
        <v>2202</v>
      </c>
      <c r="H104" s="37" t="s">
        <v>11</v>
      </c>
      <c r="I104" s="37" t="s">
        <v>19</v>
      </c>
      <c r="J104" t="s">
        <v>16</v>
      </c>
      <c r="K104" t="s">
        <v>2983</v>
      </c>
      <c r="L104" t="s">
        <v>3066</v>
      </c>
      <c r="M104" t="s">
        <v>3055</v>
      </c>
      <c r="N104" t="s">
        <v>3040</v>
      </c>
      <c r="O104" s="39" t="s">
        <v>3057</v>
      </c>
      <c r="P104" t="s">
        <v>1605</v>
      </c>
      <c r="Q104" t="s">
        <v>1635</v>
      </c>
      <c r="R104" s="10">
        <v>4109</v>
      </c>
      <c r="S104" t="s">
        <v>1605</v>
      </c>
      <c r="T104" t="s">
        <v>1867</v>
      </c>
    </row>
    <row r="105" spans="1:20" hidden="1" x14ac:dyDescent="0.25">
      <c r="A105">
        <v>2023</v>
      </c>
      <c r="B105" t="s">
        <v>772</v>
      </c>
      <c r="C105" t="s">
        <v>730</v>
      </c>
      <c r="D105" t="s">
        <v>60</v>
      </c>
      <c r="E105" t="s">
        <v>1437</v>
      </c>
      <c r="G105" t="s">
        <v>2202</v>
      </c>
      <c r="H105" s="37" t="s">
        <v>11</v>
      </c>
      <c r="I105" s="37" t="s">
        <v>19</v>
      </c>
      <c r="J105" t="s">
        <v>16</v>
      </c>
      <c r="K105" t="s">
        <v>2983</v>
      </c>
      <c r="L105" t="s">
        <v>3066</v>
      </c>
      <c r="M105" t="s">
        <v>3055</v>
      </c>
      <c r="N105" t="s">
        <v>3040</v>
      </c>
      <c r="O105" s="39" t="s">
        <v>3057</v>
      </c>
      <c r="P105" t="s">
        <v>1606</v>
      </c>
      <c r="Q105" t="s">
        <v>1635</v>
      </c>
      <c r="R105" s="10">
        <v>64</v>
      </c>
      <c r="S105" t="s">
        <v>1606</v>
      </c>
      <c r="T105" t="s">
        <v>1867</v>
      </c>
    </row>
    <row r="106" spans="1:20" hidden="1" x14ac:dyDescent="0.25">
      <c r="A106">
        <v>2023</v>
      </c>
      <c r="B106" t="s">
        <v>772</v>
      </c>
      <c r="C106" t="s">
        <v>730</v>
      </c>
      <c r="D106" t="s">
        <v>60</v>
      </c>
      <c r="E106" t="s">
        <v>1437</v>
      </c>
      <c r="G106" t="s">
        <v>2202</v>
      </c>
      <c r="H106" s="37" t="s">
        <v>11</v>
      </c>
      <c r="I106" s="37" t="s">
        <v>19</v>
      </c>
      <c r="J106" t="s">
        <v>16</v>
      </c>
      <c r="K106" t="s">
        <v>2983</v>
      </c>
      <c r="L106" t="s">
        <v>3066</v>
      </c>
      <c r="M106" t="s">
        <v>3054</v>
      </c>
      <c r="N106" t="s">
        <v>3158</v>
      </c>
      <c r="O106" s="39" t="s">
        <v>3043</v>
      </c>
      <c r="P106" t="s">
        <v>707</v>
      </c>
      <c r="Q106" t="s">
        <v>1691</v>
      </c>
      <c r="R106" s="10">
        <v>6.0999999999999997E-4</v>
      </c>
      <c r="T106" t="s">
        <v>1867</v>
      </c>
    </row>
    <row r="107" spans="1:20" hidden="1" x14ac:dyDescent="0.25">
      <c r="A107">
        <v>2023</v>
      </c>
      <c r="B107" t="s">
        <v>772</v>
      </c>
      <c r="C107" t="s">
        <v>730</v>
      </c>
      <c r="D107" t="s">
        <v>60</v>
      </c>
      <c r="E107" t="s">
        <v>1437</v>
      </c>
      <c r="G107" t="s">
        <v>2202</v>
      </c>
      <c r="H107" s="37" t="s">
        <v>11</v>
      </c>
      <c r="I107" s="37" t="s">
        <v>19</v>
      </c>
      <c r="J107" t="s">
        <v>16</v>
      </c>
      <c r="K107" t="s">
        <v>2983</v>
      </c>
      <c r="L107" t="s">
        <v>3066</v>
      </c>
      <c r="M107" t="s">
        <v>3054</v>
      </c>
      <c r="N107" t="s">
        <v>3157</v>
      </c>
      <c r="O107" s="39" t="s">
        <v>3045</v>
      </c>
      <c r="P107" t="s">
        <v>707</v>
      </c>
      <c r="Q107" t="s">
        <v>1691</v>
      </c>
      <c r="R107" s="10">
        <v>1.4999999999999999E-4</v>
      </c>
      <c r="T107" t="s">
        <v>1867</v>
      </c>
    </row>
    <row r="108" spans="1:20" hidden="1" x14ac:dyDescent="0.25">
      <c r="A108">
        <v>2023</v>
      </c>
      <c r="B108" t="s">
        <v>772</v>
      </c>
      <c r="C108" t="s">
        <v>730</v>
      </c>
      <c r="D108" t="s">
        <v>60</v>
      </c>
      <c r="E108" t="s">
        <v>1437</v>
      </c>
      <c r="G108" t="s">
        <v>2202</v>
      </c>
      <c r="H108" s="37" t="s">
        <v>11</v>
      </c>
      <c r="I108" s="37" t="s">
        <v>19</v>
      </c>
      <c r="J108" t="s">
        <v>16</v>
      </c>
      <c r="K108" t="s">
        <v>2983</v>
      </c>
      <c r="L108" t="s">
        <v>3066</v>
      </c>
      <c r="M108" t="s">
        <v>3054</v>
      </c>
      <c r="N108" t="s">
        <v>1651</v>
      </c>
      <c r="O108" s="39" t="s">
        <v>3050</v>
      </c>
      <c r="P108" t="s">
        <v>707</v>
      </c>
      <c r="Q108" t="s">
        <v>1546</v>
      </c>
      <c r="R108" s="10">
        <v>1.47</v>
      </c>
      <c r="T108" t="s">
        <v>1867</v>
      </c>
    </row>
    <row r="109" spans="1:20" hidden="1" x14ac:dyDescent="0.25">
      <c r="A109">
        <v>2023</v>
      </c>
      <c r="B109" t="s">
        <v>772</v>
      </c>
      <c r="C109" t="s">
        <v>730</v>
      </c>
      <c r="D109" t="s">
        <v>60</v>
      </c>
      <c r="E109" t="s">
        <v>1437</v>
      </c>
      <c r="G109" t="s">
        <v>2202</v>
      </c>
      <c r="H109" s="37" t="s">
        <v>11</v>
      </c>
      <c r="I109" s="37" t="s">
        <v>19</v>
      </c>
      <c r="J109" t="s">
        <v>16</v>
      </c>
      <c r="K109" t="s">
        <v>2983</v>
      </c>
      <c r="L109" t="s">
        <v>3066</v>
      </c>
      <c r="M109" t="s">
        <v>3054</v>
      </c>
      <c r="N109" t="s">
        <v>1650</v>
      </c>
      <c r="O109" s="39">
        <v>2025884</v>
      </c>
      <c r="P109" t="s">
        <v>707</v>
      </c>
      <c r="Q109" t="s">
        <v>1546</v>
      </c>
      <c r="R109" s="10">
        <v>1.1399999999999999</v>
      </c>
      <c r="T109" t="s">
        <v>1867</v>
      </c>
    </row>
    <row r="110" spans="1:20" hidden="1" x14ac:dyDescent="0.25">
      <c r="A110">
        <v>2023</v>
      </c>
      <c r="B110" t="s">
        <v>772</v>
      </c>
      <c r="C110" t="s">
        <v>730</v>
      </c>
      <c r="D110" t="s">
        <v>60</v>
      </c>
      <c r="E110" t="s">
        <v>1437</v>
      </c>
      <c r="G110" t="s">
        <v>2202</v>
      </c>
      <c r="H110" s="37" t="s">
        <v>11</v>
      </c>
      <c r="I110" s="37" t="s">
        <v>19</v>
      </c>
      <c r="J110" t="s">
        <v>16</v>
      </c>
      <c r="K110" t="s">
        <v>2983</v>
      </c>
      <c r="L110" t="s">
        <v>3066</v>
      </c>
      <c r="M110" t="s">
        <v>3055</v>
      </c>
      <c r="N110" t="s">
        <v>3155</v>
      </c>
      <c r="O110" s="39" t="s">
        <v>3047</v>
      </c>
      <c r="P110" t="s">
        <v>707</v>
      </c>
      <c r="Q110" t="s">
        <v>1546</v>
      </c>
      <c r="R110" s="10">
        <v>0.99</v>
      </c>
      <c r="T110" t="s">
        <v>1867</v>
      </c>
    </row>
    <row r="111" spans="1:20" hidden="1" x14ac:dyDescent="0.25">
      <c r="A111">
        <v>2023</v>
      </c>
      <c r="B111" t="s">
        <v>772</v>
      </c>
      <c r="C111" t="s">
        <v>859</v>
      </c>
      <c r="D111" t="s">
        <v>203</v>
      </c>
      <c r="E111" t="s">
        <v>1277</v>
      </c>
      <c r="G111" t="s">
        <v>2101</v>
      </c>
      <c r="H111" s="37" t="s">
        <v>11</v>
      </c>
      <c r="I111" s="37" t="s">
        <v>23</v>
      </c>
      <c r="J111" t="s">
        <v>204</v>
      </c>
      <c r="K111" t="s">
        <v>2982</v>
      </c>
      <c r="L111" t="s">
        <v>3068</v>
      </c>
      <c r="M111" t="s">
        <v>3055</v>
      </c>
      <c r="N111" t="s">
        <v>2982</v>
      </c>
      <c r="O111" s="39" t="s">
        <v>3058</v>
      </c>
      <c r="P111" t="s">
        <v>1616</v>
      </c>
      <c r="Q111" t="s">
        <v>1617</v>
      </c>
      <c r="R111" s="10">
        <v>2027</v>
      </c>
      <c r="S111" t="s">
        <v>1616</v>
      </c>
      <c r="T111" t="s">
        <v>1927</v>
      </c>
    </row>
    <row r="112" spans="1:20" hidden="1" x14ac:dyDescent="0.25">
      <c r="A112">
        <v>2023</v>
      </c>
      <c r="B112" t="s">
        <v>772</v>
      </c>
      <c r="C112" t="s">
        <v>859</v>
      </c>
      <c r="D112" t="s">
        <v>203</v>
      </c>
      <c r="E112" t="s">
        <v>1277</v>
      </c>
      <c r="G112" t="s">
        <v>2101</v>
      </c>
      <c r="H112" s="37" t="s">
        <v>11</v>
      </c>
      <c r="I112" s="37" t="s">
        <v>23</v>
      </c>
      <c r="J112" t="s">
        <v>204</v>
      </c>
      <c r="K112" t="s">
        <v>2982</v>
      </c>
      <c r="L112" t="s">
        <v>3070</v>
      </c>
      <c r="M112" t="s">
        <v>3055</v>
      </c>
      <c r="N112" t="s">
        <v>2982</v>
      </c>
      <c r="O112" s="39" t="s">
        <v>3058</v>
      </c>
      <c r="P112" t="s">
        <v>1639</v>
      </c>
      <c r="Q112" t="s">
        <v>1617</v>
      </c>
      <c r="R112" s="10">
        <v>8930</v>
      </c>
      <c r="S112" t="s">
        <v>1746</v>
      </c>
      <c r="T112" t="s">
        <v>1927</v>
      </c>
    </row>
    <row r="113" spans="1:20" hidden="1" x14ac:dyDescent="0.25">
      <c r="A113">
        <v>2023</v>
      </c>
      <c r="B113" t="s">
        <v>772</v>
      </c>
      <c r="C113" t="s">
        <v>859</v>
      </c>
      <c r="D113" t="s">
        <v>203</v>
      </c>
      <c r="E113" t="s">
        <v>1277</v>
      </c>
      <c r="G113" t="s">
        <v>2101</v>
      </c>
      <c r="H113" s="37" t="s">
        <v>11</v>
      </c>
      <c r="I113" s="37" t="s">
        <v>23</v>
      </c>
      <c r="J113" t="s">
        <v>204</v>
      </c>
      <c r="K113" t="s">
        <v>2982</v>
      </c>
      <c r="L113" t="s">
        <v>3069</v>
      </c>
      <c r="M113" t="s">
        <v>3055</v>
      </c>
      <c r="N113" t="s">
        <v>2982</v>
      </c>
      <c r="O113" s="39" t="s">
        <v>3058</v>
      </c>
      <c r="P113" t="s">
        <v>1676</v>
      </c>
      <c r="Q113" t="s">
        <v>1617</v>
      </c>
      <c r="R113" s="10">
        <v>1038</v>
      </c>
      <c r="S113" t="s">
        <v>1929</v>
      </c>
      <c r="T113" t="s">
        <v>1927</v>
      </c>
    </row>
    <row r="114" spans="1:20" hidden="1" x14ac:dyDescent="0.25">
      <c r="A114">
        <v>2023</v>
      </c>
      <c r="B114" t="s">
        <v>772</v>
      </c>
      <c r="C114" t="s">
        <v>859</v>
      </c>
      <c r="D114" t="s">
        <v>203</v>
      </c>
      <c r="E114" t="s">
        <v>1277</v>
      </c>
      <c r="G114" t="s">
        <v>2101</v>
      </c>
      <c r="H114" s="37" t="s">
        <v>11</v>
      </c>
      <c r="I114" s="37" t="s">
        <v>23</v>
      </c>
      <c r="J114" t="s">
        <v>204</v>
      </c>
      <c r="K114" t="s">
        <v>2983</v>
      </c>
      <c r="L114" t="s">
        <v>3066</v>
      </c>
      <c r="M114" t="s">
        <v>3055</v>
      </c>
      <c r="N114" t="s">
        <v>3040</v>
      </c>
      <c r="O114" s="39" t="s">
        <v>3057</v>
      </c>
      <c r="P114" t="s">
        <v>1605</v>
      </c>
      <c r="Q114" t="s">
        <v>1635</v>
      </c>
      <c r="R114" s="10">
        <v>59145</v>
      </c>
      <c r="S114" t="s">
        <v>1605</v>
      </c>
      <c r="T114" t="s">
        <v>1927</v>
      </c>
    </row>
    <row r="115" spans="1:20" hidden="1" x14ac:dyDescent="0.25">
      <c r="A115">
        <v>2023</v>
      </c>
      <c r="B115" t="s">
        <v>772</v>
      </c>
      <c r="C115" t="s">
        <v>859</v>
      </c>
      <c r="D115" t="s">
        <v>203</v>
      </c>
      <c r="E115" t="s">
        <v>1277</v>
      </c>
      <c r="G115" t="s">
        <v>2101</v>
      </c>
      <c r="H115" s="37" t="s">
        <v>11</v>
      </c>
      <c r="I115" s="37" t="s">
        <v>23</v>
      </c>
      <c r="J115" t="s">
        <v>204</v>
      </c>
      <c r="K115" t="s">
        <v>2983</v>
      </c>
      <c r="L115" t="s">
        <v>3066</v>
      </c>
      <c r="M115" t="s">
        <v>3055</v>
      </c>
      <c r="N115" t="s">
        <v>3040</v>
      </c>
      <c r="O115" s="39" t="s">
        <v>3057</v>
      </c>
      <c r="P115" t="s">
        <v>1606</v>
      </c>
      <c r="Q115" t="s">
        <v>1635</v>
      </c>
      <c r="R115" s="10">
        <v>13365</v>
      </c>
      <c r="S115" t="s">
        <v>1606</v>
      </c>
      <c r="T115" t="s">
        <v>1927</v>
      </c>
    </row>
    <row r="116" spans="1:20" hidden="1" x14ac:dyDescent="0.25">
      <c r="A116">
        <v>2023</v>
      </c>
      <c r="B116" t="s">
        <v>772</v>
      </c>
      <c r="C116" t="s">
        <v>859</v>
      </c>
      <c r="D116" t="s">
        <v>203</v>
      </c>
      <c r="E116" t="s">
        <v>1277</v>
      </c>
      <c r="G116" t="s">
        <v>2101</v>
      </c>
      <c r="H116" s="37" t="s">
        <v>11</v>
      </c>
      <c r="I116" s="37" t="s">
        <v>23</v>
      </c>
      <c r="J116" t="s">
        <v>204</v>
      </c>
      <c r="K116" t="s">
        <v>2981</v>
      </c>
      <c r="L116" t="s">
        <v>3067</v>
      </c>
      <c r="O116" s="39"/>
      <c r="P116" t="s">
        <v>1930</v>
      </c>
      <c r="Q116" t="s">
        <v>1629</v>
      </c>
      <c r="R116" s="10">
        <v>6070</v>
      </c>
      <c r="S116" t="s">
        <v>1930</v>
      </c>
      <c r="T116" t="s">
        <v>1927</v>
      </c>
    </row>
    <row r="117" spans="1:20" hidden="1" x14ac:dyDescent="0.25">
      <c r="A117">
        <v>2023</v>
      </c>
      <c r="B117" t="s">
        <v>772</v>
      </c>
      <c r="C117" t="s">
        <v>30</v>
      </c>
      <c r="D117" t="s">
        <v>31</v>
      </c>
      <c r="E117" t="s">
        <v>1210</v>
      </c>
      <c r="G117" t="s">
        <v>2062</v>
      </c>
      <c r="H117" s="37" t="s">
        <v>11</v>
      </c>
      <c r="I117" s="37" t="s">
        <v>13</v>
      </c>
      <c r="J117" t="s">
        <v>16</v>
      </c>
      <c r="K117" t="s">
        <v>2982</v>
      </c>
      <c r="L117" t="s">
        <v>3068</v>
      </c>
      <c r="M117" t="s">
        <v>3055</v>
      </c>
      <c r="N117" t="s">
        <v>2982</v>
      </c>
      <c r="O117" s="39" t="s">
        <v>3058</v>
      </c>
      <c r="P117" t="s">
        <v>1616</v>
      </c>
      <c r="Q117" t="s">
        <v>1784</v>
      </c>
      <c r="R117" s="10">
        <v>3499</v>
      </c>
      <c r="S117" t="s">
        <v>1616</v>
      </c>
      <c r="T117" t="s">
        <v>1886</v>
      </c>
    </row>
    <row r="118" spans="1:20" hidden="1" x14ac:dyDescent="0.25">
      <c r="A118">
        <v>2023</v>
      </c>
      <c r="B118" t="s">
        <v>772</v>
      </c>
      <c r="C118" t="s">
        <v>30</v>
      </c>
      <c r="D118" t="s">
        <v>31</v>
      </c>
      <c r="E118" t="s">
        <v>1210</v>
      </c>
      <c r="G118" t="s">
        <v>2062</v>
      </c>
      <c r="H118" s="37" t="s">
        <v>11</v>
      </c>
      <c r="I118" s="37" t="s">
        <v>13</v>
      </c>
      <c r="J118" t="s">
        <v>16</v>
      </c>
      <c r="K118" t="s">
        <v>2983</v>
      </c>
      <c r="L118" t="s">
        <v>3066</v>
      </c>
      <c r="M118" t="s">
        <v>3055</v>
      </c>
      <c r="N118" t="s">
        <v>3040</v>
      </c>
      <c r="O118" s="39" t="s">
        <v>3057</v>
      </c>
      <c r="P118" t="s">
        <v>1605</v>
      </c>
      <c r="Q118" t="s">
        <v>1635</v>
      </c>
      <c r="R118" s="10">
        <v>18188</v>
      </c>
      <c r="S118" t="s">
        <v>1605</v>
      </c>
      <c r="T118" t="s">
        <v>1886</v>
      </c>
    </row>
    <row r="119" spans="1:20" hidden="1" x14ac:dyDescent="0.25">
      <c r="A119">
        <v>2023</v>
      </c>
      <c r="B119" t="s">
        <v>772</v>
      </c>
      <c r="C119" t="s">
        <v>30</v>
      </c>
      <c r="D119" t="s">
        <v>31</v>
      </c>
      <c r="E119" t="s">
        <v>1210</v>
      </c>
      <c r="G119" t="s">
        <v>2062</v>
      </c>
      <c r="H119" s="37" t="s">
        <v>11</v>
      </c>
      <c r="I119" s="37" t="s">
        <v>13</v>
      </c>
      <c r="J119" t="s">
        <v>16</v>
      </c>
      <c r="K119" t="s">
        <v>2983</v>
      </c>
      <c r="L119" t="s">
        <v>3066</v>
      </c>
      <c r="M119" t="s">
        <v>3055</v>
      </c>
      <c r="N119" t="s">
        <v>3040</v>
      </c>
      <c r="O119" s="39" t="s">
        <v>3057</v>
      </c>
      <c r="P119" t="s">
        <v>1606</v>
      </c>
      <c r="Q119" t="s">
        <v>1635</v>
      </c>
      <c r="R119" s="10">
        <v>100</v>
      </c>
      <c r="S119" t="s">
        <v>1606</v>
      </c>
      <c r="T119" t="s">
        <v>1886</v>
      </c>
    </row>
    <row r="120" spans="1:20" hidden="1" x14ac:dyDescent="0.25">
      <c r="A120">
        <v>2023</v>
      </c>
      <c r="B120" t="s">
        <v>772</v>
      </c>
      <c r="C120" t="s">
        <v>30</v>
      </c>
      <c r="D120" t="s">
        <v>31</v>
      </c>
      <c r="E120" t="s">
        <v>1210</v>
      </c>
      <c r="G120" t="s">
        <v>2062</v>
      </c>
      <c r="H120" s="37" t="s">
        <v>11</v>
      </c>
      <c r="I120" s="37" t="s">
        <v>13</v>
      </c>
      <c r="J120" t="s">
        <v>16</v>
      </c>
      <c r="K120" t="s">
        <v>2982</v>
      </c>
      <c r="L120" t="s">
        <v>3070</v>
      </c>
      <c r="M120" t="s">
        <v>3055</v>
      </c>
      <c r="N120" t="s">
        <v>2982</v>
      </c>
      <c r="O120" s="39" t="s">
        <v>3058</v>
      </c>
      <c r="P120" t="s">
        <v>1639</v>
      </c>
      <c r="Q120" t="s">
        <v>1784</v>
      </c>
      <c r="R120" s="10">
        <v>1088</v>
      </c>
      <c r="S120" t="s">
        <v>1639</v>
      </c>
      <c r="T120" t="s">
        <v>1886</v>
      </c>
    </row>
    <row r="121" spans="1:20" hidden="1" x14ac:dyDescent="0.25">
      <c r="A121">
        <v>2023</v>
      </c>
      <c r="B121" t="s">
        <v>772</v>
      </c>
      <c r="C121" t="s">
        <v>30</v>
      </c>
      <c r="D121" t="s">
        <v>31</v>
      </c>
      <c r="E121" t="s">
        <v>1210</v>
      </c>
      <c r="G121" t="s">
        <v>2062</v>
      </c>
      <c r="H121" s="37" t="s">
        <v>11</v>
      </c>
      <c r="I121" s="37" t="s">
        <v>13</v>
      </c>
      <c r="J121" t="s">
        <v>16</v>
      </c>
      <c r="K121" t="s">
        <v>2982</v>
      </c>
      <c r="L121" t="s">
        <v>3069</v>
      </c>
      <c r="M121" t="s">
        <v>3055</v>
      </c>
      <c r="N121" t="s">
        <v>2982</v>
      </c>
      <c r="O121" s="39" t="s">
        <v>3058</v>
      </c>
      <c r="P121" t="s">
        <v>1676</v>
      </c>
      <c r="Q121" t="s">
        <v>1784</v>
      </c>
      <c r="R121" s="10">
        <v>2411</v>
      </c>
      <c r="S121" t="s">
        <v>1676</v>
      </c>
      <c r="T121" t="s">
        <v>1886</v>
      </c>
    </row>
    <row r="122" spans="1:20" hidden="1" x14ac:dyDescent="0.25">
      <c r="A122">
        <v>2023</v>
      </c>
      <c r="B122" t="s">
        <v>772</v>
      </c>
      <c r="C122" t="s">
        <v>30</v>
      </c>
      <c r="D122" t="s">
        <v>31</v>
      </c>
      <c r="E122" t="s">
        <v>1210</v>
      </c>
      <c r="G122" t="s">
        <v>2062</v>
      </c>
      <c r="H122" s="37" t="s">
        <v>11</v>
      </c>
      <c r="I122" s="37" t="s">
        <v>13</v>
      </c>
      <c r="J122" t="s">
        <v>16</v>
      </c>
      <c r="K122" t="s">
        <v>2981</v>
      </c>
      <c r="L122" t="s">
        <v>3067</v>
      </c>
      <c r="O122" s="39"/>
      <c r="P122" t="s">
        <v>1708</v>
      </c>
      <c r="Q122" t="s">
        <v>1629</v>
      </c>
      <c r="R122" s="10">
        <v>277.60000000000002</v>
      </c>
      <c r="S122" t="s">
        <v>1708</v>
      </c>
      <c r="T122" t="s">
        <v>1886</v>
      </c>
    </row>
    <row r="123" spans="1:20" hidden="1" x14ac:dyDescent="0.25">
      <c r="A123">
        <v>2023</v>
      </c>
      <c r="B123" t="s">
        <v>772</v>
      </c>
      <c r="C123" t="s">
        <v>14</v>
      </c>
      <c r="D123" t="s">
        <v>91</v>
      </c>
      <c r="E123" t="s">
        <v>1126</v>
      </c>
      <c r="G123" t="s">
        <v>2016</v>
      </c>
      <c r="H123" s="37" t="s">
        <v>11</v>
      </c>
      <c r="I123" s="37" t="s">
        <v>23</v>
      </c>
      <c r="J123" t="s">
        <v>92</v>
      </c>
      <c r="K123" t="s">
        <v>2983</v>
      </c>
      <c r="L123" t="s">
        <v>3066</v>
      </c>
      <c r="M123" t="s">
        <v>3055</v>
      </c>
      <c r="N123" t="s">
        <v>1636</v>
      </c>
      <c r="O123" s="39" t="s">
        <v>3059</v>
      </c>
      <c r="P123" t="s">
        <v>707</v>
      </c>
      <c r="Q123" t="s">
        <v>1546</v>
      </c>
      <c r="R123" s="10">
        <v>75</v>
      </c>
      <c r="S123" s="21" t="s">
        <v>1671</v>
      </c>
      <c r="T123" t="s">
        <v>2973</v>
      </c>
    </row>
    <row r="124" spans="1:20" hidden="1" x14ac:dyDescent="0.25">
      <c r="A124">
        <v>2023</v>
      </c>
      <c r="B124" t="s">
        <v>772</v>
      </c>
      <c r="C124" t="s">
        <v>14</v>
      </c>
      <c r="D124" t="s">
        <v>91</v>
      </c>
      <c r="E124" t="s">
        <v>1126</v>
      </c>
      <c r="G124" t="s">
        <v>2016</v>
      </c>
      <c r="H124" s="37" t="s">
        <v>11</v>
      </c>
      <c r="I124" s="37" t="s">
        <v>23</v>
      </c>
      <c r="J124" t="s">
        <v>92</v>
      </c>
      <c r="K124" t="s">
        <v>2983</v>
      </c>
      <c r="L124" t="s">
        <v>3066</v>
      </c>
      <c r="M124" t="s">
        <v>3055</v>
      </c>
      <c r="N124" t="s">
        <v>1637</v>
      </c>
      <c r="O124" s="39" t="s">
        <v>3063</v>
      </c>
      <c r="P124" t="s">
        <v>707</v>
      </c>
      <c r="Q124" t="s">
        <v>1546</v>
      </c>
      <c r="R124" s="10">
        <v>48</v>
      </c>
      <c r="S124" s="21" t="s">
        <v>1671</v>
      </c>
      <c r="T124" t="s">
        <v>2973</v>
      </c>
    </row>
    <row r="125" spans="1:20" hidden="1" x14ac:dyDescent="0.25">
      <c r="A125">
        <v>2023</v>
      </c>
      <c r="B125" t="s">
        <v>772</v>
      </c>
      <c r="C125" t="s">
        <v>14</v>
      </c>
      <c r="D125" t="s">
        <v>91</v>
      </c>
      <c r="E125" t="s">
        <v>1126</v>
      </c>
      <c r="G125" t="s">
        <v>2016</v>
      </c>
      <c r="H125" s="37" t="s">
        <v>11</v>
      </c>
      <c r="I125" s="37" t="s">
        <v>23</v>
      </c>
      <c r="J125" t="s">
        <v>92</v>
      </c>
      <c r="K125" t="s">
        <v>2981</v>
      </c>
      <c r="L125" t="s">
        <v>3067</v>
      </c>
      <c r="O125" s="39"/>
      <c r="P125" t="s">
        <v>1682</v>
      </c>
      <c r="Q125" t="s">
        <v>1629</v>
      </c>
      <c r="R125" s="10">
        <v>1367</v>
      </c>
      <c r="S125" t="s">
        <v>1682</v>
      </c>
      <c r="T125" t="s">
        <v>2973</v>
      </c>
    </row>
    <row r="126" spans="1:20" hidden="1" x14ac:dyDescent="0.25">
      <c r="A126">
        <v>2023</v>
      </c>
      <c r="B126" t="s">
        <v>772</v>
      </c>
      <c r="C126" t="s">
        <v>14</v>
      </c>
      <c r="D126" t="s">
        <v>91</v>
      </c>
      <c r="E126" t="s">
        <v>1126</v>
      </c>
      <c r="G126" t="s">
        <v>2016</v>
      </c>
      <c r="H126" s="37" t="s">
        <v>11</v>
      </c>
      <c r="I126" s="37" t="s">
        <v>23</v>
      </c>
      <c r="J126" t="s">
        <v>92</v>
      </c>
      <c r="K126" t="s">
        <v>2981</v>
      </c>
      <c r="L126" t="s">
        <v>3067</v>
      </c>
      <c r="O126" s="39"/>
      <c r="P126" t="s">
        <v>1683</v>
      </c>
      <c r="Q126" t="s">
        <v>1629</v>
      </c>
      <c r="R126" s="10">
        <v>608</v>
      </c>
      <c r="S126" t="s">
        <v>1683</v>
      </c>
      <c r="T126" t="s">
        <v>2973</v>
      </c>
    </row>
    <row r="127" spans="1:20" hidden="1" x14ac:dyDescent="0.25">
      <c r="A127">
        <v>2023</v>
      </c>
      <c r="B127" t="s">
        <v>772</v>
      </c>
      <c r="C127" t="s">
        <v>14</v>
      </c>
      <c r="D127" t="s">
        <v>91</v>
      </c>
      <c r="E127" t="s">
        <v>1126</v>
      </c>
      <c r="G127" t="s">
        <v>2016</v>
      </c>
      <c r="H127" s="37" t="s">
        <v>11</v>
      </c>
      <c r="I127" s="37" t="s">
        <v>23</v>
      </c>
      <c r="J127" t="s">
        <v>92</v>
      </c>
      <c r="K127" t="s">
        <v>2981</v>
      </c>
      <c r="L127" t="s">
        <v>3067</v>
      </c>
      <c r="O127" s="39"/>
      <c r="P127" t="s">
        <v>1684</v>
      </c>
      <c r="Q127" t="s">
        <v>1629</v>
      </c>
      <c r="R127" s="10">
        <v>759</v>
      </c>
      <c r="S127" t="s">
        <v>1684</v>
      </c>
      <c r="T127" t="s">
        <v>2973</v>
      </c>
    </row>
    <row r="128" spans="1:20" hidden="1" x14ac:dyDescent="0.25">
      <c r="A128">
        <v>2023</v>
      </c>
      <c r="B128" t="s">
        <v>772</v>
      </c>
      <c r="C128" t="s">
        <v>14</v>
      </c>
      <c r="D128" t="s">
        <v>91</v>
      </c>
      <c r="E128" t="s">
        <v>1126</v>
      </c>
      <c r="G128" t="s">
        <v>2016</v>
      </c>
      <c r="H128" s="37" t="s">
        <v>11</v>
      </c>
      <c r="I128" s="37" t="s">
        <v>23</v>
      </c>
      <c r="J128" t="s">
        <v>92</v>
      </c>
      <c r="K128" t="s">
        <v>2982</v>
      </c>
      <c r="L128" t="s">
        <v>3068</v>
      </c>
      <c r="M128" t="s">
        <v>3055</v>
      </c>
      <c r="N128" t="s">
        <v>2982</v>
      </c>
      <c r="O128" s="39" t="s">
        <v>3058</v>
      </c>
      <c r="P128" t="s">
        <v>1616</v>
      </c>
      <c r="Q128" t="s">
        <v>1638</v>
      </c>
      <c r="R128" s="10">
        <v>1486950</v>
      </c>
      <c r="S128" t="s">
        <v>1616</v>
      </c>
      <c r="T128" t="s">
        <v>2973</v>
      </c>
    </row>
    <row r="129" spans="1:20" hidden="1" x14ac:dyDescent="0.25">
      <c r="A129">
        <v>2023</v>
      </c>
      <c r="B129" t="s">
        <v>772</v>
      </c>
      <c r="C129" t="s">
        <v>14</v>
      </c>
      <c r="D129" t="s">
        <v>91</v>
      </c>
      <c r="E129" t="s">
        <v>1126</v>
      </c>
      <c r="G129" t="s">
        <v>2016</v>
      </c>
      <c r="H129" s="37" t="s">
        <v>11</v>
      </c>
      <c r="I129" s="37" t="s">
        <v>23</v>
      </c>
      <c r="J129" t="s">
        <v>92</v>
      </c>
      <c r="K129" t="s">
        <v>2982</v>
      </c>
      <c r="L129" t="s">
        <v>3070</v>
      </c>
      <c r="M129" t="s">
        <v>3055</v>
      </c>
      <c r="N129" t="s">
        <v>2982</v>
      </c>
      <c r="O129" s="39" t="s">
        <v>3058</v>
      </c>
      <c r="P129" t="s">
        <v>1639</v>
      </c>
      <c r="Q129" t="s">
        <v>1638</v>
      </c>
      <c r="R129" s="10">
        <v>1014537.0500000003</v>
      </c>
      <c r="S129" t="s">
        <v>1639</v>
      </c>
      <c r="T129" t="s">
        <v>2973</v>
      </c>
    </row>
    <row r="130" spans="1:20" hidden="1" x14ac:dyDescent="0.25">
      <c r="A130">
        <v>2023</v>
      </c>
      <c r="B130" t="s">
        <v>772</v>
      </c>
      <c r="C130" t="s">
        <v>14</v>
      </c>
      <c r="D130" t="s">
        <v>91</v>
      </c>
      <c r="E130" t="s">
        <v>1126</v>
      </c>
      <c r="G130" t="s">
        <v>2016</v>
      </c>
      <c r="H130" s="37" t="s">
        <v>11</v>
      </c>
      <c r="I130" s="37" t="s">
        <v>23</v>
      </c>
      <c r="J130" t="s">
        <v>92</v>
      </c>
      <c r="K130" t="s">
        <v>2982</v>
      </c>
      <c r="L130" t="s">
        <v>3069</v>
      </c>
      <c r="M130" t="s">
        <v>3055</v>
      </c>
      <c r="N130" t="s">
        <v>2982</v>
      </c>
      <c r="O130" s="39" t="s">
        <v>3058</v>
      </c>
      <c r="P130" t="s">
        <v>1676</v>
      </c>
      <c r="Q130" t="s">
        <v>1638</v>
      </c>
      <c r="R130" s="10">
        <v>4118213.9</v>
      </c>
      <c r="S130" t="s">
        <v>1676</v>
      </c>
      <c r="T130" t="s">
        <v>2973</v>
      </c>
    </row>
    <row r="131" spans="1:20" hidden="1" x14ac:dyDescent="0.25">
      <c r="A131">
        <v>2023</v>
      </c>
      <c r="B131" t="s">
        <v>772</v>
      </c>
      <c r="C131" t="s">
        <v>14</v>
      </c>
      <c r="D131" t="s">
        <v>91</v>
      </c>
      <c r="E131" t="s">
        <v>1126</v>
      </c>
      <c r="G131" t="s">
        <v>2016</v>
      </c>
      <c r="H131" s="37" t="s">
        <v>11</v>
      </c>
      <c r="I131" s="37" t="s">
        <v>23</v>
      </c>
      <c r="J131" t="s">
        <v>92</v>
      </c>
      <c r="K131" t="s">
        <v>2982</v>
      </c>
      <c r="L131" t="s">
        <v>3068</v>
      </c>
      <c r="M131" t="s">
        <v>3055</v>
      </c>
      <c r="N131" t="s">
        <v>2982</v>
      </c>
      <c r="O131" s="39" t="s">
        <v>3058</v>
      </c>
      <c r="P131" t="s">
        <v>1753</v>
      </c>
      <c r="Q131" t="s">
        <v>1638</v>
      </c>
      <c r="R131" s="10">
        <v>1486950</v>
      </c>
      <c r="S131" t="s">
        <v>1672</v>
      </c>
      <c r="T131" t="s">
        <v>2973</v>
      </c>
    </row>
    <row r="132" spans="1:20" hidden="1" x14ac:dyDescent="0.25">
      <c r="A132">
        <v>2023</v>
      </c>
      <c r="B132" t="s">
        <v>772</v>
      </c>
      <c r="C132" t="s">
        <v>14</v>
      </c>
      <c r="D132" t="s">
        <v>67</v>
      </c>
      <c r="E132" t="s">
        <v>1128</v>
      </c>
      <c r="G132" t="s">
        <v>2016</v>
      </c>
      <c r="H132" s="37" t="s">
        <v>11</v>
      </c>
      <c r="I132" s="37" t="s">
        <v>21</v>
      </c>
      <c r="J132" t="s">
        <v>64</v>
      </c>
      <c r="K132" t="s">
        <v>2983</v>
      </c>
      <c r="L132" t="s">
        <v>3066</v>
      </c>
      <c r="M132" t="s">
        <v>3055</v>
      </c>
      <c r="N132" t="s">
        <v>1636</v>
      </c>
      <c r="O132" s="39" t="s">
        <v>3059</v>
      </c>
      <c r="P132" t="s">
        <v>707</v>
      </c>
      <c r="Q132" t="s">
        <v>1546</v>
      </c>
      <c r="R132" s="10">
        <v>188</v>
      </c>
      <c r="S132" s="21" t="s">
        <v>1671</v>
      </c>
      <c r="T132" t="s">
        <v>2973</v>
      </c>
    </row>
    <row r="133" spans="1:20" hidden="1" x14ac:dyDescent="0.25">
      <c r="A133">
        <v>2023</v>
      </c>
      <c r="B133" t="s">
        <v>772</v>
      </c>
      <c r="C133" t="s">
        <v>14</v>
      </c>
      <c r="D133" t="s">
        <v>67</v>
      </c>
      <c r="E133" t="s">
        <v>1128</v>
      </c>
      <c r="G133" t="s">
        <v>2016</v>
      </c>
      <c r="H133" s="37" t="s">
        <v>11</v>
      </c>
      <c r="I133" s="37" t="s">
        <v>21</v>
      </c>
      <c r="J133" t="s">
        <v>64</v>
      </c>
      <c r="K133" t="s">
        <v>2983</v>
      </c>
      <c r="L133" t="s">
        <v>3066</v>
      </c>
      <c r="M133" t="s">
        <v>3055</v>
      </c>
      <c r="N133" t="s">
        <v>1637</v>
      </c>
      <c r="O133" s="39" t="s">
        <v>3063</v>
      </c>
      <c r="P133" t="s">
        <v>707</v>
      </c>
      <c r="Q133" t="s">
        <v>1546</v>
      </c>
      <c r="R133" s="10">
        <v>12</v>
      </c>
      <c r="S133" s="21" t="s">
        <v>1671</v>
      </c>
      <c r="T133" t="s">
        <v>2973</v>
      </c>
    </row>
    <row r="134" spans="1:20" hidden="1" x14ac:dyDescent="0.25">
      <c r="A134">
        <v>2023</v>
      </c>
      <c r="B134" t="s">
        <v>772</v>
      </c>
      <c r="C134" t="s">
        <v>14</v>
      </c>
      <c r="D134" t="s">
        <v>67</v>
      </c>
      <c r="E134" t="s">
        <v>1128</v>
      </c>
      <c r="G134" t="s">
        <v>2016</v>
      </c>
      <c r="H134" s="37" t="s">
        <v>11</v>
      </c>
      <c r="I134" s="37" t="s">
        <v>21</v>
      </c>
      <c r="J134" t="s">
        <v>64</v>
      </c>
      <c r="K134" t="s">
        <v>2981</v>
      </c>
      <c r="L134" t="s">
        <v>3067</v>
      </c>
      <c r="O134" s="39"/>
      <c r="P134" t="s">
        <v>1682</v>
      </c>
      <c r="Q134" t="s">
        <v>1629</v>
      </c>
      <c r="R134" s="10">
        <v>4039</v>
      </c>
      <c r="S134" t="s">
        <v>1682</v>
      </c>
      <c r="T134" t="s">
        <v>2973</v>
      </c>
    </row>
    <row r="135" spans="1:20" hidden="1" x14ac:dyDescent="0.25">
      <c r="A135">
        <v>2023</v>
      </c>
      <c r="B135" t="s">
        <v>772</v>
      </c>
      <c r="C135" t="s">
        <v>14</v>
      </c>
      <c r="D135" t="s">
        <v>67</v>
      </c>
      <c r="E135" t="s">
        <v>1128</v>
      </c>
      <c r="G135" t="s">
        <v>2016</v>
      </c>
      <c r="H135" s="37" t="s">
        <v>11</v>
      </c>
      <c r="I135" s="37" t="s">
        <v>21</v>
      </c>
      <c r="J135" t="s">
        <v>64</v>
      </c>
      <c r="K135" t="s">
        <v>2981</v>
      </c>
      <c r="L135" t="s">
        <v>3067</v>
      </c>
      <c r="O135" s="39"/>
      <c r="P135" t="s">
        <v>1683</v>
      </c>
      <c r="Q135" t="s">
        <v>1629</v>
      </c>
      <c r="R135" s="10">
        <v>410</v>
      </c>
      <c r="S135" t="s">
        <v>1683</v>
      </c>
      <c r="T135" t="s">
        <v>2973</v>
      </c>
    </row>
    <row r="136" spans="1:20" hidden="1" x14ac:dyDescent="0.25">
      <c r="A136">
        <v>2023</v>
      </c>
      <c r="B136" t="s">
        <v>772</v>
      </c>
      <c r="C136" t="s">
        <v>14</v>
      </c>
      <c r="D136" t="s">
        <v>67</v>
      </c>
      <c r="E136" t="s">
        <v>1128</v>
      </c>
      <c r="G136" t="s">
        <v>2016</v>
      </c>
      <c r="H136" s="37" t="s">
        <v>11</v>
      </c>
      <c r="I136" s="37" t="s">
        <v>21</v>
      </c>
      <c r="J136" t="s">
        <v>64</v>
      </c>
      <c r="K136" t="s">
        <v>2981</v>
      </c>
      <c r="L136" t="s">
        <v>3067</v>
      </c>
      <c r="O136" s="39"/>
      <c r="P136" t="s">
        <v>1684</v>
      </c>
      <c r="Q136" t="s">
        <v>1629</v>
      </c>
      <c r="R136" s="10">
        <v>3629</v>
      </c>
      <c r="S136" t="s">
        <v>1684</v>
      </c>
      <c r="T136" t="s">
        <v>2973</v>
      </c>
    </row>
    <row r="137" spans="1:20" hidden="1" x14ac:dyDescent="0.25">
      <c r="A137">
        <v>2023</v>
      </c>
      <c r="B137" t="s">
        <v>772</v>
      </c>
      <c r="C137" t="s">
        <v>14</v>
      </c>
      <c r="D137" t="s">
        <v>67</v>
      </c>
      <c r="E137" t="s">
        <v>1128</v>
      </c>
      <c r="G137" t="s">
        <v>2016</v>
      </c>
      <c r="H137" s="37" t="s">
        <v>11</v>
      </c>
      <c r="I137" s="37" t="s">
        <v>21</v>
      </c>
      <c r="J137" t="s">
        <v>64</v>
      </c>
      <c r="K137" t="s">
        <v>2982</v>
      </c>
      <c r="L137" t="s">
        <v>3068</v>
      </c>
      <c r="M137" t="s">
        <v>3055</v>
      </c>
      <c r="N137" t="s">
        <v>2982</v>
      </c>
      <c r="O137" s="39" t="s">
        <v>3058</v>
      </c>
      <c r="P137" t="s">
        <v>1616</v>
      </c>
      <c r="Q137" t="s">
        <v>1638</v>
      </c>
      <c r="R137" s="10">
        <v>193004</v>
      </c>
      <c r="S137" t="s">
        <v>1616</v>
      </c>
      <c r="T137" t="s">
        <v>2973</v>
      </c>
    </row>
    <row r="138" spans="1:20" hidden="1" x14ac:dyDescent="0.25">
      <c r="A138">
        <v>2023</v>
      </c>
      <c r="B138" t="s">
        <v>772</v>
      </c>
      <c r="C138" t="s">
        <v>14</v>
      </c>
      <c r="D138" t="s">
        <v>67</v>
      </c>
      <c r="E138" t="s">
        <v>1128</v>
      </c>
      <c r="G138" t="s">
        <v>2016</v>
      </c>
      <c r="H138" s="37" t="s">
        <v>11</v>
      </c>
      <c r="I138" s="37" t="s">
        <v>21</v>
      </c>
      <c r="J138" t="s">
        <v>64</v>
      </c>
      <c r="K138" t="s">
        <v>2982</v>
      </c>
      <c r="L138" t="s">
        <v>3070</v>
      </c>
      <c r="M138" t="s">
        <v>3055</v>
      </c>
      <c r="N138" t="s">
        <v>2982</v>
      </c>
      <c r="O138" s="39" t="s">
        <v>3058</v>
      </c>
      <c r="P138" t="s">
        <v>1639</v>
      </c>
      <c r="Q138" t="s">
        <v>1638</v>
      </c>
      <c r="R138" s="10">
        <v>3069283</v>
      </c>
      <c r="S138" t="s">
        <v>1639</v>
      </c>
      <c r="T138" t="s">
        <v>2973</v>
      </c>
    </row>
    <row r="139" spans="1:20" hidden="1" x14ac:dyDescent="0.25">
      <c r="A139">
        <v>2023</v>
      </c>
      <c r="B139" t="s">
        <v>772</v>
      </c>
      <c r="C139" t="s">
        <v>14</v>
      </c>
      <c r="D139" t="s">
        <v>67</v>
      </c>
      <c r="E139" t="s">
        <v>1128</v>
      </c>
      <c r="G139" t="s">
        <v>2016</v>
      </c>
      <c r="H139" s="37" t="s">
        <v>11</v>
      </c>
      <c r="I139" s="37" t="s">
        <v>21</v>
      </c>
      <c r="J139" t="s">
        <v>64</v>
      </c>
      <c r="K139" t="s">
        <v>2982</v>
      </c>
      <c r="L139" t="s">
        <v>3069</v>
      </c>
      <c r="M139" t="s">
        <v>3055</v>
      </c>
      <c r="N139" t="s">
        <v>2982</v>
      </c>
      <c r="O139" s="39" t="s">
        <v>3058</v>
      </c>
      <c r="P139" t="s">
        <v>1676</v>
      </c>
      <c r="Q139" t="s">
        <v>1638</v>
      </c>
      <c r="R139" s="10">
        <v>3803986</v>
      </c>
      <c r="S139" t="s">
        <v>1676</v>
      </c>
      <c r="T139" t="s">
        <v>2973</v>
      </c>
    </row>
    <row r="140" spans="1:20" hidden="1" x14ac:dyDescent="0.25">
      <c r="A140">
        <v>2023</v>
      </c>
      <c r="B140" t="s">
        <v>772</v>
      </c>
      <c r="C140" t="s">
        <v>14</v>
      </c>
      <c r="D140" t="s">
        <v>67</v>
      </c>
      <c r="E140" t="s">
        <v>1128</v>
      </c>
      <c r="G140" t="s">
        <v>2016</v>
      </c>
      <c r="H140" s="37" t="s">
        <v>11</v>
      </c>
      <c r="I140" s="37" t="s">
        <v>21</v>
      </c>
      <c r="J140" t="s">
        <v>64</v>
      </c>
      <c r="K140" t="s">
        <v>2982</v>
      </c>
      <c r="L140" t="s">
        <v>3068</v>
      </c>
      <c r="M140" t="s">
        <v>3055</v>
      </c>
      <c r="N140" t="s">
        <v>2982</v>
      </c>
      <c r="O140" s="39" t="s">
        <v>3058</v>
      </c>
      <c r="P140" t="s">
        <v>1753</v>
      </c>
      <c r="Q140" t="s">
        <v>1638</v>
      </c>
      <c r="R140" s="10">
        <v>193004</v>
      </c>
      <c r="S140" t="s">
        <v>1672</v>
      </c>
      <c r="T140" t="s">
        <v>2973</v>
      </c>
    </row>
    <row r="141" spans="1:20" hidden="1" x14ac:dyDescent="0.25">
      <c r="A141">
        <v>2023</v>
      </c>
      <c r="B141" t="s">
        <v>772</v>
      </c>
      <c r="C141" t="s">
        <v>159</v>
      </c>
      <c r="D141" t="s">
        <v>160</v>
      </c>
      <c r="E141" t="s">
        <v>1165</v>
      </c>
      <c r="G141" t="s">
        <v>2035</v>
      </c>
      <c r="H141" s="37" t="s">
        <v>11</v>
      </c>
      <c r="I141" s="37" t="s">
        <v>34</v>
      </c>
      <c r="J141" t="s">
        <v>157</v>
      </c>
      <c r="K141" t="s">
        <v>2983</v>
      </c>
      <c r="L141" t="s">
        <v>3066</v>
      </c>
      <c r="M141" t="s">
        <v>3055</v>
      </c>
      <c r="N141" t="s">
        <v>3040</v>
      </c>
      <c r="O141" s="39" t="s">
        <v>3057</v>
      </c>
      <c r="P141" t="s">
        <v>1605</v>
      </c>
      <c r="Q141" t="s">
        <v>1635</v>
      </c>
      <c r="R141" s="10">
        <v>168888</v>
      </c>
      <c r="S141" t="s">
        <v>1605</v>
      </c>
      <c r="T141" t="s">
        <v>1874</v>
      </c>
    </row>
    <row r="142" spans="1:20" hidden="1" x14ac:dyDescent="0.25">
      <c r="A142">
        <v>2023</v>
      </c>
      <c r="B142" t="s">
        <v>772</v>
      </c>
      <c r="C142" t="s">
        <v>159</v>
      </c>
      <c r="D142" t="s">
        <v>160</v>
      </c>
      <c r="E142" t="s">
        <v>1165</v>
      </c>
      <c r="G142" t="s">
        <v>2035</v>
      </c>
      <c r="H142" s="37" t="s">
        <v>11</v>
      </c>
      <c r="I142" s="37" t="s">
        <v>34</v>
      </c>
      <c r="J142" t="s">
        <v>157</v>
      </c>
      <c r="K142" t="s">
        <v>2983</v>
      </c>
      <c r="L142" t="s">
        <v>3066</v>
      </c>
      <c r="M142" t="s">
        <v>3055</v>
      </c>
      <c r="N142" t="s">
        <v>1636</v>
      </c>
      <c r="O142" s="39" t="s">
        <v>3059</v>
      </c>
      <c r="P142" t="s">
        <v>707</v>
      </c>
      <c r="Q142" t="s">
        <v>1546</v>
      </c>
      <c r="R142" s="10">
        <v>3702</v>
      </c>
      <c r="T142" t="s">
        <v>1874</v>
      </c>
    </row>
    <row r="143" spans="1:20" hidden="1" x14ac:dyDescent="0.25">
      <c r="A143">
        <v>2023</v>
      </c>
      <c r="B143" t="s">
        <v>772</v>
      </c>
      <c r="C143" t="s">
        <v>159</v>
      </c>
      <c r="D143" t="s">
        <v>160</v>
      </c>
      <c r="E143" t="s">
        <v>1165</v>
      </c>
      <c r="G143" t="s">
        <v>2035</v>
      </c>
      <c r="H143" s="37" t="s">
        <v>11</v>
      </c>
      <c r="I143" s="37" t="s">
        <v>34</v>
      </c>
      <c r="J143" t="s">
        <v>157</v>
      </c>
      <c r="K143" t="s">
        <v>2983</v>
      </c>
      <c r="L143" t="s">
        <v>3066</v>
      </c>
      <c r="M143" t="s">
        <v>3054</v>
      </c>
      <c r="N143" t="s">
        <v>1650</v>
      </c>
      <c r="O143" s="39">
        <v>2025884</v>
      </c>
      <c r="P143" t="s">
        <v>707</v>
      </c>
      <c r="Q143" t="s">
        <v>1546</v>
      </c>
      <c r="R143" s="10">
        <v>13</v>
      </c>
      <c r="T143" t="s">
        <v>1874</v>
      </c>
    </row>
    <row r="144" spans="1:20" hidden="1" x14ac:dyDescent="0.25">
      <c r="A144">
        <v>2023</v>
      </c>
      <c r="B144" t="s">
        <v>772</v>
      </c>
      <c r="C144" t="s">
        <v>159</v>
      </c>
      <c r="D144" t="s">
        <v>160</v>
      </c>
      <c r="E144" t="s">
        <v>1165</v>
      </c>
      <c r="G144" t="s">
        <v>2035</v>
      </c>
      <c r="H144" s="37" t="s">
        <v>11</v>
      </c>
      <c r="I144" s="37" t="s">
        <v>34</v>
      </c>
      <c r="J144" t="s">
        <v>157</v>
      </c>
      <c r="K144" t="s">
        <v>2981</v>
      </c>
      <c r="L144" t="s">
        <v>3067</v>
      </c>
      <c r="O144" s="39"/>
      <c r="P144" t="s">
        <v>1875</v>
      </c>
      <c r="Q144" t="s">
        <v>1629</v>
      </c>
      <c r="R144" s="10">
        <v>613</v>
      </c>
      <c r="S144" t="s">
        <v>1875</v>
      </c>
      <c r="T144" t="s">
        <v>1874</v>
      </c>
    </row>
    <row r="145" spans="1:20" hidden="1" x14ac:dyDescent="0.25">
      <c r="A145">
        <v>2023</v>
      </c>
      <c r="B145" t="s">
        <v>1537</v>
      </c>
      <c r="C145" t="s">
        <v>14</v>
      </c>
      <c r="D145" t="s">
        <v>20</v>
      </c>
      <c r="F145" t="s">
        <v>1749</v>
      </c>
      <c r="G145" t="s">
        <v>2016</v>
      </c>
      <c r="H145" s="37" t="s">
        <v>11</v>
      </c>
      <c r="I145" s="37" t="s">
        <v>23</v>
      </c>
      <c r="J145" t="s">
        <v>16</v>
      </c>
      <c r="K145" t="s">
        <v>2983</v>
      </c>
      <c r="L145" t="s">
        <v>3066</v>
      </c>
      <c r="M145" t="s">
        <v>3055</v>
      </c>
      <c r="N145" t="s">
        <v>1636</v>
      </c>
      <c r="O145" s="39" t="s">
        <v>3059</v>
      </c>
      <c r="P145" t="s">
        <v>707</v>
      </c>
      <c r="Q145" t="s">
        <v>1546</v>
      </c>
      <c r="R145" s="10">
        <v>6726</v>
      </c>
      <c r="S145" s="21" t="s">
        <v>1671</v>
      </c>
      <c r="T145" t="s">
        <v>2973</v>
      </c>
    </row>
    <row r="146" spans="1:20" hidden="1" x14ac:dyDescent="0.25">
      <c r="A146">
        <v>2023</v>
      </c>
      <c r="B146" t="s">
        <v>1537</v>
      </c>
      <c r="C146" t="s">
        <v>14</v>
      </c>
      <c r="D146" t="s">
        <v>20</v>
      </c>
      <c r="F146" t="s">
        <v>1749</v>
      </c>
      <c r="G146" t="s">
        <v>2016</v>
      </c>
      <c r="H146" s="37" t="s">
        <v>11</v>
      </c>
      <c r="I146" s="37" t="s">
        <v>23</v>
      </c>
      <c r="J146" t="s">
        <v>16</v>
      </c>
      <c r="K146" t="s">
        <v>2983</v>
      </c>
      <c r="L146" t="s">
        <v>3066</v>
      </c>
      <c r="M146" t="s">
        <v>3055</v>
      </c>
      <c r="N146" t="s">
        <v>1637</v>
      </c>
      <c r="O146" s="39" t="s">
        <v>3063</v>
      </c>
      <c r="P146" t="s">
        <v>707</v>
      </c>
      <c r="Q146" t="s">
        <v>1546</v>
      </c>
      <c r="R146" s="10">
        <v>442</v>
      </c>
      <c r="S146" s="21" t="s">
        <v>1671</v>
      </c>
      <c r="T146" t="s">
        <v>2973</v>
      </c>
    </row>
    <row r="147" spans="1:20" hidden="1" x14ac:dyDescent="0.25">
      <c r="A147">
        <v>2023</v>
      </c>
      <c r="B147" t="s">
        <v>1537</v>
      </c>
      <c r="C147" t="s">
        <v>14</v>
      </c>
      <c r="D147" t="s">
        <v>20</v>
      </c>
      <c r="F147" t="s">
        <v>1749</v>
      </c>
      <c r="G147" t="s">
        <v>2016</v>
      </c>
      <c r="H147" s="37" t="s">
        <v>11</v>
      </c>
      <c r="I147" s="37" t="s">
        <v>23</v>
      </c>
      <c r="J147" t="s">
        <v>16</v>
      </c>
      <c r="K147" t="s">
        <v>2981</v>
      </c>
      <c r="L147" t="s">
        <v>3067</v>
      </c>
      <c r="O147" s="39"/>
      <c r="P147" t="s">
        <v>1682</v>
      </c>
      <c r="Q147" t="s">
        <v>1629</v>
      </c>
      <c r="R147" s="10">
        <v>3595.51</v>
      </c>
      <c r="S147" t="s">
        <v>1682</v>
      </c>
      <c r="T147" t="s">
        <v>2973</v>
      </c>
    </row>
    <row r="148" spans="1:20" hidden="1" x14ac:dyDescent="0.25">
      <c r="A148">
        <v>2023</v>
      </c>
      <c r="B148" t="s">
        <v>1537</v>
      </c>
      <c r="C148" t="s">
        <v>14</v>
      </c>
      <c r="D148" t="s">
        <v>20</v>
      </c>
      <c r="F148" t="s">
        <v>1749</v>
      </c>
      <c r="G148" t="s">
        <v>2016</v>
      </c>
      <c r="H148" s="37" t="s">
        <v>11</v>
      </c>
      <c r="I148" s="37" t="s">
        <v>23</v>
      </c>
      <c r="J148" t="s">
        <v>16</v>
      </c>
      <c r="K148" t="s">
        <v>2981</v>
      </c>
      <c r="L148" t="s">
        <v>3067</v>
      </c>
      <c r="O148" s="39"/>
      <c r="P148" t="s">
        <v>1683</v>
      </c>
      <c r="Q148" t="s">
        <v>1629</v>
      </c>
      <c r="R148" s="10">
        <v>2252.0700000000002</v>
      </c>
      <c r="S148" t="s">
        <v>1683</v>
      </c>
      <c r="T148" t="s">
        <v>2973</v>
      </c>
    </row>
    <row r="149" spans="1:20" hidden="1" x14ac:dyDescent="0.25">
      <c r="A149">
        <v>2023</v>
      </c>
      <c r="B149" t="s">
        <v>1537</v>
      </c>
      <c r="C149" t="s">
        <v>14</v>
      </c>
      <c r="D149" t="s">
        <v>20</v>
      </c>
      <c r="F149" t="s">
        <v>1749</v>
      </c>
      <c r="G149" t="s">
        <v>2016</v>
      </c>
      <c r="H149" s="37" t="s">
        <v>11</v>
      </c>
      <c r="I149" s="37" t="s">
        <v>23</v>
      </c>
      <c r="J149" t="s">
        <v>16</v>
      </c>
      <c r="K149" t="s">
        <v>2981</v>
      </c>
      <c r="L149" t="s">
        <v>3067</v>
      </c>
      <c r="O149" s="39"/>
      <c r="P149" t="s">
        <v>1684</v>
      </c>
      <c r="Q149" t="s">
        <v>1629</v>
      </c>
      <c r="R149" s="10">
        <v>1343.44</v>
      </c>
      <c r="S149" t="s">
        <v>1684</v>
      </c>
      <c r="T149" t="s">
        <v>2973</v>
      </c>
    </row>
    <row r="150" spans="1:20" hidden="1" x14ac:dyDescent="0.25">
      <c r="A150">
        <v>2023</v>
      </c>
      <c r="B150" t="s">
        <v>1537</v>
      </c>
      <c r="C150" t="s">
        <v>14</v>
      </c>
      <c r="D150" t="s">
        <v>2017</v>
      </c>
      <c r="F150" t="s">
        <v>1749</v>
      </c>
      <c r="G150" t="s">
        <v>2016</v>
      </c>
      <c r="H150" s="37" t="s">
        <v>11</v>
      </c>
      <c r="I150" s="37" t="s">
        <v>23</v>
      </c>
      <c r="J150" t="s">
        <v>16</v>
      </c>
      <c r="K150" t="s">
        <v>2982</v>
      </c>
      <c r="L150" t="s">
        <v>3068</v>
      </c>
      <c r="M150" t="s">
        <v>3055</v>
      </c>
      <c r="N150" t="s">
        <v>2982</v>
      </c>
      <c r="O150" s="39" t="s">
        <v>3058</v>
      </c>
      <c r="P150" t="s">
        <v>1616</v>
      </c>
      <c r="Q150" t="s">
        <v>1638</v>
      </c>
      <c r="R150" s="10">
        <v>968789</v>
      </c>
      <c r="S150" t="s">
        <v>1616</v>
      </c>
      <c r="T150" t="s">
        <v>2973</v>
      </c>
    </row>
    <row r="151" spans="1:20" hidden="1" x14ac:dyDescent="0.25">
      <c r="A151">
        <v>2023</v>
      </c>
      <c r="B151" t="s">
        <v>1537</v>
      </c>
      <c r="C151" t="s">
        <v>14</v>
      </c>
      <c r="D151" t="s">
        <v>2017</v>
      </c>
      <c r="F151" t="s">
        <v>1749</v>
      </c>
      <c r="G151" t="s">
        <v>2016</v>
      </c>
      <c r="H151" s="37" t="s">
        <v>11</v>
      </c>
      <c r="I151" s="37" t="s">
        <v>23</v>
      </c>
      <c r="J151" t="s">
        <v>16</v>
      </c>
      <c r="K151" t="s">
        <v>2982</v>
      </c>
      <c r="L151" t="s">
        <v>3068</v>
      </c>
      <c r="M151" t="s">
        <v>3055</v>
      </c>
      <c r="N151" t="s">
        <v>2982</v>
      </c>
      <c r="O151" s="39" t="s">
        <v>3058</v>
      </c>
      <c r="P151" t="s">
        <v>1753</v>
      </c>
      <c r="Q151" t="s">
        <v>1638</v>
      </c>
      <c r="R151" s="10">
        <v>968789</v>
      </c>
      <c r="S151" t="s">
        <v>1672</v>
      </c>
      <c r="T151" t="s">
        <v>2973</v>
      </c>
    </row>
    <row r="152" spans="1:20" hidden="1" x14ac:dyDescent="0.25">
      <c r="A152">
        <v>2023</v>
      </c>
      <c r="B152" t="s">
        <v>1537</v>
      </c>
      <c r="C152" t="s">
        <v>14</v>
      </c>
      <c r="D152" t="s">
        <v>2017</v>
      </c>
      <c r="F152" t="s">
        <v>1749</v>
      </c>
      <c r="G152" t="s">
        <v>2016</v>
      </c>
      <c r="H152" s="37" t="s">
        <v>11</v>
      </c>
      <c r="I152" s="37" t="s">
        <v>23</v>
      </c>
      <c r="J152" t="s">
        <v>16</v>
      </c>
      <c r="K152" t="s">
        <v>2982</v>
      </c>
      <c r="L152" t="s">
        <v>3070</v>
      </c>
      <c r="M152" t="s">
        <v>3055</v>
      </c>
      <c r="N152" t="s">
        <v>2982</v>
      </c>
      <c r="O152" s="39" t="s">
        <v>3058</v>
      </c>
      <c r="P152" t="s">
        <v>1639</v>
      </c>
      <c r="Q152" t="s">
        <v>1638</v>
      </c>
      <c r="R152" s="10">
        <v>1400259</v>
      </c>
      <c r="S152" t="s">
        <v>1639</v>
      </c>
      <c r="T152" t="s">
        <v>2973</v>
      </c>
    </row>
    <row r="153" spans="1:20" hidden="1" x14ac:dyDescent="0.25">
      <c r="A153">
        <v>2023</v>
      </c>
      <c r="B153" t="s">
        <v>1537</v>
      </c>
      <c r="C153" t="s">
        <v>14</v>
      </c>
      <c r="D153" t="s">
        <v>2017</v>
      </c>
      <c r="F153" t="s">
        <v>1749</v>
      </c>
      <c r="G153" t="s">
        <v>2016</v>
      </c>
      <c r="H153" s="37" t="s">
        <v>11</v>
      </c>
      <c r="I153" s="37" t="s">
        <v>23</v>
      </c>
      <c r="J153" t="s">
        <v>16</v>
      </c>
      <c r="K153" t="s">
        <v>2982</v>
      </c>
      <c r="L153" t="s">
        <v>3069</v>
      </c>
      <c r="M153" t="s">
        <v>3055</v>
      </c>
      <c r="N153" t="s">
        <v>2982</v>
      </c>
      <c r="O153" s="39" t="s">
        <v>3058</v>
      </c>
      <c r="P153" t="s">
        <v>1676</v>
      </c>
      <c r="Q153" t="s">
        <v>1638</v>
      </c>
      <c r="R153" s="10">
        <v>1993390</v>
      </c>
      <c r="S153" t="s">
        <v>1676</v>
      </c>
      <c r="T153" t="s">
        <v>2973</v>
      </c>
    </row>
    <row r="154" spans="1:20" hidden="1" x14ac:dyDescent="0.25">
      <c r="A154">
        <v>2023</v>
      </c>
      <c r="B154" t="s">
        <v>772</v>
      </c>
      <c r="C154" t="s">
        <v>14</v>
      </c>
      <c r="D154" t="s">
        <v>22</v>
      </c>
      <c r="E154" t="s">
        <v>1129</v>
      </c>
      <c r="G154" t="s">
        <v>2016</v>
      </c>
      <c r="H154" s="37" t="s">
        <v>11</v>
      </c>
      <c r="I154" s="37" t="s">
        <v>13</v>
      </c>
      <c r="J154" t="s">
        <v>16</v>
      </c>
      <c r="K154" t="s">
        <v>2983</v>
      </c>
      <c r="L154" t="s">
        <v>3066</v>
      </c>
      <c r="M154" t="s">
        <v>3055</v>
      </c>
      <c r="N154" t="s">
        <v>1636</v>
      </c>
      <c r="O154" s="39" t="s">
        <v>3059</v>
      </c>
      <c r="P154" t="s">
        <v>707</v>
      </c>
      <c r="Q154" t="s">
        <v>1546</v>
      </c>
      <c r="R154" s="10">
        <v>3625</v>
      </c>
      <c r="S154" s="21" t="s">
        <v>1671</v>
      </c>
      <c r="T154" t="s">
        <v>2973</v>
      </c>
    </row>
    <row r="155" spans="1:20" hidden="1" x14ac:dyDescent="0.25">
      <c r="A155">
        <v>2023</v>
      </c>
      <c r="B155" t="s">
        <v>772</v>
      </c>
      <c r="C155" t="s">
        <v>14</v>
      </c>
      <c r="D155" t="s">
        <v>22</v>
      </c>
      <c r="E155" t="s">
        <v>1129</v>
      </c>
      <c r="G155" t="s">
        <v>2016</v>
      </c>
      <c r="H155" s="37" t="s">
        <v>11</v>
      </c>
      <c r="I155" s="37" t="s">
        <v>13</v>
      </c>
      <c r="J155" t="s">
        <v>16</v>
      </c>
      <c r="K155" t="s">
        <v>2983</v>
      </c>
      <c r="L155" t="s">
        <v>3066</v>
      </c>
      <c r="M155" t="s">
        <v>3055</v>
      </c>
      <c r="N155" t="s">
        <v>1637</v>
      </c>
      <c r="O155" s="39" t="s">
        <v>3063</v>
      </c>
      <c r="P155" t="s">
        <v>707</v>
      </c>
      <c r="Q155" t="s">
        <v>1546</v>
      </c>
      <c r="R155" s="10">
        <v>238</v>
      </c>
      <c r="S155" s="21" t="s">
        <v>1671</v>
      </c>
      <c r="T155" t="s">
        <v>2973</v>
      </c>
    </row>
    <row r="156" spans="1:20" hidden="1" x14ac:dyDescent="0.25">
      <c r="A156">
        <v>2023</v>
      </c>
      <c r="B156" t="s">
        <v>772</v>
      </c>
      <c r="C156" t="s">
        <v>14</v>
      </c>
      <c r="D156" t="s">
        <v>22</v>
      </c>
      <c r="E156" t="s">
        <v>1129</v>
      </c>
      <c r="G156" t="s">
        <v>2016</v>
      </c>
      <c r="H156" s="37" t="s">
        <v>11</v>
      </c>
      <c r="I156" s="37" t="s">
        <v>13</v>
      </c>
      <c r="J156" t="s">
        <v>16</v>
      </c>
      <c r="K156" t="s">
        <v>2981</v>
      </c>
      <c r="L156" t="s">
        <v>3067</v>
      </c>
      <c r="O156" s="39"/>
      <c r="P156" t="s">
        <v>1682</v>
      </c>
      <c r="Q156" t="s">
        <v>1629</v>
      </c>
      <c r="R156" s="10">
        <v>906.75</v>
      </c>
      <c r="S156" t="s">
        <v>1682</v>
      </c>
      <c r="T156" t="s">
        <v>2973</v>
      </c>
    </row>
    <row r="157" spans="1:20" hidden="1" x14ac:dyDescent="0.25">
      <c r="A157">
        <v>2023</v>
      </c>
      <c r="B157" t="s">
        <v>772</v>
      </c>
      <c r="C157" t="s">
        <v>14</v>
      </c>
      <c r="D157" t="s">
        <v>22</v>
      </c>
      <c r="E157" t="s">
        <v>1129</v>
      </c>
      <c r="G157" t="s">
        <v>2016</v>
      </c>
      <c r="H157" s="37" t="s">
        <v>11</v>
      </c>
      <c r="I157" s="37" t="s">
        <v>13</v>
      </c>
      <c r="J157" t="s">
        <v>16</v>
      </c>
      <c r="K157" t="s">
        <v>2981</v>
      </c>
      <c r="L157" t="s">
        <v>3067</v>
      </c>
      <c r="O157" s="39"/>
      <c r="P157" t="s">
        <v>1683</v>
      </c>
      <c r="Q157" t="s">
        <v>1629</v>
      </c>
      <c r="R157" s="10">
        <v>633</v>
      </c>
      <c r="S157" t="s">
        <v>1683</v>
      </c>
      <c r="T157" t="s">
        <v>2973</v>
      </c>
    </row>
    <row r="158" spans="1:20" hidden="1" x14ac:dyDescent="0.25">
      <c r="A158">
        <v>2023</v>
      </c>
      <c r="B158" t="s">
        <v>772</v>
      </c>
      <c r="C158" t="s">
        <v>14</v>
      </c>
      <c r="D158" t="s">
        <v>22</v>
      </c>
      <c r="E158" t="s">
        <v>1129</v>
      </c>
      <c r="G158" t="s">
        <v>2016</v>
      </c>
      <c r="H158" s="37" t="s">
        <v>11</v>
      </c>
      <c r="I158" s="37" t="s">
        <v>13</v>
      </c>
      <c r="J158" t="s">
        <v>16</v>
      </c>
      <c r="K158" t="s">
        <v>2981</v>
      </c>
      <c r="L158" t="s">
        <v>3067</v>
      </c>
      <c r="O158" s="39"/>
      <c r="P158" t="s">
        <v>1684</v>
      </c>
      <c r="Q158" t="s">
        <v>1629</v>
      </c>
      <c r="R158" s="10">
        <v>273.75</v>
      </c>
      <c r="S158" t="s">
        <v>1684</v>
      </c>
      <c r="T158" t="s">
        <v>2973</v>
      </c>
    </row>
    <row r="159" spans="1:20" hidden="1" x14ac:dyDescent="0.25">
      <c r="A159">
        <v>2023</v>
      </c>
      <c r="B159" t="s">
        <v>772</v>
      </c>
      <c r="C159" t="s">
        <v>14</v>
      </c>
      <c r="D159" t="s">
        <v>22</v>
      </c>
      <c r="E159" t="s">
        <v>1129</v>
      </c>
      <c r="G159" t="s">
        <v>2016</v>
      </c>
      <c r="H159" s="37" t="s">
        <v>11</v>
      </c>
      <c r="I159" s="37" t="s">
        <v>13</v>
      </c>
      <c r="J159" t="s">
        <v>16</v>
      </c>
      <c r="K159" t="s">
        <v>2982</v>
      </c>
      <c r="L159" t="s">
        <v>3068</v>
      </c>
      <c r="M159" t="s">
        <v>3055</v>
      </c>
      <c r="N159" t="s">
        <v>2982</v>
      </c>
      <c r="O159" s="39" t="s">
        <v>3058</v>
      </c>
      <c r="P159" t="s">
        <v>1616</v>
      </c>
      <c r="Q159" t="s">
        <v>1638</v>
      </c>
      <c r="R159" s="10">
        <v>525400</v>
      </c>
      <c r="S159" t="s">
        <v>1616</v>
      </c>
      <c r="T159" t="s">
        <v>2973</v>
      </c>
    </row>
    <row r="160" spans="1:20" hidden="1" x14ac:dyDescent="0.25">
      <c r="A160">
        <v>2023</v>
      </c>
      <c r="B160" t="s">
        <v>772</v>
      </c>
      <c r="C160" t="s">
        <v>14</v>
      </c>
      <c r="D160" t="s">
        <v>22</v>
      </c>
      <c r="E160" t="s">
        <v>1129</v>
      </c>
      <c r="G160" t="s">
        <v>2016</v>
      </c>
      <c r="H160" s="37" t="s">
        <v>11</v>
      </c>
      <c r="I160" s="37" t="s">
        <v>13</v>
      </c>
      <c r="J160" t="s">
        <v>16</v>
      </c>
      <c r="K160" t="s">
        <v>2982</v>
      </c>
      <c r="L160" t="s">
        <v>3068</v>
      </c>
      <c r="M160" t="s">
        <v>3055</v>
      </c>
      <c r="N160" t="s">
        <v>2982</v>
      </c>
      <c r="O160" s="39" t="s">
        <v>3058</v>
      </c>
      <c r="P160" t="s">
        <v>1753</v>
      </c>
      <c r="Q160" t="s">
        <v>1638</v>
      </c>
      <c r="R160" s="10">
        <v>525400</v>
      </c>
      <c r="S160" t="s">
        <v>1672</v>
      </c>
      <c r="T160" t="s">
        <v>2973</v>
      </c>
    </row>
    <row r="161" spans="1:20" hidden="1" x14ac:dyDescent="0.25">
      <c r="A161">
        <v>2023</v>
      </c>
      <c r="B161" t="s">
        <v>772</v>
      </c>
      <c r="C161" t="s">
        <v>14</v>
      </c>
      <c r="D161" t="s">
        <v>22</v>
      </c>
      <c r="E161" t="s">
        <v>1129</v>
      </c>
      <c r="G161" t="s">
        <v>2016</v>
      </c>
      <c r="H161" s="37" t="s">
        <v>11</v>
      </c>
      <c r="I161" s="37" t="s">
        <v>13</v>
      </c>
      <c r="J161" t="s">
        <v>16</v>
      </c>
      <c r="K161" t="s">
        <v>2982</v>
      </c>
      <c r="L161" t="s">
        <v>3070</v>
      </c>
      <c r="M161" t="s">
        <v>3055</v>
      </c>
      <c r="N161" t="s">
        <v>2982</v>
      </c>
      <c r="O161" s="39" t="s">
        <v>3058</v>
      </c>
      <c r="P161" t="s">
        <v>1639</v>
      </c>
      <c r="Q161" t="s">
        <v>1638</v>
      </c>
      <c r="R161" s="10">
        <v>454993</v>
      </c>
      <c r="S161" t="s">
        <v>1639</v>
      </c>
      <c r="T161" t="s">
        <v>2973</v>
      </c>
    </row>
    <row r="162" spans="1:20" hidden="1" x14ac:dyDescent="0.25">
      <c r="A162">
        <v>2023</v>
      </c>
      <c r="B162" t="s">
        <v>772</v>
      </c>
      <c r="C162" t="s">
        <v>14</v>
      </c>
      <c r="D162" t="s">
        <v>22</v>
      </c>
      <c r="E162" t="s">
        <v>1129</v>
      </c>
      <c r="G162" t="s">
        <v>2016</v>
      </c>
      <c r="H162" s="37" t="s">
        <v>11</v>
      </c>
      <c r="I162" s="37" t="s">
        <v>13</v>
      </c>
      <c r="J162" t="s">
        <v>16</v>
      </c>
      <c r="K162" t="s">
        <v>2982</v>
      </c>
      <c r="L162" t="s">
        <v>3069</v>
      </c>
      <c r="M162" t="s">
        <v>3055</v>
      </c>
      <c r="N162" t="s">
        <v>2982</v>
      </c>
      <c r="O162" s="39" t="s">
        <v>3058</v>
      </c>
      <c r="P162" t="s">
        <v>1676</v>
      </c>
      <c r="Q162" t="s">
        <v>1638</v>
      </c>
      <c r="R162" s="10">
        <v>419380</v>
      </c>
      <c r="S162" t="s">
        <v>1676</v>
      </c>
      <c r="T162" t="s">
        <v>2973</v>
      </c>
    </row>
    <row r="163" spans="1:20" hidden="1" x14ac:dyDescent="0.25">
      <c r="A163">
        <v>2023</v>
      </c>
      <c r="B163" t="s">
        <v>772</v>
      </c>
      <c r="C163" t="s">
        <v>793</v>
      </c>
      <c r="D163" t="s">
        <v>129</v>
      </c>
      <c r="E163" t="s">
        <v>1190</v>
      </c>
      <c r="G163" t="s">
        <v>2046</v>
      </c>
      <c r="H163" s="37" t="s">
        <v>11</v>
      </c>
      <c r="I163" s="37" t="s">
        <v>19</v>
      </c>
      <c r="J163" t="s">
        <v>130</v>
      </c>
      <c r="K163" t="s">
        <v>2983</v>
      </c>
      <c r="L163" t="s">
        <v>3066</v>
      </c>
      <c r="M163" t="s">
        <v>3054</v>
      </c>
      <c r="N163" t="s">
        <v>3161</v>
      </c>
      <c r="O163" s="39" t="s">
        <v>3042</v>
      </c>
      <c r="P163" t="s">
        <v>707</v>
      </c>
      <c r="Q163" t="s">
        <v>1546</v>
      </c>
      <c r="R163" s="10">
        <v>150.43</v>
      </c>
      <c r="T163" t="s">
        <v>1879</v>
      </c>
    </row>
    <row r="164" spans="1:20" hidden="1" x14ac:dyDescent="0.25">
      <c r="A164">
        <v>2023</v>
      </c>
      <c r="B164" t="s">
        <v>772</v>
      </c>
      <c r="C164" t="s">
        <v>793</v>
      </c>
      <c r="D164" t="s">
        <v>129</v>
      </c>
      <c r="E164" t="s">
        <v>1190</v>
      </c>
      <c r="G164" t="s">
        <v>2046</v>
      </c>
      <c r="H164" s="37" t="s">
        <v>11</v>
      </c>
      <c r="I164" s="37" t="s">
        <v>19</v>
      </c>
      <c r="J164" t="s">
        <v>130</v>
      </c>
      <c r="K164" t="s">
        <v>2983</v>
      </c>
      <c r="L164" t="s">
        <v>3066</v>
      </c>
      <c r="M164" t="s">
        <v>3055</v>
      </c>
      <c r="N164" t="s">
        <v>3040</v>
      </c>
      <c r="O164" s="39" t="s">
        <v>3057</v>
      </c>
      <c r="P164" t="s">
        <v>1605</v>
      </c>
      <c r="Q164" t="s">
        <v>1635</v>
      </c>
      <c r="R164" s="10">
        <v>72492</v>
      </c>
      <c r="S164" t="s">
        <v>1605</v>
      </c>
      <c r="T164" t="s">
        <v>1879</v>
      </c>
    </row>
    <row r="165" spans="1:20" hidden="1" x14ac:dyDescent="0.25">
      <c r="A165">
        <v>2023</v>
      </c>
      <c r="B165" t="s">
        <v>772</v>
      </c>
      <c r="C165" t="s">
        <v>793</v>
      </c>
      <c r="D165" t="s">
        <v>129</v>
      </c>
      <c r="E165" t="s">
        <v>1190</v>
      </c>
      <c r="G165" t="s">
        <v>2046</v>
      </c>
      <c r="H165" s="37" t="s">
        <v>11</v>
      </c>
      <c r="I165" s="37" t="s">
        <v>19</v>
      </c>
      <c r="J165" t="s">
        <v>130</v>
      </c>
      <c r="K165" t="s">
        <v>2983</v>
      </c>
      <c r="L165" t="s">
        <v>3066</v>
      </c>
      <c r="M165" t="s">
        <v>3055</v>
      </c>
      <c r="N165" t="s">
        <v>3040</v>
      </c>
      <c r="O165" s="39" t="s">
        <v>3057</v>
      </c>
      <c r="P165" t="s">
        <v>1606</v>
      </c>
      <c r="Q165" t="s">
        <v>1635</v>
      </c>
      <c r="R165" s="10">
        <v>7075</v>
      </c>
      <c r="S165" t="s">
        <v>1606</v>
      </c>
      <c r="T165" t="s">
        <v>1879</v>
      </c>
    </row>
    <row r="166" spans="1:20" ht="14.45" hidden="1" customHeight="1" x14ac:dyDescent="0.25">
      <c r="A166">
        <v>2023</v>
      </c>
      <c r="B166" t="s">
        <v>772</v>
      </c>
      <c r="C166" t="s">
        <v>793</v>
      </c>
      <c r="D166" t="s">
        <v>129</v>
      </c>
      <c r="E166" t="s">
        <v>1190</v>
      </c>
      <c r="G166" t="s">
        <v>2046</v>
      </c>
      <c r="H166" s="37" t="s">
        <v>11</v>
      </c>
      <c r="I166" s="37" t="s">
        <v>19</v>
      </c>
      <c r="J166" t="s">
        <v>130</v>
      </c>
      <c r="K166" t="s">
        <v>2983</v>
      </c>
      <c r="L166" t="s">
        <v>3066</v>
      </c>
      <c r="M166" t="s">
        <v>3055</v>
      </c>
      <c r="N166" t="s">
        <v>1636</v>
      </c>
      <c r="O166" s="39" t="s">
        <v>3059</v>
      </c>
      <c r="P166" t="s">
        <v>707</v>
      </c>
      <c r="Q166" t="s">
        <v>1546</v>
      </c>
      <c r="R166" s="10">
        <v>61</v>
      </c>
      <c r="T166" t="s">
        <v>1879</v>
      </c>
    </row>
    <row r="167" spans="1:20" ht="14.45" hidden="1" customHeight="1" x14ac:dyDescent="0.25">
      <c r="A167">
        <v>2023</v>
      </c>
      <c r="B167" t="s">
        <v>772</v>
      </c>
      <c r="C167" t="s">
        <v>793</v>
      </c>
      <c r="D167" t="s">
        <v>129</v>
      </c>
      <c r="E167" t="s">
        <v>1190</v>
      </c>
      <c r="G167" t="s">
        <v>2046</v>
      </c>
      <c r="H167" s="37" t="s">
        <v>11</v>
      </c>
      <c r="I167" s="37" t="s">
        <v>19</v>
      </c>
      <c r="J167" t="s">
        <v>130</v>
      </c>
      <c r="K167" t="s">
        <v>2983</v>
      </c>
      <c r="L167" t="s">
        <v>3066</v>
      </c>
      <c r="M167" t="s">
        <v>3055</v>
      </c>
      <c r="N167" t="s">
        <v>3160</v>
      </c>
      <c r="O167" s="39" t="s">
        <v>3074</v>
      </c>
      <c r="P167" t="s">
        <v>707</v>
      </c>
      <c r="Q167" t="s">
        <v>1546</v>
      </c>
      <c r="R167" s="10">
        <v>2368.41</v>
      </c>
      <c r="T167" t="s">
        <v>1879</v>
      </c>
    </row>
    <row r="168" spans="1:20" hidden="1" x14ac:dyDescent="0.25">
      <c r="A168">
        <v>2023</v>
      </c>
      <c r="B168" t="s">
        <v>772</v>
      </c>
      <c r="C168" t="s">
        <v>793</v>
      </c>
      <c r="D168" t="s">
        <v>129</v>
      </c>
      <c r="E168" t="s">
        <v>1190</v>
      </c>
      <c r="G168" t="s">
        <v>2046</v>
      </c>
      <c r="H168" s="37" t="s">
        <v>11</v>
      </c>
      <c r="I168" s="37" t="s">
        <v>19</v>
      </c>
      <c r="J168" t="s">
        <v>130</v>
      </c>
      <c r="K168" t="s">
        <v>2983</v>
      </c>
      <c r="L168" t="s">
        <v>3066</v>
      </c>
      <c r="M168" t="s">
        <v>3055</v>
      </c>
      <c r="N168" t="s">
        <v>3075</v>
      </c>
      <c r="O168" s="39" t="s">
        <v>3076</v>
      </c>
      <c r="P168" t="s">
        <v>707</v>
      </c>
      <c r="Q168" t="s">
        <v>1546</v>
      </c>
      <c r="R168" s="10">
        <v>42.96</v>
      </c>
      <c r="T168" t="s">
        <v>1879</v>
      </c>
    </row>
    <row r="169" spans="1:20" hidden="1" x14ac:dyDescent="0.25">
      <c r="A169">
        <v>2023</v>
      </c>
      <c r="B169" t="s">
        <v>772</v>
      </c>
      <c r="C169" t="s">
        <v>793</v>
      </c>
      <c r="D169" t="s">
        <v>129</v>
      </c>
      <c r="E169" t="s">
        <v>1190</v>
      </c>
      <c r="G169" t="s">
        <v>2046</v>
      </c>
      <c r="H169" s="37" t="s">
        <v>11</v>
      </c>
      <c r="I169" s="37" t="s">
        <v>19</v>
      </c>
      <c r="J169" t="s">
        <v>130</v>
      </c>
      <c r="K169" t="s">
        <v>2982</v>
      </c>
      <c r="L169" t="s">
        <v>3068</v>
      </c>
      <c r="M169" t="s">
        <v>3055</v>
      </c>
      <c r="N169" t="s">
        <v>2982</v>
      </c>
      <c r="O169" s="39" t="s">
        <v>3058</v>
      </c>
      <c r="P169" t="s">
        <v>1616</v>
      </c>
      <c r="Q169" t="s">
        <v>1880</v>
      </c>
      <c r="R169" s="10">
        <v>8.11</v>
      </c>
      <c r="S169" t="s">
        <v>1745</v>
      </c>
      <c r="T169" t="s">
        <v>1879</v>
      </c>
    </row>
    <row r="170" spans="1:20" hidden="1" x14ac:dyDescent="0.25">
      <c r="A170">
        <v>2023</v>
      </c>
      <c r="B170" t="s">
        <v>772</v>
      </c>
      <c r="C170" t="s">
        <v>793</v>
      </c>
      <c r="D170" t="s">
        <v>129</v>
      </c>
      <c r="E170" t="s">
        <v>1190</v>
      </c>
      <c r="G170" t="s">
        <v>2046</v>
      </c>
      <c r="H170" s="37" t="s">
        <v>11</v>
      </c>
      <c r="I170" s="37" t="s">
        <v>19</v>
      </c>
      <c r="J170" t="s">
        <v>130</v>
      </c>
      <c r="K170" t="s">
        <v>2982</v>
      </c>
      <c r="L170" t="s">
        <v>3070</v>
      </c>
      <c r="M170" t="s">
        <v>3055</v>
      </c>
      <c r="N170" t="s">
        <v>2982</v>
      </c>
      <c r="O170" s="39" t="s">
        <v>3058</v>
      </c>
      <c r="P170" t="s">
        <v>1639</v>
      </c>
      <c r="Q170" t="s">
        <v>1880</v>
      </c>
      <c r="R170" s="10">
        <v>9.11</v>
      </c>
      <c r="S170" t="s">
        <v>1746</v>
      </c>
      <c r="T170" t="s">
        <v>1879</v>
      </c>
    </row>
    <row r="171" spans="1:20" hidden="1" x14ac:dyDescent="0.25">
      <c r="A171">
        <v>2023</v>
      </c>
      <c r="B171" t="s">
        <v>772</v>
      </c>
      <c r="C171" t="s">
        <v>39</v>
      </c>
      <c r="D171" t="s">
        <v>78</v>
      </c>
      <c r="E171" t="s">
        <v>1321</v>
      </c>
      <c r="G171" t="s">
        <v>2133</v>
      </c>
      <c r="H171" s="37" t="s">
        <v>11</v>
      </c>
      <c r="I171" s="37" t="s">
        <v>21</v>
      </c>
      <c r="J171" t="s">
        <v>64</v>
      </c>
      <c r="K171" t="s">
        <v>2982</v>
      </c>
      <c r="L171" t="s">
        <v>3068</v>
      </c>
      <c r="M171" t="s">
        <v>3055</v>
      </c>
      <c r="N171" t="s">
        <v>2982</v>
      </c>
      <c r="O171" s="39" t="s">
        <v>3058</v>
      </c>
      <c r="P171" t="s">
        <v>1616</v>
      </c>
      <c r="Q171" t="s">
        <v>1617</v>
      </c>
      <c r="R171" s="10">
        <v>1552.3931809999999</v>
      </c>
      <c r="S171" s="27" t="s">
        <v>1745</v>
      </c>
      <c r="T171" t="s">
        <v>1865</v>
      </c>
    </row>
    <row r="172" spans="1:20" hidden="1" x14ac:dyDescent="0.25">
      <c r="A172">
        <v>2023</v>
      </c>
      <c r="B172" t="s">
        <v>772</v>
      </c>
      <c r="C172" t="s">
        <v>39</v>
      </c>
      <c r="D172" t="s">
        <v>78</v>
      </c>
      <c r="E172" t="s">
        <v>1321</v>
      </c>
      <c r="G172" t="s">
        <v>2133</v>
      </c>
      <c r="H172" s="37" t="s">
        <v>11</v>
      </c>
      <c r="I172" s="37" t="s">
        <v>21</v>
      </c>
      <c r="J172" t="s">
        <v>64</v>
      </c>
      <c r="K172" t="s">
        <v>2982</v>
      </c>
      <c r="L172" t="s">
        <v>3069</v>
      </c>
      <c r="M172" t="s">
        <v>3055</v>
      </c>
      <c r="N172" t="s">
        <v>2982</v>
      </c>
      <c r="O172" s="39" t="s">
        <v>3058</v>
      </c>
      <c r="P172" s="27" t="s">
        <v>1676</v>
      </c>
      <c r="Q172" t="s">
        <v>1617</v>
      </c>
      <c r="R172" s="10">
        <v>1543.3544999999999</v>
      </c>
      <c r="S172" s="27" t="s">
        <v>1676</v>
      </c>
      <c r="T172" t="s">
        <v>1865</v>
      </c>
    </row>
    <row r="173" spans="1:20" ht="15.75" hidden="1" x14ac:dyDescent="0.25">
      <c r="A173">
        <v>2023</v>
      </c>
      <c r="B173" t="s">
        <v>772</v>
      </c>
      <c r="C173" t="s">
        <v>39</v>
      </c>
      <c r="D173" t="s">
        <v>78</v>
      </c>
      <c r="E173" t="s">
        <v>1321</v>
      </c>
      <c r="G173" t="s">
        <v>2133</v>
      </c>
      <c r="H173" s="37" t="s">
        <v>11</v>
      </c>
      <c r="I173" s="37" t="s">
        <v>21</v>
      </c>
      <c r="J173" t="s">
        <v>64</v>
      </c>
      <c r="K173" t="s">
        <v>2983</v>
      </c>
      <c r="L173" t="s">
        <v>3066</v>
      </c>
      <c r="M173" t="s">
        <v>3054</v>
      </c>
      <c r="N173" t="s">
        <v>3156</v>
      </c>
      <c r="O173" s="39" t="s">
        <v>3041</v>
      </c>
      <c r="P173" t="s">
        <v>707</v>
      </c>
      <c r="Q173" t="s">
        <v>1546</v>
      </c>
      <c r="R173" s="24">
        <v>5.6701E-3</v>
      </c>
      <c r="T173" t="s">
        <v>1865</v>
      </c>
    </row>
    <row r="174" spans="1:20" ht="15.75" hidden="1" x14ac:dyDescent="0.25">
      <c r="A174">
        <v>2023</v>
      </c>
      <c r="B174" t="s">
        <v>772</v>
      </c>
      <c r="C174" t="s">
        <v>39</v>
      </c>
      <c r="D174" t="s">
        <v>78</v>
      </c>
      <c r="E174" t="s">
        <v>1321</v>
      </c>
      <c r="G174" t="s">
        <v>2133</v>
      </c>
      <c r="H174" s="37" t="s">
        <v>11</v>
      </c>
      <c r="I174" s="37" t="s">
        <v>21</v>
      </c>
      <c r="J174" t="s">
        <v>64</v>
      </c>
      <c r="K174" t="s">
        <v>2983</v>
      </c>
      <c r="L174" t="s">
        <v>3066</v>
      </c>
      <c r="M174" t="s">
        <v>3054</v>
      </c>
      <c r="N174" t="s">
        <v>3161</v>
      </c>
      <c r="O174" s="39" t="s">
        <v>3042</v>
      </c>
      <c r="P174" t="s">
        <v>707</v>
      </c>
      <c r="Q174" t="s">
        <v>1546</v>
      </c>
      <c r="R174" s="24">
        <v>226.22</v>
      </c>
      <c r="T174" t="s">
        <v>1865</v>
      </c>
    </row>
    <row r="175" spans="1:20" hidden="1" x14ac:dyDescent="0.25">
      <c r="A175">
        <v>2023</v>
      </c>
      <c r="B175" t="s">
        <v>772</v>
      </c>
      <c r="C175" t="s">
        <v>39</v>
      </c>
      <c r="D175" t="s">
        <v>78</v>
      </c>
      <c r="E175" t="s">
        <v>1321</v>
      </c>
      <c r="G175" t="s">
        <v>2133</v>
      </c>
      <c r="H175" s="37" t="s">
        <v>11</v>
      </c>
      <c r="I175" s="37" t="s">
        <v>21</v>
      </c>
      <c r="J175" t="s">
        <v>64</v>
      </c>
      <c r="K175" t="s">
        <v>2983</v>
      </c>
      <c r="L175" t="s">
        <v>3066</v>
      </c>
      <c r="M175" t="s">
        <v>3055</v>
      </c>
      <c r="N175" t="s">
        <v>3040</v>
      </c>
      <c r="O175" s="39" t="s">
        <v>3057</v>
      </c>
      <c r="P175" t="s">
        <v>1605</v>
      </c>
      <c r="Q175" t="s">
        <v>1635</v>
      </c>
      <c r="R175" s="10">
        <v>40394.416907685103</v>
      </c>
      <c r="S175" t="s">
        <v>1605</v>
      </c>
      <c r="T175" t="s">
        <v>1865</v>
      </c>
    </row>
    <row r="176" spans="1:20" hidden="1" x14ac:dyDescent="0.25">
      <c r="A176">
        <v>2023</v>
      </c>
      <c r="B176" t="s">
        <v>772</v>
      </c>
      <c r="C176" t="s">
        <v>39</v>
      </c>
      <c r="D176" t="s">
        <v>78</v>
      </c>
      <c r="E176" t="s">
        <v>1321</v>
      </c>
      <c r="G176" t="s">
        <v>2133</v>
      </c>
      <c r="H176" s="37" t="s">
        <v>11</v>
      </c>
      <c r="I176" s="37" t="s">
        <v>21</v>
      </c>
      <c r="J176" t="s">
        <v>64</v>
      </c>
      <c r="K176" t="s">
        <v>2983</v>
      </c>
      <c r="L176" t="s">
        <v>3066</v>
      </c>
      <c r="M176" t="s">
        <v>3055</v>
      </c>
      <c r="N176" t="s">
        <v>3040</v>
      </c>
      <c r="O176" s="39" t="s">
        <v>3057</v>
      </c>
      <c r="P176" t="s">
        <v>1606</v>
      </c>
      <c r="Q176" t="s">
        <v>1635</v>
      </c>
      <c r="R176" s="10">
        <v>3597.5544</v>
      </c>
      <c r="S176" t="s">
        <v>1606</v>
      </c>
      <c r="T176" t="s">
        <v>1865</v>
      </c>
    </row>
    <row r="177" spans="1:20" hidden="1" x14ac:dyDescent="0.25">
      <c r="A177">
        <v>2023</v>
      </c>
      <c r="B177" t="s">
        <v>772</v>
      </c>
      <c r="C177" t="s">
        <v>39</v>
      </c>
      <c r="D177" t="s">
        <v>78</v>
      </c>
      <c r="E177" t="s">
        <v>1321</v>
      </c>
      <c r="G177" t="s">
        <v>2133</v>
      </c>
      <c r="H177" s="37" t="s">
        <v>11</v>
      </c>
      <c r="I177" s="37" t="s">
        <v>21</v>
      </c>
      <c r="J177" t="s">
        <v>64</v>
      </c>
      <c r="K177" t="s">
        <v>2983</v>
      </c>
      <c r="L177" t="s">
        <v>3066</v>
      </c>
      <c r="M177" t="s">
        <v>3055</v>
      </c>
      <c r="N177" t="s">
        <v>3040</v>
      </c>
      <c r="O177" s="39" t="s">
        <v>3057</v>
      </c>
      <c r="P177" t="s">
        <v>1607</v>
      </c>
      <c r="Q177" t="s">
        <v>1635</v>
      </c>
      <c r="R177" s="10">
        <v>71787.549598278507</v>
      </c>
      <c r="S177" t="s">
        <v>1607</v>
      </c>
      <c r="T177" t="s">
        <v>1865</v>
      </c>
    </row>
    <row r="178" spans="1:20" ht="15.75" hidden="1" x14ac:dyDescent="0.25">
      <c r="A178">
        <v>2023</v>
      </c>
      <c r="B178" t="s">
        <v>772</v>
      </c>
      <c r="C178" t="s">
        <v>39</v>
      </c>
      <c r="D178" t="s">
        <v>78</v>
      </c>
      <c r="E178" t="s">
        <v>1321</v>
      </c>
      <c r="G178" t="s">
        <v>2133</v>
      </c>
      <c r="H178" s="37" t="s">
        <v>11</v>
      </c>
      <c r="I178" s="37" t="s">
        <v>21</v>
      </c>
      <c r="J178" t="s">
        <v>64</v>
      </c>
      <c r="K178" t="s">
        <v>2983</v>
      </c>
      <c r="L178" t="s">
        <v>3066</v>
      </c>
      <c r="M178" t="s">
        <v>3054</v>
      </c>
      <c r="N178" t="s">
        <v>3158</v>
      </c>
      <c r="O178" s="39" t="s">
        <v>3043</v>
      </c>
      <c r="P178" t="s">
        <v>707</v>
      </c>
      <c r="Q178" t="s">
        <v>1546</v>
      </c>
      <c r="R178" s="24">
        <v>8.9913300000000002E-2</v>
      </c>
      <c r="T178" t="s">
        <v>1865</v>
      </c>
    </row>
    <row r="179" spans="1:20" ht="15.75" hidden="1" x14ac:dyDescent="0.25">
      <c r="A179">
        <v>2023</v>
      </c>
      <c r="B179" t="s">
        <v>772</v>
      </c>
      <c r="C179" t="s">
        <v>39</v>
      </c>
      <c r="D179" t="s">
        <v>78</v>
      </c>
      <c r="E179" t="s">
        <v>1321</v>
      </c>
      <c r="G179" t="s">
        <v>2133</v>
      </c>
      <c r="H179" s="37" t="s">
        <v>11</v>
      </c>
      <c r="I179" s="37" t="s">
        <v>21</v>
      </c>
      <c r="J179" t="s">
        <v>64</v>
      </c>
      <c r="K179" t="s">
        <v>2983</v>
      </c>
      <c r="L179" t="s">
        <v>3066</v>
      </c>
      <c r="M179" t="s">
        <v>3054</v>
      </c>
      <c r="N179" t="s">
        <v>3157</v>
      </c>
      <c r="O179" s="39" t="s">
        <v>3045</v>
      </c>
      <c r="P179" t="s">
        <v>707</v>
      </c>
      <c r="Q179" t="s">
        <v>1546</v>
      </c>
      <c r="R179" s="24">
        <v>2.7129999999999998E-4</v>
      </c>
      <c r="T179" t="s">
        <v>1865</v>
      </c>
    </row>
    <row r="180" spans="1:20" ht="15.75" hidden="1" x14ac:dyDescent="0.25">
      <c r="A180">
        <v>2023</v>
      </c>
      <c r="B180" t="s">
        <v>772</v>
      </c>
      <c r="C180" t="s">
        <v>39</v>
      </c>
      <c r="D180" t="s">
        <v>78</v>
      </c>
      <c r="E180" t="s">
        <v>1321</v>
      </c>
      <c r="G180" t="s">
        <v>2133</v>
      </c>
      <c r="H180" s="37" t="s">
        <v>11</v>
      </c>
      <c r="I180" s="37" t="s">
        <v>21</v>
      </c>
      <c r="J180" t="s">
        <v>64</v>
      </c>
      <c r="K180" t="s">
        <v>2983</v>
      </c>
      <c r="L180" t="s">
        <v>3066</v>
      </c>
      <c r="M180" t="s">
        <v>3055</v>
      </c>
      <c r="N180" t="s">
        <v>1636</v>
      </c>
      <c r="O180" s="39" t="s">
        <v>3059</v>
      </c>
      <c r="P180" t="s">
        <v>707</v>
      </c>
      <c r="Q180" t="s">
        <v>1546</v>
      </c>
      <c r="R180" s="24">
        <v>298.29599999999999</v>
      </c>
      <c r="T180" t="s">
        <v>1865</v>
      </c>
    </row>
    <row r="181" spans="1:20" ht="15.75" hidden="1" x14ac:dyDescent="0.25">
      <c r="A181">
        <v>2023</v>
      </c>
      <c r="B181" t="s">
        <v>772</v>
      </c>
      <c r="C181" t="s">
        <v>39</v>
      </c>
      <c r="D181" t="s">
        <v>78</v>
      </c>
      <c r="E181" t="s">
        <v>1321</v>
      </c>
      <c r="G181" t="s">
        <v>2133</v>
      </c>
      <c r="H181" s="37" t="s">
        <v>11</v>
      </c>
      <c r="I181" s="37" t="s">
        <v>21</v>
      </c>
      <c r="J181" t="s">
        <v>64</v>
      </c>
      <c r="K181" t="s">
        <v>2983</v>
      </c>
      <c r="L181" t="s">
        <v>3066</v>
      </c>
      <c r="M181" t="s">
        <v>3055</v>
      </c>
      <c r="N181" t="s">
        <v>3160</v>
      </c>
      <c r="O181" s="39" t="s">
        <v>3074</v>
      </c>
      <c r="P181" t="s">
        <v>707</v>
      </c>
      <c r="Q181" t="s">
        <v>1546</v>
      </c>
      <c r="R181" s="24">
        <v>72.34</v>
      </c>
      <c r="T181" t="s">
        <v>1865</v>
      </c>
    </row>
    <row r="182" spans="1:20" ht="15.75" hidden="1" x14ac:dyDescent="0.25">
      <c r="A182">
        <v>2023</v>
      </c>
      <c r="B182" t="s">
        <v>772</v>
      </c>
      <c r="C182" t="s">
        <v>39</v>
      </c>
      <c r="D182" t="s">
        <v>78</v>
      </c>
      <c r="E182" t="s">
        <v>1321</v>
      </c>
      <c r="G182" t="s">
        <v>2133</v>
      </c>
      <c r="H182" s="37" t="s">
        <v>11</v>
      </c>
      <c r="I182" s="37" t="s">
        <v>21</v>
      </c>
      <c r="J182" t="s">
        <v>64</v>
      </c>
      <c r="K182" t="s">
        <v>2983</v>
      </c>
      <c r="L182" t="s">
        <v>3066</v>
      </c>
      <c r="M182" t="s">
        <v>3055</v>
      </c>
      <c r="N182" t="s">
        <v>3075</v>
      </c>
      <c r="O182" s="39" t="s">
        <v>3076</v>
      </c>
      <c r="P182" t="s">
        <v>707</v>
      </c>
      <c r="Q182" t="s">
        <v>1546</v>
      </c>
      <c r="R182" s="24">
        <v>36.22</v>
      </c>
      <c r="T182" t="s">
        <v>1865</v>
      </c>
    </row>
    <row r="183" spans="1:20" ht="15.75" hidden="1" x14ac:dyDescent="0.25">
      <c r="A183">
        <v>2023</v>
      </c>
      <c r="B183" t="s">
        <v>772</v>
      </c>
      <c r="C183" t="s">
        <v>39</v>
      </c>
      <c r="D183" t="s">
        <v>78</v>
      </c>
      <c r="E183" t="s">
        <v>1321</v>
      </c>
      <c r="G183" t="s">
        <v>2133</v>
      </c>
      <c r="H183" s="37" t="s">
        <v>11</v>
      </c>
      <c r="I183" s="37" t="s">
        <v>21</v>
      </c>
      <c r="J183" t="s">
        <v>64</v>
      </c>
      <c r="K183" t="s">
        <v>2983</v>
      </c>
      <c r="L183" t="s">
        <v>3066</v>
      </c>
      <c r="M183" t="s">
        <v>3055</v>
      </c>
      <c r="N183" t="s">
        <v>3159</v>
      </c>
      <c r="O183" s="39" t="s">
        <v>3046</v>
      </c>
      <c r="P183" t="s">
        <v>707</v>
      </c>
      <c r="Q183" t="s">
        <v>1546</v>
      </c>
      <c r="R183" s="24">
        <v>7.1409999999999996E-4</v>
      </c>
      <c r="T183" t="s">
        <v>1865</v>
      </c>
    </row>
    <row r="184" spans="1:20" ht="15.75" hidden="1" x14ac:dyDescent="0.25">
      <c r="A184">
        <v>2023</v>
      </c>
      <c r="B184" t="s">
        <v>772</v>
      </c>
      <c r="C184" t="s">
        <v>39</v>
      </c>
      <c r="D184" t="s">
        <v>78</v>
      </c>
      <c r="E184" t="s">
        <v>1321</v>
      </c>
      <c r="G184" t="s">
        <v>2133</v>
      </c>
      <c r="H184" s="37" t="s">
        <v>11</v>
      </c>
      <c r="I184" s="37" t="s">
        <v>21</v>
      </c>
      <c r="J184" t="s">
        <v>64</v>
      </c>
      <c r="K184" t="s">
        <v>2983</v>
      </c>
      <c r="L184" t="s">
        <v>3066</v>
      </c>
      <c r="M184" t="s">
        <v>3055</v>
      </c>
      <c r="N184" t="s">
        <v>1637</v>
      </c>
      <c r="O184" s="39" t="s">
        <v>3063</v>
      </c>
      <c r="P184" t="s">
        <v>707</v>
      </c>
      <c r="Q184" t="s">
        <v>1546</v>
      </c>
      <c r="R184" s="24">
        <v>1.8779999999999999</v>
      </c>
      <c r="T184" t="s">
        <v>1865</v>
      </c>
    </row>
    <row r="185" spans="1:20" ht="15.75" hidden="1" x14ac:dyDescent="0.25">
      <c r="A185">
        <v>2023</v>
      </c>
      <c r="B185" t="s">
        <v>772</v>
      </c>
      <c r="C185" t="s">
        <v>39</v>
      </c>
      <c r="D185" t="s">
        <v>78</v>
      </c>
      <c r="E185" t="s">
        <v>1321</v>
      </c>
      <c r="G185" t="s">
        <v>2133</v>
      </c>
      <c r="H185" s="37" t="s">
        <v>11</v>
      </c>
      <c r="I185" s="37" t="s">
        <v>21</v>
      </c>
      <c r="J185" t="s">
        <v>64</v>
      </c>
      <c r="K185" t="s">
        <v>2983</v>
      </c>
      <c r="L185" t="s">
        <v>3066</v>
      </c>
      <c r="M185" t="s">
        <v>3055</v>
      </c>
      <c r="N185" t="s">
        <v>3155</v>
      </c>
      <c r="O185" s="39" t="s">
        <v>3047</v>
      </c>
      <c r="P185" t="s">
        <v>707</v>
      </c>
      <c r="Q185" t="s">
        <v>1546</v>
      </c>
      <c r="R185" s="24">
        <v>4.625</v>
      </c>
      <c r="T185" t="s">
        <v>1865</v>
      </c>
    </row>
    <row r="186" spans="1:20" hidden="1" x14ac:dyDescent="0.25">
      <c r="A186">
        <v>2023</v>
      </c>
      <c r="B186" t="s">
        <v>772</v>
      </c>
      <c r="C186" t="s">
        <v>39</v>
      </c>
      <c r="D186" t="s">
        <v>78</v>
      </c>
      <c r="E186" t="s">
        <v>1321</v>
      </c>
      <c r="G186" t="s">
        <v>2133</v>
      </c>
      <c r="H186" s="37" t="s">
        <v>11</v>
      </c>
      <c r="I186" s="37" t="s">
        <v>21</v>
      </c>
      <c r="J186" t="s">
        <v>64</v>
      </c>
      <c r="K186" t="s">
        <v>2982</v>
      </c>
      <c r="L186" t="s">
        <v>3070</v>
      </c>
      <c r="M186" t="s">
        <v>3055</v>
      </c>
      <c r="N186" t="s">
        <v>2982</v>
      </c>
      <c r="O186" s="39" t="s">
        <v>3058</v>
      </c>
      <c r="P186" t="s">
        <v>1639</v>
      </c>
      <c r="Q186" t="s">
        <v>1617</v>
      </c>
      <c r="R186" s="10">
        <v>562.15918099999999</v>
      </c>
      <c r="S186" s="27" t="s">
        <v>1746</v>
      </c>
      <c r="T186" t="s">
        <v>1865</v>
      </c>
    </row>
    <row r="187" spans="1:20" hidden="1" x14ac:dyDescent="0.25">
      <c r="A187">
        <v>2023</v>
      </c>
      <c r="B187" t="s">
        <v>772</v>
      </c>
      <c r="C187" t="s">
        <v>39</v>
      </c>
      <c r="D187" t="s">
        <v>78</v>
      </c>
      <c r="E187" t="s">
        <v>1321</v>
      </c>
      <c r="G187" t="s">
        <v>2133</v>
      </c>
      <c r="H187" s="37" t="s">
        <v>11</v>
      </c>
      <c r="I187" s="37" t="s">
        <v>21</v>
      </c>
      <c r="J187" t="s">
        <v>64</v>
      </c>
      <c r="K187" t="s">
        <v>2981</v>
      </c>
      <c r="L187" t="s">
        <v>3067</v>
      </c>
      <c r="O187" s="39"/>
      <c r="P187" t="s">
        <v>1734</v>
      </c>
      <c r="Q187" t="s">
        <v>1629</v>
      </c>
      <c r="R187" s="10">
        <v>701.81</v>
      </c>
      <c r="S187" t="s">
        <v>1734</v>
      </c>
      <c r="T187" t="s">
        <v>1865</v>
      </c>
    </row>
    <row r="188" spans="1:20" hidden="1" x14ac:dyDescent="0.25">
      <c r="A188">
        <v>2023</v>
      </c>
      <c r="B188" t="s">
        <v>772</v>
      </c>
      <c r="C188" t="s">
        <v>755</v>
      </c>
      <c r="D188" t="s">
        <v>85</v>
      </c>
      <c r="E188" t="s">
        <v>1315</v>
      </c>
      <c r="G188" t="s">
        <v>2132</v>
      </c>
      <c r="H188" s="37" t="s">
        <v>11</v>
      </c>
      <c r="I188" s="37" t="s">
        <v>23</v>
      </c>
      <c r="J188" t="s">
        <v>84</v>
      </c>
      <c r="K188" t="s">
        <v>2983</v>
      </c>
      <c r="L188" t="s">
        <v>3066</v>
      </c>
      <c r="M188" t="s">
        <v>3055</v>
      </c>
      <c r="N188" t="s">
        <v>3040</v>
      </c>
      <c r="O188" s="39" t="s">
        <v>3057</v>
      </c>
      <c r="P188" t="s">
        <v>1605</v>
      </c>
      <c r="Q188" t="s">
        <v>1635</v>
      </c>
      <c r="R188" s="10">
        <v>15908.3</v>
      </c>
      <c r="S188" t="s">
        <v>1605</v>
      </c>
      <c r="T188" t="s">
        <v>1864</v>
      </c>
    </row>
    <row r="189" spans="1:20" hidden="1" x14ac:dyDescent="0.25">
      <c r="A189">
        <v>2023</v>
      </c>
      <c r="B189" t="s">
        <v>772</v>
      </c>
      <c r="C189" t="s">
        <v>755</v>
      </c>
      <c r="D189" t="s">
        <v>85</v>
      </c>
      <c r="E189" t="s">
        <v>1315</v>
      </c>
      <c r="G189" t="s">
        <v>2132</v>
      </c>
      <c r="H189" s="37" t="s">
        <v>11</v>
      </c>
      <c r="I189" s="37" t="s">
        <v>23</v>
      </c>
      <c r="J189" t="s">
        <v>84</v>
      </c>
      <c r="K189" t="s">
        <v>2983</v>
      </c>
      <c r="L189" t="s">
        <v>3066</v>
      </c>
      <c r="M189" t="s">
        <v>3055</v>
      </c>
      <c r="N189" t="s">
        <v>3040</v>
      </c>
      <c r="O189" s="39" t="s">
        <v>3057</v>
      </c>
      <c r="P189" t="s">
        <v>1606</v>
      </c>
      <c r="Q189" t="s">
        <v>1635</v>
      </c>
      <c r="R189" s="10">
        <v>2326.6999999999998</v>
      </c>
      <c r="S189" t="s">
        <v>1606</v>
      </c>
      <c r="T189" t="s">
        <v>1864</v>
      </c>
    </row>
    <row r="190" spans="1:20" hidden="1" x14ac:dyDescent="0.25">
      <c r="A190">
        <v>2023</v>
      </c>
      <c r="B190" t="s">
        <v>772</v>
      </c>
      <c r="C190" t="s">
        <v>755</v>
      </c>
      <c r="D190" t="s">
        <v>85</v>
      </c>
      <c r="E190" t="s">
        <v>1315</v>
      </c>
      <c r="G190" t="s">
        <v>2132</v>
      </c>
      <c r="H190" s="37" t="s">
        <v>11</v>
      </c>
      <c r="I190" s="37" t="s">
        <v>23</v>
      </c>
      <c r="J190" t="s">
        <v>84</v>
      </c>
      <c r="K190" t="s">
        <v>2981</v>
      </c>
      <c r="L190" t="s">
        <v>3067</v>
      </c>
      <c r="O190" s="39"/>
      <c r="P190" t="s">
        <v>1708</v>
      </c>
      <c r="Q190" t="s">
        <v>1629</v>
      </c>
      <c r="R190" s="10">
        <v>377.5</v>
      </c>
      <c r="S190" t="s">
        <v>1708</v>
      </c>
      <c r="T190" t="s">
        <v>1864</v>
      </c>
    </row>
    <row r="191" spans="1:20" hidden="1" x14ac:dyDescent="0.25">
      <c r="A191">
        <v>2023</v>
      </c>
      <c r="B191" t="s">
        <v>772</v>
      </c>
      <c r="C191" t="s">
        <v>755</v>
      </c>
      <c r="D191" t="s">
        <v>85</v>
      </c>
      <c r="E191" t="s">
        <v>1315</v>
      </c>
      <c r="G191" t="s">
        <v>2132</v>
      </c>
      <c r="H191" s="37" t="s">
        <v>11</v>
      </c>
      <c r="I191" s="37" t="s">
        <v>23</v>
      </c>
      <c r="J191" t="s">
        <v>84</v>
      </c>
      <c r="K191" t="s">
        <v>2982</v>
      </c>
      <c r="L191" t="s">
        <v>3069</v>
      </c>
      <c r="M191" t="s">
        <v>3055</v>
      </c>
      <c r="N191" t="s">
        <v>2982</v>
      </c>
      <c r="O191" s="39" t="s">
        <v>3058</v>
      </c>
      <c r="P191" t="s">
        <v>1676</v>
      </c>
      <c r="Q191" t="s">
        <v>1617</v>
      </c>
      <c r="R191" s="10">
        <v>0</v>
      </c>
      <c r="S191" t="s">
        <v>1686</v>
      </c>
      <c r="T191" t="s">
        <v>1864</v>
      </c>
    </row>
    <row r="192" spans="1:20" hidden="1" x14ac:dyDescent="0.25">
      <c r="A192">
        <v>2023</v>
      </c>
      <c r="B192" t="s">
        <v>772</v>
      </c>
      <c r="C192" t="s">
        <v>755</v>
      </c>
      <c r="D192" t="s">
        <v>85</v>
      </c>
      <c r="E192" t="s">
        <v>1315</v>
      </c>
      <c r="G192" t="s">
        <v>2132</v>
      </c>
      <c r="H192" s="37" t="s">
        <v>11</v>
      </c>
      <c r="I192" s="37" t="s">
        <v>23</v>
      </c>
      <c r="J192" t="s">
        <v>84</v>
      </c>
      <c r="K192" t="s">
        <v>2982</v>
      </c>
      <c r="L192" t="s">
        <v>3070</v>
      </c>
      <c r="M192" t="s">
        <v>3055</v>
      </c>
      <c r="N192" t="s">
        <v>2982</v>
      </c>
      <c r="O192" s="39" t="s">
        <v>3058</v>
      </c>
      <c r="P192" t="s">
        <v>1639</v>
      </c>
      <c r="Q192" t="s">
        <v>1617</v>
      </c>
      <c r="R192" s="10">
        <v>3111.3199999999997</v>
      </c>
      <c r="S192" t="s">
        <v>1687</v>
      </c>
      <c r="T192" t="s">
        <v>1864</v>
      </c>
    </row>
    <row r="193" spans="1:20" hidden="1" x14ac:dyDescent="0.25">
      <c r="A193">
        <v>2023</v>
      </c>
      <c r="B193" t="s">
        <v>772</v>
      </c>
      <c r="C193" t="s">
        <v>755</v>
      </c>
      <c r="D193" t="s">
        <v>85</v>
      </c>
      <c r="E193" t="s">
        <v>1315</v>
      </c>
      <c r="G193" t="s">
        <v>2132</v>
      </c>
      <c r="H193" s="37" t="s">
        <v>11</v>
      </c>
      <c r="I193" s="37" t="s">
        <v>23</v>
      </c>
      <c r="J193" t="s">
        <v>84</v>
      </c>
      <c r="K193" t="s">
        <v>2982</v>
      </c>
      <c r="L193" t="s">
        <v>3068</v>
      </c>
      <c r="M193" t="s">
        <v>3055</v>
      </c>
      <c r="N193" t="s">
        <v>2982</v>
      </c>
      <c r="O193" s="39" t="s">
        <v>3058</v>
      </c>
      <c r="P193" t="s">
        <v>1616</v>
      </c>
      <c r="Q193" t="s">
        <v>1617</v>
      </c>
      <c r="R193" s="10">
        <v>1534.5519999999999</v>
      </c>
      <c r="S193" t="s">
        <v>1685</v>
      </c>
      <c r="T193" t="s">
        <v>1864</v>
      </c>
    </row>
    <row r="194" spans="1:20" hidden="1" x14ac:dyDescent="0.25">
      <c r="A194">
        <v>2023</v>
      </c>
      <c r="B194" t="s">
        <v>772</v>
      </c>
      <c r="C194" t="s">
        <v>197</v>
      </c>
      <c r="D194" t="s">
        <v>198</v>
      </c>
      <c r="E194" t="s">
        <v>1188</v>
      </c>
      <c r="G194" t="s">
        <v>2044</v>
      </c>
      <c r="H194" s="37" t="s">
        <v>11</v>
      </c>
      <c r="I194" s="37" t="s">
        <v>23</v>
      </c>
      <c r="J194" t="s">
        <v>199</v>
      </c>
      <c r="K194" t="s">
        <v>2983</v>
      </c>
      <c r="L194" t="s">
        <v>3066</v>
      </c>
      <c r="M194" t="s">
        <v>3055</v>
      </c>
      <c r="N194" t="s">
        <v>3040</v>
      </c>
      <c r="O194" s="39" t="s">
        <v>3057</v>
      </c>
      <c r="P194" t="s">
        <v>1605</v>
      </c>
      <c r="Q194" t="s">
        <v>1635</v>
      </c>
      <c r="R194" s="10">
        <f>130475-79822</f>
        <v>50653</v>
      </c>
      <c r="S194" t="s">
        <v>1605</v>
      </c>
      <c r="T194" t="s">
        <v>1989</v>
      </c>
    </row>
    <row r="195" spans="1:20" hidden="1" x14ac:dyDescent="0.25">
      <c r="A195">
        <v>2023</v>
      </c>
      <c r="B195" t="s">
        <v>772</v>
      </c>
      <c r="C195" t="s">
        <v>197</v>
      </c>
      <c r="D195" t="s">
        <v>198</v>
      </c>
      <c r="E195" t="s">
        <v>1188</v>
      </c>
      <c r="G195" t="s">
        <v>2044</v>
      </c>
      <c r="H195" s="37" t="s">
        <v>11</v>
      </c>
      <c r="I195" s="37" t="s">
        <v>23</v>
      </c>
      <c r="J195" t="s">
        <v>199</v>
      </c>
      <c r="K195" t="s">
        <v>2983</v>
      </c>
      <c r="L195" t="s">
        <v>3066</v>
      </c>
      <c r="M195" t="s">
        <v>3055</v>
      </c>
      <c r="N195" t="s">
        <v>3040</v>
      </c>
      <c r="O195" s="39" t="s">
        <v>3057</v>
      </c>
      <c r="P195" t="s">
        <v>1606</v>
      </c>
      <c r="Q195" t="s">
        <v>1635</v>
      </c>
      <c r="R195" s="10">
        <v>79822</v>
      </c>
      <c r="S195" t="s">
        <v>1606</v>
      </c>
      <c r="T195" t="s">
        <v>1989</v>
      </c>
    </row>
    <row r="196" spans="1:20" hidden="1" x14ac:dyDescent="0.25">
      <c r="A196">
        <v>2023</v>
      </c>
      <c r="B196" t="s">
        <v>1537</v>
      </c>
      <c r="C196" t="s">
        <v>39</v>
      </c>
      <c r="D196" t="s">
        <v>1587</v>
      </c>
      <c r="F196" t="s">
        <v>1750</v>
      </c>
      <c r="G196" t="s">
        <v>2133</v>
      </c>
      <c r="H196" s="37" t="s">
        <v>11</v>
      </c>
      <c r="I196" s="37" t="s">
        <v>17</v>
      </c>
      <c r="J196" t="s">
        <v>16</v>
      </c>
      <c r="K196" t="s">
        <v>2983</v>
      </c>
      <c r="L196" t="s">
        <v>3066</v>
      </c>
      <c r="M196" t="s">
        <v>3054</v>
      </c>
      <c r="N196" t="s">
        <v>3156</v>
      </c>
      <c r="O196" s="39" t="s">
        <v>3041</v>
      </c>
      <c r="P196" t="s">
        <v>707</v>
      </c>
      <c r="Q196" t="s">
        <v>1546</v>
      </c>
      <c r="R196" s="26">
        <v>0.03</v>
      </c>
      <c r="T196" t="s">
        <v>1865</v>
      </c>
    </row>
    <row r="197" spans="1:20" hidden="1" x14ac:dyDescent="0.25">
      <c r="A197">
        <v>2023</v>
      </c>
      <c r="B197" t="s">
        <v>1537</v>
      </c>
      <c r="C197" t="s">
        <v>39</v>
      </c>
      <c r="D197" t="s">
        <v>1587</v>
      </c>
      <c r="F197" t="s">
        <v>1750</v>
      </c>
      <c r="G197" t="s">
        <v>2133</v>
      </c>
      <c r="H197" s="37" t="s">
        <v>11</v>
      </c>
      <c r="I197" s="37" t="s">
        <v>17</v>
      </c>
      <c r="J197" t="s">
        <v>16</v>
      </c>
      <c r="K197" t="s">
        <v>2983</v>
      </c>
      <c r="L197" t="s">
        <v>3066</v>
      </c>
      <c r="M197" t="s">
        <v>3054</v>
      </c>
      <c r="N197" t="s">
        <v>3161</v>
      </c>
      <c r="O197" s="39" t="s">
        <v>3042</v>
      </c>
      <c r="P197" t="s">
        <v>707</v>
      </c>
      <c r="Q197" t="s">
        <v>1546</v>
      </c>
      <c r="R197" s="26">
        <v>58.1</v>
      </c>
      <c r="T197" t="s">
        <v>1865</v>
      </c>
    </row>
    <row r="198" spans="1:20" hidden="1" x14ac:dyDescent="0.25">
      <c r="A198">
        <v>2023</v>
      </c>
      <c r="B198" t="s">
        <v>1537</v>
      </c>
      <c r="C198" t="s">
        <v>39</v>
      </c>
      <c r="D198" t="s">
        <v>1587</v>
      </c>
      <c r="F198" t="s">
        <v>1750</v>
      </c>
      <c r="G198" t="s">
        <v>2133</v>
      </c>
      <c r="H198" s="37" t="s">
        <v>11</v>
      </c>
      <c r="I198" s="37" t="s">
        <v>17</v>
      </c>
      <c r="J198" t="s">
        <v>16</v>
      </c>
      <c r="K198" t="s">
        <v>2983</v>
      </c>
      <c r="L198" t="s">
        <v>3066</v>
      </c>
      <c r="M198" t="s">
        <v>3055</v>
      </c>
      <c r="N198" t="s">
        <v>3040</v>
      </c>
      <c r="O198" s="39" t="s">
        <v>3057</v>
      </c>
      <c r="P198" t="s">
        <v>1605</v>
      </c>
      <c r="Q198" t="s">
        <v>1635</v>
      </c>
      <c r="R198" s="10">
        <v>57797.154413883101</v>
      </c>
      <c r="S198" t="s">
        <v>1605</v>
      </c>
      <c r="T198" t="s">
        <v>1865</v>
      </c>
    </row>
    <row r="199" spans="1:20" hidden="1" x14ac:dyDescent="0.25">
      <c r="A199">
        <v>2023</v>
      </c>
      <c r="B199" t="s">
        <v>1537</v>
      </c>
      <c r="C199" t="s">
        <v>39</v>
      </c>
      <c r="D199" t="s">
        <v>1587</v>
      </c>
      <c r="F199" t="s">
        <v>1750</v>
      </c>
      <c r="G199" t="s">
        <v>2133</v>
      </c>
      <c r="H199" s="37" t="s">
        <v>11</v>
      </c>
      <c r="I199" s="37" t="s">
        <v>17</v>
      </c>
      <c r="J199" t="s">
        <v>16</v>
      </c>
      <c r="K199" t="s">
        <v>2983</v>
      </c>
      <c r="L199" t="s">
        <v>3066</v>
      </c>
      <c r="M199" t="s">
        <v>3055</v>
      </c>
      <c r="N199" t="s">
        <v>3040</v>
      </c>
      <c r="O199" s="39" t="s">
        <v>3057</v>
      </c>
      <c r="P199" t="s">
        <v>1606</v>
      </c>
      <c r="Q199" t="s">
        <v>1635</v>
      </c>
      <c r="R199" s="10">
        <v>5107.9907999999996</v>
      </c>
      <c r="S199" t="s">
        <v>1606</v>
      </c>
      <c r="T199" t="s">
        <v>1865</v>
      </c>
    </row>
    <row r="200" spans="1:20" hidden="1" x14ac:dyDescent="0.25">
      <c r="A200">
        <v>2023</v>
      </c>
      <c r="B200" t="s">
        <v>1537</v>
      </c>
      <c r="C200" t="s">
        <v>39</v>
      </c>
      <c r="D200" t="s">
        <v>1587</v>
      </c>
      <c r="F200" t="s">
        <v>1750</v>
      </c>
      <c r="G200" t="s">
        <v>2133</v>
      </c>
      <c r="H200" s="37" t="s">
        <v>11</v>
      </c>
      <c r="I200" s="37" t="s">
        <v>17</v>
      </c>
      <c r="J200" t="s">
        <v>16</v>
      </c>
      <c r="K200" t="s">
        <v>2983</v>
      </c>
      <c r="L200" t="s">
        <v>3066</v>
      </c>
      <c r="M200" t="s">
        <v>3055</v>
      </c>
      <c r="N200" t="s">
        <v>3040</v>
      </c>
      <c r="O200" s="39" t="s">
        <v>3057</v>
      </c>
      <c r="P200" t="s">
        <v>1607</v>
      </c>
      <c r="Q200" t="s">
        <v>1635</v>
      </c>
      <c r="R200" s="10">
        <v>112774.455094777</v>
      </c>
      <c r="S200" t="s">
        <v>1607</v>
      </c>
      <c r="T200" t="s">
        <v>1865</v>
      </c>
    </row>
    <row r="201" spans="1:20" hidden="1" x14ac:dyDescent="0.25">
      <c r="A201">
        <v>2023</v>
      </c>
      <c r="B201" t="s">
        <v>1537</v>
      </c>
      <c r="C201" t="s">
        <v>39</v>
      </c>
      <c r="D201" t="s">
        <v>1587</v>
      </c>
      <c r="F201" t="s">
        <v>1750</v>
      </c>
      <c r="G201" t="s">
        <v>2133</v>
      </c>
      <c r="H201" s="37" t="s">
        <v>11</v>
      </c>
      <c r="I201" s="37" t="s">
        <v>17</v>
      </c>
      <c r="J201" t="s">
        <v>16</v>
      </c>
      <c r="K201" t="s">
        <v>2983</v>
      </c>
      <c r="L201" t="s">
        <v>3066</v>
      </c>
      <c r="M201" t="s">
        <v>3054</v>
      </c>
      <c r="N201" t="s">
        <v>3158</v>
      </c>
      <c r="O201" s="39" t="s">
        <v>3043</v>
      </c>
      <c r="P201" t="s">
        <v>707</v>
      </c>
      <c r="Q201" t="s">
        <v>1546</v>
      </c>
      <c r="R201" s="26">
        <v>0.06</v>
      </c>
      <c r="T201" t="s">
        <v>1865</v>
      </c>
    </row>
    <row r="202" spans="1:20" hidden="1" x14ac:dyDescent="0.25">
      <c r="A202">
        <v>2023</v>
      </c>
      <c r="B202" t="s">
        <v>1537</v>
      </c>
      <c r="C202" t="s">
        <v>39</v>
      </c>
      <c r="D202" t="s">
        <v>1587</v>
      </c>
      <c r="F202" t="s">
        <v>1750</v>
      </c>
      <c r="G202" t="s">
        <v>2133</v>
      </c>
      <c r="H202" s="37" t="s">
        <v>11</v>
      </c>
      <c r="I202" s="37" t="s">
        <v>17</v>
      </c>
      <c r="J202" t="s">
        <v>16</v>
      </c>
      <c r="K202" t="s">
        <v>2983</v>
      </c>
      <c r="L202" t="s">
        <v>3066</v>
      </c>
      <c r="M202" t="s">
        <v>3054</v>
      </c>
      <c r="N202" t="s">
        <v>3157</v>
      </c>
      <c r="O202" s="39" t="s">
        <v>3045</v>
      </c>
      <c r="P202" t="s">
        <v>707</v>
      </c>
      <c r="Q202" t="s">
        <v>1546</v>
      </c>
      <c r="R202" s="26">
        <v>0.09</v>
      </c>
      <c r="T202" t="s">
        <v>1865</v>
      </c>
    </row>
    <row r="203" spans="1:20" hidden="1" x14ac:dyDescent="0.25">
      <c r="A203">
        <v>2023</v>
      </c>
      <c r="B203" t="s">
        <v>1537</v>
      </c>
      <c r="C203" t="s">
        <v>39</v>
      </c>
      <c r="D203" t="s">
        <v>1587</v>
      </c>
      <c r="F203" t="s">
        <v>1750</v>
      </c>
      <c r="G203" t="s">
        <v>2133</v>
      </c>
      <c r="H203" s="37" t="s">
        <v>11</v>
      </c>
      <c r="I203" s="37" t="s">
        <v>17</v>
      </c>
      <c r="J203" t="s">
        <v>16</v>
      </c>
      <c r="K203" t="s">
        <v>2983</v>
      </c>
      <c r="L203" t="s">
        <v>3066</v>
      </c>
      <c r="M203" t="s">
        <v>3055</v>
      </c>
      <c r="N203" t="s">
        <v>1636</v>
      </c>
      <c r="O203" s="39" t="s">
        <v>3059</v>
      </c>
      <c r="P203" t="s">
        <v>707</v>
      </c>
      <c r="Q203" t="s">
        <v>1546</v>
      </c>
      <c r="R203" s="26">
        <v>113.09</v>
      </c>
      <c r="T203" t="s">
        <v>1865</v>
      </c>
    </row>
    <row r="204" spans="1:20" hidden="1" x14ac:dyDescent="0.25">
      <c r="A204">
        <v>2023</v>
      </c>
      <c r="B204" t="s">
        <v>1537</v>
      </c>
      <c r="C204" t="s">
        <v>39</v>
      </c>
      <c r="D204" t="s">
        <v>1587</v>
      </c>
      <c r="F204" t="s">
        <v>1750</v>
      </c>
      <c r="G204" t="s">
        <v>2133</v>
      </c>
      <c r="H204" s="37" t="s">
        <v>11</v>
      </c>
      <c r="I204" s="37" t="s">
        <v>17</v>
      </c>
      <c r="J204" t="s">
        <v>16</v>
      </c>
      <c r="K204" t="s">
        <v>2983</v>
      </c>
      <c r="L204" t="s">
        <v>3066</v>
      </c>
      <c r="M204" t="s">
        <v>3055</v>
      </c>
      <c r="N204" t="s">
        <v>3160</v>
      </c>
      <c r="O204" s="39" t="s">
        <v>3074</v>
      </c>
      <c r="P204" t="s">
        <v>707</v>
      </c>
      <c r="Q204" t="s">
        <v>1546</v>
      </c>
      <c r="R204" s="26">
        <v>25.99</v>
      </c>
      <c r="T204" t="s">
        <v>1865</v>
      </c>
    </row>
    <row r="205" spans="1:20" hidden="1" x14ac:dyDescent="0.25">
      <c r="A205">
        <v>2023</v>
      </c>
      <c r="B205" t="s">
        <v>1537</v>
      </c>
      <c r="C205" t="s">
        <v>39</v>
      </c>
      <c r="D205" t="s">
        <v>1587</v>
      </c>
      <c r="F205" t="s">
        <v>1750</v>
      </c>
      <c r="G205" t="s">
        <v>2133</v>
      </c>
      <c r="H205" s="37" t="s">
        <v>11</v>
      </c>
      <c r="I205" s="37" t="s">
        <v>17</v>
      </c>
      <c r="J205" t="s">
        <v>16</v>
      </c>
      <c r="K205" t="s">
        <v>2983</v>
      </c>
      <c r="L205" t="s">
        <v>3066</v>
      </c>
      <c r="M205" t="s">
        <v>3055</v>
      </c>
      <c r="N205" t="s">
        <v>3075</v>
      </c>
      <c r="O205" s="39" t="s">
        <v>3076</v>
      </c>
      <c r="P205" t="s">
        <v>707</v>
      </c>
      <c r="Q205" t="s">
        <v>1546</v>
      </c>
      <c r="R205" s="26">
        <v>13.74</v>
      </c>
      <c r="T205" t="s">
        <v>1865</v>
      </c>
    </row>
    <row r="206" spans="1:20" hidden="1" x14ac:dyDescent="0.25">
      <c r="A206">
        <v>2023</v>
      </c>
      <c r="B206" t="s">
        <v>1537</v>
      </c>
      <c r="C206" t="s">
        <v>39</v>
      </c>
      <c r="D206" t="s">
        <v>1587</v>
      </c>
      <c r="F206" t="s">
        <v>1750</v>
      </c>
      <c r="G206" t="s">
        <v>2133</v>
      </c>
      <c r="H206" s="37" t="s">
        <v>11</v>
      </c>
      <c r="I206" s="37" t="s">
        <v>17</v>
      </c>
      <c r="J206" t="s">
        <v>16</v>
      </c>
      <c r="K206" t="s">
        <v>2983</v>
      </c>
      <c r="L206" t="s">
        <v>3066</v>
      </c>
      <c r="M206" t="s">
        <v>3055</v>
      </c>
      <c r="N206" t="s">
        <v>1637</v>
      </c>
      <c r="O206" s="39" t="s">
        <v>3063</v>
      </c>
      <c r="P206" t="s">
        <v>707</v>
      </c>
      <c r="Q206" t="s">
        <v>1546</v>
      </c>
      <c r="R206" s="26">
        <v>0.44</v>
      </c>
      <c r="T206" t="s">
        <v>1865</v>
      </c>
    </row>
    <row r="207" spans="1:20" ht="14.45" hidden="1" customHeight="1" x14ac:dyDescent="0.25">
      <c r="A207">
        <v>2023</v>
      </c>
      <c r="B207" t="s">
        <v>1537</v>
      </c>
      <c r="C207" t="s">
        <v>39</v>
      </c>
      <c r="D207" t="s">
        <v>1587</v>
      </c>
      <c r="F207" t="s">
        <v>1750</v>
      </c>
      <c r="G207" t="s">
        <v>2133</v>
      </c>
      <c r="H207" s="37" t="s">
        <v>11</v>
      </c>
      <c r="I207" s="37" t="s">
        <v>17</v>
      </c>
      <c r="J207" t="s">
        <v>16</v>
      </c>
      <c r="K207" t="s">
        <v>2982</v>
      </c>
      <c r="L207" t="s">
        <v>3068</v>
      </c>
      <c r="M207" t="s">
        <v>3055</v>
      </c>
      <c r="N207" t="s">
        <v>2982</v>
      </c>
      <c r="O207" s="39" t="s">
        <v>3058</v>
      </c>
      <c r="P207" t="s">
        <v>1616</v>
      </c>
      <c r="Q207" t="s">
        <v>1617</v>
      </c>
      <c r="R207" s="10">
        <v>5314.0829729999996</v>
      </c>
      <c r="S207" s="27" t="s">
        <v>1745</v>
      </c>
      <c r="T207" t="s">
        <v>1865</v>
      </c>
    </row>
    <row r="208" spans="1:20" ht="14.45" hidden="1" customHeight="1" x14ac:dyDescent="0.25">
      <c r="A208">
        <v>2023</v>
      </c>
      <c r="B208" t="s">
        <v>1537</v>
      </c>
      <c r="C208" t="s">
        <v>39</v>
      </c>
      <c r="D208" t="s">
        <v>1587</v>
      </c>
      <c r="F208" t="s">
        <v>1750</v>
      </c>
      <c r="G208" t="s">
        <v>2133</v>
      </c>
      <c r="H208" s="37" t="s">
        <v>11</v>
      </c>
      <c r="I208" s="37" t="s">
        <v>17</v>
      </c>
      <c r="J208" t="s">
        <v>16</v>
      </c>
      <c r="K208" t="s">
        <v>2982</v>
      </c>
      <c r="L208" t="s">
        <v>3069</v>
      </c>
      <c r="M208" t="s">
        <v>3055</v>
      </c>
      <c r="N208" t="s">
        <v>2982</v>
      </c>
      <c r="O208" s="39" t="s">
        <v>3058</v>
      </c>
      <c r="P208" s="27" t="s">
        <v>1676</v>
      </c>
      <c r="Q208" t="s">
        <v>1617</v>
      </c>
      <c r="R208" s="10">
        <v>9170.5809000000008</v>
      </c>
      <c r="S208" s="27" t="s">
        <v>1676</v>
      </c>
      <c r="T208" t="s">
        <v>1865</v>
      </c>
    </row>
    <row r="209" spans="1:20" hidden="1" x14ac:dyDescent="0.25">
      <c r="A209">
        <v>2023</v>
      </c>
      <c r="B209" t="s">
        <v>1537</v>
      </c>
      <c r="C209" t="s">
        <v>39</v>
      </c>
      <c r="D209" t="s">
        <v>1587</v>
      </c>
      <c r="F209" t="s">
        <v>1750</v>
      </c>
      <c r="G209" t="s">
        <v>2133</v>
      </c>
      <c r="H209" s="37" t="s">
        <v>11</v>
      </c>
      <c r="I209" s="37" t="s">
        <v>17</v>
      </c>
      <c r="J209" t="s">
        <v>16</v>
      </c>
      <c r="K209" t="s">
        <v>2981</v>
      </c>
      <c r="L209" t="s">
        <v>3067</v>
      </c>
      <c r="O209" s="39"/>
      <c r="P209" t="s">
        <v>1734</v>
      </c>
      <c r="Q209" t="s">
        <v>1629</v>
      </c>
      <c r="R209" s="10">
        <v>2784.23</v>
      </c>
      <c r="S209" t="s">
        <v>1734</v>
      </c>
      <c r="T209" t="s">
        <v>1865</v>
      </c>
    </row>
    <row r="210" spans="1:20" hidden="1" x14ac:dyDescent="0.25">
      <c r="A210">
        <v>2023</v>
      </c>
      <c r="B210" t="s">
        <v>1537</v>
      </c>
      <c r="C210" t="s">
        <v>39</v>
      </c>
      <c r="D210" t="s">
        <v>1587</v>
      </c>
      <c r="F210" t="s">
        <v>1750</v>
      </c>
      <c r="G210" t="s">
        <v>2133</v>
      </c>
      <c r="H210" s="37" t="s">
        <v>11</v>
      </c>
      <c r="I210" s="37" t="s">
        <v>17</v>
      </c>
      <c r="J210" t="s">
        <v>16</v>
      </c>
      <c r="K210" t="s">
        <v>2982</v>
      </c>
      <c r="L210" t="s">
        <v>3070</v>
      </c>
      <c r="M210" t="s">
        <v>3055</v>
      </c>
      <c r="N210" t="s">
        <v>2982</v>
      </c>
      <c r="O210" s="39" t="s">
        <v>3058</v>
      </c>
      <c r="P210" t="s">
        <v>1639</v>
      </c>
      <c r="Q210" t="s">
        <v>1617</v>
      </c>
      <c r="R210" s="10">
        <v>4907.8186729999998</v>
      </c>
      <c r="S210" s="27" t="s">
        <v>1746</v>
      </c>
      <c r="T210" t="s">
        <v>1865</v>
      </c>
    </row>
    <row r="211" spans="1:20" hidden="1" x14ac:dyDescent="0.25">
      <c r="A211">
        <v>2023</v>
      </c>
      <c r="B211" t="s">
        <v>772</v>
      </c>
      <c r="C211" t="s">
        <v>755</v>
      </c>
      <c r="D211" t="s">
        <v>76</v>
      </c>
      <c r="E211" t="s">
        <v>1314</v>
      </c>
      <c r="G211" t="s">
        <v>2132</v>
      </c>
      <c r="H211" s="37" t="s">
        <v>11</v>
      </c>
      <c r="I211" s="37" t="s">
        <v>13</v>
      </c>
      <c r="J211" t="s">
        <v>64</v>
      </c>
      <c r="K211" t="s">
        <v>2983</v>
      </c>
      <c r="L211" t="s">
        <v>3066</v>
      </c>
      <c r="M211" t="s">
        <v>3055</v>
      </c>
      <c r="N211" t="s">
        <v>3040</v>
      </c>
      <c r="O211" s="39" t="s">
        <v>3057</v>
      </c>
      <c r="P211" t="s">
        <v>1605</v>
      </c>
      <c r="Q211" t="s">
        <v>1635</v>
      </c>
      <c r="R211" s="10">
        <v>127029</v>
      </c>
      <c r="S211" t="s">
        <v>1605</v>
      </c>
      <c r="T211" t="s">
        <v>1864</v>
      </c>
    </row>
    <row r="212" spans="1:20" hidden="1" x14ac:dyDescent="0.25">
      <c r="A212">
        <v>2023</v>
      </c>
      <c r="B212" t="s">
        <v>772</v>
      </c>
      <c r="C212" t="s">
        <v>755</v>
      </c>
      <c r="D212" t="s">
        <v>76</v>
      </c>
      <c r="E212" t="s">
        <v>1314</v>
      </c>
      <c r="G212" t="s">
        <v>2132</v>
      </c>
      <c r="H212" s="37" t="s">
        <v>11</v>
      </c>
      <c r="I212" s="37" t="s">
        <v>13</v>
      </c>
      <c r="J212" t="s">
        <v>64</v>
      </c>
      <c r="K212" t="s">
        <v>2983</v>
      </c>
      <c r="L212" t="s">
        <v>3066</v>
      </c>
      <c r="M212" t="s">
        <v>3055</v>
      </c>
      <c r="N212" t="s">
        <v>3040</v>
      </c>
      <c r="O212" s="39" t="s">
        <v>3057</v>
      </c>
      <c r="P212" t="s">
        <v>1606</v>
      </c>
      <c r="Q212" t="s">
        <v>1635</v>
      </c>
      <c r="R212" s="10">
        <v>12459</v>
      </c>
      <c r="S212" t="s">
        <v>1606</v>
      </c>
      <c r="T212" t="s">
        <v>1864</v>
      </c>
    </row>
    <row r="213" spans="1:20" hidden="1" x14ac:dyDescent="0.25">
      <c r="A213">
        <v>2023</v>
      </c>
      <c r="B213" t="s">
        <v>772</v>
      </c>
      <c r="C213" t="s">
        <v>755</v>
      </c>
      <c r="D213" t="s">
        <v>76</v>
      </c>
      <c r="E213" t="s">
        <v>1314</v>
      </c>
      <c r="G213" t="s">
        <v>2132</v>
      </c>
      <c r="H213" s="37" t="s">
        <v>11</v>
      </c>
      <c r="I213" s="37" t="s">
        <v>13</v>
      </c>
      <c r="J213" t="s">
        <v>64</v>
      </c>
      <c r="K213" t="s">
        <v>2981</v>
      </c>
      <c r="L213" t="s">
        <v>3067</v>
      </c>
      <c r="O213" s="39"/>
      <c r="P213" t="s">
        <v>1708</v>
      </c>
      <c r="Q213" t="s">
        <v>1629</v>
      </c>
      <c r="R213" s="10">
        <v>3019.4</v>
      </c>
      <c r="S213" t="s">
        <v>1708</v>
      </c>
      <c r="T213" t="s">
        <v>1864</v>
      </c>
    </row>
    <row r="214" spans="1:20" hidden="1" x14ac:dyDescent="0.25">
      <c r="A214">
        <v>2023</v>
      </c>
      <c r="B214" t="s">
        <v>772</v>
      </c>
      <c r="C214" t="s">
        <v>755</v>
      </c>
      <c r="D214" t="s">
        <v>76</v>
      </c>
      <c r="E214" t="s">
        <v>1314</v>
      </c>
      <c r="G214" t="s">
        <v>2132</v>
      </c>
      <c r="H214" s="37" t="s">
        <v>11</v>
      </c>
      <c r="I214" s="37" t="s">
        <v>13</v>
      </c>
      <c r="J214" t="s">
        <v>64</v>
      </c>
      <c r="K214" t="s">
        <v>2982</v>
      </c>
      <c r="L214" t="s">
        <v>3069</v>
      </c>
      <c r="M214" t="s">
        <v>3055</v>
      </c>
      <c r="N214" t="s">
        <v>2982</v>
      </c>
      <c r="O214" s="39" t="s">
        <v>3058</v>
      </c>
      <c r="P214" t="s">
        <v>1676</v>
      </c>
      <c r="Q214" t="s">
        <v>1617</v>
      </c>
      <c r="R214" s="10">
        <v>4552.5169999999998</v>
      </c>
      <c r="S214" t="s">
        <v>1686</v>
      </c>
      <c r="T214" t="s">
        <v>1864</v>
      </c>
    </row>
    <row r="215" spans="1:20" hidden="1" x14ac:dyDescent="0.25">
      <c r="A215">
        <v>2023</v>
      </c>
      <c r="B215" t="s">
        <v>772</v>
      </c>
      <c r="C215" t="s">
        <v>755</v>
      </c>
      <c r="D215" t="s">
        <v>76</v>
      </c>
      <c r="E215" t="s">
        <v>1314</v>
      </c>
      <c r="G215" t="s">
        <v>2132</v>
      </c>
      <c r="H215" s="37" t="s">
        <v>11</v>
      </c>
      <c r="I215" s="37" t="s">
        <v>13</v>
      </c>
      <c r="J215" t="s">
        <v>64</v>
      </c>
      <c r="K215" t="s">
        <v>2982</v>
      </c>
      <c r="L215" t="s">
        <v>3070</v>
      </c>
      <c r="M215" t="s">
        <v>3055</v>
      </c>
      <c r="N215" t="s">
        <v>2982</v>
      </c>
      <c r="O215" s="39" t="s">
        <v>3058</v>
      </c>
      <c r="P215" t="s">
        <v>1639</v>
      </c>
      <c r="Q215" t="s">
        <v>1617</v>
      </c>
      <c r="R215" s="10">
        <v>6336.7039999999997</v>
      </c>
      <c r="S215" t="s">
        <v>1687</v>
      </c>
      <c r="T215" t="s">
        <v>1864</v>
      </c>
    </row>
    <row r="216" spans="1:20" hidden="1" x14ac:dyDescent="0.25">
      <c r="A216">
        <v>2023</v>
      </c>
      <c r="B216" t="s">
        <v>772</v>
      </c>
      <c r="C216" t="s">
        <v>755</v>
      </c>
      <c r="D216" t="s">
        <v>76</v>
      </c>
      <c r="E216" t="s">
        <v>1314</v>
      </c>
      <c r="G216" t="s">
        <v>2132</v>
      </c>
      <c r="H216" s="37" t="s">
        <v>11</v>
      </c>
      <c r="I216" s="37" t="s">
        <v>13</v>
      </c>
      <c r="J216" t="s">
        <v>64</v>
      </c>
      <c r="K216" t="s">
        <v>2982</v>
      </c>
      <c r="L216" t="s">
        <v>3068</v>
      </c>
      <c r="M216" t="s">
        <v>3055</v>
      </c>
      <c r="N216" t="s">
        <v>2982</v>
      </c>
      <c r="O216" s="39" t="s">
        <v>3058</v>
      </c>
      <c r="P216" t="s">
        <v>1616</v>
      </c>
      <c r="Q216" t="s">
        <v>1617</v>
      </c>
      <c r="R216" s="10">
        <v>9600.732</v>
      </c>
      <c r="S216" t="s">
        <v>1685</v>
      </c>
      <c r="T216" t="s">
        <v>1864</v>
      </c>
    </row>
    <row r="217" spans="1:20" x14ac:dyDescent="0.25">
      <c r="A217">
        <v>2023</v>
      </c>
      <c r="B217" t="s">
        <v>772</v>
      </c>
      <c r="C217" t="s">
        <v>39</v>
      </c>
      <c r="D217" t="s">
        <v>86</v>
      </c>
      <c r="E217" t="s">
        <v>1322</v>
      </c>
      <c r="G217" t="s">
        <v>2133</v>
      </c>
      <c r="H217" s="37" t="s">
        <v>11</v>
      </c>
      <c r="I217" s="37" t="s">
        <v>19</v>
      </c>
      <c r="J217" t="s">
        <v>84</v>
      </c>
      <c r="K217" t="s">
        <v>2983</v>
      </c>
      <c r="L217" t="s">
        <v>3066</v>
      </c>
      <c r="M217" t="s">
        <v>3055</v>
      </c>
      <c r="N217" t="s">
        <v>3040</v>
      </c>
      <c r="O217" s="39" t="s">
        <v>3057</v>
      </c>
      <c r="P217" t="s">
        <v>1605</v>
      </c>
      <c r="Q217" t="s">
        <v>1635</v>
      </c>
      <c r="R217" s="10">
        <v>112383.583535172</v>
      </c>
      <c r="S217" t="s">
        <v>1605</v>
      </c>
      <c r="T217" t="s">
        <v>1865</v>
      </c>
    </row>
    <row r="218" spans="1:20" x14ac:dyDescent="0.25">
      <c r="A218">
        <v>2023</v>
      </c>
      <c r="B218" t="s">
        <v>772</v>
      </c>
      <c r="C218" t="s">
        <v>39</v>
      </c>
      <c r="D218" t="s">
        <v>86</v>
      </c>
      <c r="E218" t="s">
        <v>1322</v>
      </c>
      <c r="G218" t="s">
        <v>2133</v>
      </c>
      <c r="H218" s="37" t="s">
        <v>11</v>
      </c>
      <c r="I218" s="37" t="s">
        <v>19</v>
      </c>
      <c r="J218" t="s">
        <v>84</v>
      </c>
      <c r="K218" t="s">
        <v>2983</v>
      </c>
      <c r="L218" t="s">
        <v>3066</v>
      </c>
      <c r="M218" t="s">
        <v>3055</v>
      </c>
      <c r="N218" t="s">
        <v>3040</v>
      </c>
      <c r="O218" s="39" t="s">
        <v>3057</v>
      </c>
      <c r="P218" t="s">
        <v>1606</v>
      </c>
      <c r="Q218" t="s">
        <v>1635</v>
      </c>
      <c r="R218" s="10">
        <v>2584.5738038</v>
      </c>
      <c r="S218" t="s">
        <v>1606</v>
      </c>
      <c r="T218" t="s">
        <v>1865</v>
      </c>
    </row>
    <row r="219" spans="1:20" x14ac:dyDescent="0.25">
      <c r="A219">
        <v>2023</v>
      </c>
      <c r="B219" t="s">
        <v>772</v>
      </c>
      <c r="C219" t="s">
        <v>39</v>
      </c>
      <c r="D219" t="s">
        <v>86</v>
      </c>
      <c r="E219" t="s">
        <v>1322</v>
      </c>
      <c r="G219" t="s">
        <v>2133</v>
      </c>
      <c r="H219" s="37" t="s">
        <v>11</v>
      </c>
      <c r="I219" s="37" t="s">
        <v>19</v>
      </c>
      <c r="J219" t="s">
        <v>84</v>
      </c>
      <c r="K219" t="s">
        <v>2983</v>
      </c>
      <c r="L219" t="s">
        <v>3066</v>
      </c>
      <c r="M219" t="s">
        <v>3055</v>
      </c>
      <c r="N219" t="s">
        <v>3040</v>
      </c>
      <c r="O219" s="39" t="s">
        <v>3057</v>
      </c>
      <c r="P219" t="s">
        <v>1607</v>
      </c>
      <c r="Q219" t="s">
        <v>1635</v>
      </c>
      <c r="R219" s="10">
        <v>226738.87675832701</v>
      </c>
      <c r="S219" t="s">
        <v>1607</v>
      </c>
      <c r="T219" t="s">
        <v>1865</v>
      </c>
    </row>
    <row r="220" spans="1:20" x14ac:dyDescent="0.25">
      <c r="A220">
        <v>2023</v>
      </c>
      <c r="B220" t="s">
        <v>772</v>
      </c>
      <c r="C220" t="s">
        <v>39</v>
      </c>
      <c r="D220" t="s">
        <v>86</v>
      </c>
      <c r="E220" t="s">
        <v>1322</v>
      </c>
      <c r="G220" t="s">
        <v>2133</v>
      </c>
      <c r="H220" s="37" t="s">
        <v>11</v>
      </c>
      <c r="I220" s="37" t="s">
        <v>19</v>
      </c>
      <c r="J220" t="s">
        <v>84</v>
      </c>
      <c r="K220" t="s">
        <v>2982</v>
      </c>
      <c r="L220" t="s">
        <v>3068</v>
      </c>
      <c r="M220" t="s">
        <v>3055</v>
      </c>
      <c r="N220" t="s">
        <v>2982</v>
      </c>
      <c r="O220" s="39" t="s">
        <v>3058</v>
      </c>
      <c r="P220" t="s">
        <v>1616</v>
      </c>
      <c r="Q220" t="s">
        <v>1617</v>
      </c>
      <c r="R220" s="10">
        <v>1042</v>
      </c>
      <c r="S220" t="s">
        <v>1616</v>
      </c>
      <c r="T220" t="s">
        <v>1865</v>
      </c>
    </row>
    <row r="221" spans="1:20" hidden="1" x14ac:dyDescent="0.25">
      <c r="A221">
        <v>2024</v>
      </c>
      <c r="B221" t="s">
        <v>772</v>
      </c>
      <c r="C221" t="s">
        <v>798</v>
      </c>
      <c r="D221" t="s">
        <v>71</v>
      </c>
      <c r="E221" t="s">
        <v>1215</v>
      </c>
      <c r="G221" t="s">
        <v>2067</v>
      </c>
      <c r="H221" s="37" t="s">
        <v>11</v>
      </c>
      <c r="I221" s="37" t="s">
        <v>13</v>
      </c>
      <c r="J221" t="s">
        <v>64</v>
      </c>
      <c r="K221" t="s">
        <v>2983</v>
      </c>
      <c r="L221" t="s">
        <v>3066</v>
      </c>
      <c r="M221" t="s">
        <v>3054</v>
      </c>
      <c r="N221" t="s">
        <v>3161</v>
      </c>
      <c r="O221" s="39" t="s">
        <v>3042</v>
      </c>
      <c r="P221" t="s">
        <v>707</v>
      </c>
      <c r="Q221" s="10" t="s">
        <v>1546</v>
      </c>
      <c r="R221" s="10">
        <v>1079.77</v>
      </c>
      <c r="T221" t="s">
        <v>1824</v>
      </c>
    </row>
    <row r="222" spans="1:20" hidden="1" x14ac:dyDescent="0.25">
      <c r="A222">
        <v>2024</v>
      </c>
      <c r="B222" t="s">
        <v>772</v>
      </c>
      <c r="C222" t="s">
        <v>798</v>
      </c>
      <c r="D222" t="s">
        <v>71</v>
      </c>
      <c r="E222" t="s">
        <v>1215</v>
      </c>
      <c r="G222" t="s">
        <v>2067</v>
      </c>
      <c r="H222" s="37" t="s">
        <v>11</v>
      </c>
      <c r="I222" s="37" t="s">
        <v>13</v>
      </c>
      <c r="J222" t="s">
        <v>64</v>
      </c>
      <c r="K222" t="s">
        <v>2983</v>
      </c>
      <c r="L222" t="s">
        <v>3066</v>
      </c>
      <c r="M222" t="s">
        <v>3055</v>
      </c>
      <c r="N222" t="s">
        <v>3040</v>
      </c>
      <c r="O222" s="39" t="s">
        <v>3057</v>
      </c>
      <c r="P222" t="s">
        <v>1605</v>
      </c>
      <c r="Q222" s="10" t="s">
        <v>1635</v>
      </c>
      <c r="R222" s="10">
        <v>25750.747165017401</v>
      </c>
      <c r="S222" t="s">
        <v>1605</v>
      </c>
      <c r="T222" t="s">
        <v>1824</v>
      </c>
    </row>
    <row r="223" spans="1:20" hidden="1" x14ac:dyDescent="0.25">
      <c r="A223">
        <v>2024</v>
      </c>
      <c r="B223" t="s">
        <v>772</v>
      </c>
      <c r="C223" t="s">
        <v>798</v>
      </c>
      <c r="D223" t="s">
        <v>71</v>
      </c>
      <c r="E223" t="s">
        <v>1215</v>
      </c>
      <c r="G223" t="s">
        <v>2067</v>
      </c>
      <c r="H223" s="37" t="s">
        <v>11</v>
      </c>
      <c r="I223" s="37" t="s">
        <v>13</v>
      </c>
      <c r="J223" t="s">
        <v>64</v>
      </c>
      <c r="K223" t="s">
        <v>2983</v>
      </c>
      <c r="L223" t="s">
        <v>3066</v>
      </c>
      <c r="M223" t="s">
        <v>3055</v>
      </c>
      <c r="N223" t="s">
        <v>3040</v>
      </c>
      <c r="O223" s="39" t="s">
        <v>3057</v>
      </c>
      <c r="P223" t="s">
        <v>1606</v>
      </c>
      <c r="Q223" s="10" t="s">
        <v>1635</v>
      </c>
      <c r="R223" s="10">
        <v>7448.9593307550003</v>
      </c>
      <c r="S223" t="s">
        <v>1606</v>
      </c>
      <c r="T223" t="s">
        <v>1824</v>
      </c>
    </row>
    <row r="224" spans="1:20" hidden="1" x14ac:dyDescent="0.25">
      <c r="A224">
        <v>2024</v>
      </c>
      <c r="B224" t="s">
        <v>772</v>
      </c>
      <c r="C224" t="s">
        <v>798</v>
      </c>
      <c r="D224" t="s">
        <v>71</v>
      </c>
      <c r="E224" t="s">
        <v>1215</v>
      </c>
      <c r="G224" t="s">
        <v>2067</v>
      </c>
      <c r="H224" s="37" t="s">
        <v>11</v>
      </c>
      <c r="I224" s="37" t="s">
        <v>13</v>
      </c>
      <c r="J224" t="s">
        <v>64</v>
      </c>
      <c r="K224" t="s">
        <v>2983</v>
      </c>
      <c r="L224" t="s">
        <v>3066</v>
      </c>
      <c r="M224" t="s">
        <v>3054</v>
      </c>
      <c r="N224" t="s">
        <v>3158</v>
      </c>
      <c r="O224" s="39" t="s">
        <v>3043</v>
      </c>
      <c r="P224" t="s">
        <v>707</v>
      </c>
      <c r="Q224" s="10" t="s">
        <v>1546</v>
      </c>
      <c r="R224" s="10">
        <v>2.0605599999999998E-2</v>
      </c>
      <c r="T224" t="s">
        <v>1824</v>
      </c>
    </row>
    <row r="225" spans="1:20" hidden="1" x14ac:dyDescent="0.25">
      <c r="A225">
        <v>2024</v>
      </c>
      <c r="B225" t="s">
        <v>772</v>
      </c>
      <c r="C225" t="s">
        <v>798</v>
      </c>
      <c r="D225" t="s">
        <v>71</v>
      </c>
      <c r="E225" t="s">
        <v>1215</v>
      </c>
      <c r="G225" t="s">
        <v>2067</v>
      </c>
      <c r="H225" s="37" t="s">
        <v>11</v>
      </c>
      <c r="I225" s="37" t="s">
        <v>13</v>
      </c>
      <c r="J225" t="s">
        <v>64</v>
      </c>
      <c r="K225" t="s">
        <v>2983</v>
      </c>
      <c r="L225" t="s">
        <v>3066</v>
      </c>
      <c r="M225" t="s">
        <v>3054</v>
      </c>
      <c r="N225" t="s">
        <v>3157</v>
      </c>
      <c r="O225" s="39" t="s">
        <v>3045</v>
      </c>
      <c r="P225" t="s">
        <v>707</v>
      </c>
      <c r="Q225" s="10" t="s">
        <v>1546</v>
      </c>
      <c r="R225" s="10">
        <v>1.3560000000000001E-2</v>
      </c>
      <c r="T225" t="s">
        <v>1824</v>
      </c>
    </row>
    <row r="226" spans="1:20" hidden="1" x14ac:dyDescent="0.25">
      <c r="A226">
        <v>2024</v>
      </c>
      <c r="B226" t="s">
        <v>772</v>
      </c>
      <c r="C226" t="s">
        <v>798</v>
      </c>
      <c r="D226" t="s">
        <v>71</v>
      </c>
      <c r="E226" t="s">
        <v>1215</v>
      </c>
      <c r="G226" t="s">
        <v>2067</v>
      </c>
      <c r="H226" s="37" t="s">
        <v>11</v>
      </c>
      <c r="I226" s="37" t="s">
        <v>13</v>
      </c>
      <c r="J226" t="s">
        <v>64</v>
      </c>
      <c r="K226" t="s">
        <v>2983</v>
      </c>
      <c r="L226" t="s">
        <v>3066</v>
      </c>
      <c r="M226" t="s">
        <v>3055</v>
      </c>
      <c r="N226" t="s">
        <v>1636</v>
      </c>
      <c r="O226" s="39" t="s">
        <v>3059</v>
      </c>
      <c r="P226" t="s">
        <v>707</v>
      </c>
      <c r="Q226" s="10" t="s">
        <v>1546</v>
      </c>
      <c r="R226" s="10">
        <v>17.687999999999999</v>
      </c>
      <c r="T226" t="s">
        <v>1824</v>
      </c>
    </row>
    <row r="227" spans="1:20" hidden="1" x14ac:dyDescent="0.25">
      <c r="A227">
        <v>2024</v>
      </c>
      <c r="B227" t="s">
        <v>772</v>
      </c>
      <c r="C227" t="s">
        <v>798</v>
      </c>
      <c r="D227" t="s">
        <v>71</v>
      </c>
      <c r="E227" t="s">
        <v>1215</v>
      </c>
      <c r="G227" t="s">
        <v>2067</v>
      </c>
      <c r="H227" s="37" t="s">
        <v>11</v>
      </c>
      <c r="I227" s="37" t="s">
        <v>13</v>
      </c>
      <c r="J227" t="s">
        <v>64</v>
      </c>
      <c r="K227" t="s">
        <v>2983</v>
      </c>
      <c r="L227" t="s">
        <v>3066</v>
      </c>
      <c r="M227" t="s">
        <v>3055</v>
      </c>
      <c r="N227" t="s">
        <v>3160</v>
      </c>
      <c r="O227" s="39" t="s">
        <v>3074</v>
      </c>
      <c r="P227" t="s">
        <v>707</v>
      </c>
      <c r="Q227" s="10" t="s">
        <v>1546</v>
      </c>
      <c r="R227" s="10">
        <v>126.5</v>
      </c>
      <c r="T227" t="s">
        <v>1824</v>
      </c>
    </row>
    <row r="228" spans="1:20" hidden="1" x14ac:dyDescent="0.25">
      <c r="A228">
        <v>2024</v>
      </c>
      <c r="B228" t="s">
        <v>772</v>
      </c>
      <c r="C228" t="s">
        <v>798</v>
      </c>
      <c r="D228" t="s">
        <v>71</v>
      </c>
      <c r="E228" t="s">
        <v>1215</v>
      </c>
      <c r="G228" t="s">
        <v>2067</v>
      </c>
      <c r="H228" s="37" t="s">
        <v>11</v>
      </c>
      <c r="I228" s="37" t="s">
        <v>13</v>
      </c>
      <c r="J228" t="s">
        <v>64</v>
      </c>
      <c r="K228" t="s">
        <v>2983</v>
      </c>
      <c r="L228" t="s">
        <v>3066</v>
      </c>
      <c r="M228" t="s">
        <v>3055</v>
      </c>
      <c r="N228" t="s">
        <v>3075</v>
      </c>
      <c r="O228" s="39" t="s">
        <v>3076</v>
      </c>
      <c r="P228" t="s">
        <v>707</v>
      </c>
      <c r="Q228" s="10" t="s">
        <v>1546</v>
      </c>
      <c r="R228" s="10">
        <v>112.97</v>
      </c>
      <c r="T228" t="s">
        <v>1824</v>
      </c>
    </row>
    <row r="229" spans="1:20" hidden="1" x14ac:dyDescent="0.25">
      <c r="A229">
        <v>2024</v>
      </c>
      <c r="B229" t="s">
        <v>772</v>
      </c>
      <c r="C229" t="s">
        <v>798</v>
      </c>
      <c r="D229" t="s">
        <v>71</v>
      </c>
      <c r="E229" t="s">
        <v>1215</v>
      </c>
      <c r="G229" t="s">
        <v>2067</v>
      </c>
      <c r="H229" s="37" t="s">
        <v>11</v>
      </c>
      <c r="I229" s="37" t="s">
        <v>13</v>
      </c>
      <c r="J229" t="s">
        <v>64</v>
      </c>
      <c r="K229" t="s">
        <v>2983</v>
      </c>
      <c r="L229" t="s">
        <v>3066</v>
      </c>
      <c r="M229" t="s">
        <v>3055</v>
      </c>
      <c r="N229" t="s">
        <v>1637</v>
      </c>
      <c r="O229" s="39" t="s">
        <v>3063</v>
      </c>
      <c r="P229" t="s">
        <v>707</v>
      </c>
      <c r="Q229" s="10" t="s">
        <v>1546</v>
      </c>
      <c r="R229" s="10">
        <v>1.4379999999999999</v>
      </c>
      <c r="T229" t="s">
        <v>1824</v>
      </c>
    </row>
    <row r="230" spans="1:20" hidden="1" x14ac:dyDescent="0.25">
      <c r="A230">
        <v>2024</v>
      </c>
      <c r="B230" t="s">
        <v>772</v>
      </c>
      <c r="C230" t="s">
        <v>798</v>
      </c>
      <c r="D230" t="s">
        <v>71</v>
      </c>
      <c r="E230" t="s">
        <v>1215</v>
      </c>
      <c r="G230" t="s">
        <v>2067</v>
      </c>
      <c r="H230" s="37" t="s">
        <v>11</v>
      </c>
      <c r="I230" s="37" t="s">
        <v>13</v>
      </c>
      <c r="J230" t="s">
        <v>64</v>
      </c>
      <c r="K230" t="s">
        <v>2983</v>
      </c>
      <c r="L230" t="s">
        <v>3066</v>
      </c>
      <c r="M230" t="s">
        <v>3055</v>
      </c>
      <c r="N230" t="s">
        <v>3155</v>
      </c>
      <c r="O230" s="39" t="s">
        <v>3047</v>
      </c>
      <c r="P230" t="s">
        <v>707</v>
      </c>
      <c r="Q230" s="10" t="s">
        <v>1546</v>
      </c>
      <c r="R230" s="10">
        <v>4.7160000000000002</v>
      </c>
      <c r="T230" t="s">
        <v>1824</v>
      </c>
    </row>
    <row r="231" spans="1:20" hidden="1" x14ac:dyDescent="0.25">
      <c r="A231">
        <v>2024</v>
      </c>
      <c r="B231" t="s">
        <v>772</v>
      </c>
      <c r="C231" t="s">
        <v>798</v>
      </c>
      <c r="D231" t="s">
        <v>71</v>
      </c>
      <c r="E231" t="s">
        <v>1215</v>
      </c>
      <c r="G231" t="s">
        <v>2067</v>
      </c>
      <c r="H231" s="37" t="s">
        <v>11</v>
      </c>
      <c r="I231" s="37" t="s">
        <v>13</v>
      </c>
      <c r="J231" t="s">
        <v>64</v>
      </c>
      <c r="K231" t="s">
        <v>2982</v>
      </c>
      <c r="L231" t="s">
        <v>3068</v>
      </c>
      <c r="M231" t="s">
        <v>3055</v>
      </c>
      <c r="N231" t="s">
        <v>2982</v>
      </c>
      <c r="O231" s="39" t="s">
        <v>3058</v>
      </c>
      <c r="P231" t="s">
        <v>1616</v>
      </c>
      <c r="Q231" s="10" t="s">
        <v>1617</v>
      </c>
      <c r="R231" s="10">
        <v>2565</v>
      </c>
      <c r="S231" t="s">
        <v>1616</v>
      </c>
      <c r="T231" t="s">
        <v>1824</v>
      </c>
    </row>
    <row r="232" spans="1:20" hidden="1" x14ac:dyDescent="0.25">
      <c r="A232">
        <v>2024</v>
      </c>
      <c r="B232" t="s">
        <v>772</v>
      </c>
      <c r="C232" t="s">
        <v>798</v>
      </c>
      <c r="D232" t="s">
        <v>71</v>
      </c>
      <c r="E232" t="s">
        <v>1215</v>
      </c>
      <c r="G232" t="s">
        <v>2067</v>
      </c>
      <c r="H232" s="37" t="s">
        <v>11</v>
      </c>
      <c r="I232" s="37" t="s">
        <v>13</v>
      </c>
      <c r="J232" t="s">
        <v>64</v>
      </c>
      <c r="K232" t="s">
        <v>2982</v>
      </c>
      <c r="L232" t="s">
        <v>3070</v>
      </c>
      <c r="M232" t="s">
        <v>3055</v>
      </c>
      <c r="N232" t="s">
        <v>2982</v>
      </c>
      <c r="O232" s="39" t="s">
        <v>3058</v>
      </c>
      <c r="P232" t="s">
        <v>1639</v>
      </c>
      <c r="Q232" s="10" t="s">
        <v>1617</v>
      </c>
      <c r="R232" s="10">
        <v>2565</v>
      </c>
      <c r="S232" t="s">
        <v>1639</v>
      </c>
      <c r="T232" t="s">
        <v>1824</v>
      </c>
    </row>
    <row r="233" spans="1:20" hidden="1" x14ac:dyDescent="0.25">
      <c r="A233">
        <v>2024</v>
      </c>
      <c r="B233" t="s">
        <v>772</v>
      </c>
      <c r="C233" t="s">
        <v>798</v>
      </c>
      <c r="D233" t="s">
        <v>71</v>
      </c>
      <c r="E233" t="s">
        <v>1215</v>
      </c>
      <c r="G233" t="s">
        <v>2067</v>
      </c>
      <c r="H233" s="37" t="s">
        <v>11</v>
      </c>
      <c r="I233" s="37" t="s">
        <v>13</v>
      </c>
      <c r="J233" t="s">
        <v>64</v>
      </c>
      <c r="K233" t="s">
        <v>2982</v>
      </c>
      <c r="L233" t="s">
        <v>3069</v>
      </c>
      <c r="M233" t="s">
        <v>3055</v>
      </c>
      <c r="N233" t="s">
        <v>2982</v>
      </c>
      <c r="O233" s="39" t="s">
        <v>3058</v>
      </c>
      <c r="P233" t="s">
        <v>1676</v>
      </c>
      <c r="Q233" s="10" t="s">
        <v>1815</v>
      </c>
      <c r="R233" s="10">
        <v>1968.4149299999999</v>
      </c>
      <c r="S233" t="s">
        <v>1785</v>
      </c>
      <c r="T233" t="s">
        <v>1824</v>
      </c>
    </row>
    <row r="234" spans="1:20" hidden="1" x14ac:dyDescent="0.25">
      <c r="A234">
        <v>2023</v>
      </c>
      <c r="B234" t="s">
        <v>772</v>
      </c>
      <c r="C234" t="s">
        <v>165</v>
      </c>
      <c r="D234" t="s">
        <v>166</v>
      </c>
      <c r="E234" t="s">
        <v>1392</v>
      </c>
      <c r="G234" t="s">
        <v>2180</v>
      </c>
      <c r="H234" s="37" t="s">
        <v>11</v>
      </c>
      <c r="I234" s="37" t="s">
        <v>19</v>
      </c>
      <c r="J234" t="s">
        <v>157</v>
      </c>
      <c r="K234" t="s">
        <v>2983</v>
      </c>
      <c r="L234" t="s">
        <v>3066</v>
      </c>
      <c r="M234" t="s">
        <v>3055</v>
      </c>
      <c r="N234" t="s">
        <v>3040</v>
      </c>
      <c r="O234" s="39" t="s">
        <v>3057</v>
      </c>
      <c r="P234" t="s">
        <v>1605</v>
      </c>
      <c r="Q234" t="s">
        <v>1635</v>
      </c>
      <c r="R234" s="10">
        <f>70244+31390+1077+858</f>
        <v>103569</v>
      </c>
      <c r="S234" t="s">
        <v>1605</v>
      </c>
      <c r="T234" t="s">
        <v>1927</v>
      </c>
    </row>
    <row r="235" spans="1:20" hidden="1" x14ac:dyDescent="0.25">
      <c r="A235">
        <v>2023</v>
      </c>
      <c r="B235" t="s">
        <v>772</v>
      </c>
      <c r="C235" t="s">
        <v>165</v>
      </c>
      <c r="D235" t="s">
        <v>166</v>
      </c>
      <c r="E235" t="s">
        <v>1392</v>
      </c>
      <c r="G235" t="s">
        <v>2180</v>
      </c>
      <c r="H235" s="37" t="s">
        <v>11</v>
      </c>
      <c r="I235" s="37" t="s">
        <v>19</v>
      </c>
      <c r="J235" t="s">
        <v>157</v>
      </c>
      <c r="K235" t="s">
        <v>2983</v>
      </c>
      <c r="L235" t="s">
        <v>3066</v>
      </c>
      <c r="M235" t="s">
        <v>3055</v>
      </c>
      <c r="N235" t="s">
        <v>3040</v>
      </c>
      <c r="O235" s="39" t="s">
        <v>3057</v>
      </c>
      <c r="P235" t="s">
        <v>1606</v>
      </c>
      <c r="Q235" t="s">
        <v>1635</v>
      </c>
      <c r="R235" s="10">
        <v>5821</v>
      </c>
      <c r="S235" t="s">
        <v>1606</v>
      </c>
      <c r="T235" t="s">
        <v>1927</v>
      </c>
    </row>
    <row r="236" spans="1:20" hidden="1" x14ac:dyDescent="0.25">
      <c r="A236">
        <v>2023</v>
      </c>
      <c r="B236" t="s">
        <v>1537</v>
      </c>
      <c r="C236" t="s">
        <v>902</v>
      </c>
      <c r="D236" t="s">
        <v>1943</v>
      </c>
      <c r="F236" t="s">
        <v>1942</v>
      </c>
      <c r="G236" t="s">
        <v>2169</v>
      </c>
      <c r="H236" s="37" t="s">
        <v>11</v>
      </c>
      <c r="I236" s="37" t="s">
        <v>44</v>
      </c>
      <c r="J236" t="s">
        <v>16</v>
      </c>
      <c r="K236" t="s">
        <v>2983</v>
      </c>
      <c r="L236" t="s">
        <v>3066</v>
      </c>
      <c r="M236" t="s">
        <v>3055</v>
      </c>
      <c r="N236" t="s">
        <v>3040</v>
      </c>
      <c r="O236" s="39" t="s">
        <v>3057</v>
      </c>
      <c r="P236" t="s">
        <v>1605</v>
      </c>
      <c r="Q236" t="s">
        <v>1635</v>
      </c>
      <c r="R236" s="10">
        <v>14002</v>
      </c>
      <c r="S236" t="s">
        <v>1605</v>
      </c>
      <c r="T236" t="s">
        <v>1886</v>
      </c>
    </row>
    <row r="237" spans="1:20" hidden="1" x14ac:dyDescent="0.25">
      <c r="A237">
        <v>2023</v>
      </c>
      <c r="B237" t="s">
        <v>1537</v>
      </c>
      <c r="C237" t="s">
        <v>902</v>
      </c>
      <c r="D237" t="s">
        <v>1943</v>
      </c>
      <c r="F237" t="s">
        <v>1942</v>
      </c>
      <c r="G237" t="s">
        <v>2169</v>
      </c>
      <c r="H237" s="37" t="s">
        <v>11</v>
      </c>
      <c r="I237" s="37" t="s">
        <v>44</v>
      </c>
      <c r="J237" t="s">
        <v>16</v>
      </c>
      <c r="K237" t="s">
        <v>2983</v>
      </c>
      <c r="L237" t="s">
        <v>3066</v>
      </c>
      <c r="M237" t="s">
        <v>3055</v>
      </c>
      <c r="N237" t="s">
        <v>3040</v>
      </c>
      <c r="O237" s="39" t="s">
        <v>3057</v>
      </c>
      <c r="P237" t="s">
        <v>1606</v>
      </c>
      <c r="Q237" t="s">
        <v>1635</v>
      </c>
      <c r="R237" s="10">
        <v>30057</v>
      </c>
      <c r="S237" t="s">
        <v>1606</v>
      </c>
      <c r="T237" t="s">
        <v>1886</v>
      </c>
    </row>
    <row r="238" spans="1:20" hidden="1" x14ac:dyDescent="0.25">
      <c r="A238">
        <v>2023</v>
      </c>
      <c r="B238" t="s">
        <v>1537</v>
      </c>
      <c r="C238" t="s">
        <v>902</v>
      </c>
      <c r="D238" t="s">
        <v>1943</v>
      </c>
      <c r="F238" t="s">
        <v>1942</v>
      </c>
      <c r="G238" t="s">
        <v>2169</v>
      </c>
      <c r="H238" s="37" t="s">
        <v>11</v>
      </c>
      <c r="I238" s="37" t="s">
        <v>44</v>
      </c>
      <c r="J238" t="s">
        <v>16</v>
      </c>
      <c r="K238" t="s">
        <v>2982</v>
      </c>
      <c r="L238" t="s">
        <v>3068</v>
      </c>
      <c r="M238" t="s">
        <v>3055</v>
      </c>
      <c r="N238" t="s">
        <v>2982</v>
      </c>
      <c r="O238" s="39" t="s">
        <v>3058</v>
      </c>
      <c r="P238" t="s">
        <v>1753</v>
      </c>
      <c r="Q238" t="s">
        <v>1638</v>
      </c>
      <c r="R238">
        <f>119936+63182</f>
        <v>183118</v>
      </c>
      <c r="S238" t="s">
        <v>1753</v>
      </c>
      <c r="T238" t="s">
        <v>1886</v>
      </c>
    </row>
    <row r="239" spans="1:20" hidden="1" x14ac:dyDescent="0.25">
      <c r="A239">
        <v>2023</v>
      </c>
      <c r="B239" t="s">
        <v>1537</v>
      </c>
      <c r="C239" t="s">
        <v>902</v>
      </c>
      <c r="D239" t="s">
        <v>1943</v>
      </c>
      <c r="F239" t="s">
        <v>1942</v>
      </c>
      <c r="G239" t="s">
        <v>2169</v>
      </c>
      <c r="H239" s="37" t="s">
        <v>11</v>
      </c>
      <c r="I239" s="37" t="s">
        <v>44</v>
      </c>
      <c r="J239" t="s">
        <v>16</v>
      </c>
      <c r="K239" t="s">
        <v>2982</v>
      </c>
      <c r="L239" t="s">
        <v>3069</v>
      </c>
      <c r="M239" t="s">
        <v>3055</v>
      </c>
      <c r="N239" t="s">
        <v>2982</v>
      </c>
      <c r="O239" s="39" t="s">
        <v>3058</v>
      </c>
      <c r="P239" t="s">
        <v>1676</v>
      </c>
      <c r="Q239" t="s">
        <v>1638</v>
      </c>
      <c r="R239" s="10">
        <v>25131</v>
      </c>
      <c r="S239" t="s">
        <v>1676</v>
      </c>
      <c r="T239" t="s">
        <v>1886</v>
      </c>
    </row>
    <row r="240" spans="1:20" hidden="1" x14ac:dyDescent="0.25">
      <c r="A240">
        <v>2023</v>
      </c>
      <c r="B240" t="s">
        <v>1537</v>
      </c>
      <c r="C240" t="s">
        <v>902</v>
      </c>
      <c r="D240" t="s">
        <v>1943</v>
      </c>
      <c r="F240" t="s">
        <v>1942</v>
      </c>
      <c r="G240" t="s">
        <v>2169</v>
      </c>
      <c r="H240" s="37" t="s">
        <v>11</v>
      </c>
      <c r="I240" s="37" t="s">
        <v>44</v>
      </c>
      <c r="J240" t="s">
        <v>16</v>
      </c>
      <c r="K240" t="s">
        <v>2982</v>
      </c>
      <c r="L240" t="s">
        <v>3070</v>
      </c>
      <c r="M240" t="s">
        <v>3055</v>
      </c>
      <c r="N240" t="s">
        <v>2982</v>
      </c>
      <c r="O240" s="39" t="s">
        <v>3058</v>
      </c>
      <c r="P240" t="s">
        <v>1639</v>
      </c>
      <c r="Q240" t="s">
        <v>1638</v>
      </c>
      <c r="R240" s="10">
        <v>147624</v>
      </c>
      <c r="S240" t="s">
        <v>1639</v>
      </c>
      <c r="T240" t="s">
        <v>1886</v>
      </c>
    </row>
    <row r="241" spans="1:20" hidden="1" x14ac:dyDescent="0.25">
      <c r="A241">
        <v>2023</v>
      </c>
      <c r="B241" t="s">
        <v>1537</v>
      </c>
      <c r="C241" t="s">
        <v>717</v>
      </c>
      <c r="D241" t="s">
        <v>1778</v>
      </c>
      <c r="F241" t="s">
        <v>1849</v>
      </c>
      <c r="G241" t="s">
        <v>1848</v>
      </c>
      <c r="H241" s="37" t="s">
        <v>11</v>
      </c>
      <c r="I241" s="37" t="s">
        <v>13</v>
      </c>
      <c r="J241" t="s">
        <v>90</v>
      </c>
      <c r="K241" t="s">
        <v>2983</v>
      </c>
      <c r="L241" t="s">
        <v>3066</v>
      </c>
      <c r="M241" t="s">
        <v>3055</v>
      </c>
      <c r="N241" t="s">
        <v>3040</v>
      </c>
      <c r="O241" s="39" t="s">
        <v>3057</v>
      </c>
      <c r="P241" t="s">
        <v>1605</v>
      </c>
      <c r="Q241" s="10" t="s">
        <v>1782</v>
      </c>
      <c r="R241" s="10">
        <v>28</v>
      </c>
      <c r="S241" t="s">
        <v>1605</v>
      </c>
      <c r="T241" t="s">
        <v>1781</v>
      </c>
    </row>
    <row r="242" spans="1:20" hidden="1" x14ac:dyDescent="0.25">
      <c r="A242">
        <v>2023</v>
      </c>
      <c r="B242" t="s">
        <v>1537</v>
      </c>
      <c r="C242" t="s">
        <v>717</v>
      </c>
      <c r="D242" t="s">
        <v>1778</v>
      </c>
      <c r="F242" t="s">
        <v>1849</v>
      </c>
      <c r="G242" t="s">
        <v>1848</v>
      </c>
      <c r="H242" s="37" t="s">
        <v>11</v>
      </c>
      <c r="I242" s="37" t="s">
        <v>13</v>
      </c>
      <c r="J242" t="s">
        <v>90</v>
      </c>
      <c r="K242" t="s">
        <v>2983</v>
      </c>
      <c r="L242" t="s">
        <v>3066</v>
      </c>
      <c r="M242" t="s">
        <v>3055</v>
      </c>
      <c r="N242" t="s">
        <v>3040</v>
      </c>
      <c r="O242" s="39" t="s">
        <v>3057</v>
      </c>
      <c r="P242" t="s">
        <v>1606</v>
      </c>
      <c r="Q242" s="10" t="s">
        <v>1782</v>
      </c>
      <c r="R242" s="10">
        <v>1</v>
      </c>
      <c r="S242" t="s">
        <v>1606</v>
      </c>
      <c r="T242" t="s">
        <v>1781</v>
      </c>
    </row>
    <row r="243" spans="1:20" hidden="1" x14ac:dyDescent="0.25">
      <c r="A243">
        <v>2023</v>
      </c>
      <c r="B243" t="s">
        <v>1537</v>
      </c>
      <c r="C243" t="s">
        <v>717</v>
      </c>
      <c r="D243" t="s">
        <v>1778</v>
      </c>
      <c r="F243" t="s">
        <v>1849</v>
      </c>
      <c r="G243" t="s">
        <v>1848</v>
      </c>
      <c r="H243" s="37" t="s">
        <v>11</v>
      </c>
      <c r="I243" s="37" t="s">
        <v>13</v>
      </c>
      <c r="J243" t="s">
        <v>90</v>
      </c>
      <c r="K243" t="s">
        <v>2983</v>
      </c>
      <c r="L243" t="s">
        <v>3066</v>
      </c>
      <c r="M243" t="s">
        <v>3055</v>
      </c>
      <c r="N243" t="s">
        <v>1783</v>
      </c>
      <c r="O243" s="39" t="s">
        <v>3060</v>
      </c>
      <c r="P243" t="s">
        <v>707</v>
      </c>
      <c r="Q243" s="10" t="s">
        <v>1546</v>
      </c>
      <c r="R243" s="10">
        <v>0.55000000000000004</v>
      </c>
      <c r="T243" t="s">
        <v>1781</v>
      </c>
    </row>
    <row r="244" spans="1:20" hidden="1" x14ac:dyDescent="0.25">
      <c r="A244">
        <v>2023</v>
      </c>
      <c r="B244" t="s">
        <v>1537</v>
      </c>
      <c r="C244" t="s">
        <v>717</v>
      </c>
      <c r="D244" t="s">
        <v>1778</v>
      </c>
      <c r="F244" t="s">
        <v>1849</v>
      </c>
      <c r="G244" t="s">
        <v>1848</v>
      </c>
      <c r="H244" s="37" t="s">
        <v>11</v>
      </c>
      <c r="I244" s="37" t="s">
        <v>13</v>
      </c>
      <c r="J244" t="s">
        <v>90</v>
      </c>
      <c r="K244" t="s">
        <v>2981</v>
      </c>
      <c r="L244" t="s">
        <v>3067</v>
      </c>
      <c r="O244" s="39"/>
      <c r="P244" t="s">
        <v>1789</v>
      </c>
      <c r="Q244" s="10" t="s">
        <v>1629</v>
      </c>
      <c r="R244" s="10">
        <v>594168</v>
      </c>
      <c r="S244" t="s">
        <v>1789</v>
      </c>
      <c r="T244" t="s">
        <v>1781</v>
      </c>
    </row>
    <row r="245" spans="1:20" hidden="1" x14ac:dyDescent="0.25">
      <c r="A245">
        <v>2023</v>
      </c>
      <c r="B245" t="s">
        <v>1537</v>
      </c>
      <c r="C245" t="s">
        <v>717</v>
      </c>
      <c r="D245" t="s">
        <v>1778</v>
      </c>
      <c r="F245" t="s">
        <v>1849</v>
      </c>
      <c r="G245" t="s">
        <v>1848</v>
      </c>
      <c r="H245" s="37" t="s">
        <v>11</v>
      </c>
      <c r="I245" s="37" t="s">
        <v>13</v>
      </c>
      <c r="J245" t="s">
        <v>90</v>
      </c>
      <c r="K245" t="s">
        <v>2981</v>
      </c>
      <c r="L245" t="s">
        <v>3067</v>
      </c>
      <c r="O245" s="39"/>
      <c r="P245" t="s">
        <v>1790</v>
      </c>
      <c r="Q245" s="10" t="s">
        <v>1629</v>
      </c>
      <c r="R245" s="10">
        <v>7829</v>
      </c>
      <c r="S245" t="s">
        <v>1790</v>
      </c>
      <c r="T245" t="s">
        <v>1781</v>
      </c>
    </row>
    <row r="246" spans="1:20" hidden="1" x14ac:dyDescent="0.25">
      <c r="A246">
        <v>2023</v>
      </c>
      <c r="B246" t="s">
        <v>1537</v>
      </c>
      <c r="C246" t="s">
        <v>717</v>
      </c>
      <c r="D246" t="s">
        <v>1778</v>
      </c>
      <c r="F246" t="s">
        <v>1849</v>
      </c>
      <c r="G246" t="s">
        <v>1848</v>
      </c>
      <c r="H246" s="37" t="s">
        <v>11</v>
      </c>
      <c r="I246" s="37" t="s">
        <v>13</v>
      </c>
      <c r="J246" t="s">
        <v>90</v>
      </c>
      <c r="K246" t="s">
        <v>2981</v>
      </c>
      <c r="L246" t="s">
        <v>3067</v>
      </c>
      <c r="O246" s="39"/>
      <c r="P246" t="s">
        <v>1791</v>
      </c>
      <c r="Q246" s="10" t="s">
        <v>1629</v>
      </c>
      <c r="R246" s="10">
        <v>1661</v>
      </c>
      <c r="S246" t="s">
        <v>1791</v>
      </c>
      <c r="T246" t="s">
        <v>1781</v>
      </c>
    </row>
    <row r="247" spans="1:20" hidden="1" x14ac:dyDescent="0.25">
      <c r="A247">
        <v>2023</v>
      </c>
      <c r="B247" t="s">
        <v>1537</v>
      </c>
      <c r="C247" t="s">
        <v>756</v>
      </c>
      <c r="D247" t="s">
        <v>1536</v>
      </c>
      <c r="F247" t="s">
        <v>1751</v>
      </c>
      <c r="G247" t="s">
        <v>2148</v>
      </c>
      <c r="H247" s="37" t="s">
        <v>11</v>
      </c>
      <c r="I247" s="37" t="s">
        <v>13</v>
      </c>
      <c r="J247" t="s">
        <v>16</v>
      </c>
      <c r="K247" t="s">
        <v>2983</v>
      </c>
      <c r="L247" t="s">
        <v>3066</v>
      </c>
      <c r="M247" t="s">
        <v>3054</v>
      </c>
      <c r="N247" t="s">
        <v>3161</v>
      </c>
      <c r="O247" s="39" t="s">
        <v>3042</v>
      </c>
      <c r="P247" t="s">
        <v>707</v>
      </c>
      <c r="Q247" t="s">
        <v>1546</v>
      </c>
      <c r="R247" s="10">
        <v>162.21032723366181</v>
      </c>
      <c r="T247" t="s">
        <v>1866</v>
      </c>
    </row>
    <row r="248" spans="1:20" hidden="1" x14ac:dyDescent="0.25">
      <c r="A248">
        <v>2023</v>
      </c>
      <c r="B248" t="s">
        <v>1537</v>
      </c>
      <c r="C248" t="s">
        <v>756</v>
      </c>
      <c r="D248" t="s">
        <v>1536</v>
      </c>
      <c r="F248" t="s">
        <v>1751</v>
      </c>
      <c r="G248" t="s">
        <v>2148</v>
      </c>
      <c r="H248" s="37" t="s">
        <v>11</v>
      </c>
      <c r="I248" s="37" t="s">
        <v>13</v>
      </c>
      <c r="J248" t="s">
        <v>16</v>
      </c>
      <c r="K248" t="s">
        <v>2983</v>
      </c>
      <c r="L248" t="s">
        <v>3066</v>
      </c>
      <c r="M248" t="s">
        <v>3055</v>
      </c>
      <c r="N248" t="s">
        <v>3040</v>
      </c>
      <c r="O248" s="39" t="s">
        <v>3057</v>
      </c>
      <c r="P248" t="s">
        <v>1605</v>
      </c>
      <c r="Q248" t="s">
        <v>1635</v>
      </c>
      <c r="R248" s="10">
        <v>35617.369225595001</v>
      </c>
      <c r="S248" t="s">
        <v>1605</v>
      </c>
      <c r="T248" t="s">
        <v>1866</v>
      </c>
    </row>
    <row r="249" spans="1:20" hidden="1" x14ac:dyDescent="0.25">
      <c r="A249">
        <v>2023</v>
      </c>
      <c r="B249" t="s">
        <v>1537</v>
      </c>
      <c r="C249" t="s">
        <v>756</v>
      </c>
      <c r="D249" t="s">
        <v>1536</v>
      </c>
      <c r="F249" t="s">
        <v>1751</v>
      </c>
      <c r="G249" t="s">
        <v>2148</v>
      </c>
      <c r="H249" s="37" t="s">
        <v>11</v>
      </c>
      <c r="I249" s="37" t="s">
        <v>13</v>
      </c>
      <c r="J249" t="s">
        <v>16</v>
      </c>
      <c r="K249" t="s">
        <v>2983</v>
      </c>
      <c r="L249" t="s">
        <v>3066</v>
      </c>
      <c r="M249" t="s">
        <v>3055</v>
      </c>
      <c r="N249" t="s">
        <v>3040</v>
      </c>
      <c r="O249" s="39" t="s">
        <v>3057</v>
      </c>
      <c r="P249" t="s">
        <v>1606</v>
      </c>
      <c r="Q249" t="s">
        <v>1635</v>
      </c>
      <c r="R249" s="10">
        <v>5536.701</v>
      </c>
      <c r="S249" t="s">
        <v>1606</v>
      </c>
      <c r="T249" t="s">
        <v>1866</v>
      </c>
    </row>
    <row r="250" spans="1:20" hidden="1" x14ac:dyDescent="0.25">
      <c r="A250">
        <v>2023</v>
      </c>
      <c r="B250" t="s">
        <v>1537</v>
      </c>
      <c r="C250" t="s">
        <v>756</v>
      </c>
      <c r="D250" t="s">
        <v>1536</v>
      </c>
      <c r="F250" t="s">
        <v>1751</v>
      </c>
      <c r="G250" t="s">
        <v>2148</v>
      </c>
      <c r="H250" s="37" t="s">
        <v>11</v>
      </c>
      <c r="I250" s="37" t="s">
        <v>13</v>
      </c>
      <c r="J250" t="s">
        <v>16</v>
      </c>
      <c r="K250" t="s">
        <v>2983</v>
      </c>
      <c r="L250" t="s">
        <v>3066</v>
      </c>
      <c r="M250" t="s">
        <v>3055</v>
      </c>
      <c r="N250" t="s">
        <v>1636</v>
      </c>
      <c r="O250" s="39" t="s">
        <v>3059</v>
      </c>
      <c r="P250" t="s">
        <v>707</v>
      </c>
      <c r="Q250" t="s">
        <v>1546</v>
      </c>
      <c r="R250" s="10">
        <v>319.19231890732357</v>
      </c>
      <c r="T250" t="s">
        <v>1866</v>
      </c>
    </row>
    <row r="251" spans="1:20" hidden="1" x14ac:dyDescent="0.25">
      <c r="A251">
        <v>2023</v>
      </c>
      <c r="B251" t="s">
        <v>1537</v>
      </c>
      <c r="C251" t="s">
        <v>756</v>
      </c>
      <c r="D251" t="s">
        <v>1536</v>
      </c>
      <c r="F251" t="s">
        <v>1751</v>
      </c>
      <c r="G251" t="s">
        <v>2148</v>
      </c>
      <c r="H251" s="37" t="s">
        <v>11</v>
      </c>
      <c r="I251" s="37" t="s">
        <v>13</v>
      </c>
      <c r="J251" t="s">
        <v>16</v>
      </c>
      <c r="K251" t="s">
        <v>2983</v>
      </c>
      <c r="L251" t="s">
        <v>3066</v>
      </c>
      <c r="M251" t="s">
        <v>3055</v>
      </c>
      <c r="N251" t="s">
        <v>3160</v>
      </c>
      <c r="O251" s="39" t="s">
        <v>3074</v>
      </c>
      <c r="P251" t="s">
        <v>707</v>
      </c>
      <c r="Q251" t="s">
        <v>1546</v>
      </c>
      <c r="R251" s="10">
        <v>50.803300388615952</v>
      </c>
      <c r="T251" t="s">
        <v>1866</v>
      </c>
    </row>
    <row r="252" spans="1:20" hidden="1" x14ac:dyDescent="0.25">
      <c r="A252">
        <v>2023</v>
      </c>
      <c r="B252" t="s">
        <v>1537</v>
      </c>
      <c r="C252" t="s">
        <v>756</v>
      </c>
      <c r="D252" t="s">
        <v>1536</v>
      </c>
      <c r="F252" t="s">
        <v>1751</v>
      </c>
      <c r="G252" t="s">
        <v>2148</v>
      </c>
      <c r="H252" s="37" t="s">
        <v>11</v>
      </c>
      <c r="I252" s="37" t="s">
        <v>13</v>
      </c>
      <c r="J252" t="s">
        <v>16</v>
      </c>
      <c r="K252" t="s">
        <v>2983</v>
      </c>
      <c r="L252" t="s">
        <v>3066</v>
      </c>
      <c r="M252" t="s">
        <v>3055</v>
      </c>
      <c r="N252" t="s">
        <v>1637</v>
      </c>
      <c r="O252" s="39" t="s">
        <v>3063</v>
      </c>
      <c r="P252" t="s">
        <v>707</v>
      </c>
      <c r="Q252" t="s">
        <v>1546</v>
      </c>
      <c r="R252" s="10">
        <v>47.442164741802024</v>
      </c>
      <c r="T252" t="s">
        <v>1866</v>
      </c>
    </row>
    <row r="253" spans="1:20" hidden="1" x14ac:dyDescent="0.25">
      <c r="A253">
        <v>2023</v>
      </c>
      <c r="B253" t="s">
        <v>1537</v>
      </c>
      <c r="C253" t="s">
        <v>756</v>
      </c>
      <c r="D253" t="s">
        <v>1536</v>
      </c>
      <c r="F253" t="s">
        <v>1751</v>
      </c>
      <c r="G253" t="s">
        <v>2148</v>
      </c>
      <c r="H253" s="37" t="s">
        <v>11</v>
      </c>
      <c r="I253" s="37" t="s">
        <v>13</v>
      </c>
      <c r="J253" t="s">
        <v>16</v>
      </c>
      <c r="K253" t="s">
        <v>2983</v>
      </c>
      <c r="L253" t="s">
        <v>3066</v>
      </c>
      <c r="M253" t="s">
        <v>3055</v>
      </c>
      <c r="N253" t="s">
        <v>3155</v>
      </c>
      <c r="O253" s="39" t="s">
        <v>3047</v>
      </c>
      <c r="P253" t="s">
        <v>707</v>
      </c>
      <c r="Q253" t="s">
        <v>1546</v>
      </c>
      <c r="R253" s="10">
        <v>60.86381506924382</v>
      </c>
      <c r="T253" t="s">
        <v>1866</v>
      </c>
    </row>
    <row r="254" spans="1:20" hidden="1" x14ac:dyDescent="0.25">
      <c r="A254">
        <v>2023</v>
      </c>
      <c r="B254" t="s">
        <v>1537</v>
      </c>
      <c r="C254" t="s">
        <v>756</v>
      </c>
      <c r="D254" t="s">
        <v>1536</v>
      </c>
      <c r="F254" t="s">
        <v>1751</v>
      </c>
      <c r="G254" t="s">
        <v>2148</v>
      </c>
      <c r="H254" s="37" t="s">
        <v>11</v>
      </c>
      <c r="I254" s="37" t="s">
        <v>13</v>
      </c>
      <c r="J254" t="s">
        <v>16</v>
      </c>
      <c r="K254" t="s">
        <v>2981</v>
      </c>
      <c r="L254" t="s">
        <v>3067</v>
      </c>
      <c r="O254" s="39"/>
      <c r="P254" t="s">
        <v>1627</v>
      </c>
      <c r="Q254" t="s">
        <v>1629</v>
      </c>
      <c r="R254" s="10">
        <v>370</v>
      </c>
      <c r="S254" t="s">
        <v>1627</v>
      </c>
      <c r="T254" t="s">
        <v>1866</v>
      </c>
    </row>
    <row r="255" spans="1:20" hidden="1" x14ac:dyDescent="0.25">
      <c r="A255">
        <v>2023</v>
      </c>
      <c r="B255" t="s">
        <v>1537</v>
      </c>
      <c r="C255" t="s">
        <v>756</v>
      </c>
      <c r="D255" t="s">
        <v>1536</v>
      </c>
      <c r="F255" t="s">
        <v>1751</v>
      </c>
      <c r="G255" t="s">
        <v>2148</v>
      </c>
      <c r="H255" s="37" t="s">
        <v>11</v>
      </c>
      <c r="I255" s="37" t="s">
        <v>13</v>
      </c>
      <c r="J255" t="s">
        <v>16</v>
      </c>
      <c r="K255" t="s">
        <v>2982</v>
      </c>
      <c r="L255" t="s">
        <v>3068</v>
      </c>
      <c r="M255" t="s">
        <v>3055</v>
      </c>
      <c r="N255" t="s">
        <v>2982</v>
      </c>
      <c r="O255" s="39" t="s">
        <v>3058</v>
      </c>
      <c r="P255" t="s">
        <v>1616</v>
      </c>
      <c r="Q255" t="s">
        <v>1638</v>
      </c>
      <c r="R255" s="10">
        <v>974971.40334801702</v>
      </c>
      <c r="S255" t="s">
        <v>1616</v>
      </c>
      <c r="T255" t="s">
        <v>1866</v>
      </c>
    </row>
    <row r="256" spans="1:20" hidden="1" x14ac:dyDescent="0.25">
      <c r="A256">
        <v>2023</v>
      </c>
      <c r="B256" t="s">
        <v>1537</v>
      </c>
      <c r="C256" t="s">
        <v>756</v>
      </c>
      <c r="D256" t="s">
        <v>1536</v>
      </c>
      <c r="F256" t="s">
        <v>1751</v>
      </c>
      <c r="G256" t="s">
        <v>2148</v>
      </c>
      <c r="H256" s="37" t="s">
        <v>11</v>
      </c>
      <c r="I256" s="37" t="s">
        <v>13</v>
      </c>
      <c r="J256" t="s">
        <v>16</v>
      </c>
      <c r="K256" t="s">
        <v>2982</v>
      </c>
      <c r="L256" t="s">
        <v>3069</v>
      </c>
      <c r="M256" t="s">
        <v>3055</v>
      </c>
      <c r="N256" t="s">
        <v>2982</v>
      </c>
      <c r="O256" s="39" t="s">
        <v>3058</v>
      </c>
      <c r="P256" t="s">
        <v>1676</v>
      </c>
      <c r="Q256" t="s">
        <v>1638</v>
      </c>
      <c r="R256" s="10">
        <v>1743711.5</v>
      </c>
      <c r="S256" t="s">
        <v>1618</v>
      </c>
      <c r="T256" t="s">
        <v>1866</v>
      </c>
    </row>
    <row r="257" spans="1:20" hidden="1" x14ac:dyDescent="0.25">
      <c r="A257">
        <v>2023</v>
      </c>
      <c r="B257" t="s">
        <v>1537</v>
      </c>
      <c r="C257" t="s">
        <v>756</v>
      </c>
      <c r="D257" t="s">
        <v>1536</v>
      </c>
      <c r="F257" t="s">
        <v>1751</v>
      </c>
      <c r="G257" t="s">
        <v>2148</v>
      </c>
      <c r="H257" s="37" t="s">
        <v>11</v>
      </c>
      <c r="I257" s="37" t="s">
        <v>13</v>
      </c>
      <c r="J257" t="s">
        <v>16</v>
      </c>
      <c r="K257" t="s">
        <v>2982</v>
      </c>
      <c r="L257" t="s">
        <v>3070</v>
      </c>
      <c r="M257" t="s">
        <v>3055</v>
      </c>
      <c r="N257" t="s">
        <v>2982</v>
      </c>
      <c r="O257" s="39" t="s">
        <v>3058</v>
      </c>
      <c r="P257" t="s">
        <v>1639</v>
      </c>
      <c r="Q257" t="s">
        <v>1638</v>
      </c>
      <c r="R257" s="10">
        <v>749557.37969801703</v>
      </c>
      <c r="S257" t="s">
        <v>1639</v>
      </c>
      <c r="T257" t="s">
        <v>1866</v>
      </c>
    </row>
    <row r="258" spans="1:20" hidden="1" x14ac:dyDescent="0.25">
      <c r="A258">
        <v>2023</v>
      </c>
      <c r="B258" t="s">
        <v>772</v>
      </c>
      <c r="C258" t="s">
        <v>101</v>
      </c>
      <c r="D258" t="s">
        <v>361</v>
      </c>
      <c r="E258" t="s">
        <v>1405</v>
      </c>
      <c r="G258" t="s">
        <v>1845</v>
      </c>
      <c r="H258" s="37" t="s">
        <v>233</v>
      </c>
      <c r="I258" s="37" t="s">
        <v>292</v>
      </c>
      <c r="J258" t="s">
        <v>362</v>
      </c>
      <c r="K258" t="s">
        <v>2983</v>
      </c>
      <c r="L258" t="s">
        <v>3066</v>
      </c>
      <c r="M258" t="s">
        <v>3054</v>
      </c>
      <c r="N258" t="s">
        <v>3161</v>
      </c>
      <c r="O258" s="39" t="s">
        <v>3042</v>
      </c>
      <c r="P258" t="s">
        <v>707</v>
      </c>
      <c r="Q258" t="s">
        <v>1546</v>
      </c>
      <c r="R258" s="10">
        <v>83.88</v>
      </c>
      <c r="T258" t="s">
        <v>1843</v>
      </c>
    </row>
    <row r="259" spans="1:20" hidden="1" x14ac:dyDescent="0.25">
      <c r="A259">
        <v>2023</v>
      </c>
      <c r="B259" t="s">
        <v>772</v>
      </c>
      <c r="C259" t="s">
        <v>101</v>
      </c>
      <c r="D259" t="s">
        <v>361</v>
      </c>
      <c r="E259" t="s">
        <v>1405</v>
      </c>
      <c r="G259" t="s">
        <v>1845</v>
      </c>
      <c r="H259" s="37" t="s">
        <v>233</v>
      </c>
      <c r="I259" s="37" t="s">
        <v>292</v>
      </c>
      <c r="J259" t="s">
        <v>362</v>
      </c>
      <c r="K259" t="s">
        <v>2983</v>
      </c>
      <c r="L259" t="s">
        <v>3066</v>
      </c>
      <c r="M259" t="s">
        <v>3054</v>
      </c>
      <c r="N259" t="s">
        <v>3157</v>
      </c>
      <c r="O259" s="39" t="s">
        <v>3045</v>
      </c>
      <c r="P259" t="s">
        <v>707</v>
      </c>
      <c r="Q259" t="s">
        <v>1546</v>
      </c>
      <c r="R259" s="10">
        <v>0.26734000000000002</v>
      </c>
      <c r="T259" t="s">
        <v>1843</v>
      </c>
    </row>
    <row r="260" spans="1:20" hidden="1" x14ac:dyDescent="0.25">
      <c r="A260">
        <v>2023</v>
      </c>
      <c r="B260" t="s">
        <v>772</v>
      </c>
      <c r="C260" t="s">
        <v>101</v>
      </c>
      <c r="D260" t="s">
        <v>361</v>
      </c>
      <c r="E260" t="s">
        <v>1405</v>
      </c>
      <c r="G260" t="s">
        <v>1845</v>
      </c>
      <c r="H260" s="37" t="s">
        <v>233</v>
      </c>
      <c r="I260" s="37" t="s">
        <v>292</v>
      </c>
      <c r="J260" t="s">
        <v>362</v>
      </c>
      <c r="K260" t="s">
        <v>2983</v>
      </c>
      <c r="L260" t="s">
        <v>3066</v>
      </c>
      <c r="M260" t="s">
        <v>3054</v>
      </c>
      <c r="N260" t="s">
        <v>1651</v>
      </c>
      <c r="O260" s="39" t="s">
        <v>3050</v>
      </c>
      <c r="P260" t="s">
        <v>707</v>
      </c>
      <c r="Q260" t="s">
        <v>1546</v>
      </c>
      <c r="R260" s="10">
        <v>453.05</v>
      </c>
      <c r="T260" t="s">
        <v>1843</v>
      </c>
    </row>
    <row r="261" spans="1:20" hidden="1" x14ac:dyDescent="0.25">
      <c r="A261">
        <v>2023</v>
      </c>
      <c r="B261" t="s">
        <v>772</v>
      </c>
      <c r="C261" t="s">
        <v>101</v>
      </c>
      <c r="D261" t="s">
        <v>361</v>
      </c>
      <c r="E261" t="s">
        <v>1405</v>
      </c>
      <c r="G261" t="s">
        <v>1845</v>
      </c>
      <c r="H261" s="37" t="s">
        <v>233</v>
      </c>
      <c r="I261" s="37" t="s">
        <v>292</v>
      </c>
      <c r="J261" t="s">
        <v>362</v>
      </c>
      <c r="K261" t="s">
        <v>2983</v>
      </c>
      <c r="L261" t="s">
        <v>3066</v>
      </c>
      <c r="M261" t="s">
        <v>3054</v>
      </c>
      <c r="N261" t="s">
        <v>1650</v>
      </c>
      <c r="O261" s="39">
        <v>2025884</v>
      </c>
      <c r="P261" t="s">
        <v>707</v>
      </c>
      <c r="Q261" t="s">
        <v>1546</v>
      </c>
      <c r="R261" s="10">
        <v>1916.1</v>
      </c>
      <c r="T261" t="s">
        <v>1843</v>
      </c>
    </row>
    <row r="262" spans="1:20" hidden="1" x14ac:dyDescent="0.25">
      <c r="A262">
        <v>2023</v>
      </c>
      <c r="B262" t="s">
        <v>772</v>
      </c>
      <c r="C262" t="s">
        <v>101</v>
      </c>
      <c r="D262" t="s">
        <v>361</v>
      </c>
      <c r="E262" t="s">
        <v>1405</v>
      </c>
      <c r="G262" t="s">
        <v>1845</v>
      </c>
      <c r="H262" s="37" t="s">
        <v>233</v>
      </c>
      <c r="I262" s="37" t="s">
        <v>292</v>
      </c>
      <c r="J262" t="s">
        <v>362</v>
      </c>
      <c r="K262" t="s">
        <v>2983</v>
      </c>
      <c r="L262" t="s">
        <v>3066</v>
      </c>
      <c r="M262" t="s">
        <v>3055</v>
      </c>
      <c r="N262" t="s">
        <v>3071</v>
      </c>
      <c r="O262" s="39" t="s">
        <v>3072</v>
      </c>
      <c r="P262" t="s">
        <v>707</v>
      </c>
      <c r="Q262" t="s">
        <v>1546</v>
      </c>
      <c r="R262" s="10">
        <v>67.37</v>
      </c>
      <c r="T262" t="s">
        <v>1843</v>
      </c>
    </row>
    <row r="263" spans="1:20" hidden="1" x14ac:dyDescent="0.25">
      <c r="A263">
        <v>2023</v>
      </c>
      <c r="B263" t="s">
        <v>772</v>
      </c>
      <c r="C263" t="s">
        <v>101</v>
      </c>
      <c r="D263" t="s">
        <v>361</v>
      </c>
      <c r="E263" t="s">
        <v>1405</v>
      </c>
      <c r="G263" t="s">
        <v>1845</v>
      </c>
      <c r="H263" s="37" t="s">
        <v>233</v>
      </c>
      <c r="I263" s="37" t="s">
        <v>292</v>
      </c>
      <c r="J263" t="s">
        <v>362</v>
      </c>
      <c r="K263" t="s">
        <v>2983</v>
      </c>
      <c r="L263" t="s">
        <v>3066</v>
      </c>
      <c r="M263" t="s">
        <v>3055</v>
      </c>
      <c r="N263" t="s">
        <v>3155</v>
      </c>
      <c r="O263" s="39" t="s">
        <v>3047</v>
      </c>
      <c r="P263" t="s">
        <v>707</v>
      </c>
      <c r="Q263" t="s">
        <v>1546</v>
      </c>
      <c r="R263" s="10">
        <v>12.52</v>
      </c>
      <c r="T263" t="s">
        <v>1843</v>
      </c>
    </row>
    <row r="264" spans="1:20" hidden="1" x14ac:dyDescent="0.25">
      <c r="A264">
        <v>2023</v>
      </c>
      <c r="B264" t="s">
        <v>772</v>
      </c>
      <c r="C264" t="s">
        <v>101</v>
      </c>
      <c r="D264" t="s">
        <v>361</v>
      </c>
      <c r="E264" t="s">
        <v>1405</v>
      </c>
      <c r="G264" t="s">
        <v>1845</v>
      </c>
      <c r="H264" s="37" t="s">
        <v>233</v>
      </c>
      <c r="I264" s="37" t="s">
        <v>292</v>
      </c>
      <c r="J264" t="s">
        <v>362</v>
      </c>
      <c r="K264" t="s">
        <v>2982</v>
      </c>
      <c r="L264" t="s">
        <v>3068</v>
      </c>
      <c r="M264" t="s">
        <v>3055</v>
      </c>
      <c r="N264" t="s">
        <v>2982</v>
      </c>
      <c r="O264" s="39" t="s">
        <v>3058</v>
      </c>
      <c r="P264" t="s">
        <v>1616</v>
      </c>
      <c r="Q264" t="s">
        <v>1617</v>
      </c>
      <c r="R264" s="10">
        <v>73097.570000000007</v>
      </c>
      <c r="S264" t="s">
        <v>1685</v>
      </c>
      <c r="T264" t="s">
        <v>1843</v>
      </c>
    </row>
    <row r="265" spans="1:20" hidden="1" x14ac:dyDescent="0.25">
      <c r="A265">
        <v>2023</v>
      </c>
      <c r="B265" t="s">
        <v>772</v>
      </c>
      <c r="C265" t="s">
        <v>101</v>
      </c>
      <c r="D265" t="s">
        <v>361</v>
      </c>
      <c r="E265" t="s">
        <v>1405</v>
      </c>
      <c r="G265" t="s">
        <v>1845</v>
      </c>
      <c r="H265" s="37" t="s">
        <v>233</v>
      </c>
      <c r="I265" s="37" t="s">
        <v>292</v>
      </c>
      <c r="J265" t="s">
        <v>362</v>
      </c>
      <c r="K265" t="s">
        <v>2982</v>
      </c>
      <c r="L265" t="s">
        <v>3069</v>
      </c>
      <c r="M265" t="s">
        <v>3055</v>
      </c>
      <c r="N265" t="s">
        <v>2982</v>
      </c>
      <c r="O265" s="39" t="s">
        <v>3058</v>
      </c>
      <c r="P265" t="s">
        <v>1676</v>
      </c>
      <c r="Q265" t="s">
        <v>1617</v>
      </c>
      <c r="R265" s="10">
        <v>66314.803</v>
      </c>
      <c r="S265" t="s">
        <v>1686</v>
      </c>
      <c r="T265" t="s">
        <v>1843</v>
      </c>
    </row>
    <row r="266" spans="1:20" hidden="1" x14ac:dyDescent="0.25">
      <c r="A266">
        <v>2023</v>
      </c>
      <c r="B266" t="s">
        <v>772</v>
      </c>
      <c r="C266" t="s">
        <v>101</v>
      </c>
      <c r="D266" t="s">
        <v>361</v>
      </c>
      <c r="E266" t="s">
        <v>1405</v>
      </c>
      <c r="G266" t="s">
        <v>1845</v>
      </c>
      <c r="H266" s="37" t="s">
        <v>233</v>
      </c>
      <c r="I266" s="37" t="s">
        <v>292</v>
      </c>
      <c r="J266" t="s">
        <v>362</v>
      </c>
      <c r="K266" t="s">
        <v>2982</v>
      </c>
      <c r="L266" t="s">
        <v>3070</v>
      </c>
      <c r="M266" t="s">
        <v>3055</v>
      </c>
      <c r="N266" t="s">
        <v>2982</v>
      </c>
      <c r="O266" s="39" t="s">
        <v>3058</v>
      </c>
      <c r="P266" t="s">
        <v>1639</v>
      </c>
      <c r="Q266" t="s">
        <v>1617</v>
      </c>
      <c r="R266" s="10">
        <v>6782.7669999999998</v>
      </c>
      <c r="S266" t="s">
        <v>1687</v>
      </c>
      <c r="T266" t="s">
        <v>1843</v>
      </c>
    </row>
    <row r="267" spans="1:20" hidden="1" x14ac:dyDescent="0.25">
      <c r="A267">
        <v>2023</v>
      </c>
      <c r="B267" t="s">
        <v>772</v>
      </c>
      <c r="C267" t="s">
        <v>73</v>
      </c>
      <c r="D267" t="s">
        <v>74</v>
      </c>
      <c r="E267" t="s">
        <v>1276</v>
      </c>
      <c r="G267" t="s">
        <v>2100</v>
      </c>
      <c r="H267" s="37" t="s">
        <v>11</v>
      </c>
      <c r="I267" s="37" t="s">
        <v>13</v>
      </c>
      <c r="J267" t="s">
        <v>64</v>
      </c>
      <c r="K267" t="s">
        <v>2983</v>
      </c>
      <c r="L267" t="s">
        <v>3066</v>
      </c>
      <c r="M267" t="s">
        <v>3054</v>
      </c>
      <c r="N267" t="s">
        <v>3161</v>
      </c>
      <c r="O267" s="39" t="s">
        <v>3042</v>
      </c>
      <c r="P267" t="s">
        <v>707</v>
      </c>
      <c r="Q267" t="s">
        <v>1691</v>
      </c>
      <c r="R267" s="10">
        <v>2235</v>
      </c>
      <c r="T267" t="s">
        <v>1909</v>
      </c>
    </row>
    <row r="268" spans="1:20" hidden="1" x14ac:dyDescent="0.25">
      <c r="A268">
        <v>2023</v>
      </c>
      <c r="B268" t="s">
        <v>772</v>
      </c>
      <c r="C268" t="s">
        <v>73</v>
      </c>
      <c r="D268" t="s">
        <v>74</v>
      </c>
      <c r="E268" t="s">
        <v>1276</v>
      </c>
      <c r="G268" t="s">
        <v>2100</v>
      </c>
      <c r="H268" s="37" t="s">
        <v>11</v>
      </c>
      <c r="I268" s="37" t="s">
        <v>13</v>
      </c>
      <c r="J268" t="s">
        <v>64</v>
      </c>
      <c r="K268" t="s">
        <v>2983</v>
      </c>
      <c r="L268" t="s">
        <v>3066</v>
      </c>
      <c r="M268" t="s">
        <v>3055</v>
      </c>
      <c r="N268" t="s">
        <v>3040</v>
      </c>
      <c r="O268" s="39" t="s">
        <v>3057</v>
      </c>
      <c r="P268" t="s">
        <v>1605</v>
      </c>
      <c r="Q268" t="s">
        <v>1635</v>
      </c>
      <c r="R268" s="10">
        <v>18521.099999999999</v>
      </c>
      <c r="S268" t="s">
        <v>1605</v>
      </c>
      <c r="T268" t="s">
        <v>1909</v>
      </c>
    </row>
    <row r="269" spans="1:20" hidden="1" x14ac:dyDescent="0.25">
      <c r="A269">
        <v>2023</v>
      </c>
      <c r="B269" t="s">
        <v>772</v>
      </c>
      <c r="C269" t="s">
        <v>73</v>
      </c>
      <c r="D269" t="s">
        <v>74</v>
      </c>
      <c r="E269" t="s">
        <v>1276</v>
      </c>
      <c r="G269" t="s">
        <v>2100</v>
      </c>
      <c r="H269" s="37" t="s">
        <v>11</v>
      </c>
      <c r="I269" s="37" t="s">
        <v>13</v>
      </c>
      <c r="J269" t="s">
        <v>64</v>
      </c>
      <c r="K269" t="s">
        <v>2983</v>
      </c>
      <c r="L269" t="s">
        <v>3066</v>
      </c>
      <c r="M269" t="s">
        <v>3055</v>
      </c>
      <c r="N269" t="s">
        <v>3040</v>
      </c>
      <c r="O269" s="39" t="s">
        <v>3057</v>
      </c>
      <c r="P269" t="s">
        <v>1606</v>
      </c>
      <c r="Q269" t="s">
        <v>1635</v>
      </c>
      <c r="R269" s="10">
        <v>189.9</v>
      </c>
      <c r="S269" t="s">
        <v>1606</v>
      </c>
      <c r="T269" t="s">
        <v>1909</v>
      </c>
    </row>
    <row r="270" spans="1:20" hidden="1" x14ac:dyDescent="0.25">
      <c r="A270">
        <v>2023</v>
      </c>
      <c r="B270" t="s">
        <v>772</v>
      </c>
      <c r="C270" t="s">
        <v>73</v>
      </c>
      <c r="D270" t="s">
        <v>74</v>
      </c>
      <c r="E270" t="s">
        <v>1276</v>
      </c>
      <c r="G270" t="s">
        <v>2100</v>
      </c>
      <c r="H270" s="37" t="s">
        <v>11</v>
      </c>
      <c r="I270" s="37" t="s">
        <v>13</v>
      </c>
      <c r="J270" t="s">
        <v>64</v>
      </c>
      <c r="K270" t="s">
        <v>2983</v>
      </c>
      <c r="L270" t="s">
        <v>3066</v>
      </c>
      <c r="M270" t="s">
        <v>3055</v>
      </c>
      <c r="N270" t="s">
        <v>1636</v>
      </c>
      <c r="O270" s="39" t="s">
        <v>3059</v>
      </c>
      <c r="P270" t="s">
        <v>707</v>
      </c>
      <c r="Q270" t="s">
        <v>1691</v>
      </c>
      <c r="R270" s="10">
        <v>7518</v>
      </c>
      <c r="T270" t="s">
        <v>1909</v>
      </c>
    </row>
    <row r="271" spans="1:20" hidden="1" x14ac:dyDescent="0.25">
      <c r="A271">
        <v>2023</v>
      </c>
      <c r="B271" t="s">
        <v>772</v>
      </c>
      <c r="C271" t="s">
        <v>73</v>
      </c>
      <c r="D271" t="s">
        <v>74</v>
      </c>
      <c r="E271" t="s">
        <v>1276</v>
      </c>
      <c r="G271" t="s">
        <v>2100</v>
      </c>
      <c r="H271" s="37" t="s">
        <v>11</v>
      </c>
      <c r="I271" s="37" t="s">
        <v>13</v>
      </c>
      <c r="J271" t="s">
        <v>64</v>
      </c>
      <c r="K271" t="s">
        <v>2983</v>
      </c>
      <c r="L271" t="s">
        <v>3066</v>
      </c>
      <c r="M271" t="s">
        <v>3055</v>
      </c>
      <c r="N271" t="s">
        <v>3160</v>
      </c>
      <c r="O271" s="39" t="s">
        <v>3074</v>
      </c>
      <c r="P271" t="s">
        <v>707</v>
      </c>
      <c r="Q271" t="s">
        <v>1691</v>
      </c>
      <c r="R271" s="10">
        <v>54561</v>
      </c>
      <c r="T271" t="s">
        <v>1909</v>
      </c>
    </row>
    <row r="272" spans="1:20" hidden="1" x14ac:dyDescent="0.25">
      <c r="A272">
        <v>2023</v>
      </c>
      <c r="B272" t="s">
        <v>772</v>
      </c>
      <c r="C272" t="s">
        <v>73</v>
      </c>
      <c r="D272" t="s">
        <v>74</v>
      </c>
      <c r="E272" t="s">
        <v>1276</v>
      </c>
      <c r="G272" t="s">
        <v>2100</v>
      </c>
      <c r="H272" s="37" t="s">
        <v>11</v>
      </c>
      <c r="I272" s="37" t="s">
        <v>13</v>
      </c>
      <c r="J272" t="s">
        <v>64</v>
      </c>
      <c r="K272" t="s">
        <v>2983</v>
      </c>
      <c r="L272" t="s">
        <v>3066</v>
      </c>
      <c r="M272" t="s">
        <v>3055</v>
      </c>
      <c r="N272" t="s">
        <v>3075</v>
      </c>
      <c r="O272" s="39" t="s">
        <v>3076</v>
      </c>
      <c r="P272" t="s">
        <v>707</v>
      </c>
      <c r="Q272" t="s">
        <v>1691</v>
      </c>
      <c r="R272" s="10">
        <v>5636</v>
      </c>
      <c r="T272" t="s">
        <v>1909</v>
      </c>
    </row>
    <row r="273" spans="1:20" hidden="1" x14ac:dyDescent="0.25">
      <c r="A273">
        <v>2023</v>
      </c>
      <c r="B273" t="s">
        <v>772</v>
      </c>
      <c r="C273" t="s">
        <v>73</v>
      </c>
      <c r="D273" t="s">
        <v>74</v>
      </c>
      <c r="E273" t="s">
        <v>1276</v>
      </c>
      <c r="G273" t="s">
        <v>2100</v>
      </c>
      <c r="H273" s="37" t="s">
        <v>11</v>
      </c>
      <c r="I273" s="37" t="s">
        <v>13</v>
      </c>
      <c r="J273" t="s">
        <v>64</v>
      </c>
      <c r="K273" t="s">
        <v>2983</v>
      </c>
      <c r="L273" t="s">
        <v>3066</v>
      </c>
      <c r="M273" t="s">
        <v>3055</v>
      </c>
      <c r="N273" t="s">
        <v>1637</v>
      </c>
      <c r="O273" s="39" t="s">
        <v>3063</v>
      </c>
      <c r="P273" t="s">
        <v>707</v>
      </c>
      <c r="Q273" t="s">
        <v>1691</v>
      </c>
      <c r="R273" s="10">
        <v>16.3</v>
      </c>
      <c r="T273" t="s">
        <v>1909</v>
      </c>
    </row>
    <row r="274" spans="1:20" hidden="1" x14ac:dyDescent="0.25">
      <c r="A274">
        <v>2023</v>
      </c>
      <c r="B274" t="s">
        <v>772</v>
      </c>
      <c r="C274" t="s">
        <v>73</v>
      </c>
      <c r="D274" t="s">
        <v>74</v>
      </c>
      <c r="E274" t="s">
        <v>1276</v>
      </c>
      <c r="G274" t="s">
        <v>2100</v>
      </c>
      <c r="H274" s="37" t="s">
        <v>11</v>
      </c>
      <c r="I274" s="37" t="s">
        <v>13</v>
      </c>
      <c r="J274" t="s">
        <v>64</v>
      </c>
      <c r="K274" t="s">
        <v>2983</v>
      </c>
      <c r="L274" t="s">
        <v>3066</v>
      </c>
      <c r="M274" t="s">
        <v>3055</v>
      </c>
      <c r="N274" t="s">
        <v>3155</v>
      </c>
      <c r="O274" s="39" t="s">
        <v>3047</v>
      </c>
      <c r="P274" t="s">
        <v>707</v>
      </c>
      <c r="Q274" t="s">
        <v>1691</v>
      </c>
      <c r="R274" s="10">
        <v>152.4</v>
      </c>
      <c r="T274" t="s">
        <v>1909</v>
      </c>
    </row>
    <row r="275" spans="1:20" hidden="1" x14ac:dyDescent="0.25">
      <c r="A275">
        <v>2023</v>
      </c>
      <c r="B275" t="s">
        <v>772</v>
      </c>
      <c r="C275" t="s">
        <v>73</v>
      </c>
      <c r="D275" t="s">
        <v>74</v>
      </c>
      <c r="E275" t="s">
        <v>1276</v>
      </c>
      <c r="G275" t="s">
        <v>2100</v>
      </c>
      <c r="H275" s="37" t="s">
        <v>11</v>
      </c>
      <c r="I275" s="37" t="s">
        <v>13</v>
      </c>
      <c r="J275" t="s">
        <v>64</v>
      </c>
      <c r="K275" t="s">
        <v>2981</v>
      </c>
      <c r="L275" t="s">
        <v>3067</v>
      </c>
      <c r="O275" s="39"/>
      <c r="P275" t="s">
        <v>1708</v>
      </c>
      <c r="Q275" t="s">
        <v>1629</v>
      </c>
      <c r="R275" s="10">
        <v>1014.81</v>
      </c>
      <c r="S275" t="s">
        <v>1708</v>
      </c>
      <c r="T275" t="s">
        <v>1909</v>
      </c>
    </row>
    <row r="276" spans="1:20" hidden="1" x14ac:dyDescent="0.25">
      <c r="A276">
        <v>2023</v>
      </c>
      <c r="B276" t="s">
        <v>772</v>
      </c>
      <c r="C276" t="s">
        <v>73</v>
      </c>
      <c r="D276" t="s">
        <v>74</v>
      </c>
      <c r="E276" t="s">
        <v>1276</v>
      </c>
      <c r="G276" t="s">
        <v>2100</v>
      </c>
      <c r="H276" s="37" t="s">
        <v>11</v>
      </c>
      <c r="I276" s="37" t="s">
        <v>13</v>
      </c>
      <c r="J276" t="s">
        <v>64</v>
      </c>
      <c r="K276" t="s">
        <v>2982</v>
      </c>
      <c r="L276" t="s">
        <v>3069</v>
      </c>
      <c r="M276" t="s">
        <v>3055</v>
      </c>
      <c r="N276" t="s">
        <v>2982</v>
      </c>
      <c r="O276" s="39" t="s">
        <v>3058</v>
      </c>
      <c r="P276" t="s">
        <v>1676</v>
      </c>
      <c r="Q276" t="s">
        <v>1617</v>
      </c>
      <c r="R276" s="10">
        <v>6038.8</v>
      </c>
      <c r="S276" t="s">
        <v>1910</v>
      </c>
      <c r="T276" t="s">
        <v>1909</v>
      </c>
    </row>
    <row r="277" spans="1:20" hidden="1" x14ac:dyDescent="0.25">
      <c r="A277">
        <v>2023</v>
      </c>
      <c r="B277" t="s">
        <v>772</v>
      </c>
      <c r="C277" t="s">
        <v>73</v>
      </c>
      <c r="D277" t="s">
        <v>74</v>
      </c>
      <c r="E277" t="s">
        <v>1276</v>
      </c>
      <c r="G277" t="s">
        <v>2100</v>
      </c>
      <c r="H277" s="37" t="s">
        <v>11</v>
      </c>
      <c r="I277" s="37" t="s">
        <v>13</v>
      </c>
      <c r="J277" t="s">
        <v>64</v>
      </c>
      <c r="K277" t="s">
        <v>2982</v>
      </c>
      <c r="L277" t="s">
        <v>3068</v>
      </c>
      <c r="M277" t="s">
        <v>3055</v>
      </c>
      <c r="N277" t="s">
        <v>2982</v>
      </c>
      <c r="O277" s="39" t="s">
        <v>3058</v>
      </c>
      <c r="P277" t="s">
        <v>1753</v>
      </c>
      <c r="Q277" t="s">
        <v>1617</v>
      </c>
      <c r="R277" s="10">
        <v>5145.1000000000004</v>
      </c>
      <c r="S277" t="s">
        <v>1911</v>
      </c>
      <c r="T277" t="s">
        <v>1909</v>
      </c>
    </row>
    <row r="278" spans="1:20" hidden="1" x14ac:dyDescent="0.25">
      <c r="A278">
        <v>2023</v>
      </c>
      <c r="B278" t="s">
        <v>772</v>
      </c>
      <c r="C278" t="s">
        <v>736</v>
      </c>
      <c r="D278" t="s">
        <v>26</v>
      </c>
      <c r="E278" t="s">
        <v>1135</v>
      </c>
      <c r="G278" t="s">
        <v>2019</v>
      </c>
      <c r="H278" s="37" t="s">
        <v>11</v>
      </c>
      <c r="I278" s="37" t="s">
        <v>13</v>
      </c>
      <c r="J278" t="s">
        <v>16</v>
      </c>
      <c r="K278" t="s">
        <v>2983</v>
      </c>
      <c r="L278" t="s">
        <v>3066</v>
      </c>
      <c r="M278" t="s">
        <v>3054</v>
      </c>
      <c r="N278" t="s">
        <v>3161</v>
      </c>
      <c r="O278" s="39" t="s">
        <v>3042</v>
      </c>
      <c r="P278" t="s">
        <v>707</v>
      </c>
      <c r="Q278" t="s">
        <v>1546</v>
      </c>
      <c r="R278" s="10">
        <v>187.6</v>
      </c>
      <c r="T278" t="s">
        <v>1601</v>
      </c>
    </row>
    <row r="279" spans="1:20" hidden="1" x14ac:dyDescent="0.25">
      <c r="A279">
        <v>2023</v>
      </c>
      <c r="B279" t="s">
        <v>772</v>
      </c>
      <c r="C279" t="s">
        <v>736</v>
      </c>
      <c r="D279" t="s">
        <v>26</v>
      </c>
      <c r="E279" t="s">
        <v>1135</v>
      </c>
      <c r="G279" t="s">
        <v>2019</v>
      </c>
      <c r="H279" s="37" t="s">
        <v>11</v>
      </c>
      <c r="I279" s="37" t="s">
        <v>13</v>
      </c>
      <c r="J279" t="s">
        <v>16</v>
      </c>
      <c r="K279" t="s">
        <v>2983</v>
      </c>
      <c r="L279" t="s">
        <v>3066</v>
      </c>
      <c r="M279" t="s">
        <v>3055</v>
      </c>
      <c r="N279" t="s">
        <v>3040</v>
      </c>
      <c r="O279" s="39" t="s">
        <v>3057</v>
      </c>
      <c r="P279" t="s">
        <v>1605</v>
      </c>
      <c r="Q279" t="s">
        <v>1635</v>
      </c>
      <c r="R279" s="10">
        <v>21634</v>
      </c>
      <c r="S279" t="s">
        <v>1605</v>
      </c>
      <c r="T279" t="s">
        <v>1601</v>
      </c>
    </row>
    <row r="280" spans="1:20" hidden="1" x14ac:dyDescent="0.25">
      <c r="A280">
        <v>2023</v>
      </c>
      <c r="B280" t="s">
        <v>772</v>
      </c>
      <c r="C280" t="s">
        <v>736</v>
      </c>
      <c r="D280" t="s">
        <v>26</v>
      </c>
      <c r="E280" t="s">
        <v>1135</v>
      </c>
      <c r="G280" t="s">
        <v>2019</v>
      </c>
      <c r="H280" s="37" t="s">
        <v>11</v>
      </c>
      <c r="I280" s="37" t="s">
        <v>13</v>
      </c>
      <c r="J280" t="s">
        <v>16</v>
      </c>
      <c r="K280" t="s">
        <v>2983</v>
      </c>
      <c r="L280" t="s">
        <v>3066</v>
      </c>
      <c r="M280" t="s">
        <v>3055</v>
      </c>
      <c r="N280" t="s">
        <v>3040</v>
      </c>
      <c r="O280" s="39" t="s">
        <v>3057</v>
      </c>
      <c r="P280" t="s">
        <v>1606</v>
      </c>
      <c r="Q280" t="s">
        <v>1635</v>
      </c>
      <c r="R280" s="10">
        <v>8006</v>
      </c>
      <c r="S280" t="s">
        <v>1606</v>
      </c>
      <c r="T280" t="s">
        <v>1601</v>
      </c>
    </row>
    <row r="281" spans="1:20" hidden="1" x14ac:dyDescent="0.25">
      <c r="A281">
        <v>2023</v>
      </c>
      <c r="B281" t="s">
        <v>772</v>
      </c>
      <c r="C281" t="s">
        <v>736</v>
      </c>
      <c r="D281" t="s">
        <v>26</v>
      </c>
      <c r="E281" t="s">
        <v>1135</v>
      </c>
      <c r="G281" t="s">
        <v>2019</v>
      </c>
      <c r="H281" s="37" t="s">
        <v>11</v>
      </c>
      <c r="I281" s="37" t="s">
        <v>13</v>
      </c>
      <c r="J281" t="s">
        <v>16</v>
      </c>
      <c r="K281" t="s">
        <v>2983</v>
      </c>
      <c r="L281" t="s">
        <v>3066</v>
      </c>
      <c r="M281" t="s">
        <v>3055</v>
      </c>
      <c r="N281" t="s">
        <v>3040</v>
      </c>
      <c r="O281" s="39" t="s">
        <v>3057</v>
      </c>
      <c r="P281" t="s">
        <v>1607</v>
      </c>
      <c r="Q281" t="s">
        <v>1635</v>
      </c>
      <c r="R281" s="10">
        <v>98564</v>
      </c>
      <c r="S281" t="s">
        <v>1607</v>
      </c>
      <c r="T281" t="s">
        <v>1601</v>
      </c>
    </row>
    <row r="282" spans="1:20" hidden="1" x14ac:dyDescent="0.25">
      <c r="A282">
        <v>2023</v>
      </c>
      <c r="B282" t="s">
        <v>772</v>
      </c>
      <c r="C282" t="s">
        <v>736</v>
      </c>
      <c r="D282" t="s">
        <v>26</v>
      </c>
      <c r="E282" t="s">
        <v>1135</v>
      </c>
      <c r="G282" t="s">
        <v>2019</v>
      </c>
      <c r="H282" s="37" t="s">
        <v>11</v>
      </c>
      <c r="I282" s="37" t="s">
        <v>13</v>
      </c>
      <c r="J282" t="s">
        <v>16</v>
      </c>
      <c r="K282" t="s">
        <v>2983</v>
      </c>
      <c r="L282" t="s">
        <v>3066</v>
      </c>
      <c r="M282" t="s">
        <v>3054</v>
      </c>
      <c r="N282" t="s">
        <v>2985</v>
      </c>
      <c r="O282" s="39" t="s">
        <v>3048</v>
      </c>
      <c r="P282" t="s">
        <v>1605</v>
      </c>
      <c r="Q282" t="s">
        <v>1635</v>
      </c>
      <c r="R282" s="10">
        <v>73</v>
      </c>
      <c r="S282" t="s">
        <v>1605</v>
      </c>
      <c r="T282" t="s">
        <v>1601</v>
      </c>
    </row>
    <row r="283" spans="1:20" hidden="1" x14ac:dyDescent="0.25">
      <c r="A283">
        <v>2023</v>
      </c>
      <c r="B283" t="s">
        <v>772</v>
      </c>
      <c r="C283" t="s">
        <v>736</v>
      </c>
      <c r="D283" t="s">
        <v>26</v>
      </c>
      <c r="E283" t="s">
        <v>1135</v>
      </c>
      <c r="G283" t="s">
        <v>2019</v>
      </c>
      <c r="H283" s="37" t="s">
        <v>11</v>
      </c>
      <c r="I283" s="37" t="s">
        <v>13</v>
      </c>
      <c r="J283" t="s">
        <v>16</v>
      </c>
      <c r="K283" t="s">
        <v>2983</v>
      </c>
      <c r="L283" t="s">
        <v>3066</v>
      </c>
      <c r="M283" t="s">
        <v>3055</v>
      </c>
      <c r="N283" t="s">
        <v>1636</v>
      </c>
      <c r="O283" s="39" t="s">
        <v>3059</v>
      </c>
      <c r="P283" t="s">
        <v>707</v>
      </c>
      <c r="Q283" t="s">
        <v>1546</v>
      </c>
      <c r="R283" s="10">
        <v>28.103000000000002</v>
      </c>
      <c r="T283" t="s">
        <v>1601</v>
      </c>
    </row>
    <row r="284" spans="1:20" hidden="1" x14ac:dyDescent="0.25">
      <c r="A284">
        <v>2023</v>
      </c>
      <c r="B284" t="s">
        <v>772</v>
      </c>
      <c r="C284" t="s">
        <v>736</v>
      </c>
      <c r="D284" t="s">
        <v>26</v>
      </c>
      <c r="E284" t="s">
        <v>1135</v>
      </c>
      <c r="G284" t="s">
        <v>2019</v>
      </c>
      <c r="H284" s="37" t="s">
        <v>11</v>
      </c>
      <c r="I284" s="37" t="s">
        <v>13</v>
      </c>
      <c r="J284" t="s">
        <v>16</v>
      </c>
      <c r="K284" t="s">
        <v>2983</v>
      </c>
      <c r="L284" t="s">
        <v>3066</v>
      </c>
      <c r="M284" t="s">
        <v>3055</v>
      </c>
      <c r="N284" t="s">
        <v>3160</v>
      </c>
      <c r="O284" s="39" t="s">
        <v>3074</v>
      </c>
      <c r="P284" t="s">
        <v>707</v>
      </c>
      <c r="Q284" t="s">
        <v>1546</v>
      </c>
      <c r="R284" s="10">
        <v>8.6</v>
      </c>
      <c r="T284" t="s">
        <v>1601</v>
      </c>
    </row>
    <row r="285" spans="1:20" hidden="1" x14ac:dyDescent="0.25">
      <c r="A285">
        <v>2023</v>
      </c>
      <c r="B285" t="s">
        <v>772</v>
      </c>
      <c r="C285" t="s">
        <v>736</v>
      </c>
      <c r="D285" t="s">
        <v>26</v>
      </c>
      <c r="E285" t="s">
        <v>1135</v>
      </c>
      <c r="G285" t="s">
        <v>2019</v>
      </c>
      <c r="H285" s="37" t="s">
        <v>11</v>
      </c>
      <c r="I285" s="37" t="s">
        <v>13</v>
      </c>
      <c r="J285" t="s">
        <v>16</v>
      </c>
      <c r="K285" t="s">
        <v>2983</v>
      </c>
      <c r="L285" t="s">
        <v>3066</v>
      </c>
      <c r="M285" t="s">
        <v>3055</v>
      </c>
      <c r="N285" t="s">
        <v>3075</v>
      </c>
      <c r="O285" s="39" t="s">
        <v>3076</v>
      </c>
      <c r="P285" t="s">
        <v>707</v>
      </c>
      <c r="Q285" t="s">
        <v>1546</v>
      </c>
      <c r="R285" s="10">
        <v>2.6</v>
      </c>
      <c r="T285" t="s">
        <v>1601</v>
      </c>
    </row>
    <row r="286" spans="1:20" hidden="1" x14ac:dyDescent="0.25">
      <c r="A286">
        <v>2023</v>
      </c>
      <c r="B286" t="s">
        <v>772</v>
      </c>
      <c r="C286" t="s">
        <v>736</v>
      </c>
      <c r="D286" t="s">
        <v>26</v>
      </c>
      <c r="E286" t="s">
        <v>1135</v>
      </c>
      <c r="G286" t="s">
        <v>2019</v>
      </c>
      <c r="H286" s="37" t="s">
        <v>11</v>
      </c>
      <c r="I286" s="37" t="s">
        <v>13</v>
      </c>
      <c r="J286" t="s">
        <v>16</v>
      </c>
      <c r="K286" t="s">
        <v>2983</v>
      </c>
      <c r="L286" t="s">
        <v>3066</v>
      </c>
      <c r="M286" t="s">
        <v>3055</v>
      </c>
      <c r="N286" t="s">
        <v>2987</v>
      </c>
      <c r="O286" s="39" t="s">
        <v>3062</v>
      </c>
      <c r="P286" t="s">
        <v>707</v>
      </c>
      <c r="Q286" t="s">
        <v>1546</v>
      </c>
      <c r="R286" s="10">
        <v>38.54224</v>
      </c>
      <c r="T286" t="s">
        <v>1601</v>
      </c>
    </row>
    <row r="287" spans="1:20" hidden="1" x14ac:dyDescent="0.25">
      <c r="A287">
        <v>2023</v>
      </c>
      <c r="B287" t="s">
        <v>772</v>
      </c>
      <c r="C287" t="s">
        <v>736</v>
      </c>
      <c r="D287" t="s">
        <v>26</v>
      </c>
      <c r="E287" t="s">
        <v>1135</v>
      </c>
      <c r="G287" t="s">
        <v>2019</v>
      </c>
      <c r="H287" s="37" t="s">
        <v>11</v>
      </c>
      <c r="I287" s="37" t="s">
        <v>13</v>
      </c>
      <c r="J287" t="s">
        <v>16</v>
      </c>
      <c r="K287" t="s">
        <v>2983</v>
      </c>
      <c r="L287" t="s">
        <v>3066</v>
      </c>
      <c r="M287" t="s">
        <v>3055</v>
      </c>
      <c r="N287" t="s">
        <v>1637</v>
      </c>
      <c r="O287" s="39" t="s">
        <v>3063</v>
      </c>
      <c r="P287" t="s">
        <v>707</v>
      </c>
      <c r="Q287" t="s">
        <v>1546</v>
      </c>
      <c r="R287" s="10">
        <v>0.24299999999999999</v>
      </c>
      <c r="T287" t="s">
        <v>1601</v>
      </c>
    </row>
    <row r="288" spans="1:20" hidden="1" x14ac:dyDescent="0.25">
      <c r="A288">
        <v>2023</v>
      </c>
      <c r="B288" t="s">
        <v>772</v>
      </c>
      <c r="C288" t="s">
        <v>736</v>
      </c>
      <c r="D288" t="s">
        <v>26</v>
      </c>
      <c r="E288" t="s">
        <v>1135</v>
      </c>
      <c r="G288" t="s">
        <v>2019</v>
      </c>
      <c r="H288" s="37" t="s">
        <v>11</v>
      </c>
      <c r="I288" s="37" t="s">
        <v>13</v>
      </c>
      <c r="J288" t="s">
        <v>16</v>
      </c>
      <c r="K288" t="s">
        <v>2983</v>
      </c>
      <c r="L288" t="s">
        <v>3066</v>
      </c>
      <c r="M288" t="s">
        <v>3055</v>
      </c>
      <c r="N288" t="s">
        <v>3155</v>
      </c>
      <c r="O288" s="39" t="s">
        <v>3047</v>
      </c>
      <c r="P288" t="s">
        <v>707</v>
      </c>
      <c r="Q288" t="s">
        <v>1546</v>
      </c>
      <c r="R288" s="10">
        <v>31.552</v>
      </c>
      <c r="T288" t="s">
        <v>1601</v>
      </c>
    </row>
    <row r="289" spans="1:20" hidden="1" x14ac:dyDescent="0.25">
      <c r="A289">
        <v>2023</v>
      </c>
      <c r="B289" t="s">
        <v>772</v>
      </c>
      <c r="C289" t="s">
        <v>736</v>
      </c>
      <c r="D289" t="s">
        <v>26</v>
      </c>
      <c r="E289" t="s">
        <v>1135</v>
      </c>
      <c r="G289" t="s">
        <v>2019</v>
      </c>
      <c r="H289" s="37" t="s">
        <v>11</v>
      </c>
      <c r="I289" s="37" t="s">
        <v>13</v>
      </c>
      <c r="J289" t="s">
        <v>16</v>
      </c>
      <c r="K289" t="s">
        <v>2981</v>
      </c>
      <c r="L289" t="s">
        <v>3067</v>
      </c>
      <c r="O289" s="39"/>
      <c r="P289" t="s">
        <v>1626</v>
      </c>
      <c r="Q289" t="s">
        <v>1629</v>
      </c>
      <c r="R289" s="10">
        <v>1413</v>
      </c>
      <c r="S289" t="s">
        <v>1626</v>
      </c>
      <c r="T289" t="s">
        <v>1601</v>
      </c>
    </row>
    <row r="290" spans="1:20" hidden="1" x14ac:dyDescent="0.25">
      <c r="A290">
        <v>2023</v>
      </c>
      <c r="B290" t="s">
        <v>772</v>
      </c>
      <c r="C290" t="s">
        <v>736</v>
      </c>
      <c r="D290" t="s">
        <v>26</v>
      </c>
      <c r="E290" t="s">
        <v>1135</v>
      </c>
      <c r="G290" t="s">
        <v>2019</v>
      </c>
      <c r="H290" s="37" t="s">
        <v>11</v>
      </c>
      <c r="I290" s="37" t="s">
        <v>13</v>
      </c>
      <c r="J290" t="s">
        <v>16</v>
      </c>
      <c r="K290" t="s">
        <v>2981</v>
      </c>
      <c r="L290" t="s">
        <v>3067</v>
      </c>
      <c r="O290" s="39"/>
      <c r="P290" t="s">
        <v>1627</v>
      </c>
      <c r="Q290" t="s">
        <v>1629</v>
      </c>
      <c r="R290" s="10">
        <v>432</v>
      </c>
      <c r="S290" t="s">
        <v>1627</v>
      </c>
      <c r="T290" t="s">
        <v>1601</v>
      </c>
    </row>
    <row r="291" spans="1:20" hidden="1" x14ac:dyDescent="0.25">
      <c r="A291">
        <v>2023</v>
      </c>
      <c r="B291" t="s">
        <v>772</v>
      </c>
      <c r="C291" t="s">
        <v>736</v>
      </c>
      <c r="D291" t="s">
        <v>26</v>
      </c>
      <c r="E291" t="s">
        <v>1135</v>
      </c>
      <c r="G291" t="s">
        <v>2019</v>
      </c>
      <c r="H291" s="37" t="s">
        <v>11</v>
      </c>
      <c r="I291" s="37" t="s">
        <v>13</v>
      </c>
      <c r="J291" t="s">
        <v>16</v>
      </c>
      <c r="K291" t="s">
        <v>2982</v>
      </c>
      <c r="L291" t="s">
        <v>3068</v>
      </c>
      <c r="M291" t="s">
        <v>3055</v>
      </c>
      <c r="N291" t="s">
        <v>2982</v>
      </c>
      <c r="O291" s="39" t="s">
        <v>3058</v>
      </c>
      <c r="P291" t="s">
        <v>1616</v>
      </c>
      <c r="Q291" t="s">
        <v>1617</v>
      </c>
      <c r="R291" s="10">
        <v>2879.3</v>
      </c>
      <c r="S291" t="s">
        <v>1616</v>
      </c>
      <c r="T291" t="s">
        <v>1601</v>
      </c>
    </row>
    <row r="292" spans="1:20" hidden="1" x14ac:dyDescent="0.25">
      <c r="A292">
        <v>2023</v>
      </c>
      <c r="B292" t="s">
        <v>772</v>
      </c>
      <c r="C292" t="s">
        <v>736</v>
      </c>
      <c r="D292" t="s">
        <v>26</v>
      </c>
      <c r="E292" t="s">
        <v>1135</v>
      </c>
      <c r="G292" t="s">
        <v>2019</v>
      </c>
      <c r="H292" s="37" t="s">
        <v>11</v>
      </c>
      <c r="I292" s="37" t="s">
        <v>13</v>
      </c>
      <c r="J292" t="s">
        <v>16</v>
      </c>
      <c r="K292" t="s">
        <v>2982</v>
      </c>
      <c r="L292" t="s">
        <v>3069</v>
      </c>
      <c r="M292" t="s">
        <v>3055</v>
      </c>
      <c r="N292" t="s">
        <v>2982</v>
      </c>
      <c r="O292" s="39" t="s">
        <v>3058</v>
      </c>
      <c r="P292" t="s">
        <v>1676</v>
      </c>
      <c r="Q292" t="s">
        <v>1617</v>
      </c>
      <c r="R292" s="10">
        <v>1088.5</v>
      </c>
      <c r="S292" t="s">
        <v>1618</v>
      </c>
      <c r="T292" t="s">
        <v>1601</v>
      </c>
    </row>
    <row r="293" spans="1:20" hidden="1" x14ac:dyDescent="0.25">
      <c r="A293">
        <v>2023</v>
      </c>
      <c r="B293" t="s">
        <v>772</v>
      </c>
      <c r="C293" t="s">
        <v>736</v>
      </c>
      <c r="D293" t="s">
        <v>26</v>
      </c>
      <c r="E293" t="s">
        <v>1135</v>
      </c>
      <c r="G293" t="s">
        <v>2019</v>
      </c>
      <c r="H293" s="37" t="s">
        <v>11</v>
      </c>
      <c r="I293" s="37" t="s">
        <v>13</v>
      </c>
      <c r="J293" t="s">
        <v>16</v>
      </c>
      <c r="K293" t="s">
        <v>2982</v>
      </c>
      <c r="L293" t="s">
        <v>3070</v>
      </c>
      <c r="M293" t="s">
        <v>3055</v>
      </c>
      <c r="N293" t="s">
        <v>2982</v>
      </c>
      <c r="O293" s="39" t="s">
        <v>3058</v>
      </c>
      <c r="P293" t="s">
        <v>1639</v>
      </c>
      <c r="Q293" t="s">
        <v>1617</v>
      </c>
      <c r="R293" s="10">
        <v>1790.81</v>
      </c>
      <c r="S293" t="s">
        <v>1619</v>
      </c>
      <c r="T293" t="s">
        <v>1601</v>
      </c>
    </row>
  </sheetData>
  <autoFilter ref="A1:T293" xr:uid="{0CC5A778-F666-4D25-9615-BD5BD598548E}">
    <filterColumn colId="3">
      <filters>
        <filter val="Red Chris"/>
      </filters>
    </filterColumn>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sheetPr filterMode="1"/>
  <dimension ref="A1:P234"/>
  <sheetViews>
    <sheetView tabSelected="1" topLeftCell="B1" workbookViewId="0">
      <pane xSplit="5" topLeftCell="H1" activePane="topRight" state="frozen"/>
      <selection activeCell="B1" sqref="B1"/>
      <selection pane="topRight" activeCell="D27" sqref="D27:F216"/>
    </sheetView>
  </sheetViews>
  <sheetFormatPr baseColWidth="10" defaultColWidth="8.7109375" defaultRowHeight="15" x14ac:dyDescent="0.25"/>
  <cols>
    <col min="1" max="1" width="6.85546875" bestFit="1" customWidth="1"/>
    <col min="2" max="2" width="32.85546875" bestFit="1" customWidth="1"/>
    <col min="3" max="3" width="28" bestFit="1" customWidth="1"/>
    <col min="4" max="4" width="20" bestFit="1" customWidth="1"/>
    <col min="5" max="5" width="17.85546875" bestFit="1" customWidth="1"/>
    <col min="6" max="7" width="17.85546875" customWidth="1"/>
    <col min="8" max="8" width="22.42578125" bestFit="1" customWidth="1"/>
    <col min="9" max="9" width="31.42578125" bestFit="1" customWidth="1"/>
    <col min="10" max="10" width="29.140625" bestFit="1" customWidth="1"/>
    <col min="11" max="11" width="29.140625" customWidth="1"/>
    <col min="12" max="12" width="46.140625" bestFit="1" customWidth="1"/>
    <col min="13" max="13" width="32.42578125" bestFit="1" customWidth="1"/>
    <col min="14" max="14" width="12.42578125" style="10" bestFit="1" customWidth="1"/>
    <col min="15" max="15" width="48.5703125" style="10" bestFit="1" customWidth="1"/>
    <col min="16" max="16" width="53.85546875" bestFit="1" customWidth="1"/>
  </cols>
  <sheetData>
    <row r="1" spans="1:16" x14ac:dyDescent="0.25">
      <c r="A1" s="6" t="s">
        <v>1538</v>
      </c>
      <c r="B1" s="6" t="s">
        <v>1553</v>
      </c>
      <c r="C1" s="7" t="s">
        <v>0</v>
      </c>
      <c r="D1" s="6" t="s">
        <v>1653</v>
      </c>
      <c r="E1" s="6" t="s">
        <v>2</v>
      </c>
      <c r="F1" s="6" t="s">
        <v>2012</v>
      </c>
      <c r="G1" s="6" t="s">
        <v>2010</v>
      </c>
      <c r="H1" s="6" t="s">
        <v>4</v>
      </c>
      <c r="I1" s="6" t="s">
        <v>6</v>
      </c>
      <c r="J1" s="6" t="s">
        <v>1540</v>
      </c>
      <c r="K1" s="6" t="s">
        <v>2979</v>
      </c>
      <c r="L1" s="6" t="s">
        <v>2984</v>
      </c>
      <c r="M1" s="6" t="s">
        <v>1542</v>
      </c>
      <c r="N1" s="9" t="s">
        <v>2482</v>
      </c>
      <c r="O1" s="9" t="s">
        <v>7</v>
      </c>
      <c r="P1" s="6" t="s">
        <v>1543</v>
      </c>
    </row>
    <row r="2" spans="1:16" hidden="1" x14ac:dyDescent="0.25">
      <c r="A2">
        <v>2023</v>
      </c>
      <c r="B2" t="s">
        <v>772</v>
      </c>
      <c r="C2" t="s">
        <v>39</v>
      </c>
      <c r="D2" t="s">
        <v>77</v>
      </c>
      <c r="E2" t="s">
        <v>1323</v>
      </c>
      <c r="G2" t="s">
        <v>2133</v>
      </c>
      <c r="H2" t="s">
        <v>11</v>
      </c>
      <c r="I2" t="s">
        <v>13</v>
      </c>
      <c r="J2" t="s">
        <v>64</v>
      </c>
      <c r="K2" t="s">
        <v>3081</v>
      </c>
      <c r="L2" t="s">
        <v>3032</v>
      </c>
      <c r="M2" t="s">
        <v>402</v>
      </c>
      <c r="N2" s="10">
        <v>18.475650647999998</v>
      </c>
      <c r="P2" t="s">
        <v>1583</v>
      </c>
    </row>
    <row r="3" spans="1:16" hidden="1" x14ac:dyDescent="0.25">
      <c r="A3">
        <v>2023</v>
      </c>
      <c r="B3" t="s">
        <v>772</v>
      </c>
      <c r="C3" t="s">
        <v>39</v>
      </c>
      <c r="D3" t="s">
        <v>77</v>
      </c>
      <c r="E3" t="s">
        <v>1323</v>
      </c>
      <c r="G3" t="s">
        <v>2133</v>
      </c>
      <c r="H3" t="s">
        <v>11</v>
      </c>
      <c r="I3" t="s">
        <v>13</v>
      </c>
      <c r="J3" t="s">
        <v>64</v>
      </c>
      <c r="K3" t="s">
        <v>3081</v>
      </c>
      <c r="L3" t="s">
        <v>3034</v>
      </c>
      <c r="M3" t="s">
        <v>402</v>
      </c>
      <c r="N3" s="10">
        <v>72676.110789600003</v>
      </c>
      <c r="P3" t="s">
        <v>1583</v>
      </c>
    </row>
    <row r="4" spans="1:16" hidden="1" x14ac:dyDescent="0.25">
      <c r="A4">
        <v>2023</v>
      </c>
      <c r="B4" t="s">
        <v>772</v>
      </c>
      <c r="C4" t="s">
        <v>39</v>
      </c>
      <c r="D4" t="s">
        <v>77</v>
      </c>
      <c r="E4" t="s">
        <v>1323</v>
      </c>
      <c r="G4" t="s">
        <v>2133</v>
      </c>
      <c r="H4" t="s">
        <v>11</v>
      </c>
      <c r="I4" t="s">
        <v>13</v>
      </c>
      <c r="J4" t="s">
        <v>64</v>
      </c>
      <c r="K4" t="s">
        <v>3081</v>
      </c>
      <c r="L4" t="s">
        <v>1719</v>
      </c>
      <c r="M4" t="s">
        <v>402</v>
      </c>
      <c r="N4" s="10">
        <v>287042.44723154203</v>
      </c>
      <c r="P4" t="s">
        <v>1583</v>
      </c>
    </row>
    <row r="5" spans="1:16" hidden="1" x14ac:dyDescent="0.25">
      <c r="A5">
        <v>2023</v>
      </c>
      <c r="B5" t="s">
        <v>772</v>
      </c>
      <c r="C5" t="s">
        <v>39</v>
      </c>
      <c r="D5" t="s">
        <v>77</v>
      </c>
      <c r="E5" t="s">
        <v>1323</v>
      </c>
      <c r="G5" t="s">
        <v>2133</v>
      </c>
      <c r="H5" t="s">
        <v>11</v>
      </c>
      <c r="I5" t="s">
        <v>13</v>
      </c>
      <c r="J5" t="s">
        <v>64</v>
      </c>
      <c r="K5" t="s">
        <v>3081</v>
      </c>
      <c r="L5" t="s">
        <v>1582</v>
      </c>
      <c r="M5" t="s">
        <v>402</v>
      </c>
      <c r="N5" s="10">
        <v>86225.117395599998</v>
      </c>
      <c r="P5" t="s">
        <v>1583</v>
      </c>
    </row>
    <row r="6" spans="1:16" hidden="1" x14ac:dyDescent="0.25">
      <c r="A6">
        <v>2023</v>
      </c>
      <c r="B6" t="s">
        <v>772</v>
      </c>
      <c r="C6" t="s">
        <v>39</v>
      </c>
      <c r="D6" t="s">
        <v>77</v>
      </c>
      <c r="E6" t="s">
        <v>1323</v>
      </c>
      <c r="G6" t="s">
        <v>2133</v>
      </c>
      <c r="H6" t="s">
        <v>11</v>
      </c>
      <c r="I6" t="s">
        <v>13</v>
      </c>
      <c r="J6" t="s">
        <v>64</v>
      </c>
      <c r="K6" t="s">
        <v>3081</v>
      </c>
      <c r="L6" t="s">
        <v>1718</v>
      </c>
      <c r="M6" t="s">
        <v>402</v>
      </c>
      <c r="N6" s="10">
        <v>569009.58479999995</v>
      </c>
      <c r="P6" t="s">
        <v>1583</v>
      </c>
    </row>
    <row r="7" spans="1:16" hidden="1" x14ac:dyDescent="0.25">
      <c r="A7">
        <v>2023</v>
      </c>
      <c r="B7" t="s">
        <v>772</v>
      </c>
      <c r="C7" t="s">
        <v>39</v>
      </c>
      <c r="D7" t="s">
        <v>77</v>
      </c>
      <c r="E7" t="s">
        <v>1323</v>
      </c>
      <c r="G7" t="s">
        <v>2133</v>
      </c>
      <c r="H7" t="s">
        <v>11</v>
      </c>
      <c r="I7" t="s">
        <v>13</v>
      </c>
      <c r="J7" t="s">
        <v>64</v>
      </c>
      <c r="K7" t="s">
        <v>3081</v>
      </c>
      <c r="L7" t="s">
        <v>1720</v>
      </c>
      <c r="M7" t="s">
        <v>402</v>
      </c>
      <c r="N7" s="10">
        <v>13568.45</v>
      </c>
      <c r="P7" t="s">
        <v>1583</v>
      </c>
    </row>
    <row r="8" spans="1:16" hidden="1" x14ac:dyDescent="0.25">
      <c r="A8">
        <v>2023</v>
      </c>
      <c r="B8" t="s">
        <v>772</v>
      </c>
      <c r="C8" t="s">
        <v>39</v>
      </c>
      <c r="D8" t="s">
        <v>77</v>
      </c>
      <c r="E8" t="s">
        <v>1323</v>
      </c>
      <c r="G8" t="s">
        <v>2133</v>
      </c>
      <c r="H8" t="s">
        <v>11</v>
      </c>
      <c r="I8" t="s">
        <v>13</v>
      </c>
      <c r="J8" t="s">
        <v>64</v>
      </c>
      <c r="K8" t="s">
        <v>3081</v>
      </c>
      <c r="L8" t="s">
        <v>1713</v>
      </c>
      <c r="M8" t="s">
        <v>402</v>
      </c>
      <c r="N8" s="10">
        <v>42071.041299999997</v>
      </c>
      <c r="P8" t="s">
        <v>1583</v>
      </c>
    </row>
    <row r="9" spans="1:16" hidden="1" x14ac:dyDescent="0.25">
      <c r="A9">
        <v>2023</v>
      </c>
      <c r="B9" t="s">
        <v>772</v>
      </c>
      <c r="C9" t="s">
        <v>39</v>
      </c>
      <c r="D9" t="s">
        <v>77</v>
      </c>
      <c r="E9" t="s">
        <v>1323</v>
      </c>
      <c r="G9" t="s">
        <v>2133</v>
      </c>
      <c r="H9" t="s">
        <v>11</v>
      </c>
      <c r="I9" t="s">
        <v>13</v>
      </c>
      <c r="J9" t="s">
        <v>64</v>
      </c>
      <c r="K9" t="s">
        <v>3081</v>
      </c>
      <c r="L9" t="s">
        <v>3035</v>
      </c>
      <c r="M9" t="s">
        <v>402</v>
      </c>
      <c r="N9" s="10">
        <v>2344.0243999999998</v>
      </c>
      <c r="P9" t="s">
        <v>1583</v>
      </c>
    </row>
    <row r="10" spans="1:16" hidden="1" x14ac:dyDescent="0.25">
      <c r="A10">
        <v>2023</v>
      </c>
      <c r="B10" t="s">
        <v>772</v>
      </c>
      <c r="C10" t="s">
        <v>14</v>
      </c>
      <c r="D10" t="s">
        <v>65</v>
      </c>
      <c r="E10" t="s">
        <v>1125</v>
      </c>
      <c r="G10" t="s">
        <v>2016</v>
      </c>
      <c r="H10" t="s">
        <v>11</v>
      </c>
      <c r="I10" t="s">
        <v>13</v>
      </c>
      <c r="J10" t="s">
        <v>64</v>
      </c>
      <c r="K10" t="s">
        <v>3081</v>
      </c>
      <c r="L10" t="s">
        <v>1719</v>
      </c>
      <c r="M10" t="s">
        <v>402</v>
      </c>
      <c r="N10" s="10">
        <v>2557832</v>
      </c>
      <c r="P10" t="s">
        <v>1547</v>
      </c>
    </row>
    <row r="11" spans="1:16" hidden="1" x14ac:dyDescent="0.25">
      <c r="A11">
        <v>2023</v>
      </c>
      <c r="B11" t="s">
        <v>772</v>
      </c>
      <c r="C11" t="s">
        <v>14</v>
      </c>
      <c r="D11" t="s">
        <v>65</v>
      </c>
      <c r="E11" t="s">
        <v>1125</v>
      </c>
      <c r="G11" t="s">
        <v>2016</v>
      </c>
      <c r="H11" t="s">
        <v>11</v>
      </c>
      <c r="I11" t="s">
        <v>13</v>
      </c>
      <c r="J11" t="s">
        <v>64</v>
      </c>
      <c r="K11" t="s">
        <v>3081</v>
      </c>
      <c r="L11" t="s">
        <v>1718</v>
      </c>
      <c r="M11" t="s">
        <v>1577</v>
      </c>
      <c r="N11" s="10">
        <v>674524386</v>
      </c>
      <c r="P11" t="s">
        <v>1547</v>
      </c>
    </row>
    <row r="12" spans="1:16" hidden="1" x14ac:dyDescent="0.25">
      <c r="A12">
        <v>2023</v>
      </c>
      <c r="B12" t="s">
        <v>772</v>
      </c>
      <c r="C12" t="s">
        <v>14</v>
      </c>
      <c r="D12" t="s">
        <v>65</v>
      </c>
      <c r="E12" t="s">
        <v>1125</v>
      </c>
      <c r="G12" t="s">
        <v>2016</v>
      </c>
      <c r="H12" t="s">
        <v>11</v>
      </c>
      <c r="I12" t="s">
        <v>13</v>
      </c>
      <c r="J12" t="s">
        <v>64</v>
      </c>
      <c r="K12" t="s">
        <v>3081</v>
      </c>
      <c r="L12" t="s">
        <v>1991</v>
      </c>
      <c r="M12" t="s">
        <v>402</v>
      </c>
      <c r="N12" s="10">
        <v>42833</v>
      </c>
      <c r="P12" t="s">
        <v>1547</v>
      </c>
    </row>
    <row r="13" spans="1:16" hidden="1" x14ac:dyDescent="0.25">
      <c r="A13">
        <v>2023</v>
      </c>
      <c r="B13" t="s">
        <v>772</v>
      </c>
      <c r="C13" t="s">
        <v>14</v>
      </c>
      <c r="D13" t="s">
        <v>65</v>
      </c>
      <c r="E13" t="s">
        <v>1125</v>
      </c>
      <c r="G13" t="s">
        <v>2016</v>
      </c>
      <c r="H13" t="s">
        <v>11</v>
      </c>
      <c r="I13" t="s">
        <v>13</v>
      </c>
      <c r="J13" t="s">
        <v>64</v>
      </c>
      <c r="K13" t="s">
        <v>3081</v>
      </c>
      <c r="L13" t="s">
        <v>1714</v>
      </c>
      <c r="M13" t="s">
        <v>402</v>
      </c>
      <c r="N13" s="10">
        <v>162805</v>
      </c>
      <c r="P13" t="s">
        <v>1547</v>
      </c>
    </row>
    <row r="14" spans="1:16" hidden="1" x14ac:dyDescent="0.25">
      <c r="A14">
        <v>2023</v>
      </c>
      <c r="B14" t="s">
        <v>772</v>
      </c>
      <c r="C14" t="s">
        <v>14</v>
      </c>
      <c r="D14" t="s">
        <v>65</v>
      </c>
      <c r="E14" t="s">
        <v>1125</v>
      </c>
      <c r="G14" t="s">
        <v>2016</v>
      </c>
      <c r="H14" t="s">
        <v>11</v>
      </c>
      <c r="I14" t="s">
        <v>13</v>
      </c>
      <c r="J14" t="s">
        <v>64</v>
      </c>
      <c r="K14" t="s">
        <v>3081</v>
      </c>
      <c r="L14" t="s">
        <v>1713</v>
      </c>
      <c r="M14" t="s">
        <v>402</v>
      </c>
      <c r="N14" s="10">
        <v>1463.6093699999999</v>
      </c>
      <c r="P14" t="s">
        <v>1547</v>
      </c>
    </row>
    <row r="15" spans="1:16" hidden="1" x14ac:dyDescent="0.25">
      <c r="A15">
        <v>2023</v>
      </c>
      <c r="B15" t="s">
        <v>772</v>
      </c>
      <c r="C15" t="s">
        <v>861</v>
      </c>
      <c r="D15" t="s">
        <v>164</v>
      </c>
      <c r="E15" t="s">
        <v>1282</v>
      </c>
      <c r="G15" t="s">
        <v>2105</v>
      </c>
      <c r="H15" t="s">
        <v>11</v>
      </c>
      <c r="I15" t="s">
        <v>19</v>
      </c>
      <c r="J15" t="s">
        <v>157</v>
      </c>
      <c r="K15" t="s">
        <v>3081</v>
      </c>
      <c r="L15" t="s">
        <v>2319</v>
      </c>
      <c r="M15" t="s">
        <v>1935</v>
      </c>
      <c r="N15" s="10">
        <v>4145000</v>
      </c>
      <c r="O15" s="10" t="s">
        <v>3030</v>
      </c>
      <c r="P15" s="10" t="s">
        <v>1904</v>
      </c>
    </row>
    <row r="16" spans="1:16" hidden="1" x14ac:dyDescent="0.25">
      <c r="A16">
        <v>2023</v>
      </c>
      <c r="B16" t="s">
        <v>772</v>
      </c>
      <c r="C16" t="s">
        <v>8</v>
      </c>
      <c r="D16" t="s">
        <v>72</v>
      </c>
      <c r="E16" t="s">
        <v>1263</v>
      </c>
      <c r="G16" t="s">
        <v>1895</v>
      </c>
      <c r="H16" t="s">
        <v>11</v>
      </c>
      <c r="I16" t="s">
        <v>21</v>
      </c>
      <c r="J16" t="s">
        <v>130</v>
      </c>
      <c r="K16" t="s">
        <v>3081</v>
      </c>
      <c r="L16" t="s">
        <v>1882</v>
      </c>
      <c r="M16" t="s">
        <v>1897</v>
      </c>
      <c r="N16" s="10">
        <v>2785135</v>
      </c>
      <c r="P16" t="s">
        <v>1904</v>
      </c>
    </row>
    <row r="17" spans="1:16" hidden="1" x14ac:dyDescent="0.25">
      <c r="A17">
        <v>2023</v>
      </c>
      <c r="B17" t="s">
        <v>772</v>
      </c>
      <c r="C17" t="s">
        <v>8</v>
      </c>
      <c r="D17" t="s">
        <v>72</v>
      </c>
      <c r="E17" t="s">
        <v>1263</v>
      </c>
      <c r="G17" t="s">
        <v>1895</v>
      </c>
      <c r="H17" t="s">
        <v>11</v>
      </c>
      <c r="I17" t="s">
        <v>21</v>
      </c>
      <c r="J17" t="s">
        <v>130</v>
      </c>
      <c r="K17" t="s">
        <v>3081</v>
      </c>
      <c r="L17" t="s">
        <v>1924</v>
      </c>
      <c r="M17" t="s">
        <v>1577</v>
      </c>
      <c r="N17" s="10">
        <v>137676647</v>
      </c>
      <c r="P17" t="s">
        <v>1904</v>
      </c>
    </row>
    <row r="18" spans="1:16" hidden="1" x14ac:dyDescent="0.25">
      <c r="A18">
        <v>2023</v>
      </c>
      <c r="B18" t="s">
        <v>772</v>
      </c>
      <c r="C18" t="s">
        <v>8</v>
      </c>
      <c r="D18" t="s">
        <v>72</v>
      </c>
      <c r="E18" t="s">
        <v>1263</v>
      </c>
      <c r="G18" t="s">
        <v>1895</v>
      </c>
      <c r="H18" t="s">
        <v>11</v>
      </c>
      <c r="I18" t="s">
        <v>21</v>
      </c>
      <c r="J18" t="s">
        <v>130</v>
      </c>
      <c r="K18" t="s">
        <v>3081</v>
      </c>
      <c r="L18" t="s">
        <v>1902</v>
      </c>
      <c r="M18" t="s">
        <v>1897</v>
      </c>
      <c r="N18" s="10">
        <v>144321</v>
      </c>
      <c r="P18" t="s">
        <v>1904</v>
      </c>
    </row>
    <row r="19" spans="1:16" hidden="1" x14ac:dyDescent="0.25">
      <c r="A19">
        <v>2023</v>
      </c>
      <c r="B19" t="s">
        <v>772</v>
      </c>
      <c r="C19" t="s">
        <v>8</v>
      </c>
      <c r="D19" t="s">
        <v>72</v>
      </c>
      <c r="E19" t="s">
        <v>1263</v>
      </c>
      <c r="G19" t="s">
        <v>1895</v>
      </c>
      <c r="H19" t="s">
        <v>11</v>
      </c>
      <c r="I19" t="s">
        <v>21</v>
      </c>
      <c r="J19" t="s">
        <v>130</v>
      </c>
      <c r="K19" t="s">
        <v>3081</v>
      </c>
      <c r="L19" t="s">
        <v>1713</v>
      </c>
      <c r="M19" t="s">
        <v>1897</v>
      </c>
      <c r="N19" s="10">
        <v>494423</v>
      </c>
      <c r="P19" t="s">
        <v>1904</v>
      </c>
    </row>
    <row r="20" spans="1:16" hidden="1" x14ac:dyDescent="0.25">
      <c r="A20">
        <v>2023</v>
      </c>
      <c r="B20" t="s">
        <v>772</v>
      </c>
      <c r="C20" t="s">
        <v>8</v>
      </c>
      <c r="D20" t="s">
        <v>72</v>
      </c>
      <c r="E20" t="s">
        <v>1263</v>
      </c>
      <c r="G20" t="s">
        <v>1895</v>
      </c>
      <c r="H20" t="s">
        <v>11</v>
      </c>
      <c r="I20" t="s">
        <v>21</v>
      </c>
      <c r="J20" t="s">
        <v>130</v>
      </c>
      <c r="K20" t="s">
        <v>3082</v>
      </c>
      <c r="L20" t="s">
        <v>3146</v>
      </c>
      <c r="M20" t="s">
        <v>1903</v>
      </c>
      <c r="N20" s="10">
        <v>6543598</v>
      </c>
      <c r="O20" s="10" t="s">
        <v>3186</v>
      </c>
      <c r="P20" t="s">
        <v>1904</v>
      </c>
    </row>
    <row r="21" spans="1:16" hidden="1" x14ac:dyDescent="0.25">
      <c r="A21">
        <v>2023</v>
      </c>
      <c r="B21" t="s">
        <v>772</v>
      </c>
      <c r="C21" t="s">
        <v>717</v>
      </c>
      <c r="D21" t="s">
        <v>132</v>
      </c>
      <c r="E21" t="s">
        <v>1270</v>
      </c>
      <c r="G21" t="s">
        <v>1848</v>
      </c>
      <c r="H21" t="s">
        <v>11</v>
      </c>
      <c r="I21" t="s">
        <v>21</v>
      </c>
      <c r="J21" t="s">
        <v>130</v>
      </c>
      <c r="K21" t="s">
        <v>3081</v>
      </c>
      <c r="L21" t="s">
        <v>1719</v>
      </c>
      <c r="M21" t="s">
        <v>1780</v>
      </c>
      <c r="N21" s="10">
        <f>92*0.88</f>
        <v>80.959999999999994</v>
      </c>
      <c r="O21" s="10" t="s">
        <v>3029</v>
      </c>
      <c r="P21" t="s">
        <v>1781</v>
      </c>
    </row>
    <row r="22" spans="1:16" hidden="1" x14ac:dyDescent="0.25">
      <c r="A22">
        <v>2023</v>
      </c>
      <c r="B22" t="s">
        <v>772</v>
      </c>
      <c r="C22" t="s">
        <v>717</v>
      </c>
      <c r="D22" t="s">
        <v>132</v>
      </c>
      <c r="E22" t="s">
        <v>1270</v>
      </c>
      <c r="G22" t="s">
        <v>1848</v>
      </c>
      <c r="H22" t="s">
        <v>11</v>
      </c>
      <c r="I22" t="s">
        <v>21</v>
      </c>
      <c r="J22" t="s">
        <v>130</v>
      </c>
      <c r="K22" t="s">
        <v>3081</v>
      </c>
      <c r="L22" t="s">
        <v>1576</v>
      </c>
      <c r="M22" t="s">
        <v>1780</v>
      </c>
      <c r="N22" s="10">
        <v>1968</v>
      </c>
      <c r="P22" t="s">
        <v>1781</v>
      </c>
    </row>
    <row r="23" spans="1:16" hidden="1" x14ac:dyDescent="0.25">
      <c r="A23">
        <v>2023</v>
      </c>
      <c r="B23" t="s">
        <v>772</v>
      </c>
      <c r="C23" t="s">
        <v>717</v>
      </c>
      <c r="D23" t="s">
        <v>132</v>
      </c>
      <c r="E23" t="s">
        <v>1270</v>
      </c>
      <c r="G23" t="s">
        <v>1848</v>
      </c>
      <c r="H23" t="s">
        <v>11</v>
      </c>
      <c r="I23" t="s">
        <v>21</v>
      </c>
      <c r="J23" t="s">
        <v>130</v>
      </c>
      <c r="K23" t="s">
        <v>3081</v>
      </c>
      <c r="L23" t="s">
        <v>1720</v>
      </c>
      <c r="M23" t="s">
        <v>1780</v>
      </c>
      <c r="N23" s="10">
        <f>92*0.004</f>
        <v>0.36799999999999999</v>
      </c>
      <c r="O23" s="10" t="s">
        <v>3029</v>
      </c>
      <c r="P23" t="s">
        <v>1781</v>
      </c>
    </row>
    <row r="24" spans="1:16" hidden="1" x14ac:dyDescent="0.25">
      <c r="A24">
        <v>2023</v>
      </c>
      <c r="B24" t="s">
        <v>772</v>
      </c>
      <c r="C24" t="s">
        <v>717</v>
      </c>
      <c r="D24" t="s">
        <v>132</v>
      </c>
      <c r="E24" t="s">
        <v>1270</v>
      </c>
      <c r="G24" t="s">
        <v>1848</v>
      </c>
      <c r="H24" t="s">
        <v>11</v>
      </c>
      <c r="I24" t="s">
        <v>21</v>
      </c>
      <c r="J24" t="s">
        <v>130</v>
      </c>
      <c r="K24" t="s">
        <v>3081</v>
      </c>
      <c r="L24" t="s">
        <v>1713</v>
      </c>
      <c r="M24" t="s">
        <v>1780</v>
      </c>
      <c r="N24" s="10">
        <f>92*0.11</f>
        <v>10.119999999999999</v>
      </c>
      <c r="O24" s="10" t="s">
        <v>3029</v>
      </c>
      <c r="P24" t="s">
        <v>1781</v>
      </c>
    </row>
    <row r="25" spans="1:16" hidden="1" x14ac:dyDescent="0.25">
      <c r="A25">
        <v>2023</v>
      </c>
      <c r="B25" t="s">
        <v>772</v>
      </c>
      <c r="C25" t="s">
        <v>14</v>
      </c>
      <c r="D25" t="s">
        <v>18</v>
      </c>
      <c r="E25" t="s">
        <v>1127</v>
      </c>
      <c r="G25" t="s">
        <v>2016</v>
      </c>
      <c r="H25" t="s">
        <v>11</v>
      </c>
      <c r="I25" t="s">
        <v>19</v>
      </c>
      <c r="J25" t="s">
        <v>16</v>
      </c>
      <c r="K25" t="s">
        <v>3081</v>
      </c>
      <c r="L25" t="s">
        <v>1719</v>
      </c>
      <c r="M25" t="s">
        <v>402</v>
      </c>
      <c r="N25" s="10">
        <v>3947008</v>
      </c>
      <c r="P25" t="s">
        <v>1547</v>
      </c>
    </row>
    <row r="26" spans="1:16" hidden="1" x14ac:dyDescent="0.25">
      <c r="A26">
        <v>2023</v>
      </c>
      <c r="B26" t="s">
        <v>772</v>
      </c>
      <c r="C26" t="s">
        <v>14</v>
      </c>
      <c r="D26" t="s">
        <v>18</v>
      </c>
      <c r="E26" t="s">
        <v>1127</v>
      </c>
      <c r="G26" t="s">
        <v>2016</v>
      </c>
      <c r="H26" t="s">
        <v>11</v>
      </c>
      <c r="I26" t="s">
        <v>19</v>
      </c>
      <c r="J26" t="s">
        <v>16</v>
      </c>
      <c r="K26" t="s">
        <v>3081</v>
      </c>
      <c r="L26" t="s">
        <v>1718</v>
      </c>
      <c r="M26" t="s">
        <v>1577</v>
      </c>
      <c r="N26" s="10">
        <v>830958937</v>
      </c>
      <c r="P26" t="s">
        <v>1547</v>
      </c>
    </row>
    <row r="27" spans="1:16" x14ac:dyDescent="0.25">
      <c r="A27">
        <v>2023</v>
      </c>
      <c r="B27" t="s">
        <v>772</v>
      </c>
      <c r="C27" t="s">
        <v>14</v>
      </c>
      <c r="D27" t="s">
        <v>18</v>
      </c>
      <c r="E27" t="s">
        <v>1127</v>
      </c>
      <c r="G27" t="s">
        <v>2016</v>
      </c>
      <c r="H27" t="s">
        <v>11</v>
      </c>
      <c r="I27" t="s">
        <v>19</v>
      </c>
      <c r="J27" t="s">
        <v>16</v>
      </c>
      <c r="K27" t="s">
        <v>3082</v>
      </c>
      <c r="L27" t="s">
        <v>1912</v>
      </c>
      <c r="M27" t="s">
        <v>402</v>
      </c>
      <c r="N27" s="10">
        <v>65074</v>
      </c>
      <c r="P27" t="s">
        <v>1547</v>
      </c>
    </row>
    <row r="28" spans="1:16" hidden="1" x14ac:dyDescent="0.25">
      <c r="A28">
        <v>2023</v>
      </c>
      <c r="B28" t="s">
        <v>772</v>
      </c>
      <c r="C28" t="s">
        <v>14</v>
      </c>
      <c r="D28" t="s">
        <v>18</v>
      </c>
      <c r="E28" t="s">
        <v>1127</v>
      </c>
      <c r="G28" t="s">
        <v>2016</v>
      </c>
      <c r="H28" t="s">
        <v>11</v>
      </c>
      <c r="I28" t="s">
        <v>19</v>
      </c>
      <c r="J28" t="s">
        <v>16</v>
      </c>
      <c r="K28" t="s">
        <v>3081</v>
      </c>
      <c r="L28" t="s">
        <v>1991</v>
      </c>
      <c r="M28" t="s">
        <v>402</v>
      </c>
      <c r="N28" s="10">
        <v>71904</v>
      </c>
      <c r="P28" t="s">
        <v>1547</v>
      </c>
    </row>
    <row r="29" spans="1:16" hidden="1" x14ac:dyDescent="0.25">
      <c r="A29">
        <v>2023</v>
      </c>
      <c r="B29" t="s">
        <v>772</v>
      </c>
      <c r="C29" t="s">
        <v>14</v>
      </c>
      <c r="D29" t="s">
        <v>18</v>
      </c>
      <c r="E29" t="s">
        <v>1127</v>
      </c>
      <c r="G29" t="s">
        <v>2016</v>
      </c>
      <c r="H29" t="s">
        <v>11</v>
      </c>
      <c r="I29" t="s">
        <v>19</v>
      </c>
      <c r="J29" t="s">
        <v>16</v>
      </c>
      <c r="K29" t="s">
        <v>3081</v>
      </c>
      <c r="L29" t="s">
        <v>1713</v>
      </c>
      <c r="M29" t="s">
        <v>402</v>
      </c>
      <c r="N29" s="10">
        <v>182468</v>
      </c>
      <c r="P29" t="s">
        <v>1547</v>
      </c>
    </row>
    <row r="30" spans="1:16" hidden="1" x14ac:dyDescent="0.25">
      <c r="A30">
        <v>2023</v>
      </c>
      <c r="B30" t="s">
        <v>772</v>
      </c>
      <c r="C30" t="s">
        <v>58</v>
      </c>
      <c r="D30" t="s">
        <v>59</v>
      </c>
      <c r="E30" t="s">
        <v>1439</v>
      </c>
      <c r="G30" t="s">
        <v>2202</v>
      </c>
      <c r="H30" t="s">
        <v>11</v>
      </c>
      <c r="I30" t="s">
        <v>13</v>
      </c>
      <c r="J30" t="s">
        <v>16</v>
      </c>
      <c r="K30" t="s">
        <v>3081</v>
      </c>
      <c r="L30" t="s">
        <v>1719</v>
      </c>
      <c r="M30" t="s">
        <v>1715</v>
      </c>
      <c r="N30" s="10">
        <v>2829</v>
      </c>
      <c r="P30" t="s">
        <v>1634</v>
      </c>
    </row>
    <row r="31" spans="1:16" hidden="1" x14ac:dyDescent="0.25">
      <c r="A31">
        <v>2023</v>
      </c>
      <c r="B31" t="s">
        <v>772</v>
      </c>
      <c r="C31" t="s">
        <v>58</v>
      </c>
      <c r="D31" t="s">
        <v>59</v>
      </c>
      <c r="E31" t="s">
        <v>1439</v>
      </c>
      <c r="G31" t="s">
        <v>2202</v>
      </c>
      <c r="H31" t="s">
        <v>11</v>
      </c>
      <c r="I31" t="s">
        <v>13</v>
      </c>
      <c r="J31" t="s">
        <v>16</v>
      </c>
      <c r="K31" t="s">
        <v>3081</v>
      </c>
      <c r="L31" t="s">
        <v>1582</v>
      </c>
      <c r="M31" t="s">
        <v>1935</v>
      </c>
      <c r="N31" s="10">
        <f>(1-0.53)*72746</f>
        <v>34190.619999999995</v>
      </c>
      <c r="O31" s="10" t="s">
        <v>3145</v>
      </c>
      <c r="P31" t="s">
        <v>1634</v>
      </c>
    </row>
    <row r="32" spans="1:16" hidden="1" x14ac:dyDescent="0.25">
      <c r="A32">
        <v>2023</v>
      </c>
      <c r="B32" t="s">
        <v>772</v>
      </c>
      <c r="C32" t="s">
        <v>58</v>
      </c>
      <c r="D32" t="s">
        <v>59</v>
      </c>
      <c r="E32" t="s">
        <v>1439</v>
      </c>
      <c r="G32" t="s">
        <v>2202</v>
      </c>
      <c r="H32" t="s">
        <v>11</v>
      </c>
      <c r="I32" t="s">
        <v>13</v>
      </c>
      <c r="J32" t="s">
        <v>16</v>
      </c>
      <c r="K32" t="s">
        <v>3081</v>
      </c>
      <c r="L32" t="s">
        <v>1718</v>
      </c>
      <c r="M32" t="s">
        <v>1935</v>
      </c>
      <c r="N32" s="10">
        <f>0.53*72746</f>
        <v>38555.380000000005</v>
      </c>
      <c r="O32" s="10" t="s">
        <v>3145</v>
      </c>
      <c r="P32" t="s">
        <v>1634</v>
      </c>
    </row>
    <row r="33" spans="1:16" x14ac:dyDescent="0.25">
      <c r="A33">
        <v>2023</v>
      </c>
      <c r="B33" t="s">
        <v>772</v>
      </c>
      <c r="C33" t="s">
        <v>58</v>
      </c>
      <c r="D33" t="s">
        <v>59</v>
      </c>
      <c r="E33" t="s">
        <v>1439</v>
      </c>
      <c r="G33" t="s">
        <v>2202</v>
      </c>
      <c r="H33" t="s">
        <v>11</v>
      </c>
      <c r="I33" t="s">
        <v>13</v>
      </c>
      <c r="J33" t="s">
        <v>16</v>
      </c>
      <c r="K33" t="s">
        <v>3082</v>
      </c>
      <c r="L33" t="s">
        <v>1912</v>
      </c>
      <c r="M33" t="s">
        <v>1546</v>
      </c>
      <c r="N33" s="10">
        <v>1211</v>
      </c>
      <c r="O33" s="10" t="s">
        <v>3186</v>
      </c>
      <c r="P33" t="s">
        <v>1634</v>
      </c>
    </row>
    <row r="34" spans="1:16" hidden="1" x14ac:dyDescent="0.25">
      <c r="A34">
        <v>2023</v>
      </c>
      <c r="B34" t="s">
        <v>772</v>
      </c>
      <c r="C34" t="s">
        <v>58</v>
      </c>
      <c r="D34" t="s">
        <v>59</v>
      </c>
      <c r="E34" t="s">
        <v>1439</v>
      </c>
      <c r="G34" t="s">
        <v>2202</v>
      </c>
      <c r="H34" t="s">
        <v>11</v>
      </c>
      <c r="I34" t="s">
        <v>13</v>
      </c>
      <c r="J34" t="s">
        <v>16</v>
      </c>
      <c r="K34" t="s">
        <v>3081</v>
      </c>
      <c r="L34" t="s">
        <v>1720</v>
      </c>
      <c r="M34" t="s">
        <v>1715</v>
      </c>
      <c r="N34" s="10">
        <v>369</v>
      </c>
      <c r="P34" t="s">
        <v>1634</v>
      </c>
    </row>
    <row r="35" spans="1:16" hidden="1" x14ac:dyDescent="0.25">
      <c r="A35">
        <v>2023</v>
      </c>
      <c r="B35" t="s">
        <v>772</v>
      </c>
      <c r="C35" t="s">
        <v>58</v>
      </c>
      <c r="D35" t="s">
        <v>59</v>
      </c>
      <c r="E35" t="s">
        <v>1439</v>
      </c>
      <c r="G35" t="s">
        <v>2202</v>
      </c>
      <c r="H35" t="s">
        <v>11</v>
      </c>
      <c r="I35" t="s">
        <v>13</v>
      </c>
      <c r="J35" t="s">
        <v>16</v>
      </c>
      <c r="K35" t="s">
        <v>3081</v>
      </c>
      <c r="L35" t="s">
        <v>1713</v>
      </c>
      <c r="M35" t="s">
        <v>1715</v>
      </c>
      <c r="N35" s="10">
        <v>2528</v>
      </c>
      <c r="P35" t="s">
        <v>1634</v>
      </c>
    </row>
    <row r="36" spans="1:16" hidden="1" x14ac:dyDescent="0.25">
      <c r="A36">
        <v>2023</v>
      </c>
      <c r="B36" t="s">
        <v>772</v>
      </c>
      <c r="C36" t="s">
        <v>39</v>
      </c>
      <c r="D36" t="s">
        <v>41</v>
      </c>
      <c r="E36" t="s">
        <v>1316</v>
      </c>
      <c r="G36" t="s">
        <v>2133</v>
      </c>
      <c r="H36" t="s">
        <v>11</v>
      </c>
      <c r="I36" t="s">
        <v>13</v>
      </c>
      <c r="J36" t="s">
        <v>16</v>
      </c>
      <c r="K36" t="s">
        <v>3081</v>
      </c>
      <c r="L36" t="s">
        <v>3034</v>
      </c>
      <c r="M36" t="s">
        <v>402</v>
      </c>
      <c r="N36" s="10">
        <v>21662.098880000001</v>
      </c>
      <c r="P36" t="s">
        <v>1583</v>
      </c>
    </row>
    <row r="37" spans="1:16" hidden="1" x14ac:dyDescent="0.25">
      <c r="A37">
        <v>2023</v>
      </c>
      <c r="B37" t="s">
        <v>772</v>
      </c>
      <c r="C37" t="s">
        <v>39</v>
      </c>
      <c r="D37" t="s">
        <v>41</v>
      </c>
      <c r="E37" t="s">
        <v>1316</v>
      </c>
      <c r="G37" t="s">
        <v>2133</v>
      </c>
      <c r="H37" t="s">
        <v>11</v>
      </c>
      <c r="I37" t="s">
        <v>13</v>
      </c>
      <c r="J37" t="s">
        <v>16</v>
      </c>
      <c r="K37" t="s">
        <v>3082</v>
      </c>
      <c r="L37" s="27" t="s">
        <v>1737</v>
      </c>
      <c r="M37" t="s">
        <v>1546</v>
      </c>
      <c r="N37">
        <v>27374</v>
      </c>
      <c r="O37"/>
      <c r="P37" t="s">
        <v>1865</v>
      </c>
    </row>
    <row r="38" spans="1:16" hidden="1" x14ac:dyDescent="0.25">
      <c r="A38">
        <v>2023</v>
      </c>
      <c r="B38" t="s">
        <v>772</v>
      </c>
      <c r="C38" t="s">
        <v>39</v>
      </c>
      <c r="D38" t="s">
        <v>41</v>
      </c>
      <c r="E38" t="s">
        <v>1316</v>
      </c>
      <c r="G38" t="s">
        <v>2133</v>
      </c>
      <c r="H38" t="s">
        <v>11</v>
      </c>
      <c r="I38" t="s">
        <v>13</v>
      </c>
      <c r="J38" t="s">
        <v>16</v>
      </c>
      <c r="K38" t="s">
        <v>3081</v>
      </c>
      <c r="L38" t="s">
        <v>1719</v>
      </c>
      <c r="M38" t="s">
        <v>402</v>
      </c>
      <c r="N38" s="10">
        <v>385327.79739999998</v>
      </c>
      <c r="P38" t="s">
        <v>1583</v>
      </c>
    </row>
    <row r="39" spans="1:16" hidden="1" x14ac:dyDescent="0.25">
      <c r="A39">
        <v>2023</v>
      </c>
      <c r="B39" t="s">
        <v>772</v>
      </c>
      <c r="C39" t="s">
        <v>39</v>
      </c>
      <c r="D39" t="s">
        <v>41</v>
      </c>
      <c r="E39" t="s">
        <v>1316</v>
      </c>
      <c r="G39" t="s">
        <v>2133</v>
      </c>
      <c r="H39" t="s">
        <v>11</v>
      </c>
      <c r="I39" t="s">
        <v>13</v>
      </c>
      <c r="J39" t="s">
        <v>16</v>
      </c>
      <c r="K39" t="s">
        <v>3081</v>
      </c>
      <c r="L39" t="s">
        <v>1582</v>
      </c>
      <c r="M39" t="s">
        <v>402</v>
      </c>
      <c r="N39" s="10">
        <v>3531.1068</v>
      </c>
      <c r="P39" t="s">
        <v>1583</v>
      </c>
    </row>
    <row r="40" spans="1:16" hidden="1" x14ac:dyDescent="0.25">
      <c r="A40">
        <v>2023</v>
      </c>
      <c r="B40" t="s">
        <v>772</v>
      </c>
      <c r="C40" t="s">
        <v>39</v>
      </c>
      <c r="D40" t="s">
        <v>41</v>
      </c>
      <c r="E40" t="s">
        <v>1316</v>
      </c>
      <c r="G40" t="s">
        <v>2133</v>
      </c>
      <c r="H40" t="s">
        <v>11</v>
      </c>
      <c r="I40" t="s">
        <v>13</v>
      </c>
      <c r="J40" t="s">
        <v>16</v>
      </c>
      <c r="K40" t="s">
        <v>3081</v>
      </c>
      <c r="L40" t="s">
        <v>1718</v>
      </c>
      <c r="M40" t="s">
        <v>402</v>
      </c>
      <c r="N40" s="10">
        <v>892229.95044000004</v>
      </c>
      <c r="P40" t="s">
        <v>1583</v>
      </c>
    </row>
    <row r="41" spans="1:16" hidden="1" x14ac:dyDescent="0.25">
      <c r="A41">
        <v>2023</v>
      </c>
      <c r="B41" t="s">
        <v>772</v>
      </c>
      <c r="C41" t="s">
        <v>39</v>
      </c>
      <c r="D41" t="s">
        <v>41</v>
      </c>
      <c r="E41" t="s">
        <v>1316</v>
      </c>
      <c r="G41" t="s">
        <v>2133</v>
      </c>
      <c r="H41" t="s">
        <v>11</v>
      </c>
      <c r="I41" t="s">
        <v>13</v>
      </c>
      <c r="J41" t="s">
        <v>16</v>
      </c>
      <c r="K41" t="s">
        <v>3081</v>
      </c>
      <c r="L41" t="s">
        <v>1720</v>
      </c>
      <c r="M41" t="s">
        <v>402</v>
      </c>
      <c r="N41" s="10">
        <v>10018.117899999999</v>
      </c>
      <c r="P41" t="s">
        <v>1583</v>
      </c>
    </row>
    <row r="42" spans="1:16" hidden="1" x14ac:dyDescent="0.25">
      <c r="A42">
        <v>2023</v>
      </c>
      <c r="B42" t="s">
        <v>772</v>
      </c>
      <c r="C42" t="s">
        <v>39</v>
      </c>
      <c r="D42" t="s">
        <v>41</v>
      </c>
      <c r="E42" t="s">
        <v>1316</v>
      </c>
      <c r="G42" t="s">
        <v>2133</v>
      </c>
      <c r="H42" t="s">
        <v>11</v>
      </c>
      <c r="I42" t="s">
        <v>13</v>
      </c>
      <c r="J42" t="s">
        <v>16</v>
      </c>
      <c r="K42" t="s">
        <v>3082</v>
      </c>
      <c r="L42" s="27" t="s">
        <v>1735</v>
      </c>
      <c r="M42" t="s">
        <v>1546</v>
      </c>
      <c r="N42">
        <v>3039.9</v>
      </c>
      <c r="O42" s="10" t="s">
        <v>3186</v>
      </c>
      <c r="P42" t="s">
        <v>1865</v>
      </c>
    </row>
    <row r="43" spans="1:16" hidden="1" x14ac:dyDescent="0.25">
      <c r="A43">
        <v>2023</v>
      </c>
      <c r="B43" t="s">
        <v>772</v>
      </c>
      <c r="C43" t="s">
        <v>39</v>
      </c>
      <c r="D43" t="s">
        <v>41</v>
      </c>
      <c r="E43" t="s">
        <v>1316</v>
      </c>
      <c r="G43" t="s">
        <v>2133</v>
      </c>
      <c r="H43" t="s">
        <v>11</v>
      </c>
      <c r="I43" t="s">
        <v>13</v>
      </c>
      <c r="J43" t="s">
        <v>16</v>
      </c>
      <c r="K43" t="s">
        <v>3082</v>
      </c>
      <c r="L43" s="27" t="s">
        <v>1697</v>
      </c>
      <c r="M43" t="s">
        <v>1546</v>
      </c>
      <c r="N43">
        <v>2229</v>
      </c>
      <c r="O43"/>
      <c r="P43" t="s">
        <v>1865</v>
      </c>
    </row>
    <row r="44" spans="1:16" hidden="1" x14ac:dyDescent="0.25">
      <c r="A44">
        <v>2023</v>
      </c>
      <c r="B44" t="s">
        <v>772</v>
      </c>
      <c r="C44" t="s">
        <v>39</v>
      </c>
      <c r="D44" t="s">
        <v>41</v>
      </c>
      <c r="E44" t="s">
        <v>1316</v>
      </c>
      <c r="G44" t="s">
        <v>2133</v>
      </c>
      <c r="H44" t="s">
        <v>11</v>
      </c>
      <c r="I44" t="s">
        <v>13</v>
      </c>
      <c r="J44" t="s">
        <v>16</v>
      </c>
      <c r="K44" t="s">
        <v>3082</v>
      </c>
      <c r="L44" s="27" t="s">
        <v>1738</v>
      </c>
      <c r="M44" t="s">
        <v>1715</v>
      </c>
      <c r="N44">
        <v>380.68700000000001</v>
      </c>
      <c r="O44"/>
      <c r="P44" t="s">
        <v>1865</v>
      </c>
    </row>
    <row r="45" spans="1:16" ht="18" hidden="1" x14ac:dyDescent="0.35">
      <c r="A45">
        <v>2023</v>
      </c>
      <c r="B45" t="s">
        <v>772</v>
      </c>
      <c r="C45" t="s">
        <v>39</v>
      </c>
      <c r="D45" t="s">
        <v>41</v>
      </c>
      <c r="E45" t="s">
        <v>1316</v>
      </c>
      <c r="G45" t="s">
        <v>2133</v>
      </c>
      <c r="H45" t="s">
        <v>11</v>
      </c>
      <c r="I45" t="s">
        <v>13</v>
      </c>
      <c r="J45" t="s">
        <v>16</v>
      </c>
      <c r="K45" t="s">
        <v>3082</v>
      </c>
      <c r="L45" s="27" t="s">
        <v>1741</v>
      </c>
      <c r="M45" t="s">
        <v>1742</v>
      </c>
      <c r="N45">
        <v>26575</v>
      </c>
      <c r="O45"/>
      <c r="P45" t="s">
        <v>1865</v>
      </c>
    </row>
    <row r="46" spans="1:16" hidden="1" x14ac:dyDescent="0.25">
      <c r="A46">
        <v>2023</v>
      </c>
      <c r="B46" t="s">
        <v>772</v>
      </c>
      <c r="C46" t="s">
        <v>39</v>
      </c>
      <c r="D46" t="s">
        <v>41</v>
      </c>
      <c r="E46" t="s">
        <v>1316</v>
      </c>
      <c r="G46" t="s">
        <v>2133</v>
      </c>
      <c r="H46" t="s">
        <v>11</v>
      </c>
      <c r="I46" t="s">
        <v>13</v>
      </c>
      <c r="J46" t="s">
        <v>16</v>
      </c>
      <c r="K46" t="s">
        <v>3081</v>
      </c>
      <c r="L46" t="s">
        <v>1713</v>
      </c>
      <c r="M46" t="s">
        <v>402</v>
      </c>
      <c r="N46" s="10">
        <v>142393.17415000001</v>
      </c>
      <c r="P46" t="s">
        <v>1583</v>
      </c>
    </row>
    <row r="47" spans="1:16" hidden="1" x14ac:dyDescent="0.25">
      <c r="A47">
        <v>2023</v>
      </c>
      <c r="B47" t="s">
        <v>772</v>
      </c>
      <c r="C47" t="s">
        <v>39</v>
      </c>
      <c r="D47" t="s">
        <v>41</v>
      </c>
      <c r="E47" t="s">
        <v>1316</v>
      </c>
      <c r="G47" t="s">
        <v>2133</v>
      </c>
      <c r="H47" t="s">
        <v>11</v>
      </c>
      <c r="I47" t="s">
        <v>13</v>
      </c>
      <c r="J47" t="s">
        <v>16</v>
      </c>
      <c r="K47" t="s">
        <v>3082</v>
      </c>
      <c r="L47" s="27" t="s">
        <v>1736</v>
      </c>
      <c r="M47" t="s">
        <v>1546</v>
      </c>
      <c r="N47">
        <v>838.8</v>
      </c>
      <c r="O47"/>
      <c r="P47" t="s">
        <v>1865</v>
      </c>
    </row>
    <row r="48" spans="1:16" ht="18" hidden="1" x14ac:dyDescent="0.35">
      <c r="A48">
        <v>2023</v>
      </c>
      <c r="B48" t="s">
        <v>772</v>
      </c>
      <c r="C48" t="s">
        <v>39</v>
      </c>
      <c r="D48" t="s">
        <v>41</v>
      </c>
      <c r="E48" t="s">
        <v>1316</v>
      </c>
      <c r="G48" t="s">
        <v>2133</v>
      </c>
      <c r="H48" t="s">
        <v>11</v>
      </c>
      <c r="I48" t="s">
        <v>13</v>
      </c>
      <c r="J48" t="s">
        <v>16</v>
      </c>
      <c r="K48" t="s">
        <v>3082</v>
      </c>
      <c r="L48" s="27" t="s">
        <v>1740</v>
      </c>
      <c r="M48" t="s">
        <v>1742</v>
      </c>
      <c r="N48">
        <v>73.959999999999994</v>
      </c>
      <c r="O48"/>
      <c r="P48" t="s">
        <v>1865</v>
      </c>
    </row>
    <row r="49" spans="1:16" hidden="1" x14ac:dyDescent="0.25">
      <c r="A49">
        <v>2023</v>
      </c>
      <c r="B49" t="s">
        <v>772</v>
      </c>
      <c r="C49" t="s">
        <v>39</v>
      </c>
      <c r="D49" t="s">
        <v>41</v>
      </c>
      <c r="E49" t="s">
        <v>1316</v>
      </c>
      <c r="G49" t="s">
        <v>2133</v>
      </c>
      <c r="H49" t="s">
        <v>11</v>
      </c>
      <c r="I49" t="s">
        <v>13</v>
      </c>
      <c r="J49" t="s">
        <v>16</v>
      </c>
      <c r="K49" t="s">
        <v>3082</v>
      </c>
      <c r="L49" s="27" t="s">
        <v>1762</v>
      </c>
      <c r="M49" t="s">
        <v>1546</v>
      </c>
      <c r="N49">
        <v>241.25056699628101</v>
      </c>
      <c r="O49"/>
      <c r="P49" t="s">
        <v>1865</v>
      </c>
    </row>
    <row r="50" spans="1:16" hidden="1" x14ac:dyDescent="0.25">
      <c r="A50">
        <v>2023</v>
      </c>
      <c r="B50" t="s">
        <v>772</v>
      </c>
      <c r="C50" t="s">
        <v>135</v>
      </c>
      <c r="D50" t="s">
        <v>136</v>
      </c>
      <c r="E50" t="s">
        <v>1395</v>
      </c>
      <c r="G50" t="s">
        <v>2182</v>
      </c>
      <c r="H50" t="s">
        <v>11</v>
      </c>
      <c r="I50" t="s">
        <v>19</v>
      </c>
      <c r="J50" t="s">
        <v>137</v>
      </c>
      <c r="K50" t="s">
        <v>3081</v>
      </c>
      <c r="L50" t="s">
        <v>1719</v>
      </c>
      <c r="M50" t="s">
        <v>402</v>
      </c>
      <c r="N50" s="10">
        <v>1683653</v>
      </c>
      <c r="P50" t="s">
        <v>1886</v>
      </c>
    </row>
    <row r="51" spans="1:16" hidden="1" x14ac:dyDescent="0.25">
      <c r="A51">
        <v>2023</v>
      </c>
      <c r="B51" t="s">
        <v>772</v>
      </c>
      <c r="C51" t="s">
        <v>135</v>
      </c>
      <c r="D51" t="s">
        <v>136</v>
      </c>
      <c r="E51" t="s">
        <v>1395</v>
      </c>
      <c r="G51" t="s">
        <v>2182</v>
      </c>
      <c r="H51" t="s">
        <v>11</v>
      </c>
      <c r="I51" t="s">
        <v>19</v>
      </c>
      <c r="J51" t="s">
        <v>137</v>
      </c>
      <c r="K51" t="s">
        <v>3081</v>
      </c>
      <c r="L51" t="s">
        <v>1718</v>
      </c>
      <c r="M51" t="s">
        <v>402</v>
      </c>
      <c r="N51" s="10">
        <v>1695665</v>
      </c>
      <c r="P51" t="s">
        <v>1886</v>
      </c>
    </row>
    <row r="52" spans="1:16" hidden="1" x14ac:dyDescent="0.25">
      <c r="A52">
        <v>2023</v>
      </c>
      <c r="B52" t="s">
        <v>772</v>
      </c>
      <c r="C52" t="s">
        <v>135</v>
      </c>
      <c r="D52" t="s">
        <v>136</v>
      </c>
      <c r="E52" t="s">
        <v>1395</v>
      </c>
      <c r="G52" t="s">
        <v>2182</v>
      </c>
      <c r="H52" t="s">
        <v>11</v>
      </c>
      <c r="I52" t="s">
        <v>19</v>
      </c>
      <c r="J52" t="s">
        <v>137</v>
      </c>
      <c r="K52" t="s">
        <v>3081</v>
      </c>
      <c r="L52" t="s">
        <v>1720</v>
      </c>
      <c r="M52" t="s">
        <v>402</v>
      </c>
      <c r="N52" s="10">
        <v>38791</v>
      </c>
      <c r="P52" t="s">
        <v>1886</v>
      </c>
    </row>
    <row r="53" spans="1:16" hidden="1" x14ac:dyDescent="0.25">
      <c r="A53">
        <v>2023</v>
      </c>
      <c r="B53" t="s">
        <v>772</v>
      </c>
      <c r="C53" t="s">
        <v>135</v>
      </c>
      <c r="D53" t="s">
        <v>136</v>
      </c>
      <c r="E53" t="s">
        <v>1395</v>
      </c>
      <c r="G53" t="s">
        <v>2182</v>
      </c>
      <c r="H53" t="s">
        <v>11</v>
      </c>
      <c r="I53" t="s">
        <v>19</v>
      </c>
      <c r="J53" t="s">
        <v>137</v>
      </c>
      <c r="K53" t="s">
        <v>3081</v>
      </c>
      <c r="L53" t="s">
        <v>1714</v>
      </c>
      <c r="M53" t="s">
        <v>402</v>
      </c>
      <c r="N53" s="10">
        <v>186977</v>
      </c>
      <c r="P53" t="s">
        <v>1886</v>
      </c>
    </row>
    <row r="54" spans="1:16" hidden="1" x14ac:dyDescent="0.25">
      <c r="A54">
        <v>2023</v>
      </c>
      <c r="B54" t="s">
        <v>772</v>
      </c>
      <c r="C54" t="s">
        <v>135</v>
      </c>
      <c r="D54" t="s">
        <v>136</v>
      </c>
      <c r="E54" t="s">
        <v>1395</v>
      </c>
      <c r="G54" t="s">
        <v>2182</v>
      </c>
      <c r="H54" t="s">
        <v>11</v>
      </c>
      <c r="I54" t="s">
        <v>19</v>
      </c>
      <c r="J54" t="s">
        <v>137</v>
      </c>
      <c r="K54" t="s">
        <v>3081</v>
      </c>
      <c r="L54" t="s">
        <v>1713</v>
      </c>
      <c r="M54" t="s">
        <v>402</v>
      </c>
      <c r="N54" s="10">
        <v>453</v>
      </c>
      <c r="P54" t="s">
        <v>1886</v>
      </c>
    </row>
    <row r="55" spans="1:16" hidden="1" x14ac:dyDescent="0.25">
      <c r="A55">
        <v>2023</v>
      </c>
      <c r="B55" t="s">
        <v>772</v>
      </c>
      <c r="C55" t="s">
        <v>14</v>
      </c>
      <c r="D55" t="s">
        <v>66</v>
      </c>
      <c r="E55" t="s">
        <v>1124</v>
      </c>
      <c r="G55" t="s">
        <v>2016</v>
      </c>
      <c r="H55" t="s">
        <v>11</v>
      </c>
      <c r="I55" t="s">
        <v>13</v>
      </c>
      <c r="J55" t="s">
        <v>64</v>
      </c>
      <c r="K55" t="s">
        <v>3081</v>
      </c>
      <c r="L55" t="s">
        <v>1719</v>
      </c>
      <c r="M55" t="s">
        <v>402</v>
      </c>
      <c r="N55" s="10">
        <v>129455</v>
      </c>
      <c r="P55" t="s">
        <v>1547</v>
      </c>
    </row>
    <row r="56" spans="1:16" hidden="1" x14ac:dyDescent="0.25">
      <c r="A56">
        <v>2023</v>
      </c>
      <c r="B56" t="s">
        <v>772</v>
      </c>
      <c r="C56" t="s">
        <v>14</v>
      </c>
      <c r="D56" t="s">
        <v>66</v>
      </c>
      <c r="E56" t="s">
        <v>1124</v>
      </c>
      <c r="G56" t="s">
        <v>2016</v>
      </c>
      <c r="H56" t="s">
        <v>11</v>
      </c>
      <c r="I56" t="s">
        <v>13</v>
      </c>
      <c r="J56" t="s">
        <v>64</v>
      </c>
      <c r="K56" t="s">
        <v>3081</v>
      </c>
      <c r="L56" t="s">
        <v>1718</v>
      </c>
      <c r="M56" t="s">
        <v>1577</v>
      </c>
      <c r="N56" s="10">
        <v>178921745</v>
      </c>
      <c r="P56" t="s">
        <v>1547</v>
      </c>
    </row>
    <row r="57" spans="1:16" x14ac:dyDescent="0.25">
      <c r="A57">
        <v>2023</v>
      </c>
      <c r="B57" t="s">
        <v>772</v>
      </c>
      <c r="C57" t="s">
        <v>14</v>
      </c>
      <c r="D57" t="s">
        <v>66</v>
      </c>
      <c r="E57" t="s">
        <v>1124</v>
      </c>
      <c r="G57" t="s">
        <v>2016</v>
      </c>
      <c r="H57" t="s">
        <v>11</v>
      </c>
      <c r="I57" t="s">
        <v>13</v>
      </c>
      <c r="J57" t="s">
        <v>64</v>
      </c>
      <c r="K57" t="s">
        <v>3082</v>
      </c>
      <c r="L57" t="s">
        <v>1912</v>
      </c>
      <c r="M57" t="s">
        <v>402</v>
      </c>
      <c r="N57" s="10">
        <v>11047</v>
      </c>
      <c r="P57" t="s">
        <v>1547</v>
      </c>
    </row>
    <row r="58" spans="1:16" hidden="1" x14ac:dyDescent="0.25">
      <c r="A58">
        <v>2023</v>
      </c>
      <c r="B58" t="s">
        <v>772</v>
      </c>
      <c r="C58" t="s">
        <v>14</v>
      </c>
      <c r="D58" t="s">
        <v>66</v>
      </c>
      <c r="E58" t="s">
        <v>1124</v>
      </c>
      <c r="G58" t="s">
        <v>2016</v>
      </c>
      <c r="H58" t="s">
        <v>11</v>
      </c>
      <c r="I58" t="s">
        <v>13</v>
      </c>
      <c r="J58" t="s">
        <v>64</v>
      </c>
      <c r="K58" t="s">
        <v>3081</v>
      </c>
      <c r="L58" t="s">
        <v>1991</v>
      </c>
      <c r="M58" t="s">
        <v>402</v>
      </c>
      <c r="N58" s="10">
        <v>1347</v>
      </c>
      <c r="P58" t="s">
        <v>1547</v>
      </c>
    </row>
    <row r="59" spans="1:16" hidden="1" x14ac:dyDescent="0.25">
      <c r="A59">
        <v>2023</v>
      </c>
      <c r="B59" t="s">
        <v>772</v>
      </c>
      <c r="C59" t="s">
        <v>14</v>
      </c>
      <c r="D59" t="s">
        <v>66</v>
      </c>
      <c r="E59" t="s">
        <v>1124</v>
      </c>
      <c r="G59" t="s">
        <v>2016</v>
      </c>
      <c r="H59" t="s">
        <v>11</v>
      </c>
      <c r="I59" t="s">
        <v>13</v>
      </c>
      <c r="J59" t="s">
        <v>64</v>
      </c>
      <c r="K59" t="s">
        <v>3081</v>
      </c>
      <c r="L59" t="s">
        <v>1714</v>
      </c>
      <c r="M59" t="s">
        <v>402</v>
      </c>
      <c r="N59" s="10">
        <v>86234</v>
      </c>
      <c r="P59" t="s">
        <v>1547</v>
      </c>
    </row>
    <row r="60" spans="1:16" hidden="1" x14ac:dyDescent="0.25">
      <c r="A60">
        <v>2023</v>
      </c>
      <c r="B60" t="s">
        <v>772</v>
      </c>
      <c r="C60" t="s">
        <v>27</v>
      </c>
      <c r="D60" t="s">
        <v>28</v>
      </c>
      <c r="E60" t="s">
        <v>1166</v>
      </c>
      <c r="G60" t="s">
        <v>2037</v>
      </c>
      <c r="H60" t="s">
        <v>11</v>
      </c>
      <c r="I60" t="s">
        <v>23</v>
      </c>
      <c r="J60" t="s">
        <v>16</v>
      </c>
      <c r="K60" t="s">
        <v>3081</v>
      </c>
      <c r="L60" t="s">
        <v>1835</v>
      </c>
      <c r="M60" t="s">
        <v>402</v>
      </c>
      <c r="N60" s="10">
        <v>619000</v>
      </c>
      <c r="P60" t="s">
        <v>1825</v>
      </c>
    </row>
    <row r="61" spans="1:16" hidden="1" x14ac:dyDescent="0.25">
      <c r="A61">
        <v>2023</v>
      </c>
      <c r="B61" t="s">
        <v>772</v>
      </c>
      <c r="C61" t="s">
        <v>27</v>
      </c>
      <c r="D61" t="s">
        <v>28</v>
      </c>
      <c r="E61" t="s">
        <v>1166</v>
      </c>
      <c r="G61" t="s">
        <v>2037</v>
      </c>
      <c r="H61" t="s">
        <v>11</v>
      </c>
      <c r="I61" t="s">
        <v>23</v>
      </c>
      <c r="J61" t="s">
        <v>16</v>
      </c>
      <c r="K61" t="s">
        <v>3081</v>
      </c>
      <c r="L61" t="s">
        <v>3028</v>
      </c>
      <c r="M61" t="s">
        <v>402</v>
      </c>
      <c r="N61" s="10">
        <v>301000</v>
      </c>
      <c r="P61" t="s">
        <v>1825</v>
      </c>
    </row>
    <row r="62" spans="1:16" hidden="1" x14ac:dyDescent="0.25">
      <c r="A62">
        <v>2023</v>
      </c>
      <c r="B62" t="s">
        <v>772</v>
      </c>
      <c r="C62" t="s">
        <v>736</v>
      </c>
      <c r="D62" t="s">
        <v>25</v>
      </c>
      <c r="E62" t="s">
        <v>1136</v>
      </c>
      <c r="G62" t="s">
        <v>2019</v>
      </c>
      <c r="H62" t="s">
        <v>11</v>
      </c>
      <c r="I62" t="s">
        <v>13</v>
      </c>
      <c r="J62" t="s">
        <v>16</v>
      </c>
      <c r="K62" t="s">
        <v>3081</v>
      </c>
      <c r="L62" t="s">
        <v>1719</v>
      </c>
      <c r="M62" t="s">
        <v>402</v>
      </c>
      <c r="N62" s="10">
        <v>211308</v>
      </c>
      <c r="P62" t="s">
        <v>1601</v>
      </c>
    </row>
    <row r="63" spans="1:16" hidden="1" x14ac:dyDescent="0.25">
      <c r="A63">
        <v>2023</v>
      </c>
      <c r="B63" t="s">
        <v>772</v>
      </c>
      <c r="C63" t="s">
        <v>736</v>
      </c>
      <c r="D63" t="s">
        <v>25</v>
      </c>
      <c r="E63" t="s">
        <v>1136</v>
      </c>
      <c r="G63" t="s">
        <v>2019</v>
      </c>
      <c r="H63" t="s">
        <v>11</v>
      </c>
      <c r="I63" t="s">
        <v>13</v>
      </c>
      <c r="J63" t="s">
        <v>16</v>
      </c>
      <c r="K63" t="s">
        <v>3081</v>
      </c>
      <c r="L63" t="s">
        <v>1582</v>
      </c>
      <c r="M63" t="s">
        <v>402</v>
      </c>
      <c r="N63" s="10">
        <v>717</v>
      </c>
      <c r="P63" t="s">
        <v>1601</v>
      </c>
    </row>
    <row r="64" spans="1:16" hidden="1" x14ac:dyDescent="0.25">
      <c r="A64">
        <v>2023</v>
      </c>
      <c r="B64" t="s">
        <v>772</v>
      </c>
      <c r="C64" t="s">
        <v>736</v>
      </c>
      <c r="D64" t="s">
        <v>25</v>
      </c>
      <c r="E64" t="s">
        <v>1136</v>
      </c>
      <c r="G64" t="s">
        <v>2019</v>
      </c>
      <c r="H64" t="s">
        <v>11</v>
      </c>
      <c r="I64" t="s">
        <v>13</v>
      </c>
      <c r="J64" t="s">
        <v>16</v>
      </c>
      <c r="K64" t="s">
        <v>3081</v>
      </c>
      <c r="L64" t="s">
        <v>1718</v>
      </c>
      <c r="M64" t="s">
        <v>402</v>
      </c>
      <c r="N64" s="10">
        <v>334179</v>
      </c>
      <c r="P64" t="s">
        <v>1601</v>
      </c>
    </row>
    <row r="65" spans="1:16" hidden="1" x14ac:dyDescent="0.25">
      <c r="A65">
        <v>2023</v>
      </c>
      <c r="B65" t="s">
        <v>772</v>
      </c>
      <c r="C65" t="s">
        <v>736</v>
      </c>
      <c r="D65" t="s">
        <v>25</v>
      </c>
      <c r="E65" t="s">
        <v>1136</v>
      </c>
      <c r="G65" t="s">
        <v>2019</v>
      </c>
      <c r="H65" t="s">
        <v>11</v>
      </c>
      <c r="I65" t="s">
        <v>13</v>
      </c>
      <c r="J65" t="s">
        <v>16</v>
      </c>
      <c r="K65" t="s">
        <v>3081</v>
      </c>
      <c r="L65" t="s">
        <v>1720</v>
      </c>
      <c r="M65" t="s">
        <v>402</v>
      </c>
      <c r="N65" s="10">
        <v>14406</v>
      </c>
      <c r="P65" t="s">
        <v>1601</v>
      </c>
    </row>
    <row r="66" spans="1:16" hidden="1" x14ac:dyDescent="0.25">
      <c r="A66">
        <v>2023</v>
      </c>
      <c r="B66" t="s">
        <v>772</v>
      </c>
      <c r="C66" t="s">
        <v>736</v>
      </c>
      <c r="D66" t="s">
        <v>25</v>
      </c>
      <c r="E66" t="s">
        <v>1136</v>
      </c>
      <c r="G66" t="s">
        <v>2019</v>
      </c>
      <c r="H66" t="s">
        <v>11</v>
      </c>
      <c r="I66" t="s">
        <v>13</v>
      </c>
      <c r="J66" t="s">
        <v>16</v>
      </c>
      <c r="K66" t="s">
        <v>3081</v>
      </c>
      <c r="L66" t="s">
        <v>1713</v>
      </c>
      <c r="M66" t="s">
        <v>402</v>
      </c>
      <c r="N66" s="10">
        <v>72011</v>
      </c>
      <c r="P66" t="s">
        <v>1601</v>
      </c>
    </row>
    <row r="67" spans="1:16" hidden="1" x14ac:dyDescent="0.25">
      <c r="A67">
        <v>2023</v>
      </c>
      <c r="B67" t="s">
        <v>772</v>
      </c>
      <c r="C67" t="s">
        <v>736</v>
      </c>
      <c r="D67" t="s">
        <v>25</v>
      </c>
      <c r="E67" t="s">
        <v>1136</v>
      </c>
      <c r="G67" t="s">
        <v>2019</v>
      </c>
      <c r="H67" t="s">
        <v>11</v>
      </c>
      <c r="I67" t="s">
        <v>13</v>
      </c>
      <c r="J67" t="s">
        <v>16</v>
      </c>
      <c r="K67" t="s">
        <v>3082</v>
      </c>
      <c r="L67" t="s">
        <v>1621</v>
      </c>
      <c r="M67" t="s">
        <v>1546</v>
      </c>
      <c r="N67" s="10">
        <v>486.3</v>
      </c>
      <c r="O67"/>
      <c r="P67" t="s">
        <v>1601</v>
      </c>
    </row>
    <row r="68" spans="1:16" hidden="1" x14ac:dyDescent="0.25">
      <c r="A68">
        <v>2023</v>
      </c>
      <c r="B68" t="s">
        <v>772</v>
      </c>
      <c r="C68" t="s">
        <v>736</v>
      </c>
      <c r="D68" t="s">
        <v>25</v>
      </c>
      <c r="E68" t="s">
        <v>1136</v>
      </c>
      <c r="G68" t="s">
        <v>2019</v>
      </c>
      <c r="H68" t="s">
        <v>11</v>
      </c>
      <c r="I68" t="s">
        <v>13</v>
      </c>
      <c r="J68" t="s">
        <v>16</v>
      </c>
      <c r="K68" t="s">
        <v>3082</v>
      </c>
      <c r="L68" t="s">
        <v>1620</v>
      </c>
      <c r="M68" t="s">
        <v>1546</v>
      </c>
      <c r="N68" s="10">
        <v>245</v>
      </c>
      <c r="O68"/>
      <c r="P68" t="s">
        <v>1601</v>
      </c>
    </row>
    <row r="69" spans="1:16" hidden="1" x14ac:dyDescent="0.25">
      <c r="A69">
        <v>2023</v>
      </c>
      <c r="B69" t="s">
        <v>772</v>
      </c>
      <c r="C69" t="s">
        <v>8</v>
      </c>
      <c r="D69" t="s">
        <v>9</v>
      </c>
      <c r="E69" t="s">
        <v>1264</v>
      </c>
      <c r="G69" t="s">
        <v>1895</v>
      </c>
      <c r="H69" t="s">
        <v>11</v>
      </c>
      <c r="I69" t="s">
        <v>23</v>
      </c>
      <c r="J69" t="s">
        <v>12</v>
      </c>
      <c r="K69" t="s">
        <v>3081</v>
      </c>
      <c r="L69" t="s">
        <v>1882</v>
      </c>
      <c r="M69" t="s">
        <v>1897</v>
      </c>
      <c r="N69" s="10">
        <v>409793</v>
      </c>
      <c r="P69" t="s">
        <v>1904</v>
      </c>
    </row>
    <row r="70" spans="1:16" hidden="1" x14ac:dyDescent="0.25">
      <c r="A70">
        <v>2023</v>
      </c>
      <c r="B70" t="s">
        <v>772</v>
      </c>
      <c r="C70" t="s">
        <v>8</v>
      </c>
      <c r="D70" t="s">
        <v>9</v>
      </c>
      <c r="E70" t="s">
        <v>1264</v>
      </c>
      <c r="G70" t="s">
        <v>1895</v>
      </c>
      <c r="H70" t="s">
        <v>11</v>
      </c>
      <c r="I70" t="s">
        <v>23</v>
      </c>
      <c r="J70" t="s">
        <v>12</v>
      </c>
      <c r="K70" t="s">
        <v>3081</v>
      </c>
      <c r="L70" t="s">
        <v>1924</v>
      </c>
      <c r="M70" t="s">
        <v>1577</v>
      </c>
      <c r="N70" s="10">
        <v>17595388</v>
      </c>
      <c r="P70" t="s">
        <v>1904</v>
      </c>
    </row>
    <row r="71" spans="1:16" hidden="1" x14ac:dyDescent="0.25">
      <c r="A71">
        <v>2023</v>
      </c>
      <c r="B71" t="s">
        <v>772</v>
      </c>
      <c r="C71" t="s">
        <v>8</v>
      </c>
      <c r="D71" t="s">
        <v>9</v>
      </c>
      <c r="E71" t="s">
        <v>1264</v>
      </c>
      <c r="G71" t="s">
        <v>1895</v>
      </c>
      <c r="H71" t="s">
        <v>11</v>
      </c>
      <c r="I71" t="s">
        <v>23</v>
      </c>
      <c r="J71" t="s">
        <v>12</v>
      </c>
      <c r="K71" t="s">
        <v>3081</v>
      </c>
      <c r="L71" t="s">
        <v>1902</v>
      </c>
      <c r="M71" t="s">
        <v>1897</v>
      </c>
      <c r="N71" s="10">
        <v>67158</v>
      </c>
      <c r="P71" t="s">
        <v>1904</v>
      </c>
    </row>
    <row r="72" spans="1:16" hidden="1" x14ac:dyDescent="0.25">
      <c r="A72">
        <v>2023</v>
      </c>
      <c r="B72" t="s">
        <v>772</v>
      </c>
      <c r="C72" t="s">
        <v>8</v>
      </c>
      <c r="D72" t="s">
        <v>9</v>
      </c>
      <c r="E72" t="s">
        <v>1264</v>
      </c>
      <c r="G72" t="s">
        <v>1895</v>
      </c>
      <c r="H72" t="s">
        <v>11</v>
      </c>
      <c r="I72" t="s">
        <v>23</v>
      </c>
      <c r="J72" t="s">
        <v>12</v>
      </c>
      <c r="K72" t="s">
        <v>3081</v>
      </c>
      <c r="L72" t="s">
        <v>1713</v>
      </c>
      <c r="M72" t="s">
        <v>1897</v>
      </c>
      <c r="N72" s="10">
        <v>422621</v>
      </c>
      <c r="P72" t="s">
        <v>1904</v>
      </c>
    </row>
    <row r="73" spans="1:16" hidden="1" x14ac:dyDescent="0.25">
      <c r="A73">
        <v>2023</v>
      </c>
      <c r="B73" t="s">
        <v>772</v>
      </c>
      <c r="C73" t="s">
        <v>8</v>
      </c>
      <c r="D73" t="s">
        <v>9</v>
      </c>
      <c r="E73" t="s">
        <v>1264</v>
      </c>
      <c r="G73" t="s">
        <v>1895</v>
      </c>
      <c r="H73" t="s">
        <v>11</v>
      </c>
      <c r="I73" t="s">
        <v>23</v>
      </c>
      <c r="J73" t="s">
        <v>12</v>
      </c>
      <c r="K73" t="s">
        <v>3082</v>
      </c>
      <c r="L73" t="s">
        <v>3146</v>
      </c>
      <c r="M73" t="s">
        <v>1903</v>
      </c>
      <c r="N73" s="10">
        <v>511210</v>
      </c>
      <c r="O73" s="10" t="s">
        <v>3186</v>
      </c>
      <c r="P73" t="s">
        <v>1904</v>
      </c>
    </row>
    <row r="74" spans="1:16" hidden="1" x14ac:dyDescent="0.25">
      <c r="A74">
        <v>2023</v>
      </c>
      <c r="B74" t="s">
        <v>772</v>
      </c>
      <c r="C74" t="s">
        <v>58</v>
      </c>
      <c r="D74" t="s">
        <v>60</v>
      </c>
      <c r="E74" t="s">
        <v>1437</v>
      </c>
      <c r="G74" t="s">
        <v>2202</v>
      </c>
      <c r="H74" t="s">
        <v>11</v>
      </c>
      <c r="I74" t="s">
        <v>19</v>
      </c>
      <c r="J74" t="s">
        <v>16</v>
      </c>
      <c r="K74" t="s">
        <v>3081</v>
      </c>
      <c r="L74" t="s">
        <v>1719</v>
      </c>
      <c r="M74" t="s">
        <v>1715</v>
      </c>
      <c r="N74" s="10">
        <v>1188</v>
      </c>
      <c r="P74" t="s">
        <v>1634</v>
      </c>
    </row>
    <row r="75" spans="1:16" hidden="1" x14ac:dyDescent="0.25">
      <c r="A75">
        <v>2023</v>
      </c>
      <c r="B75" t="s">
        <v>772</v>
      </c>
      <c r="C75" t="s">
        <v>58</v>
      </c>
      <c r="D75" t="s">
        <v>60</v>
      </c>
      <c r="E75" t="s">
        <v>1437</v>
      </c>
      <c r="G75" t="s">
        <v>2202</v>
      </c>
      <c r="H75" t="s">
        <v>11</v>
      </c>
      <c r="I75" t="s">
        <v>19</v>
      </c>
      <c r="J75" t="s">
        <v>16</v>
      </c>
      <c r="K75" t="s">
        <v>3081</v>
      </c>
      <c r="L75" t="s">
        <v>1582</v>
      </c>
      <c r="M75" t="s">
        <v>1935</v>
      </c>
      <c r="N75" s="10">
        <f>(1-0.75)*42738</f>
        <v>10684.5</v>
      </c>
      <c r="O75" s="10" t="s">
        <v>3145</v>
      </c>
      <c r="P75" t="s">
        <v>1634</v>
      </c>
    </row>
    <row r="76" spans="1:16" hidden="1" x14ac:dyDescent="0.25">
      <c r="A76">
        <v>2023</v>
      </c>
      <c r="B76" t="s">
        <v>772</v>
      </c>
      <c r="C76" t="s">
        <v>58</v>
      </c>
      <c r="D76" t="s">
        <v>60</v>
      </c>
      <c r="E76" t="s">
        <v>1437</v>
      </c>
      <c r="G76" t="s">
        <v>2202</v>
      </c>
      <c r="H76" t="s">
        <v>11</v>
      </c>
      <c r="I76" t="s">
        <v>19</v>
      </c>
      <c r="J76" t="s">
        <v>16</v>
      </c>
      <c r="K76" t="s">
        <v>3081</v>
      </c>
      <c r="L76" t="s">
        <v>1718</v>
      </c>
      <c r="M76" t="s">
        <v>1935</v>
      </c>
      <c r="N76" s="10">
        <f>0.75*42738</f>
        <v>32053.5</v>
      </c>
      <c r="O76" s="10" t="s">
        <v>3145</v>
      </c>
      <c r="P76" t="s">
        <v>1634</v>
      </c>
    </row>
    <row r="77" spans="1:16" x14ac:dyDescent="0.25">
      <c r="A77">
        <v>2023</v>
      </c>
      <c r="B77" t="s">
        <v>772</v>
      </c>
      <c r="C77" t="s">
        <v>58</v>
      </c>
      <c r="D77" t="s">
        <v>60</v>
      </c>
      <c r="E77" t="s">
        <v>1437</v>
      </c>
      <c r="G77" t="s">
        <v>2202</v>
      </c>
      <c r="H77" t="s">
        <v>11</v>
      </c>
      <c r="I77" t="s">
        <v>19</v>
      </c>
      <c r="J77" t="s">
        <v>16</v>
      </c>
      <c r="K77" t="s">
        <v>3082</v>
      </c>
      <c r="L77" t="s">
        <v>1912</v>
      </c>
      <c r="M77" t="s">
        <v>1546</v>
      </c>
      <c r="N77" s="10">
        <v>506</v>
      </c>
      <c r="O77" s="10" t="s">
        <v>3186</v>
      </c>
      <c r="P77" t="s">
        <v>1634</v>
      </c>
    </row>
    <row r="78" spans="1:16" hidden="1" x14ac:dyDescent="0.25">
      <c r="A78">
        <v>2023</v>
      </c>
      <c r="B78" t="s">
        <v>772</v>
      </c>
      <c r="C78" t="s">
        <v>58</v>
      </c>
      <c r="D78" t="s">
        <v>60</v>
      </c>
      <c r="E78" t="s">
        <v>1437</v>
      </c>
      <c r="G78" t="s">
        <v>2202</v>
      </c>
      <c r="H78" t="s">
        <v>11</v>
      </c>
      <c r="I78" t="s">
        <v>19</v>
      </c>
      <c r="J78" t="s">
        <v>16</v>
      </c>
      <c r="K78" t="s">
        <v>3081</v>
      </c>
      <c r="L78" t="s">
        <v>1720</v>
      </c>
      <c r="M78" t="s">
        <v>1715</v>
      </c>
      <c r="N78" s="10">
        <v>36</v>
      </c>
      <c r="P78" t="s">
        <v>1634</v>
      </c>
    </row>
    <row r="79" spans="1:16" hidden="1" x14ac:dyDescent="0.25">
      <c r="A79">
        <v>2023</v>
      </c>
      <c r="B79" t="s">
        <v>772</v>
      </c>
      <c r="C79" t="s">
        <v>58</v>
      </c>
      <c r="D79" t="s">
        <v>60</v>
      </c>
      <c r="E79" t="s">
        <v>1437</v>
      </c>
      <c r="G79" t="s">
        <v>2202</v>
      </c>
      <c r="H79" t="s">
        <v>11</v>
      </c>
      <c r="I79" t="s">
        <v>19</v>
      </c>
      <c r="J79" t="s">
        <v>16</v>
      </c>
      <c r="K79" t="s">
        <v>3081</v>
      </c>
      <c r="L79" t="s">
        <v>1714</v>
      </c>
      <c r="M79" t="s">
        <v>1638</v>
      </c>
      <c r="N79" s="10">
        <v>1528</v>
      </c>
      <c r="O79" s="10" t="s">
        <v>3188</v>
      </c>
      <c r="P79" t="s">
        <v>1634</v>
      </c>
    </row>
    <row r="80" spans="1:16" hidden="1" x14ac:dyDescent="0.25">
      <c r="A80">
        <v>2023</v>
      </c>
      <c r="B80" t="s">
        <v>772</v>
      </c>
      <c r="C80" t="s">
        <v>859</v>
      </c>
      <c r="D80" t="s">
        <v>203</v>
      </c>
      <c r="E80" t="s">
        <v>1277</v>
      </c>
      <c r="G80" t="s">
        <v>2101</v>
      </c>
      <c r="H80" t="s">
        <v>11</v>
      </c>
      <c r="I80" t="s">
        <v>23</v>
      </c>
      <c r="J80" t="s">
        <v>204</v>
      </c>
      <c r="K80" t="s">
        <v>3081</v>
      </c>
      <c r="L80" t="s">
        <v>1719</v>
      </c>
      <c r="M80" t="s">
        <v>1715</v>
      </c>
      <c r="N80" s="10">
        <v>13849</v>
      </c>
      <c r="P80" t="s">
        <v>1927</v>
      </c>
    </row>
    <row r="81" spans="1:16" hidden="1" x14ac:dyDescent="0.25">
      <c r="A81">
        <v>2023</v>
      </c>
      <c r="B81" t="s">
        <v>772</v>
      </c>
      <c r="C81" t="s">
        <v>859</v>
      </c>
      <c r="D81" t="s">
        <v>203</v>
      </c>
      <c r="E81" t="s">
        <v>1277</v>
      </c>
      <c r="G81" t="s">
        <v>2101</v>
      </c>
      <c r="H81" t="s">
        <v>11</v>
      </c>
      <c r="I81" t="s">
        <v>23</v>
      </c>
      <c r="J81" t="s">
        <v>204</v>
      </c>
      <c r="K81" t="s">
        <v>3081</v>
      </c>
      <c r="L81" t="s">
        <v>1924</v>
      </c>
      <c r="M81" t="s">
        <v>1926</v>
      </c>
      <c r="N81" s="10">
        <v>326</v>
      </c>
      <c r="P81" t="s">
        <v>1927</v>
      </c>
    </row>
    <row r="82" spans="1:16" hidden="1" x14ac:dyDescent="0.25">
      <c r="A82">
        <v>2023</v>
      </c>
      <c r="B82" t="s">
        <v>772</v>
      </c>
      <c r="C82" t="s">
        <v>859</v>
      </c>
      <c r="D82" t="s">
        <v>203</v>
      </c>
      <c r="E82" t="s">
        <v>1277</v>
      </c>
      <c r="G82" t="s">
        <v>2101</v>
      </c>
      <c r="H82" t="s">
        <v>11</v>
      </c>
      <c r="I82" t="s">
        <v>23</v>
      </c>
      <c r="J82" t="s">
        <v>204</v>
      </c>
      <c r="K82" t="s">
        <v>3081</v>
      </c>
      <c r="L82" t="s">
        <v>1925</v>
      </c>
      <c r="M82" t="s">
        <v>1715</v>
      </c>
      <c r="N82" s="10">
        <v>422</v>
      </c>
      <c r="P82" t="s">
        <v>1927</v>
      </c>
    </row>
    <row r="83" spans="1:16" hidden="1" x14ac:dyDescent="0.25">
      <c r="A83">
        <v>2023</v>
      </c>
      <c r="B83" t="s">
        <v>772</v>
      </c>
      <c r="C83" t="s">
        <v>30</v>
      </c>
      <c r="D83" t="s">
        <v>31</v>
      </c>
      <c r="E83" t="s">
        <v>1210</v>
      </c>
      <c r="G83" t="s">
        <v>2062</v>
      </c>
      <c r="H83" t="s">
        <v>11</v>
      </c>
      <c r="I83" t="s">
        <v>13</v>
      </c>
      <c r="J83" t="s">
        <v>16</v>
      </c>
      <c r="K83" t="s">
        <v>3081</v>
      </c>
      <c r="L83" t="s">
        <v>1882</v>
      </c>
      <c r="M83" t="s">
        <v>402</v>
      </c>
      <c r="N83" s="10">
        <v>191632</v>
      </c>
      <c r="P83" t="s">
        <v>1886</v>
      </c>
    </row>
    <row r="84" spans="1:16" hidden="1" x14ac:dyDescent="0.25">
      <c r="A84">
        <v>2023</v>
      </c>
      <c r="B84" t="s">
        <v>772</v>
      </c>
      <c r="C84" t="s">
        <v>30</v>
      </c>
      <c r="D84" t="s">
        <v>31</v>
      </c>
      <c r="E84" t="s">
        <v>1210</v>
      </c>
      <c r="G84" t="s">
        <v>2062</v>
      </c>
      <c r="H84" t="s">
        <v>11</v>
      </c>
      <c r="I84" t="s">
        <v>13</v>
      </c>
      <c r="J84" t="s">
        <v>16</v>
      </c>
      <c r="K84" t="s">
        <v>3081</v>
      </c>
      <c r="L84" t="s">
        <v>1883</v>
      </c>
      <c r="M84" t="s">
        <v>402</v>
      </c>
      <c r="N84" s="10">
        <v>181</v>
      </c>
      <c r="P84" t="s">
        <v>1886</v>
      </c>
    </row>
    <row r="85" spans="1:16" hidden="1" x14ac:dyDescent="0.25">
      <c r="A85">
        <v>2023</v>
      </c>
      <c r="B85" t="s">
        <v>772</v>
      </c>
      <c r="C85" t="s">
        <v>30</v>
      </c>
      <c r="D85" t="s">
        <v>31</v>
      </c>
      <c r="E85" t="s">
        <v>1210</v>
      </c>
      <c r="G85" t="s">
        <v>2062</v>
      </c>
      <c r="H85" t="s">
        <v>11</v>
      </c>
      <c r="I85" t="s">
        <v>13</v>
      </c>
      <c r="J85" t="s">
        <v>16</v>
      </c>
      <c r="K85" t="s">
        <v>3081</v>
      </c>
      <c r="L85" t="s">
        <v>1718</v>
      </c>
      <c r="M85" t="s">
        <v>402</v>
      </c>
      <c r="N85" s="10">
        <v>276713</v>
      </c>
      <c r="P85" t="s">
        <v>1886</v>
      </c>
    </row>
    <row r="86" spans="1:16" hidden="1" x14ac:dyDescent="0.25">
      <c r="A86">
        <v>2023</v>
      </c>
      <c r="B86" t="s">
        <v>772</v>
      </c>
      <c r="C86" t="s">
        <v>30</v>
      </c>
      <c r="D86" t="s">
        <v>31</v>
      </c>
      <c r="E86" t="s">
        <v>1210</v>
      </c>
      <c r="G86" t="s">
        <v>2062</v>
      </c>
      <c r="H86" t="s">
        <v>11</v>
      </c>
      <c r="I86" t="s">
        <v>13</v>
      </c>
      <c r="J86" t="s">
        <v>16</v>
      </c>
      <c r="K86" t="s">
        <v>3081</v>
      </c>
      <c r="L86" t="s">
        <v>1720</v>
      </c>
      <c r="M86" t="s">
        <v>402</v>
      </c>
      <c r="N86" s="10">
        <v>3549</v>
      </c>
      <c r="P86" t="s">
        <v>1886</v>
      </c>
    </row>
    <row r="87" spans="1:16" hidden="1" x14ac:dyDescent="0.25">
      <c r="A87">
        <v>2023</v>
      </c>
      <c r="B87" t="s">
        <v>772</v>
      </c>
      <c r="C87" t="s">
        <v>30</v>
      </c>
      <c r="D87" t="s">
        <v>31</v>
      </c>
      <c r="E87" t="s">
        <v>1210</v>
      </c>
      <c r="G87" t="s">
        <v>2062</v>
      </c>
      <c r="H87" t="s">
        <v>11</v>
      </c>
      <c r="I87" t="s">
        <v>13</v>
      </c>
      <c r="J87" t="s">
        <v>16</v>
      </c>
      <c r="K87" t="s">
        <v>3081</v>
      </c>
      <c r="L87" t="s">
        <v>1884</v>
      </c>
      <c r="M87" t="s">
        <v>402</v>
      </c>
      <c r="N87" s="10">
        <v>45</v>
      </c>
      <c r="P87" t="s">
        <v>1886</v>
      </c>
    </row>
    <row r="88" spans="1:16" hidden="1" x14ac:dyDescent="0.25">
      <c r="A88">
        <v>2023</v>
      </c>
      <c r="B88" t="s">
        <v>772</v>
      </c>
      <c r="C88" t="s">
        <v>30</v>
      </c>
      <c r="D88" t="s">
        <v>31</v>
      </c>
      <c r="E88" t="s">
        <v>1210</v>
      </c>
      <c r="G88" t="s">
        <v>2062</v>
      </c>
      <c r="H88" t="s">
        <v>11</v>
      </c>
      <c r="I88" t="s">
        <v>13</v>
      </c>
      <c r="J88" t="s">
        <v>16</v>
      </c>
      <c r="K88" t="s">
        <v>3081</v>
      </c>
      <c r="L88" t="s">
        <v>1885</v>
      </c>
      <c r="M88" t="s">
        <v>402</v>
      </c>
      <c r="N88" s="10">
        <v>187</v>
      </c>
      <c r="P88" t="s">
        <v>1886</v>
      </c>
    </row>
    <row r="89" spans="1:16" hidden="1" x14ac:dyDescent="0.25">
      <c r="A89">
        <v>2023</v>
      </c>
      <c r="B89" t="s">
        <v>772</v>
      </c>
      <c r="C89" t="s">
        <v>30</v>
      </c>
      <c r="D89" t="s">
        <v>31</v>
      </c>
      <c r="E89" t="s">
        <v>1210</v>
      </c>
      <c r="G89" t="s">
        <v>2062</v>
      </c>
      <c r="H89" t="s">
        <v>11</v>
      </c>
      <c r="I89" t="s">
        <v>13</v>
      </c>
      <c r="J89" t="s">
        <v>16</v>
      </c>
      <c r="K89" t="s">
        <v>3081</v>
      </c>
      <c r="L89" t="s">
        <v>1714</v>
      </c>
      <c r="M89" t="s">
        <v>402</v>
      </c>
      <c r="N89" s="10">
        <v>76904</v>
      </c>
      <c r="P89" t="s">
        <v>1886</v>
      </c>
    </row>
    <row r="90" spans="1:16" hidden="1" x14ac:dyDescent="0.25">
      <c r="A90">
        <v>2023</v>
      </c>
      <c r="B90" t="s">
        <v>772</v>
      </c>
      <c r="C90" t="s">
        <v>14</v>
      </c>
      <c r="D90" t="s">
        <v>91</v>
      </c>
      <c r="E90" t="s">
        <v>1126</v>
      </c>
      <c r="G90" t="s">
        <v>2016</v>
      </c>
      <c r="H90" t="s">
        <v>11</v>
      </c>
      <c r="I90" t="s">
        <v>23</v>
      </c>
      <c r="J90" t="s">
        <v>92</v>
      </c>
      <c r="K90" t="s">
        <v>3081</v>
      </c>
      <c r="L90" t="s">
        <v>1719</v>
      </c>
      <c r="M90" t="s">
        <v>402</v>
      </c>
      <c r="N90" s="10">
        <v>391146</v>
      </c>
      <c r="P90" t="s">
        <v>1547</v>
      </c>
    </row>
    <row r="91" spans="1:16" hidden="1" x14ac:dyDescent="0.25">
      <c r="A91">
        <v>2023</v>
      </c>
      <c r="B91" t="s">
        <v>772</v>
      </c>
      <c r="C91" t="s">
        <v>14</v>
      </c>
      <c r="D91" t="s">
        <v>91</v>
      </c>
      <c r="E91" t="s">
        <v>1126</v>
      </c>
      <c r="G91" t="s">
        <v>2016</v>
      </c>
      <c r="H91" t="s">
        <v>11</v>
      </c>
      <c r="I91" t="s">
        <v>23</v>
      </c>
      <c r="J91" t="s">
        <v>92</v>
      </c>
      <c r="K91" t="s">
        <v>3081</v>
      </c>
      <c r="L91" t="s">
        <v>1718</v>
      </c>
      <c r="M91" t="s">
        <v>1577</v>
      </c>
      <c r="N91" s="10">
        <v>469220285</v>
      </c>
      <c r="P91" t="s">
        <v>1547</v>
      </c>
    </row>
    <row r="92" spans="1:16" x14ac:dyDescent="0.25">
      <c r="A92">
        <v>2023</v>
      </c>
      <c r="B92" t="s">
        <v>772</v>
      </c>
      <c r="C92" t="s">
        <v>14</v>
      </c>
      <c r="D92" t="s">
        <v>91</v>
      </c>
      <c r="E92" t="s">
        <v>1126</v>
      </c>
      <c r="G92" t="s">
        <v>2016</v>
      </c>
      <c r="H92" t="s">
        <v>11</v>
      </c>
      <c r="I92" t="s">
        <v>23</v>
      </c>
      <c r="J92" t="s">
        <v>92</v>
      </c>
      <c r="K92" t="s">
        <v>3082</v>
      </c>
      <c r="L92" t="s">
        <v>1912</v>
      </c>
      <c r="M92" t="s">
        <v>402</v>
      </c>
      <c r="N92" s="10">
        <v>6280</v>
      </c>
      <c r="P92" t="s">
        <v>1547</v>
      </c>
    </row>
    <row r="93" spans="1:16" hidden="1" x14ac:dyDescent="0.25">
      <c r="A93">
        <v>2023</v>
      </c>
      <c r="B93" t="s">
        <v>772</v>
      </c>
      <c r="C93" t="s">
        <v>14</v>
      </c>
      <c r="D93" t="s">
        <v>91</v>
      </c>
      <c r="E93" t="s">
        <v>1126</v>
      </c>
      <c r="G93" t="s">
        <v>2016</v>
      </c>
      <c r="H93" t="s">
        <v>11</v>
      </c>
      <c r="I93" t="s">
        <v>23</v>
      </c>
      <c r="J93" t="s">
        <v>92</v>
      </c>
      <c r="K93" t="s">
        <v>3081</v>
      </c>
      <c r="L93" t="s">
        <v>1991</v>
      </c>
      <c r="M93" t="s">
        <v>402</v>
      </c>
      <c r="N93" s="10">
        <v>8329</v>
      </c>
      <c r="P93" t="s">
        <v>1547</v>
      </c>
    </row>
    <row r="94" spans="1:16" hidden="1" x14ac:dyDescent="0.25">
      <c r="A94">
        <v>2023</v>
      </c>
      <c r="B94" t="s">
        <v>772</v>
      </c>
      <c r="C94" t="s">
        <v>14</v>
      </c>
      <c r="D94" t="s">
        <v>91</v>
      </c>
      <c r="E94" t="s">
        <v>1126</v>
      </c>
      <c r="G94" t="s">
        <v>2016</v>
      </c>
      <c r="H94" t="s">
        <v>11</v>
      </c>
      <c r="I94" t="s">
        <v>23</v>
      </c>
      <c r="J94" t="s">
        <v>92</v>
      </c>
      <c r="K94" t="s">
        <v>3081</v>
      </c>
      <c r="L94" t="s">
        <v>1714</v>
      </c>
      <c r="M94" t="s">
        <v>402</v>
      </c>
      <c r="N94" s="10">
        <v>297435</v>
      </c>
      <c r="P94" t="s">
        <v>1547</v>
      </c>
    </row>
    <row r="95" spans="1:16" hidden="1" x14ac:dyDescent="0.25">
      <c r="A95">
        <v>2023</v>
      </c>
      <c r="B95" t="s">
        <v>772</v>
      </c>
      <c r="C95" t="s">
        <v>14</v>
      </c>
      <c r="D95" t="s">
        <v>67</v>
      </c>
      <c r="E95" t="s">
        <v>1128</v>
      </c>
      <c r="G95" t="s">
        <v>2016</v>
      </c>
      <c r="H95" t="s">
        <v>11</v>
      </c>
      <c r="I95" t="s">
        <v>21</v>
      </c>
      <c r="J95" t="s">
        <v>64</v>
      </c>
      <c r="K95" t="s">
        <v>3081</v>
      </c>
      <c r="L95" t="s">
        <v>1719</v>
      </c>
      <c r="M95" t="s">
        <v>402</v>
      </c>
      <c r="N95" s="10">
        <v>91423</v>
      </c>
      <c r="P95" t="s">
        <v>1547</v>
      </c>
    </row>
    <row r="96" spans="1:16" hidden="1" x14ac:dyDescent="0.25">
      <c r="A96">
        <v>2023</v>
      </c>
      <c r="B96" t="s">
        <v>772</v>
      </c>
      <c r="C96" t="s">
        <v>14</v>
      </c>
      <c r="D96" t="s">
        <v>67</v>
      </c>
      <c r="E96" t="s">
        <v>1128</v>
      </c>
      <c r="G96" t="s">
        <v>2016</v>
      </c>
      <c r="H96" t="s">
        <v>11</v>
      </c>
      <c r="I96" t="s">
        <v>21</v>
      </c>
      <c r="J96" t="s">
        <v>64</v>
      </c>
      <c r="K96" t="s">
        <v>3081</v>
      </c>
      <c r="L96" t="s">
        <v>1718</v>
      </c>
      <c r="M96" t="s">
        <v>1577</v>
      </c>
      <c r="N96" s="10">
        <v>182554670</v>
      </c>
      <c r="P96" t="s">
        <v>1547</v>
      </c>
    </row>
    <row r="97" spans="1:16" x14ac:dyDescent="0.25">
      <c r="A97">
        <v>2023</v>
      </c>
      <c r="B97" t="s">
        <v>772</v>
      </c>
      <c r="C97" t="s">
        <v>14</v>
      </c>
      <c r="D97" t="s">
        <v>67</v>
      </c>
      <c r="E97" t="s">
        <v>1128</v>
      </c>
      <c r="G97" t="s">
        <v>2016</v>
      </c>
      <c r="H97" t="s">
        <v>11</v>
      </c>
      <c r="I97" t="s">
        <v>21</v>
      </c>
      <c r="J97" t="s">
        <v>64</v>
      </c>
      <c r="K97" t="s">
        <v>3082</v>
      </c>
      <c r="L97" t="s">
        <v>1912</v>
      </c>
      <c r="M97" t="s">
        <v>402</v>
      </c>
      <c r="N97" s="10">
        <v>82576</v>
      </c>
      <c r="P97" t="s">
        <v>1547</v>
      </c>
    </row>
    <row r="98" spans="1:16" hidden="1" x14ac:dyDescent="0.25">
      <c r="A98">
        <v>2023</v>
      </c>
      <c r="B98" t="s">
        <v>772</v>
      </c>
      <c r="C98" t="s">
        <v>14</v>
      </c>
      <c r="D98" t="s">
        <v>67</v>
      </c>
      <c r="E98" t="s">
        <v>1128</v>
      </c>
      <c r="G98" t="s">
        <v>2016</v>
      </c>
      <c r="H98" t="s">
        <v>11</v>
      </c>
      <c r="I98" t="s">
        <v>21</v>
      </c>
      <c r="J98" t="s">
        <v>64</v>
      </c>
      <c r="K98" t="s">
        <v>3081</v>
      </c>
      <c r="L98" t="s">
        <v>1991</v>
      </c>
      <c r="M98" t="s">
        <v>402</v>
      </c>
      <c r="N98" s="10">
        <v>6440</v>
      </c>
      <c r="P98" t="s">
        <v>1547</v>
      </c>
    </row>
    <row r="99" spans="1:16" hidden="1" x14ac:dyDescent="0.25">
      <c r="A99">
        <v>2023</v>
      </c>
      <c r="B99" t="s">
        <v>772</v>
      </c>
      <c r="C99" t="s">
        <v>14</v>
      </c>
      <c r="D99" t="s">
        <v>67</v>
      </c>
      <c r="E99" t="s">
        <v>1128</v>
      </c>
      <c r="G99" t="s">
        <v>2016</v>
      </c>
      <c r="H99" t="s">
        <v>11</v>
      </c>
      <c r="I99" t="s">
        <v>21</v>
      </c>
      <c r="J99" t="s">
        <v>64</v>
      </c>
      <c r="K99" t="s">
        <v>3081</v>
      </c>
      <c r="L99" t="s">
        <v>1714</v>
      </c>
      <c r="M99" t="s">
        <v>402</v>
      </c>
      <c r="N99" s="10">
        <v>327090</v>
      </c>
      <c r="P99" t="s">
        <v>1547</v>
      </c>
    </row>
    <row r="100" spans="1:16" hidden="1" x14ac:dyDescent="0.25">
      <c r="A100">
        <v>2023</v>
      </c>
      <c r="B100" t="s">
        <v>772</v>
      </c>
      <c r="C100" t="s">
        <v>14</v>
      </c>
      <c r="D100" t="s">
        <v>67</v>
      </c>
      <c r="E100" t="s">
        <v>1128</v>
      </c>
      <c r="G100" t="s">
        <v>2016</v>
      </c>
      <c r="H100" t="s">
        <v>11</v>
      </c>
      <c r="I100" t="s">
        <v>21</v>
      </c>
      <c r="J100" t="s">
        <v>64</v>
      </c>
      <c r="K100" t="s">
        <v>3081</v>
      </c>
      <c r="L100" t="s">
        <v>1713</v>
      </c>
      <c r="M100" t="s">
        <v>402</v>
      </c>
      <c r="N100" s="10">
        <v>658</v>
      </c>
      <c r="P100" t="s">
        <v>1547</v>
      </c>
    </row>
    <row r="101" spans="1:16" hidden="1" x14ac:dyDescent="0.25">
      <c r="A101">
        <v>2023</v>
      </c>
      <c r="B101" t="s">
        <v>1537</v>
      </c>
      <c r="C101" t="s">
        <v>14</v>
      </c>
      <c r="D101" t="s">
        <v>2017</v>
      </c>
      <c r="F101" t="s">
        <v>1749</v>
      </c>
      <c r="G101" t="s">
        <v>2016</v>
      </c>
      <c r="H101" t="s">
        <v>11</v>
      </c>
      <c r="I101" t="s">
        <v>23</v>
      </c>
      <c r="J101" t="s">
        <v>16</v>
      </c>
      <c r="K101" t="s">
        <v>3081</v>
      </c>
      <c r="L101" t="s">
        <v>1719</v>
      </c>
      <c r="M101" t="s">
        <v>402</v>
      </c>
      <c r="N101" s="10">
        <v>3590887</v>
      </c>
      <c r="P101" t="s">
        <v>1547</v>
      </c>
    </row>
    <row r="102" spans="1:16" hidden="1" x14ac:dyDescent="0.25">
      <c r="A102">
        <v>2023</v>
      </c>
      <c r="B102" t="s">
        <v>1537</v>
      </c>
      <c r="C102" t="s">
        <v>14</v>
      </c>
      <c r="D102" t="s">
        <v>2017</v>
      </c>
      <c r="F102" t="s">
        <v>1749</v>
      </c>
      <c r="G102" t="s">
        <v>2016</v>
      </c>
      <c r="H102" t="s">
        <v>11</v>
      </c>
      <c r="I102" t="s">
        <v>23</v>
      </c>
      <c r="J102" t="s">
        <v>16</v>
      </c>
      <c r="K102" t="s">
        <v>3081</v>
      </c>
      <c r="L102" t="s">
        <v>1582</v>
      </c>
      <c r="M102" t="s">
        <v>1577</v>
      </c>
      <c r="N102" s="10">
        <v>164987364</v>
      </c>
      <c r="P102" t="s">
        <v>1547</v>
      </c>
    </row>
    <row r="103" spans="1:16" x14ac:dyDescent="0.25">
      <c r="A103">
        <v>2023</v>
      </c>
      <c r="B103" t="s">
        <v>1537</v>
      </c>
      <c r="C103" t="s">
        <v>14</v>
      </c>
      <c r="D103" t="s">
        <v>2017</v>
      </c>
      <c r="F103" t="s">
        <v>1749</v>
      </c>
      <c r="G103" t="s">
        <v>2016</v>
      </c>
      <c r="H103" t="s">
        <v>11</v>
      </c>
      <c r="I103" t="s">
        <v>23</v>
      </c>
      <c r="J103" t="s">
        <v>16</v>
      </c>
      <c r="K103" t="s">
        <v>3082</v>
      </c>
      <c r="L103" t="s">
        <v>1912</v>
      </c>
      <c r="M103" t="s">
        <v>402</v>
      </c>
      <c r="N103" s="10">
        <v>45318</v>
      </c>
      <c r="P103" t="s">
        <v>1547</v>
      </c>
    </row>
    <row r="104" spans="1:16" hidden="1" x14ac:dyDescent="0.25">
      <c r="A104">
        <v>2023</v>
      </c>
      <c r="B104" t="s">
        <v>1537</v>
      </c>
      <c r="C104" t="s">
        <v>14</v>
      </c>
      <c r="D104" t="s">
        <v>2017</v>
      </c>
      <c r="F104" t="s">
        <v>1749</v>
      </c>
      <c r="G104" t="s">
        <v>2016</v>
      </c>
      <c r="H104" t="s">
        <v>11</v>
      </c>
      <c r="I104" t="s">
        <v>23</v>
      </c>
      <c r="J104" t="s">
        <v>16</v>
      </c>
      <c r="K104" t="s">
        <v>3081</v>
      </c>
      <c r="L104" t="s">
        <v>1991</v>
      </c>
      <c r="M104" t="s">
        <v>402</v>
      </c>
      <c r="N104" s="10">
        <v>51161</v>
      </c>
      <c r="P104" t="s">
        <v>1547</v>
      </c>
    </row>
    <row r="105" spans="1:16" hidden="1" x14ac:dyDescent="0.25">
      <c r="A105">
        <v>2023</v>
      </c>
      <c r="B105" t="s">
        <v>1537</v>
      </c>
      <c r="C105" t="s">
        <v>14</v>
      </c>
      <c r="D105" t="s">
        <v>2017</v>
      </c>
      <c r="F105" t="s">
        <v>1749</v>
      </c>
      <c r="G105" t="s">
        <v>2016</v>
      </c>
      <c r="H105" t="s">
        <v>11</v>
      </c>
      <c r="I105" t="s">
        <v>23</v>
      </c>
      <c r="J105" t="s">
        <v>16</v>
      </c>
      <c r="K105" t="s">
        <v>3081</v>
      </c>
      <c r="L105" t="s">
        <v>1992</v>
      </c>
      <c r="M105" t="s">
        <v>402</v>
      </c>
      <c r="N105" s="10">
        <v>7311</v>
      </c>
      <c r="P105" t="s">
        <v>1547</v>
      </c>
    </row>
    <row r="106" spans="1:16" hidden="1" x14ac:dyDescent="0.25">
      <c r="A106">
        <v>2023</v>
      </c>
      <c r="B106" t="s">
        <v>1537</v>
      </c>
      <c r="C106" t="s">
        <v>14</v>
      </c>
      <c r="D106" t="s">
        <v>2017</v>
      </c>
      <c r="F106" t="s">
        <v>1749</v>
      </c>
      <c r="G106" t="s">
        <v>2016</v>
      </c>
      <c r="H106" t="s">
        <v>11</v>
      </c>
      <c r="I106" t="s">
        <v>23</v>
      </c>
      <c r="J106" t="s">
        <v>16</v>
      </c>
      <c r="K106" t="s">
        <v>3081</v>
      </c>
      <c r="L106" t="s">
        <v>1713</v>
      </c>
      <c r="M106" t="s">
        <v>402</v>
      </c>
      <c r="N106" s="10">
        <v>235</v>
      </c>
      <c r="P106" t="s">
        <v>1547</v>
      </c>
    </row>
    <row r="107" spans="1:16" hidden="1" x14ac:dyDescent="0.25">
      <c r="A107">
        <v>2023</v>
      </c>
      <c r="B107" t="s">
        <v>772</v>
      </c>
      <c r="C107" t="s">
        <v>14</v>
      </c>
      <c r="D107" t="s">
        <v>22</v>
      </c>
      <c r="E107" t="s">
        <v>1129</v>
      </c>
      <c r="G107" t="s">
        <v>2016</v>
      </c>
      <c r="H107" t="s">
        <v>11</v>
      </c>
      <c r="I107" t="s">
        <v>13</v>
      </c>
      <c r="J107" t="s">
        <v>16</v>
      </c>
      <c r="K107" t="s">
        <v>3081</v>
      </c>
      <c r="L107" t="s">
        <v>1719</v>
      </c>
      <c r="M107" t="s">
        <v>402</v>
      </c>
      <c r="N107" s="10">
        <v>1944158</v>
      </c>
      <c r="P107" t="s">
        <v>1547</v>
      </c>
    </row>
    <row r="108" spans="1:16" hidden="1" x14ac:dyDescent="0.25">
      <c r="A108">
        <v>2023</v>
      </c>
      <c r="B108" t="s">
        <v>772</v>
      </c>
      <c r="C108" t="s">
        <v>14</v>
      </c>
      <c r="D108" t="s">
        <v>22</v>
      </c>
      <c r="E108" t="s">
        <v>1129</v>
      </c>
      <c r="G108" t="s">
        <v>2016</v>
      </c>
      <c r="H108" t="s">
        <v>11</v>
      </c>
      <c r="I108" t="s">
        <v>13</v>
      </c>
      <c r="J108" t="s">
        <v>16</v>
      </c>
      <c r="K108" t="s">
        <v>3081</v>
      </c>
      <c r="L108" t="s">
        <v>1582</v>
      </c>
      <c r="M108" t="s">
        <v>1577</v>
      </c>
      <c r="N108" s="10">
        <v>132709926</v>
      </c>
      <c r="P108" t="s">
        <v>1547</v>
      </c>
    </row>
    <row r="109" spans="1:16" x14ac:dyDescent="0.25">
      <c r="A109">
        <v>2023</v>
      </c>
      <c r="B109" t="s">
        <v>772</v>
      </c>
      <c r="C109" t="s">
        <v>14</v>
      </c>
      <c r="D109" t="s">
        <v>22</v>
      </c>
      <c r="E109" t="s">
        <v>1129</v>
      </c>
      <c r="G109" t="s">
        <v>2016</v>
      </c>
      <c r="H109" t="s">
        <v>11</v>
      </c>
      <c r="I109" t="s">
        <v>13</v>
      </c>
      <c r="J109" t="s">
        <v>16</v>
      </c>
      <c r="K109" t="s">
        <v>3082</v>
      </c>
      <c r="L109" t="s">
        <v>1912</v>
      </c>
      <c r="M109" t="s">
        <v>402</v>
      </c>
      <c r="N109" s="10">
        <v>18198</v>
      </c>
      <c r="P109" t="s">
        <v>1547</v>
      </c>
    </row>
    <row r="110" spans="1:16" hidden="1" x14ac:dyDescent="0.25">
      <c r="A110">
        <v>2023</v>
      </c>
      <c r="B110" t="s">
        <v>772</v>
      </c>
      <c r="C110" t="s">
        <v>14</v>
      </c>
      <c r="D110" t="s">
        <v>22</v>
      </c>
      <c r="E110" t="s">
        <v>1129</v>
      </c>
      <c r="G110" t="s">
        <v>2016</v>
      </c>
      <c r="H110" t="s">
        <v>11</v>
      </c>
      <c r="I110" t="s">
        <v>13</v>
      </c>
      <c r="J110" t="s">
        <v>16</v>
      </c>
      <c r="K110" t="s">
        <v>3081</v>
      </c>
      <c r="L110" t="s">
        <v>1991</v>
      </c>
      <c r="M110" t="s">
        <v>402</v>
      </c>
      <c r="N110" s="10">
        <v>5290</v>
      </c>
      <c r="P110" t="s">
        <v>1547</v>
      </c>
    </row>
    <row r="111" spans="1:16" hidden="1" x14ac:dyDescent="0.25">
      <c r="A111">
        <v>2023</v>
      </c>
      <c r="B111" t="s">
        <v>772</v>
      </c>
      <c r="C111" t="s">
        <v>793</v>
      </c>
      <c r="D111" t="s">
        <v>129</v>
      </c>
      <c r="E111" t="s">
        <v>1190</v>
      </c>
      <c r="G111" t="s">
        <v>2046</v>
      </c>
      <c r="H111" t="s">
        <v>11</v>
      </c>
      <c r="I111" t="s">
        <v>19</v>
      </c>
      <c r="J111" t="s">
        <v>130</v>
      </c>
      <c r="K111" t="s">
        <v>3081</v>
      </c>
      <c r="L111" t="s">
        <v>1719</v>
      </c>
      <c r="M111" t="s">
        <v>402</v>
      </c>
      <c r="N111" s="10">
        <f>68884*1000/74.1</f>
        <v>929608.63697705814</v>
      </c>
      <c r="O111" s="10" t="s">
        <v>3199</v>
      </c>
      <c r="P111" t="s">
        <v>1879</v>
      </c>
    </row>
    <row r="112" spans="1:16" hidden="1" x14ac:dyDescent="0.25">
      <c r="A112">
        <v>2023</v>
      </c>
      <c r="B112" t="s">
        <v>772</v>
      </c>
      <c r="C112" t="s">
        <v>793</v>
      </c>
      <c r="D112" t="s">
        <v>129</v>
      </c>
      <c r="E112" t="s">
        <v>1190</v>
      </c>
      <c r="G112" t="s">
        <v>2046</v>
      </c>
      <c r="H112" t="s">
        <v>11</v>
      </c>
      <c r="I112" t="s">
        <v>19</v>
      </c>
      <c r="J112" t="s">
        <v>130</v>
      </c>
      <c r="K112" t="s">
        <v>3081</v>
      </c>
      <c r="L112" t="s">
        <v>1718</v>
      </c>
      <c r="M112" t="s">
        <v>402</v>
      </c>
      <c r="N112" s="10">
        <f>7075*0.62*1000/12</f>
        <v>365541.66666666669</v>
      </c>
      <c r="O112" s="10" t="s">
        <v>3200</v>
      </c>
      <c r="P112" t="s">
        <v>1879</v>
      </c>
    </row>
    <row r="113" spans="1:16" hidden="1" x14ac:dyDescent="0.25">
      <c r="B113" t="s">
        <v>772</v>
      </c>
      <c r="C113" t="s">
        <v>793</v>
      </c>
      <c r="D113" t="s">
        <v>129</v>
      </c>
      <c r="E113" t="s">
        <v>1190</v>
      </c>
      <c r="G113" t="s">
        <v>2046</v>
      </c>
      <c r="H113" t="s">
        <v>11</v>
      </c>
      <c r="I113" t="s">
        <v>19</v>
      </c>
      <c r="J113" t="s">
        <v>130</v>
      </c>
      <c r="K113" t="s">
        <v>3081</v>
      </c>
      <c r="L113" t="s">
        <v>1582</v>
      </c>
      <c r="M113" t="s">
        <v>402</v>
      </c>
      <c r="N113" s="10">
        <f>7075*(1-0.62)*1000/74.1</f>
        <v>36282.051282051281</v>
      </c>
      <c r="O113" s="10" t="s">
        <v>3200</v>
      </c>
      <c r="P113" t="s">
        <v>1879</v>
      </c>
    </row>
    <row r="114" spans="1:16" x14ac:dyDescent="0.25">
      <c r="A114">
        <v>2023</v>
      </c>
      <c r="B114" t="s">
        <v>772</v>
      </c>
      <c r="C114" t="s">
        <v>793</v>
      </c>
      <c r="D114" t="s">
        <v>129</v>
      </c>
      <c r="E114" t="s">
        <v>1190</v>
      </c>
      <c r="G114" t="s">
        <v>2046</v>
      </c>
      <c r="H114" t="s">
        <v>11</v>
      </c>
      <c r="I114" t="s">
        <v>19</v>
      </c>
      <c r="J114" t="s">
        <v>130</v>
      </c>
      <c r="K114" t="s">
        <v>3082</v>
      </c>
      <c r="L114" t="s">
        <v>1912</v>
      </c>
      <c r="M114" t="s">
        <v>402</v>
      </c>
      <c r="N114" s="10">
        <f>690*3.75</f>
        <v>2587.5</v>
      </c>
      <c r="O114" s="10" t="s">
        <v>3201</v>
      </c>
      <c r="P114" t="s">
        <v>1879</v>
      </c>
    </row>
    <row r="115" spans="1:16" hidden="1" x14ac:dyDescent="0.25">
      <c r="A115">
        <v>2023</v>
      </c>
      <c r="B115" t="s">
        <v>772</v>
      </c>
      <c r="C115" t="s">
        <v>793</v>
      </c>
      <c r="D115" t="s">
        <v>129</v>
      </c>
      <c r="E115" t="s">
        <v>1190</v>
      </c>
      <c r="G115" t="s">
        <v>2046</v>
      </c>
      <c r="H115" t="s">
        <v>11</v>
      </c>
      <c r="I115" t="s">
        <v>19</v>
      </c>
      <c r="J115" t="s">
        <v>130</v>
      </c>
      <c r="K115" t="s">
        <v>3081</v>
      </c>
      <c r="L115" t="s">
        <v>1720</v>
      </c>
      <c r="M115" t="s">
        <v>402</v>
      </c>
      <c r="N115" s="10">
        <f>1557*1000/74.1</f>
        <v>21012.145748987856</v>
      </c>
      <c r="O115" s="10" t="s">
        <v>3199</v>
      </c>
      <c r="P115" t="s">
        <v>1879</v>
      </c>
    </row>
    <row r="116" spans="1:16" hidden="1" x14ac:dyDescent="0.25">
      <c r="A116">
        <v>2023</v>
      </c>
      <c r="B116" t="s">
        <v>772</v>
      </c>
      <c r="C116" t="s">
        <v>793</v>
      </c>
      <c r="D116" t="s">
        <v>129</v>
      </c>
      <c r="E116" t="s">
        <v>1190</v>
      </c>
      <c r="G116" t="s">
        <v>2046</v>
      </c>
      <c r="H116" t="s">
        <v>11</v>
      </c>
      <c r="I116" t="s">
        <v>19</v>
      </c>
      <c r="J116" t="s">
        <v>130</v>
      </c>
      <c r="K116" t="s">
        <v>3081</v>
      </c>
      <c r="L116" t="s">
        <v>1713</v>
      </c>
      <c r="M116" t="s">
        <v>402</v>
      </c>
      <c r="N116" s="10">
        <f>1362*1000/59.9</f>
        <v>22737.896494156928</v>
      </c>
      <c r="O116" s="10" t="s">
        <v>3199</v>
      </c>
      <c r="P116" t="s">
        <v>1879</v>
      </c>
    </row>
    <row r="117" spans="1:16" hidden="1" x14ac:dyDescent="0.25">
      <c r="A117">
        <v>2023</v>
      </c>
      <c r="B117" t="s">
        <v>772</v>
      </c>
      <c r="C117" t="s">
        <v>39</v>
      </c>
      <c r="D117" t="s">
        <v>78</v>
      </c>
      <c r="E117" t="s">
        <v>1321</v>
      </c>
      <c r="G117" t="s">
        <v>2133</v>
      </c>
      <c r="H117" t="s">
        <v>11</v>
      </c>
      <c r="I117" t="s">
        <v>21</v>
      </c>
      <c r="J117" t="s">
        <v>64</v>
      </c>
      <c r="K117" t="s">
        <v>3081</v>
      </c>
      <c r="L117" t="s">
        <v>3034</v>
      </c>
      <c r="M117" t="s">
        <v>402</v>
      </c>
      <c r="N117" s="10">
        <v>27653.229039999998</v>
      </c>
      <c r="P117" t="s">
        <v>1583</v>
      </c>
    </row>
    <row r="118" spans="1:16" hidden="1" x14ac:dyDescent="0.25">
      <c r="A118">
        <v>2023</v>
      </c>
      <c r="B118" t="s">
        <v>772</v>
      </c>
      <c r="C118" t="s">
        <v>39</v>
      </c>
      <c r="D118" t="s">
        <v>78</v>
      </c>
      <c r="E118" t="s">
        <v>1321</v>
      </c>
      <c r="G118" t="s">
        <v>2133</v>
      </c>
      <c r="H118" t="s">
        <v>11</v>
      </c>
      <c r="I118" t="s">
        <v>21</v>
      </c>
      <c r="J118" t="s">
        <v>64</v>
      </c>
      <c r="K118" t="s">
        <v>3081</v>
      </c>
      <c r="L118" t="s">
        <v>1585</v>
      </c>
      <c r="M118" t="s">
        <v>402</v>
      </c>
      <c r="N118" s="10">
        <v>11770.3702287417</v>
      </c>
      <c r="P118" t="s">
        <v>1583</v>
      </c>
    </row>
    <row r="119" spans="1:16" hidden="1" x14ac:dyDescent="0.25">
      <c r="A119">
        <v>2023</v>
      </c>
      <c r="B119" t="s">
        <v>772</v>
      </c>
      <c r="C119" t="s">
        <v>39</v>
      </c>
      <c r="D119" t="s">
        <v>78</v>
      </c>
      <c r="E119" t="s">
        <v>1321</v>
      </c>
      <c r="G119" t="s">
        <v>2133</v>
      </c>
      <c r="H119" t="s">
        <v>11</v>
      </c>
      <c r="I119" t="s">
        <v>21</v>
      </c>
      <c r="J119" t="s">
        <v>64</v>
      </c>
      <c r="K119" t="s">
        <v>3082</v>
      </c>
      <c r="L119" s="27" t="s">
        <v>1737</v>
      </c>
      <c r="M119" t="s">
        <v>1546</v>
      </c>
      <c r="N119">
        <v>9417.6</v>
      </c>
      <c r="O119"/>
      <c r="P119" t="s">
        <v>1865</v>
      </c>
    </row>
    <row r="120" spans="1:16" hidden="1" x14ac:dyDescent="0.25">
      <c r="A120">
        <v>2023</v>
      </c>
      <c r="B120" t="s">
        <v>772</v>
      </c>
      <c r="C120" t="s">
        <v>39</v>
      </c>
      <c r="D120" t="s">
        <v>78</v>
      </c>
      <c r="E120" t="s">
        <v>1321</v>
      </c>
      <c r="G120" t="s">
        <v>2133</v>
      </c>
      <c r="H120" t="s">
        <v>11</v>
      </c>
      <c r="I120" t="s">
        <v>21</v>
      </c>
      <c r="J120" t="s">
        <v>64</v>
      </c>
      <c r="K120" t="s">
        <v>3081</v>
      </c>
      <c r="L120" t="s">
        <v>1719</v>
      </c>
      <c r="M120" t="s">
        <v>402</v>
      </c>
      <c r="N120" s="10">
        <v>308614.730821</v>
      </c>
      <c r="P120" t="s">
        <v>1583</v>
      </c>
    </row>
    <row r="121" spans="1:16" hidden="1" x14ac:dyDescent="0.25">
      <c r="A121">
        <v>2023</v>
      </c>
      <c r="B121" t="s">
        <v>772</v>
      </c>
      <c r="C121" t="s">
        <v>39</v>
      </c>
      <c r="D121" t="s">
        <v>78</v>
      </c>
      <c r="E121" t="s">
        <v>1321</v>
      </c>
      <c r="G121" t="s">
        <v>2133</v>
      </c>
      <c r="H121" t="s">
        <v>11</v>
      </c>
      <c r="I121" t="s">
        <v>21</v>
      </c>
      <c r="J121" t="s">
        <v>64</v>
      </c>
      <c r="K121" t="s">
        <v>3081</v>
      </c>
      <c r="L121" t="s">
        <v>1582</v>
      </c>
      <c r="M121" t="s">
        <v>402</v>
      </c>
      <c r="N121" s="10">
        <v>3808.98428206273</v>
      </c>
      <c r="P121" t="s">
        <v>1583</v>
      </c>
    </row>
    <row r="122" spans="1:16" hidden="1" x14ac:dyDescent="0.25">
      <c r="A122">
        <v>2023</v>
      </c>
      <c r="B122" t="s">
        <v>772</v>
      </c>
      <c r="C122" t="s">
        <v>39</v>
      </c>
      <c r="D122" t="s">
        <v>78</v>
      </c>
      <c r="E122" t="s">
        <v>1321</v>
      </c>
      <c r="G122" t="s">
        <v>2133</v>
      </c>
      <c r="H122" t="s">
        <v>11</v>
      </c>
      <c r="I122" t="s">
        <v>21</v>
      </c>
      <c r="J122" t="s">
        <v>64</v>
      </c>
      <c r="K122" t="s">
        <v>3081</v>
      </c>
      <c r="L122" t="s">
        <v>1718</v>
      </c>
      <c r="M122" t="s">
        <v>402</v>
      </c>
      <c r="N122" s="10">
        <v>509889.6</v>
      </c>
      <c r="P122" t="s">
        <v>1583</v>
      </c>
    </row>
    <row r="123" spans="1:16" hidden="1" x14ac:dyDescent="0.25">
      <c r="A123">
        <v>2023</v>
      </c>
      <c r="B123" t="s">
        <v>772</v>
      </c>
      <c r="C123" t="s">
        <v>39</v>
      </c>
      <c r="D123" t="s">
        <v>78</v>
      </c>
      <c r="E123" t="s">
        <v>1321</v>
      </c>
      <c r="G123" t="s">
        <v>2133</v>
      </c>
      <c r="H123" t="s">
        <v>11</v>
      </c>
      <c r="I123" t="s">
        <v>21</v>
      </c>
      <c r="J123" t="s">
        <v>64</v>
      </c>
      <c r="K123" t="s">
        <v>3081</v>
      </c>
      <c r="L123" t="s">
        <v>1720</v>
      </c>
      <c r="M123" t="s">
        <v>402</v>
      </c>
      <c r="N123" s="10">
        <v>5437.6350000000002</v>
      </c>
      <c r="P123" t="s">
        <v>1583</v>
      </c>
    </row>
    <row r="124" spans="1:16" hidden="1" x14ac:dyDescent="0.25">
      <c r="A124">
        <v>2023</v>
      </c>
      <c r="B124" t="s">
        <v>772</v>
      </c>
      <c r="C124" t="s">
        <v>39</v>
      </c>
      <c r="D124" t="s">
        <v>78</v>
      </c>
      <c r="E124" t="s">
        <v>1321</v>
      </c>
      <c r="G124" t="s">
        <v>2133</v>
      </c>
      <c r="H124" t="s">
        <v>11</v>
      </c>
      <c r="I124" t="s">
        <v>21</v>
      </c>
      <c r="J124" t="s">
        <v>64</v>
      </c>
      <c r="K124" t="s">
        <v>3082</v>
      </c>
      <c r="L124" s="27" t="s">
        <v>1735</v>
      </c>
      <c r="M124" t="s">
        <v>1546</v>
      </c>
      <c r="N124">
        <v>726.07100000000003</v>
      </c>
      <c r="O124" s="10" t="s">
        <v>3186</v>
      </c>
      <c r="P124" t="s">
        <v>1865</v>
      </c>
    </row>
    <row r="125" spans="1:16" hidden="1" x14ac:dyDescent="0.25">
      <c r="A125">
        <v>2023</v>
      </c>
      <c r="B125" t="s">
        <v>772</v>
      </c>
      <c r="C125" t="s">
        <v>39</v>
      </c>
      <c r="D125" t="s">
        <v>78</v>
      </c>
      <c r="E125" t="s">
        <v>1321</v>
      </c>
      <c r="G125" t="s">
        <v>2133</v>
      </c>
      <c r="H125" t="s">
        <v>11</v>
      </c>
      <c r="I125" t="s">
        <v>21</v>
      </c>
      <c r="J125" t="s">
        <v>64</v>
      </c>
      <c r="K125" t="s">
        <v>3082</v>
      </c>
      <c r="L125" s="27" t="s">
        <v>1739</v>
      </c>
      <c r="M125" t="s">
        <v>1715</v>
      </c>
      <c r="N125">
        <v>57.2</v>
      </c>
      <c r="O125"/>
      <c r="P125" t="s">
        <v>1865</v>
      </c>
    </row>
    <row r="126" spans="1:16" hidden="1" x14ac:dyDescent="0.25">
      <c r="A126">
        <v>2023</v>
      </c>
      <c r="B126" t="s">
        <v>772</v>
      </c>
      <c r="C126" t="s">
        <v>39</v>
      </c>
      <c r="D126" t="s">
        <v>78</v>
      </c>
      <c r="E126" t="s">
        <v>1321</v>
      </c>
      <c r="G126" t="s">
        <v>2133</v>
      </c>
      <c r="H126" t="s">
        <v>11</v>
      </c>
      <c r="I126" t="s">
        <v>21</v>
      </c>
      <c r="J126" t="s">
        <v>64</v>
      </c>
      <c r="K126" t="s">
        <v>3082</v>
      </c>
      <c r="L126" s="27" t="s">
        <v>1697</v>
      </c>
      <c r="M126" t="s">
        <v>1546</v>
      </c>
      <c r="N126">
        <v>924.08100000000002</v>
      </c>
      <c r="O126"/>
      <c r="P126" t="s">
        <v>1865</v>
      </c>
    </row>
    <row r="127" spans="1:16" hidden="1" x14ac:dyDescent="0.25">
      <c r="A127">
        <v>2023</v>
      </c>
      <c r="B127" t="s">
        <v>772</v>
      </c>
      <c r="C127" t="s">
        <v>39</v>
      </c>
      <c r="D127" t="s">
        <v>78</v>
      </c>
      <c r="E127" t="s">
        <v>1321</v>
      </c>
      <c r="G127" t="s">
        <v>2133</v>
      </c>
      <c r="H127" t="s">
        <v>11</v>
      </c>
      <c r="I127" t="s">
        <v>21</v>
      </c>
      <c r="J127" t="s">
        <v>64</v>
      </c>
      <c r="K127" t="s">
        <v>3082</v>
      </c>
      <c r="L127" s="27" t="s">
        <v>1738</v>
      </c>
      <c r="M127" t="s">
        <v>1715</v>
      </c>
      <c r="N127">
        <v>336.52100000000002</v>
      </c>
      <c r="O127"/>
      <c r="P127" t="s">
        <v>1865</v>
      </c>
    </row>
    <row r="128" spans="1:16" hidden="1" x14ac:dyDescent="0.25">
      <c r="A128">
        <v>2023</v>
      </c>
      <c r="B128" t="s">
        <v>772</v>
      </c>
      <c r="C128" t="s">
        <v>39</v>
      </c>
      <c r="D128" t="s">
        <v>78</v>
      </c>
      <c r="E128" t="s">
        <v>1321</v>
      </c>
      <c r="G128" t="s">
        <v>2133</v>
      </c>
      <c r="H128" t="s">
        <v>11</v>
      </c>
      <c r="I128" t="s">
        <v>21</v>
      </c>
      <c r="J128" t="s">
        <v>64</v>
      </c>
      <c r="K128" t="s">
        <v>3081</v>
      </c>
      <c r="L128" t="s">
        <v>1713</v>
      </c>
      <c r="M128" t="s">
        <v>402</v>
      </c>
      <c r="N128" s="10">
        <v>229891.86895</v>
      </c>
      <c r="P128" t="s">
        <v>1583</v>
      </c>
    </row>
    <row r="129" spans="1:16" hidden="1" x14ac:dyDescent="0.25">
      <c r="A129">
        <v>2023</v>
      </c>
      <c r="B129" t="s">
        <v>772</v>
      </c>
      <c r="C129" t="s">
        <v>39</v>
      </c>
      <c r="D129" t="s">
        <v>78</v>
      </c>
      <c r="E129" t="s">
        <v>1321</v>
      </c>
      <c r="G129" t="s">
        <v>2133</v>
      </c>
      <c r="H129" t="s">
        <v>11</v>
      </c>
      <c r="I129" t="s">
        <v>21</v>
      </c>
      <c r="J129" t="s">
        <v>64</v>
      </c>
      <c r="K129" t="s">
        <v>3082</v>
      </c>
      <c r="L129" s="27" t="s">
        <v>1736</v>
      </c>
      <c r="M129" t="s">
        <v>1546</v>
      </c>
      <c r="N129">
        <v>390.00299999999999</v>
      </c>
      <c r="O129"/>
      <c r="P129" t="s">
        <v>1865</v>
      </c>
    </row>
    <row r="130" spans="1:16" hidden="1" x14ac:dyDescent="0.25">
      <c r="A130">
        <v>2023</v>
      </c>
      <c r="B130" t="s">
        <v>772</v>
      </c>
      <c r="C130" t="s">
        <v>39</v>
      </c>
      <c r="D130" t="s">
        <v>78</v>
      </c>
      <c r="E130" t="s">
        <v>1321</v>
      </c>
      <c r="G130" t="s">
        <v>2133</v>
      </c>
      <c r="H130" t="s">
        <v>11</v>
      </c>
      <c r="I130" t="s">
        <v>21</v>
      </c>
      <c r="J130" t="s">
        <v>64</v>
      </c>
      <c r="K130" t="s">
        <v>3081</v>
      </c>
      <c r="L130" t="s">
        <v>1584</v>
      </c>
      <c r="M130" t="s">
        <v>402</v>
      </c>
      <c r="N130" s="10">
        <v>1483.2</v>
      </c>
      <c r="P130" t="s">
        <v>1583</v>
      </c>
    </row>
    <row r="131" spans="1:16" hidden="1" x14ac:dyDescent="0.25">
      <c r="A131">
        <v>2023</v>
      </c>
      <c r="B131" t="s">
        <v>772</v>
      </c>
      <c r="C131" t="s">
        <v>39</v>
      </c>
      <c r="D131" t="s">
        <v>78</v>
      </c>
      <c r="E131" t="s">
        <v>1321</v>
      </c>
      <c r="G131" t="s">
        <v>2133</v>
      </c>
      <c r="H131" t="s">
        <v>11</v>
      </c>
      <c r="I131" t="s">
        <v>21</v>
      </c>
      <c r="J131" t="s">
        <v>64</v>
      </c>
      <c r="K131" t="s">
        <v>3082</v>
      </c>
      <c r="L131" s="27" t="s">
        <v>1762</v>
      </c>
      <c r="M131" t="s">
        <v>1546</v>
      </c>
      <c r="N131">
        <v>100.705343372947</v>
      </c>
      <c r="O131"/>
      <c r="P131" t="s">
        <v>1865</v>
      </c>
    </row>
    <row r="132" spans="1:16" hidden="1" x14ac:dyDescent="0.25">
      <c r="A132">
        <v>2023</v>
      </c>
      <c r="B132" t="s">
        <v>772</v>
      </c>
      <c r="C132" t="s">
        <v>755</v>
      </c>
      <c r="D132" t="s">
        <v>85</v>
      </c>
      <c r="E132" t="s">
        <v>1315</v>
      </c>
      <c r="G132" t="s">
        <v>2132</v>
      </c>
      <c r="H132" t="s">
        <v>11</v>
      </c>
      <c r="I132" t="s">
        <v>23</v>
      </c>
      <c r="J132" t="s">
        <v>84</v>
      </c>
      <c r="K132" t="s">
        <v>3082</v>
      </c>
      <c r="L132" t="s">
        <v>1701</v>
      </c>
      <c r="M132" t="s">
        <v>1546</v>
      </c>
      <c r="N132" s="10">
        <v>980</v>
      </c>
      <c r="O132"/>
      <c r="P132" t="s">
        <v>1864</v>
      </c>
    </row>
    <row r="133" spans="1:16" hidden="1" x14ac:dyDescent="0.25">
      <c r="A133">
        <v>2023</v>
      </c>
      <c r="B133" t="s">
        <v>772</v>
      </c>
      <c r="C133" t="s">
        <v>755</v>
      </c>
      <c r="D133" t="s">
        <v>85</v>
      </c>
      <c r="E133" t="s">
        <v>1315</v>
      </c>
      <c r="G133" t="s">
        <v>2132</v>
      </c>
      <c r="H133" t="s">
        <v>11</v>
      </c>
      <c r="I133" t="s">
        <v>23</v>
      </c>
      <c r="J133" t="s">
        <v>84</v>
      </c>
      <c r="K133" t="s">
        <v>3082</v>
      </c>
      <c r="L133" t="s">
        <v>1700</v>
      </c>
      <c r="M133" t="s">
        <v>1546</v>
      </c>
      <c r="N133" s="10">
        <v>179</v>
      </c>
      <c r="O133"/>
      <c r="P133" t="s">
        <v>1864</v>
      </c>
    </row>
    <row r="134" spans="1:16" hidden="1" x14ac:dyDescent="0.25">
      <c r="A134">
        <v>2023</v>
      </c>
      <c r="B134" t="s">
        <v>772</v>
      </c>
      <c r="C134" t="s">
        <v>755</v>
      </c>
      <c r="D134" t="s">
        <v>85</v>
      </c>
      <c r="E134" t="s">
        <v>1315</v>
      </c>
      <c r="G134" t="s">
        <v>2132</v>
      </c>
      <c r="H134" t="s">
        <v>11</v>
      </c>
      <c r="I134" t="s">
        <v>23</v>
      </c>
      <c r="J134" t="s">
        <v>84</v>
      </c>
      <c r="K134" t="s">
        <v>3082</v>
      </c>
      <c r="L134" t="s">
        <v>1698</v>
      </c>
      <c r="M134" t="s">
        <v>1691</v>
      </c>
      <c r="N134" s="10">
        <v>38000</v>
      </c>
      <c r="O134"/>
      <c r="P134" t="s">
        <v>1864</v>
      </c>
    </row>
    <row r="135" spans="1:16" hidden="1" x14ac:dyDescent="0.25">
      <c r="A135">
        <v>2023</v>
      </c>
      <c r="B135" t="s">
        <v>772</v>
      </c>
      <c r="C135" t="s">
        <v>755</v>
      </c>
      <c r="D135" t="s">
        <v>85</v>
      </c>
      <c r="E135" t="s">
        <v>1315</v>
      </c>
      <c r="G135" t="s">
        <v>2132</v>
      </c>
      <c r="H135" t="s">
        <v>11</v>
      </c>
      <c r="I135" t="s">
        <v>23</v>
      </c>
      <c r="J135" t="s">
        <v>84</v>
      </c>
      <c r="K135" t="s">
        <v>3081</v>
      </c>
      <c r="L135" t="s">
        <v>1719</v>
      </c>
      <c r="M135" t="s">
        <v>1742</v>
      </c>
      <c r="N135" s="10">
        <v>4761600.0999999996</v>
      </c>
      <c r="P135" t="s">
        <v>1634</v>
      </c>
    </row>
    <row r="136" spans="1:16" hidden="1" x14ac:dyDescent="0.25">
      <c r="A136">
        <v>2023</v>
      </c>
      <c r="B136" t="s">
        <v>772</v>
      </c>
      <c r="C136" t="s">
        <v>755</v>
      </c>
      <c r="D136" t="s">
        <v>85</v>
      </c>
      <c r="E136" t="s">
        <v>1315</v>
      </c>
      <c r="G136" t="s">
        <v>2132</v>
      </c>
      <c r="H136" t="s">
        <v>11</v>
      </c>
      <c r="I136" t="s">
        <v>23</v>
      </c>
      <c r="J136" t="s">
        <v>84</v>
      </c>
      <c r="K136" t="s">
        <v>3081</v>
      </c>
      <c r="L136" t="s">
        <v>1582</v>
      </c>
      <c r="M136" t="s">
        <v>402</v>
      </c>
      <c r="N136" s="10">
        <f>(1-0.753)*228399.5</f>
        <v>56414.676500000001</v>
      </c>
      <c r="P136" t="s">
        <v>1634</v>
      </c>
    </row>
    <row r="137" spans="1:16" hidden="1" x14ac:dyDescent="0.25">
      <c r="A137">
        <v>2023</v>
      </c>
      <c r="B137" t="s">
        <v>772</v>
      </c>
      <c r="C137" t="s">
        <v>755</v>
      </c>
      <c r="D137" t="s">
        <v>85</v>
      </c>
      <c r="E137" t="s">
        <v>1315</v>
      </c>
      <c r="G137" t="s">
        <v>2132</v>
      </c>
      <c r="H137" t="s">
        <v>11</v>
      </c>
      <c r="I137" t="s">
        <v>23</v>
      </c>
      <c r="J137" t="s">
        <v>84</v>
      </c>
      <c r="K137" t="s">
        <v>3081</v>
      </c>
      <c r="L137" t="s">
        <v>1718</v>
      </c>
      <c r="M137" t="s">
        <v>402</v>
      </c>
      <c r="N137" s="10">
        <f>0.753*228399.5</f>
        <v>171984.8235</v>
      </c>
      <c r="P137" t="s">
        <v>1634</v>
      </c>
    </row>
    <row r="138" spans="1:16" x14ac:dyDescent="0.25">
      <c r="A138">
        <v>2023</v>
      </c>
      <c r="B138" t="s">
        <v>772</v>
      </c>
      <c r="C138" t="s">
        <v>755</v>
      </c>
      <c r="D138" t="s">
        <v>85</v>
      </c>
      <c r="E138" t="s">
        <v>1315</v>
      </c>
      <c r="G138" t="s">
        <v>2132</v>
      </c>
      <c r="H138" t="s">
        <v>11</v>
      </c>
      <c r="I138" t="s">
        <v>23</v>
      </c>
      <c r="J138" t="s">
        <v>84</v>
      </c>
      <c r="K138" t="s">
        <v>3082</v>
      </c>
      <c r="L138" t="s">
        <v>1912</v>
      </c>
      <c r="M138" t="s">
        <v>1691</v>
      </c>
      <c r="N138" s="10">
        <v>522600</v>
      </c>
      <c r="P138" t="s">
        <v>1634</v>
      </c>
    </row>
    <row r="139" spans="1:16" hidden="1" x14ac:dyDescent="0.25">
      <c r="A139">
        <v>2023</v>
      </c>
      <c r="B139" t="s">
        <v>772</v>
      </c>
      <c r="C139" t="s">
        <v>755</v>
      </c>
      <c r="D139" t="s">
        <v>85</v>
      </c>
      <c r="E139" t="s">
        <v>1315</v>
      </c>
      <c r="G139" t="s">
        <v>2132</v>
      </c>
      <c r="H139" t="s">
        <v>11</v>
      </c>
      <c r="I139" t="s">
        <v>23</v>
      </c>
      <c r="J139" t="s">
        <v>84</v>
      </c>
      <c r="K139" t="s">
        <v>3082</v>
      </c>
      <c r="L139" t="s">
        <v>1696</v>
      </c>
      <c r="M139" t="s">
        <v>1546</v>
      </c>
      <c r="N139" s="10">
        <v>192</v>
      </c>
      <c r="O139"/>
      <c r="P139" t="s">
        <v>1864</v>
      </c>
    </row>
    <row r="140" spans="1:16" hidden="1" x14ac:dyDescent="0.25">
      <c r="A140">
        <v>2023</v>
      </c>
      <c r="B140" t="s">
        <v>772</v>
      </c>
      <c r="C140" t="s">
        <v>755</v>
      </c>
      <c r="D140" t="s">
        <v>85</v>
      </c>
      <c r="E140" t="s">
        <v>1315</v>
      </c>
      <c r="G140" t="s">
        <v>2132</v>
      </c>
      <c r="H140" t="s">
        <v>11</v>
      </c>
      <c r="I140" t="s">
        <v>23</v>
      </c>
      <c r="J140" t="s">
        <v>84</v>
      </c>
      <c r="K140" t="s">
        <v>3081</v>
      </c>
      <c r="L140" t="s">
        <v>1720</v>
      </c>
      <c r="M140" t="s">
        <v>1742</v>
      </c>
      <c r="N140" s="10">
        <v>119418.4</v>
      </c>
      <c r="P140" t="s">
        <v>1634</v>
      </c>
    </row>
    <row r="141" spans="1:16" hidden="1" x14ac:dyDescent="0.25">
      <c r="A141">
        <v>2023</v>
      </c>
      <c r="B141" t="s">
        <v>772</v>
      </c>
      <c r="C141" t="s">
        <v>755</v>
      </c>
      <c r="D141" t="s">
        <v>85</v>
      </c>
      <c r="E141" t="s">
        <v>1315</v>
      </c>
      <c r="G141" t="s">
        <v>2132</v>
      </c>
      <c r="H141" t="s">
        <v>11</v>
      </c>
      <c r="I141" t="s">
        <v>23</v>
      </c>
      <c r="J141" t="s">
        <v>84</v>
      </c>
      <c r="K141" t="s">
        <v>3082</v>
      </c>
      <c r="L141" t="s">
        <v>1697</v>
      </c>
      <c r="M141" t="s">
        <v>1546</v>
      </c>
      <c r="N141" s="10">
        <v>2724</v>
      </c>
      <c r="O141"/>
      <c r="P141" t="s">
        <v>1864</v>
      </c>
    </row>
    <row r="142" spans="1:16" hidden="1" x14ac:dyDescent="0.25">
      <c r="A142">
        <v>2023</v>
      </c>
      <c r="B142" t="s">
        <v>772</v>
      </c>
      <c r="C142" t="s">
        <v>755</v>
      </c>
      <c r="D142" t="s">
        <v>85</v>
      </c>
      <c r="E142" t="s">
        <v>1315</v>
      </c>
      <c r="G142" t="s">
        <v>2132</v>
      </c>
      <c r="H142" t="s">
        <v>11</v>
      </c>
      <c r="I142" t="s">
        <v>23</v>
      </c>
      <c r="J142" t="s">
        <v>84</v>
      </c>
      <c r="K142" t="s">
        <v>3081</v>
      </c>
      <c r="L142" t="s">
        <v>1714</v>
      </c>
      <c r="M142" t="s">
        <v>402</v>
      </c>
      <c r="N142" s="10">
        <v>59198</v>
      </c>
      <c r="P142" t="s">
        <v>1634</v>
      </c>
    </row>
    <row r="143" spans="1:16" hidden="1" x14ac:dyDescent="0.25">
      <c r="A143">
        <v>2023</v>
      </c>
      <c r="B143" t="s">
        <v>772</v>
      </c>
      <c r="C143" t="s">
        <v>755</v>
      </c>
      <c r="D143" t="s">
        <v>85</v>
      </c>
      <c r="E143" t="s">
        <v>1315</v>
      </c>
      <c r="G143" t="s">
        <v>2132</v>
      </c>
      <c r="H143" t="s">
        <v>11</v>
      </c>
      <c r="I143" t="s">
        <v>23</v>
      </c>
      <c r="J143" t="s">
        <v>84</v>
      </c>
      <c r="K143" t="s">
        <v>3082</v>
      </c>
      <c r="L143" t="s">
        <v>1699</v>
      </c>
      <c r="M143" t="s">
        <v>1546</v>
      </c>
      <c r="N143" s="10">
        <v>55</v>
      </c>
      <c r="O143"/>
      <c r="P143" t="s">
        <v>1864</v>
      </c>
    </row>
    <row r="144" spans="1:16" hidden="1" x14ac:dyDescent="0.25">
      <c r="A144">
        <v>2023</v>
      </c>
      <c r="B144" t="s">
        <v>772</v>
      </c>
      <c r="C144" t="s">
        <v>755</v>
      </c>
      <c r="D144" t="s">
        <v>85</v>
      </c>
      <c r="E144" t="s">
        <v>1315</v>
      </c>
      <c r="G144" t="s">
        <v>2132</v>
      </c>
      <c r="H144" t="s">
        <v>11</v>
      </c>
      <c r="I144" t="s">
        <v>23</v>
      </c>
      <c r="J144" t="s">
        <v>84</v>
      </c>
      <c r="K144" t="s">
        <v>3081</v>
      </c>
      <c r="L144" t="s">
        <v>1713</v>
      </c>
      <c r="M144" t="s">
        <v>1742</v>
      </c>
      <c r="N144" s="10">
        <v>31049.5</v>
      </c>
      <c r="P144" t="s">
        <v>1634</v>
      </c>
    </row>
    <row r="145" spans="1:16" hidden="1" x14ac:dyDescent="0.25">
      <c r="A145">
        <v>2023</v>
      </c>
      <c r="B145" t="s">
        <v>772</v>
      </c>
      <c r="C145" t="s">
        <v>755</v>
      </c>
      <c r="D145" t="s">
        <v>85</v>
      </c>
      <c r="E145" t="s">
        <v>1315</v>
      </c>
      <c r="G145" t="s">
        <v>2132</v>
      </c>
      <c r="H145" t="s">
        <v>11</v>
      </c>
      <c r="I145" t="s">
        <v>23</v>
      </c>
      <c r="J145" t="s">
        <v>84</v>
      </c>
      <c r="K145" t="s">
        <v>3082</v>
      </c>
      <c r="L145" t="s">
        <v>1702</v>
      </c>
      <c r="M145" t="s">
        <v>1546</v>
      </c>
      <c r="N145" s="10">
        <v>583</v>
      </c>
      <c r="O145"/>
      <c r="P145" t="s">
        <v>1864</v>
      </c>
    </row>
    <row r="146" spans="1:16" hidden="1" x14ac:dyDescent="0.25">
      <c r="A146">
        <v>2023</v>
      </c>
      <c r="B146" t="s">
        <v>1537</v>
      </c>
      <c r="C146" t="s">
        <v>39</v>
      </c>
      <c r="D146" t="s">
        <v>1587</v>
      </c>
      <c r="F146" t="s">
        <v>1750</v>
      </c>
      <c r="G146" t="s">
        <v>2133</v>
      </c>
      <c r="H146" t="s">
        <v>11</v>
      </c>
      <c r="I146" t="s">
        <v>17</v>
      </c>
      <c r="J146" t="s">
        <v>16</v>
      </c>
      <c r="K146" t="s">
        <v>3081</v>
      </c>
      <c r="L146" t="s">
        <v>1585</v>
      </c>
      <c r="M146" t="s">
        <v>402</v>
      </c>
      <c r="N146" s="10">
        <v>23524.436671511001</v>
      </c>
      <c r="P146" t="s">
        <v>1583</v>
      </c>
    </row>
    <row r="147" spans="1:16" hidden="1" x14ac:dyDescent="0.25">
      <c r="A147">
        <v>2023</v>
      </c>
      <c r="B147" t="s">
        <v>1537</v>
      </c>
      <c r="C147" t="s">
        <v>39</v>
      </c>
      <c r="D147" t="s">
        <v>1587</v>
      </c>
      <c r="F147" t="s">
        <v>1750</v>
      </c>
      <c r="G147" t="s">
        <v>2133</v>
      </c>
      <c r="H147" t="s">
        <v>11</v>
      </c>
      <c r="I147" t="s">
        <v>17</v>
      </c>
      <c r="J147" t="s">
        <v>16</v>
      </c>
      <c r="K147" t="s">
        <v>3082</v>
      </c>
      <c r="L147" s="27" t="s">
        <v>1737</v>
      </c>
      <c r="M147" t="s">
        <v>1546</v>
      </c>
      <c r="N147">
        <v>12578</v>
      </c>
      <c r="O147"/>
      <c r="P147" t="s">
        <v>1865</v>
      </c>
    </row>
    <row r="148" spans="1:16" hidden="1" x14ac:dyDescent="0.25">
      <c r="A148">
        <v>2023</v>
      </c>
      <c r="B148" t="s">
        <v>1537</v>
      </c>
      <c r="C148" t="s">
        <v>39</v>
      </c>
      <c r="D148" t="s">
        <v>1587</v>
      </c>
      <c r="F148" t="s">
        <v>1750</v>
      </c>
      <c r="G148" t="s">
        <v>2133</v>
      </c>
      <c r="H148" t="s">
        <v>11</v>
      </c>
      <c r="I148" t="s">
        <v>17</v>
      </c>
      <c r="J148" t="s">
        <v>16</v>
      </c>
      <c r="K148" t="s">
        <v>3081</v>
      </c>
      <c r="L148" t="s">
        <v>1719</v>
      </c>
      <c r="M148" t="s">
        <v>402</v>
      </c>
      <c r="N148" s="10">
        <v>623021.86861600005</v>
      </c>
      <c r="P148" t="s">
        <v>1583</v>
      </c>
    </row>
    <row r="149" spans="1:16" hidden="1" x14ac:dyDescent="0.25">
      <c r="A149">
        <v>2023</v>
      </c>
      <c r="B149" t="s">
        <v>1537</v>
      </c>
      <c r="C149" t="s">
        <v>39</v>
      </c>
      <c r="D149" t="s">
        <v>1587</v>
      </c>
      <c r="F149" t="s">
        <v>1750</v>
      </c>
      <c r="G149" t="s">
        <v>2133</v>
      </c>
      <c r="H149" t="s">
        <v>11</v>
      </c>
      <c r="I149" t="s">
        <v>17</v>
      </c>
      <c r="J149" t="s">
        <v>16</v>
      </c>
      <c r="K149" t="s">
        <v>3081</v>
      </c>
      <c r="L149" t="s">
        <v>1582</v>
      </c>
      <c r="M149" t="s">
        <v>402</v>
      </c>
      <c r="N149" s="10">
        <v>91025.482259915196</v>
      </c>
      <c r="P149" t="s">
        <v>1583</v>
      </c>
    </row>
    <row r="150" spans="1:16" hidden="1" x14ac:dyDescent="0.25">
      <c r="A150">
        <v>2023</v>
      </c>
      <c r="B150" t="s">
        <v>1537</v>
      </c>
      <c r="C150" t="s">
        <v>39</v>
      </c>
      <c r="D150" t="s">
        <v>1587</v>
      </c>
      <c r="F150" t="s">
        <v>1750</v>
      </c>
      <c r="G150" t="s">
        <v>2133</v>
      </c>
      <c r="H150" t="s">
        <v>11</v>
      </c>
      <c r="I150" t="s">
        <v>17</v>
      </c>
      <c r="J150" t="s">
        <v>16</v>
      </c>
      <c r="K150" t="s">
        <v>3081</v>
      </c>
      <c r="L150" t="s">
        <v>1718</v>
      </c>
      <c r="M150" t="s">
        <v>402</v>
      </c>
      <c r="N150" s="10">
        <v>723967.2</v>
      </c>
      <c r="P150" t="s">
        <v>1583</v>
      </c>
    </row>
    <row r="151" spans="1:16" hidden="1" x14ac:dyDescent="0.25">
      <c r="A151">
        <v>2023</v>
      </c>
      <c r="B151" t="s">
        <v>1537</v>
      </c>
      <c r="C151" t="s">
        <v>39</v>
      </c>
      <c r="D151" t="s">
        <v>1587</v>
      </c>
      <c r="F151" t="s">
        <v>1750</v>
      </c>
      <c r="G151" t="s">
        <v>2133</v>
      </c>
      <c r="H151" t="s">
        <v>11</v>
      </c>
      <c r="I151" t="s">
        <v>17</v>
      </c>
      <c r="J151" t="s">
        <v>16</v>
      </c>
      <c r="K151" t="s">
        <v>3081</v>
      </c>
      <c r="L151" t="s">
        <v>1720</v>
      </c>
      <c r="M151" t="s">
        <v>402</v>
      </c>
      <c r="N151" s="10">
        <v>17195.8465</v>
      </c>
      <c r="P151" t="s">
        <v>1583</v>
      </c>
    </row>
    <row r="152" spans="1:16" hidden="1" x14ac:dyDescent="0.25">
      <c r="A152">
        <v>2023</v>
      </c>
      <c r="B152" t="s">
        <v>1537</v>
      </c>
      <c r="C152" t="s">
        <v>39</v>
      </c>
      <c r="D152" t="s">
        <v>1587</v>
      </c>
      <c r="F152" t="s">
        <v>1750</v>
      </c>
      <c r="G152" t="s">
        <v>2133</v>
      </c>
      <c r="H152" t="s">
        <v>11</v>
      </c>
      <c r="I152" t="s">
        <v>17</v>
      </c>
      <c r="J152" t="s">
        <v>16</v>
      </c>
      <c r="K152" t="s">
        <v>3082</v>
      </c>
      <c r="L152" s="27" t="s">
        <v>1735</v>
      </c>
      <c r="M152" t="s">
        <v>1546</v>
      </c>
      <c r="N152">
        <v>1932.222</v>
      </c>
      <c r="O152" s="10" t="s">
        <v>3186</v>
      </c>
      <c r="P152" t="s">
        <v>1865</v>
      </c>
    </row>
    <row r="153" spans="1:16" hidden="1" x14ac:dyDescent="0.25">
      <c r="A153">
        <v>2023</v>
      </c>
      <c r="B153" t="s">
        <v>1537</v>
      </c>
      <c r="C153" t="s">
        <v>39</v>
      </c>
      <c r="D153" t="s">
        <v>1587</v>
      </c>
      <c r="F153" t="s">
        <v>1750</v>
      </c>
      <c r="G153" t="s">
        <v>2133</v>
      </c>
      <c r="H153" t="s">
        <v>11</v>
      </c>
      <c r="I153" t="s">
        <v>17</v>
      </c>
      <c r="J153" t="s">
        <v>16</v>
      </c>
      <c r="K153" t="s">
        <v>3082</v>
      </c>
      <c r="L153" s="27" t="s">
        <v>1739</v>
      </c>
      <c r="M153" t="s">
        <v>1715</v>
      </c>
      <c r="N153">
        <v>2.2549999999999999</v>
      </c>
      <c r="O153"/>
      <c r="P153" t="s">
        <v>1865</v>
      </c>
    </row>
    <row r="154" spans="1:16" hidden="1" x14ac:dyDescent="0.25">
      <c r="A154">
        <v>2023</v>
      </c>
      <c r="B154" t="s">
        <v>1537</v>
      </c>
      <c r="C154" t="s">
        <v>39</v>
      </c>
      <c r="D154" t="s">
        <v>1587</v>
      </c>
      <c r="F154" t="s">
        <v>1750</v>
      </c>
      <c r="G154" t="s">
        <v>2133</v>
      </c>
      <c r="H154" t="s">
        <v>11</v>
      </c>
      <c r="I154" t="s">
        <v>17</v>
      </c>
      <c r="J154" t="s">
        <v>16</v>
      </c>
      <c r="K154" t="s">
        <v>3082</v>
      </c>
      <c r="L154" s="27" t="s">
        <v>1697</v>
      </c>
      <c r="M154" t="s">
        <v>1546</v>
      </c>
      <c r="N154">
        <v>4346.9210000000003</v>
      </c>
      <c r="O154"/>
      <c r="P154" t="s">
        <v>1865</v>
      </c>
    </row>
    <row r="155" spans="1:16" hidden="1" x14ac:dyDescent="0.25">
      <c r="A155">
        <v>2023</v>
      </c>
      <c r="B155" t="s">
        <v>1537</v>
      </c>
      <c r="C155" t="s">
        <v>39</v>
      </c>
      <c r="D155" t="s">
        <v>1587</v>
      </c>
      <c r="F155" t="s">
        <v>1750</v>
      </c>
      <c r="G155" t="s">
        <v>2133</v>
      </c>
      <c r="H155" t="s">
        <v>11</v>
      </c>
      <c r="I155" t="s">
        <v>17</v>
      </c>
      <c r="J155" t="s">
        <v>16</v>
      </c>
      <c r="K155" t="s">
        <v>3082</v>
      </c>
      <c r="L155" s="27" t="s">
        <v>1738</v>
      </c>
      <c r="M155" t="s">
        <v>1715</v>
      </c>
      <c r="N155">
        <v>619.36599999999999</v>
      </c>
      <c r="O155"/>
      <c r="P155" t="s">
        <v>1865</v>
      </c>
    </row>
    <row r="156" spans="1:16" hidden="1" x14ac:dyDescent="0.25">
      <c r="A156">
        <v>2023</v>
      </c>
      <c r="B156" t="s">
        <v>1537</v>
      </c>
      <c r="C156" t="s">
        <v>39</v>
      </c>
      <c r="D156" t="s">
        <v>1587</v>
      </c>
      <c r="F156" t="s">
        <v>1750</v>
      </c>
      <c r="G156" t="s">
        <v>2133</v>
      </c>
      <c r="H156" t="s">
        <v>11</v>
      </c>
      <c r="I156" t="s">
        <v>17</v>
      </c>
      <c r="J156" t="s">
        <v>16</v>
      </c>
      <c r="K156" t="s">
        <v>3081</v>
      </c>
      <c r="L156" t="s">
        <v>1714</v>
      </c>
      <c r="M156" t="s">
        <v>402</v>
      </c>
      <c r="N156" s="10">
        <v>166705</v>
      </c>
      <c r="P156" t="s">
        <v>1583</v>
      </c>
    </row>
    <row r="157" spans="1:16" ht="18" hidden="1" x14ac:dyDescent="0.35">
      <c r="A157">
        <v>2023</v>
      </c>
      <c r="B157" t="s">
        <v>1537</v>
      </c>
      <c r="C157" t="s">
        <v>39</v>
      </c>
      <c r="D157" t="s">
        <v>1587</v>
      </c>
      <c r="F157" t="s">
        <v>1750</v>
      </c>
      <c r="G157" t="s">
        <v>2133</v>
      </c>
      <c r="H157" t="s">
        <v>11</v>
      </c>
      <c r="I157" t="s">
        <v>17</v>
      </c>
      <c r="J157" t="s">
        <v>16</v>
      </c>
      <c r="K157" t="s">
        <v>3082</v>
      </c>
      <c r="L157" s="27" t="s">
        <v>1741</v>
      </c>
      <c r="M157" t="s">
        <v>1742</v>
      </c>
      <c r="N157">
        <v>175</v>
      </c>
      <c r="O157"/>
      <c r="P157" t="s">
        <v>1865</v>
      </c>
    </row>
    <row r="158" spans="1:16" hidden="1" x14ac:dyDescent="0.25">
      <c r="A158">
        <v>2023</v>
      </c>
      <c r="B158" t="s">
        <v>1537</v>
      </c>
      <c r="C158" t="s">
        <v>39</v>
      </c>
      <c r="D158" t="s">
        <v>1587</v>
      </c>
      <c r="F158" t="s">
        <v>1750</v>
      </c>
      <c r="G158" t="s">
        <v>2133</v>
      </c>
      <c r="H158" t="s">
        <v>11</v>
      </c>
      <c r="I158" t="s">
        <v>17</v>
      </c>
      <c r="J158" t="s">
        <v>16</v>
      </c>
      <c r="K158" t="s">
        <v>3081</v>
      </c>
      <c r="L158" t="s">
        <v>1713</v>
      </c>
      <c r="M158" t="s">
        <v>402</v>
      </c>
      <c r="N158" s="10">
        <v>6336.0580702999996</v>
      </c>
      <c r="P158" t="s">
        <v>1583</v>
      </c>
    </row>
    <row r="159" spans="1:16" hidden="1" x14ac:dyDescent="0.25">
      <c r="A159">
        <v>2023</v>
      </c>
      <c r="B159" t="s">
        <v>1537</v>
      </c>
      <c r="C159" t="s">
        <v>39</v>
      </c>
      <c r="D159" t="s">
        <v>1587</v>
      </c>
      <c r="F159" t="s">
        <v>1750</v>
      </c>
      <c r="G159" t="s">
        <v>2133</v>
      </c>
      <c r="H159" t="s">
        <v>11</v>
      </c>
      <c r="I159" t="s">
        <v>17</v>
      </c>
      <c r="J159" t="s">
        <v>16</v>
      </c>
      <c r="K159" t="s">
        <v>3082</v>
      </c>
      <c r="L159" s="27" t="s">
        <v>1736</v>
      </c>
      <c r="M159" t="s">
        <v>1546</v>
      </c>
      <c r="N159">
        <v>734.52099999999996</v>
      </c>
      <c r="O159"/>
      <c r="P159" t="s">
        <v>1865</v>
      </c>
    </row>
    <row r="160" spans="1:16" ht="18" hidden="1" x14ac:dyDescent="0.35">
      <c r="A160">
        <v>2023</v>
      </c>
      <c r="B160" t="s">
        <v>1537</v>
      </c>
      <c r="C160" t="s">
        <v>39</v>
      </c>
      <c r="D160" t="s">
        <v>1587</v>
      </c>
      <c r="F160" t="s">
        <v>1750</v>
      </c>
      <c r="G160" t="s">
        <v>2133</v>
      </c>
      <c r="H160" t="s">
        <v>11</v>
      </c>
      <c r="I160" t="s">
        <v>17</v>
      </c>
      <c r="J160" t="s">
        <v>16</v>
      </c>
      <c r="K160" t="s">
        <v>3082</v>
      </c>
      <c r="L160" s="27" t="s">
        <v>1740</v>
      </c>
      <c r="M160" t="s">
        <v>1742</v>
      </c>
      <c r="N160">
        <v>5</v>
      </c>
      <c r="O160"/>
      <c r="P160" t="s">
        <v>1865</v>
      </c>
    </row>
    <row r="161" spans="1:16" hidden="1" x14ac:dyDescent="0.25">
      <c r="A161">
        <v>2023</v>
      </c>
      <c r="B161" t="s">
        <v>1537</v>
      </c>
      <c r="C161" t="s">
        <v>39</v>
      </c>
      <c r="D161" t="s">
        <v>1587</v>
      </c>
      <c r="F161" t="s">
        <v>1750</v>
      </c>
      <c r="G161" t="s">
        <v>2133</v>
      </c>
      <c r="H161" t="s">
        <v>11</v>
      </c>
      <c r="I161" t="s">
        <v>17</v>
      </c>
      <c r="J161" t="s">
        <v>16</v>
      </c>
      <c r="K161" t="s">
        <v>3082</v>
      </c>
      <c r="L161" s="27" t="s">
        <v>1762</v>
      </c>
      <c r="M161" t="s">
        <v>1546</v>
      </c>
      <c r="N161">
        <v>626.98357978771696</v>
      </c>
      <c r="O161"/>
      <c r="P161" t="s">
        <v>1865</v>
      </c>
    </row>
    <row r="162" spans="1:16" hidden="1" x14ac:dyDescent="0.25">
      <c r="A162">
        <v>2023</v>
      </c>
      <c r="B162" t="s">
        <v>772</v>
      </c>
      <c r="C162" t="s">
        <v>755</v>
      </c>
      <c r="D162" t="s">
        <v>76</v>
      </c>
      <c r="E162" t="s">
        <v>1314</v>
      </c>
      <c r="G162" t="s">
        <v>2132</v>
      </c>
      <c r="H162" t="s">
        <v>11</v>
      </c>
      <c r="I162" t="s">
        <v>13</v>
      </c>
      <c r="J162" t="s">
        <v>64</v>
      </c>
      <c r="K162" t="s">
        <v>3082</v>
      </c>
      <c r="L162" t="s">
        <v>1705</v>
      </c>
      <c r="M162" t="s">
        <v>1546</v>
      </c>
      <c r="N162" s="10">
        <v>5977.02</v>
      </c>
      <c r="O162"/>
      <c r="P162" t="s">
        <v>1864</v>
      </c>
    </row>
    <row r="163" spans="1:16" hidden="1" x14ac:dyDescent="0.25">
      <c r="A163">
        <v>2023</v>
      </c>
      <c r="B163" t="s">
        <v>772</v>
      </c>
      <c r="C163" t="s">
        <v>755</v>
      </c>
      <c r="D163" t="s">
        <v>76</v>
      </c>
      <c r="E163" t="s">
        <v>1314</v>
      </c>
      <c r="G163" t="s">
        <v>2132</v>
      </c>
      <c r="H163" t="s">
        <v>11</v>
      </c>
      <c r="I163" t="s">
        <v>13</v>
      </c>
      <c r="J163" t="s">
        <v>64</v>
      </c>
      <c r="K163" t="s">
        <v>3082</v>
      </c>
      <c r="L163" t="s">
        <v>1706</v>
      </c>
      <c r="M163" t="s">
        <v>1546</v>
      </c>
      <c r="N163" s="10">
        <v>2819.39</v>
      </c>
      <c r="O163"/>
      <c r="P163" t="s">
        <v>1864</v>
      </c>
    </row>
    <row r="164" spans="1:16" hidden="1" x14ac:dyDescent="0.25">
      <c r="A164">
        <v>2023</v>
      </c>
      <c r="B164" t="s">
        <v>772</v>
      </c>
      <c r="C164" t="s">
        <v>755</v>
      </c>
      <c r="D164" t="s">
        <v>76</v>
      </c>
      <c r="E164" t="s">
        <v>1314</v>
      </c>
      <c r="G164" t="s">
        <v>2132</v>
      </c>
      <c r="H164" t="s">
        <v>11</v>
      </c>
      <c r="I164" t="s">
        <v>13</v>
      </c>
      <c r="J164" t="s">
        <v>64</v>
      </c>
      <c r="K164" t="s">
        <v>3082</v>
      </c>
      <c r="L164" t="s">
        <v>1698</v>
      </c>
      <c r="M164" t="s">
        <v>1691</v>
      </c>
      <c r="N164" s="10">
        <v>231239.82</v>
      </c>
      <c r="O164"/>
      <c r="P164" t="s">
        <v>1864</v>
      </c>
    </row>
    <row r="165" spans="1:16" hidden="1" x14ac:dyDescent="0.25">
      <c r="A165">
        <v>2023</v>
      </c>
      <c r="B165" t="s">
        <v>772</v>
      </c>
      <c r="C165" t="s">
        <v>755</v>
      </c>
      <c r="D165" t="s">
        <v>76</v>
      </c>
      <c r="E165" t="s">
        <v>1314</v>
      </c>
      <c r="G165" t="s">
        <v>2132</v>
      </c>
      <c r="H165" t="s">
        <v>11</v>
      </c>
      <c r="I165" t="s">
        <v>13</v>
      </c>
      <c r="J165" t="s">
        <v>64</v>
      </c>
      <c r="K165" t="s">
        <v>3082</v>
      </c>
      <c r="L165" t="s">
        <v>1704</v>
      </c>
      <c r="M165" t="s">
        <v>1546</v>
      </c>
      <c r="N165" s="10">
        <v>526.21</v>
      </c>
      <c r="O165"/>
      <c r="P165" t="s">
        <v>1864</v>
      </c>
    </row>
    <row r="166" spans="1:16" hidden="1" x14ac:dyDescent="0.25">
      <c r="A166">
        <v>2023</v>
      </c>
      <c r="B166" t="s">
        <v>772</v>
      </c>
      <c r="C166" t="s">
        <v>755</v>
      </c>
      <c r="D166" t="s">
        <v>76</v>
      </c>
      <c r="E166" t="s">
        <v>1314</v>
      </c>
      <c r="G166" t="s">
        <v>2132</v>
      </c>
      <c r="H166" t="s">
        <v>11</v>
      </c>
      <c r="I166" t="s">
        <v>13</v>
      </c>
      <c r="J166" t="s">
        <v>64</v>
      </c>
      <c r="K166" t="s">
        <v>3082</v>
      </c>
      <c r="L166" t="s">
        <v>1703</v>
      </c>
      <c r="M166" t="s">
        <v>1546</v>
      </c>
      <c r="N166" s="10">
        <v>2269.5700000000002</v>
      </c>
      <c r="O166"/>
      <c r="P166" t="s">
        <v>1864</v>
      </c>
    </row>
    <row r="167" spans="1:16" hidden="1" x14ac:dyDescent="0.25">
      <c r="A167">
        <v>2023</v>
      </c>
      <c r="B167" t="s">
        <v>772</v>
      </c>
      <c r="C167" t="s">
        <v>755</v>
      </c>
      <c r="D167" t="s">
        <v>76</v>
      </c>
      <c r="E167" t="s">
        <v>1314</v>
      </c>
      <c r="G167" t="s">
        <v>2132</v>
      </c>
      <c r="H167" t="s">
        <v>11</v>
      </c>
      <c r="I167" t="s">
        <v>13</v>
      </c>
      <c r="J167" t="s">
        <v>64</v>
      </c>
      <c r="K167" t="s">
        <v>3081</v>
      </c>
      <c r="L167" t="s">
        <v>1719</v>
      </c>
      <c r="M167" t="s">
        <v>1742</v>
      </c>
      <c r="N167" s="10">
        <v>42378137.859999999</v>
      </c>
      <c r="P167" t="s">
        <v>1634</v>
      </c>
    </row>
    <row r="168" spans="1:16" hidden="1" x14ac:dyDescent="0.25">
      <c r="A168">
        <v>2023</v>
      </c>
      <c r="B168" t="s">
        <v>772</v>
      </c>
      <c r="C168" t="s">
        <v>755</v>
      </c>
      <c r="D168" t="s">
        <v>76</v>
      </c>
      <c r="E168" t="s">
        <v>1314</v>
      </c>
      <c r="G168" t="s">
        <v>2132</v>
      </c>
      <c r="H168" t="s">
        <v>11</v>
      </c>
      <c r="I168" t="s">
        <v>13</v>
      </c>
      <c r="J168" t="s">
        <v>64</v>
      </c>
      <c r="K168" t="s">
        <v>3081</v>
      </c>
      <c r="L168" t="s">
        <v>1576</v>
      </c>
      <c r="M168" t="s">
        <v>402</v>
      </c>
      <c r="N168" s="10">
        <v>2919222</v>
      </c>
      <c r="P168" t="s">
        <v>1634</v>
      </c>
    </row>
    <row r="169" spans="1:16" x14ac:dyDescent="0.25">
      <c r="A169">
        <v>2023</v>
      </c>
      <c r="B169" t="s">
        <v>772</v>
      </c>
      <c r="C169" t="s">
        <v>755</v>
      </c>
      <c r="D169" t="s">
        <v>76</v>
      </c>
      <c r="E169" t="s">
        <v>1314</v>
      </c>
      <c r="G169" t="s">
        <v>2132</v>
      </c>
      <c r="H169" t="s">
        <v>11</v>
      </c>
      <c r="I169" t="s">
        <v>13</v>
      </c>
      <c r="J169" t="s">
        <v>64</v>
      </c>
      <c r="K169" t="s">
        <v>3082</v>
      </c>
      <c r="L169" t="s">
        <v>1912</v>
      </c>
      <c r="M169" t="s">
        <v>1691</v>
      </c>
      <c r="N169" s="10">
        <v>14805627</v>
      </c>
      <c r="P169" t="s">
        <v>1634</v>
      </c>
    </row>
    <row r="170" spans="1:16" hidden="1" x14ac:dyDescent="0.25">
      <c r="A170">
        <v>2023</v>
      </c>
      <c r="B170" t="s">
        <v>772</v>
      </c>
      <c r="C170" t="s">
        <v>755</v>
      </c>
      <c r="D170" t="s">
        <v>76</v>
      </c>
      <c r="E170" t="s">
        <v>1314</v>
      </c>
      <c r="G170" t="s">
        <v>2132</v>
      </c>
      <c r="H170" t="s">
        <v>11</v>
      </c>
      <c r="I170" t="s">
        <v>13</v>
      </c>
      <c r="J170" t="s">
        <v>64</v>
      </c>
      <c r="K170" t="s">
        <v>3082</v>
      </c>
      <c r="L170" t="s">
        <v>1696</v>
      </c>
      <c r="M170" t="s">
        <v>1546</v>
      </c>
      <c r="N170" s="10">
        <v>149.1</v>
      </c>
      <c r="O170"/>
      <c r="P170" t="s">
        <v>1864</v>
      </c>
    </row>
    <row r="171" spans="1:16" hidden="1" x14ac:dyDescent="0.25">
      <c r="A171">
        <v>2023</v>
      </c>
      <c r="B171" t="s">
        <v>772</v>
      </c>
      <c r="C171" t="s">
        <v>755</v>
      </c>
      <c r="D171" t="s">
        <v>76</v>
      </c>
      <c r="E171" t="s">
        <v>1314</v>
      </c>
      <c r="G171" t="s">
        <v>2132</v>
      </c>
      <c r="H171" t="s">
        <v>11</v>
      </c>
      <c r="I171" t="s">
        <v>13</v>
      </c>
      <c r="J171" t="s">
        <v>64</v>
      </c>
      <c r="K171" t="s">
        <v>3081</v>
      </c>
      <c r="L171" t="s">
        <v>1720</v>
      </c>
      <c r="M171" t="s">
        <v>1742</v>
      </c>
      <c r="N171" s="10">
        <v>1147190.1000000001</v>
      </c>
      <c r="P171" t="s">
        <v>1634</v>
      </c>
    </row>
    <row r="172" spans="1:16" hidden="1" x14ac:dyDescent="0.25">
      <c r="A172">
        <v>2023</v>
      </c>
      <c r="B172" t="s">
        <v>772</v>
      </c>
      <c r="C172" t="s">
        <v>755</v>
      </c>
      <c r="D172" t="s">
        <v>76</v>
      </c>
      <c r="E172" t="s">
        <v>1314</v>
      </c>
      <c r="G172" t="s">
        <v>2132</v>
      </c>
      <c r="H172" t="s">
        <v>11</v>
      </c>
      <c r="I172" t="s">
        <v>13</v>
      </c>
      <c r="J172" t="s">
        <v>64</v>
      </c>
      <c r="K172" t="s">
        <v>3082</v>
      </c>
      <c r="L172" t="s">
        <v>1697</v>
      </c>
      <c r="M172" t="s">
        <v>1546</v>
      </c>
      <c r="N172" s="10">
        <v>6390.4</v>
      </c>
      <c r="O172"/>
      <c r="P172" t="s">
        <v>1864</v>
      </c>
    </row>
    <row r="173" spans="1:16" hidden="1" x14ac:dyDescent="0.25">
      <c r="A173">
        <v>2023</v>
      </c>
      <c r="B173" t="s">
        <v>772</v>
      </c>
      <c r="C173" t="s">
        <v>755</v>
      </c>
      <c r="D173" t="s">
        <v>76</v>
      </c>
      <c r="E173" t="s">
        <v>1314</v>
      </c>
      <c r="G173" t="s">
        <v>2132</v>
      </c>
      <c r="H173" t="s">
        <v>11</v>
      </c>
      <c r="I173" t="s">
        <v>13</v>
      </c>
      <c r="J173" t="s">
        <v>64</v>
      </c>
      <c r="K173" t="s">
        <v>3081</v>
      </c>
      <c r="L173" t="s">
        <v>1713</v>
      </c>
      <c r="M173" t="s">
        <v>1742</v>
      </c>
      <c r="N173" s="10">
        <v>3691412.93</v>
      </c>
      <c r="P173" t="s">
        <v>1634</v>
      </c>
    </row>
    <row r="174" spans="1:16" hidden="1" x14ac:dyDescent="0.25">
      <c r="A174">
        <v>2023</v>
      </c>
      <c r="B174" t="s">
        <v>772</v>
      </c>
      <c r="C174" t="s">
        <v>39</v>
      </c>
      <c r="D174" t="s">
        <v>86</v>
      </c>
      <c r="E174" t="s">
        <v>1322</v>
      </c>
      <c r="G174" t="s">
        <v>2133</v>
      </c>
      <c r="H174" t="s">
        <v>11</v>
      </c>
      <c r="I174" t="s">
        <v>19</v>
      </c>
      <c r="J174" t="s">
        <v>84</v>
      </c>
      <c r="K174" t="s">
        <v>3081</v>
      </c>
      <c r="L174" t="s">
        <v>3032</v>
      </c>
      <c r="M174" t="s">
        <v>402</v>
      </c>
      <c r="N174" s="10">
        <v>2</v>
      </c>
      <c r="P174" t="s">
        <v>1583</v>
      </c>
    </row>
    <row r="175" spans="1:16" hidden="1" x14ac:dyDescent="0.25">
      <c r="A175">
        <v>2023</v>
      </c>
      <c r="B175" t="s">
        <v>772</v>
      </c>
      <c r="C175" t="s">
        <v>39</v>
      </c>
      <c r="D175" t="s">
        <v>86</v>
      </c>
      <c r="E175" t="s">
        <v>1322</v>
      </c>
      <c r="G175" t="s">
        <v>2133</v>
      </c>
      <c r="H175" t="s">
        <v>11</v>
      </c>
      <c r="I175" t="s">
        <v>19</v>
      </c>
      <c r="J175" t="s">
        <v>84</v>
      </c>
      <c r="K175" t="s">
        <v>3081</v>
      </c>
      <c r="L175" t="s">
        <v>3034</v>
      </c>
      <c r="M175" t="s">
        <v>402</v>
      </c>
      <c r="N175" s="10">
        <v>121071.91538799999</v>
      </c>
      <c r="P175" t="s">
        <v>1583</v>
      </c>
    </row>
    <row r="176" spans="1:16" hidden="1" x14ac:dyDescent="0.25">
      <c r="A176">
        <v>2023</v>
      </c>
      <c r="B176" t="s">
        <v>772</v>
      </c>
      <c r="C176" t="s">
        <v>39</v>
      </c>
      <c r="D176" t="s">
        <v>86</v>
      </c>
      <c r="E176" t="s">
        <v>1322</v>
      </c>
      <c r="G176" t="s">
        <v>2133</v>
      </c>
      <c r="H176" t="s">
        <v>11</v>
      </c>
      <c r="I176" t="s">
        <v>19</v>
      </c>
      <c r="J176" t="s">
        <v>84</v>
      </c>
      <c r="K176" t="s">
        <v>3081</v>
      </c>
      <c r="L176" t="s">
        <v>1719</v>
      </c>
      <c r="M176" t="s">
        <v>402</v>
      </c>
      <c r="N176" s="10">
        <v>1361713.8583120001</v>
      </c>
      <c r="P176" t="s">
        <v>1583</v>
      </c>
    </row>
    <row r="177" spans="1:16" hidden="1" x14ac:dyDescent="0.25">
      <c r="A177">
        <v>2023</v>
      </c>
      <c r="B177" t="s">
        <v>772</v>
      </c>
      <c r="C177" t="s">
        <v>39</v>
      </c>
      <c r="D177" t="s">
        <v>86</v>
      </c>
      <c r="E177" t="s">
        <v>1322</v>
      </c>
      <c r="G177" t="s">
        <v>2133</v>
      </c>
      <c r="H177" t="s">
        <v>11</v>
      </c>
      <c r="I177" t="s">
        <v>19</v>
      </c>
      <c r="J177" t="s">
        <v>84</v>
      </c>
      <c r="K177" t="s">
        <v>3081</v>
      </c>
      <c r="L177" t="s">
        <v>1582</v>
      </c>
      <c r="M177" t="s">
        <v>402</v>
      </c>
      <c r="N177" s="10">
        <v>5528.5667000000003</v>
      </c>
      <c r="P177" t="s">
        <v>1583</v>
      </c>
    </row>
    <row r="178" spans="1:16" hidden="1" x14ac:dyDescent="0.25">
      <c r="A178">
        <v>2023</v>
      </c>
      <c r="B178" t="s">
        <v>772</v>
      </c>
      <c r="C178" t="s">
        <v>39</v>
      </c>
      <c r="D178" t="s">
        <v>86</v>
      </c>
      <c r="E178" t="s">
        <v>1322</v>
      </c>
      <c r="G178" t="s">
        <v>2133</v>
      </c>
      <c r="H178" t="s">
        <v>11</v>
      </c>
      <c r="I178" t="s">
        <v>19</v>
      </c>
      <c r="J178" t="s">
        <v>84</v>
      </c>
      <c r="K178" t="s">
        <v>3081</v>
      </c>
      <c r="L178" t="s">
        <v>1718</v>
      </c>
      <c r="M178" t="s">
        <v>402</v>
      </c>
      <c r="N178" s="10">
        <v>1274584.3415999999</v>
      </c>
      <c r="P178" t="s">
        <v>1583</v>
      </c>
    </row>
    <row r="179" spans="1:16" hidden="1" x14ac:dyDescent="0.25">
      <c r="A179">
        <v>2023</v>
      </c>
      <c r="B179" t="s">
        <v>772</v>
      </c>
      <c r="C179" t="s">
        <v>39</v>
      </c>
      <c r="D179" t="s">
        <v>86</v>
      </c>
      <c r="E179" t="s">
        <v>1322</v>
      </c>
      <c r="G179" t="s">
        <v>2133</v>
      </c>
      <c r="H179" t="s">
        <v>11</v>
      </c>
      <c r="I179" t="s">
        <v>19</v>
      </c>
      <c r="J179" t="s">
        <v>84</v>
      </c>
      <c r="K179" t="s">
        <v>3081</v>
      </c>
      <c r="L179" t="s">
        <v>1720</v>
      </c>
      <c r="M179" t="s">
        <v>402</v>
      </c>
      <c r="N179" s="10">
        <v>25050.76</v>
      </c>
      <c r="P179" t="s">
        <v>1583</v>
      </c>
    </row>
    <row r="180" spans="1:16" hidden="1" x14ac:dyDescent="0.25">
      <c r="A180">
        <v>2023</v>
      </c>
      <c r="B180" t="s">
        <v>772</v>
      </c>
      <c r="C180" t="s">
        <v>39</v>
      </c>
      <c r="D180" t="s">
        <v>86</v>
      </c>
      <c r="E180" t="s">
        <v>1322</v>
      </c>
      <c r="G180" t="s">
        <v>2133</v>
      </c>
      <c r="H180" t="s">
        <v>11</v>
      </c>
      <c r="I180" t="s">
        <v>19</v>
      </c>
      <c r="J180" t="s">
        <v>84</v>
      </c>
      <c r="K180" t="s">
        <v>3081</v>
      </c>
      <c r="L180" t="s">
        <v>1713</v>
      </c>
      <c r="M180" t="s">
        <v>402</v>
      </c>
      <c r="N180" s="10">
        <v>80313.185800000007</v>
      </c>
      <c r="P180" t="s">
        <v>1583</v>
      </c>
    </row>
    <row r="181" spans="1:16" hidden="1" x14ac:dyDescent="0.25">
      <c r="A181">
        <v>2024</v>
      </c>
      <c r="B181" t="s">
        <v>772</v>
      </c>
      <c r="C181" t="s">
        <v>798</v>
      </c>
      <c r="D181" t="s">
        <v>71</v>
      </c>
      <c r="E181" t="s">
        <v>1215</v>
      </c>
      <c r="G181" t="s">
        <v>2067</v>
      </c>
      <c r="H181" t="s">
        <v>11</v>
      </c>
      <c r="I181" t="s">
        <v>13</v>
      </c>
      <c r="J181" t="s">
        <v>64</v>
      </c>
      <c r="K181" t="s">
        <v>3081</v>
      </c>
      <c r="L181" t="s">
        <v>1719</v>
      </c>
      <c r="M181" t="s">
        <v>1742</v>
      </c>
      <c r="N181" s="10">
        <v>3116555.8</v>
      </c>
      <c r="P181" t="s">
        <v>1824</v>
      </c>
    </row>
    <row r="182" spans="1:16" hidden="1" x14ac:dyDescent="0.25">
      <c r="A182">
        <v>2024</v>
      </c>
      <c r="B182" t="s">
        <v>772</v>
      </c>
      <c r="C182" t="s">
        <v>798</v>
      </c>
      <c r="D182" t="s">
        <v>71</v>
      </c>
      <c r="E182" t="s">
        <v>1215</v>
      </c>
      <c r="G182" t="s">
        <v>2067</v>
      </c>
      <c r="H182" t="s">
        <v>11</v>
      </c>
      <c r="I182" t="s">
        <v>13</v>
      </c>
      <c r="J182" t="s">
        <v>64</v>
      </c>
      <c r="K182" t="s">
        <v>3081</v>
      </c>
      <c r="L182" t="s">
        <v>1718</v>
      </c>
      <c r="M182" t="s">
        <v>1577</v>
      </c>
      <c r="N182" s="10">
        <v>248298644.3585</v>
      </c>
      <c r="P182" t="s">
        <v>1824</v>
      </c>
    </row>
    <row r="183" spans="1:16" hidden="1" x14ac:dyDescent="0.25">
      <c r="A183">
        <v>2024</v>
      </c>
      <c r="B183" t="s">
        <v>772</v>
      </c>
      <c r="C183" t="s">
        <v>798</v>
      </c>
      <c r="D183" t="s">
        <v>71</v>
      </c>
      <c r="E183" t="s">
        <v>1215</v>
      </c>
      <c r="G183" t="s">
        <v>2067</v>
      </c>
      <c r="H183" t="s">
        <v>11</v>
      </c>
      <c r="I183" t="s">
        <v>13</v>
      </c>
      <c r="J183" t="s">
        <v>64</v>
      </c>
      <c r="K183" t="s">
        <v>3081</v>
      </c>
      <c r="L183" t="s">
        <v>1720</v>
      </c>
      <c r="M183" t="s">
        <v>1742</v>
      </c>
      <c r="N183" s="10">
        <v>151631.5</v>
      </c>
      <c r="P183" t="s">
        <v>1824</v>
      </c>
    </row>
    <row r="184" spans="1:16" hidden="1" x14ac:dyDescent="0.25">
      <c r="A184">
        <v>2024</v>
      </c>
      <c r="B184" t="s">
        <v>772</v>
      </c>
      <c r="C184" t="s">
        <v>798</v>
      </c>
      <c r="D184" t="s">
        <v>71</v>
      </c>
      <c r="E184" t="s">
        <v>1215</v>
      </c>
      <c r="G184" t="s">
        <v>2067</v>
      </c>
      <c r="H184" t="s">
        <v>11</v>
      </c>
      <c r="I184" t="s">
        <v>13</v>
      </c>
      <c r="J184" t="s">
        <v>64</v>
      </c>
      <c r="K184" t="s">
        <v>3081</v>
      </c>
      <c r="L184" t="s">
        <v>1811</v>
      </c>
      <c r="M184" t="s">
        <v>1742</v>
      </c>
      <c r="N184" s="10">
        <v>640677.799999999</v>
      </c>
      <c r="P184" t="s">
        <v>1824</v>
      </c>
    </row>
    <row r="185" spans="1:16" hidden="1" x14ac:dyDescent="0.25">
      <c r="A185">
        <v>2024</v>
      </c>
      <c r="B185" t="s">
        <v>772</v>
      </c>
      <c r="C185" t="s">
        <v>798</v>
      </c>
      <c r="D185" t="s">
        <v>71</v>
      </c>
      <c r="E185" t="s">
        <v>1215</v>
      </c>
      <c r="G185" t="s">
        <v>2067</v>
      </c>
      <c r="H185" t="s">
        <v>11</v>
      </c>
      <c r="I185" t="s">
        <v>13</v>
      </c>
      <c r="J185" t="s">
        <v>64</v>
      </c>
      <c r="K185" t="s">
        <v>3081</v>
      </c>
      <c r="L185" t="s">
        <v>1714</v>
      </c>
      <c r="M185" t="s">
        <v>402</v>
      </c>
      <c r="N185" s="10">
        <v>307233</v>
      </c>
      <c r="P185" t="s">
        <v>1824</v>
      </c>
    </row>
    <row r="186" spans="1:16" hidden="1" x14ac:dyDescent="0.25">
      <c r="A186">
        <v>2023</v>
      </c>
      <c r="B186" t="s">
        <v>772</v>
      </c>
      <c r="C186" t="s">
        <v>165</v>
      </c>
      <c r="D186" t="s">
        <v>166</v>
      </c>
      <c r="E186" t="s">
        <v>1392</v>
      </c>
      <c r="G186" t="s">
        <v>2180</v>
      </c>
      <c r="H186" t="s">
        <v>11</v>
      </c>
      <c r="I186" t="s">
        <v>19</v>
      </c>
      <c r="J186" t="s">
        <v>157</v>
      </c>
      <c r="K186" t="s">
        <v>3081</v>
      </c>
      <c r="L186" t="s">
        <v>1719</v>
      </c>
      <c r="M186" t="s">
        <v>1780</v>
      </c>
      <c r="N186" s="10">
        <v>432</v>
      </c>
      <c r="P186" t="s">
        <v>2972</v>
      </c>
    </row>
    <row r="187" spans="1:16" ht="15.6" hidden="1" customHeight="1" x14ac:dyDescent="0.25">
      <c r="A187">
        <v>2023</v>
      </c>
      <c r="B187" t="s">
        <v>772</v>
      </c>
      <c r="C187" t="s">
        <v>165</v>
      </c>
      <c r="D187" t="s">
        <v>166</v>
      </c>
      <c r="E187" t="s">
        <v>1392</v>
      </c>
      <c r="G187" t="s">
        <v>2180</v>
      </c>
      <c r="H187" t="s">
        <v>11</v>
      </c>
      <c r="I187" t="s">
        <v>19</v>
      </c>
      <c r="J187" t="s">
        <v>157</v>
      </c>
      <c r="K187" t="s">
        <v>3081</v>
      </c>
      <c r="L187" t="s">
        <v>1718</v>
      </c>
      <c r="M187" t="s">
        <v>1780</v>
      </c>
      <c r="N187" s="10">
        <v>1233</v>
      </c>
      <c r="P187" t="s">
        <v>1927</v>
      </c>
    </row>
    <row r="188" spans="1:16" ht="15.6" hidden="1" customHeight="1" x14ac:dyDescent="0.25">
      <c r="A188">
        <v>2023</v>
      </c>
      <c r="B188" t="s">
        <v>772</v>
      </c>
      <c r="C188" t="s">
        <v>165</v>
      </c>
      <c r="D188" t="s">
        <v>166</v>
      </c>
      <c r="E188" t="s">
        <v>1392</v>
      </c>
      <c r="G188" t="s">
        <v>2180</v>
      </c>
      <c r="H188" t="s">
        <v>11</v>
      </c>
      <c r="I188" t="s">
        <v>19</v>
      </c>
      <c r="J188" t="s">
        <v>157</v>
      </c>
      <c r="K188" t="s">
        <v>3081</v>
      </c>
      <c r="L188" t="s">
        <v>1720</v>
      </c>
      <c r="M188" t="s">
        <v>1780</v>
      </c>
      <c r="N188" s="10">
        <v>12</v>
      </c>
      <c r="P188" t="s">
        <v>2972</v>
      </c>
    </row>
    <row r="189" spans="1:16" ht="14.45" hidden="1" customHeight="1" x14ac:dyDescent="0.25">
      <c r="A189">
        <v>2023</v>
      </c>
      <c r="B189" t="s">
        <v>772</v>
      </c>
      <c r="C189" t="s">
        <v>165</v>
      </c>
      <c r="D189" t="s">
        <v>166</v>
      </c>
      <c r="E189" t="s">
        <v>1392</v>
      </c>
      <c r="G189" t="s">
        <v>2180</v>
      </c>
      <c r="H189" t="s">
        <v>11</v>
      </c>
      <c r="I189" t="s">
        <v>19</v>
      </c>
      <c r="J189" t="s">
        <v>157</v>
      </c>
      <c r="K189" t="s">
        <v>3081</v>
      </c>
      <c r="L189" t="s">
        <v>1955</v>
      </c>
      <c r="M189" t="s">
        <v>1780</v>
      </c>
      <c r="N189" s="10">
        <v>1058</v>
      </c>
      <c r="P189" t="s">
        <v>2972</v>
      </c>
    </row>
    <row r="190" spans="1:16" ht="14.45" hidden="1" customHeight="1" x14ac:dyDescent="0.25">
      <c r="A190">
        <v>2023</v>
      </c>
      <c r="B190" t="s">
        <v>772</v>
      </c>
      <c r="C190" t="s">
        <v>165</v>
      </c>
      <c r="D190" t="s">
        <v>166</v>
      </c>
      <c r="E190" t="s">
        <v>1392</v>
      </c>
      <c r="G190" t="s">
        <v>2180</v>
      </c>
      <c r="H190" t="s">
        <v>11</v>
      </c>
      <c r="I190" t="s">
        <v>19</v>
      </c>
      <c r="J190" t="s">
        <v>157</v>
      </c>
      <c r="K190" t="s">
        <v>3081</v>
      </c>
      <c r="L190" t="s">
        <v>1713</v>
      </c>
      <c r="M190" t="s">
        <v>1780</v>
      </c>
      <c r="N190" s="10">
        <v>1</v>
      </c>
      <c r="P190" t="s">
        <v>2972</v>
      </c>
    </row>
    <row r="191" spans="1:16" hidden="1" x14ac:dyDescent="0.25">
      <c r="A191">
        <v>2023</v>
      </c>
      <c r="B191" t="s">
        <v>1537</v>
      </c>
      <c r="C191" t="s">
        <v>902</v>
      </c>
      <c r="D191" t="s">
        <v>1943</v>
      </c>
      <c r="F191" t="s">
        <v>1942</v>
      </c>
      <c r="G191" t="s">
        <v>2169</v>
      </c>
      <c r="H191" t="s">
        <v>11</v>
      </c>
      <c r="I191" t="s">
        <v>44</v>
      </c>
      <c r="J191" t="s">
        <v>16</v>
      </c>
      <c r="K191" t="s">
        <v>3081</v>
      </c>
      <c r="L191" t="s">
        <v>1719</v>
      </c>
      <c r="M191" t="s">
        <v>402</v>
      </c>
      <c r="N191" s="10">
        <v>131655</v>
      </c>
      <c r="P191" t="s">
        <v>1886</v>
      </c>
    </row>
    <row r="192" spans="1:16" hidden="1" x14ac:dyDescent="0.25">
      <c r="A192">
        <v>2023</v>
      </c>
      <c r="B192" t="s">
        <v>1537</v>
      </c>
      <c r="C192" t="s">
        <v>902</v>
      </c>
      <c r="D192" t="s">
        <v>1943</v>
      </c>
      <c r="F192" t="s">
        <v>1942</v>
      </c>
      <c r="G192" t="s">
        <v>2169</v>
      </c>
      <c r="H192" t="s">
        <v>11</v>
      </c>
      <c r="I192" t="s">
        <v>44</v>
      </c>
      <c r="J192" t="s">
        <v>16</v>
      </c>
      <c r="K192" t="s">
        <v>3081</v>
      </c>
      <c r="L192" t="s">
        <v>1582</v>
      </c>
      <c r="M192" t="s">
        <v>1577</v>
      </c>
      <c r="N192" s="10">
        <v>452775</v>
      </c>
      <c r="P192" t="s">
        <v>1886</v>
      </c>
    </row>
    <row r="193" spans="1:16" hidden="1" x14ac:dyDescent="0.25">
      <c r="A193">
        <v>2023</v>
      </c>
      <c r="B193" t="s">
        <v>1537</v>
      </c>
      <c r="C193" t="s">
        <v>902</v>
      </c>
      <c r="D193" t="s">
        <v>1943</v>
      </c>
      <c r="F193" t="s">
        <v>1942</v>
      </c>
      <c r="G193" t="s">
        <v>2169</v>
      </c>
      <c r="H193" t="s">
        <v>11</v>
      </c>
      <c r="I193" t="s">
        <v>44</v>
      </c>
      <c r="J193" t="s">
        <v>16</v>
      </c>
      <c r="K193" t="s">
        <v>3081</v>
      </c>
      <c r="L193" t="s">
        <v>1718</v>
      </c>
      <c r="M193" t="s">
        <v>1577</v>
      </c>
      <c r="N193" s="10">
        <v>53673624</v>
      </c>
      <c r="P193" t="s">
        <v>1886</v>
      </c>
    </row>
    <row r="194" spans="1:16" hidden="1" x14ac:dyDescent="0.25">
      <c r="A194">
        <v>2023</v>
      </c>
      <c r="B194" t="s">
        <v>1537</v>
      </c>
      <c r="C194" t="s">
        <v>902</v>
      </c>
      <c r="D194" t="s">
        <v>1943</v>
      </c>
      <c r="F194" t="s">
        <v>1942</v>
      </c>
      <c r="G194" t="s">
        <v>2169</v>
      </c>
      <c r="H194" t="s">
        <v>11</v>
      </c>
      <c r="I194" t="s">
        <v>44</v>
      </c>
      <c r="J194" t="s">
        <v>16</v>
      </c>
      <c r="K194" t="s">
        <v>3081</v>
      </c>
      <c r="L194" t="s">
        <v>1842</v>
      </c>
      <c r="M194" t="s">
        <v>402</v>
      </c>
      <c r="N194" s="10">
        <v>10277</v>
      </c>
      <c r="O194" s="10" t="s">
        <v>3031</v>
      </c>
      <c r="P194" t="s">
        <v>1886</v>
      </c>
    </row>
    <row r="195" spans="1:16" hidden="1" x14ac:dyDescent="0.25">
      <c r="A195">
        <v>2023</v>
      </c>
      <c r="B195" t="s">
        <v>1537</v>
      </c>
      <c r="C195" t="s">
        <v>902</v>
      </c>
      <c r="D195" t="s">
        <v>1943</v>
      </c>
      <c r="F195" t="s">
        <v>1942</v>
      </c>
      <c r="G195" t="s">
        <v>2169</v>
      </c>
      <c r="H195" t="s">
        <v>11</v>
      </c>
      <c r="I195" t="s">
        <v>44</v>
      </c>
      <c r="J195" t="s">
        <v>16</v>
      </c>
      <c r="K195" t="s">
        <v>3081</v>
      </c>
      <c r="L195" t="s">
        <v>1713</v>
      </c>
      <c r="M195" t="s">
        <v>402</v>
      </c>
      <c r="N195" s="10">
        <v>40177</v>
      </c>
      <c r="P195" t="s">
        <v>1886</v>
      </c>
    </row>
    <row r="196" spans="1:16" hidden="1" x14ac:dyDescent="0.25">
      <c r="A196">
        <v>2023</v>
      </c>
      <c r="B196" t="s">
        <v>1537</v>
      </c>
      <c r="C196" t="s">
        <v>717</v>
      </c>
      <c r="D196" t="s">
        <v>1778</v>
      </c>
      <c r="F196" t="s">
        <v>1849</v>
      </c>
      <c r="G196" t="s">
        <v>1848</v>
      </c>
      <c r="H196" t="s">
        <v>11</v>
      </c>
      <c r="I196" t="s">
        <v>19</v>
      </c>
      <c r="J196" t="s">
        <v>90</v>
      </c>
      <c r="K196" t="s">
        <v>3081</v>
      </c>
      <c r="L196" t="s">
        <v>1719</v>
      </c>
      <c r="M196" t="s">
        <v>1780</v>
      </c>
      <c r="N196" s="10">
        <f>440*0.88</f>
        <v>387.2</v>
      </c>
      <c r="O196" s="10" t="s">
        <v>3029</v>
      </c>
      <c r="P196" t="s">
        <v>1781</v>
      </c>
    </row>
    <row r="197" spans="1:16" hidden="1" x14ac:dyDescent="0.25">
      <c r="A197">
        <v>2023</v>
      </c>
      <c r="B197" t="s">
        <v>1537</v>
      </c>
      <c r="C197" t="s">
        <v>717</v>
      </c>
      <c r="D197" t="s">
        <v>1778</v>
      </c>
      <c r="F197" t="s">
        <v>1849</v>
      </c>
      <c r="G197" t="s">
        <v>1848</v>
      </c>
      <c r="H197" t="s">
        <v>11</v>
      </c>
      <c r="I197" t="s">
        <v>19</v>
      </c>
      <c r="J197" t="s">
        <v>90</v>
      </c>
      <c r="K197" t="s">
        <v>3081</v>
      </c>
      <c r="L197" t="s">
        <v>1576</v>
      </c>
      <c r="M197" t="s">
        <v>1780</v>
      </c>
      <c r="N197" s="10">
        <v>764</v>
      </c>
      <c r="P197" t="s">
        <v>1781</v>
      </c>
    </row>
    <row r="198" spans="1:16" hidden="1" x14ac:dyDescent="0.25">
      <c r="A198">
        <v>2023</v>
      </c>
      <c r="B198" t="s">
        <v>1537</v>
      </c>
      <c r="C198" t="s">
        <v>717</v>
      </c>
      <c r="D198" t="s">
        <v>1778</v>
      </c>
      <c r="F198" t="s">
        <v>1849</v>
      </c>
      <c r="G198" t="s">
        <v>1848</v>
      </c>
      <c r="H198" t="s">
        <v>11</v>
      </c>
      <c r="I198" t="s">
        <v>19</v>
      </c>
      <c r="J198" t="s">
        <v>90</v>
      </c>
      <c r="K198" t="s">
        <v>3081</v>
      </c>
      <c r="L198" t="s">
        <v>1720</v>
      </c>
      <c r="M198" t="s">
        <v>1780</v>
      </c>
      <c r="N198" s="10">
        <f>440*0.004</f>
        <v>1.76</v>
      </c>
      <c r="O198" s="10" t="s">
        <v>3029</v>
      </c>
      <c r="P198" t="s">
        <v>1781</v>
      </c>
    </row>
    <row r="199" spans="1:16" hidden="1" x14ac:dyDescent="0.25">
      <c r="A199">
        <v>2023</v>
      </c>
      <c r="B199" t="s">
        <v>1537</v>
      </c>
      <c r="C199" t="s">
        <v>717</v>
      </c>
      <c r="D199" t="s">
        <v>1778</v>
      </c>
      <c r="F199" t="s">
        <v>1849</v>
      </c>
      <c r="G199" t="s">
        <v>1848</v>
      </c>
      <c r="H199" t="s">
        <v>11</v>
      </c>
      <c r="I199" t="s">
        <v>19</v>
      </c>
      <c r="J199" t="s">
        <v>90</v>
      </c>
      <c r="K199" t="s">
        <v>3081</v>
      </c>
      <c r="L199" t="s">
        <v>1713</v>
      </c>
      <c r="M199" t="s">
        <v>1780</v>
      </c>
      <c r="N199" s="10">
        <f>440*0.11</f>
        <v>48.4</v>
      </c>
      <c r="O199" s="10" t="s">
        <v>3029</v>
      </c>
      <c r="P199" t="s">
        <v>1781</v>
      </c>
    </row>
    <row r="200" spans="1:16" hidden="1" x14ac:dyDescent="0.25">
      <c r="A200">
        <v>2023</v>
      </c>
      <c r="B200" t="s">
        <v>1537</v>
      </c>
      <c r="C200" t="s">
        <v>756</v>
      </c>
      <c r="D200" t="s">
        <v>1536</v>
      </c>
      <c r="F200" t="s">
        <v>1751</v>
      </c>
      <c r="G200" t="s">
        <v>2148</v>
      </c>
      <c r="H200" t="s">
        <v>11</v>
      </c>
      <c r="I200" t="s">
        <v>17</v>
      </c>
      <c r="J200" t="s">
        <v>16</v>
      </c>
      <c r="K200" t="s">
        <v>3082</v>
      </c>
      <c r="L200" t="s">
        <v>1632</v>
      </c>
      <c r="M200" t="s">
        <v>402</v>
      </c>
      <c r="N200" s="10">
        <v>20.7</v>
      </c>
      <c r="P200" t="s">
        <v>1634</v>
      </c>
    </row>
    <row r="201" spans="1:16" hidden="1" x14ac:dyDescent="0.25">
      <c r="A201">
        <v>2023</v>
      </c>
      <c r="B201" t="s">
        <v>1537</v>
      </c>
      <c r="C201" t="s">
        <v>756</v>
      </c>
      <c r="D201" t="s">
        <v>1536</v>
      </c>
      <c r="F201" t="s">
        <v>1751</v>
      </c>
      <c r="G201" t="s">
        <v>2148</v>
      </c>
      <c r="H201" t="s">
        <v>11</v>
      </c>
      <c r="I201" t="s">
        <v>17</v>
      </c>
      <c r="J201" t="s">
        <v>16</v>
      </c>
      <c r="K201" t="s">
        <v>3081</v>
      </c>
      <c r="L201" t="s">
        <v>1719</v>
      </c>
      <c r="M201" t="s">
        <v>402</v>
      </c>
      <c r="N201" s="10">
        <v>384285.8</v>
      </c>
      <c r="P201" t="s">
        <v>1634</v>
      </c>
    </row>
    <row r="202" spans="1:16" ht="15.6" hidden="1" customHeight="1" x14ac:dyDescent="0.25">
      <c r="A202">
        <v>2023</v>
      </c>
      <c r="B202" t="s">
        <v>1537</v>
      </c>
      <c r="C202" t="s">
        <v>756</v>
      </c>
      <c r="D202" t="s">
        <v>1536</v>
      </c>
      <c r="F202" t="s">
        <v>1751</v>
      </c>
      <c r="G202" t="s">
        <v>2148</v>
      </c>
      <c r="H202" t="s">
        <v>11</v>
      </c>
      <c r="I202" t="s">
        <v>17</v>
      </c>
      <c r="J202" t="s">
        <v>16</v>
      </c>
      <c r="K202" t="s">
        <v>3082</v>
      </c>
      <c r="L202" t="s">
        <v>3036</v>
      </c>
      <c r="M202" t="s">
        <v>402</v>
      </c>
      <c r="N202" s="10">
        <v>4889.7999999999993</v>
      </c>
      <c r="P202" t="s">
        <v>1634</v>
      </c>
    </row>
    <row r="203" spans="1:16" hidden="1" x14ac:dyDescent="0.25">
      <c r="A203">
        <v>2023</v>
      </c>
      <c r="B203" t="s">
        <v>1537</v>
      </c>
      <c r="C203" t="s">
        <v>756</v>
      </c>
      <c r="D203" t="s">
        <v>1536</v>
      </c>
      <c r="F203" t="s">
        <v>1751</v>
      </c>
      <c r="G203" t="s">
        <v>2148</v>
      </c>
      <c r="H203" t="s">
        <v>11</v>
      </c>
      <c r="I203" t="s">
        <v>17</v>
      </c>
      <c r="J203" t="s">
        <v>16</v>
      </c>
      <c r="K203" t="s">
        <v>3081</v>
      </c>
      <c r="L203" t="s">
        <v>1718</v>
      </c>
      <c r="M203" t="s">
        <v>402</v>
      </c>
      <c r="N203" s="10">
        <v>738226.8</v>
      </c>
      <c r="P203" t="s">
        <v>1634</v>
      </c>
    </row>
    <row r="204" spans="1:16" hidden="1" x14ac:dyDescent="0.25">
      <c r="A204">
        <v>2023</v>
      </c>
      <c r="B204" t="s">
        <v>1537</v>
      </c>
      <c r="C204" t="s">
        <v>756</v>
      </c>
      <c r="D204" t="s">
        <v>1536</v>
      </c>
      <c r="F204" t="s">
        <v>1751</v>
      </c>
      <c r="G204" t="s">
        <v>2148</v>
      </c>
      <c r="H204" t="s">
        <v>11</v>
      </c>
      <c r="I204" t="s">
        <v>17</v>
      </c>
      <c r="J204" t="s">
        <v>16</v>
      </c>
      <c r="K204" t="s">
        <v>3082</v>
      </c>
      <c r="L204" t="s">
        <v>1633</v>
      </c>
      <c r="M204" t="s">
        <v>402</v>
      </c>
      <c r="N204" s="10">
        <v>2026.3</v>
      </c>
      <c r="O204" s="10" t="s">
        <v>3225</v>
      </c>
      <c r="P204" t="s">
        <v>1634</v>
      </c>
    </row>
    <row r="205" spans="1:16" hidden="1" x14ac:dyDescent="0.25">
      <c r="A205">
        <v>2023</v>
      </c>
      <c r="B205" t="s">
        <v>1537</v>
      </c>
      <c r="C205" t="s">
        <v>756</v>
      </c>
      <c r="D205" t="s">
        <v>1536</v>
      </c>
      <c r="F205" t="s">
        <v>1751</v>
      </c>
      <c r="G205" t="s">
        <v>2148</v>
      </c>
      <c r="H205" t="s">
        <v>11</v>
      </c>
      <c r="I205" t="s">
        <v>17</v>
      </c>
      <c r="J205" t="s">
        <v>16</v>
      </c>
      <c r="K205" t="s">
        <v>3081</v>
      </c>
      <c r="L205" t="s">
        <v>1720</v>
      </c>
      <c r="M205" t="s">
        <v>402</v>
      </c>
      <c r="N205" s="10">
        <v>2946.1</v>
      </c>
      <c r="P205" t="s">
        <v>1634</v>
      </c>
    </row>
    <row r="206" spans="1:16" hidden="1" x14ac:dyDescent="0.25">
      <c r="A206">
        <v>2023</v>
      </c>
      <c r="B206" t="s">
        <v>1537</v>
      </c>
      <c r="C206" t="s">
        <v>756</v>
      </c>
      <c r="D206" t="s">
        <v>1536</v>
      </c>
      <c r="F206" t="s">
        <v>1751</v>
      </c>
      <c r="G206" t="s">
        <v>2148</v>
      </c>
      <c r="H206" t="s">
        <v>11</v>
      </c>
      <c r="I206" t="s">
        <v>17</v>
      </c>
      <c r="J206" t="s">
        <v>16</v>
      </c>
      <c r="K206" t="s">
        <v>3081</v>
      </c>
      <c r="L206" t="s">
        <v>1714</v>
      </c>
      <c r="M206" t="s">
        <v>402</v>
      </c>
      <c r="N206" s="10">
        <v>159325.59885000001</v>
      </c>
      <c r="P206" t="s">
        <v>1634</v>
      </c>
    </row>
    <row r="207" spans="1:16" hidden="1" x14ac:dyDescent="0.25">
      <c r="A207">
        <v>2023</v>
      </c>
      <c r="B207" t="s">
        <v>772</v>
      </c>
      <c r="C207" t="s">
        <v>73</v>
      </c>
      <c r="D207" t="s">
        <v>74</v>
      </c>
      <c r="E207" t="s">
        <v>1276</v>
      </c>
      <c r="G207" t="s">
        <v>2100</v>
      </c>
      <c r="H207" t="s">
        <v>11</v>
      </c>
      <c r="I207" t="s">
        <v>13</v>
      </c>
      <c r="J207" t="s">
        <v>64</v>
      </c>
      <c r="K207" t="s">
        <v>3082</v>
      </c>
      <c r="L207" t="s">
        <v>1907</v>
      </c>
      <c r="M207" t="s">
        <v>402</v>
      </c>
      <c r="N207" s="10">
        <v>1530.9</v>
      </c>
      <c r="O207" s="10" t="s">
        <v>3225</v>
      </c>
      <c r="P207" t="s">
        <v>1909</v>
      </c>
    </row>
    <row r="208" spans="1:16" hidden="1" x14ac:dyDescent="0.25">
      <c r="A208">
        <v>2023</v>
      </c>
      <c r="B208" t="s">
        <v>772</v>
      </c>
      <c r="C208" t="s">
        <v>73</v>
      </c>
      <c r="D208" t="s">
        <v>74</v>
      </c>
      <c r="E208" t="s">
        <v>1276</v>
      </c>
      <c r="G208" t="s">
        <v>2100</v>
      </c>
      <c r="H208" t="s">
        <v>11</v>
      </c>
      <c r="I208" t="s">
        <v>13</v>
      </c>
      <c r="J208" t="s">
        <v>64</v>
      </c>
      <c r="K208" t="s">
        <v>3082</v>
      </c>
      <c r="L208" t="s">
        <v>1698</v>
      </c>
      <c r="M208" t="s">
        <v>1546</v>
      </c>
      <c r="N208" s="10">
        <v>35.4</v>
      </c>
      <c r="O208"/>
      <c r="P208" t="s">
        <v>1909</v>
      </c>
    </row>
    <row r="209" spans="1:16" hidden="1" x14ac:dyDescent="0.25">
      <c r="A209">
        <v>2023</v>
      </c>
      <c r="B209" t="s">
        <v>772</v>
      </c>
      <c r="C209" t="s">
        <v>73</v>
      </c>
      <c r="D209" t="s">
        <v>74</v>
      </c>
      <c r="E209" t="s">
        <v>1276</v>
      </c>
      <c r="G209" t="s">
        <v>2100</v>
      </c>
      <c r="H209" t="s">
        <v>11</v>
      </c>
      <c r="I209" t="s">
        <v>13</v>
      </c>
      <c r="J209" t="s">
        <v>64</v>
      </c>
      <c r="K209" t="s">
        <v>3082</v>
      </c>
      <c r="L209" t="s">
        <v>1916</v>
      </c>
      <c r="M209" t="s">
        <v>1546</v>
      </c>
      <c r="N209" s="10">
        <v>60.4</v>
      </c>
      <c r="O209"/>
      <c r="P209" t="s">
        <v>1909</v>
      </c>
    </row>
    <row r="210" spans="1:16" hidden="1" x14ac:dyDescent="0.25">
      <c r="A210">
        <v>2023</v>
      </c>
      <c r="B210" t="s">
        <v>772</v>
      </c>
      <c r="C210" t="s">
        <v>73</v>
      </c>
      <c r="D210" t="s">
        <v>74</v>
      </c>
      <c r="E210" t="s">
        <v>1276</v>
      </c>
      <c r="G210" t="s">
        <v>2100</v>
      </c>
      <c r="H210" t="s">
        <v>11</v>
      </c>
      <c r="I210" t="s">
        <v>13</v>
      </c>
      <c r="J210" t="s">
        <v>64</v>
      </c>
      <c r="K210" t="s">
        <v>3082</v>
      </c>
      <c r="L210" t="s">
        <v>1704</v>
      </c>
      <c r="M210" t="s">
        <v>1546</v>
      </c>
      <c r="N210" s="10">
        <v>86.6</v>
      </c>
      <c r="O210"/>
      <c r="P210" t="s">
        <v>1909</v>
      </c>
    </row>
    <row r="211" spans="1:16" hidden="1" x14ac:dyDescent="0.25">
      <c r="A211">
        <v>2023</v>
      </c>
      <c r="B211" t="s">
        <v>772</v>
      </c>
      <c r="C211" t="s">
        <v>73</v>
      </c>
      <c r="D211" t="s">
        <v>74</v>
      </c>
      <c r="E211" t="s">
        <v>1276</v>
      </c>
      <c r="G211" t="s">
        <v>2100</v>
      </c>
      <c r="H211" t="s">
        <v>11</v>
      </c>
      <c r="I211" t="s">
        <v>13</v>
      </c>
      <c r="J211" t="s">
        <v>64</v>
      </c>
      <c r="K211" t="s">
        <v>3082</v>
      </c>
      <c r="L211" t="s">
        <v>1919</v>
      </c>
      <c r="M211" t="s">
        <v>1546</v>
      </c>
      <c r="N211" s="10">
        <v>1.5</v>
      </c>
      <c r="O211"/>
      <c r="P211" t="s">
        <v>1909</v>
      </c>
    </row>
    <row r="212" spans="1:16" hidden="1" x14ac:dyDescent="0.25">
      <c r="A212">
        <v>2023</v>
      </c>
      <c r="B212" t="s">
        <v>772</v>
      </c>
      <c r="C212" t="s">
        <v>73</v>
      </c>
      <c r="D212" t="s">
        <v>74</v>
      </c>
      <c r="E212" t="s">
        <v>1276</v>
      </c>
      <c r="G212" t="s">
        <v>2100</v>
      </c>
      <c r="H212" t="s">
        <v>11</v>
      </c>
      <c r="I212" t="s">
        <v>13</v>
      </c>
      <c r="J212" t="s">
        <v>64</v>
      </c>
      <c r="K212" t="s">
        <v>3082</v>
      </c>
      <c r="L212" t="s">
        <v>1703</v>
      </c>
      <c r="M212" t="s">
        <v>1546</v>
      </c>
      <c r="N212" s="10">
        <v>399.3</v>
      </c>
      <c r="O212"/>
      <c r="P212" t="s">
        <v>1909</v>
      </c>
    </row>
    <row r="213" spans="1:16" hidden="1" x14ac:dyDescent="0.25">
      <c r="A213">
        <v>2023</v>
      </c>
      <c r="B213" t="s">
        <v>772</v>
      </c>
      <c r="C213" t="s">
        <v>73</v>
      </c>
      <c r="D213" t="s">
        <v>74</v>
      </c>
      <c r="E213" t="s">
        <v>1276</v>
      </c>
      <c r="G213" t="s">
        <v>2100</v>
      </c>
      <c r="H213" t="s">
        <v>11</v>
      </c>
      <c r="I213" t="s">
        <v>13</v>
      </c>
      <c r="J213" t="s">
        <v>64</v>
      </c>
      <c r="K213" t="s">
        <v>3081</v>
      </c>
      <c r="L213" t="s">
        <v>1719</v>
      </c>
      <c r="M213" t="s">
        <v>402</v>
      </c>
      <c r="N213">
        <v>206946</v>
      </c>
      <c r="O213"/>
      <c r="P213" t="s">
        <v>1909</v>
      </c>
    </row>
    <row r="214" spans="1:16" hidden="1" x14ac:dyDescent="0.25">
      <c r="A214">
        <v>2023</v>
      </c>
      <c r="B214" t="s">
        <v>772</v>
      </c>
      <c r="C214" t="s">
        <v>73</v>
      </c>
      <c r="D214" t="s">
        <v>74</v>
      </c>
      <c r="E214" t="s">
        <v>1276</v>
      </c>
      <c r="G214" t="s">
        <v>2100</v>
      </c>
      <c r="H214" t="s">
        <v>11</v>
      </c>
      <c r="I214" t="s">
        <v>13</v>
      </c>
      <c r="J214" t="s">
        <v>64</v>
      </c>
      <c r="K214" t="s">
        <v>3081</v>
      </c>
      <c r="L214" t="s">
        <v>1718</v>
      </c>
      <c r="M214" t="s">
        <v>402</v>
      </c>
      <c r="N214" s="10">
        <v>525946.69999999995</v>
      </c>
      <c r="P214" t="s">
        <v>1909</v>
      </c>
    </row>
    <row r="215" spans="1:16" hidden="1" x14ac:dyDescent="0.25">
      <c r="A215">
        <v>2023</v>
      </c>
      <c r="B215" t="s">
        <v>772</v>
      </c>
      <c r="C215" t="s">
        <v>73</v>
      </c>
      <c r="D215" t="s">
        <v>74</v>
      </c>
      <c r="E215" t="s">
        <v>1276</v>
      </c>
      <c r="G215" t="s">
        <v>2100</v>
      </c>
      <c r="H215" t="s">
        <v>11</v>
      </c>
      <c r="I215" t="s">
        <v>13</v>
      </c>
      <c r="J215" t="s">
        <v>64</v>
      </c>
      <c r="K215" t="s">
        <v>3082</v>
      </c>
      <c r="L215" t="s">
        <v>1908</v>
      </c>
      <c r="M215" t="s">
        <v>402</v>
      </c>
      <c r="N215" s="10">
        <v>4260.6000000000004</v>
      </c>
      <c r="O215" s="10" t="s">
        <v>3225</v>
      </c>
      <c r="P215" t="s">
        <v>1909</v>
      </c>
    </row>
    <row r="216" spans="1:16" ht="14.45" customHeight="1" x14ac:dyDescent="0.25">
      <c r="A216">
        <v>2023</v>
      </c>
      <c r="B216" t="s">
        <v>772</v>
      </c>
      <c r="C216" t="s">
        <v>73</v>
      </c>
      <c r="D216" t="s">
        <v>74</v>
      </c>
      <c r="E216" t="s">
        <v>1276</v>
      </c>
      <c r="G216" t="s">
        <v>2100</v>
      </c>
      <c r="H216" t="s">
        <v>11</v>
      </c>
      <c r="I216" t="s">
        <v>13</v>
      </c>
      <c r="J216" t="s">
        <v>64</v>
      </c>
      <c r="K216" t="s">
        <v>3082</v>
      </c>
      <c r="L216" t="s">
        <v>1912</v>
      </c>
      <c r="M216" t="s">
        <v>1546</v>
      </c>
      <c r="N216" s="10">
        <v>1483.4</v>
      </c>
      <c r="O216" s="10" t="s">
        <v>3186</v>
      </c>
      <c r="P216" t="s">
        <v>1909</v>
      </c>
    </row>
    <row r="217" spans="1:16" ht="14.45" hidden="1" customHeight="1" x14ac:dyDescent="0.25">
      <c r="A217">
        <v>2023</v>
      </c>
      <c r="B217" t="s">
        <v>772</v>
      </c>
      <c r="C217" t="s">
        <v>73</v>
      </c>
      <c r="D217" t="s">
        <v>74</v>
      </c>
      <c r="E217" t="s">
        <v>1276</v>
      </c>
      <c r="G217" t="s">
        <v>2100</v>
      </c>
      <c r="H217" t="s">
        <v>11</v>
      </c>
      <c r="I217" t="s">
        <v>13</v>
      </c>
      <c r="J217" t="s">
        <v>64</v>
      </c>
      <c r="K217" t="s">
        <v>3082</v>
      </c>
      <c r="L217" t="s">
        <v>1696</v>
      </c>
      <c r="M217" t="s">
        <v>1546</v>
      </c>
      <c r="N217" s="10">
        <v>46.2</v>
      </c>
      <c r="O217"/>
      <c r="P217" t="s">
        <v>1909</v>
      </c>
    </row>
    <row r="218" spans="1:16" hidden="1" x14ac:dyDescent="0.25">
      <c r="A218">
        <v>2023</v>
      </c>
      <c r="B218" t="s">
        <v>772</v>
      </c>
      <c r="C218" t="s">
        <v>73</v>
      </c>
      <c r="D218" t="s">
        <v>74</v>
      </c>
      <c r="E218" t="s">
        <v>1276</v>
      </c>
      <c r="G218" t="s">
        <v>2100</v>
      </c>
      <c r="H218" t="s">
        <v>11</v>
      </c>
      <c r="I218" t="s">
        <v>13</v>
      </c>
      <c r="J218" t="s">
        <v>64</v>
      </c>
      <c r="K218" t="s">
        <v>3081</v>
      </c>
      <c r="L218" t="s">
        <v>1720</v>
      </c>
      <c r="M218" t="s">
        <v>402</v>
      </c>
      <c r="N218" s="10">
        <v>3350.8</v>
      </c>
      <c r="P218" t="s">
        <v>1909</v>
      </c>
    </row>
    <row r="219" spans="1:16" hidden="1" x14ac:dyDescent="0.25">
      <c r="A219">
        <v>2023</v>
      </c>
      <c r="B219" t="s">
        <v>772</v>
      </c>
      <c r="C219" t="s">
        <v>73</v>
      </c>
      <c r="D219" t="s">
        <v>74</v>
      </c>
      <c r="E219" t="s">
        <v>1276</v>
      </c>
      <c r="G219" t="s">
        <v>2100</v>
      </c>
      <c r="H219" t="s">
        <v>11</v>
      </c>
      <c r="I219" t="s">
        <v>13</v>
      </c>
      <c r="J219" t="s">
        <v>64</v>
      </c>
      <c r="K219" t="s">
        <v>3082</v>
      </c>
      <c r="L219" t="s">
        <v>1917</v>
      </c>
      <c r="M219" t="s">
        <v>1546</v>
      </c>
      <c r="N219" s="10">
        <v>4.5</v>
      </c>
      <c r="O219"/>
      <c r="P219" t="s">
        <v>1909</v>
      </c>
    </row>
    <row r="220" spans="1:16" hidden="1" x14ac:dyDescent="0.25">
      <c r="A220">
        <v>2023</v>
      </c>
      <c r="B220" t="s">
        <v>772</v>
      </c>
      <c r="C220" t="s">
        <v>73</v>
      </c>
      <c r="D220" t="s">
        <v>74</v>
      </c>
      <c r="E220" t="s">
        <v>1276</v>
      </c>
      <c r="G220" t="s">
        <v>2100</v>
      </c>
      <c r="H220" t="s">
        <v>11</v>
      </c>
      <c r="I220" t="s">
        <v>13</v>
      </c>
      <c r="J220" t="s">
        <v>64</v>
      </c>
      <c r="K220" t="s">
        <v>3082</v>
      </c>
      <c r="L220" t="s">
        <v>1914</v>
      </c>
      <c r="M220" t="s">
        <v>1546</v>
      </c>
      <c r="N220" s="10">
        <v>200.2</v>
      </c>
      <c r="O220"/>
      <c r="P220" t="s">
        <v>1909</v>
      </c>
    </row>
    <row r="221" spans="1:16" ht="14.45" hidden="1" customHeight="1" x14ac:dyDescent="0.25">
      <c r="A221">
        <v>2023</v>
      </c>
      <c r="B221" t="s">
        <v>772</v>
      </c>
      <c r="C221" t="s">
        <v>73</v>
      </c>
      <c r="D221" t="s">
        <v>74</v>
      </c>
      <c r="E221" t="s">
        <v>1276</v>
      </c>
      <c r="G221" t="s">
        <v>2100</v>
      </c>
      <c r="H221" t="s">
        <v>11</v>
      </c>
      <c r="I221" t="s">
        <v>13</v>
      </c>
      <c r="J221" t="s">
        <v>64</v>
      </c>
      <c r="K221" t="s">
        <v>3082</v>
      </c>
      <c r="L221" t="s">
        <v>1697</v>
      </c>
      <c r="M221" t="s">
        <v>1546</v>
      </c>
      <c r="N221" s="10">
        <v>5069.3</v>
      </c>
      <c r="O221"/>
      <c r="P221" t="s">
        <v>1909</v>
      </c>
    </row>
    <row r="222" spans="1:16" ht="14.45" hidden="1" customHeight="1" x14ac:dyDescent="0.25">
      <c r="A222">
        <v>2023</v>
      </c>
      <c r="B222" t="s">
        <v>772</v>
      </c>
      <c r="C222" t="s">
        <v>73</v>
      </c>
      <c r="D222" t="s">
        <v>74</v>
      </c>
      <c r="E222" t="s">
        <v>1276</v>
      </c>
      <c r="G222" t="s">
        <v>2100</v>
      </c>
      <c r="H222" t="s">
        <v>11</v>
      </c>
      <c r="I222" t="s">
        <v>13</v>
      </c>
      <c r="J222" t="s">
        <v>64</v>
      </c>
      <c r="K222" t="s">
        <v>3082</v>
      </c>
      <c r="L222" t="s">
        <v>1918</v>
      </c>
      <c r="M222" t="s">
        <v>1546</v>
      </c>
      <c r="N222" s="10">
        <v>18.899999999999999</v>
      </c>
      <c r="O222"/>
      <c r="P222" t="s">
        <v>1909</v>
      </c>
    </row>
    <row r="223" spans="1:16" hidden="1" x14ac:dyDescent="0.25">
      <c r="A223">
        <v>2023</v>
      </c>
      <c r="B223" t="s">
        <v>772</v>
      </c>
      <c r="C223" t="s">
        <v>73</v>
      </c>
      <c r="D223" t="s">
        <v>74</v>
      </c>
      <c r="E223" t="s">
        <v>1276</v>
      </c>
      <c r="G223" t="s">
        <v>2100</v>
      </c>
      <c r="H223" t="s">
        <v>11</v>
      </c>
      <c r="I223" t="s">
        <v>13</v>
      </c>
      <c r="J223" t="s">
        <v>64</v>
      </c>
      <c r="K223" t="s">
        <v>3081</v>
      </c>
      <c r="L223" t="s">
        <v>1714</v>
      </c>
      <c r="M223" t="s">
        <v>402</v>
      </c>
      <c r="N223" s="10">
        <v>63958.3</v>
      </c>
      <c r="P223" t="s">
        <v>1909</v>
      </c>
    </row>
    <row r="224" spans="1:16" hidden="1" x14ac:dyDescent="0.25">
      <c r="A224">
        <v>2023</v>
      </c>
      <c r="B224" t="s">
        <v>772</v>
      </c>
      <c r="C224" t="s">
        <v>73</v>
      </c>
      <c r="D224" t="s">
        <v>74</v>
      </c>
      <c r="E224" t="s">
        <v>1276</v>
      </c>
      <c r="G224" t="s">
        <v>2100</v>
      </c>
      <c r="H224" t="s">
        <v>11</v>
      </c>
      <c r="I224" t="s">
        <v>13</v>
      </c>
      <c r="J224" t="s">
        <v>64</v>
      </c>
      <c r="K224" t="s">
        <v>3081</v>
      </c>
      <c r="L224" t="s">
        <v>1713</v>
      </c>
      <c r="M224" t="s">
        <v>402</v>
      </c>
      <c r="N224" s="10">
        <v>33</v>
      </c>
      <c r="P224" t="s">
        <v>1909</v>
      </c>
    </row>
    <row r="225" spans="1:16" hidden="1" x14ac:dyDescent="0.25">
      <c r="A225">
        <v>2023</v>
      </c>
      <c r="B225" t="s">
        <v>772</v>
      </c>
      <c r="C225" t="s">
        <v>73</v>
      </c>
      <c r="D225" t="s">
        <v>74</v>
      </c>
      <c r="E225" t="s">
        <v>1276</v>
      </c>
      <c r="G225" t="s">
        <v>2100</v>
      </c>
      <c r="H225" t="s">
        <v>11</v>
      </c>
      <c r="I225" t="s">
        <v>13</v>
      </c>
      <c r="J225" t="s">
        <v>64</v>
      </c>
      <c r="K225" t="s">
        <v>3082</v>
      </c>
      <c r="L225" t="s">
        <v>1913</v>
      </c>
      <c r="M225" t="s">
        <v>1546</v>
      </c>
      <c r="N225" s="10">
        <v>539</v>
      </c>
      <c r="O225"/>
      <c r="P225" t="s">
        <v>1909</v>
      </c>
    </row>
    <row r="226" spans="1:16" hidden="1" x14ac:dyDescent="0.25">
      <c r="A226">
        <v>2023</v>
      </c>
      <c r="B226" t="s">
        <v>772</v>
      </c>
      <c r="C226" t="s">
        <v>73</v>
      </c>
      <c r="D226" t="s">
        <v>74</v>
      </c>
      <c r="E226" t="s">
        <v>1276</v>
      </c>
      <c r="G226" t="s">
        <v>2100</v>
      </c>
      <c r="H226" t="s">
        <v>11</v>
      </c>
      <c r="I226" t="s">
        <v>13</v>
      </c>
      <c r="J226" t="s">
        <v>64</v>
      </c>
      <c r="K226" t="s">
        <v>3082</v>
      </c>
      <c r="L226" t="s">
        <v>1915</v>
      </c>
      <c r="M226" t="s">
        <v>1546</v>
      </c>
      <c r="N226" s="10">
        <v>8.1</v>
      </c>
      <c r="O226"/>
      <c r="P226" t="s">
        <v>1909</v>
      </c>
    </row>
    <row r="227" spans="1:16" hidden="1" x14ac:dyDescent="0.25">
      <c r="A227">
        <v>2023</v>
      </c>
      <c r="B227" t="s">
        <v>772</v>
      </c>
      <c r="C227" t="s">
        <v>736</v>
      </c>
      <c r="D227" t="s">
        <v>26</v>
      </c>
      <c r="E227" t="s">
        <v>1135</v>
      </c>
      <c r="G227" t="s">
        <v>2019</v>
      </c>
      <c r="H227" t="s">
        <v>11</v>
      </c>
      <c r="I227" t="s">
        <v>13</v>
      </c>
      <c r="J227" t="s">
        <v>16</v>
      </c>
      <c r="K227" t="s">
        <v>3081</v>
      </c>
      <c r="L227" t="s">
        <v>1719</v>
      </c>
      <c r="M227" t="s">
        <v>402</v>
      </c>
      <c r="N227" s="10">
        <v>140100</v>
      </c>
      <c r="P227" t="s">
        <v>1601</v>
      </c>
    </row>
    <row r="228" spans="1:16" hidden="1" x14ac:dyDescent="0.25">
      <c r="A228">
        <v>2023</v>
      </c>
      <c r="B228" t="s">
        <v>772</v>
      </c>
      <c r="C228" t="s">
        <v>736</v>
      </c>
      <c r="D228" t="s">
        <v>26</v>
      </c>
      <c r="E228" t="s">
        <v>1135</v>
      </c>
      <c r="G228" t="s">
        <v>2019</v>
      </c>
      <c r="H228" t="s">
        <v>11</v>
      </c>
      <c r="I228" t="s">
        <v>13</v>
      </c>
      <c r="J228" t="s">
        <v>16</v>
      </c>
      <c r="K228" t="s">
        <v>3081</v>
      </c>
      <c r="L228" t="s">
        <v>1582</v>
      </c>
      <c r="M228" t="s">
        <v>402</v>
      </c>
      <c r="N228" s="10">
        <v>475</v>
      </c>
      <c r="P228" t="s">
        <v>1601</v>
      </c>
    </row>
    <row r="229" spans="1:16" hidden="1" x14ac:dyDescent="0.25">
      <c r="A229">
        <v>2023</v>
      </c>
      <c r="B229" t="s">
        <v>772</v>
      </c>
      <c r="C229" t="s">
        <v>736</v>
      </c>
      <c r="D229" t="s">
        <v>26</v>
      </c>
      <c r="E229" t="s">
        <v>1135</v>
      </c>
      <c r="G229" t="s">
        <v>2019</v>
      </c>
      <c r="H229" t="s">
        <v>11</v>
      </c>
      <c r="I229" t="s">
        <v>13</v>
      </c>
      <c r="J229" t="s">
        <v>16</v>
      </c>
      <c r="K229" t="s">
        <v>3081</v>
      </c>
      <c r="L229" t="s">
        <v>1718</v>
      </c>
      <c r="M229" t="s">
        <v>402</v>
      </c>
      <c r="N229" s="10">
        <v>960748</v>
      </c>
      <c r="P229" t="s">
        <v>1601</v>
      </c>
    </row>
    <row r="230" spans="1:16" ht="14.45" hidden="1" customHeight="1" x14ac:dyDescent="0.25">
      <c r="A230">
        <v>2023</v>
      </c>
      <c r="B230" t="s">
        <v>772</v>
      </c>
      <c r="C230" t="s">
        <v>736</v>
      </c>
      <c r="D230" t="s">
        <v>26</v>
      </c>
      <c r="E230" t="s">
        <v>1135</v>
      </c>
      <c r="G230" t="s">
        <v>2019</v>
      </c>
      <c r="H230" t="s">
        <v>11</v>
      </c>
      <c r="I230" t="s">
        <v>13</v>
      </c>
      <c r="J230" t="s">
        <v>16</v>
      </c>
      <c r="K230" t="s">
        <v>3081</v>
      </c>
      <c r="L230" t="s">
        <v>1720</v>
      </c>
      <c r="M230" t="s">
        <v>402</v>
      </c>
      <c r="N230" s="10">
        <v>2124</v>
      </c>
      <c r="P230" t="s">
        <v>1601</v>
      </c>
    </row>
    <row r="231" spans="1:16" ht="14.45" hidden="1" customHeight="1" x14ac:dyDescent="0.25">
      <c r="A231">
        <v>2023</v>
      </c>
      <c r="B231" t="s">
        <v>772</v>
      </c>
      <c r="C231" t="s">
        <v>736</v>
      </c>
      <c r="D231" t="s">
        <v>26</v>
      </c>
      <c r="E231" t="s">
        <v>1135</v>
      </c>
      <c r="G231" t="s">
        <v>2019</v>
      </c>
      <c r="H231" t="s">
        <v>11</v>
      </c>
      <c r="I231" t="s">
        <v>13</v>
      </c>
      <c r="J231" t="s">
        <v>16</v>
      </c>
      <c r="K231" t="s">
        <v>3081</v>
      </c>
      <c r="L231" t="s">
        <v>3033</v>
      </c>
      <c r="M231" t="s">
        <v>402</v>
      </c>
      <c r="N231" s="10">
        <v>6344</v>
      </c>
      <c r="P231" t="s">
        <v>1601</v>
      </c>
    </row>
    <row r="232" spans="1:16" hidden="1" x14ac:dyDescent="0.25">
      <c r="A232">
        <v>2023</v>
      </c>
      <c r="B232" t="s">
        <v>772</v>
      </c>
      <c r="C232" t="s">
        <v>736</v>
      </c>
      <c r="D232" t="s">
        <v>26</v>
      </c>
      <c r="E232" t="s">
        <v>1135</v>
      </c>
      <c r="G232" t="s">
        <v>2019</v>
      </c>
      <c r="H232" t="s">
        <v>11</v>
      </c>
      <c r="I232" t="s">
        <v>13</v>
      </c>
      <c r="J232" t="s">
        <v>16</v>
      </c>
      <c r="K232" t="s">
        <v>3081</v>
      </c>
      <c r="L232" t="s">
        <v>1714</v>
      </c>
      <c r="M232" t="s">
        <v>402</v>
      </c>
      <c r="N232" s="10">
        <v>221612</v>
      </c>
      <c r="P232" t="s">
        <v>1601</v>
      </c>
    </row>
    <row r="233" spans="1:16" hidden="1" x14ac:dyDescent="0.25">
      <c r="A233">
        <v>2023</v>
      </c>
      <c r="B233" t="s">
        <v>772</v>
      </c>
      <c r="C233" t="s">
        <v>736</v>
      </c>
      <c r="D233" t="s">
        <v>26</v>
      </c>
      <c r="E233" t="s">
        <v>1135</v>
      </c>
      <c r="G233" t="s">
        <v>2019</v>
      </c>
      <c r="H233" t="s">
        <v>11</v>
      </c>
      <c r="I233" t="s">
        <v>13</v>
      </c>
      <c r="J233" t="s">
        <v>16</v>
      </c>
      <c r="K233" t="s">
        <v>3082</v>
      </c>
      <c r="L233" t="s">
        <v>1621</v>
      </c>
      <c r="M233" t="s">
        <v>1546</v>
      </c>
      <c r="N233" s="10">
        <v>2599.5</v>
      </c>
      <c r="O233" s="10" t="s">
        <v>3186</v>
      </c>
      <c r="P233" t="s">
        <v>1601</v>
      </c>
    </row>
    <row r="234" spans="1:16" hidden="1" x14ac:dyDescent="0.25">
      <c r="A234">
        <v>2023</v>
      </c>
      <c r="B234" t="s">
        <v>772</v>
      </c>
      <c r="C234" t="s">
        <v>736</v>
      </c>
      <c r="D234" t="s">
        <v>26</v>
      </c>
      <c r="E234" t="s">
        <v>1135</v>
      </c>
      <c r="G234" t="s">
        <v>2019</v>
      </c>
      <c r="H234" t="s">
        <v>11</v>
      </c>
      <c r="I234" t="s">
        <v>13</v>
      </c>
      <c r="J234" t="s">
        <v>16</v>
      </c>
      <c r="K234" t="s">
        <v>3082</v>
      </c>
      <c r="L234" t="s">
        <v>1620</v>
      </c>
      <c r="M234" t="s">
        <v>1546</v>
      </c>
      <c r="N234" s="10">
        <v>1955.7</v>
      </c>
      <c r="O234"/>
      <c r="P234" t="s">
        <v>1601</v>
      </c>
    </row>
  </sheetData>
  <autoFilter ref="A1:P234" xr:uid="{D87AA8D1-3115-4939-9E1F-86DF342CDC4E}">
    <filterColumn colId="11">
      <filters>
        <filter val="Explosives"/>
      </filters>
    </filterColumn>
    <sortState xmlns:xlrd2="http://schemas.microsoft.com/office/spreadsheetml/2017/richdata2" ref="A27:P216">
      <sortCondition ref="D1:D234"/>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sheetPr filterMode="1"/>
  <dimension ref="A1:P132"/>
  <sheetViews>
    <sheetView zoomScaleNormal="100" workbookViewId="0">
      <pane xSplit="5" topLeftCell="F1" activePane="topRight" state="frozen"/>
      <selection pane="topRight" activeCell="N73" sqref="N73"/>
    </sheetView>
  </sheetViews>
  <sheetFormatPr baseColWidth="10" defaultColWidth="8.85546875" defaultRowHeight="15" x14ac:dyDescent="0.25"/>
  <cols>
    <col min="1" max="1" width="7.42578125" style="40" bestFit="1" customWidth="1"/>
    <col min="2" max="2" width="17" style="40" bestFit="1" customWidth="1"/>
    <col min="3" max="3" width="29.140625" style="40" bestFit="1" customWidth="1"/>
    <col min="4" max="4" width="16.85546875" style="40" bestFit="1" customWidth="1"/>
    <col min="5" max="5" width="18.85546875" style="40" bestFit="1" customWidth="1"/>
    <col min="6" max="6" width="18" style="40" bestFit="1" customWidth="1"/>
    <col min="7" max="7" width="14.85546875" style="40" bestFit="1" customWidth="1"/>
    <col min="8" max="8" width="24.140625" style="40" bestFit="1" customWidth="1"/>
    <col min="9" max="9" width="33.5703125" style="40" bestFit="1" customWidth="1"/>
    <col min="10" max="10" width="40.85546875" style="40" bestFit="1" customWidth="1"/>
    <col min="11" max="11" width="16.42578125" style="40" bestFit="1" customWidth="1"/>
    <col min="12" max="12" width="43.85546875" style="40" bestFit="1" customWidth="1"/>
    <col min="13" max="13" width="38.85546875" style="40" bestFit="1" customWidth="1"/>
    <col min="14" max="14" width="23.5703125" style="41" bestFit="1" customWidth="1"/>
    <col min="15" max="15" width="121.140625" style="40" bestFit="1" customWidth="1"/>
    <col min="16" max="16" width="56.42578125" style="40" bestFit="1" customWidth="1"/>
    <col min="17" max="16384" width="8.85546875" style="40"/>
  </cols>
  <sheetData>
    <row r="1" spans="1:16" customFormat="1" x14ac:dyDescent="0.25">
      <c r="A1" s="6" t="s">
        <v>1538</v>
      </c>
      <c r="B1" s="6" t="s">
        <v>1553</v>
      </c>
      <c r="C1" s="7" t="s">
        <v>0</v>
      </c>
      <c r="D1" s="6" t="s">
        <v>1653</v>
      </c>
      <c r="E1" s="6" t="s">
        <v>2</v>
      </c>
      <c r="F1" s="6" t="s">
        <v>2012</v>
      </c>
      <c r="G1" s="6" t="s">
        <v>2010</v>
      </c>
      <c r="H1" s="36" t="s">
        <v>4</v>
      </c>
      <c r="I1" s="36" t="s">
        <v>6</v>
      </c>
      <c r="J1" s="6" t="s">
        <v>1540</v>
      </c>
      <c r="K1" s="6" t="s">
        <v>3038</v>
      </c>
      <c r="L1" s="6" t="s">
        <v>3039</v>
      </c>
      <c r="M1" s="6" t="s">
        <v>1542</v>
      </c>
      <c r="N1" s="9" t="s">
        <v>2482</v>
      </c>
      <c r="O1" s="6" t="s">
        <v>7</v>
      </c>
      <c r="P1" s="6" t="s">
        <v>1543</v>
      </c>
    </row>
    <row r="2" spans="1:16" customFormat="1" hidden="1" x14ac:dyDescent="0.25">
      <c r="A2">
        <v>2023</v>
      </c>
      <c r="B2" t="s">
        <v>772</v>
      </c>
      <c r="C2" t="s">
        <v>736</v>
      </c>
      <c r="D2" t="s">
        <v>25</v>
      </c>
      <c r="E2" t="s">
        <v>1136</v>
      </c>
      <c r="H2" s="37" t="s">
        <v>11</v>
      </c>
      <c r="I2" s="37" t="s">
        <v>13</v>
      </c>
      <c r="J2" t="s">
        <v>16</v>
      </c>
      <c r="K2" t="s">
        <v>3040</v>
      </c>
      <c r="L2" t="s">
        <v>1834</v>
      </c>
      <c r="M2" t="s">
        <v>1610</v>
      </c>
      <c r="N2" s="10">
        <v>0.17424657534246599</v>
      </c>
      <c r="P2" t="s">
        <v>1601</v>
      </c>
    </row>
    <row r="3" spans="1:16" customFormat="1" hidden="1" x14ac:dyDescent="0.25">
      <c r="A3">
        <v>2023</v>
      </c>
      <c r="B3" t="s">
        <v>772</v>
      </c>
      <c r="C3" t="s">
        <v>736</v>
      </c>
      <c r="D3" t="s">
        <v>25</v>
      </c>
      <c r="E3" t="s">
        <v>1136</v>
      </c>
      <c r="H3" s="37" t="s">
        <v>11</v>
      </c>
      <c r="I3" s="37" t="s">
        <v>13</v>
      </c>
      <c r="J3" t="s">
        <v>16</v>
      </c>
      <c r="K3" t="s">
        <v>3040</v>
      </c>
      <c r="L3" t="s">
        <v>1834</v>
      </c>
      <c r="M3" t="s">
        <v>1610</v>
      </c>
      <c r="N3" s="10">
        <v>0.17424657534246599</v>
      </c>
      <c r="P3" t="s">
        <v>1601</v>
      </c>
    </row>
    <row r="4" spans="1:16" customFormat="1" hidden="1" x14ac:dyDescent="0.25">
      <c r="A4">
        <v>2023</v>
      </c>
      <c r="B4" t="s">
        <v>772</v>
      </c>
      <c r="C4" t="s">
        <v>736</v>
      </c>
      <c r="D4" t="s">
        <v>26</v>
      </c>
      <c r="E4" t="s">
        <v>1135</v>
      </c>
      <c r="H4" s="37" t="s">
        <v>11</v>
      </c>
      <c r="I4" s="37" t="s">
        <v>13</v>
      </c>
      <c r="J4" t="s">
        <v>16</v>
      </c>
      <c r="K4" t="s">
        <v>3040</v>
      </c>
      <c r="L4" t="s">
        <v>1834</v>
      </c>
      <c r="M4" t="s">
        <v>1610</v>
      </c>
      <c r="N4" s="10">
        <v>0.16012965964343601</v>
      </c>
      <c r="P4" t="s">
        <v>1601</v>
      </c>
    </row>
    <row r="5" spans="1:16" customFormat="1" hidden="1" x14ac:dyDescent="0.25">
      <c r="A5">
        <v>2023</v>
      </c>
      <c r="B5" t="s">
        <v>772</v>
      </c>
      <c r="C5" t="s">
        <v>736</v>
      </c>
      <c r="D5" t="s">
        <v>26</v>
      </c>
      <c r="E5" t="s">
        <v>1135</v>
      </c>
      <c r="H5" s="37" t="s">
        <v>11</v>
      </c>
      <c r="I5" s="37" t="s">
        <v>13</v>
      </c>
      <c r="J5" t="s">
        <v>16</v>
      </c>
      <c r="K5" t="s">
        <v>3040</v>
      </c>
      <c r="L5" t="s">
        <v>1834</v>
      </c>
      <c r="M5" t="s">
        <v>1610</v>
      </c>
      <c r="N5" s="10">
        <v>0.16012965964343601</v>
      </c>
      <c r="P5" t="s">
        <v>1601</v>
      </c>
    </row>
    <row r="6" spans="1:16" customFormat="1" hidden="1" x14ac:dyDescent="0.25">
      <c r="A6">
        <v>2023</v>
      </c>
      <c r="B6" t="s">
        <v>772</v>
      </c>
      <c r="C6" t="s">
        <v>736</v>
      </c>
      <c r="D6" t="s">
        <v>25</v>
      </c>
      <c r="E6" t="s">
        <v>1136</v>
      </c>
      <c r="H6" s="37" t="s">
        <v>11</v>
      </c>
      <c r="I6" s="37" t="s">
        <v>13</v>
      </c>
      <c r="J6" t="s">
        <v>16</v>
      </c>
      <c r="K6" t="s">
        <v>3040</v>
      </c>
      <c r="L6" t="s">
        <v>1834</v>
      </c>
      <c r="M6" t="s">
        <v>1608</v>
      </c>
      <c r="N6" s="10">
        <v>5.2328810328632097E-2</v>
      </c>
      <c r="P6" t="s">
        <v>1601</v>
      </c>
    </row>
    <row r="7" spans="1:16" customFormat="1" hidden="1" x14ac:dyDescent="0.25">
      <c r="A7">
        <v>2023</v>
      </c>
      <c r="B7" t="s">
        <v>772</v>
      </c>
      <c r="C7" t="s">
        <v>736</v>
      </c>
      <c r="D7" t="s">
        <v>25</v>
      </c>
      <c r="E7" t="s">
        <v>1136</v>
      </c>
      <c r="H7" s="37" t="s">
        <v>11</v>
      </c>
      <c r="I7" s="37" t="s">
        <v>13</v>
      </c>
      <c r="J7" t="s">
        <v>16</v>
      </c>
      <c r="K7" t="s">
        <v>3040</v>
      </c>
      <c r="L7" t="s">
        <v>1834</v>
      </c>
      <c r="M7" t="s">
        <v>1608</v>
      </c>
      <c r="N7" s="10">
        <v>5.2328810328632097E-2</v>
      </c>
      <c r="P7" t="s">
        <v>1601</v>
      </c>
    </row>
    <row r="8" spans="1:16" customFormat="1" hidden="1" x14ac:dyDescent="0.25">
      <c r="A8">
        <v>2023</v>
      </c>
      <c r="B8" t="s">
        <v>772</v>
      </c>
      <c r="C8" t="s">
        <v>736</v>
      </c>
      <c r="D8" t="s">
        <v>26</v>
      </c>
      <c r="E8" t="s">
        <v>1135</v>
      </c>
      <c r="H8" s="37" t="s">
        <v>11</v>
      </c>
      <c r="I8" s="37" t="s">
        <v>13</v>
      </c>
      <c r="J8" t="s">
        <v>16</v>
      </c>
      <c r="K8" t="s">
        <v>3040</v>
      </c>
      <c r="L8" t="s">
        <v>1834</v>
      </c>
      <c r="M8" t="s">
        <v>1608</v>
      </c>
      <c r="N8" s="10">
        <v>1.0298263992036601E-2</v>
      </c>
      <c r="P8" t="s">
        <v>1601</v>
      </c>
    </row>
    <row r="9" spans="1:16" customFormat="1" hidden="1" x14ac:dyDescent="0.25">
      <c r="A9">
        <v>2023</v>
      </c>
      <c r="B9" t="s">
        <v>772</v>
      </c>
      <c r="C9" t="s">
        <v>736</v>
      </c>
      <c r="D9" t="s">
        <v>26</v>
      </c>
      <c r="E9" t="s">
        <v>1135</v>
      </c>
      <c r="H9" s="37" t="s">
        <v>11</v>
      </c>
      <c r="I9" s="37" t="s">
        <v>13</v>
      </c>
      <c r="J9" t="s">
        <v>16</v>
      </c>
      <c r="K9" t="s">
        <v>3040</v>
      </c>
      <c r="L9" t="s">
        <v>1834</v>
      </c>
      <c r="M9" t="s">
        <v>1608</v>
      </c>
      <c r="N9" s="10">
        <v>1.0298263992036601E-2</v>
      </c>
      <c r="P9" t="s">
        <v>1601</v>
      </c>
    </row>
    <row r="10" spans="1:16" customFormat="1" hidden="1" x14ac:dyDescent="0.25">
      <c r="A10">
        <v>2023</v>
      </c>
      <c r="B10" t="s">
        <v>772</v>
      </c>
      <c r="C10" t="s">
        <v>736</v>
      </c>
      <c r="D10" t="s">
        <v>25</v>
      </c>
      <c r="E10" t="s">
        <v>1136</v>
      </c>
      <c r="H10" s="37" t="s">
        <v>11</v>
      </c>
      <c r="I10" s="37" t="s">
        <v>13</v>
      </c>
      <c r="J10" t="s">
        <v>16</v>
      </c>
      <c r="K10" t="s">
        <v>3040</v>
      </c>
      <c r="L10" t="s">
        <v>1834</v>
      </c>
      <c r="M10" t="s">
        <v>1609</v>
      </c>
      <c r="N10" s="10">
        <v>5.2153947080691002E-2</v>
      </c>
      <c r="P10" t="s">
        <v>1601</v>
      </c>
    </row>
    <row r="11" spans="1:16" customFormat="1" hidden="1" x14ac:dyDescent="0.25">
      <c r="A11">
        <v>2023</v>
      </c>
      <c r="B11" t="s">
        <v>772</v>
      </c>
      <c r="C11" t="s">
        <v>736</v>
      </c>
      <c r="D11" t="s">
        <v>25</v>
      </c>
      <c r="E11" t="s">
        <v>1136</v>
      </c>
      <c r="H11" s="37" t="s">
        <v>11</v>
      </c>
      <c r="I11" s="37" t="s">
        <v>13</v>
      </c>
      <c r="J11" t="s">
        <v>16</v>
      </c>
      <c r="K11" t="s">
        <v>3040</v>
      </c>
      <c r="L11" t="s">
        <v>1834</v>
      </c>
      <c r="M11" t="s">
        <v>1609</v>
      </c>
      <c r="N11" s="10">
        <v>5.2153947080691002E-2</v>
      </c>
      <c r="P11" t="s">
        <v>1601</v>
      </c>
    </row>
    <row r="12" spans="1:16" customFormat="1" hidden="1" x14ac:dyDescent="0.25">
      <c r="A12">
        <v>2023</v>
      </c>
      <c r="B12" t="s">
        <v>772</v>
      </c>
      <c r="C12" t="s">
        <v>736</v>
      </c>
      <c r="D12" t="s">
        <v>26</v>
      </c>
      <c r="E12" t="s">
        <v>1135</v>
      </c>
      <c r="H12" s="37" t="s">
        <v>11</v>
      </c>
      <c r="I12" s="37" t="s">
        <v>13</v>
      </c>
      <c r="J12" t="s">
        <v>16</v>
      </c>
      <c r="K12" t="s">
        <v>3040</v>
      </c>
      <c r="L12" t="s">
        <v>1834</v>
      </c>
      <c r="M12" t="s">
        <v>1609</v>
      </c>
      <c r="N12" s="10">
        <v>1.02986510421976E-2</v>
      </c>
      <c r="P12" t="s">
        <v>1601</v>
      </c>
    </row>
    <row r="13" spans="1:16" customFormat="1" hidden="1" x14ac:dyDescent="0.25">
      <c r="A13">
        <v>2023</v>
      </c>
      <c r="B13" t="s">
        <v>772</v>
      </c>
      <c r="C13" t="s">
        <v>736</v>
      </c>
      <c r="D13" t="s">
        <v>26</v>
      </c>
      <c r="E13" t="s">
        <v>1135</v>
      </c>
      <c r="H13" s="37" t="s">
        <v>11</v>
      </c>
      <c r="I13" s="37" t="s">
        <v>13</v>
      </c>
      <c r="J13" t="s">
        <v>16</v>
      </c>
      <c r="K13" t="s">
        <v>3040</v>
      </c>
      <c r="L13" t="s">
        <v>1834</v>
      </c>
      <c r="M13" t="s">
        <v>1609</v>
      </c>
      <c r="N13" s="10">
        <v>1.02986510421976E-2</v>
      </c>
      <c r="P13" t="s">
        <v>1601</v>
      </c>
    </row>
    <row r="14" spans="1:16" customFormat="1" hidden="1" x14ac:dyDescent="0.25">
      <c r="A14">
        <v>2023</v>
      </c>
      <c r="B14" t="s">
        <v>772</v>
      </c>
      <c r="C14" t="s">
        <v>58</v>
      </c>
      <c r="D14" t="s">
        <v>59</v>
      </c>
      <c r="E14" t="s">
        <v>1439</v>
      </c>
      <c r="G14" t="s">
        <v>2202</v>
      </c>
      <c r="H14" t="s">
        <v>11</v>
      </c>
      <c r="I14" t="s">
        <v>13</v>
      </c>
      <c r="J14" t="s">
        <v>16</v>
      </c>
      <c r="K14" t="s">
        <v>3081</v>
      </c>
      <c r="L14" t="s">
        <v>1580</v>
      </c>
      <c r="M14" t="s">
        <v>1717</v>
      </c>
      <c r="N14" s="10">
        <v>5.67</v>
      </c>
      <c r="O14" s="10"/>
      <c r="P14" t="s">
        <v>1634</v>
      </c>
    </row>
    <row r="15" spans="1:16" customFormat="1" hidden="1" x14ac:dyDescent="0.25">
      <c r="A15">
        <v>2023</v>
      </c>
      <c r="B15" t="s">
        <v>772</v>
      </c>
      <c r="C15" t="s">
        <v>58</v>
      </c>
      <c r="D15" t="s">
        <v>60</v>
      </c>
      <c r="E15" t="s">
        <v>1437</v>
      </c>
      <c r="G15" t="s">
        <v>2202</v>
      </c>
      <c r="H15" t="s">
        <v>11</v>
      </c>
      <c r="I15" t="s">
        <v>19</v>
      </c>
      <c r="J15" t="s">
        <v>16</v>
      </c>
      <c r="K15" t="s">
        <v>3081</v>
      </c>
      <c r="L15" t="s">
        <v>1580</v>
      </c>
      <c r="M15" t="s">
        <v>1717</v>
      </c>
      <c r="N15" s="10">
        <v>5.78</v>
      </c>
      <c r="O15" s="10"/>
      <c r="P15" t="s">
        <v>1634</v>
      </c>
    </row>
    <row r="16" spans="1:16" customFormat="1" hidden="1" x14ac:dyDescent="0.25">
      <c r="A16">
        <v>2023</v>
      </c>
      <c r="B16" t="s">
        <v>772</v>
      </c>
      <c r="C16" t="s">
        <v>27</v>
      </c>
      <c r="D16" t="s">
        <v>28</v>
      </c>
      <c r="E16" t="s">
        <v>1166</v>
      </c>
      <c r="G16" t="s">
        <v>2037</v>
      </c>
      <c r="H16" t="s">
        <v>11</v>
      </c>
      <c r="I16" t="s">
        <v>23</v>
      </c>
      <c r="J16" t="s">
        <v>16</v>
      </c>
      <c r="K16" t="s">
        <v>3081</v>
      </c>
      <c r="L16" t="s">
        <v>1580</v>
      </c>
      <c r="M16" t="s">
        <v>1604</v>
      </c>
      <c r="N16">
        <v>6.53</v>
      </c>
      <c r="P16" t="s">
        <v>1825</v>
      </c>
    </row>
    <row r="17" spans="1:16" customFormat="1" hidden="1" x14ac:dyDescent="0.25">
      <c r="A17">
        <v>2023</v>
      </c>
      <c r="B17" t="s">
        <v>772</v>
      </c>
      <c r="C17" t="s">
        <v>736</v>
      </c>
      <c r="D17" t="s">
        <v>25</v>
      </c>
      <c r="E17" t="s">
        <v>1136</v>
      </c>
      <c r="G17" t="s">
        <v>2019</v>
      </c>
      <c r="H17" t="s">
        <v>11</v>
      </c>
      <c r="I17" t="s">
        <v>13</v>
      </c>
      <c r="J17" t="s">
        <v>16</v>
      </c>
      <c r="K17" t="s">
        <v>3081</v>
      </c>
      <c r="L17" t="s">
        <v>1580</v>
      </c>
      <c r="M17" t="s">
        <v>1604</v>
      </c>
      <c r="N17" s="10">
        <v>4.8899999999999997</v>
      </c>
      <c r="O17" s="10"/>
      <c r="P17" t="s">
        <v>1601</v>
      </c>
    </row>
    <row r="18" spans="1:16" customFormat="1" hidden="1" x14ac:dyDescent="0.25">
      <c r="A18">
        <v>2023</v>
      </c>
      <c r="B18" t="s">
        <v>772</v>
      </c>
      <c r="C18" t="s">
        <v>736</v>
      </c>
      <c r="D18" t="s">
        <v>26</v>
      </c>
      <c r="E18" t="s">
        <v>1135</v>
      </c>
      <c r="G18" t="s">
        <v>2019</v>
      </c>
      <c r="H18" t="s">
        <v>11</v>
      </c>
      <c r="I18" t="s">
        <v>13</v>
      </c>
      <c r="J18" t="s">
        <v>16</v>
      </c>
      <c r="K18" t="s">
        <v>3081</v>
      </c>
      <c r="L18" t="s">
        <v>1580</v>
      </c>
      <c r="M18" t="s">
        <v>1604</v>
      </c>
      <c r="N18" s="10">
        <v>7.24</v>
      </c>
      <c r="O18" s="10"/>
      <c r="P18" t="s">
        <v>1601</v>
      </c>
    </row>
    <row r="19" spans="1:16" customFormat="1" hidden="1" x14ac:dyDescent="0.25">
      <c r="A19">
        <v>2024</v>
      </c>
      <c r="B19" t="s">
        <v>772</v>
      </c>
      <c r="C19" t="s">
        <v>798</v>
      </c>
      <c r="D19" t="s">
        <v>71</v>
      </c>
      <c r="E19" t="s">
        <v>1215</v>
      </c>
      <c r="G19" t="s">
        <v>2067</v>
      </c>
      <c r="H19" t="s">
        <v>11</v>
      </c>
      <c r="I19" t="s">
        <v>13</v>
      </c>
      <c r="J19" t="s">
        <v>64</v>
      </c>
      <c r="K19" t="s">
        <v>3081</v>
      </c>
      <c r="L19" t="s">
        <v>1580</v>
      </c>
      <c r="M19" t="s">
        <v>1814</v>
      </c>
      <c r="N19" s="10">
        <v>12.037419549236647</v>
      </c>
      <c r="O19" s="10"/>
      <c r="P19" t="s">
        <v>1824</v>
      </c>
    </row>
    <row r="20" spans="1:16" customFormat="1" hidden="1" x14ac:dyDescent="0.25">
      <c r="A20">
        <v>2023</v>
      </c>
      <c r="B20" t="s">
        <v>807</v>
      </c>
      <c r="C20" t="s">
        <v>261</v>
      </c>
      <c r="G20" t="s">
        <v>1948</v>
      </c>
      <c r="H20" t="s">
        <v>233</v>
      </c>
      <c r="I20" t="s">
        <v>249</v>
      </c>
      <c r="J20" t="s">
        <v>376</v>
      </c>
      <c r="K20" t="s">
        <v>3081</v>
      </c>
      <c r="L20" t="s">
        <v>1580</v>
      </c>
      <c r="M20" t="s">
        <v>1960</v>
      </c>
      <c r="N20" s="10">
        <v>74.8</v>
      </c>
      <c r="P20" t="s">
        <v>1949</v>
      </c>
    </row>
    <row r="21" spans="1:16" customFormat="1" hidden="1" x14ac:dyDescent="0.25">
      <c r="A21">
        <v>2023</v>
      </c>
      <c r="B21" t="s">
        <v>807</v>
      </c>
      <c r="C21" t="s">
        <v>715</v>
      </c>
      <c r="G21" t="s">
        <v>2086</v>
      </c>
      <c r="H21" t="s">
        <v>1846</v>
      </c>
      <c r="K21" t="s">
        <v>3081</v>
      </c>
      <c r="L21" t="s">
        <v>2445</v>
      </c>
      <c r="M21" t="s">
        <v>2446</v>
      </c>
      <c r="N21" s="10">
        <v>40.299999999999997</v>
      </c>
      <c r="P21" t="s">
        <v>2447</v>
      </c>
    </row>
    <row r="22" spans="1:16" customFormat="1" hidden="1" x14ac:dyDescent="0.25">
      <c r="A22">
        <v>2023</v>
      </c>
      <c r="B22" t="s">
        <v>807</v>
      </c>
      <c r="C22" t="s">
        <v>715</v>
      </c>
      <c r="G22" t="s">
        <v>2086</v>
      </c>
      <c r="H22" t="s">
        <v>1846</v>
      </c>
      <c r="K22" t="s">
        <v>3081</v>
      </c>
      <c r="L22" t="s">
        <v>2444</v>
      </c>
      <c r="M22" t="s">
        <v>2446</v>
      </c>
      <c r="N22" s="10">
        <v>30.3</v>
      </c>
      <c r="P22" t="s">
        <v>2447</v>
      </c>
    </row>
    <row r="23" spans="1:16" customFormat="1" hidden="1" x14ac:dyDescent="0.25">
      <c r="A23">
        <v>2023</v>
      </c>
      <c r="B23" t="s">
        <v>772</v>
      </c>
      <c r="C23" t="s">
        <v>58</v>
      </c>
      <c r="D23" t="s">
        <v>59</v>
      </c>
      <c r="E23" t="s">
        <v>1439</v>
      </c>
      <c r="G23" t="s">
        <v>2202</v>
      </c>
      <c r="H23" t="s">
        <v>11</v>
      </c>
      <c r="I23" t="s">
        <v>13</v>
      </c>
      <c r="J23" t="s">
        <v>16</v>
      </c>
      <c r="K23" t="s">
        <v>3081</v>
      </c>
      <c r="L23" t="s">
        <v>1580</v>
      </c>
      <c r="M23" t="s">
        <v>1716</v>
      </c>
      <c r="N23" s="10">
        <v>2.1800000000000002</v>
      </c>
      <c r="O23" s="10"/>
      <c r="P23" t="s">
        <v>1634</v>
      </c>
    </row>
    <row r="24" spans="1:16" customFormat="1" hidden="1" x14ac:dyDescent="0.25">
      <c r="A24">
        <v>2023</v>
      </c>
      <c r="B24" t="s">
        <v>772</v>
      </c>
      <c r="C24" t="s">
        <v>58</v>
      </c>
      <c r="D24" t="s">
        <v>60</v>
      </c>
      <c r="E24" t="s">
        <v>1437</v>
      </c>
      <c r="G24" t="s">
        <v>2202</v>
      </c>
      <c r="H24" t="s">
        <v>11</v>
      </c>
      <c r="I24" t="s">
        <v>19</v>
      </c>
      <c r="J24" t="s">
        <v>16</v>
      </c>
      <c r="K24" t="s">
        <v>3081</v>
      </c>
      <c r="L24" t="s">
        <v>1580</v>
      </c>
      <c r="M24" t="s">
        <v>1716</v>
      </c>
      <c r="N24" s="10">
        <v>1.07</v>
      </c>
      <c r="O24" s="10"/>
      <c r="P24" t="s">
        <v>1634</v>
      </c>
    </row>
    <row r="25" spans="1:16" customFormat="1" hidden="1" x14ac:dyDescent="0.25">
      <c r="A25">
        <v>2021</v>
      </c>
      <c r="B25" t="s">
        <v>807</v>
      </c>
      <c r="C25" t="s">
        <v>716</v>
      </c>
      <c r="G25" t="s">
        <v>2069</v>
      </c>
      <c r="H25" t="s">
        <v>233</v>
      </c>
      <c r="J25" t="s">
        <v>244</v>
      </c>
      <c r="K25" t="s">
        <v>3081</v>
      </c>
      <c r="L25" t="s">
        <v>1580</v>
      </c>
      <c r="M25" t="s">
        <v>2299</v>
      </c>
      <c r="N25" s="10">
        <v>23.3</v>
      </c>
      <c r="P25" t="s">
        <v>2289</v>
      </c>
    </row>
    <row r="26" spans="1:16" customFormat="1" hidden="1" x14ac:dyDescent="0.25">
      <c r="A26">
        <v>2023</v>
      </c>
      <c r="B26" t="s">
        <v>772</v>
      </c>
      <c r="C26" t="s">
        <v>27</v>
      </c>
      <c r="D26" t="s">
        <v>28</v>
      </c>
      <c r="E26" t="s">
        <v>1166</v>
      </c>
      <c r="G26" t="s">
        <v>2037</v>
      </c>
      <c r="H26" t="s">
        <v>11</v>
      </c>
      <c r="I26" t="s">
        <v>23</v>
      </c>
      <c r="J26" t="s">
        <v>16</v>
      </c>
      <c r="K26" t="s">
        <v>3081</v>
      </c>
      <c r="L26" t="s">
        <v>1580</v>
      </c>
      <c r="M26" t="s">
        <v>1813</v>
      </c>
      <c r="N26">
        <v>0.73</v>
      </c>
      <c r="P26" t="s">
        <v>1825</v>
      </c>
    </row>
    <row r="27" spans="1:16" customFormat="1" hidden="1" x14ac:dyDescent="0.25">
      <c r="A27">
        <v>2024</v>
      </c>
      <c r="B27" t="s">
        <v>772</v>
      </c>
      <c r="C27" t="s">
        <v>798</v>
      </c>
      <c r="D27" t="s">
        <v>71</v>
      </c>
      <c r="E27" t="s">
        <v>1215</v>
      </c>
      <c r="G27" t="s">
        <v>2067</v>
      </c>
      <c r="H27" t="s">
        <v>11</v>
      </c>
      <c r="I27" t="s">
        <v>13</v>
      </c>
      <c r="J27" t="s">
        <v>64</v>
      </c>
      <c r="K27" t="s">
        <v>3081</v>
      </c>
      <c r="L27" t="s">
        <v>1580</v>
      </c>
      <c r="M27" t="s">
        <v>1813</v>
      </c>
      <c r="N27" s="10">
        <v>1.6131000989286199</v>
      </c>
      <c r="O27" s="10"/>
      <c r="P27" t="s">
        <v>1824</v>
      </c>
    </row>
    <row r="28" spans="1:16" customFormat="1" hidden="1" x14ac:dyDescent="0.25">
      <c r="A28">
        <v>2023</v>
      </c>
      <c r="B28" t="s">
        <v>772</v>
      </c>
      <c r="C28" t="s">
        <v>736</v>
      </c>
      <c r="D28" t="s">
        <v>25</v>
      </c>
      <c r="E28" t="s">
        <v>1136</v>
      </c>
      <c r="G28" t="s">
        <v>2019</v>
      </c>
      <c r="H28" t="s">
        <v>11</v>
      </c>
      <c r="I28" t="s">
        <v>13</v>
      </c>
      <c r="J28" t="s">
        <v>16</v>
      </c>
      <c r="K28" t="s">
        <v>3081</v>
      </c>
      <c r="L28" t="s">
        <v>1580</v>
      </c>
      <c r="M28" t="s">
        <v>1603</v>
      </c>
      <c r="N28" s="10">
        <v>1.47</v>
      </c>
      <c r="O28" s="10"/>
      <c r="P28" t="s">
        <v>1601</v>
      </c>
    </row>
    <row r="29" spans="1:16" customFormat="1" hidden="1" x14ac:dyDescent="0.25">
      <c r="A29">
        <v>2023</v>
      </c>
      <c r="B29" t="s">
        <v>772</v>
      </c>
      <c r="C29" t="s">
        <v>736</v>
      </c>
      <c r="D29" t="s">
        <v>26</v>
      </c>
      <c r="E29" t="s">
        <v>1135</v>
      </c>
      <c r="G29" t="s">
        <v>2019</v>
      </c>
      <c r="H29" t="s">
        <v>11</v>
      </c>
      <c r="I29" t="s">
        <v>13</v>
      </c>
      <c r="J29" t="s">
        <v>16</v>
      </c>
      <c r="K29" t="s">
        <v>3081</v>
      </c>
      <c r="L29" t="s">
        <v>1580</v>
      </c>
      <c r="M29" t="s">
        <v>1603</v>
      </c>
      <c r="N29" s="10">
        <v>0.47</v>
      </c>
      <c r="O29" s="10"/>
      <c r="P29" t="s">
        <v>1601</v>
      </c>
    </row>
    <row r="30" spans="1:16" customFormat="1" hidden="1" x14ac:dyDescent="0.25">
      <c r="A30" s="42">
        <v>2023</v>
      </c>
      <c r="B30" s="42" t="s">
        <v>772</v>
      </c>
      <c r="C30" s="42" t="s">
        <v>14</v>
      </c>
      <c r="D30" s="42" t="s">
        <v>65</v>
      </c>
      <c r="E30" t="s">
        <v>1125</v>
      </c>
      <c r="F30" s="42"/>
      <c r="G30" s="42" t="s">
        <v>2016</v>
      </c>
      <c r="H30" s="42" t="s">
        <v>11</v>
      </c>
      <c r="I30" s="42" t="s">
        <v>13</v>
      </c>
      <c r="J30" s="42" t="s">
        <v>64</v>
      </c>
      <c r="K30" s="42" t="s">
        <v>3081</v>
      </c>
      <c r="L30" s="42" t="s">
        <v>1580</v>
      </c>
      <c r="M30" s="42" t="s">
        <v>1581</v>
      </c>
      <c r="N30" s="43">
        <v>0.26502886917318602</v>
      </c>
      <c r="O30" s="43"/>
      <c r="P30" s="42" t="s">
        <v>1547</v>
      </c>
    </row>
    <row r="31" spans="1:16" customFormat="1" hidden="1" x14ac:dyDescent="0.25">
      <c r="A31">
        <v>2023</v>
      </c>
      <c r="B31" t="s">
        <v>772</v>
      </c>
      <c r="C31" t="s">
        <v>14</v>
      </c>
      <c r="D31" t="s">
        <v>18</v>
      </c>
      <c r="E31" t="s">
        <v>1127</v>
      </c>
      <c r="G31" t="s">
        <v>2016</v>
      </c>
      <c r="H31" t="s">
        <v>11</v>
      </c>
      <c r="I31" t="s">
        <v>19</v>
      </c>
      <c r="J31" t="s">
        <v>16</v>
      </c>
      <c r="K31" t="s">
        <v>3081</v>
      </c>
      <c r="L31" t="s">
        <v>1580</v>
      </c>
      <c r="M31" t="s">
        <v>1581</v>
      </c>
      <c r="N31" s="10">
        <v>0.285352773874262</v>
      </c>
      <c r="O31" s="10"/>
      <c r="P31" t="s">
        <v>1547</v>
      </c>
    </row>
    <row r="32" spans="1:16" customFormat="1" hidden="1" x14ac:dyDescent="0.25">
      <c r="A32">
        <v>2023</v>
      </c>
      <c r="B32" t="s">
        <v>772</v>
      </c>
      <c r="C32" t="s">
        <v>14</v>
      </c>
      <c r="D32" t="s">
        <v>66</v>
      </c>
      <c r="E32" t="s">
        <v>1124</v>
      </c>
      <c r="G32" t="s">
        <v>2016</v>
      </c>
      <c r="H32" t="s">
        <v>11</v>
      </c>
      <c r="I32" t="s">
        <v>13</v>
      </c>
      <c r="J32" t="s">
        <v>64</v>
      </c>
      <c r="K32" t="s">
        <v>3081</v>
      </c>
      <c r="L32" t="s">
        <v>1580</v>
      </c>
      <c r="M32" t="s">
        <v>1581</v>
      </c>
      <c r="N32" s="10">
        <v>0.30212087132290499</v>
      </c>
      <c r="O32" s="10"/>
      <c r="P32" t="s">
        <v>1547</v>
      </c>
    </row>
    <row r="33" spans="1:16" customFormat="1" hidden="1" x14ac:dyDescent="0.25">
      <c r="A33">
        <v>2023</v>
      </c>
      <c r="B33" t="s">
        <v>772</v>
      </c>
      <c r="C33" t="s">
        <v>14</v>
      </c>
      <c r="D33" t="s">
        <v>91</v>
      </c>
      <c r="E33" t="s">
        <v>1126</v>
      </c>
      <c r="G33" t="s">
        <v>2016</v>
      </c>
      <c r="H33" t="s">
        <v>11</v>
      </c>
      <c r="I33" t="s">
        <v>23</v>
      </c>
      <c r="J33" t="s">
        <v>92</v>
      </c>
      <c r="K33" t="s">
        <v>3081</v>
      </c>
      <c r="L33" t="s">
        <v>1580</v>
      </c>
      <c r="M33" t="s">
        <v>1581</v>
      </c>
      <c r="N33" s="10">
        <v>0.89993478607266297</v>
      </c>
      <c r="O33" s="10"/>
      <c r="P33" t="s">
        <v>1547</v>
      </c>
    </row>
    <row r="34" spans="1:16" customFormat="1" hidden="1" x14ac:dyDescent="0.25">
      <c r="A34">
        <v>2023</v>
      </c>
      <c r="B34" t="s">
        <v>772</v>
      </c>
      <c r="C34" t="s">
        <v>14</v>
      </c>
      <c r="D34" t="s">
        <v>67</v>
      </c>
      <c r="E34" t="s">
        <v>1128</v>
      </c>
      <c r="G34" t="s">
        <v>2016</v>
      </c>
      <c r="H34" t="s">
        <v>11</v>
      </c>
      <c r="I34" t="s">
        <v>21</v>
      </c>
      <c r="J34" t="s">
        <v>64</v>
      </c>
      <c r="K34" t="s">
        <v>3081</v>
      </c>
      <c r="L34" t="s">
        <v>1580</v>
      </c>
      <c r="M34" t="s">
        <v>1581</v>
      </c>
      <c r="N34" s="10">
        <v>2.6390753371921298</v>
      </c>
      <c r="O34" s="10"/>
      <c r="P34" t="s">
        <v>1547</v>
      </c>
    </row>
    <row r="35" spans="1:16" customFormat="1" hidden="1" x14ac:dyDescent="0.25">
      <c r="A35">
        <v>2023</v>
      </c>
      <c r="B35" t="s">
        <v>1537</v>
      </c>
      <c r="C35" t="s">
        <v>14</v>
      </c>
      <c r="D35" t="s">
        <v>20</v>
      </c>
      <c r="F35" t="s">
        <v>1749</v>
      </c>
      <c r="G35" t="s">
        <v>2016</v>
      </c>
      <c r="H35" t="s">
        <v>11</v>
      </c>
      <c r="I35" t="s">
        <v>23</v>
      </c>
      <c r="J35" t="s">
        <v>16</v>
      </c>
      <c r="K35" t="s">
        <v>3081</v>
      </c>
      <c r="L35" t="s">
        <v>1580</v>
      </c>
      <c r="M35" t="s">
        <v>1581</v>
      </c>
      <c r="N35" s="10">
        <v>0.96</v>
      </c>
      <c r="O35" s="10"/>
      <c r="P35" t="s">
        <v>1547</v>
      </c>
    </row>
    <row r="36" spans="1:16" customFormat="1" hidden="1" x14ac:dyDescent="0.25">
      <c r="A36">
        <v>2023</v>
      </c>
      <c r="B36" t="s">
        <v>772</v>
      </c>
      <c r="C36" t="s">
        <v>14</v>
      </c>
      <c r="D36" t="s">
        <v>22</v>
      </c>
      <c r="E36" t="s">
        <v>1129</v>
      </c>
      <c r="G36" t="s">
        <v>2016</v>
      </c>
      <c r="H36" t="s">
        <v>11</v>
      </c>
      <c r="I36" t="s">
        <v>13</v>
      </c>
      <c r="J36" t="s">
        <v>16</v>
      </c>
      <c r="K36" t="s">
        <v>3081</v>
      </c>
      <c r="L36" t="s">
        <v>1580</v>
      </c>
      <c r="M36" t="s">
        <v>1581</v>
      </c>
      <c r="N36" s="10">
        <v>1.0258080178505999</v>
      </c>
      <c r="O36" s="10"/>
      <c r="P36" t="s">
        <v>1547</v>
      </c>
    </row>
    <row r="37" spans="1:16" customFormat="1" hidden="1" x14ac:dyDescent="0.25">
      <c r="A37">
        <v>2023</v>
      </c>
      <c r="B37" t="s">
        <v>807</v>
      </c>
      <c r="C37" t="s">
        <v>261</v>
      </c>
      <c r="G37" t="s">
        <v>1948</v>
      </c>
      <c r="H37" s="37" t="s">
        <v>233</v>
      </c>
      <c r="I37" s="37" t="s">
        <v>249</v>
      </c>
      <c r="J37" t="s">
        <v>376</v>
      </c>
      <c r="K37" t="s">
        <v>2983</v>
      </c>
      <c r="L37" t="s">
        <v>1614</v>
      </c>
      <c r="M37" t="s">
        <v>1967</v>
      </c>
      <c r="N37" s="10">
        <v>0.18</v>
      </c>
      <c r="P37" t="s">
        <v>1949</v>
      </c>
    </row>
    <row r="38" spans="1:16" customFormat="1" hidden="1" x14ac:dyDescent="0.25">
      <c r="A38">
        <v>2023</v>
      </c>
      <c r="B38" t="s">
        <v>807</v>
      </c>
      <c r="C38" t="s">
        <v>795</v>
      </c>
      <c r="G38" t="s">
        <v>1993</v>
      </c>
      <c r="H38" s="37" t="s">
        <v>11</v>
      </c>
      <c r="I38" s="37" t="s">
        <v>34</v>
      </c>
      <c r="J38" t="s">
        <v>157</v>
      </c>
      <c r="K38" t="s">
        <v>2983</v>
      </c>
      <c r="L38" t="s">
        <v>1636</v>
      </c>
      <c r="M38" t="s">
        <v>1998</v>
      </c>
      <c r="N38" s="10">
        <v>1.7000000000000001E-2</v>
      </c>
      <c r="P38" t="s">
        <v>2002</v>
      </c>
    </row>
    <row r="39" spans="1:16" customFormat="1" hidden="1" x14ac:dyDescent="0.25">
      <c r="A39">
        <v>2023</v>
      </c>
      <c r="B39" t="s">
        <v>807</v>
      </c>
      <c r="C39" t="s">
        <v>795</v>
      </c>
      <c r="G39" t="s">
        <v>1993</v>
      </c>
      <c r="H39" s="37" t="s">
        <v>11</v>
      </c>
      <c r="I39" s="37" t="s">
        <v>34</v>
      </c>
      <c r="J39" t="s">
        <v>157</v>
      </c>
      <c r="K39" t="s">
        <v>2983</v>
      </c>
      <c r="L39" t="s">
        <v>1613</v>
      </c>
      <c r="M39" t="s">
        <v>1998</v>
      </c>
      <c r="N39" s="10">
        <v>2.5899999999999999E-2</v>
      </c>
      <c r="P39" t="s">
        <v>2002</v>
      </c>
    </row>
    <row r="40" spans="1:16" customFormat="1" hidden="1" x14ac:dyDescent="0.25">
      <c r="A40">
        <v>2023</v>
      </c>
      <c r="B40" t="s">
        <v>807</v>
      </c>
      <c r="C40" t="s">
        <v>261</v>
      </c>
      <c r="G40" t="s">
        <v>1948</v>
      </c>
      <c r="H40" s="37" t="s">
        <v>233</v>
      </c>
      <c r="I40" s="37" t="s">
        <v>249</v>
      </c>
      <c r="J40" t="s">
        <v>376</v>
      </c>
      <c r="K40" t="s">
        <v>2983</v>
      </c>
      <c r="L40" t="s">
        <v>2461</v>
      </c>
      <c r="M40" t="s">
        <v>1966</v>
      </c>
      <c r="N40" s="10">
        <v>0.54</v>
      </c>
      <c r="P40" t="s">
        <v>1949</v>
      </c>
    </row>
    <row r="41" spans="1:16" customFormat="1" hidden="1" x14ac:dyDescent="0.25">
      <c r="A41">
        <v>2023</v>
      </c>
      <c r="B41" t="s">
        <v>807</v>
      </c>
      <c r="C41" t="s">
        <v>2376</v>
      </c>
      <c r="G41" t="s">
        <v>2030</v>
      </c>
      <c r="H41" s="37" t="s">
        <v>1846</v>
      </c>
      <c r="I41" s="37"/>
      <c r="K41" t="s">
        <v>2983</v>
      </c>
      <c r="L41" t="s">
        <v>2407</v>
      </c>
      <c r="M41" t="s">
        <v>2410</v>
      </c>
      <c r="N41" s="10">
        <v>0.48</v>
      </c>
      <c r="P41" t="s">
        <v>2405</v>
      </c>
    </row>
    <row r="42" spans="1:16" customFormat="1" hidden="1" x14ac:dyDescent="0.25">
      <c r="A42">
        <v>2023</v>
      </c>
      <c r="B42" t="s">
        <v>807</v>
      </c>
      <c r="C42" t="s">
        <v>2376</v>
      </c>
      <c r="G42" t="s">
        <v>2030</v>
      </c>
      <c r="H42" s="37" t="s">
        <v>1846</v>
      </c>
      <c r="I42" s="37"/>
      <c r="K42" t="s">
        <v>2983</v>
      </c>
      <c r="L42" t="s">
        <v>2408</v>
      </c>
      <c r="M42" t="s">
        <v>2410</v>
      </c>
      <c r="N42" s="10">
        <v>1.07</v>
      </c>
      <c r="P42" t="s">
        <v>2405</v>
      </c>
    </row>
    <row r="43" spans="1:16" customFormat="1" hidden="1" x14ac:dyDescent="0.25">
      <c r="A43">
        <v>2023</v>
      </c>
      <c r="B43" t="s">
        <v>807</v>
      </c>
      <c r="C43" t="s">
        <v>2376</v>
      </c>
      <c r="G43" t="s">
        <v>2030</v>
      </c>
      <c r="H43" s="37" t="s">
        <v>1846</v>
      </c>
      <c r="I43" s="37"/>
      <c r="K43" t="s">
        <v>2983</v>
      </c>
      <c r="L43" t="s">
        <v>2409</v>
      </c>
      <c r="M43" t="s">
        <v>2410</v>
      </c>
      <c r="N43" s="10">
        <v>1.79</v>
      </c>
      <c r="P43" t="s">
        <v>2405</v>
      </c>
    </row>
    <row r="44" spans="1:16" customFormat="1" hidden="1" x14ac:dyDescent="0.25">
      <c r="A44">
        <v>2023</v>
      </c>
      <c r="B44" t="s">
        <v>772</v>
      </c>
      <c r="C44" t="s">
        <v>861</v>
      </c>
      <c r="D44" t="s">
        <v>164</v>
      </c>
      <c r="E44" t="s">
        <v>1282</v>
      </c>
      <c r="H44" s="37" t="s">
        <v>11</v>
      </c>
      <c r="I44" s="37" t="s">
        <v>19</v>
      </c>
      <c r="J44" t="s">
        <v>157</v>
      </c>
      <c r="K44" t="s">
        <v>3040</v>
      </c>
      <c r="L44" t="s">
        <v>2313</v>
      </c>
      <c r="M44" t="s">
        <v>2311</v>
      </c>
      <c r="N44" s="10">
        <v>1341</v>
      </c>
      <c r="P44" t="s">
        <v>1904</v>
      </c>
    </row>
    <row r="45" spans="1:16" customFormat="1" hidden="1" x14ac:dyDescent="0.25">
      <c r="A45">
        <v>2023</v>
      </c>
      <c r="B45" t="s">
        <v>772</v>
      </c>
      <c r="C45" t="s">
        <v>861</v>
      </c>
      <c r="D45" t="s">
        <v>164</v>
      </c>
      <c r="E45" t="s">
        <v>1282</v>
      </c>
      <c r="H45" s="37" t="s">
        <v>11</v>
      </c>
      <c r="I45" s="37" t="s">
        <v>19</v>
      </c>
      <c r="J45" t="s">
        <v>157</v>
      </c>
      <c r="K45" t="s">
        <v>3040</v>
      </c>
      <c r="L45" t="s">
        <v>2314</v>
      </c>
      <c r="M45" t="s">
        <v>2311</v>
      </c>
      <c r="N45" s="10">
        <v>813</v>
      </c>
      <c r="P45" t="s">
        <v>1904</v>
      </c>
    </row>
    <row r="46" spans="1:16" customFormat="1" hidden="1" x14ac:dyDescent="0.25">
      <c r="A46" s="42">
        <v>2023</v>
      </c>
      <c r="B46" s="42" t="s">
        <v>772</v>
      </c>
      <c r="C46" s="42" t="s">
        <v>14</v>
      </c>
      <c r="D46" s="42" t="s">
        <v>65</v>
      </c>
      <c r="E46" t="s">
        <v>1125</v>
      </c>
      <c r="F46" s="42"/>
      <c r="G46" s="42" t="s">
        <v>2016</v>
      </c>
      <c r="H46" s="42" t="s">
        <v>11</v>
      </c>
      <c r="I46" s="42" t="s">
        <v>13</v>
      </c>
      <c r="J46" s="42" t="s">
        <v>64</v>
      </c>
      <c r="K46" s="42" t="s">
        <v>3081</v>
      </c>
      <c r="L46" s="42" t="s">
        <v>1578</v>
      </c>
      <c r="M46" s="42" t="s">
        <v>1579</v>
      </c>
      <c r="N46" s="43">
        <v>34.42341742720361</v>
      </c>
      <c r="O46" s="43"/>
      <c r="P46" s="42" t="s">
        <v>1547</v>
      </c>
    </row>
    <row r="47" spans="1:16" customFormat="1" hidden="1" x14ac:dyDescent="0.25">
      <c r="A47">
        <v>2023</v>
      </c>
      <c r="B47" t="s">
        <v>772</v>
      </c>
      <c r="C47" t="s">
        <v>14</v>
      </c>
      <c r="D47" t="s">
        <v>18</v>
      </c>
      <c r="E47" t="s">
        <v>1127</v>
      </c>
      <c r="G47" t="s">
        <v>2016</v>
      </c>
      <c r="H47" t="s">
        <v>11</v>
      </c>
      <c r="I47" t="s">
        <v>19</v>
      </c>
      <c r="J47" t="s">
        <v>16</v>
      </c>
      <c r="K47" t="s">
        <v>3081</v>
      </c>
      <c r="L47" t="s">
        <v>1578</v>
      </c>
      <c r="M47" t="s">
        <v>1579</v>
      </c>
      <c r="N47" s="10">
        <v>32.670089368553114</v>
      </c>
      <c r="O47" s="10"/>
      <c r="P47" t="s">
        <v>1547</v>
      </c>
    </row>
    <row r="48" spans="1:16" customFormat="1" hidden="1" x14ac:dyDescent="0.25">
      <c r="A48">
        <v>2023</v>
      </c>
      <c r="B48" t="s">
        <v>772</v>
      </c>
      <c r="C48" t="s">
        <v>14</v>
      </c>
      <c r="D48" t="s">
        <v>66</v>
      </c>
      <c r="E48" t="s">
        <v>1124</v>
      </c>
      <c r="G48" t="s">
        <v>2016</v>
      </c>
      <c r="H48" t="s">
        <v>11</v>
      </c>
      <c r="I48" t="s">
        <v>13</v>
      </c>
      <c r="J48" t="s">
        <v>64</v>
      </c>
      <c r="K48" t="s">
        <v>3081</v>
      </c>
      <c r="L48" t="s">
        <v>1578</v>
      </c>
      <c r="M48" t="s">
        <v>1579</v>
      </c>
      <c r="N48" s="10">
        <v>61.976532356663817</v>
      </c>
      <c r="O48" s="10"/>
      <c r="P48" t="s">
        <v>1547</v>
      </c>
    </row>
    <row r="49" spans="1:16" customFormat="1" hidden="1" x14ac:dyDescent="0.25">
      <c r="A49">
        <v>2023</v>
      </c>
      <c r="B49" t="s">
        <v>772</v>
      </c>
      <c r="C49" t="s">
        <v>14</v>
      </c>
      <c r="D49" t="s">
        <v>91</v>
      </c>
      <c r="E49" t="s">
        <v>1126</v>
      </c>
      <c r="G49" t="s">
        <v>2016</v>
      </c>
      <c r="H49" t="s">
        <v>11</v>
      </c>
      <c r="I49" t="s">
        <v>23</v>
      </c>
      <c r="J49" t="s">
        <v>92</v>
      </c>
      <c r="K49" t="s">
        <v>3081</v>
      </c>
      <c r="L49" t="s">
        <v>1578</v>
      </c>
      <c r="M49" t="s">
        <v>1579</v>
      </c>
      <c r="N49" s="10">
        <v>176.50503987130364</v>
      </c>
      <c r="O49" s="10"/>
      <c r="P49" t="s">
        <v>1547</v>
      </c>
    </row>
    <row r="50" spans="1:16" customFormat="1" ht="15.6" hidden="1" customHeight="1" x14ac:dyDescent="0.25">
      <c r="A50">
        <v>2023</v>
      </c>
      <c r="B50" t="s">
        <v>772</v>
      </c>
      <c r="C50" t="s">
        <v>14</v>
      </c>
      <c r="D50" t="s">
        <v>67</v>
      </c>
      <c r="E50" t="s">
        <v>1128</v>
      </c>
      <c r="G50" t="s">
        <v>2016</v>
      </c>
      <c r="H50" t="s">
        <v>11</v>
      </c>
      <c r="I50" t="s">
        <v>21</v>
      </c>
      <c r="J50" t="s">
        <v>64</v>
      </c>
      <c r="K50" t="s">
        <v>3081</v>
      </c>
      <c r="L50" t="s">
        <v>1578</v>
      </c>
      <c r="M50" t="s">
        <v>1579</v>
      </c>
      <c r="N50" s="10">
        <v>413.40496118553943</v>
      </c>
      <c r="O50" s="10"/>
      <c r="P50" t="s">
        <v>1547</v>
      </c>
    </row>
    <row r="51" spans="1:16" customFormat="1" hidden="1" x14ac:dyDescent="0.25">
      <c r="A51">
        <v>2023</v>
      </c>
      <c r="B51" t="s">
        <v>1537</v>
      </c>
      <c r="C51" t="s">
        <v>14</v>
      </c>
      <c r="D51" t="s">
        <v>20</v>
      </c>
      <c r="F51" t="s">
        <v>1749</v>
      </c>
      <c r="G51" t="s">
        <v>2016</v>
      </c>
      <c r="H51" t="s">
        <v>11</v>
      </c>
      <c r="I51" t="s">
        <v>23</v>
      </c>
      <c r="J51" t="s">
        <v>16</v>
      </c>
      <c r="K51" t="s">
        <v>3081</v>
      </c>
      <c r="L51" t="s">
        <v>1578</v>
      </c>
      <c r="M51" t="s">
        <v>1579</v>
      </c>
      <c r="N51" s="10">
        <v>42.9</v>
      </c>
      <c r="O51" s="10"/>
      <c r="P51" t="s">
        <v>1547</v>
      </c>
    </row>
    <row r="52" spans="1:16" customFormat="1" hidden="1" x14ac:dyDescent="0.25">
      <c r="A52">
        <v>2023</v>
      </c>
      <c r="B52" t="s">
        <v>772</v>
      </c>
      <c r="C52" t="s">
        <v>14</v>
      </c>
      <c r="D52" t="s">
        <v>22</v>
      </c>
      <c r="E52" t="s">
        <v>1129</v>
      </c>
      <c r="G52" t="s">
        <v>2016</v>
      </c>
      <c r="H52" t="s">
        <v>11</v>
      </c>
      <c r="I52" t="s">
        <v>13</v>
      </c>
      <c r="J52" t="s">
        <v>16</v>
      </c>
      <c r="K52" t="s">
        <v>3081</v>
      </c>
      <c r="L52" t="s">
        <v>1578</v>
      </c>
      <c r="M52" t="s">
        <v>1579</v>
      </c>
      <c r="N52" s="10">
        <v>69.186686090465457</v>
      </c>
      <c r="O52" s="10"/>
      <c r="P52" t="s">
        <v>1547</v>
      </c>
    </row>
    <row r="53" spans="1:16" customFormat="1" hidden="1" x14ac:dyDescent="0.25">
      <c r="A53" s="42">
        <v>2023</v>
      </c>
      <c r="B53" s="42" t="s">
        <v>772</v>
      </c>
      <c r="C53" s="42" t="s">
        <v>197</v>
      </c>
      <c r="D53" s="42" t="s">
        <v>198</v>
      </c>
      <c r="E53" s="42" t="s">
        <v>1188</v>
      </c>
      <c r="F53" s="42"/>
      <c r="G53" s="42" t="s">
        <v>2044</v>
      </c>
      <c r="H53" s="42" t="s">
        <v>11</v>
      </c>
      <c r="I53" s="42" t="s">
        <v>23</v>
      </c>
      <c r="J53" s="42" t="s">
        <v>199</v>
      </c>
      <c r="K53" s="42" t="s">
        <v>3081</v>
      </c>
      <c r="L53" s="42" t="s">
        <v>1580</v>
      </c>
      <c r="M53" s="42" t="s">
        <v>1988</v>
      </c>
      <c r="N53" s="43">
        <v>22.5</v>
      </c>
      <c r="O53" s="43"/>
      <c r="P53" s="42" t="s">
        <v>1989</v>
      </c>
    </row>
    <row r="54" spans="1:16" customFormat="1" hidden="1" x14ac:dyDescent="0.25">
      <c r="A54">
        <v>2023</v>
      </c>
      <c r="B54" t="s">
        <v>807</v>
      </c>
      <c r="C54" t="s">
        <v>261</v>
      </c>
      <c r="G54" t="s">
        <v>1948</v>
      </c>
      <c r="H54" s="37" t="s">
        <v>233</v>
      </c>
      <c r="I54" s="37" t="s">
        <v>249</v>
      </c>
      <c r="J54" t="s">
        <v>376</v>
      </c>
      <c r="K54" t="s">
        <v>2981</v>
      </c>
      <c r="L54" t="s">
        <v>1961</v>
      </c>
      <c r="M54" t="s">
        <v>1968</v>
      </c>
      <c r="N54" s="10">
        <v>44.97</v>
      </c>
      <c r="P54" t="s">
        <v>1949</v>
      </c>
    </row>
    <row r="55" spans="1:16" customFormat="1" hidden="1" x14ac:dyDescent="0.25">
      <c r="A55">
        <v>2023</v>
      </c>
      <c r="B55" t="s">
        <v>807</v>
      </c>
      <c r="C55" t="s">
        <v>261</v>
      </c>
      <c r="G55" t="s">
        <v>1948</v>
      </c>
      <c r="H55" s="37" t="s">
        <v>233</v>
      </c>
      <c r="I55" s="37" t="s">
        <v>249</v>
      </c>
      <c r="J55" t="s">
        <v>376</v>
      </c>
      <c r="K55" t="s">
        <v>2981</v>
      </c>
      <c r="L55" t="s">
        <v>1961</v>
      </c>
      <c r="M55" t="s">
        <v>1968</v>
      </c>
      <c r="N55" s="10">
        <v>44.97</v>
      </c>
      <c r="P55" t="s">
        <v>1949</v>
      </c>
    </row>
    <row r="56" spans="1:16" customFormat="1" x14ac:dyDescent="0.25">
      <c r="A56">
        <v>2023</v>
      </c>
      <c r="B56" t="s">
        <v>772</v>
      </c>
      <c r="C56" t="s">
        <v>14</v>
      </c>
      <c r="D56" t="s">
        <v>65</v>
      </c>
      <c r="E56" t="s">
        <v>1125</v>
      </c>
      <c r="H56" s="37" t="s">
        <v>11</v>
      </c>
      <c r="I56" s="37" t="s">
        <v>13</v>
      </c>
      <c r="J56" t="s">
        <v>64</v>
      </c>
      <c r="K56" t="s">
        <v>2982</v>
      </c>
      <c r="L56" t="s">
        <v>1673</v>
      </c>
      <c r="M56" t="s">
        <v>1675</v>
      </c>
      <c r="N56" s="51">
        <v>0.92805708109371299</v>
      </c>
      <c r="P56" t="s">
        <v>1857</v>
      </c>
    </row>
    <row r="57" spans="1:16" customFormat="1" x14ac:dyDescent="0.25">
      <c r="A57">
        <v>2023</v>
      </c>
      <c r="B57" t="s">
        <v>772</v>
      </c>
      <c r="C57" t="s">
        <v>14</v>
      </c>
      <c r="D57" t="s">
        <v>65</v>
      </c>
      <c r="E57" t="s">
        <v>1125</v>
      </c>
      <c r="H57" s="37" t="s">
        <v>11</v>
      </c>
      <c r="I57" s="37" t="s">
        <v>13</v>
      </c>
      <c r="J57" t="s">
        <v>64</v>
      </c>
      <c r="K57" t="s">
        <v>2982</v>
      </c>
      <c r="L57" t="s">
        <v>1673</v>
      </c>
      <c r="M57" t="s">
        <v>1674</v>
      </c>
      <c r="N57" s="51">
        <v>3.2425993093723002E-2</v>
      </c>
      <c r="P57" t="s">
        <v>1856</v>
      </c>
    </row>
    <row r="58" spans="1:16" customFormat="1" x14ac:dyDescent="0.25">
      <c r="A58">
        <v>2023</v>
      </c>
      <c r="B58" t="s">
        <v>772</v>
      </c>
      <c r="C58" t="s">
        <v>14</v>
      </c>
      <c r="D58" t="s">
        <v>18</v>
      </c>
      <c r="E58" t="s">
        <v>1127</v>
      </c>
      <c r="H58" s="37" t="s">
        <v>11</v>
      </c>
      <c r="I58" s="37" t="s">
        <v>19</v>
      </c>
      <c r="J58" t="s">
        <v>16</v>
      </c>
      <c r="K58" t="s">
        <v>2982</v>
      </c>
      <c r="L58" t="s">
        <v>1673</v>
      </c>
      <c r="M58" t="s">
        <v>1675</v>
      </c>
      <c r="N58" s="51">
        <v>0.08</v>
      </c>
      <c r="O58" s="21"/>
      <c r="P58" t="s">
        <v>1851</v>
      </c>
    </row>
    <row r="59" spans="1:16" customFormat="1" x14ac:dyDescent="0.25">
      <c r="A59">
        <v>2023</v>
      </c>
      <c r="B59" t="s">
        <v>772</v>
      </c>
      <c r="C59" t="s">
        <v>14</v>
      </c>
      <c r="D59" t="s">
        <v>18</v>
      </c>
      <c r="E59" t="s">
        <v>1127</v>
      </c>
      <c r="H59" s="37" t="s">
        <v>11</v>
      </c>
      <c r="I59" s="37" t="s">
        <v>19</v>
      </c>
      <c r="J59" t="s">
        <v>16</v>
      </c>
      <c r="K59" t="s">
        <v>2982</v>
      </c>
      <c r="L59" t="s">
        <v>1673</v>
      </c>
      <c r="M59" t="s">
        <v>1674</v>
      </c>
      <c r="N59" s="51">
        <v>0.02</v>
      </c>
      <c r="O59" s="21"/>
      <c r="P59" t="s">
        <v>1850</v>
      </c>
    </row>
    <row r="60" spans="1:16" customFormat="1" x14ac:dyDescent="0.25">
      <c r="A60">
        <v>2023</v>
      </c>
      <c r="B60" t="s">
        <v>772</v>
      </c>
      <c r="C60" t="s">
        <v>730</v>
      </c>
      <c r="D60" t="s">
        <v>59</v>
      </c>
      <c r="E60" t="s">
        <v>1439</v>
      </c>
      <c r="H60" s="37" t="s">
        <v>11</v>
      </c>
      <c r="I60" s="37" t="s">
        <v>13</v>
      </c>
      <c r="J60" t="s">
        <v>16</v>
      </c>
      <c r="K60" t="s">
        <v>2982</v>
      </c>
      <c r="L60" t="s">
        <v>1722</v>
      </c>
      <c r="M60" t="s">
        <v>1724</v>
      </c>
      <c r="N60" s="51">
        <v>0.33</v>
      </c>
      <c r="P60" t="s">
        <v>1867</v>
      </c>
    </row>
    <row r="61" spans="1:16" customFormat="1" x14ac:dyDescent="0.25">
      <c r="A61">
        <v>2023</v>
      </c>
      <c r="B61" t="s">
        <v>772</v>
      </c>
      <c r="C61" t="s">
        <v>730</v>
      </c>
      <c r="D61" t="s">
        <v>59</v>
      </c>
      <c r="E61" t="s">
        <v>1439</v>
      </c>
      <c r="H61" s="37" t="s">
        <v>11</v>
      </c>
      <c r="I61" s="37" t="s">
        <v>13</v>
      </c>
      <c r="J61" t="s">
        <v>16</v>
      </c>
      <c r="K61" t="s">
        <v>2982</v>
      </c>
      <c r="L61" t="s">
        <v>1722</v>
      </c>
      <c r="M61" t="s">
        <v>1723</v>
      </c>
      <c r="N61" s="51">
        <v>0.13</v>
      </c>
      <c r="P61" t="s">
        <v>1867</v>
      </c>
    </row>
    <row r="62" spans="1:16" customFormat="1" x14ac:dyDescent="0.25">
      <c r="A62">
        <v>2023</v>
      </c>
      <c r="B62" t="s">
        <v>772</v>
      </c>
      <c r="C62" t="s">
        <v>39</v>
      </c>
      <c r="D62" t="s">
        <v>41</v>
      </c>
      <c r="E62" t="s">
        <v>1316</v>
      </c>
      <c r="H62" s="37" t="s">
        <v>11</v>
      </c>
      <c r="I62" s="37" t="s">
        <v>13</v>
      </c>
      <c r="J62" t="s">
        <v>16</v>
      </c>
      <c r="K62" t="s">
        <v>2982</v>
      </c>
      <c r="L62" s="27" t="s">
        <v>1722</v>
      </c>
      <c r="M62" t="s">
        <v>1748</v>
      </c>
      <c r="N62" s="51">
        <v>0.60592715231788097</v>
      </c>
      <c r="P62" t="s">
        <v>1865</v>
      </c>
    </row>
    <row r="63" spans="1:16" customFormat="1" x14ac:dyDescent="0.25">
      <c r="A63">
        <v>2023</v>
      </c>
      <c r="B63" t="s">
        <v>772</v>
      </c>
      <c r="C63" t="s">
        <v>39</v>
      </c>
      <c r="D63" t="s">
        <v>41</v>
      </c>
      <c r="E63" t="s">
        <v>1316</v>
      </c>
      <c r="H63" s="37" t="s">
        <v>11</v>
      </c>
      <c r="I63" s="37" t="s">
        <v>13</v>
      </c>
      <c r="J63" t="s">
        <v>16</v>
      </c>
      <c r="K63" t="s">
        <v>2982</v>
      </c>
      <c r="L63" s="27" t="s">
        <v>1722</v>
      </c>
      <c r="M63" t="s">
        <v>1747</v>
      </c>
      <c r="N63" s="51">
        <v>4.3381249999999998</v>
      </c>
      <c r="P63" t="s">
        <v>1865</v>
      </c>
    </row>
    <row r="64" spans="1:16" customFormat="1" x14ac:dyDescent="0.25">
      <c r="A64">
        <v>2023</v>
      </c>
      <c r="B64" t="s">
        <v>772</v>
      </c>
      <c r="C64" t="s">
        <v>14</v>
      </c>
      <c r="D64" t="s">
        <v>66</v>
      </c>
      <c r="E64" t="s">
        <v>1124</v>
      </c>
      <c r="H64" s="37" t="s">
        <v>11</v>
      </c>
      <c r="I64" s="37" t="s">
        <v>13</v>
      </c>
      <c r="J64" t="s">
        <v>64</v>
      </c>
      <c r="K64" t="s">
        <v>2982</v>
      </c>
      <c r="L64" t="s">
        <v>1673</v>
      </c>
      <c r="M64" t="s">
        <v>1675</v>
      </c>
      <c r="N64" s="51">
        <v>12.931689622605401</v>
      </c>
      <c r="O64" s="21"/>
      <c r="P64" t="s">
        <v>1859</v>
      </c>
    </row>
    <row r="65" spans="1:16" customFormat="1" x14ac:dyDescent="0.25">
      <c r="A65">
        <v>2023</v>
      </c>
      <c r="B65" t="s">
        <v>772</v>
      </c>
      <c r="C65" t="s">
        <v>14</v>
      </c>
      <c r="D65" t="s">
        <v>66</v>
      </c>
      <c r="E65" t="s">
        <v>1124</v>
      </c>
      <c r="H65" s="37" t="s">
        <v>11</v>
      </c>
      <c r="I65" s="37" t="s">
        <v>13</v>
      </c>
      <c r="J65" t="s">
        <v>64</v>
      </c>
      <c r="K65" t="s">
        <v>2982</v>
      </c>
      <c r="L65" t="s">
        <v>1673</v>
      </c>
      <c r="M65" t="s">
        <v>1674</v>
      </c>
      <c r="N65" s="51">
        <v>0.6315166931499504</v>
      </c>
      <c r="O65" s="21"/>
      <c r="P65" t="s">
        <v>1858</v>
      </c>
    </row>
    <row r="66" spans="1:16" customFormat="1" x14ac:dyDescent="0.25">
      <c r="A66">
        <v>2023</v>
      </c>
      <c r="B66" t="s">
        <v>772</v>
      </c>
      <c r="C66" t="s">
        <v>27</v>
      </c>
      <c r="D66" t="s">
        <v>28</v>
      </c>
      <c r="E66" t="s">
        <v>1166</v>
      </c>
      <c r="H66" s="37"/>
      <c r="I66" s="37"/>
      <c r="J66" t="s">
        <v>16</v>
      </c>
      <c r="K66" t="s">
        <v>2982</v>
      </c>
      <c r="L66" t="s">
        <v>1830</v>
      </c>
      <c r="M66" s="10" t="s">
        <v>1724</v>
      </c>
      <c r="N66" s="51">
        <v>23.7</v>
      </c>
      <c r="P66" t="s">
        <v>1825</v>
      </c>
    </row>
    <row r="67" spans="1:16" customFormat="1" x14ac:dyDescent="0.25">
      <c r="A67">
        <v>2023</v>
      </c>
      <c r="B67" t="s">
        <v>772</v>
      </c>
      <c r="C67" t="s">
        <v>27</v>
      </c>
      <c r="D67" t="s">
        <v>28</v>
      </c>
      <c r="E67" t="s">
        <v>1166</v>
      </c>
      <c r="H67" s="37"/>
      <c r="I67" s="37"/>
      <c r="J67" t="s">
        <v>16</v>
      </c>
      <c r="K67" t="s">
        <v>2982</v>
      </c>
      <c r="L67" t="s">
        <v>1831</v>
      </c>
      <c r="M67" s="10" t="s">
        <v>1724</v>
      </c>
      <c r="N67" s="51">
        <v>7.37</v>
      </c>
      <c r="P67" t="s">
        <v>1825</v>
      </c>
    </row>
    <row r="68" spans="1:16" customFormat="1" x14ac:dyDescent="0.25">
      <c r="A68">
        <v>2023</v>
      </c>
      <c r="B68" t="s">
        <v>772</v>
      </c>
      <c r="C68" t="s">
        <v>27</v>
      </c>
      <c r="D68" t="s">
        <v>28</v>
      </c>
      <c r="E68" t="s">
        <v>1166</v>
      </c>
      <c r="H68" s="37"/>
      <c r="I68" s="37"/>
      <c r="J68" t="s">
        <v>16</v>
      </c>
      <c r="K68" t="s">
        <v>2982</v>
      </c>
      <c r="L68" t="s">
        <v>1830</v>
      </c>
      <c r="M68" s="10" t="s">
        <v>1832</v>
      </c>
      <c r="N68" s="51">
        <v>2.64</v>
      </c>
      <c r="P68" t="s">
        <v>1825</v>
      </c>
    </row>
    <row r="69" spans="1:16" customFormat="1" x14ac:dyDescent="0.25">
      <c r="A69">
        <v>2023</v>
      </c>
      <c r="B69" t="s">
        <v>772</v>
      </c>
      <c r="C69" t="s">
        <v>27</v>
      </c>
      <c r="D69" t="s">
        <v>28</v>
      </c>
      <c r="E69" t="s">
        <v>1166</v>
      </c>
      <c r="H69" s="37"/>
      <c r="I69" s="37"/>
      <c r="J69" t="s">
        <v>16</v>
      </c>
      <c r="K69" t="s">
        <v>2982</v>
      </c>
      <c r="L69" t="s">
        <v>1831</v>
      </c>
      <c r="M69" s="10" t="s">
        <v>1832</v>
      </c>
      <c r="N69" s="51">
        <v>0.82</v>
      </c>
      <c r="P69" t="s">
        <v>1825</v>
      </c>
    </row>
    <row r="70" spans="1:16" customFormat="1" x14ac:dyDescent="0.25">
      <c r="A70">
        <v>2023</v>
      </c>
      <c r="B70" t="s">
        <v>772</v>
      </c>
      <c r="C70" t="s">
        <v>730</v>
      </c>
      <c r="D70" t="s">
        <v>60</v>
      </c>
      <c r="E70" t="s">
        <v>1437</v>
      </c>
      <c r="H70" s="37" t="s">
        <v>11</v>
      </c>
      <c r="I70" s="37" t="s">
        <v>19</v>
      </c>
      <c r="J70" t="s">
        <v>16</v>
      </c>
      <c r="K70" t="s">
        <v>2982</v>
      </c>
      <c r="L70" t="s">
        <v>1722</v>
      </c>
      <c r="M70" t="s">
        <v>1724</v>
      </c>
      <c r="N70" s="51">
        <v>17.02</v>
      </c>
      <c r="P70" t="s">
        <v>1867</v>
      </c>
    </row>
    <row r="71" spans="1:16" customFormat="1" x14ac:dyDescent="0.25">
      <c r="A71">
        <v>2023</v>
      </c>
      <c r="B71" t="s">
        <v>772</v>
      </c>
      <c r="C71" t="s">
        <v>730</v>
      </c>
      <c r="D71" t="s">
        <v>60</v>
      </c>
      <c r="E71" t="s">
        <v>1437</v>
      </c>
      <c r="H71" s="37" t="s">
        <v>11</v>
      </c>
      <c r="I71" s="37" t="s">
        <v>19</v>
      </c>
      <c r="J71" t="s">
        <v>16</v>
      </c>
      <c r="K71" t="s">
        <v>2982</v>
      </c>
      <c r="L71" t="s">
        <v>1722</v>
      </c>
      <c r="M71" t="s">
        <v>1723</v>
      </c>
      <c r="N71" s="51">
        <v>0.43</v>
      </c>
      <c r="P71" t="s">
        <v>1867</v>
      </c>
    </row>
    <row r="72" spans="1:16" customFormat="1" x14ac:dyDescent="0.25">
      <c r="A72">
        <v>2023</v>
      </c>
      <c r="B72" t="s">
        <v>772</v>
      </c>
      <c r="C72" t="s">
        <v>14</v>
      </c>
      <c r="D72" t="s">
        <v>91</v>
      </c>
      <c r="E72" t="s">
        <v>1126</v>
      </c>
      <c r="H72" s="37" t="s">
        <v>11</v>
      </c>
      <c r="I72" s="37" t="s">
        <v>23</v>
      </c>
      <c r="J72" t="s">
        <v>92</v>
      </c>
      <c r="K72" t="s">
        <v>2982</v>
      </c>
      <c r="L72" t="s">
        <v>1673</v>
      </c>
      <c r="M72" t="s">
        <v>1675</v>
      </c>
      <c r="N72" s="51">
        <v>4.8490374668901497</v>
      </c>
      <c r="P72" t="s">
        <v>1863</v>
      </c>
    </row>
    <row r="73" spans="1:16" customFormat="1" x14ac:dyDescent="0.25">
      <c r="A73">
        <v>2023</v>
      </c>
      <c r="B73" t="s">
        <v>772</v>
      </c>
      <c r="C73" t="s">
        <v>14</v>
      </c>
      <c r="D73" t="s">
        <v>91</v>
      </c>
      <c r="E73" t="s">
        <v>1126</v>
      </c>
      <c r="H73" s="37" t="s">
        <v>11</v>
      </c>
      <c r="I73" s="37" t="s">
        <v>23</v>
      </c>
      <c r="J73" t="s">
        <v>92</v>
      </c>
      <c r="K73" t="s">
        <v>2982</v>
      </c>
      <c r="L73" t="s">
        <v>1673</v>
      </c>
      <c r="M73" t="s">
        <v>1674</v>
      </c>
      <c r="N73" s="51">
        <v>0.55934105456808003</v>
      </c>
      <c r="P73" t="s">
        <v>1862</v>
      </c>
    </row>
    <row r="74" spans="1:16" customFormat="1" x14ac:dyDescent="0.25">
      <c r="A74">
        <v>2023</v>
      </c>
      <c r="B74" t="s">
        <v>772</v>
      </c>
      <c r="C74" t="s">
        <v>14</v>
      </c>
      <c r="D74" t="s">
        <v>67</v>
      </c>
      <c r="E74" t="s">
        <v>1128</v>
      </c>
      <c r="H74" s="37" t="s">
        <v>11</v>
      </c>
      <c r="I74" s="37" t="s">
        <v>21</v>
      </c>
      <c r="J74" t="s">
        <v>64</v>
      </c>
      <c r="K74" t="s">
        <v>2982</v>
      </c>
      <c r="L74" t="s">
        <v>1673</v>
      </c>
      <c r="M74" t="s">
        <v>1675</v>
      </c>
      <c r="N74" s="51">
        <v>0.84452709650600599</v>
      </c>
      <c r="O74" s="21"/>
      <c r="P74" t="s">
        <v>1861</v>
      </c>
    </row>
    <row r="75" spans="1:16" customFormat="1" x14ac:dyDescent="0.25">
      <c r="A75">
        <v>2023</v>
      </c>
      <c r="B75" t="s">
        <v>772</v>
      </c>
      <c r="C75" t="s">
        <v>14</v>
      </c>
      <c r="D75" t="s">
        <v>67</v>
      </c>
      <c r="E75" t="s">
        <v>1128</v>
      </c>
      <c r="H75" s="37" t="s">
        <v>11</v>
      </c>
      <c r="I75" s="37" t="s">
        <v>21</v>
      </c>
      <c r="J75" t="s">
        <v>64</v>
      </c>
      <c r="K75" t="s">
        <v>2982</v>
      </c>
      <c r="L75" t="s">
        <v>1673</v>
      </c>
      <c r="M75" t="s">
        <v>1674</v>
      </c>
      <c r="N75" s="51">
        <v>0.43706803626910201</v>
      </c>
      <c r="O75" s="21"/>
      <c r="P75" t="s">
        <v>1860</v>
      </c>
    </row>
    <row r="76" spans="1:16" customFormat="1" x14ac:dyDescent="0.25">
      <c r="A76">
        <v>2023</v>
      </c>
      <c r="B76" t="s">
        <v>1537</v>
      </c>
      <c r="C76" t="s">
        <v>14</v>
      </c>
      <c r="D76" t="s">
        <v>20</v>
      </c>
      <c r="F76" t="s">
        <v>1749</v>
      </c>
      <c r="H76" s="37" t="s">
        <v>11</v>
      </c>
      <c r="I76" s="37" t="s">
        <v>23</v>
      </c>
      <c r="J76" t="s">
        <v>16</v>
      </c>
      <c r="K76" t="s">
        <v>2982</v>
      </c>
      <c r="L76" t="s">
        <v>1673</v>
      </c>
      <c r="M76" t="s">
        <v>1675</v>
      </c>
      <c r="N76" s="51">
        <v>2.24430424698344</v>
      </c>
      <c r="O76" s="21"/>
      <c r="P76" t="s">
        <v>1853</v>
      </c>
    </row>
    <row r="77" spans="1:16" customFormat="1" x14ac:dyDescent="0.25">
      <c r="A77">
        <v>2023</v>
      </c>
      <c r="B77" t="s">
        <v>1537</v>
      </c>
      <c r="C77" t="s">
        <v>14</v>
      </c>
      <c r="D77" t="s">
        <v>20</v>
      </c>
      <c r="F77" t="s">
        <v>1749</v>
      </c>
      <c r="H77" s="37" t="s">
        <v>11</v>
      </c>
      <c r="I77" s="37" t="s">
        <v>23</v>
      </c>
      <c r="J77" t="s">
        <v>16</v>
      </c>
      <c r="K77" t="s">
        <v>2982</v>
      </c>
      <c r="L77" t="s">
        <v>1673</v>
      </c>
      <c r="M77" t="s">
        <v>1674</v>
      </c>
      <c r="N77" s="51">
        <v>0.25211488183174802</v>
      </c>
      <c r="O77" s="21"/>
      <c r="P77" t="s">
        <v>1852</v>
      </c>
    </row>
    <row r="78" spans="1:16" customFormat="1" x14ac:dyDescent="0.25">
      <c r="A78">
        <v>2023</v>
      </c>
      <c r="B78" t="s">
        <v>772</v>
      </c>
      <c r="C78" t="s">
        <v>14</v>
      </c>
      <c r="D78" t="s">
        <v>22</v>
      </c>
      <c r="E78" t="s">
        <v>1129</v>
      </c>
      <c r="H78" s="37" t="s">
        <v>11</v>
      </c>
      <c r="I78" s="37" t="s">
        <v>13</v>
      </c>
      <c r="J78" t="s">
        <v>16</v>
      </c>
      <c r="K78" t="s">
        <v>2982</v>
      </c>
      <c r="L78" t="s">
        <v>1673</v>
      </c>
      <c r="M78" t="s">
        <v>1675</v>
      </c>
      <c r="N78" s="51">
        <v>1.442848265995526</v>
      </c>
      <c r="O78" s="21"/>
      <c r="P78" t="s">
        <v>1855</v>
      </c>
    </row>
    <row r="79" spans="1:16" customFormat="1" x14ac:dyDescent="0.25">
      <c r="A79">
        <v>2023</v>
      </c>
      <c r="B79" t="s">
        <v>772</v>
      </c>
      <c r="C79" t="s">
        <v>14</v>
      </c>
      <c r="D79" t="s">
        <v>22</v>
      </c>
      <c r="E79" t="s">
        <v>1129</v>
      </c>
      <c r="H79" s="37" t="s">
        <v>11</v>
      </c>
      <c r="I79" s="37" t="s">
        <v>13</v>
      </c>
      <c r="J79" t="s">
        <v>16</v>
      </c>
      <c r="K79" t="s">
        <v>2982</v>
      </c>
      <c r="L79" t="s">
        <v>1673</v>
      </c>
      <c r="M79" t="s">
        <v>1674</v>
      </c>
      <c r="N79" s="51">
        <v>0.27391082165120451</v>
      </c>
      <c r="O79" s="21"/>
      <c r="P79" t="s">
        <v>1854</v>
      </c>
    </row>
    <row r="80" spans="1:16" customFormat="1" x14ac:dyDescent="0.25">
      <c r="A80">
        <v>2023</v>
      </c>
      <c r="B80" t="s">
        <v>772</v>
      </c>
      <c r="C80" t="s">
        <v>39</v>
      </c>
      <c r="D80" t="s">
        <v>78</v>
      </c>
      <c r="E80" t="s">
        <v>1321</v>
      </c>
      <c r="H80" s="37" t="s">
        <v>11</v>
      </c>
      <c r="I80" s="37" t="s">
        <v>21</v>
      </c>
      <c r="J80" t="s">
        <v>64</v>
      </c>
      <c r="K80" t="s">
        <v>2982</v>
      </c>
      <c r="L80" s="27" t="s">
        <v>1722</v>
      </c>
      <c r="M80" t="s">
        <v>1748</v>
      </c>
      <c r="N80" s="51">
        <v>0.54684745233462995</v>
      </c>
      <c r="P80" t="s">
        <v>1865</v>
      </c>
    </row>
    <row r="81" spans="1:16" customFormat="1" x14ac:dyDescent="0.25">
      <c r="A81">
        <v>2023</v>
      </c>
      <c r="B81" t="s">
        <v>772</v>
      </c>
      <c r="C81" t="s">
        <v>39</v>
      </c>
      <c r="D81" t="s">
        <v>78</v>
      </c>
      <c r="E81" t="s">
        <v>1321</v>
      </c>
      <c r="H81" s="37" t="s">
        <v>11</v>
      </c>
      <c r="I81" s="37" t="s">
        <v>21</v>
      </c>
      <c r="J81" t="s">
        <v>64</v>
      </c>
      <c r="K81" t="s">
        <v>2982</v>
      </c>
      <c r="L81" s="27" t="s">
        <v>1722</v>
      </c>
      <c r="M81" t="s">
        <v>1747</v>
      </c>
      <c r="N81" s="51">
        <v>3.12310656111111</v>
      </c>
      <c r="P81" t="s">
        <v>1865</v>
      </c>
    </row>
    <row r="82" spans="1:16" customFormat="1" x14ac:dyDescent="0.25">
      <c r="A82">
        <v>2023</v>
      </c>
      <c r="B82" t="s">
        <v>772</v>
      </c>
      <c r="C82" t="s">
        <v>197</v>
      </c>
      <c r="D82" t="s">
        <v>198</v>
      </c>
      <c r="E82" t="s">
        <v>1188</v>
      </c>
      <c r="H82" s="37" t="s">
        <v>11</v>
      </c>
      <c r="I82" s="37" t="s">
        <v>23</v>
      </c>
      <c r="J82" t="s">
        <v>199</v>
      </c>
      <c r="K82" t="s">
        <v>2982</v>
      </c>
      <c r="L82" t="s">
        <v>1722</v>
      </c>
      <c r="M82" t="s">
        <v>1990</v>
      </c>
      <c r="N82" s="51">
        <f>(0.63+0.55+0.58+0.53+0.53+0.38+0.32+0.47+0.4+0.35+0.33+0.41)/12</f>
        <v>0.45666666666666672</v>
      </c>
      <c r="P82" t="s">
        <v>1989</v>
      </c>
    </row>
    <row r="83" spans="1:16" customFormat="1" x14ac:dyDescent="0.25">
      <c r="A83">
        <v>2023</v>
      </c>
      <c r="B83" t="s">
        <v>1537</v>
      </c>
      <c r="C83" t="s">
        <v>39</v>
      </c>
      <c r="D83" t="s">
        <v>45</v>
      </c>
      <c r="F83" t="s">
        <v>1750</v>
      </c>
      <c r="H83" s="37" t="s">
        <v>11</v>
      </c>
      <c r="I83" s="37" t="s">
        <v>17</v>
      </c>
      <c r="J83" t="s">
        <v>16</v>
      </c>
      <c r="K83" t="s">
        <v>2982</v>
      </c>
      <c r="L83" s="27" t="s">
        <v>1722</v>
      </c>
      <c r="M83" t="s">
        <v>1748</v>
      </c>
      <c r="N83" s="51">
        <v>1.68595626004809</v>
      </c>
      <c r="P83" t="s">
        <v>1865</v>
      </c>
    </row>
    <row r="84" spans="1:16" customFormat="1" hidden="1" x14ac:dyDescent="0.25">
      <c r="A84">
        <v>2024</v>
      </c>
      <c r="B84" t="s">
        <v>807</v>
      </c>
      <c r="C84" t="s">
        <v>795</v>
      </c>
      <c r="G84" t="s">
        <v>1993</v>
      </c>
      <c r="H84" t="s">
        <v>11</v>
      </c>
      <c r="I84" t="s">
        <v>34</v>
      </c>
      <c r="J84" t="s">
        <v>157</v>
      </c>
      <c r="K84" t="s">
        <v>3081</v>
      </c>
      <c r="L84" t="s">
        <v>1580</v>
      </c>
      <c r="M84" t="s">
        <v>1997</v>
      </c>
      <c r="N84" s="10">
        <v>265</v>
      </c>
      <c r="P84" t="s">
        <v>2002</v>
      </c>
    </row>
    <row r="85" spans="1:16" customFormat="1" x14ac:dyDescent="0.25">
      <c r="A85">
        <v>2023</v>
      </c>
      <c r="B85" t="s">
        <v>1537</v>
      </c>
      <c r="C85" t="s">
        <v>39</v>
      </c>
      <c r="D85" t="s">
        <v>45</v>
      </c>
      <c r="F85" t="s">
        <v>1750</v>
      </c>
      <c r="H85" s="37" t="s">
        <v>11</v>
      </c>
      <c r="I85" s="37" t="s">
        <v>17</v>
      </c>
      <c r="J85" t="s">
        <v>16</v>
      </c>
      <c r="K85" t="s">
        <v>2982</v>
      </c>
      <c r="L85" s="27" t="s">
        <v>1722</v>
      </c>
      <c r="M85" t="s">
        <v>1747</v>
      </c>
      <c r="N85" s="51">
        <v>18.876225665384599</v>
      </c>
      <c r="P85" t="s">
        <v>1865</v>
      </c>
    </row>
    <row r="86" spans="1:16" customFormat="1" x14ac:dyDescent="0.25">
      <c r="A86">
        <v>2023</v>
      </c>
      <c r="B86" t="s">
        <v>807</v>
      </c>
      <c r="C86" t="s">
        <v>261</v>
      </c>
      <c r="G86" t="s">
        <v>1948</v>
      </c>
      <c r="H86" s="37" t="s">
        <v>233</v>
      </c>
      <c r="I86" s="37" t="s">
        <v>249</v>
      </c>
      <c r="J86" t="s">
        <v>376</v>
      </c>
      <c r="K86" t="s">
        <v>2982</v>
      </c>
      <c r="L86" t="s">
        <v>1972</v>
      </c>
      <c r="M86" t="s">
        <v>1973</v>
      </c>
      <c r="N86" s="10">
        <v>3.87</v>
      </c>
      <c r="P86" t="s">
        <v>1949</v>
      </c>
    </row>
    <row r="87" spans="1:16" customFormat="1" x14ac:dyDescent="0.25">
      <c r="A87">
        <v>2023</v>
      </c>
      <c r="B87" t="s">
        <v>807</v>
      </c>
      <c r="C87" t="s">
        <v>2376</v>
      </c>
      <c r="G87" t="s">
        <v>2030</v>
      </c>
      <c r="H87" s="37" t="s">
        <v>1846</v>
      </c>
      <c r="I87" s="37"/>
      <c r="K87" t="s">
        <v>2982</v>
      </c>
      <c r="L87" t="s">
        <v>2411</v>
      </c>
      <c r="M87" t="s">
        <v>2412</v>
      </c>
      <c r="N87" s="10">
        <v>3.4</v>
      </c>
      <c r="P87" t="s">
        <v>2405</v>
      </c>
    </row>
    <row r="88" spans="1:16" customFormat="1" x14ac:dyDescent="0.25">
      <c r="A88">
        <v>2023</v>
      </c>
      <c r="B88" t="s">
        <v>807</v>
      </c>
      <c r="C88" t="s">
        <v>2376</v>
      </c>
      <c r="G88" t="s">
        <v>2030</v>
      </c>
      <c r="H88" s="37" t="s">
        <v>1846</v>
      </c>
      <c r="I88" s="37"/>
      <c r="K88" t="s">
        <v>2982</v>
      </c>
      <c r="L88" t="s">
        <v>2411</v>
      </c>
      <c r="M88" t="s">
        <v>2412</v>
      </c>
      <c r="N88" s="10">
        <v>3.4</v>
      </c>
      <c r="P88" t="s">
        <v>2405</v>
      </c>
    </row>
    <row r="89" spans="1:16" customFormat="1" x14ac:dyDescent="0.25">
      <c r="A89">
        <v>2021</v>
      </c>
      <c r="B89" t="s">
        <v>807</v>
      </c>
      <c r="C89" t="s">
        <v>716</v>
      </c>
      <c r="G89" t="s">
        <v>2069</v>
      </c>
      <c r="H89" s="37" t="s">
        <v>233</v>
      </c>
      <c r="I89" s="37"/>
      <c r="J89" t="s">
        <v>244</v>
      </c>
      <c r="K89" t="s">
        <v>2982</v>
      </c>
      <c r="L89" t="s">
        <v>2292</v>
      </c>
      <c r="M89" t="s">
        <v>2293</v>
      </c>
      <c r="N89" s="10">
        <v>11.43</v>
      </c>
      <c r="P89" s="10" t="s">
        <v>2290</v>
      </c>
    </row>
    <row r="90" spans="1:16" customFormat="1" x14ac:dyDescent="0.25">
      <c r="A90">
        <v>2023</v>
      </c>
      <c r="B90" t="s">
        <v>807</v>
      </c>
      <c r="C90" t="s">
        <v>261</v>
      </c>
      <c r="G90" t="s">
        <v>1948</v>
      </c>
      <c r="H90" s="37" t="s">
        <v>233</v>
      </c>
      <c r="I90" s="37" t="s">
        <v>249</v>
      </c>
      <c r="J90" t="s">
        <v>376</v>
      </c>
      <c r="K90" t="s">
        <v>2982</v>
      </c>
      <c r="L90" t="s">
        <v>1974</v>
      </c>
      <c r="M90" t="s">
        <v>1975</v>
      </c>
      <c r="N90" s="10">
        <v>11.5</v>
      </c>
      <c r="P90" t="s">
        <v>1949</v>
      </c>
    </row>
    <row r="91" spans="1:16" customFormat="1" hidden="1" x14ac:dyDescent="0.25">
      <c r="A91">
        <v>2024</v>
      </c>
      <c r="B91" t="s">
        <v>772</v>
      </c>
      <c r="C91" t="s">
        <v>798</v>
      </c>
      <c r="D91" t="s">
        <v>71</v>
      </c>
      <c r="E91" t="s">
        <v>1215</v>
      </c>
      <c r="G91" t="s">
        <v>2067</v>
      </c>
      <c r="H91" t="s">
        <v>11</v>
      </c>
      <c r="I91" t="s">
        <v>13</v>
      </c>
      <c r="J91" t="s">
        <v>64</v>
      </c>
      <c r="K91" t="s">
        <v>3081</v>
      </c>
      <c r="L91" t="s">
        <v>1578</v>
      </c>
      <c r="M91" t="s">
        <v>1812</v>
      </c>
      <c r="N91" s="10">
        <v>0.29524214549167654</v>
      </c>
      <c r="O91" s="10"/>
      <c r="P91" t="s">
        <v>1824</v>
      </c>
    </row>
    <row r="92" spans="1:16" customFormat="1" hidden="1" x14ac:dyDescent="0.25">
      <c r="A92">
        <v>2023</v>
      </c>
      <c r="B92" t="s">
        <v>807</v>
      </c>
      <c r="C92" t="s">
        <v>261</v>
      </c>
      <c r="G92" t="s">
        <v>1948</v>
      </c>
      <c r="H92" s="37" t="s">
        <v>233</v>
      </c>
      <c r="I92" s="37" t="s">
        <v>249</v>
      </c>
      <c r="J92" t="s">
        <v>376</v>
      </c>
      <c r="K92" t="s">
        <v>2981</v>
      </c>
      <c r="L92" t="s">
        <v>1977</v>
      </c>
      <c r="M92" t="s">
        <v>1978</v>
      </c>
      <c r="N92">
        <v>1.79</v>
      </c>
      <c r="P92" t="s">
        <v>1949</v>
      </c>
    </row>
    <row r="93" spans="1:16" customFormat="1" hidden="1" x14ac:dyDescent="0.25">
      <c r="A93">
        <v>2023</v>
      </c>
      <c r="B93" t="s">
        <v>772</v>
      </c>
      <c r="C93" t="s">
        <v>861</v>
      </c>
      <c r="D93" t="s">
        <v>164</v>
      </c>
      <c r="E93" t="s">
        <v>1282</v>
      </c>
      <c r="H93" s="37" t="s">
        <v>11</v>
      </c>
      <c r="I93" s="37" t="s">
        <v>19</v>
      </c>
      <c r="J93" t="s">
        <v>157</v>
      </c>
      <c r="K93" t="s">
        <v>3040</v>
      </c>
      <c r="L93" t="s">
        <v>2315</v>
      </c>
      <c r="M93" t="s">
        <v>2312</v>
      </c>
      <c r="N93" s="10">
        <v>58.5</v>
      </c>
      <c r="P93" t="s">
        <v>1904</v>
      </c>
    </row>
    <row r="94" spans="1:16" customFormat="1" hidden="1" x14ac:dyDescent="0.25">
      <c r="A94">
        <v>2023</v>
      </c>
      <c r="B94" t="s">
        <v>772</v>
      </c>
      <c r="C94" t="s">
        <v>30</v>
      </c>
      <c r="D94" t="s">
        <v>31</v>
      </c>
      <c r="E94" t="s">
        <v>1210</v>
      </c>
      <c r="H94" s="37" t="s">
        <v>11</v>
      </c>
      <c r="I94" s="37" t="s">
        <v>13</v>
      </c>
      <c r="J94" t="s">
        <v>16</v>
      </c>
      <c r="K94" t="s">
        <v>3040</v>
      </c>
      <c r="L94" t="s">
        <v>1692</v>
      </c>
      <c r="M94" t="s">
        <v>1888</v>
      </c>
      <c r="N94" s="10">
        <v>0.1</v>
      </c>
      <c r="P94" t="s">
        <v>1886</v>
      </c>
    </row>
    <row r="95" spans="1:16" customFormat="1" hidden="1" x14ac:dyDescent="0.25">
      <c r="A95">
        <v>2023</v>
      </c>
      <c r="B95" t="s">
        <v>772</v>
      </c>
      <c r="C95" t="s">
        <v>30</v>
      </c>
      <c r="D95" t="s">
        <v>31</v>
      </c>
      <c r="E95" t="s">
        <v>1210</v>
      </c>
      <c r="H95" s="37" t="s">
        <v>11</v>
      </c>
      <c r="I95" s="37" t="s">
        <v>13</v>
      </c>
      <c r="J95" t="s">
        <v>16</v>
      </c>
      <c r="K95" t="s">
        <v>3040</v>
      </c>
      <c r="L95" t="s">
        <v>1692</v>
      </c>
      <c r="M95" t="s">
        <v>1888</v>
      </c>
      <c r="N95" s="10">
        <v>0.1</v>
      </c>
      <c r="P95" t="s">
        <v>1886</v>
      </c>
    </row>
    <row r="96" spans="1:16" customFormat="1" hidden="1" x14ac:dyDescent="0.25">
      <c r="A96">
        <v>2023</v>
      </c>
      <c r="B96" t="s">
        <v>772</v>
      </c>
      <c r="C96" t="s">
        <v>27</v>
      </c>
      <c r="D96" t="s">
        <v>28</v>
      </c>
      <c r="E96" t="s">
        <v>1166</v>
      </c>
      <c r="H96" s="37"/>
      <c r="I96" s="37"/>
      <c r="K96" t="s">
        <v>3040</v>
      </c>
      <c r="L96" t="s">
        <v>1834</v>
      </c>
      <c r="M96" t="s">
        <v>1833</v>
      </c>
      <c r="N96">
        <v>0.17699999999999999</v>
      </c>
      <c r="P96" t="s">
        <v>1825</v>
      </c>
    </row>
    <row r="97" spans="1:16" customFormat="1" hidden="1" x14ac:dyDescent="0.25">
      <c r="A97">
        <v>2023</v>
      </c>
      <c r="B97" t="s">
        <v>772</v>
      </c>
      <c r="C97" t="s">
        <v>27</v>
      </c>
      <c r="D97" t="s">
        <v>28</v>
      </c>
      <c r="E97" t="s">
        <v>1166</v>
      </c>
      <c r="H97" s="37" t="s">
        <v>11</v>
      </c>
      <c r="I97" s="37" t="s">
        <v>23</v>
      </c>
      <c r="J97" t="s">
        <v>16</v>
      </c>
      <c r="K97" t="s">
        <v>3040</v>
      </c>
      <c r="L97" t="s">
        <v>1834</v>
      </c>
      <c r="M97" t="s">
        <v>1833</v>
      </c>
      <c r="N97">
        <v>0.17699999999999999</v>
      </c>
      <c r="P97" t="s">
        <v>1825</v>
      </c>
    </row>
    <row r="98" spans="1:16" customFormat="1" hidden="1" x14ac:dyDescent="0.25">
      <c r="A98">
        <v>2023</v>
      </c>
      <c r="B98" t="s">
        <v>772</v>
      </c>
      <c r="C98" t="s">
        <v>730</v>
      </c>
      <c r="D98" t="s">
        <v>59</v>
      </c>
      <c r="E98" t="s">
        <v>1439</v>
      </c>
      <c r="H98" s="37" t="s">
        <v>11</v>
      </c>
      <c r="I98" s="37" t="s">
        <v>13</v>
      </c>
      <c r="J98" t="s">
        <v>16</v>
      </c>
      <c r="K98" t="s">
        <v>3040</v>
      </c>
      <c r="L98" t="s">
        <v>1692</v>
      </c>
      <c r="M98" t="s">
        <v>1726</v>
      </c>
      <c r="N98" s="10">
        <v>0.17</v>
      </c>
      <c r="P98" t="s">
        <v>1867</v>
      </c>
    </row>
    <row r="99" spans="1:16" customFormat="1" hidden="1" x14ac:dyDescent="0.25">
      <c r="A99">
        <v>2023</v>
      </c>
      <c r="B99" t="s">
        <v>772</v>
      </c>
      <c r="C99" t="s">
        <v>730</v>
      </c>
      <c r="D99" t="s">
        <v>59</v>
      </c>
      <c r="E99" t="s">
        <v>1439</v>
      </c>
      <c r="H99" s="37" t="s">
        <v>11</v>
      </c>
      <c r="I99" s="37" t="s">
        <v>13</v>
      </c>
      <c r="J99" t="s">
        <v>16</v>
      </c>
      <c r="K99" t="s">
        <v>3040</v>
      </c>
      <c r="L99" t="s">
        <v>1692</v>
      </c>
      <c r="M99" t="s">
        <v>1726</v>
      </c>
      <c r="N99" s="10">
        <v>0.17</v>
      </c>
      <c r="P99" t="s">
        <v>1867</v>
      </c>
    </row>
    <row r="100" spans="1:16" customFormat="1" hidden="1" x14ac:dyDescent="0.25">
      <c r="A100">
        <v>2023</v>
      </c>
      <c r="B100" t="s">
        <v>772</v>
      </c>
      <c r="C100" t="s">
        <v>730</v>
      </c>
      <c r="D100" t="s">
        <v>60</v>
      </c>
      <c r="E100" t="s">
        <v>1437</v>
      </c>
      <c r="H100" s="37" t="s">
        <v>11</v>
      </c>
      <c r="I100" s="37" t="s">
        <v>19</v>
      </c>
      <c r="J100" t="s">
        <v>16</v>
      </c>
      <c r="K100" t="s">
        <v>3040</v>
      </c>
      <c r="L100" t="s">
        <v>1692</v>
      </c>
      <c r="M100" t="s">
        <v>1726</v>
      </c>
      <c r="N100" s="10">
        <v>0.12</v>
      </c>
      <c r="P100" t="s">
        <v>1867</v>
      </c>
    </row>
    <row r="101" spans="1:16" customFormat="1" hidden="1" x14ac:dyDescent="0.25">
      <c r="A101">
        <v>2023</v>
      </c>
      <c r="B101" t="s">
        <v>772</v>
      </c>
      <c r="C101" t="s">
        <v>730</v>
      </c>
      <c r="D101" t="s">
        <v>60</v>
      </c>
      <c r="E101" t="s">
        <v>1437</v>
      </c>
      <c r="H101" s="37" t="s">
        <v>11</v>
      </c>
      <c r="I101" s="37" t="s">
        <v>19</v>
      </c>
      <c r="J101" t="s">
        <v>16</v>
      </c>
      <c r="K101" t="s">
        <v>3040</v>
      </c>
      <c r="L101" t="s">
        <v>1692</v>
      </c>
      <c r="M101" t="s">
        <v>1726</v>
      </c>
      <c r="N101" s="10">
        <v>0.12</v>
      </c>
      <c r="P101" t="s">
        <v>1867</v>
      </c>
    </row>
    <row r="102" spans="1:16" customFormat="1" hidden="1" x14ac:dyDescent="0.25">
      <c r="A102">
        <v>2023</v>
      </c>
      <c r="B102" t="s">
        <v>807</v>
      </c>
      <c r="C102" t="s">
        <v>325</v>
      </c>
      <c r="G102" t="s">
        <v>2119</v>
      </c>
      <c r="H102" s="37" t="s">
        <v>1846</v>
      </c>
      <c r="I102" s="37"/>
      <c r="J102" t="s">
        <v>2323</v>
      </c>
      <c r="K102" t="s">
        <v>3040</v>
      </c>
      <c r="L102" t="s">
        <v>1984</v>
      </c>
      <c r="M102" t="s">
        <v>2324</v>
      </c>
      <c r="N102" s="10">
        <v>0.13</v>
      </c>
      <c r="P102" t="s">
        <v>1904</v>
      </c>
    </row>
    <row r="103" spans="1:16" customFormat="1" hidden="1" x14ac:dyDescent="0.25">
      <c r="A103">
        <v>2023</v>
      </c>
      <c r="B103" t="s">
        <v>807</v>
      </c>
      <c r="C103" t="s">
        <v>325</v>
      </c>
      <c r="G103" t="s">
        <v>2119</v>
      </c>
      <c r="H103" s="37" t="s">
        <v>1846</v>
      </c>
      <c r="I103" s="37"/>
      <c r="J103" t="s">
        <v>177</v>
      </c>
      <c r="K103" t="s">
        <v>3040</v>
      </c>
      <c r="L103" t="s">
        <v>1984</v>
      </c>
      <c r="M103" t="s">
        <v>2324</v>
      </c>
      <c r="N103" s="10">
        <v>1.61</v>
      </c>
      <c r="P103" t="s">
        <v>1904</v>
      </c>
    </row>
    <row r="104" spans="1:16" customFormat="1" hidden="1" x14ac:dyDescent="0.25">
      <c r="A104">
        <v>2023</v>
      </c>
      <c r="B104" t="s">
        <v>772</v>
      </c>
      <c r="C104" t="s">
        <v>135</v>
      </c>
      <c r="D104" t="s">
        <v>136</v>
      </c>
      <c r="E104" t="s">
        <v>1395</v>
      </c>
      <c r="H104" s="37" t="s">
        <v>11</v>
      </c>
      <c r="I104" s="37" t="s">
        <v>19</v>
      </c>
      <c r="J104" t="s">
        <v>137</v>
      </c>
      <c r="K104" t="s">
        <v>3040</v>
      </c>
      <c r="L104" t="s">
        <v>1983</v>
      </c>
      <c r="M104" t="s">
        <v>2364</v>
      </c>
      <c r="N104" s="10">
        <v>2.21</v>
      </c>
      <c r="P104" t="s">
        <v>1886</v>
      </c>
    </row>
    <row r="105" spans="1:16" customFormat="1" hidden="1" x14ac:dyDescent="0.25">
      <c r="A105">
        <v>2023</v>
      </c>
      <c r="B105" t="s">
        <v>807</v>
      </c>
      <c r="C105" t="s">
        <v>718</v>
      </c>
      <c r="G105" t="s">
        <v>2149</v>
      </c>
      <c r="H105" s="37" t="s">
        <v>1846</v>
      </c>
      <c r="I105" s="37"/>
      <c r="K105" t="s">
        <v>3040</v>
      </c>
      <c r="L105" t="s">
        <v>1984</v>
      </c>
      <c r="M105" t="s">
        <v>2454</v>
      </c>
      <c r="N105" s="10">
        <v>6.8</v>
      </c>
      <c r="P105" t="s">
        <v>2453</v>
      </c>
    </row>
    <row r="106" spans="1:16" customFormat="1" hidden="1" x14ac:dyDescent="0.25">
      <c r="A106">
        <v>2024</v>
      </c>
      <c r="B106" t="s">
        <v>807</v>
      </c>
      <c r="C106" t="s">
        <v>795</v>
      </c>
      <c r="G106" t="s">
        <v>1993</v>
      </c>
      <c r="H106" s="37" t="s">
        <v>11</v>
      </c>
      <c r="I106" s="37" t="s">
        <v>34</v>
      </c>
      <c r="J106" t="s">
        <v>157</v>
      </c>
      <c r="K106" t="s">
        <v>3040</v>
      </c>
      <c r="L106" t="s">
        <v>1983</v>
      </c>
      <c r="M106" t="s">
        <v>1995</v>
      </c>
      <c r="N106" s="10">
        <v>8.8699999999999992</v>
      </c>
      <c r="P106" t="s">
        <v>2002</v>
      </c>
    </row>
    <row r="107" spans="1:16" customFormat="1" hidden="1" x14ac:dyDescent="0.25">
      <c r="A107">
        <v>2024</v>
      </c>
      <c r="B107" t="s">
        <v>807</v>
      </c>
      <c r="C107" t="s">
        <v>795</v>
      </c>
      <c r="G107" t="s">
        <v>1993</v>
      </c>
      <c r="H107" s="37" t="s">
        <v>11</v>
      </c>
      <c r="I107" s="37" t="s">
        <v>34</v>
      </c>
      <c r="J107" t="s">
        <v>157</v>
      </c>
      <c r="K107" t="s">
        <v>3040</v>
      </c>
      <c r="L107" t="s">
        <v>1994</v>
      </c>
      <c r="M107" t="s">
        <v>1995</v>
      </c>
      <c r="N107" s="10">
        <v>0.08</v>
      </c>
      <c r="P107" t="s">
        <v>2002</v>
      </c>
    </row>
    <row r="108" spans="1:16" customFormat="1" hidden="1" x14ac:dyDescent="0.25">
      <c r="A108">
        <v>2023</v>
      </c>
      <c r="B108" t="s">
        <v>772</v>
      </c>
      <c r="C108" t="s">
        <v>730</v>
      </c>
      <c r="D108" t="s">
        <v>59</v>
      </c>
      <c r="E108" t="s">
        <v>1439</v>
      </c>
      <c r="H108" s="37" t="s">
        <v>11</v>
      </c>
      <c r="I108" s="37" t="s">
        <v>13</v>
      </c>
      <c r="J108" t="s">
        <v>16</v>
      </c>
      <c r="K108" t="s">
        <v>3040</v>
      </c>
      <c r="L108" t="s">
        <v>1692</v>
      </c>
      <c r="M108" t="s">
        <v>1725</v>
      </c>
      <c r="N108" s="10">
        <v>7.0000000000000007E-2</v>
      </c>
      <c r="P108" t="s">
        <v>1867</v>
      </c>
    </row>
    <row r="109" spans="1:16" customFormat="1" hidden="1" x14ac:dyDescent="0.25">
      <c r="A109">
        <v>2023</v>
      </c>
      <c r="B109" t="s">
        <v>772</v>
      </c>
      <c r="C109" t="s">
        <v>730</v>
      </c>
      <c r="D109" t="s">
        <v>59</v>
      </c>
      <c r="E109" t="s">
        <v>1439</v>
      </c>
      <c r="H109" s="37" t="s">
        <v>11</v>
      </c>
      <c r="I109" s="37" t="s">
        <v>13</v>
      </c>
      <c r="J109" t="s">
        <v>16</v>
      </c>
      <c r="K109" t="s">
        <v>3040</v>
      </c>
      <c r="L109" t="s">
        <v>1692</v>
      </c>
      <c r="M109" t="s">
        <v>1725</v>
      </c>
      <c r="N109" s="10">
        <v>7.0000000000000007E-2</v>
      </c>
      <c r="P109" t="s">
        <v>1867</v>
      </c>
    </row>
    <row r="110" spans="1:16" customFormat="1" hidden="1" x14ac:dyDescent="0.25">
      <c r="A110">
        <v>2023</v>
      </c>
      <c r="B110" t="s">
        <v>772</v>
      </c>
      <c r="C110" t="s">
        <v>730</v>
      </c>
      <c r="D110" t="s">
        <v>60</v>
      </c>
      <c r="E110" t="s">
        <v>1437</v>
      </c>
      <c r="H110" s="37" t="s">
        <v>11</v>
      </c>
      <c r="I110" s="37" t="s">
        <v>19</v>
      </c>
      <c r="J110" t="s">
        <v>16</v>
      </c>
      <c r="K110" t="s">
        <v>3040</v>
      </c>
      <c r="L110" t="s">
        <v>1692</v>
      </c>
      <c r="M110" t="s">
        <v>1725</v>
      </c>
      <c r="N110" s="10">
        <v>0.02</v>
      </c>
      <c r="P110" t="s">
        <v>1867</v>
      </c>
    </row>
    <row r="111" spans="1:16" s="42" customFormat="1" hidden="1" x14ac:dyDescent="0.25">
      <c r="A111">
        <v>2023</v>
      </c>
      <c r="B111" t="s">
        <v>772</v>
      </c>
      <c r="C111" t="s">
        <v>730</v>
      </c>
      <c r="D111" t="s">
        <v>60</v>
      </c>
      <c r="E111" t="s">
        <v>1437</v>
      </c>
      <c r="F111"/>
      <c r="G111"/>
      <c r="H111" s="37" t="s">
        <v>11</v>
      </c>
      <c r="I111" s="37" t="s">
        <v>19</v>
      </c>
      <c r="J111" t="s">
        <v>16</v>
      </c>
      <c r="K111" t="s">
        <v>3040</v>
      </c>
      <c r="L111" t="s">
        <v>1692</v>
      </c>
      <c r="M111" t="s">
        <v>1725</v>
      </c>
      <c r="N111" s="10">
        <v>0.02</v>
      </c>
      <c r="O111"/>
      <c r="P111" t="s">
        <v>1867</v>
      </c>
    </row>
    <row r="112" spans="1:16" s="42" customFormat="1" hidden="1" x14ac:dyDescent="0.25">
      <c r="A112">
        <v>2023</v>
      </c>
      <c r="B112" t="s">
        <v>807</v>
      </c>
      <c r="C112" t="s">
        <v>717</v>
      </c>
      <c r="D112"/>
      <c r="E112"/>
      <c r="F112"/>
      <c r="G112" t="s">
        <v>1848</v>
      </c>
      <c r="H112" s="37"/>
      <c r="I112" s="37"/>
      <c r="J112"/>
      <c r="K112" t="s">
        <v>3040</v>
      </c>
      <c r="L112" t="s">
        <v>1692</v>
      </c>
      <c r="M112" s="10" t="s">
        <v>1793</v>
      </c>
      <c r="N112" s="10">
        <v>1.7</v>
      </c>
      <c r="O112"/>
      <c r="P112" t="s">
        <v>1781</v>
      </c>
    </row>
    <row r="113" spans="1:16" customFormat="1" hidden="1" x14ac:dyDescent="0.25">
      <c r="A113">
        <v>2023</v>
      </c>
      <c r="B113" t="s">
        <v>807</v>
      </c>
      <c r="C113" t="s">
        <v>717</v>
      </c>
      <c r="G113" t="s">
        <v>1848</v>
      </c>
      <c r="H113" s="37"/>
      <c r="I113" s="37"/>
      <c r="K113" t="s">
        <v>3040</v>
      </c>
      <c r="L113" t="s">
        <v>1692</v>
      </c>
      <c r="M113" s="10" t="s">
        <v>1793</v>
      </c>
      <c r="N113" s="10">
        <v>1.7</v>
      </c>
      <c r="P113" t="s">
        <v>1781</v>
      </c>
    </row>
    <row r="114" spans="1:16" customFormat="1" hidden="1" x14ac:dyDescent="0.25">
      <c r="A114">
        <v>2023</v>
      </c>
      <c r="B114" t="s">
        <v>772</v>
      </c>
      <c r="C114" t="s">
        <v>27</v>
      </c>
      <c r="D114" t="s">
        <v>28</v>
      </c>
      <c r="E114" t="s">
        <v>1166</v>
      </c>
      <c r="H114" s="37"/>
      <c r="I114" s="37"/>
      <c r="K114" t="s">
        <v>3040</v>
      </c>
      <c r="L114" t="s">
        <v>1834</v>
      </c>
      <c r="M114" t="s">
        <v>1792</v>
      </c>
      <c r="N114">
        <v>0.02</v>
      </c>
      <c r="P114" t="s">
        <v>1825</v>
      </c>
    </row>
    <row r="115" spans="1:16" customFormat="1" hidden="1" x14ac:dyDescent="0.25">
      <c r="A115">
        <v>2023</v>
      </c>
      <c r="B115" t="s">
        <v>772</v>
      </c>
      <c r="C115" t="s">
        <v>27</v>
      </c>
      <c r="D115" t="s">
        <v>28</v>
      </c>
      <c r="E115" t="s">
        <v>1166</v>
      </c>
      <c r="H115" s="37" t="s">
        <v>11</v>
      </c>
      <c r="I115" s="37" t="s">
        <v>23</v>
      </c>
      <c r="J115" t="s">
        <v>16</v>
      </c>
      <c r="K115" t="s">
        <v>3040</v>
      </c>
      <c r="L115" t="s">
        <v>1834</v>
      </c>
      <c r="M115" t="s">
        <v>1792</v>
      </c>
      <c r="N115">
        <v>0.02</v>
      </c>
      <c r="P115" t="s">
        <v>1825</v>
      </c>
    </row>
    <row r="116" spans="1:16" customFormat="1" hidden="1" x14ac:dyDescent="0.25">
      <c r="A116">
        <v>2023</v>
      </c>
      <c r="B116" t="s">
        <v>807</v>
      </c>
      <c r="C116" t="s">
        <v>717</v>
      </c>
      <c r="G116" t="s">
        <v>1848</v>
      </c>
      <c r="H116" s="37"/>
      <c r="I116" s="37"/>
      <c r="K116" t="s">
        <v>3040</v>
      </c>
      <c r="L116" t="s">
        <v>1692</v>
      </c>
      <c r="M116" s="10" t="s">
        <v>1792</v>
      </c>
      <c r="N116" s="10">
        <v>9.9</v>
      </c>
      <c r="P116" t="s">
        <v>1781</v>
      </c>
    </row>
    <row r="117" spans="1:16" customFormat="1" hidden="1" x14ac:dyDescent="0.25">
      <c r="A117">
        <v>2023</v>
      </c>
      <c r="B117" t="s">
        <v>807</v>
      </c>
      <c r="C117" t="s">
        <v>717</v>
      </c>
      <c r="G117" t="s">
        <v>1848</v>
      </c>
      <c r="H117" s="37"/>
      <c r="I117" s="37"/>
      <c r="K117" t="s">
        <v>3040</v>
      </c>
      <c r="L117" t="s">
        <v>1692</v>
      </c>
      <c r="M117" s="10" t="s">
        <v>1792</v>
      </c>
      <c r="N117" s="10">
        <v>9.9</v>
      </c>
      <c r="P117" t="s">
        <v>1781</v>
      </c>
    </row>
    <row r="118" spans="1:16" customFormat="1" hidden="1" x14ac:dyDescent="0.25">
      <c r="A118">
        <v>2023</v>
      </c>
      <c r="B118" t="s">
        <v>807</v>
      </c>
      <c r="C118" t="s">
        <v>261</v>
      </c>
      <c r="G118" t="s">
        <v>1948</v>
      </c>
      <c r="H118" s="37" t="s">
        <v>233</v>
      </c>
      <c r="I118" s="37" t="s">
        <v>249</v>
      </c>
      <c r="J118" t="s">
        <v>376</v>
      </c>
      <c r="K118" t="s">
        <v>3040</v>
      </c>
      <c r="L118" t="s">
        <v>1951</v>
      </c>
      <c r="M118" t="s">
        <v>1950</v>
      </c>
      <c r="N118" s="10">
        <v>0.54</v>
      </c>
      <c r="P118" t="s">
        <v>1949</v>
      </c>
    </row>
    <row r="119" spans="1:16" customFormat="1" hidden="1" x14ac:dyDescent="0.25">
      <c r="A119">
        <v>2023</v>
      </c>
      <c r="B119" t="s">
        <v>807</v>
      </c>
      <c r="C119" t="s">
        <v>261</v>
      </c>
      <c r="G119" t="s">
        <v>1948</v>
      </c>
      <c r="H119" s="37" t="s">
        <v>233</v>
      </c>
      <c r="I119" s="37" t="s">
        <v>249</v>
      </c>
      <c r="J119" t="s">
        <v>376</v>
      </c>
      <c r="K119" t="s">
        <v>3040</v>
      </c>
      <c r="L119" t="s">
        <v>1952</v>
      </c>
      <c r="M119" t="s">
        <v>1950</v>
      </c>
      <c r="N119" s="10">
        <v>4.1500000000000004</v>
      </c>
      <c r="O119" t="s">
        <v>1953</v>
      </c>
      <c r="P119" t="s">
        <v>1949</v>
      </c>
    </row>
    <row r="120" spans="1:16" customFormat="1" hidden="1" x14ac:dyDescent="0.25">
      <c r="A120">
        <v>2023</v>
      </c>
      <c r="B120" t="s">
        <v>807</v>
      </c>
      <c r="C120" t="s">
        <v>261</v>
      </c>
      <c r="G120" t="s">
        <v>1948</v>
      </c>
      <c r="H120" s="37" t="s">
        <v>233</v>
      </c>
      <c r="I120" s="37" t="s">
        <v>249</v>
      </c>
      <c r="J120" t="s">
        <v>376</v>
      </c>
      <c r="K120" t="s">
        <v>3040</v>
      </c>
      <c r="L120" t="s">
        <v>1951</v>
      </c>
      <c r="M120" t="s">
        <v>1950</v>
      </c>
      <c r="N120" s="10">
        <v>0.54</v>
      </c>
      <c r="P120" t="s">
        <v>1949</v>
      </c>
    </row>
    <row r="121" spans="1:16" customFormat="1" hidden="1" x14ac:dyDescent="0.25">
      <c r="A121">
        <v>2023</v>
      </c>
      <c r="B121" t="s">
        <v>807</v>
      </c>
      <c r="C121" t="s">
        <v>261</v>
      </c>
      <c r="G121" t="s">
        <v>1948</v>
      </c>
      <c r="H121" s="37" t="s">
        <v>233</v>
      </c>
      <c r="I121" s="37" t="s">
        <v>249</v>
      </c>
      <c r="J121" t="s">
        <v>376</v>
      </c>
      <c r="K121" t="s">
        <v>3040</v>
      </c>
      <c r="L121" t="s">
        <v>1952</v>
      </c>
      <c r="M121" t="s">
        <v>1950</v>
      </c>
      <c r="N121" s="10">
        <v>4.1500000000000004</v>
      </c>
      <c r="O121" t="s">
        <v>1953</v>
      </c>
      <c r="P121" t="s">
        <v>1949</v>
      </c>
    </row>
    <row r="122" spans="1:16" customFormat="1" hidden="1" x14ac:dyDescent="0.25">
      <c r="A122">
        <v>2023</v>
      </c>
      <c r="B122" t="s">
        <v>807</v>
      </c>
      <c r="C122" t="s">
        <v>2376</v>
      </c>
      <c r="G122" t="s">
        <v>2030</v>
      </c>
      <c r="H122" s="37" t="s">
        <v>1846</v>
      </c>
      <c r="I122" s="37"/>
      <c r="K122" t="s">
        <v>3040</v>
      </c>
      <c r="L122" t="s">
        <v>2406</v>
      </c>
      <c r="M122" t="s">
        <v>2404</v>
      </c>
      <c r="N122" s="10">
        <v>1.96</v>
      </c>
      <c r="P122" t="s">
        <v>2405</v>
      </c>
    </row>
    <row r="123" spans="1:16" customFormat="1" hidden="1" x14ac:dyDescent="0.25">
      <c r="A123">
        <v>2023</v>
      </c>
      <c r="B123" t="s">
        <v>772</v>
      </c>
      <c r="C123" t="s">
        <v>861</v>
      </c>
      <c r="D123" t="s">
        <v>164</v>
      </c>
      <c r="E123" t="s">
        <v>1282</v>
      </c>
      <c r="H123" s="37" t="s">
        <v>11</v>
      </c>
      <c r="I123" s="37" t="s">
        <v>19</v>
      </c>
      <c r="J123" t="s">
        <v>157</v>
      </c>
      <c r="K123" t="s">
        <v>3040</v>
      </c>
      <c r="L123" t="s">
        <v>2316</v>
      </c>
      <c r="M123" t="s">
        <v>2317</v>
      </c>
      <c r="N123" s="10">
        <v>5.3900000000000003E-2</v>
      </c>
      <c r="P123" t="s">
        <v>1904</v>
      </c>
    </row>
    <row r="124" spans="1:16" customFormat="1" hidden="1" x14ac:dyDescent="0.25">
      <c r="A124">
        <v>2023</v>
      </c>
      <c r="B124" t="s">
        <v>772</v>
      </c>
      <c r="C124" t="s">
        <v>30</v>
      </c>
      <c r="D124" t="s">
        <v>31</v>
      </c>
      <c r="E124" t="s">
        <v>1210</v>
      </c>
      <c r="H124" s="37" t="s">
        <v>11</v>
      </c>
      <c r="I124" s="37" t="s">
        <v>13</v>
      </c>
      <c r="J124" t="s">
        <v>16</v>
      </c>
      <c r="K124" t="s">
        <v>3040</v>
      </c>
      <c r="L124" t="s">
        <v>1692</v>
      </c>
      <c r="M124" t="s">
        <v>1887</v>
      </c>
      <c r="N124" s="10">
        <v>2.18E-2</v>
      </c>
      <c r="P124" t="s">
        <v>1886</v>
      </c>
    </row>
    <row r="125" spans="1:16" s="42" customFormat="1" hidden="1" x14ac:dyDescent="0.25">
      <c r="A125">
        <v>2023</v>
      </c>
      <c r="B125" t="s">
        <v>772</v>
      </c>
      <c r="C125" t="s">
        <v>30</v>
      </c>
      <c r="D125" t="s">
        <v>31</v>
      </c>
      <c r="E125" t="s">
        <v>1210</v>
      </c>
      <c r="F125"/>
      <c r="G125"/>
      <c r="H125" s="37" t="s">
        <v>11</v>
      </c>
      <c r="I125" s="37" t="s">
        <v>13</v>
      </c>
      <c r="J125" t="s">
        <v>16</v>
      </c>
      <c r="K125" t="s">
        <v>3040</v>
      </c>
      <c r="L125" t="s">
        <v>1692</v>
      </c>
      <c r="M125" t="s">
        <v>1887</v>
      </c>
      <c r="N125" s="10">
        <v>2.18E-2</v>
      </c>
      <c r="O125"/>
      <c r="P125" t="s">
        <v>1886</v>
      </c>
    </row>
    <row r="126" spans="1:16" customFormat="1" hidden="1" x14ac:dyDescent="0.25">
      <c r="A126">
        <v>2023</v>
      </c>
      <c r="B126" t="s">
        <v>772</v>
      </c>
      <c r="C126" t="s">
        <v>197</v>
      </c>
      <c r="D126" t="s">
        <v>198</v>
      </c>
      <c r="E126" t="s">
        <v>1188</v>
      </c>
      <c r="H126" s="37" t="s">
        <v>11</v>
      </c>
      <c r="I126" s="37" t="s">
        <v>23</v>
      </c>
      <c r="J126" t="s">
        <v>199</v>
      </c>
      <c r="K126" t="s">
        <v>3040</v>
      </c>
      <c r="L126" t="s">
        <v>1987</v>
      </c>
      <c r="M126" t="s">
        <v>1887</v>
      </c>
      <c r="N126" s="10">
        <v>7.9399999999999998E-2</v>
      </c>
      <c r="P126" t="s">
        <v>1989</v>
      </c>
    </row>
    <row r="127" spans="1:16" customFormat="1" hidden="1" x14ac:dyDescent="0.25">
      <c r="A127">
        <v>2023</v>
      </c>
      <c r="B127" t="s">
        <v>807</v>
      </c>
      <c r="C127" t="s">
        <v>242</v>
      </c>
      <c r="G127" t="s">
        <v>1981</v>
      </c>
      <c r="H127" s="37" t="s">
        <v>233</v>
      </c>
      <c r="I127" s="37" t="s">
        <v>245</v>
      </c>
      <c r="J127" t="s">
        <v>244</v>
      </c>
      <c r="K127" t="s">
        <v>3040</v>
      </c>
      <c r="L127" t="s">
        <v>1983</v>
      </c>
      <c r="M127" t="s">
        <v>1985</v>
      </c>
      <c r="N127" s="10">
        <v>1.83</v>
      </c>
    </row>
    <row r="128" spans="1:16" customFormat="1" hidden="1" x14ac:dyDescent="0.25">
      <c r="A128">
        <v>2023</v>
      </c>
      <c r="B128" t="s">
        <v>807</v>
      </c>
      <c r="C128" t="s">
        <v>242</v>
      </c>
      <c r="G128" t="s">
        <v>1981</v>
      </c>
      <c r="H128" s="37" t="s">
        <v>233</v>
      </c>
      <c r="I128" s="37" t="s">
        <v>245</v>
      </c>
      <c r="J128" t="s">
        <v>244</v>
      </c>
      <c r="K128" t="s">
        <v>3040</v>
      </c>
      <c r="L128" t="s">
        <v>1984</v>
      </c>
      <c r="M128" t="s">
        <v>1985</v>
      </c>
      <c r="N128" s="10">
        <v>1.84</v>
      </c>
    </row>
    <row r="129" spans="1:16" customFormat="1" hidden="1" x14ac:dyDescent="0.25">
      <c r="A129">
        <v>2021</v>
      </c>
      <c r="B129" t="s">
        <v>807</v>
      </c>
      <c r="C129" t="s">
        <v>716</v>
      </c>
      <c r="G129" t="s">
        <v>2069</v>
      </c>
      <c r="H129" s="37" t="s">
        <v>233</v>
      </c>
      <c r="I129" s="37"/>
      <c r="J129" t="s">
        <v>244</v>
      </c>
      <c r="K129" t="s">
        <v>3040</v>
      </c>
      <c r="L129" t="s">
        <v>1834</v>
      </c>
      <c r="M129" t="s">
        <v>2291</v>
      </c>
      <c r="N129" s="10">
        <v>1.96</v>
      </c>
      <c r="P129" s="10" t="s">
        <v>2290</v>
      </c>
    </row>
    <row r="130" spans="1:16" customFormat="1" hidden="1" x14ac:dyDescent="0.25">
      <c r="A130">
        <v>2021</v>
      </c>
      <c r="B130" t="s">
        <v>807</v>
      </c>
      <c r="C130" t="s">
        <v>716</v>
      </c>
      <c r="G130" t="s">
        <v>2069</v>
      </c>
      <c r="H130" s="37" t="s">
        <v>233</v>
      </c>
      <c r="I130" s="37"/>
      <c r="J130" t="s">
        <v>244</v>
      </c>
      <c r="K130" t="s">
        <v>3040</v>
      </c>
      <c r="L130" t="s">
        <v>1834</v>
      </c>
      <c r="M130" t="s">
        <v>2291</v>
      </c>
      <c r="N130" s="10">
        <v>1.96</v>
      </c>
      <c r="P130" s="10" t="s">
        <v>2290</v>
      </c>
    </row>
    <row r="131" spans="1:16" customFormat="1" ht="14.45" hidden="1" customHeight="1" x14ac:dyDescent="0.25">
      <c r="A131">
        <v>2023</v>
      </c>
      <c r="B131" t="s">
        <v>807</v>
      </c>
      <c r="C131" t="s">
        <v>717</v>
      </c>
      <c r="G131" t="s">
        <v>1848</v>
      </c>
      <c r="K131" t="s">
        <v>3081</v>
      </c>
      <c r="L131" t="s">
        <v>1580</v>
      </c>
      <c r="M131" t="s">
        <v>1795</v>
      </c>
      <c r="N131" s="10">
        <v>35</v>
      </c>
      <c r="P131" t="s">
        <v>1781</v>
      </c>
    </row>
    <row r="132" spans="1:16" customFormat="1" ht="14.45" hidden="1" customHeight="1" x14ac:dyDescent="0.25">
      <c r="A132">
        <v>2023</v>
      </c>
      <c r="B132" t="s">
        <v>807</v>
      </c>
      <c r="C132" t="s">
        <v>717</v>
      </c>
      <c r="G132" t="s">
        <v>1848</v>
      </c>
      <c r="K132" t="s">
        <v>3081</v>
      </c>
      <c r="L132" t="s">
        <v>1580</v>
      </c>
      <c r="M132" t="s">
        <v>1794</v>
      </c>
      <c r="N132" s="10">
        <v>200</v>
      </c>
      <c r="P132" t="s">
        <v>1781</v>
      </c>
    </row>
  </sheetData>
  <autoFilter ref="A1:P132" xr:uid="{8023D8BF-7428-45DE-98BB-92A9CFD8C7B6}">
    <filterColumn colId="10">
      <filters>
        <filter val="Water"/>
      </filters>
    </filterColumn>
    <sortState xmlns:xlrd2="http://schemas.microsoft.com/office/spreadsheetml/2017/richdata2" ref="A56:P90">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109375" defaultRowHeight="15" x14ac:dyDescent="0.25"/>
  <sheetData>
    <row r="1" spans="1:16" x14ac:dyDescent="0.25">
      <c r="A1" s="6" t="s">
        <v>1538</v>
      </c>
      <c r="B1" s="6" t="s">
        <v>1553</v>
      </c>
      <c r="C1" s="7" t="s">
        <v>0</v>
      </c>
      <c r="D1" s="6" t="s">
        <v>1653</v>
      </c>
      <c r="E1" s="6" t="s">
        <v>2</v>
      </c>
      <c r="F1" s="6" t="s">
        <v>2012</v>
      </c>
      <c r="G1" s="6" t="s">
        <v>2010</v>
      </c>
      <c r="H1" s="6" t="s">
        <v>4</v>
      </c>
      <c r="I1" s="6" t="s">
        <v>6</v>
      </c>
      <c r="J1" s="6" t="s">
        <v>1540</v>
      </c>
      <c r="K1" s="6" t="s">
        <v>2979</v>
      </c>
      <c r="L1" s="6" t="s">
        <v>2984</v>
      </c>
      <c r="M1" s="6" t="s">
        <v>1542</v>
      </c>
      <c r="N1" s="9" t="s">
        <v>2482</v>
      </c>
      <c r="O1" s="9" t="s">
        <v>7</v>
      </c>
      <c r="P1" s="6" t="s">
        <v>1543</v>
      </c>
    </row>
    <row r="2" spans="1:16" x14ac:dyDescent="0.25">
      <c r="A2">
        <v>2023</v>
      </c>
      <c r="B2" t="s">
        <v>807</v>
      </c>
      <c r="C2" t="s">
        <v>261</v>
      </c>
      <c r="D2" t="s">
        <v>707</v>
      </c>
      <c r="E2" t="s">
        <v>707</v>
      </c>
      <c r="F2" t="s">
        <v>707</v>
      </c>
      <c r="G2" t="s">
        <v>1948</v>
      </c>
      <c r="H2" t="s">
        <v>233</v>
      </c>
      <c r="I2" t="s">
        <v>249</v>
      </c>
      <c r="J2" t="s">
        <v>376</v>
      </c>
      <c r="K2" t="s">
        <v>3081</v>
      </c>
      <c r="L2" t="s">
        <v>1714</v>
      </c>
      <c r="M2" t="s">
        <v>1958</v>
      </c>
      <c r="N2" s="10">
        <v>86073</v>
      </c>
      <c r="O2" s="10"/>
      <c r="P2" t="s">
        <v>1949</v>
      </c>
    </row>
    <row r="3" spans="1:16" x14ac:dyDescent="0.25">
      <c r="A3">
        <v>2023</v>
      </c>
      <c r="B3" t="s">
        <v>807</v>
      </c>
      <c r="C3" t="s">
        <v>261</v>
      </c>
      <c r="D3" t="s">
        <v>707</v>
      </c>
      <c r="E3" t="s">
        <v>707</v>
      </c>
      <c r="F3" t="s">
        <v>707</v>
      </c>
      <c r="G3" t="s">
        <v>1948</v>
      </c>
      <c r="H3" t="s">
        <v>233</v>
      </c>
      <c r="I3" t="s">
        <v>249</v>
      </c>
      <c r="J3" t="s">
        <v>376</v>
      </c>
      <c r="K3" t="s">
        <v>3081</v>
      </c>
      <c r="L3" t="s">
        <v>1840</v>
      </c>
      <c r="M3" t="s">
        <v>1958</v>
      </c>
      <c r="N3" s="10">
        <v>62126</v>
      </c>
      <c r="O3" s="10"/>
      <c r="P3" t="s">
        <v>1949</v>
      </c>
    </row>
    <row r="4" spans="1:16" x14ac:dyDescent="0.25">
      <c r="A4">
        <v>2023</v>
      </c>
      <c r="B4" t="s">
        <v>807</v>
      </c>
      <c r="C4" t="s">
        <v>261</v>
      </c>
      <c r="D4" t="s">
        <v>707</v>
      </c>
      <c r="E4" t="s">
        <v>707</v>
      </c>
      <c r="F4" t="s">
        <v>707</v>
      </c>
      <c r="G4" t="s">
        <v>1948</v>
      </c>
      <c r="H4" t="s">
        <v>233</v>
      </c>
      <c r="I4" t="s">
        <v>249</v>
      </c>
      <c r="J4" t="s">
        <v>376</v>
      </c>
      <c r="K4" t="s">
        <v>3081</v>
      </c>
      <c r="L4" t="s">
        <v>1955</v>
      </c>
      <c r="M4" t="s">
        <v>1958</v>
      </c>
      <c r="N4" s="10">
        <v>11721</v>
      </c>
      <c r="O4" s="10"/>
      <c r="P4" t="s">
        <v>1949</v>
      </c>
    </row>
    <row r="5" spans="1:16" x14ac:dyDescent="0.25">
      <c r="A5">
        <v>2023</v>
      </c>
      <c r="B5" t="s">
        <v>807</v>
      </c>
      <c r="C5" t="s">
        <v>261</v>
      </c>
      <c r="D5" t="s">
        <v>707</v>
      </c>
      <c r="E5" t="s">
        <v>707</v>
      </c>
      <c r="F5" t="s">
        <v>707</v>
      </c>
      <c r="G5" t="s">
        <v>1948</v>
      </c>
      <c r="H5" t="s">
        <v>233</v>
      </c>
      <c r="I5" t="s">
        <v>249</v>
      </c>
      <c r="J5" t="s">
        <v>376</v>
      </c>
      <c r="K5" t="s">
        <v>3081</v>
      </c>
      <c r="L5" t="s">
        <v>1956</v>
      </c>
      <c r="M5" t="s">
        <v>1958</v>
      </c>
      <c r="N5" s="10">
        <v>123</v>
      </c>
      <c r="O5" s="10"/>
      <c r="P5" t="s">
        <v>1949</v>
      </c>
    </row>
    <row r="6" spans="1:16" x14ac:dyDescent="0.25">
      <c r="A6">
        <v>2023</v>
      </c>
      <c r="B6" t="s">
        <v>807</v>
      </c>
      <c r="C6" t="s">
        <v>261</v>
      </c>
      <c r="D6" t="s">
        <v>707</v>
      </c>
      <c r="E6" t="s">
        <v>707</v>
      </c>
      <c r="F6" t="s">
        <v>707</v>
      </c>
      <c r="G6" t="s">
        <v>1948</v>
      </c>
      <c r="H6" t="s">
        <v>233</v>
      </c>
      <c r="I6" t="s">
        <v>249</v>
      </c>
      <c r="J6" t="s">
        <v>376</v>
      </c>
      <c r="K6" t="s">
        <v>3081</v>
      </c>
      <c r="L6" t="s">
        <v>1719</v>
      </c>
      <c r="M6" t="s">
        <v>1958</v>
      </c>
      <c r="N6" s="10">
        <v>4411</v>
      </c>
      <c r="O6" s="10"/>
      <c r="P6" t="s">
        <v>1949</v>
      </c>
    </row>
    <row r="7" spans="1:16" x14ac:dyDescent="0.25">
      <c r="A7">
        <v>2023</v>
      </c>
      <c r="B7" t="s">
        <v>807</v>
      </c>
      <c r="C7" t="s">
        <v>261</v>
      </c>
      <c r="D7" t="s">
        <v>707</v>
      </c>
      <c r="E7" t="s">
        <v>707</v>
      </c>
      <c r="F7" t="s">
        <v>707</v>
      </c>
      <c r="G7" t="s">
        <v>1948</v>
      </c>
      <c r="H7" t="s">
        <v>233</v>
      </c>
      <c r="I7" t="s">
        <v>249</v>
      </c>
      <c r="J7" t="s">
        <v>376</v>
      </c>
      <c r="K7" t="s">
        <v>3081</v>
      </c>
      <c r="L7" t="s">
        <v>1713</v>
      </c>
      <c r="M7" t="s">
        <v>1958</v>
      </c>
      <c r="N7" s="10">
        <v>601</v>
      </c>
      <c r="O7" s="10"/>
      <c r="P7" t="s">
        <v>1949</v>
      </c>
    </row>
    <row r="8" spans="1:16" x14ac:dyDescent="0.25">
      <c r="A8">
        <v>2023</v>
      </c>
      <c r="B8" t="s">
        <v>807</v>
      </c>
      <c r="C8" t="s">
        <v>261</v>
      </c>
      <c r="D8" t="s">
        <v>707</v>
      </c>
      <c r="E8" t="s">
        <v>707</v>
      </c>
      <c r="F8" t="s">
        <v>707</v>
      </c>
      <c r="G8" t="s">
        <v>1948</v>
      </c>
      <c r="H8" t="s">
        <v>233</v>
      </c>
      <c r="I8" t="s">
        <v>249</v>
      </c>
      <c r="J8" t="s">
        <v>376</v>
      </c>
      <c r="K8" t="s">
        <v>3081</v>
      </c>
      <c r="L8" t="s">
        <v>1957</v>
      </c>
      <c r="M8" t="s">
        <v>1958</v>
      </c>
      <c r="N8" s="10">
        <v>17</v>
      </c>
      <c r="O8" s="10"/>
      <c r="P8" t="s">
        <v>1949</v>
      </c>
    </row>
    <row r="9" spans="1:16" x14ac:dyDescent="0.25">
      <c r="A9">
        <v>2023</v>
      </c>
      <c r="B9" t="s">
        <v>807</v>
      </c>
      <c r="C9" t="s">
        <v>261</v>
      </c>
      <c r="D9" t="s">
        <v>707</v>
      </c>
      <c r="E9" t="s">
        <v>707</v>
      </c>
      <c r="F9" t="s">
        <v>707</v>
      </c>
      <c r="G9" t="s">
        <v>1948</v>
      </c>
      <c r="H9" t="s">
        <v>233</v>
      </c>
      <c r="I9" t="s">
        <v>249</v>
      </c>
      <c r="J9" t="s">
        <v>376</v>
      </c>
      <c r="K9" t="s">
        <v>3081</v>
      </c>
      <c r="L9" t="s">
        <v>1718</v>
      </c>
      <c r="M9" t="s">
        <v>1959</v>
      </c>
      <c r="N9" s="10">
        <v>40155</v>
      </c>
      <c r="O9" s="10"/>
      <c r="P9" t="s">
        <v>1949</v>
      </c>
    </row>
    <row r="10" spans="1:16" x14ac:dyDescent="0.25">
      <c r="A10">
        <v>2023</v>
      </c>
      <c r="B10" t="s">
        <v>807</v>
      </c>
      <c r="C10" t="s">
        <v>242</v>
      </c>
      <c r="D10" t="s">
        <v>707</v>
      </c>
      <c r="E10" t="s">
        <v>707</v>
      </c>
      <c r="F10" t="s">
        <v>707</v>
      </c>
      <c r="G10" t="s">
        <v>1981</v>
      </c>
      <c r="H10" t="s">
        <v>233</v>
      </c>
      <c r="I10" t="s">
        <v>245</v>
      </c>
      <c r="J10" t="s">
        <v>244</v>
      </c>
      <c r="K10" t="s">
        <v>3081</v>
      </c>
      <c r="L10" t="s">
        <v>1718</v>
      </c>
      <c r="M10" t="s">
        <v>402</v>
      </c>
      <c r="N10">
        <v>1673569.9000000001</v>
      </c>
      <c r="P10" t="s">
        <v>1886</v>
      </c>
    </row>
    <row r="11" spans="1:16" x14ac:dyDescent="0.25">
      <c r="A11">
        <v>2023</v>
      </c>
      <c r="B11" t="s">
        <v>807</v>
      </c>
      <c r="C11" t="s">
        <v>242</v>
      </c>
      <c r="D11" t="s">
        <v>707</v>
      </c>
      <c r="E11" t="s">
        <v>707</v>
      </c>
      <c r="F11" t="s">
        <v>707</v>
      </c>
      <c r="G11" t="s">
        <v>1981</v>
      </c>
      <c r="H11" t="s">
        <v>233</v>
      </c>
      <c r="I11" t="s">
        <v>245</v>
      </c>
      <c r="J11" t="s">
        <v>244</v>
      </c>
      <c r="K11" t="s">
        <v>3081</v>
      </c>
      <c r="L11" t="s">
        <v>1840</v>
      </c>
      <c r="M11" t="s">
        <v>402</v>
      </c>
      <c r="N11">
        <v>8367849.5</v>
      </c>
      <c r="P11" t="s">
        <v>1886</v>
      </c>
    </row>
    <row r="12" spans="1:16" x14ac:dyDescent="0.25">
      <c r="A12">
        <v>2023</v>
      </c>
      <c r="B12" t="s">
        <v>807</v>
      </c>
      <c r="C12" t="s">
        <v>242</v>
      </c>
      <c r="D12" t="s">
        <v>707</v>
      </c>
      <c r="E12" t="s">
        <v>707</v>
      </c>
      <c r="F12" t="s">
        <v>707</v>
      </c>
      <c r="G12" t="s">
        <v>1981</v>
      </c>
      <c r="H12" t="s">
        <v>233</v>
      </c>
      <c r="I12" t="s">
        <v>245</v>
      </c>
      <c r="J12" t="s">
        <v>244</v>
      </c>
      <c r="K12" t="s">
        <v>3081</v>
      </c>
      <c r="L12" t="s">
        <v>1714</v>
      </c>
      <c r="M12" t="s">
        <v>402</v>
      </c>
      <c r="N12">
        <v>12049703.279999999</v>
      </c>
      <c r="P12" t="s">
        <v>1886</v>
      </c>
    </row>
    <row r="13" spans="1:16" x14ac:dyDescent="0.25">
      <c r="A13">
        <v>2023</v>
      </c>
      <c r="B13" t="s">
        <v>807</v>
      </c>
      <c r="C13" t="s">
        <v>242</v>
      </c>
      <c r="D13" t="s">
        <v>707</v>
      </c>
      <c r="E13" t="s">
        <v>707</v>
      </c>
      <c r="F13" t="s">
        <v>707</v>
      </c>
      <c r="G13" t="s">
        <v>1981</v>
      </c>
      <c r="H13" t="s">
        <v>233</v>
      </c>
      <c r="I13" t="s">
        <v>245</v>
      </c>
      <c r="J13" t="s">
        <v>244</v>
      </c>
      <c r="K13" t="s">
        <v>3081</v>
      </c>
      <c r="L13" t="s">
        <v>1842</v>
      </c>
      <c r="M13" t="s">
        <v>402</v>
      </c>
      <c r="N13">
        <v>52215380.880000003</v>
      </c>
      <c r="P13" t="s">
        <v>1886</v>
      </c>
    </row>
    <row r="14" spans="1:16" x14ac:dyDescent="0.25">
      <c r="A14">
        <v>2023</v>
      </c>
      <c r="B14" t="s">
        <v>807</v>
      </c>
      <c r="C14" t="s">
        <v>208</v>
      </c>
      <c r="D14" t="s">
        <v>707</v>
      </c>
      <c r="E14" t="s">
        <v>707</v>
      </c>
      <c r="F14" t="s">
        <v>707</v>
      </c>
      <c r="G14" t="s">
        <v>1752</v>
      </c>
      <c r="H14" t="s">
        <v>720</v>
      </c>
      <c r="I14" t="s">
        <v>720</v>
      </c>
      <c r="J14" t="s">
        <v>210</v>
      </c>
      <c r="K14" t="s">
        <v>3081</v>
      </c>
      <c r="L14" t="s">
        <v>1759</v>
      </c>
      <c r="M14" t="s">
        <v>402</v>
      </c>
      <c r="N14" s="10">
        <v>3735798.7627457995</v>
      </c>
      <c r="O14" s="10"/>
      <c r="P14" t="s">
        <v>1847</v>
      </c>
    </row>
    <row r="15" spans="1:16" x14ac:dyDescent="0.25">
      <c r="A15">
        <v>2023</v>
      </c>
      <c r="B15" t="s">
        <v>807</v>
      </c>
      <c r="C15" t="s">
        <v>208</v>
      </c>
      <c r="D15" t="s">
        <v>707</v>
      </c>
      <c r="E15" t="s">
        <v>707</v>
      </c>
      <c r="F15" t="s">
        <v>707</v>
      </c>
      <c r="G15" t="s">
        <v>1752</v>
      </c>
      <c r="H15" t="s">
        <v>720</v>
      </c>
      <c r="I15" t="s">
        <v>720</v>
      </c>
      <c r="J15" t="s">
        <v>210</v>
      </c>
      <c r="K15" t="s">
        <v>3081</v>
      </c>
      <c r="L15" t="s">
        <v>1718</v>
      </c>
      <c r="M15" t="s">
        <v>402</v>
      </c>
      <c r="N15" s="10">
        <v>1643751.4556081519</v>
      </c>
      <c r="O15" s="10"/>
      <c r="P15" t="s">
        <v>1847</v>
      </c>
    </row>
    <row r="16" spans="1:16" x14ac:dyDescent="0.25">
      <c r="A16">
        <v>2024</v>
      </c>
      <c r="B16" t="s">
        <v>807</v>
      </c>
      <c r="C16" t="s">
        <v>795</v>
      </c>
      <c r="D16" t="s">
        <v>707</v>
      </c>
      <c r="E16" t="s">
        <v>707</v>
      </c>
      <c r="F16" t="s">
        <v>707</v>
      </c>
      <c r="G16" t="s">
        <v>1993</v>
      </c>
      <c r="H16" t="s">
        <v>11</v>
      </c>
      <c r="I16" t="s">
        <v>34</v>
      </c>
      <c r="J16" t="s">
        <v>157</v>
      </c>
      <c r="K16" t="s">
        <v>3081</v>
      </c>
      <c r="L16" t="s">
        <v>1719</v>
      </c>
      <c r="M16" t="s">
        <v>1780</v>
      </c>
      <c r="N16" s="10">
        <v>1515</v>
      </c>
      <c r="O16" s="10"/>
      <c r="P16" t="s">
        <v>2002</v>
      </c>
    </row>
    <row r="17" spans="1:16" x14ac:dyDescent="0.25">
      <c r="A17">
        <v>2024</v>
      </c>
      <c r="B17" t="s">
        <v>807</v>
      </c>
      <c r="C17" t="s">
        <v>795</v>
      </c>
      <c r="D17" t="s">
        <v>707</v>
      </c>
      <c r="E17" t="s">
        <v>707</v>
      </c>
      <c r="F17" t="s">
        <v>707</v>
      </c>
      <c r="G17" t="s">
        <v>1993</v>
      </c>
      <c r="H17" t="s">
        <v>11</v>
      </c>
      <c r="I17" t="s">
        <v>34</v>
      </c>
      <c r="J17" t="s">
        <v>157</v>
      </c>
      <c r="K17" t="s">
        <v>3081</v>
      </c>
      <c r="L17" t="s">
        <v>1714</v>
      </c>
      <c r="M17" t="s">
        <v>1780</v>
      </c>
      <c r="N17" s="10">
        <v>64</v>
      </c>
      <c r="O17" s="10"/>
      <c r="P17" t="s">
        <v>2002</v>
      </c>
    </row>
    <row r="18" spans="1:16" x14ac:dyDescent="0.25">
      <c r="A18">
        <v>2024</v>
      </c>
      <c r="B18" t="s">
        <v>807</v>
      </c>
      <c r="C18" t="s">
        <v>795</v>
      </c>
      <c r="D18" t="s">
        <v>707</v>
      </c>
      <c r="E18" t="s">
        <v>707</v>
      </c>
      <c r="F18" t="s">
        <v>707</v>
      </c>
      <c r="G18" t="s">
        <v>1993</v>
      </c>
      <c r="H18" t="s">
        <v>11</v>
      </c>
      <c r="I18" t="s">
        <v>34</v>
      </c>
      <c r="J18" t="s">
        <v>157</v>
      </c>
      <c r="K18" t="s">
        <v>3081</v>
      </c>
      <c r="L18" t="s">
        <v>1996</v>
      </c>
      <c r="M18" t="s">
        <v>1780</v>
      </c>
      <c r="N18" s="10">
        <v>66</v>
      </c>
      <c r="O18" s="10"/>
      <c r="P18" t="s">
        <v>2002</v>
      </c>
    </row>
    <row r="19" spans="1:16" x14ac:dyDescent="0.25">
      <c r="A19">
        <v>2024</v>
      </c>
      <c r="B19" t="s">
        <v>807</v>
      </c>
      <c r="C19" t="s">
        <v>795</v>
      </c>
      <c r="D19" t="s">
        <v>707</v>
      </c>
      <c r="E19" t="s">
        <v>707</v>
      </c>
      <c r="F19" t="s">
        <v>707</v>
      </c>
      <c r="G19" t="s">
        <v>1993</v>
      </c>
      <c r="H19" t="s">
        <v>11</v>
      </c>
      <c r="I19" t="s">
        <v>34</v>
      </c>
      <c r="J19" t="s">
        <v>157</v>
      </c>
      <c r="K19" t="s">
        <v>3081</v>
      </c>
      <c r="L19" t="s">
        <v>1718</v>
      </c>
      <c r="M19" t="s">
        <v>1780</v>
      </c>
      <c r="N19" s="10">
        <v>2063</v>
      </c>
      <c r="O19" s="10"/>
      <c r="P19" t="s">
        <v>2002</v>
      </c>
    </row>
    <row r="20" spans="1:16" x14ac:dyDescent="0.25">
      <c r="A20">
        <v>2023</v>
      </c>
      <c r="B20" t="s">
        <v>807</v>
      </c>
      <c r="C20" t="s">
        <v>754</v>
      </c>
      <c r="D20" t="s">
        <v>707</v>
      </c>
      <c r="E20" t="s">
        <v>707</v>
      </c>
      <c r="F20" t="s">
        <v>707</v>
      </c>
      <c r="G20" t="s">
        <v>2005</v>
      </c>
      <c r="H20" t="s">
        <v>11</v>
      </c>
      <c r="I20" t="s">
        <v>98</v>
      </c>
      <c r="J20" t="s">
        <v>147</v>
      </c>
      <c r="K20" t="s">
        <v>3081</v>
      </c>
      <c r="L20" t="s">
        <v>2006</v>
      </c>
      <c r="M20" s="10" t="s">
        <v>2007</v>
      </c>
      <c r="N20" s="10">
        <v>10.5</v>
      </c>
      <c r="O20" s="10"/>
      <c r="P20" t="s">
        <v>1904</v>
      </c>
    </row>
    <row r="21" spans="1:16" x14ac:dyDescent="0.25">
      <c r="A21">
        <v>2023</v>
      </c>
      <c r="B21" t="s">
        <v>807</v>
      </c>
      <c r="C21" t="s">
        <v>754</v>
      </c>
      <c r="D21" t="s">
        <v>707</v>
      </c>
      <c r="E21" t="s">
        <v>707</v>
      </c>
      <c r="F21" t="s">
        <v>707</v>
      </c>
      <c r="G21" t="s">
        <v>2005</v>
      </c>
      <c r="H21" t="s">
        <v>11</v>
      </c>
      <c r="I21" t="s">
        <v>98</v>
      </c>
      <c r="J21" t="s">
        <v>147</v>
      </c>
      <c r="K21" t="s">
        <v>3081</v>
      </c>
      <c r="L21" t="s">
        <v>1718</v>
      </c>
      <c r="M21" s="10" t="s">
        <v>2007</v>
      </c>
      <c r="N21" s="10">
        <v>3.1</v>
      </c>
      <c r="O21" s="10"/>
      <c r="P21" t="s">
        <v>1904</v>
      </c>
    </row>
    <row r="22" spans="1:16" x14ac:dyDescent="0.25">
      <c r="A22">
        <v>2023</v>
      </c>
      <c r="B22" t="s">
        <v>807</v>
      </c>
      <c r="C22" t="s">
        <v>754</v>
      </c>
      <c r="D22" t="s">
        <v>707</v>
      </c>
      <c r="E22" t="s">
        <v>707</v>
      </c>
      <c r="F22" t="s">
        <v>707</v>
      </c>
      <c r="G22" t="s">
        <v>2005</v>
      </c>
      <c r="H22" t="s">
        <v>11</v>
      </c>
      <c r="I22" t="s">
        <v>98</v>
      </c>
      <c r="J22" t="s">
        <v>147</v>
      </c>
      <c r="K22" t="s">
        <v>3081</v>
      </c>
      <c r="L22" t="s">
        <v>2008</v>
      </c>
      <c r="M22" s="10" t="s">
        <v>2007</v>
      </c>
      <c r="N22" s="10">
        <v>0.3</v>
      </c>
      <c r="O22" s="10"/>
      <c r="P22" t="s">
        <v>1904</v>
      </c>
    </row>
    <row r="23" spans="1:16" x14ac:dyDescent="0.25">
      <c r="A23">
        <v>2023</v>
      </c>
      <c r="B23" t="s">
        <v>807</v>
      </c>
      <c r="C23" t="s">
        <v>715</v>
      </c>
      <c r="D23" t="s">
        <v>707</v>
      </c>
      <c r="E23" t="s">
        <v>707</v>
      </c>
      <c r="F23" t="s">
        <v>707</v>
      </c>
      <c r="G23" t="s">
        <v>2086</v>
      </c>
      <c r="H23" t="s">
        <v>1846</v>
      </c>
      <c r="I23" t="s">
        <v>720</v>
      </c>
      <c r="J23" t="s">
        <v>720</v>
      </c>
      <c r="K23" t="s">
        <v>3081</v>
      </c>
      <c r="L23" t="s">
        <v>1840</v>
      </c>
      <c r="M23" t="s">
        <v>2435</v>
      </c>
      <c r="N23" s="10">
        <v>25.8</v>
      </c>
      <c r="O23" s="10"/>
      <c r="P23" t="s">
        <v>2447</v>
      </c>
    </row>
    <row r="24" spans="1:16" x14ac:dyDescent="0.25">
      <c r="A24">
        <v>2023</v>
      </c>
      <c r="B24" t="s">
        <v>807</v>
      </c>
      <c r="C24" t="s">
        <v>715</v>
      </c>
      <c r="D24" t="s">
        <v>707</v>
      </c>
      <c r="E24" t="s">
        <v>707</v>
      </c>
      <c r="F24" t="s">
        <v>707</v>
      </c>
      <c r="G24" t="s">
        <v>2086</v>
      </c>
      <c r="H24" t="s">
        <v>1846</v>
      </c>
      <c r="I24" t="s">
        <v>720</v>
      </c>
      <c r="J24" t="s">
        <v>720</v>
      </c>
      <c r="K24" t="s">
        <v>3081</v>
      </c>
      <c r="L24" t="s">
        <v>2436</v>
      </c>
      <c r="M24" t="s">
        <v>2435</v>
      </c>
      <c r="N24" s="10">
        <v>23.22</v>
      </c>
      <c r="O24" s="10"/>
      <c r="P24" t="s">
        <v>2447</v>
      </c>
    </row>
    <row r="25" spans="1:16" x14ac:dyDescent="0.25">
      <c r="A25">
        <v>2023</v>
      </c>
      <c r="B25" t="s">
        <v>807</v>
      </c>
      <c r="C25" t="s">
        <v>715</v>
      </c>
      <c r="D25" t="s">
        <v>707</v>
      </c>
      <c r="E25" t="s">
        <v>707</v>
      </c>
      <c r="F25" t="s">
        <v>707</v>
      </c>
      <c r="G25" t="s">
        <v>2086</v>
      </c>
      <c r="H25" t="s">
        <v>1846</v>
      </c>
      <c r="I25" t="s">
        <v>720</v>
      </c>
      <c r="J25" t="s">
        <v>720</v>
      </c>
      <c r="K25" t="s">
        <v>3081</v>
      </c>
      <c r="L25" t="s">
        <v>2437</v>
      </c>
      <c r="M25" t="s">
        <v>2435</v>
      </c>
      <c r="N25" s="10">
        <v>77.399999999999991</v>
      </c>
      <c r="O25" s="10"/>
      <c r="P25" t="s">
        <v>2447</v>
      </c>
    </row>
    <row r="26" spans="1:16" x14ac:dyDescent="0.25">
      <c r="A26">
        <v>2023</v>
      </c>
      <c r="B26" t="s">
        <v>807</v>
      </c>
      <c r="C26" t="s">
        <v>715</v>
      </c>
      <c r="D26" t="s">
        <v>707</v>
      </c>
      <c r="E26" t="s">
        <v>707</v>
      </c>
      <c r="F26" t="s">
        <v>707</v>
      </c>
      <c r="G26" t="s">
        <v>2086</v>
      </c>
      <c r="H26" t="s">
        <v>1846</v>
      </c>
      <c r="I26" t="s">
        <v>720</v>
      </c>
      <c r="J26" t="s">
        <v>720</v>
      </c>
      <c r="K26" t="s">
        <v>3081</v>
      </c>
      <c r="L26" t="s">
        <v>2438</v>
      </c>
      <c r="M26" t="s">
        <v>2435</v>
      </c>
      <c r="N26" s="10">
        <v>7.7399999999999993</v>
      </c>
      <c r="O26" s="10"/>
      <c r="P26" t="s">
        <v>2447</v>
      </c>
    </row>
    <row r="27" spans="1:16" x14ac:dyDescent="0.25">
      <c r="A27">
        <v>2023</v>
      </c>
      <c r="B27" t="s">
        <v>807</v>
      </c>
      <c r="C27" t="s">
        <v>715</v>
      </c>
      <c r="D27" t="s">
        <v>707</v>
      </c>
      <c r="E27" t="s">
        <v>707</v>
      </c>
      <c r="F27" t="s">
        <v>707</v>
      </c>
      <c r="G27" t="s">
        <v>2086</v>
      </c>
      <c r="H27" t="s">
        <v>1846</v>
      </c>
      <c r="I27" t="s">
        <v>720</v>
      </c>
      <c r="J27" t="s">
        <v>720</v>
      </c>
      <c r="K27" t="s">
        <v>3081</v>
      </c>
      <c r="L27" t="s">
        <v>2439</v>
      </c>
      <c r="M27" t="s">
        <v>2435</v>
      </c>
      <c r="N27" s="10">
        <v>1.29</v>
      </c>
      <c r="O27" s="10"/>
      <c r="P27" t="s">
        <v>2447</v>
      </c>
    </row>
    <row r="28" spans="1:16" x14ac:dyDescent="0.25">
      <c r="A28">
        <v>2023</v>
      </c>
      <c r="B28" t="s">
        <v>807</v>
      </c>
      <c r="C28" t="s">
        <v>715</v>
      </c>
      <c r="D28" t="s">
        <v>707</v>
      </c>
      <c r="E28" t="s">
        <v>707</v>
      </c>
      <c r="F28" t="s">
        <v>707</v>
      </c>
      <c r="G28" t="s">
        <v>2086</v>
      </c>
      <c r="H28" t="s">
        <v>1846</v>
      </c>
      <c r="I28" t="s">
        <v>720</v>
      </c>
      <c r="J28" t="s">
        <v>376</v>
      </c>
      <c r="K28" t="s">
        <v>3081</v>
      </c>
      <c r="L28" t="s">
        <v>1779</v>
      </c>
      <c r="M28" t="s">
        <v>2435</v>
      </c>
      <c r="N28" s="10">
        <v>5.9999999999999995E-4</v>
      </c>
      <c r="O28" s="10"/>
      <c r="P28" t="s">
        <v>2447</v>
      </c>
    </row>
    <row r="29" spans="1:16" x14ac:dyDescent="0.25">
      <c r="A29">
        <v>2023</v>
      </c>
      <c r="B29" t="s">
        <v>807</v>
      </c>
      <c r="C29" t="s">
        <v>715</v>
      </c>
      <c r="D29" t="s">
        <v>707</v>
      </c>
      <c r="E29" t="s">
        <v>707</v>
      </c>
      <c r="F29" t="s">
        <v>707</v>
      </c>
      <c r="G29" t="s">
        <v>2086</v>
      </c>
      <c r="H29" t="s">
        <v>1846</v>
      </c>
      <c r="I29" t="s">
        <v>720</v>
      </c>
      <c r="J29" t="s">
        <v>125</v>
      </c>
      <c r="K29" t="s">
        <v>3081</v>
      </c>
      <c r="L29" t="s">
        <v>1779</v>
      </c>
      <c r="M29" t="s">
        <v>2435</v>
      </c>
      <c r="N29" s="10">
        <v>15</v>
      </c>
      <c r="O29" s="10"/>
      <c r="P29" t="s">
        <v>2447</v>
      </c>
    </row>
    <row r="30" spans="1:16" x14ac:dyDescent="0.25">
      <c r="A30">
        <v>2023</v>
      </c>
      <c r="B30" t="s">
        <v>807</v>
      </c>
      <c r="C30" t="s">
        <v>715</v>
      </c>
      <c r="D30" t="s">
        <v>707</v>
      </c>
      <c r="E30" t="s">
        <v>707</v>
      </c>
      <c r="F30" t="s">
        <v>707</v>
      </c>
      <c r="G30" t="s">
        <v>2086</v>
      </c>
      <c r="H30" t="s">
        <v>1846</v>
      </c>
      <c r="I30" t="s">
        <v>720</v>
      </c>
      <c r="J30" t="s">
        <v>2440</v>
      </c>
      <c r="K30" t="s">
        <v>3081</v>
      </c>
      <c r="L30" t="s">
        <v>1779</v>
      </c>
      <c r="M30" t="s">
        <v>2435</v>
      </c>
      <c r="N30" s="10">
        <v>6</v>
      </c>
      <c r="O30" s="10"/>
      <c r="P30" t="s">
        <v>2447</v>
      </c>
    </row>
    <row r="31" spans="1:16" x14ac:dyDescent="0.25">
      <c r="A31">
        <v>2023</v>
      </c>
      <c r="B31" t="s">
        <v>807</v>
      </c>
      <c r="C31" t="s">
        <v>715</v>
      </c>
      <c r="D31" t="s">
        <v>707</v>
      </c>
      <c r="E31" t="s">
        <v>707</v>
      </c>
      <c r="F31" t="s">
        <v>707</v>
      </c>
      <c r="G31" t="s">
        <v>2086</v>
      </c>
      <c r="H31" t="s">
        <v>1846</v>
      </c>
      <c r="I31" t="s">
        <v>720</v>
      </c>
      <c r="J31" t="s">
        <v>557</v>
      </c>
      <c r="K31" t="s">
        <v>3081</v>
      </c>
      <c r="L31" t="s">
        <v>1779</v>
      </c>
      <c r="M31" t="s">
        <v>2435</v>
      </c>
      <c r="N31" s="10">
        <v>34</v>
      </c>
      <c r="O31" s="10"/>
      <c r="P31" t="s">
        <v>2447</v>
      </c>
    </row>
    <row r="32" spans="1:16" x14ac:dyDescent="0.25">
      <c r="A32">
        <v>2023</v>
      </c>
      <c r="B32" t="s">
        <v>807</v>
      </c>
      <c r="C32" t="s">
        <v>715</v>
      </c>
      <c r="D32" t="s">
        <v>707</v>
      </c>
      <c r="E32" t="s">
        <v>707</v>
      </c>
      <c r="F32" t="s">
        <v>707</v>
      </c>
      <c r="G32" t="s">
        <v>2086</v>
      </c>
      <c r="H32" t="s">
        <v>1846</v>
      </c>
      <c r="I32" t="s">
        <v>720</v>
      </c>
      <c r="J32" t="s">
        <v>1551</v>
      </c>
      <c r="K32" t="s">
        <v>3081</v>
      </c>
      <c r="L32" t="s">
        <v>1779</v>
      </c>
      <c r="M32" t="s">
        <v>2435</v>
      </c>
      <c r="N32" s="10">
        <v>19</v>
      </c>
      <c r="O32" s="10"/>
      <c r="P32" t="s">
        <v>2447</v>
      </c>
    </row>
    <row r="33" spans="1:16" x14ac:dyDescent="0.25">
      <c r="A33">
        <v>2023</v>
      </c>
      <c r="B33" t="s">
        <v>807</v>
      </c>
      <c r="C33" t="s">
        <v>715</v>
      </c>
      <c r="D33" t="s">
        <v>707</v>
      </c>
      <c r="E33" t="s">
        <v>707</v>
      </c>
      <c r="F33" t="s">
        <v>707</v>
      </c>
      <c r="G33" t="s">
        <v>2086</v>
      </c>
      <c r="H33" t="s">
        <v>1846</v>
      </c>
      <c r="I33" t="s">
        <v>720</v>
      </c>
      <c r="J33" t="s">
        <v>720</v>
      </c>
      <c r="K33" t="s">
        <v>3081</v>
      </c>
      <c r="L33" t="s">
        <v>2441</v>
      </c>
      <c r="M33" t="s">
        <v>2435</v>
      </c>
      <c r="N33" s="10">
        <v>8</v>
      </c>
      <c r="O33" s="10"/>
      <c r="P33" t="s">
        <v>2447</v>
      </c>
    </row>
    <row r="34" spans="1:16" x14ac:dyDescent="0.25">
      <c r="A34">
        <v>2023</v>
      </c>
      <c r="B34" t="s">
        <v>807</v>
      </c>
      <c r="C34" t="s">
        <v>715</v>
      </c>
      <c r="D34" t="s">
        <v>707</v>
      </c>
      <c r="E34" t="s">
        <v>707</v>
      </c>
      <c r="F34" t="s">
        <v>707</v>
      </c>
      <c r="G34" t="s">
        <v>2086</v>
      </c>
      <c r="H34" t="s">
        <v>1846</v>
      </c>
      <c r="I34" t="s">
        <v>720</v>
      </c>
      <c r="J34" t="s">
        <v>376</v>
      </c>
      <c r="K34" t="s">
        <v>3081</v>
      </c>
      <c r="L34" t="s">
        <v>2442</v>
      </c>
      <c r="M34" t="s">
        <v>2435</v>
      </c>
      <c r="N34" s="10" t="s">
        <v>707</v>
      </c>
      <c r="O34" s="10"/>
      <c r="P34" t="s">
        <v>2447</v>
      </c>
    </row>
    <row r="35" spans="1:16" x14ac:dyDescent="0.25">
      <c r="A35">
        <v>2023</v>
      </c>
      <c r="B35" t="s">
        <v>807</v>
      </c>
      <c r="C35" t="s">
        <v>715</v>
      </c>
      <c r="D35" t="s">
        <v>707</v>
      </c>
      <c r="E35" t="s">
        <v>707</v>
      </c>
      <c r="F35" t="s">
        <v>707</v>
      </c>
      <c r="G35" t="s">
        <v>2086</v>
      </c>
      <c r="H35" t="s">
        <v>1846</v>
      </c>
      <c r="I35" t="s">
        <v>720</v>
      </c>
      <c r="J35" t="s">
        <v>125</v>
      </c>
      <c r="K35" t="s">
        <v>3081</v>
      </c>
      <c r="L35" t="s">
        <v>2442</v>
      </c>
      <c r="M35" t="s">
        <v>2435</v>
      </c>
      <c r="N35" s="10">
        <v>11</v>
      </c>
      <c r="O35" s="10"/>
      <c r="P35" t="s">
        <v>2447</v>
      </c>
    </row>
    <row r="36" spans="1:16" x14ac:dyDescent="0.25">
      <c r="A36">
        <v>2023</v>
      </c>
      <c r="B36" t="s">
        <v>807</v>
      </c>
      <c r="C36" t="s">
        <v>715</v>
      </c>
      <c r="D36" t="s">
        <v>707</v>
      </c>
      <c r="E36" t="s">
        <v>707</v>
      </c>
      <c r="F36" t="s">
        <v>707</v>
      </c>
      <c r="G36" t="s">
        <v>2086</v>
      </c>
      <c r="H36" t="s">
        <v>1846</v>
      </c>
      <c r="I36" t="s">
        <v>720</v>
      </c>
      <c r="J36" t="s">
        <v>2440</v>
      </c>
      <c r="K36" t="s">
        <v>3081</v>
      </c>
      <c r="L36" t="s">
        <v>2442</v>
      </c>
      <c r="M36" t="s">
        <v>2435</v>
      </c>
      <c r="N36" s="10">
        <v>19</v>
      </c>
      <c r="O36" s="10"/>
      <c r="P36" t="s">
        <v>2447</v>
      </c>
    </row>
    <row r="37" spans="1:16" x14ac:dyDescent="0.25">
      <c r="A37">
        <v>2023</v>
      </c>
      <c r="B37" t="s">
        <v>807</v>
      </c>
      <c r="C37" t="s">
        <v>715</v>
      </c>
      <c r="D37" t="s">
        <v>707</v>
      </c>
      <c r="E37" t="s">
        <v>707</v>
      </c>
      <c r="F37" t="s">
        <v>707</v>
      </c>
      <c r="G37" t="s">
        <v>2086</v>
      </c>
      <c r="H37" t="s">
        <v>1846</v>
      </c>
      <c r="I37" t="s">
        <v>720</v>
      </c>
      <c r="J37" t="s">
        <v>557</v>
      </c>
      <c r="K37" t="s">
        <v>3081</v>
      </c>
      <c r="L37" t="s">
        <v>2442</v>
      </c>
      <c r="M37" t="s">
        <v>2435</v>
      </c>
      <c r="N37" s="10">
        <v>5</v>
      </c>
      <c r="O37" s="10"/>
      <c r="P37" t="s">
        <v>2447</v>
      </c>
    </row>
    <row r="38" spans="1:16" x14ac:dyDescent="0.25">
      <c r="A38">
        <v>2023</v>
      </c>
      <c r="B38" t="s">
        <v>807</v>
      </c>
      <c r="C38" t="s">
        <v>715</v>
      </c>
      <c r="D38" t="s">
        <v>707</v>
      </c>
      <c r="E38" t="s">
        <v>707</v>
      </c>
      <c r="F38" t="s">
        <v>707</v>
      </c>
      <c r="G38" t="s">
        <v>2086</v>
      </c>
      <c r="H38" t="s">
        <v>1846</v>
      </c>
      <c r="I38" t="s">
        <v>720</v>
      </c>
      <c r="J38" t="s">
        <v>1551</v>
      </c>
      <c r="K38" t="s">
        <v>3081</v>
      </c>
      <c r="L38" t="s">
        <v>2442</v>
      </c>
      <c r="M38" t="s">
        <v>2435</v>
      </c>
      <c r="N38" s="10">
        <v>34</v>
      </c>
      <c r="O38" s="10"/>
      <c r="P38" t="s">
        <v>2447</v>
      </c>
    </row>
    <row r="39" spans="1:16" x14ac:dyDescent="0.25">
      <c r="A39">
        <v>2023</v>
      </c>
      <c r="B39" t="s">
        <v>807</v>
      </c>
      <c r="C39" t="s">
        <v>715</v>
      </c>
      <c r="D39" t="s">
        <v>707</v>
      </c>
      <c r="E39" t="s">
        <v>707</v>
      </c>
      <c r="F39" t="s">
        <v>707</v>
      </c>
      <c r="G39" t="s">
        <v>2086</v>
      </c>
      <c r="H39" t="s">
        <v>1846</v>
      </c>
      <c r="I39" t="s">
        <v>720</v>
      </c>
      <c r="J39" t="s">
        <v>720</v>
      </c>
      <c r="K39" t="s">
        <v>3081</v>
      </c>
      <c r="L39" t="s">
        <v>2443</v>
      </c>
      <c r="M39" t="s">
        <v>2435</v>
      </c>
      <c r="N39" s="10">
        <v>10</v>
      </c>
      <c r="O39" s="10"/>
      <c r="P39" t="s">
        <v>2447</v>
      </c>
    </row>
    <row r="40" spans="1:16" x14ac:dyDescent="0.25">
      <c r="A40">
        <v>2023</v>
      </c>
      <c r="B40" t="s">
        <v>807</v>
      </c>
      <c r="C40" t="s">
        <v>717</v>
      </c>
      <c r="D40" t="s">
        <v>707</v>
      </c>
      <c r="E40" t="s">
        <v>707</v>
      </c>
      <c r="F40" t="s">
        <v>707</v>
      </c>
      <c r="G40" t="s">
        <v>1848</v>
      </c>
      <c r="H40" t="s">
        <v>720</v>
      </c>
      <c r="I40" t="s">
        <v>720</v>
      </c>
      <c r="J40" t="s">
        <v>720</v>
      </c>
      <c r="K40" t="s">
        <v>3081</v>
      </c>
      <c r="L40" t="s">
        <v>1713</v>
      </c>
      <c r="M40" t="s">
        <v>1780</v>
      </c>
      <c r="N40" s="10">
        <v>287</v>
      </c>
      <c r="O40" s="10"/>
      <c r="P40" t="s">
        <v>1781</v>
      </c>
    </row>
    <row r="41" spans="1:16" x14ac:dyDescent="0.25">
      <c r="A41">
        <v>2023</v>
      </c>
      <c r="B41" t="s">
        <v>807</v>
      </c>
      <c r="C41" t="s">
        <v>717</v>
      </c>
      <c r="D41" t="s">
        <v>707</v>
      </c>
      <c r="E41" t="s">
        <v>707</v>
      </c>
      <c r="F41" t="s">
        <v>707</v>
      </c>
      <c r="G41" t="s">
        <v>1848</v>
      </c>
      <c r="H41" t="s">
        <v>720</v>
      </c>
      <c r="I41" t="s">
        <v>720</v>
      </c>
      <c r="J41" t="s">
        <v>720</v>
      </c>
      <c r="K41" t="s">
        <v>3081</v>
      </c>
      <c r="L41" t="s">
        <v>1719</v>
      </c>
      <c r="M41" t="s">
        <v>1780</v>
      </c>
      <c r="N41" s="10">
        <v>2214</v>
      </c>
      <c r="O41" s="10"/>
      <c r="P41" t="s">
        <v>1781</v>
      </c>
    </row>
    <row r="42" spans="1:16" x14ac:dyDescent="0.25">
      <c r="A42">
        <v>2023</v>
      </c>
      <c r="B42" t="s">
        <v>807</v>
      </c>
      <c r="C42" t="s">
        <v>717</v>
      </c>
      <c r="D42" t="s">
        <v>707</v>
      </c>
      <c r="E42" t="s">
        <v>707</v>
      </c>
      <c r="F42" t="s">
        <v>707</v>
      </c>
      <c r="G42" t="s">
        <v>1848</v>
      </c>
      <c r="H42" t="s">
        <v>720</v>
      </c>
      <c r="I42" t="s">
        <v>720</v>
      </c>
      <c r="J42" t="s">
        <v>720</v>
      </c>
      <c r="K42" t="s">
        <v>3081</v>
      </c>
      <c r="L42" t="s">
        <v>1720</v>
      </c>
      <c r="M42" t="s">
        <v>1780</v>
      </c>
      <c r="N42" s="10">
        <v>10</v>
      </c>
      <c r="O42" s="10"/>
      <c r="P42" t="s">
        <v>1781</v>
      </c>
    </row>
    <row r="43" spans="1:16" x14ac:dyDescent="0.25">
      <c r="A43">
        <v>2023</v>
      </c>
      <c r="B43" t="s">
        <v>807</v>
      </c>
      <c r="C43" t="s">
        <v>717</v>
      </c>
      <c r="D43" t="s">
        <v>707</v>
      </c>
      <c r="E43" t="s">
        <v>707</v>
      </c>
      <c r="F43" t="s">
        <v>707</v>
      </c>
      <c r="G43" t="s">
        <v>1848</v>
      </c>
      <c r="H43" t="s">
        <v>720</v>
      </c>
      <c r="I43" t="s">
        <v>720</v>
      </c>
      <c r="J43" t="s">
        <v>720</v>
      </c>
      <c r="K43" t="s">
        <v>3081</v>
      </c>
      <c r="L43" t="s">
        <v>1779</v>
      </c>
      <c r="M43" t="s">
        <v>1780</v>
      </c>
      <c r="N43" s="10">
        <v>2513</v>
      </c>
      <c r="O43" s="10"/>
      <c r="P43" t="s">
        <v>1781</v>
      </c>
    </row>
    <row r="44" spans="1:16" x14ac:dyDescent="0.25">
      <c r="A44">
        <v>2023</v>
      </c>
      <c r="B44" t="s">
        <v>807</v>
      </c>
      <c r="C44" t="s">
        <v>101</v>
      </c>
      <c r="D44" t="s">
        <v>707</v>
      </c>
      <c r="E44" t="s">
        <v>707</v>
      </c>
      <c r="F44" t="s">
        <v>707</v>
      </c>
      <c r="G44" t="s">
        <v>1845</v>
      </c>
      <c r="H44" t="s">
        <v>1846</v>
      </c>
      <c r="I44" t="s">
        <v>720</v>
      </c>
      <c r="J44" t="s">
        <v>720</v>
      </c>
      <c r="K44" t="s">
        <v>3081</v>
      </c>
      <c r="L44" t="s">
        <v>1719</v>
      </c>
      <c r="M44" t="s">
        <v>1780</v>
      </c>
      <c r="N44" s="10">
        <v>6314</v>
      </c>
      <c r="O44" s="10"/>
      <c r="P44" t="s">
        <v>1844</v>
      </c>
    </row>
    <row r="45" spans="1:16" x14ac:dyDescent="0.25">
      <c r="A45">
        <v>2023</v>
      </c>
      <c r="B45" t="s">
        <v>807</v>
      </c>
      <c r="C45" t="s">
        <v>101</v>
      </c>
      <c r="D45" t="s">
        <v>707</v>
      </c>
      <c r="E45" t="s">
        <v>707</v>
      </c>
      <c r="F45" t="s">
        <v>707</v>
      </c>
      <c r="G45" t="s">
        <v>1845</v>
      </c>
      <c r="H45" t="s">
        <v>1846</v>
      </c>
      <c r="I45" t="s">
        <v>720</v>
      </c>
      <c r="J45" t="s">
        <v>720</v>
      </c>
      <c r="K45" t="s">
        <v>3081</v>
      </c>
      <c r="L45" t="s">
        <v>1720</v>
      </c>
      <c r="M45" t="s">
        <v>1780</v>
      </c>
      <c r="N45" s="10">
        <v>54</v>
      </c>
      <c r="O45" s="10"/>
      <c r="P45" t="s">
        <v>1844</v>
      </c>
    </row>
    <row r="46" spans="1:16" x14ac:dyDescent="0.25">
      <c r="A46">
        <v>2023</v>
      </c>
      <c r="B46" t="s">
        <v>807</v>
      </c>
      <c r="C46" t="s">
        <v>101</v>
      </c>
      <c r="D46" t="s">
        <v>707</v>
      </c>
      <c r="E46" t="s">
        <v>707</v>
      </c>
      <c r="F46" t="s">
        <v>707</v>
      </c>
      <c r="G46" t="s">
        <v>1845</v>
      </c>
      <c r="H46" t="s">
        <v>1846</v>
      </c>
      <c r="I46" t="s">
        <v>720</v>
      </c>
      <c r="J46" t="s">
        <v>720</v>
      </c>
      <c r="K46" t="s">
        <v>3081</v>
      </c>
      <c r="L46" t="s">
        <v>1840</v>
      </c>
      <c r="M46" t="s">
        <v>1780</v>
      </c>
      <c r="N46" s="10">
        <v>2306</v>
      </c>
      <c r="O46" s="10"/>
      <c r="P46" t="s">
        <v>1844</v>
      </c>
    </row>
    <row r="47" spans="1:16" x14ac:dyDescent="0.25">
      <c r="A47">
        <v>2023</v>
      </c>
      <c r="B47" t="s">
        <v>807</v>
      </c>
      <c r="C47" t="s">
        <v>101</v>
      </c>
      <c r="D47" t="s">
        <v>707</v>
      </c>
      <c r="E47" t="s">
        <v>707</v>
      </c>
      <c r="F47" t="s">
        <v>707</v>
      </c>
      <c r="G47" t="s">
        <v>1845</v>
      </c>
      <c r="H47" t="s">
        <v>1846</v>
      </c>
      <c r="I47" t="s">
        <v>720</v>
      </c>
      <c r="J47" t="s">
        <v>720</v>
      </c>
      <c r="K47" t="s">
        <v>3081</v>
      </c>
      <c r="L47" t="s">
        <v>1714</v>
      </c>
      <c r="M47" t="s">
        <v>1780</v>
      </c>
      <c r="N47" s="10">
        <v>2089</v>
      </c>
      <c r="O47" s="10"/>
      <c r="P47" t="s">
        <v>1844</v>
      </c>
    </row>
    <row r="48" spans="1:16" x14ac:dyDescent="0.25">
      <c r="A48">
        <v>2023</v>
      </c>
      <c r="B48" t="s">
        <v>807</v>
      </c>
      <c r="C48" t="s">
        <v>101</v>
      </c>
      <c r="D48" t="s">
        <v>707</v>
      </c>
      <c r="E48" t="s">
        <v>707</v>
      </c>
      <c r="F48" t="s">
        <v>707</v>
      </c>
      <c r="G48" t="s">
        <v>1845</v>
      </c>
      <c r="H48" t="s">
        <v>1846</v>
      </c>
      <c r="I48" t="s">
        <v>720</v>
      </c>
      <c r="J48" t="s">
        <v>720</v>
      </c>
      <c r="K48" t="s">
        <v>3081</v>
      </c>
      <c r="L48" t="s">
        <v>1841</v>
      </c>
      <c r="M48" t="s">
        <v>1780</v>
      </c>
      <c r="N48" s="10">
        <v>246</v>
      </c>
      <c r="O48" s="10"/>
      <c r="P48" t="s">
        <v>1844</v>
      </c>
    </row>
    <row r="49" spans="1:20" x14ac:dyDescent="0.25">
      <c r="A49">
        <v>2023</v>
      </c>
      <c r="B49" t="s">
        <v>807</v>
      </c>
      <c r="C49" t="s">
        <v>101</v>
      </c>
      <c r="D49" t="s">
        <v>707</v>
      </c>
      <c r="E49" t="s">
        <v>707</v>
      </c>
      <c r="F49" t="s">
        <v>707</v>
      </c>
      <c r="G49" t="s">
        <v>1845</v>
      </c>
      <c r="H49" t="s">
        <v>1846</v>
      </c>
      <c r="I49" t="s">
        <v>720</v>
      </c>
      <c r="J49" t="s">
        <v>720</v>
      </c>
      <c r="K49" t="s">
        <v>3081</v>
      </c>
      <c r="L49" t="s">
        <v>1842</v>
      </c>
      <c r="M49" t="s">
        <v>1780</v>
      </c>
      <c r="N49" s="10">
        <v>395</v>
      </c>
      <c r="O49" s="10"/>
      <c r="P49" t="s">
        <v>1844</v>
      </c>
    </row>
    <row r="50" spans="1:20" x14ac:dyDescent="0.25">
      <c r="A50">
        <v>2023</v>
      </c>
      <c r="B50" t="s">
        <v>807</v>
      </c>
      <c r="C50" t="s">
        <v>101</v>
      </c>
      <c r="D50" t="s">
        <v>707</v>
      </c>
      <c r="E50" t="s">
        <v>707</v>
      </c>
      <c r="F50" t="s">
        <v>707</v>
      </c>
      <c r="G50" t="s">
        <v>1845</v>
      </c>
      <c r="H50" t="s">
        <v>1846</v>
      </c>
      <c r="I50" t="s">
        <v>720</v>
      </c>
      <c r="J50" t="s">
        <v>720</v>
      </c>
      <c r="K50" t="s">
        <v>3081</v>
      </c>
      <c r="L50" t="s">
        <v>1924</v>
      </c>
      <c r="M50" t="s">
        <v>1780</v>
      </c>
      <c r="N50" s="10">
        <v>13148</v>
      </c>
      <c r="O50" s="10"/>
      <c r="P50" t="s">
        <v>1844</v>
      </c>
    </row>
    <row r="51" spans="1:20" x14ac:dyDescent="0.25">
      <c r="A51">
        <v>2024</v>
      </c>
      <c r="B51" t="s">
        <v>807</v>
      </c>
      <c r="C51" t="s">
        <v>718</v>
      </c>
      <c r="D51" t="s">
        <v>707</v>
      </c>
      <c r="E51" t="s">
        <v>707</v>
      </c>
      <c r="F51" t="s">
        <v>707</v>
      </c>
      <c r="G51" t="s">
        <v>2149</v>
      </c>
      <c r="H51" t="s">
        <v>1846</v>
      </c>
      <c r="I51" t="s">
        <v>720</v>
      </c>
      <c r="J51" t="s">
        <v>720</v>
      </c>
      <c r="K51" t="s">
        <v>3081</v>
      </c>
      <c r="N51" s="10"/>
      <c r="O51" s="10"/>
      <c r="P51" t="s">
        <v>2453</v>
      </c>
    </row>
    <row r="54" spans="1:20" x14ac:dyDescent="0.25">
      <c r="A54" s="6" t="s">
        <v>1538</v>
      </c>
      <c r="B54" s="6" t="s">
        <v>1553</v>
      </c>
      <c r="C54" s="7" t="s">
        <v>0</v>
      </c>
      <c r="D54" s="6" t="s">
        <v>1653</v>
      </c>
      <c r="E54" s="6" t="s">
        <v>2</v>
      </c>
      <c r="F54" s="6" t="s">
        <v>2012</v>
      </c>
      <c r="G54" s="6" t="s">
        <v>2010</v>
      </c>
      <c r="H54" s="36" t="s">
        <v>4</v>
      </c>
      <c r="I54" s="36" t="s">
        <v>6</v>
      </c>
      <c r="J54" s="6" t="s">
        <v>1540</v>
      </c>
      <c r="K54" s="6" t="s">
        <v>3037</v>
      </c>
      <c r="L54" s="6" t="s">
        <v>3065</v>
      </c>
      <c r="M54" s="6" t="s">
        <v>3064</v>
      </c>
      <c r="N54" s="6" t="s">
        <v>2980</v>
      </c>
      <c r="O54" s="6" t="s">
        <v>3053</v>
      </c>
      <c r="P54" s="6" t="s">
        <v>2984</v>
      </c>
      <c r="Q54" s="6" t="s">
        <v>1542</v>
      </c>
      <c r="R54" s="9" t="s">
        <v>2482</v>
      </c>
      <c r="S54" s="6" t="s">
        <v>7</v>
      </c>
      <c r="T54" s="6" t="s">
        <v>1543</v>
      </c>
    </row>
    <row r="55" spans="1:20" x14ac:dyDescent="0.25">
      <c r="A55">
        <v>2023</v>
      </c>
      <c r="B55" t="s">
        <v>807</v>
      </c>
      <c r="C55" t="s">
        <v>261</v>
      </c>
      <c r="D55" t="s">
        <v>707</v>
      </c>
      <c r="E55" t="s">
        <v>707</v>
      </c>
      <c r="F55" t="s">
        <v>707</v>
      </c>
      <c r="G55" t="s">
        <v>1948</v>
      </c>
      <c r="H55" s="37" t="s">
        <v>233</v>
      </c>
      <c r="I55" s="37" t="s">
        <v>249</v>
      </c>
      <c r="J55" t="s">
        <v>376</v>
      </c>
      <c r="K55" t="s">
        <v>2983</v>
      </c>
      <c r="L55" t="s">
        <v>3066</v>
      </c>
      <c r="M55" t="s">
        <v>3055</v>
      </c>
      <c r="N55" t="s">
        <v>3040</v>
      </c>
      <c r="O55" s="39" t="s">
        <v>3057</v>
      </c>
      <c r="P55" t="s">
        <v>1605</v>
      </c>
      <c r="Q55" t="s">
        <v>1954</v>
      </c>
      <c r="R55" s="10">
        <v>16.53</v>
      </c>
      <c r="S55" t="s">
        <v>1953</v>
      </c>
      <c r="T55" t="s">
        <v>1949</v>
      </c>
    </row>
    <row r="56" spans="1:20" x14ac:dyDescent="0.25">
      <c r="A56">
        <v>2023</v>
      </c>
      <c r="B56" t="s">
        <v>807</v>
      </c>
      <c r="C56" t="s">
        <v>261</v>
      </c>
      <c r="D56" t="s">
        <v>707</v>
      </c>
      <c r="E56" t="s">
        <v>707</v>
      </c>
      <c r="F56" t="s">
        <v>707</v>
      </c>
      <c r="G56" t="s">
        <v>1948</v>
      </c>
      <c r="H56" s="37" t="s">
        <v>233</v>
      </c>
      <c r="I56" s="37" t="s">
        <v>249</v>
      </c>
      <c r="J56" t="s">
        <v>376</v>
      </c>
      <c r="K56" t="s">
        <v>2983</v>
      </c>
      <c r="L56" t="s">
        <v>3066</v>
      </c>
      <c r="M56" t="s">
        <v>3055</v>
      </c>
      <c r="N56" t="s">
        <v>3040</v>
      </c>
      <c r="O56" s="39" t="s">
        <v>3057</v>
      </c>
      <c r="P56" t="s">
        <v>1606</v>
      </c>
      <c r="Q56" t="s">
        <v>1954</v>
      </c>
      <c r="R56" s="10">
        <v>3.81</v>
      </c>
      <c r="S56" t="s">
        <v>1953</v>
      </c>
      <c r="T56" t="s">
        <v>1949</v>
      </c>
    </row>
    <row r="57" spans="1:20" x14ac:dyDescent="0.25">
      <c r="A57">
        <v>2023</v>
      </c>
      <c r="B57" t="s">
        <v>807</v>
      </c>
      <c r="C57" t="s">
        <v>261</v>
      </c>
      <c r="D57" t="s">
        <v>707</v>
      </c>
      <c r="E57" t="s">
        <v>707</v>
      </c>
      <c r="F57" t="s">
        <v>707</v>
      </c>
      <c r="G57" t="s">
        <v>1948</v>
      </c>
      <c r="H57" s="37" t="s">
        <v>233</v>
      </c>
      <c r="I57" s="37" t="s">
        <v>249</v>
      </c>
      <c r="J57" t="s">
        <v>376</v>
      </c>
      <c r="K57" t="s">
        <v>2983</v>
      </c>
      <c r="L57" t="s">
        <v>3066</v>
      </c>
      <c r="M57" t="s">
        <v>3055</v>
      </c>
      <c r="N57" t="s">
        <v>3040</v>
      </c>
      <c r="O57" s="39" t="s">
        <v>3057</v>
      </c>
      <c r="P57" t="s">
        <v>1607</v>
      </c>
      <c r="Q57" t="s">
        <v>1954</v>
      </c>
      <c r="R57" s="10">
        <v>48.15</v>
      </c>
      <c r="T57" t="s">
        <v>1949</v>
      </c>
    </row>
    <row r="58" spans="1:20" x14ac:dyDescent="0.25">
      <c r="A58">
        <v>2023</v>
      </c>
      <c r="B58" t="s">
        <v>807</v>
      </c>
      <c r="C58" t="s">
        <v>242</v>
      </c>
      <c r="D58" t="s">
        <v>707</v>
      </c>
      <c r="E58" t="s">
        <v>707</v>
      </c>
      <c r="F58" t="s">
        <v>707</v>
      </c>
      <c r="G58" t="s">
        <v>1981</v>
      </c>
      <c r="H58" s="37" t="s">
        <v>233</v>
      </c>
      <c r="I58" s="37" t="s">
        <v>245</v>
      </c>
      <c r="J58" t="s">
        <v>244</v>
      </c>
      <c r="K58" t="s">
        <v>2983</v>
      </c>
      <c r="L58" t="s">
        <v>3066</v>
      </c>
      <c r="M58" t="s">
        <v>3055</v>
      </c>
      <c r="N58" t="s">
        <v>3040</v>
      </c>
      <c r="O58" s="39" t="s">
        <v>3057</v>
      </c>
      <c r="P58" t="s">
        <v>1605</v>
      </c>
      <c r="Q58" t="s">
        <v>1635</v>
      </c>
      <c r="R58" s="10">
        <v>4281546</v>
      </c>
      <c r="S58" t="s">
        <v>1982</v>
      </c>
      <c r="T58" t="s">
        <v>1927</v>
      </c>
    </row>
    <row r="59" spans="1:20" x14ac:dyDescent="0.25">
      <c r="A59">
        <v>2023</v>
      </c>
      <c r="B59" t="s">
        <v>807</v>
      </c>
      <c r="C59" t="s">
        <v>242</v>
      </c>
      <c r="D59" t="s">
        <v>707</v>
      </c>
      <c r="E59" t="s">
        <v>707</v>
      </c>
      <c r="F59" t="s">
        <v>707</v>
      </c>
      <c r="G59" t="s">
        <v>1981</v>
      </c>
      <c r="H59" s="37" t="s">
        <v>233</v>
      </c>
      <c r="I59" s="37" t="s">
        <v>245</v>
      </c>
      <c r="J59" t="s">
        <v>244</v>
      </c>
      <c r="K59" t="s">
        <v>2983</v>
      </c>
      <c r="L59" t="s">
        <v>3066</v>
      </c>
      <c r="M59" t="s">
        <v>3055</v>
      </c>
      <c r="N59" t="s">
        <v>3040</v>
      </c>
      <c r="O59" s="39" t="s">
        <v>3057</v>
      </c>
      <c r="P59" t="s">
        <v>1606</v>
      </c>
      <c r="Q59" t="s">
        <v>1635</v>
      </c>
      <c r="R59" s="10">
        <v>24877</v>
      </c>
      <c r="T59" t="s">
        <v>1886</v>
      </c>
    </row>
    <row r="60" spans="1:20" x14ac:dyDescent="0.25">
      <c r="A60">
        <v>2023</v>
      </c>
      <c r="B60" t="s">
        <v>807</v>
      </c>
      <c r="C60" t="s">
        <v>2376</v>
      </c>
      <c r="D60" t="s">
        <v>707</v>
      </c>
      <c r="E60" t="s">
        <v>707</v>
      </c>
      <c r="F60" t="s">
        <v>707</v>
      </c>
      <c r="G60" t="s">
        <v>2030</v>
      </c>
      <c r="H60" s="37" t="s">
        <v>1846</v>
      </c>
      <c r="I60" s="37" t="s">
        <v>720</v>
      </c>
      <c r="J60" t="s">
        <v>720</v>
      </c>
      <c r="K60" t="s">
        <v>2983</v>
      </c>
      <c r="L60" t="s">
        <v>3066</v>
      </c>
      <c r="M60" t="s">
        <v>3055</v>
      </c>
      <c r="N60" t="s">
        <v>3040</v>
      </c>
      <c r="O60" s="39" t="s">
        <v>3057</v>
      </c>
      <c r="P60" t="s">
        <v>1692</v>
      </c>
      <c r="Q60" t="s">
        <v>1954</v>
      </c>
      <c r="R60" s="10">
        <v>114.3</v>
      </c>
      <c r="T60" t="s">
        <v>2405</v>
      </c>
    </row>
    <row r="61" spans="1:20" x14ac:dyDescent="0.25">
      <c r="A61">
        <v>2023</v>
      </c>
      <c r="B61" t="s">
        <v>807</v>
      </c>
      <c r="C61" t="s">
        <v>208</v>
      </c>
      <c r="D61" t="s">
        <v>707</v>
      </c>
      <c r="E61" t="s">
        <v>707</v>
      </c>
      <c r="F61" t="s">
        <v>707</v>
      </c>
      <c r="G61" t="s">
        <v>1752</v>
      </c>
      <c r="H61" s="37"/>
      <c r="I61" s="37"/>
      <c r="J61" t="s">
        <v>210</v>
      </c>
      <c r="K61" t="s">
        <v>2983</v>
      </c>
      <c r="L61" t="s">
        <v>3066</v>
      </c>
      <c r="M61" t="s">
        <v>3055</v>
      </c>
      <c r="N61" t="s">
        <v>3040</v>
      </c>
      <c r="O61" s="39" t="s">
        <v>3057</v>
      </c>
      <c r="P61" t="s">
        <v>1605</v>
      </c>
      <c r="Q61" s="10" t="s">
        <v>1635</v>
      </c>
      <c r="R61" s="10">
        <v>128673.34995299703</v>
      </c>
      <c r="S61" t="s">
        <v>1758</v>
      </c>
      <c r="T61" t="s">
        <v>1847</v>
      </c>
    </row>
    <row r="62" spans="1:20" x14ac:dyDescent="0.25">
      <c r="A62">
        <v>2023</v>
      </c>
      <c r="B62" t="s">
        <v>807</v>
      </c>
      <c r="C62" t="s">
        <v>208</v>
      </c>
      <c r="D62" t="s">
        <v>707</v>
      </c>
      <c r="E62" t="s">
        <v>707</v>
      </c>
      <c r="F62" t="s">
        <v>707</v>
      </c>
      <c r="G62" t="s">
        <v>1752</v>
      </c>
      <c r="H62" s="37"/>
      <c r="I62" s="37"/>
      <c r="J62" t="s">
        <v>210</v>
      </c>
      <c r="K62" t="s">
        <v>2983</v>
      </c>
      <c r="L62" t="s">
        <v>3066</v>
      </c>
      <c r="M62" t="s">
        <v>3055</v>
      </c>
      <c r="N62" t="s">
        <v>3040</v>
      </c>
      <c r="O62" s="39" t="s">
        <v>3057</v>
      </c>
      <c r="P62" t="s">
        <v>1606</v>
      </c>
      <c r="Q62" s="10" t="s">
        <v>1635</v>
      </c>
      <c r="R62" s="10">
        <v>185858.51145925134</v>
      </c>
      <c r="S62" t="s">
        <v>1758</v>
      </c>
      <c r="T62" t="s">
        <v>1847</v>
      </c>
    </row>
    <row r="63" spans="1:20" x14ac:dyDescent="0.25">
      <c r="A63">
        <v>2023</v>
      </c>
      <c r="B63" t="s">
        <v>807</v>
      </c>
      <c r="C63" t="s">
        <v>208</v>
      </c>
      <c r="D63" t="s">
        <v>707</v>
      </c>
      <c r="E63" t="s">
        <v>707</v>
      </c>
      <c r="F63" t="s">
        <v>707</v>
      </c>
      <c r="G63" t="s">
        <v>1752</v>
      </c>
      <c r="H63" s="37"/>
      <c r="I63" s="37"/>
      <c r="J63" t="s">
        <v>210</v>
      </c>
      <c r="K63" t="s">
        <v>2983</v>
      </c>
      <c r="L63" t="s">
        <v>3066</v>
      </c>
      <c r="M63" t="s">
        <v>3055</v>
      </c>
      <c r="N63" t="s">
        <v>3040</v>
      </c>
      <c r="O63" s="39" t="s">
        <v>3057</v>
      </c>
      <c r="P63" t="s">
        <v>1607</v>
      </c>
      <c r="Q63" s="10" t="s">
        <v>1635</v>
      </c>
      <c r="R63" s="10">
        <v>500000</v>
      </c>
      <c r="S63" t="s">
        <v>1758</v>
      </c>
      <c r="T63" t="s">
        <v>1847</v>
      </c>
    </row>
    <row r="64" spans="1:20" x14ac:dyDescent="0.25">
      <c r="A64">
        <v>2024</v>
      </c>
      <c r="B64" t="s">
        <v>807</v>
      </c>
      <c r="C64" t="s">
        <v>795</v>
      </c>
      <c r="D64" t="s">
        <v>707</v>
      </c>
      <c r="E64" t="s">
        <v>707</v>
      </c>
      <c r="F64" t="s">
        <v>707</v>
      </c>
      <c r="G64" t="s">
        <v>1993</v>
      </c>
      <c r="H64" s="37" t="s">
        <v>11</v>
      </c>
      <c r="I64" s="37" t="s">
        <v>34</v>
      </c>
      <c r="J64" t="s">
        <v>157</v>
      </c>
      <c r="K64" t="s">
        <v>2983</v>
      </c>
      <c r="L64" t="s">
        <v>3066</v>
      </c>
      <c r="M64" t="s">
        <v>3055</v>
      </c>
      <c r="N64" t="s">
        <v>3040</v>
      </c>
      <c r="O64" s="39" t="s">
        <v>3057</v>
      </c>
      <c r="P64" t="s">
        <v>1605</v>
      </c>
      <c r="Q64" t="s">
        <v>1635</v>
      </c>
      <c r="R64" s="10">
        <v>125617</v>
      </c>
      <c r="T64" t="s">
        <v>2002</v>
      </c>
    </row>
    <row r="65" spans="1:20" x14ac:dyDescent="0.25">
      <c r="A65">
        <v>2024</v>
      </c>
      <c r="B65" t="s">
        <v>807</v>
      </c>
      <c r="C65" t="s">
        <v>795</v>
      </c>
      <c r="D65" t="s">
        <v>707</v>
      </c>
      <c r="E65" t="s">
        <v>707</v>
      </c>
      <c r="F65" t="s">
        <v>707</v>
      </c>
      <c r="G65" t="s">
        <v>1993</v>
      </c>
      <c r="H65" s="37" t="s">
        <v>11</v>
      </c>
      <c r="I65" s="37" t="s">
        <v>34</v>
      </c>
      <c r="J65" t="s">
        <v>157</v>
      </c>
      <c r="K65" t="s">
        <v>2983</v>
      </c>
      <c r="L65" t="s">
        <v>3066</v>
      </c>
      <c r="M65" t="s">
        <v>3055</v>
      </c>
      <c r="N65" t="s">
        <v>3040</v>
      </c>
      <c r="O65" s="39" t="s">
        <v>3057</v>
      </c>
      <c r="P65" t="s">
        <v>1606</v>
      </c>
      <c r="Q65" t="s">
        <v>1635</v>
      </c>
      <c r="R65" s="10">
        <v>1169</v>
      </c>
      <c r="T65" t="s">
        <v>2002</v>
      </c>
    </row>
    <row r="66" spans="1:20" x14ac:dyDescent="0.25">
      <c r="A66">
        <v>2023</v>
      </c>
      <c r="B66" t="s">
        <v>807</v>
      </c>
      <c r="C66" t="s">
        <v>754</v>
      </c>
      <c r="D66" t="s">
        <v>707</v>
      </c>
      <c r="E66" t="s">
        <v>707</v>
      </c>
      <c r="F66" t="s">
        <v>707</v>
      </c>
      <c r="G66" t="s">
        <v>2005</v>
      </c>
      <c r="H66" s="37" t="s">
        <v>11</v>
      </c>
      <c r="I66" s="37" t="s">
        <v>98</v>
      </c>
      <c r="J66" t="s">
        <v>147</v>
      </c>
      <c r="K66" t="s">
        <v>2983</v>
      </c>
      <c r="L66" t="s">
        <v>3066</v>
      </c>
      <c r="M66" t="s">
        <v>3055</v>
      </c>
      <c r="N66" t="s">
        <v>3040</v>
      </c>
      <c r="O66" s="39" t="s">
        <v>3057</v>
      </c>
      <c r="P66" t="s">
        <v>1605</v>
      </c>
      <c r="Q66" t="s">
        <v>1954</v>
      </c>
      <c r="R66" s="10">
        <v>0.8</v>
      </c>
      <c r="T66" t="s">
        <v>1904</v>
      </c>
    </row>
    <row r="67" spans="1:20" x14ac:dyDescent="0.25">
      <c r="A67">
        <v>2023</v>
      </c>
      <c r="B67" t="s">
        <v>807</v>
      </c>
      <c r="C67" t="s">
        <v>754</v>
      </c>
      <c r="D67" t="s">
        <v>707</v>
      </c>
      <c r="E67" t="s">
        <v>707</v>
      </c>
      <c r="F67" t="s">
        <v>707</v>
      </c>
      <c r="G67" t="s">
        <v>2005</v>
      </c>
      <c r="H67" s="37" t="s">
        <v>11</v>
      </c>
      <c r="I67" s="37" t="s">
        <v>98</v>
      </c>
      <c r="J67" t="s">
        <v>147</v>
      </c>
      <c r="K67" t="s">
        <v>2983</v>
      </c>
      <c r="L67" t="s">
        <v>3066</v>
      </c>
      <c r="M67" t="s">
        <v>3055</v>
      </c>
      <c r="N67" t="s">
        <v>3040</v>
      </c>
      <c r="O67" s="39" t="s">
        <v>3057</v>
      </c>
      <c r="P67" t="s">
        <v>1606</v>
      </c>
      <c r="Q67" t="s">
        <v>1954</v>
      </c>
      <c r="R67" s="10">
        <v>0.9</v>
      </c>
      <c r="T67" t="s">
        <v>1904</v>
      </c>
    </row>
    <row r="68" spans="1:20" x14ac:dyDescent="0.25">
      <c r="A68">
        <v>2021</v>
      </c>
      <c r="B68" t="s">
        <v>807</v>
      </c>
      <c r="C68" t="s">
        <v>716</v>
      </c>
      <c r="D68" t="s">
        <v>707</v>
      </c>
      <c r="E68" t="s">
        <v>707</v>
      </c>
      <c r="F68" t="s">
        <v>707</v>
      </c>
      <c r="G68" t="s">
        <v>2069</v>
      </c>
      <c r="H68" s="37" t="s">
        <v>233</v>
      </c>
      <c r="I68" s="37" t="s">
        <v>720</v>
      </c>
      <c r="J68" t="s">
        <v>244</v>
      </c>
      <c r="K68" t="s">
        <v>2983</v>
      </c>
      <c r="L68" t="s">
        <v>3066</v>
      </c>
      <c r="M68" t="s">
        <v>3055</v>
      </c>
      <c r="N68" t="s">
        <v>3040</v>
      </c>
      <c r="O68" s="39" t="s">
        <v>3057</v>
      </c>
      <c r="P68" t="s">
        <v>1605</v>
      </c>
      <c r="Q68" t="s">
        <v>1954</v>
      </c>
      <c r="R68" s="10">
        <v>42.13</v>
      </c>
      <c r="T68" s="10" t="s">
        <v>2290</v>
      </c>
    </row>
    <row r="69" spans="1:20" x14ac:dyDescent="0.25">
      <c r="A69">
        <v>2021</v>
      </c>
      <c r="B69" t="s">
        <v>807</v>
      </c>
      <c r="C69" t="s">
        <v>716</v>
      </c>
      <c r="D69" t="s">
        <v>707</v>
      </c>
      <c r="E69" t="s">
        <v>707</v>
      </c>
      <c r="F69" t="s">
        <v>707</v>
      </c>
      <c r="G69" t="s">
        <v>2069</v>
      </c>
      <c r="H69" s="37" t="s">
        <v>233</v>
      </c>
      <c r="I69" s="37" t="s">
        <v>720</v>
      </c>
      <c r="J69" t="s">
        <v>244</v>
      </c>
      <c r="K69" t="s">
        <v>2983</v>
      </c>
      <c r="L69" t="s">
        <v>3066</v>
      </c>
      <c r="M69" t="s">
        <v>3055</v>
      </c>
      <c r="N69" t="s">
        <v>3040</v>
      </c>
      <c r="O69" s="39" t="s">
        <v>3057</v>
      </c>
      <c r="P69" t="s">
        <v>1606</v>
      </c>
      <c r="Q69" t="s">
        <v>1954</v>
      </c>
      <c r="R69" s="10">
        <v>40.17</v>
      </c>
      <c r="T69" s="10" t="s">
        <v>2290</v>
      </c>
    </row>
    <row r="70" spans="1:20" x14ac:dyDescent="0.25">
      <c r="A70">
        <v>2023</v>
      </c>
      <c r="B70" t="s">
        <v>807</v>
      </c>
      <c r="C70" t="s">
        <v>715</v>
      </c>
      <c r="D70" t="s">
        <v>707</v>
      </c>
      <c r="E70" t="s">
        <v>707</v>
      </c>
      <c r="F70" t="s">
        <v>707</v>
      </c>
      <c r="G70" t="s">
        <v>2086</v>
      </c>
      <c r="H70" s="37" t="s">
        <v>1846</v>
      </c>
      <c r="I70" s="37" t="s">
        <v>720</v>
      </c>
      <c r="J70" t="s">
        <v>720</v>
      </c>
      <c r="K70" t="s">
        <v>2983</v>
      </c>
      <c r="L70" t="s">
        <v>3066</v>
      </c>
      <c r="M70" t="s">
        <v>3055</v>
      </c>
      <c r="N70" t="s">
        <v>3040</v>
      </c>
      <c r="O70" s="39" t="s">
        <v>3057</v>
      </c>
      <c r="P70" t="s">
        <v>1605</v>
      </c>
      <c r="Q70" t="s">
        <v>1782</v>
      </c>
      <c r="R70" s="10">
        <v>16717</v>
      </c>
      <c r="T70" t="s">
        <v>2423</v>
      </c>
    </row>
    <row r="71" spans="1:20" x14ac:dyDescent="0.25">
      <c r="A71">
        <v>2023</v>
      </c>
      <c r="B71" t="s">
        <v>807</v>
      </c>
      <c r="C71" t="s">
        <v>715</v>
      </c>
      <c r="D71" t="s">
        <v>707</v>
      </c>
      <c r="E71" t="s">
        <v>707</v>
      </c>
      <c r="F71" t="s">
        <v>707</v>
      </c>
      <c r="G71" t="s">
        <v>2086</v>
      </c>
      <c r="H71" s="37" t="s">
        <v>1846</v>
      </c>
      <c r="I71" s="37" t="s">
        <v>720</v>
      </c>
      <c r="J71" t="s">
        <v>720</v>
      </c>
      <c r="K71" t="s">
        <v>2983</v>
      </c>
      <c r="L71" t="s">
        <v>3066</v>
      </c>
      <c r="M71" t="s">
        <v>3055</v>
      </c>
      <c r="N71" t="s">
        <v>3040</v>
      </c>
      <c r="O71" s="39" t="s">
        <v>3057</v>
      </c>
      <c r="P71" t="s">
        <v>2415</v>
      </c>
      <c r="Q71" t="s">
        <v>1782</v>
      </c>
      <c r="R71" s="10">
        <v>0.04</v>
      </c>
      <c r="T71" t="s">
        <v>2423</v>
      </c>
    </row>
    <row r="72" spans="1:20" x14ac:dyDescent="0.25">
      <c r="A72">
        <v>2023</v>
      </c>
      <c r="B72" t="s">
        <v>807</v>
      </c>
      <c r="C72" t="s">
        <v>715</v>
      </c>
      <c r="D72" t="s">
        <v>707</v>
      </c>
      <c r="E72" t="s">
        <v>707</v>
      </c>
      <c r="F72" t="s">
        <v>707</v>
      </c>
      <c r="G72" t="s">
        <v>2086</v>
      </c>
      <c r="H72" s="37" t="s">
        <v>1846</v>
      </c>
      <c r="I72" s="37" t="s">
        <v>720</v>
      </c>
      <c r="J72" t="s">
        <v>720</v>
      </c>
      <c r="K72" t="s">
        <v>2983</v>
      </c>
      <c r="L72" t="s">
        <v>3066</v>
      </c>
      <c r="M72" t="s">
        <v>3055</v>
      </c>
      <c r="N72" t="s">
        <v>3040</v>
      </c>
      <c r="O72" s="39" t="s">
        <v>3057</v>
      </c>
      <c r="P72" t="s">
        <v>2416</v>
      </c>
      <c r="Q72" t="s">
        <v>1782</v>
      </c>
      <c r="R72" s="10">
        <v>1239</v>
      </c>
      <c r="T72" t="s">
        <v>2423</v>
      </c>
    </row>
    <row r="73" spans="1:20" x14ac:dyDescent="0.25">
      <c r="A73">
        <v>2023</v>
      </c>
      <c r="B73" t="s">
        <v>807</v>
      </c>
      <c r="C73" t="s">
        <v>715</v>
      </c>
      <c r="D73" t="s">
        <v>707</v>
      </c>
      <c r="E73" t="s">
        <v>707</v>
      </c>
      <c r="F73" t="s">
        <v>707</v>
      </c>
      <c r="G73" t="s">
        <v>2086</v>
      </c>
      <c r="H73" s="37" t="s">
        <v>1846</v>
      </c>
      <c r="I73" s="37" t="s">
        <v>720</v>
      </c>
      <c r="J73" t="s">
        <v>720</v>
      </c>
      <c r="K73" t="s">
        <v>2983</v>
      </c>
      <c r="L73" t="s">
        <v>3066</v>
      </c>
      <c r="M73" t="s">
        <v>3055</v>
      </c>
      <c r="N73" t="s">
        <v>3040</v>
      </c>
      <c r="O73" s="39" t="s">
        <v>3057</v>
      </c>
      <c r="P73" t="s">
        <v>2417</v>
      </c>
      <c r="Q73" t="s">
        <v>1782</v>
      </c>
      <c r="R73" s="10">
        <v>3390</v>
      </c>
      <c r="T73" t="s">
        <v>2423</v>
      </c>
    </row>
    <row r="74" spans="1:20" x14ac:dyDescent="0.25">
      <c r="A74">
        <v>2023</v>
      </c>
      <c r="B74" t="s">
        <v>807</v>
      </c>
      <c r="C74" t="s">
        <v>715</v>
      </c>
      <c r="D74" t="s">
        <v>707</v>
      </c>
      <c r="E74" t="s">
        <v>707</v>
      </c>
      <c r="F74" t="s">
        <v>707</v>
      </c>
      <c r="G74" t="s">
        <v>2086</v>
      </c>
      <c r="H74" s="37" t="s">
        <v>1846</v>
      </c>
      <c r="I74" s="37" t="s">
        <v>720</v>
      </c>
      <c r="J74" t="s">
        <v>720</v>
      </c>
      <c r="K74" t="s">
        <v>2983</v>
      </c>
      <c r="L74" t="s">
        <v>3066</v>
      </c>
      <c r="M74" t="s">
        <v>3055</v>
      </c>
      <c r="N74" t="s">
        <v>3040</v>
      </c>
      <c r="O74" s="39" t="s">
        <v>3057</v>
      </c>
      <c r="P74" t="s">
        <v>2418</v>
      </c>
      <c r="Q74" t="s">
        <v>1782</v>
      </c>
      <c r="R74" s="10">
        <v>3172</v>
      </c>
      <c r="T74" t="s">
        <v>2423</v>
      </c>
    </row>
    <row r="75" spans="1:20" x14ac:dyDescent="0.25">
      <c r="A75">
        <v>2023</v>
      </c>
      <c r="B75" t="s">
        <v>807</v>
      </c>
      <c r="C75" t="s">
        <v>715</v>
      </c>
      <c r="D75" t="s">
        <v>707</v>
      </c>
      <c r="E75" t="s">
        <v>707</v>
      </c>
      <c r="F75" t="s">
        <v>707</v>
      </c>
      <c r="G75" t="s">
        <v>2086</v>
      </c>
      <c r="H75" s="37" t="s">
        <v>1846</v>
      </c>
      <c r="I75" s="37" t="s">
        <v>720</v>
      </c>
      <c r="J75" t="s">
        <v>720</v>
      </c>
      <c r="K75" t="s">
        <v>2983</v>
      </c>
      <c r="L75" t="s">
        <v>3066</v>
      </c>
      <c r="M75" t="s">
        <v>3055</v>
      </c>
      <c r="N75" t="s">
        <v>3040</v>
      </c>
      <c r="O75" s="39" t="s">
        <v>3057</v>
      </c>
      <c r="P75" t="s">
        <v>2419</v>
      </c>
      <c r="Q75" t="s">
        <v>1782</v>
      </c>
      <c r="R75" s="10">
        <v>2357</v>
      </c>
      <c r="T75" t="s">
        <v>2423</v>
      </c>
    </row>
    <row r="76" spans="1:20" x14ac:dyDescent="0.25">
      <c r="A76">
        <v>2023</v>
      </c>
      <c r="B76" t="s">
        <v>807</v>
      </c>
      <c r="C76" t="s">
        <v>715</v>
      </c>
      <c r="D76" t="s">
        <v>707</v>
      </c>
      <c r="E76" t="s">
        <v>707</v>
      </c>
      <c r="F76" t="s">
        <v>707</v>
      </c>
      <c r="G76" t="s">
        <v>2086</v>
      </c>
      <c r="H76" s="37" t="s">
        <v>1846</v>
      </c>
      <c r="I76" s="37" t="s">
        <v>720</v>
      </c>
      <c r="J76" t="s">
        <v>720</v>
      </c>
      <c r="K76" t="s">
        <v>2983</v>
      </c>
      <c r="L76" t="s">
        <v>3066</v>
      </c>
      <c r="M76" t="s">
        <v>3055</v>
      </c>
      <c r="N76" t="s">
        <v>3040</v>
      </c>
      <c r="O76" s="39" t="s">
        <v>3057</v>
      </c>
      <c r="P76" t="s">
        <v>2420</v>
      </c>
      <c r="Q76" t="s">
        <v>1782</v>
      </c>
      <c r="R76" s="10">
        <v>593</v>
      </c>
      <c r="T76" t="s">
        <v>2423</v>
      </c>
    </row>
    <row r="77" spans="1:20" x14ac:dyDescent="0.25">
      <c r="A77">
        <v>2023</v>
      </c>
      <c r="B77" t="s">
        <v>807</v>
      </c>
      <c r="C77" t="s">
        <v>715</v>
      </c>
      <c r="D77" t="s">
        <v>707</v>
      </c>
      <c r="E77" t="s">
        <v>707</v>
      </c>
      <c r="F77" t="s">
        <v>707</v>
      </c>
      <c r="G77" t="s">
        <v>2086</v>
      </c>
      <c r="H77" s="37" t="s">
        <v>1846</v>
      </c>
      <c r="I77" s="37" t="s">
        <v>720</v>
      </c>
      <c r="J77" t="s">
        <v>720</v>
      </c>
      <c r="K77" t="s">
        <v>2983</v>
      </c>
      <c r="L77" t="s">
        <v>3066</v>
      </c>
      <c r="M77" t="s">
        <v>3055</v>
      </c>
      <c r="N77" t="s">
        <v>3040</v>
      </c>
      <c r="O77" s="39" t="s">
        <v>3057</v>
      </c>
      <c r="P77" t="s">
        <v>1606</v>
      </c>
      <c r="Q77" t="s">
        <v>1782</v>
      </c>
      <c r="R77" s="10">
        <v>9663</v>
      </c>
      <c r="T77" t="s">
        <v>2423</v>
      </c>
    </row>
    <row r="78" spans="1:20" x14ac:dyDescent="0.25">
      <c r="A78">
        <v>2023</v>
      </c>
      <c r="B78" t="s">
        <v>807</v>
      </c>
      <c r="C78" t="s">
        <v>715</v>
      </c>
      <c r="D78" t="s">
        <v>707</v>
      </c>
      <c r="E78" t="s">
        <v>707</v>
      </c>
      <c r="F78" t="s">
        <v>707</v>
      </c>
      <c r="G78" t="s">
        <v>2086</v>
      </c>
      <c r="H78" s="37" t="s">
        <v>1846</v>
      </c>
      <c r="I78" s="37" t="s">
        <v>720</v>
      </c>
      <c r="J78" t="s">
        <v>720</v>
      </c>
      <c r="K78" t="s">
        <v>2983</v>
      </c>
      <c r="L78" t="s">
        <v>3066</v>
      </c>
      <c r="M78" t="s">
        <v>3055</v>
      </c>
      <c r="N78" t="s">
        <v>3040</v>
      </c>
      <c r="O78" s="39" t="s">
        <v>3057</v>
      </c>
      <c r="P78" t="s">
        <v>2424</v>
      </c>
      <c r="Q78" t="s">
        <v>1782</v>
      </c>
      <c r="R78" s="10">
        <v>10331</v>
      </c>
      <c r="T78" t="s">
        <v>2423</v>
      </c>
    </row>
    <row r="79" spans="1:20" x14ac:dyDescent="0.25">
      <c r="A79">
        <v>2023</v>
      </c>
      <c r="B79" t="s">
        <v>807</v>
      </c>
      <c r="C79" t="s">
        <v>715</v>
      </c>
      <c r="D79" t="s">
        <v>707</v>
      </c>
      <c r="E79" t="s">
        <v>707</v>
      </c>
      <c r="F79" t="s">
        <v>707</v>
      </c>
      <c r="G79" t="s">
        <v>2086</v>
      </c>
      <c r="H79" s="37" t="s">
        <v>1846</v>
      </c>
      <c r="I79" s="37" t="s">
        <v>720</v>
      </c>
      <c r="J79" t="s">
        <v>720</v>
      </c>
      <c r="K79" t="s">
        <v>2983</v>
      </c>
      <c r="L79" t="s">
        <v>3066</v>
      </c>
      <c r="M79" t="s">
        <v>3055</v>
      </c>
      <c r="N79" t="s">
        <v>3040</v>
      </c>
      <c r="O79" s="39" t="s">
        <v>3057</v>
      </c>
      <c r="P79" t="s">
        <v>2425</v>
      </c>
      <c r="Q79" t="s">
        <v>1782</v>
      </c>
      <c r="R79" s="10" t="s">
        <v>707</v>
      </c>
      <c r="T79" t="s">
        <v>2423</v>
      </c>
    </row>
    <row r="80" spans="1:20" x14ac:dyDescent="0.25">
      <c r="A80">
        <v>2023</v>
      </c>
      <c r="B80" t="s">
        <v>807</v>
      </c>
      <c r="C80" t="s">
        <v>715</v>
      </c>
      <c r="D80" t="s">
        <v>707</v>
      </c>
      <c r="E80" t="s">
        <v>707</v>
      </c>
      <c r="F80" t="s">
        <v>707</v>
      </c>
      <c r="G80" t="s">
        <v>2086</v>
      </c>
      <c r="H80" s="37" t="s">
        <v>1846</v>
      </c>
      <c r="I80" s="37" t="s">
        <v>720</v>
      </c>
      <c r="J80" t="s">
        <v>720</v>
      </c>
      <c r="K80" t="s">
        <v>2983</v>
      </c>
      <c r="L80" t="s">
        <v>3066</v>
      </c>
      <c r="M80" t="s">
        <v>3055</v>
      </c>
      <c r="N80" t="s">
        <v>3040</v>
      </c>
      <c r="O80" s="39" t="s">
        <v>3057</v>
      </c>
      <c r="P80" t="s">
        <v>2426</v>
      </c>
      <c r="Q80" t="s">
        <v>1782</v>
      </c>
      <c r="R80" s="10">
        <v>304</v>
      </c>
      <c r="T80" t="s">
        <v>2423</v>
      </c>
    </row>
    <row r="81" spans="1:20" x14ac:dyDescent="0.25">
      <c r="A81">
        <v>2023</v>
      </c>
      <c r="B81" t="s">
        <v>807</v>
      </c>
      <c r="C81" t="s">
        <v>715</v>
      </c>
      <c r="D81" t="s">
        <v>707</v>
      </c>
      <c r="E81" t="s">
        <v>707</v>
      </c>
      <c r="F81" t="s">
        <v>707</v>
      </c>
      <c r="G81" t="s">
        <v>2086</v>
      </c>
      <c r="H81" s="37" t="s">
        <v>1846</v>
      </c>
      <c r="I81" s="37" t="s">
        <v>720</v>
      </c>
      <c r="J81" t="s">
        <v>720</v>
      </c>
      <c r="K81" t="s">
        <v>2983</v>
      </c>
      <c r="L81" t="s">
        <v>3066</v>
      </c>
      <c r="M81" t="s">
        <v>3055</v>
      </c>
      <c r="N81" t="s">
        <v>3040</v>
      </c>
      <c r="O81" s="39" t="s">
        <v>3057</v>
      </c>
      <c r="P81" t="s">
        <v>2427</v>
      </c>
      <c r="Q81" t="s">
        <v>1782</v>
      </c>
      <c r="R81" s="10">
        <v>5220</v>
      </c>
      <c r="T81" t="s">
        <v>2423</v>
      </c>
    </row>
    <row r="82" spans="1:20" x14ac:dyDescent="0.25">
      <c r="A82">
        <v>2023</v>
      </c>
      <c r="B82" t="s">
        <v>807</v>
      </c>
      <c r="C82" t="s">
        <v>715</v>
      </c>
      <c r="D82" t="s">
        <v>707</v>
      </c>
      <c r="E82" t="s">
        <v>707</v>
      </c>
      <c r="F82" t="s">
        <v>707</v>
      </c>
      <c r="G82" t="s">
        <v>2086</v>
      </c>
      <c r="H82" s="37" t="s">
        <v>1846</v>
      </c>
      <c r="I82" s="37" t="s">
        <v>720</v>
      </c>
      <c r="J82" t="s">
        <v>720</v>
      </c>
      <c r="K82" t="s">
        <v>2983</v>
      </c>
      <c r="L82" t="s">
        <v>3066</v>
      </c>
      <c r="M82" t="s">
        <v>3055</v>
      </c>
      <c r="N82" t="s">
        <v>3040</v>
      </c>
      <c r="O82" s="39" t="s">
        <v>3057</v>
      </c>
      <c r="P82" t="s">
        <v>2428</v>
      </c>
      <c r="Q82" t="s">
        <v>1782</v>
      </c>
      <c r="R82" s="10">
        <v>322</v>
      </c>
      <c r="T82" t="s">
        <v>2423</v>
      </c>
    </row>
    <row r="83" spans="1:20" x14ac:dyDescent="0.25">
      <c r="A83">
        <v>2023</v>
      </c>
      <c r="B83" t="s">
        <v>807</v>
      </c>
      <c r="C83" t="s">
        <v>715</v>
      </c>
      <c r="D83" t="s">
        <v>707</v>
      </c>
      <c r="E83" t="s">
        <v>707</v>
      </c>
      <c r="F83" t="s">
        <v>707</v>
      </c>
      <c r="G83" t="s">
        <v>2086</v>
      </c>
      <c r="H83" s="37" t="s">
        <v>1846</v>
      </c>
      <c r="I83" s="37" t="s">
        <v>720</v>
      </c>
      <c r="J83" t="s">
        <v>720</v>
      </c>
      <c r="K83" t="s">
        <v>2983</v>
      </c>
      <c r="L83" t="s">
        <v>3066</v>
      </c>
      <c r="M83" t="s">
        <v>3055</v>
      </c>
      <c r="N83" t="s">
        <v>3040</v>
      </c>
      <c r="O83" s="39" t="s">
        <v>3057</v>
      </c>
      <c r="P83" t="s">
        <v>2429</v>
      </c>
      <c r="Q83" t="s">
        <v>1782</v>
      </c>
      <c r="R83" s="10">
        <v>3190</v>
      </c>
      <c r="T83" t="s">
        <v>2423</v>
      </c>
    </row>
    <row r="84" spans="1:20" x14ac:dyDescent="0.25">
      <c r="A84">
        <v>2023</v>
      </c>
      <c r="B84" t="s">
        <v>807</v>
      </c>
      <c r="C84" t="s">
        <v>715</v>
      </c>
      <c r="D84" t="s">
        <v>707</v>
      </c>
      <c r="E84" t="s">
        <v>707</v>
      </c>
      <c r="F84" t="s">
        <v>707</v>
      </c>
      <c r="G84" t="s">
        <v>2086</v>
      </c>
      <c r="H84" s="37" t="s">
        <v>1846</v>
      </c>
      <c r="I84" s="37" t="s">
        <v>720</v>
      </c>
      <c r="J84" t="s">
        <v>720</v>
      </c>
      <c r="K84" t="s">
        <v>2983</v>
      </c>
      <c r="L84" t="s">
        <v>3066</v>
      </c>
      <c r="M84" t="s">
        <v>3055</v>
      </c>
      <c r="N84" t="s">
        <v>3040</v>
      </c>
      <c r="O84" s="39" t="s">
        <v>3057</v>
      </c>
      <c r="P84" t="s">
        <v>2430</v>
      </c>
      <c r="Q84" t="s">
        <v>1782</v>
      </c>
      <c r="R84" s="10">
        <v>37</v>
      </c>
      <c r="T84" t="s">
        <v>2423</v>
      </c>
    </row>
    <row r="85" spans="1:20" x14ac:dyDescent="0.25">
      <c r="A85">
        <v>2023</v>
      </c>
      <c r="B85" t="s">
        <v>807</v>
      </c>
      <c r="C85" t="s">
        <v>715</v>
      </c>
      <c r="D85" t="s">
        <v>707</v>
      </c>
      <c r="E85" t="s">
        <v>707</v>
      </c>
      <c r="F85" t="s">
        <v>707</v>
      </c>
      <c r="G85" t="s">
        <v>2086</v>
      </c>
      <c r="H85" s="37" t="s">
        <v>1846</v>
      </c>
      <c r="I85" s="37" t="s">
        <v>720</v>
      </c>
      <c r="J85" t="s">
        <v>720</v>
      </c>
      <c r="K85" t="s">
        <v>2983</v>
      </c>
      <c r="L85" t="s">
        <v>3066</v>
      </c>
      <c r="M85" t="s">
        <v>3055</v>
      </c>
      <c r="N85" t="s">
        <v>3040</v>
      </c>
      <c r="O85" s="39" t="s">
        <v>3057</v>
      </c>
      <c r="P85" t="s">
        <v>1607</v>
      </c>
      <c r="Q85" t="s">
        <v>1782</v>
      </c>
      <c r="R85" s="10">
        <v>405760</v>
      </c>
      <c r="T85" t="s">
        <v>2423</v>
      </c>
    </row>
    <row r="86" spans="1:20" x14ac:dyDescent="0.25">
      <c r="A86">
        <v>2023</v>
      </c>
      <c r="B86" t="s">
        <v>807</v>
      </c>
      <c r="C86" t="s">
        <v>8</v>
      </c>
      <c r="D86" t="s">
        <v>707</v>
      </c>
      <c r="E86" t="s">
        <v>707</v>
      </c>
      <c r="F86" t="s">
        <v>707</v>
      </c>
      <c r="G86" t="s">
        <v>1895</v>
      </c>
      <c r="H86" s="37" t="s">
        <v>11</v>
      </c>
      <c r="I86" s="37"/>
      <c r="K86" t="s">
        <v>2983</v>
      </c>
      <c r="L86" t="s">
        <v>3066</v>
      </c>
      <c r="M86" t="s">
        <v>3055</v>
      </c>
      <c r="N86" t="s">
        <v>3040</v>
      </c>
      <c r="O86" s="39" t="s">
        <v>3057</v>
      </c>
      <c r="P86" t="s">
        <v>1605</v>
      </c>
      <c r="Q86" t="s">
        <v>1635</v>
      </c>
      <c r="R86" s="10">
        <v>65345</v>
      </c>
      <c r="T86" t="s">
        <v>1904</v>
      </c>
    </row>
    <row r="87" spans="1:20" x14ac:dyDescent="0.25">
      <c r="A87">
        <v>2023</v>
      </c>
      <c r="B87" t="s">
        <v>807</v>
      </c>
      <c r="C87" t="s">
        <v>8</v>
      </c>
      <c r="D87" t="s">
        <v>707</v>
      </c>
      <c r="E87" t="s">
        <v>707</v>
      </c>
      <c r="F87" t="s">
        <v>707</v>
      </c>
      <c r="G87" t="s">
        <v>1895</v>
      </c>
      <c r="H87" s="37" t="s">
        <v>11</v>
      </c>
      <c r="I87" s="37"/>
      <c r="K87" t="s">
        <v>2983</v>
      </c>
      <c r="L87" t="s">
        <v>3066</v>
      </c>
      <c r="M87" t="s">
        <v>3055</v>
      </c>
      <c r="N87" t="s">
        <v>3040</v>
      </c>
      <c r="O87" s="39" t="s">
        <v>3057</v>
      </c>
      <c r="P87" t="s">
        <v>1605</v>
      </c>
      <c r="Q87" t="s">
        <v>1896</v>
      </c>
      <c r="R87" s="10">
        <v>1352</v>
      </c>
      <c r="T87" t="s">
        <v>1904</v>
      </c>
    </row>
    <row r="88" spans="1:20" x14ac:dyDescent="0.25">
      <c r="A88">
        <v>2023</v>
      </c>
      <c r="B88" t="s">
        <v>807</v>
      </c>
      <c r="C88" t="s">
        <v>8</v>
      </c>
      <c r="D88" t="s">
        <v>707</v>
      </c>
      <c r="E88" t="s">
        <v>707</v>
      </c>
      <c r="F88" t="s">
        <v>707</v>
      </c>
      <c r="G88" t="s">
        <v>1895</v>
      </c>
      <c r="H88" s="37" t="s">
        <v>11</v>
      </c>
      <c r="I88" s="37"/>
      <c r="K88" t="s">
        <v>2983</v>
      </c>
      <c r="L88" t="s">
        <v>3066</v>
      </c>
      <c r="M88" t="s">
        <v>3055</v>
      </c>
      <c r="N88" t="s">
        <v>3040</v>
      </c>
      <c r="O88" s="39" t="s">
        <v>3057</v>
      </c>
      <c r="P88" t="s">
        <v>1606</v>
      </c>
      <c r="Q88" t="s">
        <v>1635</v>
      </c>
      <c r="R88" s="10">
        <v>19504</v>
      </c>
      <c r="T88" t="s">
        <v>1904</v>
      </c>
    </row>
    <row r="89" spans="1:20" x14ac:dyDescent="0.25">
      <c r="A89">
        <v>2023</v>
      </c>
      <c r="B89" t="s">
        <v>807</v>
      </c>
      <c r="C89" t="s">
        <v>325</v>
      </c>
      <c r="D89" t="s">
        <v>707</v>
      </c>
      <c r="E89" t="s">
        <v>707</v>
      </c>
      <c r="F89" t="s">
        <v>707</v>
      </c>
      <c r="G89" t="s">
        <v>2119</v>
      </c>
      <c r="H89" s="37" t="s">
        <v>1846</v>
      </c>
      <c r="I89" s="37" t="s">
        <v>720</v>
      </c>
      <c r="J89" t="s">
        <v>2322</v>
      </c>
      <c r="K89" t="s">
        <v>2983</v>
      </c>
      <c r="L89" t="s">
        <v>3066</v>
      </c>
      <c r="M89" t="s">
        <v>3055</v>
      </c>
      <c r="N89" t="s">
        <v>3040</v>
      </c>
      <c r="O89" s="39" t="s">
        <v>3057</v>
      </c>
      <c r="P89" t="s">
        <v>1605</v>
      </c>
      <c r="Q89" t="s">
        <v>1635</v>
      </c>
      <c r="R89" s="10">
        <v>47753</v>
      </c>
      <c r="T89" t="s">
        <v>1904</v>
      </c>
    </row>
    <row r="90" spans="1:20" x14ac:dyDescent="0.25">
      <c r="A90">
        <v>2023</v>
      </c>
      <c r="B90" t="s">
        <v>807</v>
      </c>
      <c r="C90" t="s">
        <v>325</v>
      </c>
      <c r="D90" t="s">
        <v>707</v>
      </c>
      <c r="E90" t="s">
        <v>707</v>
      </c>
      <c r="F90" t="s">
        <v>707</v>
      </c>
      <c r="G90" t="s">
        <v>2119</v>
      </c>
      <c r="H90" s="37" t="s">
        <v>1846</v>
      </c>
      <c r="I90" s="37" t="s">
        <v>720</v>
      </c>
      <c r="J90" t="s">
        <v>2322</v>
      </c>
      <c r="K90" t="s">
        <v>2983</v>
      </c>
      <c r="L90" t="s">
        <v>3066</v>
      </c>
      <c r="M90" t="s">
        <v>3055</v>
      </c>
      <c r="N90" t="s">
        <v>3040</v>
      </c>
      <c r="O90" s="39" t="s">
        <v>3057</v>
      </c>
      <c r="P90" t="s">
        <v>1606</v>
      </c>
      <c r="Q90" t="s">
        <v>1635</v>
      </c>
      <c r="R90" s="10">
        <v>11644</v>
      </c>
      <c r="T90" t="s">
        <v>1904</v>
      </c>
    </row>
    <row r="91" spans="1:20" x14ac:dyDescent="0.25">
      <c r="A91">
        <v>2023</v>
      </c>
      <c r="B91" t="s">
        <v>807</v>
      </c>
      <c r="C91" t="s">
        <v>718</v>
      </c>
      <c r="D91" t="s">
        <v>707</v>
      </c>
      <c r="E91" t="s">
        <v>707</v>
      </c>
      <c r="F91" t="s">
        <v>707</v>
      </c>
      <c r="G91" t="s">
        <v>2149</v>
      </c>
      <c r="H91" s="37" t="s">
        <v>1846</v>
      </c>
      <c r="I91" s="37" t="s">
        <v>720</v>
      </c>
      <c r="J91" t="s">
        <v>720</v>
      </c>
      <c r="K91" t="s">
        <v>2983</v>
      </c>
      <c r="L91" t="s">
        <v>3066</v>
      </c>
      <c r="M91" t="s">
        <v>3055</v>
      </c>
      <c r="N91" t="s">
        <v>3040</v>
      </c>
      <c r="O91" s="39" t="s">
        <v>3057</v>
      </c>
      <c r="P91" t="s">
        <v>1692</v>
      </c>
      <c r="Q91" t="s">
        <v>1954</v>
      </c>
      <c r="R91" s="10">
        <v>33.9</v>
      </c>
      <c r="T91" t="s">
        <v>2453</v>
      </c>
    </row>
    <row r="92" spans="1:20" x14ac:dyDescent="0.25">
      <c r="A92">
        <v>2023</v>
      </c>
      <c r="B92" t="s">
        <v>807</v>
      </c>
      <c r="C92" t="s">
        <v>718</v>
      </c>
      <c r="D92" t="s">
        <v>707</v>
      </c>
      <c r="E92" t="s">
        <v>707</v>
      </c>
      <c r="F92" t="s">
        <v>707</v>
      </c>
      <c r="G92" t="s">
        <v>2149</v>
      </c>
      <c r="H92" s="37" t="s">
        <v>1846</v>
      </c>
      <c r="I92" s="37" t="s">
        <v>720</v>
      </c>
      <c r="J92" t="s">
        <v>720</v>
      </c>
      <c r="K92" t="s">
        <v>2983</v>
      </c>
      <c r="L92" t="s">
        <v>3066</v>
      </c>
      <c r="M92" t="s">
        <v>3055</v>
      </c>
      <c r="N92" t="s">
        <v>3040</v>
      </c>
      <c r="O92" s="39" t="s">
        <v>3057</v>
      </c>
      <c r="P92" t="s">
        <v>1605</v>
      </c>
      <c r="Q92" t="s">
        <v>1954</v>
      </c>
      <c r="R92" s="10">
        <v>23.3</v>
      </c>
      <c r="T92" t="s">
        <v>2453</v>
      </c>
    </row>
    <row r="93" spans="1:20" x14ac:dyDescent="0.25">
      <c r="A93">
        <v>2023</v>
      </c>
      <c r="B93" t="s">
        <v>807</v>
      </c>
      <c r="C93" t="s">
        <v>718</v>
      </c>
      <c r="D93" t="s">
        <v>707</v>
      </c>
      <c r="E93" t="s">
        <v>707</v>
      </c>
      <c r="F93" t="s">
        <v>707</v>
      </c>
      <c r="G93" t="s">
        <v>2149</v>
      </c>
      <c r="H93" s="37" t="s">
        <v>1846</v>
      </c>
      <c r="I93" s="37" t="s">
        <v>720</v>
      </c>
      <c r="J93" t="s">
        <v>720</v>
      </c>
      <c r="K93" t="s">
        <v>2983</v>
      </c>
      <c r="L93" t="s">
        <v>3066</v>
      </c>
      <c r="M93" t="s">
        <v>3055</v>
      </c>
      <c r="N93" t="s">
        <v>3040</v>
      </c>
      <c r="O93" s="39" t="s">
        <v>3057</v>
      </c>
      <c r="P93" t="s">
        <v>1606</v>
      </c>
      <c r="Q93" t="s">
        <v>1954</v>
      </c>
      <c r="R93" s="10">
        <v>7.8</v>
      </c>
      <c r="T93" t="s">
        <v>2453</v>
      </c>
    </row>
    <row r="94" spans="1:20" x14ac:dyDescent="0.25">
      <c r="A94">
        <v>2023</v>
      </c>
      <c r="B94" t="s">
        <v>807</v>
      </c>
      <c r="C94" t="s">
        <v>718</v>
      </c>
      <c r="D94" t="s">
        <v>707</v>
      </c>
      <c r="E94" t="s">
        <v>707</v>
      </c>
      <c r="F94" t="s">
        <v>707</v>
      </c>
      <c r="G94" t="s">
        <v>2149</v>
      </c>
      <c r="H94" s="37" t="s">
        <v>1846</v>
      </c>
      <c r="I94" s="37" t="s">
        <v>720</v>
      </c>
      <c r="J94" t="s">
        <v>720</v>
      </c>
      <c r="K94" t="s">
        <v>2983</v>
      </c>
      <c r="L94" t="s">
        <v>3066</v>
      </c>
      <c r="M94" t="s">
        <v>3055</v>
      </c>
      <c r="N94" t="s">
        <v>3040</v>
      </c>
      <c r="O94" s="39" t="s">
        <v>3057</v>
      </c>
      <c r="P94" t="s">
        <v>1607</v>
      </c>
      <c r="Q94" t="s">
        <v>1954</v>
      </c>
      <c r="R94" s="10">
        <v>572.5</v>
      </c>
      <c r="T94" t="s">
        <v>2453</v>
      </c>
    </row>
    <row r="95" spans="1:20" x14ac:dyDescent="0.25">
      <c r="A95">
        <v>2024</v>
      </c>
      <c r="B95" t="s">
        <v>807</v>
      </c>
      <c r="C95" t="s">
        <v>718</v>
      </c>
      <c r="D95" t="s">
        <v>707</v>
      </c>
      <c r="E95" t="s">
        <v>707</v>
      </c>
      <c r="F95" t="s">
        <v>707</v>
      </c>
      <c r="G95" t="s">
        <v>2149</v>
      </c>
      <c r="H95" s="37" t="s">
        <v>1846</v>
      </c>
      <c r="I95" s="37" t="s">
        <v>720</v>
      </c>
      <c r="J95" t="s">
        <v>720</v>
      </c>
      <c r="K95" t="s">
        <v>2983</v>
      </c>
      <c r="L95" t="s">
        <v>3066</v>
      </c>
      <c r="M95" t="s">
        <v>3055</v>
      </c>
      <c r="N95" t="s">
        <v>3040</v>
      </c>
      <c r="O95" s="39" t="s">
        <v>3057</v>
      </c>
      <c r="P95" t="s">
        <v>2455</v>
      </c>
      <c r="Q95" t="s">
        <v>1954</v>
      </c>
      <c r="R95" s="10">
        <v>6.1</v>
      </c>
      <c r="T95" t="s">
        <v>2453</v>
      </c>
    </row>
    <row r="96" spans="1:20" x14ac:dyDescent="0.25">
      <c r="A96">
        <v>2023</v>
      </c>
      <c r="B96" t="s">
        <v>807</v>
      </c>
      <c r="C96" t="s">
        <v>718</v>
      </c>
      <c r="D96" t="s">
        <v>707</v>
      </c>
      <c r="E96" t="s">
        <v>707</v>
      </c>
      <c r="F96" t="s">
        <v>707</v>
      </c>
      <c r="G96" t="s">
        <v>2149</v>
      </c>
      <c r="H96" s="37" t="s">
        <v>1846</v>
      </c>
      <c r="I96" s="37" t="s">
        <v>720</v>
      </c>
      <c r="J96" t="s">
        <v>720</v>
      </c>
      <c r="K96" t="s">
        <v>2983</v>
      </c>
      <c r="L96" t="s">
        <v>3066</v>
      </c>
      <c r="M96" t="s">
        <v>3055</v>
      </c>
      <c r="N96" t="s">
        <v>3040</v>
      </c>
      <c r="O96" s="39" t="s">
        <v>3057</v>
      </c>
      <c r="P96" t="s">
        <v>2456</v>
      </c>
      <c r="Q96" t="s">
        <v>1954</v>
      </c>
      <c r="R96" s="10">
        <v>0.1</v>
      </c>
      <c r="T96" t="s">
        <v>2453</v>
      </c>
    </row>
    <row r="97" spans="1:20" x14ac:dyDescent="0.25">
      <c r="A97">
        <v>2023</v>
      </c>
      <c r="B97" t="s">
        <v>807</v>
      </c>
      <c r="C97" t="s">
        <v>718</v>
      </c>
      <c r="D97" t="s">
        <v>707</v>
      </c>
      <c r="E97" t="s">
        <v>707</v>
      </c>
      <c r="F97" t="s">
        <v>707</v>
      </c>
      <c r="G97" t="s">
        <v>2149</v>
      </c>
      <c r="H97" s="37" t="s">
        <v>1846</v>
      </c>
      <c r="I97" s="37" t="s">
        <v>720</v>
      </c>
      <c r="J97" t="s">
        <v>720</v>
      </c>
      <c r="K97" t="s">
        <v>2983</v>
      </c>
      <c r="L97" t="s">
        <v>3066</v>
      </c>
      <c r="M97" t="s">
        <v>3055</v>
      </c>
      <c r="N97" t="s">
        <v>3040</v>
      </c>
      <c r="O97" s="39" t="s">
        <v>3057</v>
      </c>
      <c r="P97" t="s">
        <v>2415</v>
      </c>
      <c r="Q97" t="s">
        <v>1954</v>
      </c>
      <c r="R97" s="10">
        <v>8.9</v>
      </c>
      <c r="T97" t="s">
        <v>2453</v>
      </c>
    </row>
    <row r="98" spans="1:20" x14ac:dyDescent="0.25">
      <c r="A98">
        <v>2023</v>
      </c>
      <c r="B98" t="s">
        <v>807</v>
      </c>
      <c r="C98" t="s">
        <v>718</v>
      </c>
      <c r="D98" t="s">
        <v>707</v>
      </c>
      <c r="E98" t="s">
        <v>707</v>
      </c>
      <c r="F98" t="s">
        <v>707</v>
      </c>
      <c r="G98" t="s">
        <v>2149</v>
      </c>
      <c r="H98" s="37" t="s">
        <v>1846</v>
      </c>
      <c r="I98" s="37" t="s">
        <v>720</v>
      </c>
      <c r="J98" t="s">
        <v>720</v>
      </c>
      <c r="K98" t="s">
        <v>2983</v>
      </c>
      <c r="L98" t="s">
        <v>3066</v>
      </c>
      <c r="M98" t="s">
        <v>3055</v>
      </c>
      <c r="N98" t="s">
        <v>3040</v>
      </c>
      <c r="O98" s="39" t="s">
        <v>3057</v>
      </c>
      <c r="P98" t="s">
        <v>2421</v>
      </c>
      <c r="Q98" t="s">
        <v>1954</v>
      </c>
      <c r="R98" s="10">
        <v>6.9</v>
      </c>
      <c r="T98" t="s">
        <v>2453</v>
      </c>
    </row>
    <row r="99" spans="1:20" x14ac:dyDescent="0.25">
      <c r="A99">
        <v>2023</v>
      </c>
      <c r="B99" t="s">
        <v>807</v>
      </c>
      <c r="C99" t="s">
        <v>718</v>
      </c>
      <c r="D99" t="s">
        <v>707</v>
      </c>
      <c r="E99" t="s">
        <v>707</v>
      </c>
      <c r="F99" t="s">
        <v>707</v>
      </c>
      <c r="G99" t="s">
        <v>2149</v>
      </c>
      <c r="H99" s="37" t="s">
        <v>1846</v>
      </c>
      <c r="I99" s="37" t="s">
        <v>720</v>
      </c>
      <c r="J99" t="s">
        <v>720</v>
      </c>
      <c r="K99" t="s">
        <v>2983</v>
      </c>
      <c r="L99" t="s">
        <v>3066</v>
      </c>
      <c r="M99" t="s">
        <v>3055</v>
      </c>
      <c r="N99" t="s">
        <v>3040</v>
      </c>
      <c r="O99" s="39" t="s">
        <v>3057</v>
      </c>
      <c r="P99" t="s">
        <v>2457</v>
      </c>
      <c r="Q99" t="s">
        <v>1954</v>
      </c>
      <c r="R99" s="10">
        <v>2.8</v>
      </c>
      <c r="T99" t="s">
        <v>2453</v>
      </c>
    </row>
    <row r="100" spans="1:20" x14ac:dyDescent="0.25">
      <c r="A100">
        <v>2023</v>
      </c>
      <c r="B100" t="s">
        <v>807</v>
      </c>
      <c r="C100" t="s">
        <v>718</v>
      </c>
      <c r="D100" t="s">
        <v>707</v>
      </c>
      <c r="E100" t="s">
        <v>707</v>
      </c>
      <c r="F100" t="s">
        <v>707</v>
      </c>
      <c r="G100" t="s">
        <v>2149</v>
      </c>
      <c r="H100" s="37" t="s">
        <v>1846</v>
      </c>
      <c r="I100" s="37" t="s">
        <v>720</v>
      </c>
      <c r="J100" t="s">
        <v>720</v>
      </c>
      <c r="K100" t="s">
        <v>2983</v>
      </c>
      <c r="L100" t="s">
        <v>3066</v>
      </c>
      <c r="M100" t="s">
        <v>3055</v>
      </c>
      <c r="N100" t="s">
        <v>3040</v>
      </c>
      <c r="O100" s="39" t="s">
        <v>3057</v>
      </c>
      <c r="P100" t="s">
        <v>2458</v>
      </c>
      <c r="Q100" t="s">
        <v>1954</v>
      </c>
      <c r="R100" s="10">
        <v>0.4</v>
      </c>
      <c r="T100" t="s">
        <v>2453</v>
      </c>
    </row>
    <row r="101" spans="1:20" x14ac:dyDescent="0.25">
      <c r="A101">
        <v>2023</v>
      </c>
      <c r="B101" t="s">
        <v>807</v>
      </c>
      <c r="C101" t="s">
        <v>718</v>
      </c>
      <c r="D101" t="s">
        <v>707</v>
      </c>
      <c r="E101" t="s">
        <v>707</v>
      </c>
      <c r="F101" t="s">
        <v>707</v>
      </c>
      <c r="G101" t="s">
        <v>2149</v>
      </c>
      <c r="H101" s="37" t="s">
        <v>1846</v>
      </c>
      <c r="I101" s="37" t="s">
        <v>720</v>
      </c>
      <c r="J101" t="s">
        <v>720</v>
      </c>
      <c r="K101" t="s">
        <v>2983</v>
      </c>
      <c r="L101" t="s">
        <v>3066</v>
      </c>
      <c r="M101" t="s">
        <v>3055</v>
      </c>
      <c r="N101" t="s">
        <v>3040</v>
      </c>
      <c r="O101" s="39" t="s">
        <v>3057</v>
      </c>
      <c r="P101" t="s">
        <v>2459</v>
      </c>
      <c r="Q101" t="s">
        <v>1954</v>
      </c>
      <c r="R101" s="10">
        <v>3.8</v>
      </c>
      <c r="T101" t="s">
        <v>2453</v>
      </c>
    </row>
    <row r="102" spans="1:20" x14ac:dyDescent="0.25">
      <c r="A102">
        <v>2023</v>
      </c>
      <c r="B102" t="s">
        <v>807</v>
      </c>
      <c r="C102" t="s">
        <v>718</v>
      </c>
      <c r="D102" t="s">
        <v>707</v>
      </c>
      <c r="E102" t="s">
        <v>707</v>
      </c>
      <c r="F102" t="s">
        <v>707</v>
      </c>
      <c r="G102" t="s">
        <v>2149</v>
      </c>
      <c r="H102" s="37" t="s">
        <v>1846</v>
      </c>
      <c r="I102" s="37" t="s">
        <v>720</v>
      </c>
      <c r="J102" t="s">
        <v>720</v>
      </c>
      <c r="K102" t="s">
        <v>2983</v>
      </c>
      <c r="L102" t="s">
        <v>3066</v>
      </c>
      <c r="M102" t="s">
        <v>3055</v>
      </c>
      <c r="N102" t="s">
        <v>3040</v>
      </c>
      <c r="O102" s="39" t="s">
        <v>3057</v>
      </c>
      <c r="P102" t="s">
        <v>2460</v>
      </c>
      <c r="Q102" t="s">
        <v>1954</v>
      </c>
      <c r="R102" s="10">
        <v>0.01</v>
      </c>
      <c r="T102" t="s">
        <v>2453</v>
      </c>
    </row>
    <row r="103" spans="1:20" x14ac:dyDescent="0.25">
      <c r="A103">
        <v>2023</v>
      </c>
      <c r="B103" t="s">
        <v>807</v>
      </c>
      <c r="C103" t="s">
        <v>718</v>
      </c>
      <c r="D103" t="s">
        <v>707</v>
      </c>
      <c r="E103" t="s">
        <v>707</v>
      </c>
      <c r="F103" t="s">
        <v>707</v>
      </c>
      <c r="G103" t="s">
        <v>2149</v>
      </c>
      <c r="H103" s="37" t="s">
        <v>1846</v>
      </c>
      <c r="I103" s="37" t="s">
        <v>720</v>
      </c>
      <c r="J103" t="s">
        <v>720</v>
      </c>
      <c r="K103" t="s">
        <v>2983</v>
      </c>
      <c r="L103" t="s">
        <v>3066</v>
      </c>
      <c r="M103" t="s">
        <v>3055</v>
      </c>
      <c r="N103" t="s">
        <v>3040</v>
      </c>
      <c r="O103" s="39" t="s">
        <v>3057</v>
      </c>
      <c r="P103" t="s">
        <v>2416</v>
      </c>
      <c r="Q103" t="s">
        <v>1954</v>
      </c>
      <c r="R103" s="10">
        <v>0.64</v>
      </c>
      <c r="T103" t="s">
        <v>2453</v>
      </c>
    </row>
    <row r="104" spans="1:20" x14ac:dyDescent="0.25">
      <c r="A104">
        <v>2023</v>
      </c>
      <c r="B104" t="s">
        <v>807</v>
      </c>
      <c r="C104" t="s">
        <v>718</v>
      </c>
      <c r="D104" t="s">
        <v>707</v>
      </c>
      <c r="E104" t="s">
        <v>707</v>
      </c>
      <c r="F104" t="s">
        <v>707</v>
      </c>
      <c r="G104" t="s">
        <v>2149</v>
      </c>
      <c r="H104" s="37" t="s">
        <v>1846</v>
      </c>
      <c r="I104" s="37" t="s">
        <v>720</v>
      </c>
      <c r="J104" t="s">
        <v>720</v>
      </c>
      <c r="K104" t="s">
        <v>2983</v>
      </c>
      <c r="L104" t="s">
        <v>3066</v>
      </c>
      <c r="M104" t="s">
        <v>3055</v>
      </c>
      <c r="N104" t="s">
        <v>3040</v>
      </c>
      <c r="O104" s="39" t="s">
        <v>3057</v>
      </c>
      <c r="P104" t="s">
        <v>2422</v>
      </c>
      <c r="Q104" t="s">
        <v>1954</v>
      </c>
      <c r="R104" s="10">
        <v>0.01</v>
      </c>
      <c r="T104" t="s">
        <v>2453</v>
      </c>
    </row>
    <row r="105" spans="1:20" x14ac:dyDescent="0.25">
      <c r="A105">
        <v>2023</v>
      </c>
      <c r="B105" t="s">
        <v>807</v>
      </c>
      <c r="C105" t="s">
        <v>1937</v>
      </c>
      <c r="D105" t="s">
        <v>707</v>
      </c>
      <c r="E105" t="s">
        <v>707</v>
      </c>
      <c r="F105" t="s">
        <v>707</v>
      </c>
      <c r="G105" t="s">
        <v>1936</v>
      </c>
      <c r="H105" s="37" t="s">
        <v>233</v>
      </c>
      <c r="I105" s="37" t="s">
        <v>720</v>
      </c>
      <c r="J105" t="s">
        <v>1544</v>
      </c>
      <c r="K105" t="s">
        <v>2983</v>
      </c>
      <c r="L105" t="s">
        <v>3066</v>
      </c>
      <c r="M105" t="s">
        <v>3055</v>
      </c>
      <c r="N105" t="s">
        <v>3040</v>
      </c>
      <c r="O105" s="39" t="s">
        <v>3057</v>
      </c>
      <c r="P105" t="s">
        <v>1605</v>
      </c>
      <c r="Q105" t="s">
        <v>1635</v>
      </c>
      <c r="R105" s="10">
        <v>6047</v>
      </c>
      <c r="T105" t="s">
        <v>1940</v>
      </c>
    </row>
    <row r="106" spans="1:20" x14ac:dyDescent="0.25">
      <c r="A106">
        <v>2023</v>
      </c>
      <c r="B106" t="s">
        <v>807</v>
      </c>
      <c r="C106" t="s">
        <v>1937</v>
      </c>
      <c r="D106" t="s">
        <v>707</v>
      </c>
      <c r="E106" t="s">
        <v>707</v>
      </c>
      <c r="F106" t="s">
        <v>707</v>
      </c>
      <c r="G106" t="s">
        <v>1936</v>
      </c>
      <c r="H106" s="37" t="s">
        <v>233</v>
      </c>
      <c r="I106" s="37" t="s">
        <v>720</v>
      </c>
      <c r="J106" t="s">
        <v>1544</v>
      </c>
      <c r="K106" t="s">
        <v>2983</v>
      </c>
      <c r="L106" t="s">
        <v>3066</v>
      </c>
      <c r="M106" t="s">
        <v>3055</v>
      </c>
      <c r="N106" t="s">
        <v>3040</v>
      </c>
      <c r="O106" s="39" t="s">
        <v>3057</v>
      </c>
      <c r="P106" t="s">
        <v>1606</v>
      </c>
      <c r="Q106" t="s">
        <v>1635</v>
      </c>
      <c r="R106" s="10">
        <v>383</v>
      </c>
      <c r="T106" t="s">
        <v>1940</v>
      </c>
    </row>
    <row r="107" spans="1:20" x14ac:dyDescent="0.25">
      <c r="A107">
        <v>2023</v>
      </c>
      <c r="B107" t="s">
        <v>807</v>
      </c>
      <c r="C107" t="s">
        <v>358</v>
      </c>
      <c r="D107" t="s">
        <v>707</v>
      </c>
      <c r="E107" t="s">
        <v>707</v>
      </c>
      <c r="F107" t="s">
        <v>707</v>
      </c>
      <c r="G107" t="s">
        <v>2163</v>
      </c>
      <c r="H107" s="37" t="s">
        <v>233</v>
      </c>
      <c r="I107" s="37" t="s">
        <v>274</v>
      </c>
      <c r="J107" t="s">
        <v>360</v>
      </c>
      <c r="K107" t="s">
        <v>2983</v>
      </c>
      <c r="L107" t="s">
        <v>3066</v>
      </c>
      <c r="M107" t="s">
        <v>3055</v>
      </c>
      <c r="N107" t="s">
        <v>3040</v>
      </c>
      <c r="O107" s="39" t="s">
        <v>3057</v>
      </c>
      <c r="P107" t="s">
        <v>1605</v>
      </c>
      <c r="Q107" t="s">
        <v>1635</v>
      </c>
      <c r="R107" s="10">
        <v>923132712</v>
      </c>
      <c r="S107" t="s">
        <v>2353</v>
      </c>
      <c r="T107" t="s">
        <v>1904</v>
      </c>
    </row>
    <row r="108" spans="1:20" x14ac:dyDescent="0.25">
      <c r="A108">
        <v>2023</v>
      </c>
      <c r="B108" t="s">
        <v>807</v>
      </c>
      <c r="C108" t="s">
        <v>358</v>
      </c>
      <c r="D108" t="s">
        <v>707</v>
      </c>
      <c r="E108" t="s">
        <v>707</v>
      </c>
      <c r="F108" t="s">
        <v>707</v>
      </c>
      <c r="G108" t="s">
        <v>2163</v>
      </c>
      <c r="H108" s="37" t="s">
        <v>233</v>
      </c>
      <c r="I108" s="37" t="s">
        <v>274</v>
      </c>
      <c r="J108" t="s">
        <v>360</v>
      </c>
      <c r="K108" t="s">
        <v>2983</v>
      </c>
      <c r="L108" t="s">
        <v>3066</v>
      </c>
      <c r="M108" t="s">
        <v>3055</v>
      </c>
      <c r="N108" t="s">
        <v>3040</v>
      </c>
      <c r="O108" s="39" t="s">
        <v>3057</v>
      </c>
      <c r="P108" t="s">
        <v>1606</v>
      </c>
      <c r="Q108" t="s">
        <v>1635</v>
      </c>
      <c r="R108" s="10">
        <v>119558</v>
      </c>
      <c r="S108" t="s">
        <v>2353</v>
      </c>
      <c r="T108" t="s">
        <v>1904</v>
      </c>
    </row>
    <row r="109" spans="1:20" x14ac:dyDescent="0.25">
      <c r="A109">
        <v>2028</v>
      </c>
      <c r="B109" t="s">
        <v>807</v>
      </c>
      <c r="C109" t="s">
        <v>101</v>
      </c>
      <c r="D109" t="s">
        <v>707</v>
      </c>
      <c r="E109" t="s">
        <v>707</v>
      </c>
      <c r="F109" t="s">
        <v>707</v>
      </c>
      <c r="G109" t="s">
        <v>1845</v>
      </c>
      <c r="H109" s="37"/>
      <c r="I109" s="37"/>
      <c r="K109" t="s">
        <v>2983</v>
      </c>
      <c r="L109" t="s">
        <v>3066</v>
      </c>
      <c r="M109" t="s">
        <v>3055</v>
      </c>
      <c r="N109" t="s">
        <v>3040</v>
      </c>
      <c r="O109" s="39" t="s">
        <v>3057</v>
      </c>
      <c r="P109" t="s">
        <v>1605</v>
      </c>
      <c r="Q109" t="s">
        <v>1782</v>
      </c>
      <c r="R109" s="10">
        <v>863</v>
      </c>
      <c r="T109" t="s">
        <v>1843</v>
      </c>
    </row>
    <row r="110" spans="1:20" x14ac:dyDescent="0.25">
      <c r="A110">
        <v>2029</v>
      </c>
      <c r="B110" t="s">
        <v>807</v>
      </c>
      <c r="C110" t="s">
        <v>101</v>
      </c>
      <c r="D110" t="s">
        <v>707</v>
      </c>
      <c r="E110" t="s">
        <v>707</v>
      </c>
      <c r="F110" t="s">
        <v>707</v>
      </c>
      <c r="G110" t="s">
        <v>1845</v>
      </c>
      <c r="H110" s="37"/>
      <c r="I110" s="37"/>
      <c r="K110" t="s">
        <v>2983</v>
      </c>
      <c r="L110" t="s">
        <v>3066</v>
      </c>
      <c r="M110" t="s">
        <v>3055</v>
      </c>
      <c r="N110" t="s">
        <v>3040</v>
      </c>
      <c r="O110" s="39" t="s">
        <v>3057</v>
      </c>
      <c r="P110" t="s">
        <v>1606</v>
      </c>
      <c r="Q110" t="s">
        <v>1782</v>
      </c>
      <c r="R110" s="10">
        <v>309</v>
      </c>
      <c r="T110" t="s">
        <v>1843</v>
      </c>
    </row>
    <row r="111" spans="1:20" x14ac:dyDescent="0.25">
      <c r="A111">
        <v>2030</v>
      </c>
      <c r="B111" t="s">
        <v>807</v>
      </c>
      <c r="C111" t="s">
        <v>101</v>
      </c>
      <c r="D111" t="s">
        <v>707</v>
      </c>
      <c r="E111" t="s">
        <v>707</v>
      </c>
      <c r="F111" t="s">
        <v>707</v>
      </c>
      <c r="G111" t="s">
        <v>1845</v>
      </c>
      <c r="H111" s="37"/>
      <c r="I111" s="37"/>
      <c r="K111" t="s">
        <v>2983</v>
      </c>
      <c r="L111" t="s">
        <v>3066</v>
      </c>
      <c r="M111" t="s">
        <v>3055</v>
      </c>
      <c r="N111" t="s">
        <v>3040</v>
      </c>
      <c r="O111" s="39" t="s">
        <v>3057</v>
      </c>
      <c r="P111" t="s">
        <v>1607</v>
      </c>
      <c r="Q111" t="s">
        <v>1782</v>
      </c>
      <c r="R111" s="10">
        <v>3400</v>
      </c>
      <c r="T111" t="s">
        <v>1843</v>
      </c>
    </row>
    <row r="112" spans="1:20" x14ac:dyDescent="0.25">
      <c r="A112">
        <v>2023</v>
      </c>
      <c r="B112" t="s">
        <v>807</v>
      </c>
      <c r="C112" t="s">
        <v>261</v>
      </c>
      <c r="D112" t="s">
        <v>707</v>
      </c>
      <c r="E112" t="s">
        <v>707</v>
      </c>
      <c r="F112" t="s">
        <v>707</v>
      </c>
      <c r="G112" t="s">
        <v>1948</v>
      </c>
      <c r="H112" s="37" t="s">
        <v>233</v>
      </c>
      <c r="I112" s="37" t="s">
        <v>249</v>
      </c>
      <c r="J112" t="s">
        <v>376</v>
      </c>
      <c r="K112" t="s">
        <v>2981</v>
      </c>
      <c r="L112" t="s">
        <v>3067</v>
      </c>
      <c r="O112" s="39"/>
      <c r="P112" t="s">
        <v>1963</v>
      </c>
      <c r="Q112" t="s">
        <v>1629</v>
      </c>
      <c r="R112" s="10">
        <v>775.26</v>
      </c>
      <c r="T112" t="s">
        <v>1949</v>
      </c>
    </row>
    <row r="113" spans="1:20" x14ac:dyDescent="0.25">
      <c r="A113">
        <v>2023</v>
      </c>
      <c r="B113" t="s">
        <v>807</v>
      </c>
      <c r="C113" t="s">
        <v>261</v>
      </c>
      <c r="D113" t="s">
        <v>707</v>
      </c>
      <c r="E113" t="s">
        <v>707</v>
      </c>
      <c r="F113" t="s">
        <v>707</v>
      </c>
      <c r="G113" t="s">
        <v>1948</v>
      </c>
      <c r="H113" s="37" t="s">
        <v>233</v>
      </c>
      <c r="I113" s="37" t="s">
        <v>249</v>
      </c>
      <c r="J113" t="s">
        <v>376</v>
      </c>
      <c r="K113" t="s">
        <v>2981</v>
      </c>
      <c r="L113" t="s">
        <v>3067</v>
      </c>
      <c r="O113" s="39"/>
      <c r="P113" t="s">
        <v>1962</v>
      </c>
      <c r="Q113" t="s">
        <v>1629</v>
      </c>
      <c r="R113" s="10">
        <v>20</v>
      </c>
      <c r="T113" t="s">
        <v>1949</v>
      </c>
    </row>
    <row r="114" spans="1:20" x14ac:dyDescent="0.25">
      <c r="A114">
        <v>2023</v>
      </c>
      <c r="B114" t="s">
        <v>807</v>
      </c>
      <c r="C114" t="s">
        <v>261</v>
      </c>
      <c r="D114" t="s">
        <v>707</v>
      </c>
      <c r="E114" t="s">
        <v>707</v>
      </c>
      <c r="F114" t="s">
        <v>707</v>
      </c>
      <c r="G114" t="s">
        <v>1948</v>
      </c>
      <c r="H114" s="37" t="s">
        <v>233</v>
      </c>
      <c r="I114" s="37" t="s">
        <v>249</v>
      </c>
      <c r="J114" t="s">
        <v>376</v>
      </c>
      <c r="K114" t="s">
        <v>2981</v>
      </c>
      <c r="L114" t="s">
        <v>3067</v>
      </c>
      <c r="O114" s="39"/>
      <c r="P114" t="s">
        <v>1964</v>
      </c>
      <c r="Q114" t="s">
        <v>1629</v>
      </c>
      <c r="R114" s="10">
        <v>14567.44</v>
      </c>
      <c r="T114" t="s">
        <v>1949</v>
      </c>
    </row>
    <row r="115" spans="1:20" x14ac:dyDescent="0.25">
      <c r="A115">
        <v>2023</v>
      </c>
      <c r="B115" t="s">
        <v>807</v>
      </c>
      <c r="C115" t="s">
        <v>261</v>
      </c>
      <c r="D115" t="s">
        <v>707</v>
      </c>
      <c r="E115" t="s">
        <v>707</v>
      </c>
      <c r="F115" t="s">
        <v>707</v>
      </c>
      <c r="G115" t="s">
        <v>1948</v>
      </c>
      <c r="H115" s="37" t="s">
        <v>233</v>
      </c>
      <c r="I115" s="37" t="s">
        <v>249</v>
      </c>
      <c r="J115" t="s">
        <v>376</v>
      </c>
      <c r="K115" t="s">
        <v>2981</v>
      </c>
      <c r="L115" t="s">
        <v>3067</v>
      </c>
      <c r="O115" s="39"/>
      <c r="P115" t="s">
        <v>1965</v>
      </c>
      <c r="Q115" t="s">
        <v>1629</v>
      </c>
      <c r="R115" s="10">
        <v>686</v>
      </c>
      <c r="T115" t="s">
        <v>1949</v>
      </c>
    </row>
    <row r="116" spans="1:20" x14ac:dyDescent="0.25">
      <c r="A116">
        <v>2023</v>
      </c>
      <c r="B116" t="s">
        <v>807</v>
      </c>
      <c r="C116" t="s">
        <v>795</v>
      </c>
      <c r="D116" t="s">
        <v>707</v>
      </c>
      <c r="E116" t="s">
        <v>707</v>
      </c>
      <c r="F116" t="s">
        <v>707</v>
      </c>
      <c r="G116" t="s">
        <v>1993</v>
      </c>
      <c r="H116" s="37" t="s">
        <v>11</v>
      </c>
      <c r="I116" s="37" t="s">
        <v>34</v>
      </c>
      <c r="J116" t="s">
        <v>157</v>
      </c>
      <c r="K116" t="s">
        <v>2981</v>
      </c>
      <c r="L116" t="s">
        <v>3067</v>
      </c>
      <c r="O116" s="39"/>
      <c r="P116" t="s">
        <v>2000</v>
      </c>
      <c r="Q116" t="s">
        <v>1629</v>
      </c>
      <c r="R116" s="10">
        <v>1710</v>
      </c>
      <c r="T116" t="s">
        <v>2002</v>
      </c>
    </row>
    <row r="117" spans="1:20" x14ac:dyDescent="0.25">
      <c r="A117">
        <v>2024</v>
      </c>
      <c r="B117" t="s">
        <v>807</v>
      </c>
      <c r="C117" t="s">
        <v>798</v>
      </c>
      <c r="D117" t="s">
        <v>707</v>
      </c>
      <c r="E117" t="s">
        <v>707</v>
      </c>
      <c r="F117" t="s">
        <v>707</v>
      </c>
      <c r="G117" t="s">
        <v>2067</v>
      </c>
      <c r="H117" s="37"/>
      <c r="I117" s="37"/>
      <c r="J117" t="s">
        <v>720</v>
      </c>
      <c r="K117" t="s">
        <v>2981</v>
      </c>
      <c r="L117" t="s">
        <v>3067</v>
      </c>
      <c r="O117" s="39"/>
      <c r="P117" t="s">
        <v>1821</v>
      </c>
      <c r="Q117" s="10" t="s">
        <v>1629</v>
      </c>
      <c r="R117" s="10">
        <v>8632</v>
      </c>
      <c r="T117" t="s">
        <v>1824</v>
      </c>
    </row>
    <row r="118" spans="1:20" x14ac:dyDescent="0.25">
      <c r="A118">
        <v>2024</v>
      </c>
      <c r="B118" t="s">
        <v>807</v>
      </c>
      <c r="C118" t="s">
        <v>798</v>
      </c>
      <c r="D118" t="s">
        <v>707</v>
      </c>
      <c r="E118" t="s">
        <v>707</v>
      </c>
      <c r="F118" t="s">
        <v>707</v>
      </c>
      <c r="G118" t="s">
        <v>2067</v>
      </c>
      <c r="H118" s="37"/>
      <c r="I118" s="37"/>
      <c r="J118" t="s">
        <v>720</v>
      </c>
      <c r="K118" t="s">
        <v>2981</v>
      </c>
      <c r="L118" t="s">
        <v>3067</v>
      </c>
      <c r="O118" s="39"/>
      <c r="P118" t="s">
        <v>1822</v>
      </c>
      <c r="Q118" s="10" t="s">
        <v>1629</v>
      </c>
      <c r="R118" s="10">
        <v>1118</v>
      </c>
      <c r="T118" t="s">
        <v>1824</v>
      </c>
    </row>
    <row r="119" spans="1:20" x14ac:dyDescent="0.25">
      <c r="A119">
        <v>2023</v>
      </c>
      <c r="B119" t="s">
        <v>807</v>
      </c>
      <c r="C119" t="s">
        <v>101</v>
      </c>
      <c r="D119" t="s">
        <v>707</v>
      </c>
      <c r="E119" t="s">
        <v>707</v>
      </c>
      <c r="F119" t="s">
        <v>707</v>
      </c>
      <c r="G119" t="s">
        <v>1845</v>
      </c>
      <c r="H119" s="37"/>
      <c r="I119" s="37"/>
      <c r="K119" t="s">
        <v>2981</v>
      </c>
      <c r="L119" t="s">
        <v>3067</v>
      </c>
      <c r="O119" s="39"/>
      <c r="P119" t="s">
        <v>1837</v>
      </c>
      <c r="Q119" t="s">
        <v>1629</v>
      </c>
      <c r="R119" s="10">
        <v>12932</v>
      </c>
      <c r="T119" t="s">
        <v>1843</v>
      </c>
    </row>
    <row r="120" spans="1:20" x14ac:dyDescent="0.25">
      <c r="A120">
        <v>2023</v>
      </c>
      <c r="B120" t="s">
        <v>807</v>
      </c>
      <c r="C120" t="s">
        <v>261</v>
      </c>
      <c r="D120" t="s">
        <v>707</v>
      </c>
      <c r="E120" t="s">
        <v>707</v>
      </c>
      <c r="F120" t="s">
        <v>707</v>
      </c>
      <c r="G120" t="s">
        <v>1948</v>
      </c>
      <c r="H120" s="37" t="s">
        <v>233</v>
      </c>
      <c r="I120" s="37" t="s">
        <v>249</v>
      </c>
      <c r="J120" t="s">
        <v>376</v>
      </c>
      <c r="K120" t="s">
        <v>2982</v>
      </c>
      <c r="L120" t="s">
        <v>3068</v>
      </c>
      <c r="M120" t="s">
        <v>3055</v>
      </c>
      <c r="N120" t="s">
        <v>2982</v>
      </c>
      <c r="O120" s="39" t="s">
        <v>3058</v>
      </c>
      <c r="P120" t="s">
        <v>1616</v>
      </c>
      <c r="Q120" t="s">
        <v>1880</v>
      </c>
      <c r="R120" s="10">
        <v>791.3</v>
      </c>
      <c r="T120" t="s">
        <v>1949</v>
      </c>
    </row>
    <row r="121" spans="1:20" x14ac:dyDescent="0.25">
      <c r="A121">
        <v>2023</v>
      </c>
      <c r="B121" t="s">
        <v>807</v>
      </c>
      <c r="C121" t="s">
        <v>261</v>
      </c>
      <c r="D121" t="s">
        <v>707</v>
      </c>
      <c r="E121" t="s">
        <v>707</v>
      </c>
      <c r="F121" t="s">
        <v>707</v>
      </c>
      <c r="G121" t="s">
        <v>1948</v>
      </c>
      <c r="H121" s="37" t="s">
        <v>233</v>
      </c>
      <c r="I121" s="37" t="s">
        <v>249</v>
      </c>
      <c r="J121" t="s">
        <v>376</v>
      </c>
      <c r="K121" t="s">
        <v>2982</v>
      </c>
      <c r="L121" t="s">
        <v>3069</v>
      </c>
      <c r="M121" t="s">
        <v>3055</v>
      </c>
      <c r="N121" t="s">
        <v>2982</v>
      </c>
      <c r="O121" s="39" t="s">
        <v>3058</v>
      </c>
      <c r="P121" t="s">
        <v>1618</v>
      </c>
      <c r="Q121" t="s">
        <v>1880</v>
      </c>
      <c r="R121" s="10">
        <v>734.4</v>
      </c>
      <c r="T121" t="s">
        <v>1949</v>
      </c>
    </row>
    <row r="122" spans="1:20" x14ac:dyDescent="0.25">
      <c r="A122">
        <v>2023</v>
      </c>
      <c r="B122" t="s">
        <v>807</v>
      </c>
      <c r="C122" t="s">
        <v>261</v>
      </c>
      <c r="D122" t="s">
        <v>707</v>
      </c>
      <c r="E122" t="s">
        <v>707</v>
      </c>
      <c r="F122" t="s">
        <v>707</v>
      </c>
      <c r="G122" t="s">
        <v>1948</v>
      </c>
      <c r="H122" s="37" t="s">
        <v>233</v>
      </c>
      <c r="I122" s="37" t="s">
        <v>249</v>
      </c>
      <c r="J122" t="s">
        <v>376</v>
      </c>
      <c r="K122" t="s">
        <v>2982</v>
      </c>
      <c r="L122" t="s">
        <v>3070</v>
      </c>
      <c r="M122" t="s">
        <v>3055</v>
      </c>
      <c r="N122" t="s">
        <v>2982</v>
      </c>
      <c r="O122" s="39" t="s">
        <v>3058</v>
      </c>
      <c r="P122" t="s">
        <v>1639</v>
      </c>
      <c r="Q122" t="s">
        <v>1880</v>
      </c>
      <c r="R122" s="10">
        <v>59.7</v>
      </c>
      <c r="T122" t="s">
        <v>1949</v>
      </c>
    </row>
    <row r="123" spans="1:20" x14ac:dyDescent="0.25">
      <c r="A123">
        <v>2023</v>
      </c>
      <c r="B123" t="s">
        <v>807</v>
      </c>
      <c r="C123" t="s">
        <v>242</v>
      </c>
      <c r="D123" t="s">
        <v>707</v>
      </c>
      <c r="E123" t="s">
        <v>707</v>
      </c>
      <c r="F123" t="s">
        <v>707</v>
      </c>
      <c r="G123" t="s">
        <v>1981</v>
      </c>
      <c r="H123" s="37" t="s">
        <v>233</v>
      </c>
      <c r="I123" s="37" t="s">
        <v>245</v>
      </c>
      <c r="J123" t="s">
        <v>244</v>
      </c>
      <c r="K123" t="s">
        <v>2982</v>
      </c>
      <c r="L123" t="s">
        <v>3068</v>
      </c>
      <c r="M123" t="s">
        <v>3055</v>
      </c>
      <c r="N123" t="s">
        <v>2982</v>
      </c>
      <c r="O123" s="39" t="s">
        <v>3058</v>
      </c>
      <c r="P123" t="s">
        <v>1986</v>
      </c>
      <c r="Q123" t="s">
        <v>1638</v>
      </c>
      <c r="R123" s="10">
        <v>259893138</v>
      </c>
      <c r="T123" t="s">
        <v>1886</v>
      </c>
    </row>
    <row r="124" spans="1:20" x14ac:dyDescent="0.25">
      <c r="A124">
        <v>2023</v>
      </c>
      <c r="B124" t="s">
        <v>807</v>
      </c>
      <c r="C124" t="s">
        <v>208</v>
      </c>
      <c r="D124" t="s">
        <v>707</v>
      </c>
      <c r="E124" t="s">
        <v>707</v>
      </c>
      <c r="F124" t="s">
        <v>707</v>
      </c>
      <c r="G124" t="s">
        <v>1752</v>
      </c>
      <c r="H124" s="37"/>
      <c r="I124" s="37"/>
      <c r="J124" t="s">
        <v>210</v>
      </c>
      <c r="K124" t="s">
        <v>2982</v>
      </c>
      <c r="L124" t="s">
        <v>3068</v>
      </c>
      <c r="M124" t="s">
        <v>3055</v>
      </c>
      <c r="N124" t="s">
        <v>2982</v>
      </c>
      <c r="O124" s="39" t="s">
        <v>3058</v>
      </c>
      <c r="P124" t="s">
        <v>1616</v>
      </c>
      <c r="Q124" t="s">
        <v>1638</v>
      </c>
      <c r="R124" s="10">
        <v>15173917.264</v>
      </c>
      <c r="S124" t="s">
        <v>1758</v>
      </c>
      <c r="T124" t="s">
        <v>1847</v>
      </c>
    </row>
    <row r="125" spans="1:20" x14ac:dyDescent="0.25">
      <c r="A125">
        <v>2023</v>
      </c>
      <c r="B125" t="s">
        <v>807</v>
      </c>
      <c r="C125" t="s">
        <v>208</v>
      </c>
      <c r="D125" t="s">
        <v>707</v>
      </c>
      <c r="E125" t="s">
        <v>707</v>
      </c>
      <c r="F125" t="s">
        <v>707</v>
      </c>
      <c r="G125" t="s">
        <v>1752</v>
      </c>
      <c r="H125" s="37"/>
      <c r="I125" s="37"/>
      <c r="J125" t="s">
        <v>210</v>
      </c>
      <c r="K125" t="s">
        <v>2982</v>
      </c>
      <c r="L125" t="s">
        <v>3068</v>
      </c>
      <c r="M125" t="s">
        <v>3055</v>
      </c>
      <c r="N125" t="s">
        <v>2982</v>
      </c>
      <c r="O125" s="39" t="s">
        <v>3058</v>
      </c>
      <c r="P125" t="s">
        <v>1753</v>
      </c>
      <c r="Q125" t="s">
        <v>1638</v>
      </c>
      <c r="R125" s="10">
        <v>14050183</v>
      </c>
      <c r="S125" t="s">
        <v>1758</v>
      </c>
      <c r="T125" t="s">
        <v>1847</v>
      </c>
    </row>
    <row r="126" spans="1:20" x14ac:dyDescent="0.25">
      <c r="A126">
        <v>2023</v>
      </c>
      <c r="B126" t="s">
        <v>807</v>
      </c>
      <c r="C126" t="s">
        <v>208</v>
      </c>
      <c r="D126" t="s">
        <v>707</v>
      </c>
      <c r="E126" t="s">
        <v>707</v>
      </c>
      <c r="F126" t="s">
        <v>707</v>
      </c>
      <c r="G126" t="s">
        <v>1752</v>
      </c>
      <c r="H126" s="37"/>
      <c r="I126" s="37"/>
      <c r="J126" t="s">
        <v>210</v>
      </c>
      <c r="K126" t="s">
        <v>2982</v>
      </c>
      <c r="L126" t="s">
        <v>3069</v>
      </c>
      <c r="M126" t="s">
        <v>3055</v>
      </c>
      <c r="N126" t="s">
        <v>2982</v>
      </c>
      <c r="O126" s="39" t="s">
        <v>3058</v>
      </c>
      <c r="P126" t="s">
        <v>1676</v>
      </c>
      <c r="Q126" t="s">
        <v>1638</v>
      </c>
      <c r="R126" s="10">
        <v>14790791</v>
      </c>
      <c r="S126" t="s">
        <v>1758</v>
      </c>
      <c r="T126" t="s">
        <v>1847</v>
      </c>
    </row>
    <row r="127" spans="1:20" x14ac:dyDescent="0.25">
      <c r="A127">
        <v>2023</v>
      </c>
      <c r="B127" t="s">
        <v>807</v>
      </c>
      <c r="C127" t="s">
        <v>795</v>
      </c>
      <c r="D127" t="s">
        <v>707</v>
      </c>
      <c r="E127" t="s">
        <v>707</v>
      </c>
      <c r="F127" t="s">
        <v>707</v>
      </c>
      <c r="G127" t="s">
        <v>1993</v>
      </c>
      <c r="H127" s="37" t="s">
        <v>11</v>
      </c>
      <c r="I127" s="37" t="s">
        <v>34</v>
      </c>
      <c r="J127" t="s">
        <v>157</v>
      </c>
      <c r="K127" t="s">
        <v>2982</v>
      </c>
      <c r="L127" t="s">
        <v>3068</v>
      </c>
      <c r="M127" t="s">
        <v>3055</v>
      </c>
      <c r="N127" t="s">
        <v>2982</v>
      </c>
      <c r="O127" s="39" t="s">
        <v>3058</v>
      </c>
      <c r="P127" t="s">
        <v>1616</v>
      </c>
      <c r="Q127" t="s">
        <v>1880</v>
      </c>
      <c r="R127" s="10">
        <v>16.399999999999999</v>
      </c>
      <c r="T127" t="s">
        <v>2002</v>
      </c>
    </row>
    <row r="128" spans="1:20" x14ac:dyDescent="0.25">
      <c r="A128">
        <v>2023</v>
      </c>
      <c r="B128" t="s">
        <v>807</v>
      </c>
      <c r="C128" t="s">
        <v>754</v>
      </c>
      <c r="D128" t="s">
        <v>707</v>
      </c>
      <c r="E128" t="s">
        <v>707</v>
      </c>
      <c r="F128" t="s">
        <v>707</v>
      </c>
      <c r="G128" t="s">
        <v>2005</v>
      </c>
      <c r="H128" s="37" t="s">
        <v>11</v>
      </c>
      <c r="I128" s="37" t="s">
        <v>98</v>
      </c>
      <c r="J128" t="s">
        <v>147</v>
      </c>
      <c r="K128" t="s">
        <v>2982</v>
      </c>
      <c r="L128" t="s">
        <v>3068</v>
      </c>
      <c r="M128" t="s">
        <v>3055</v>
      </c>
      <c r="N128" t="s">
        <v>2982</v>
      </c>
      <c r="O128" s="39" t="s">
        <v>3058</v>
      </c>
      <c r="P128" t="s">
        <v>1616</v>
      </c>
      <c r="Q128" t="s">
        <v>1617</v>
      </c>
      <c r="R128" s="10">
        <v>61691</v>
      </c>
      <c r="T128" t="s">
        <v>1904</v>
      </c>
    </row>
    <row r="129" spans="1:20" x14ac:dyDescent="0.25">
      <c r="A129">
        <v>2023</v>
      </c>
      <c r="B129" t="s">
        <v>807</v>
      </c>
      <c r="C129" t="s">
        <v>754</v>
      </c>
      <c r="D129" t="s">
        <v>707</v>
      </c>
      <c r="E129" t="s">
        <v>707</v>
      </c>
      <c r="F129" t="s">
        <v>707</v>
      </c>
      <c r="G129" t="s">
        <v>2005</v>
      </c>
      <c r="H129" s="37" t="s">
        <v>11</v>
      </c>
      <c r="I129" s="37" t="s">
        <v>98</v>
      </c>
      <c r="J129" t="s">
        <v>147</v>
      </c>
      <c r="K129" t="s">
        <v>2982</v>
      </c>
      <c r="L129" t="s">
        <v>3068</v>
      </c>
      <c r="M129" t="s">
        <v>3055</v>
      </c>
      <c r="N129" t="s">
        <v>2982</v>
      </c>
      <c r="O129" s="39" t="s">
        <v>3058</v>
      </c>
      <c r="P129" t="s">
        <v>1753</v>
      </c>
      <c r="Q129" t="s">
        <v>1617</v>
      </c>
      <c r="R129" s="10">
        <v>17935</v>
      </c>
      <c r="T129" t="s">
        <v>1904</v>
      </c>
    </row>
    <row r="130" spans="1:20" x14ac:dyDescent="0.25">
      <c r="A130">
        <v>2023</v>
      </c>
      <c r="B130" t="s">
        <v>807</v>
      </c>
      <c r="C130" t="s">
        <v>754</v>
      </c>
      <c r="D130" t="s">
        <v>707</v>
      </c>
      <c r="E130" t="s">
        <v>707</v>
      </c>
      <c r="F130" t="s">
        <v>707</v>
      </c>
      <c r="G130" t="s">
        <v>2005</v>
      </c>
      <c r="H130" s="37" t="s">
        <v>11</v>
      </c>
      <c r="I130" s="37" t="s">
        <v>98</v>
      </c>
      <c r="J130" t="s">
        <v>147</v>
      </c>
      <c r="K130" t="s">
        <v>2982</v>
      </c>
      <c r="L130" t="s">
        <v>3070</v>
      </c>
      <c r="M130" t="s">
        <v>3055</v>
      </c>
      <c r="N130" t="s">
        <v>2982</v>
      </c>
      <c r="O130" s="39" t="s">
        <v>3058</v>
      </c>
      <c r="P130" t="s">
        <v>1639</v>
      </c>
      <c r="Q130" t="s">
        <v>1617</v>
      </c>
      <c r="R130" s="10">
        <v>29125</v>
      </c>
      <c r="T130" t="s">
        <v>1904</v>
      </c>
    </row>
    <row r="131" spans="1:20" x14ac:dyDescent="0.25">
      <c r="A131">
        <v>2023</v>
      </c>
      <c r="B131" t="s">
        <v>807</v>
      </c>
      <c r="C131" t="s">
        <v>754</v>
      </c>
      <c r="D131" t="s">
        <v>707</v>
      </c>
      <c r="E131" t="s">
        <v>707</v>
      </c>
      <c r="F131" t="s">
        <v>707</v>
      </c>
      <c r="G131" t="s">
        <v>2005</v>
      </c>
      <c r="H131" s="37" t="s">
        <v>11</v>
      </c>
      <c r="I131" s="37" t="s">
        <v>98</v>
      </c>
      <c r="J131" t="s">
        <v>147</v>
      </c>
      <c r="K131" t="s">
        <v>2982</v>
      </c>
      <c r="L131" t="s">
        <v>3069</v>
      </c>
      <c r="M131" t="s">
        <v>3055</v>
      </c>
      <c r="N131" t="s">
        <v>2982</v>
      </c>
      <c r="O131" s="39" t="s">
        <v>3058</v>
      </c>
      <c r="P131" t="s">
        <v>1676</v>
      </c>
      <c r="Q131" t="s">
        <v>1617</v>
      </c>
      <c r="R131" s="10">
        <v>29416</v>
      </c>
      <c r="T131" t="s">
        <v>1904</v>
      </c>
    </row>
    <row r="132" spans="1:20" x14ac:dyDescent="0.25">
      <c r="A132">
        <v>2021</v>
      </c>
      <c r="B132" t="s">
        <v>807</v>
      </c>
      <c r="C132" t="s">
        <v>716</v>
      </c>
      <c r="D132" t="s">
        <v>707</v>
      </c>
      <c r="E132" t="s">
        <v>707</v>
      </c>
      <c r="F132" t="s">
        <v>707</v>
      </c>
      <c r="G132" t="s">
        <v>2069</v>
      </c>
      <c r="H132" s="37" t="s">
        <v>233</v>
      </c>
      <c r="I132" s="37" t="s">
        <v>720</v>
      </c>
      <c r="J132" t="s">
        <v>244</v>
      </c>
      <c r="K132" t="s">
        <v>2982</v>
      </c>
      <c r="L132" t="s">
        <v>3068</v>
      </c>
      <c r="M132" t="s">
        <v>3055</v>
      </c>
      <c r="N132" t="s">
        <v>2982</v>
      </c>
      <c r="O132" s="39" t="s">
        <v>3058</v>
      </c>
      <c r="P132" t="s">
        <v>1899</v>
      </c>
      <c r="Q132" t="s">
        <v>1880</v>
      </c>
      <c r="R132" s="10">
        <v>196.22</v>
      </c>
      <c r="T132" s="10" t="s">
        <v>2290</v>
      </c>
    </row>
    <row r="133" spans="1:20" x14ac:dyDescent="0.25">
      <c r="A133">
        <v>2021</v>
      </c>
      <c r="B133" t="s">
        <v>807</v>
      </c>
      <c r="C133" t="s">
        <v>716</v>
      </c>
      <c r="D133" t="s">
        <v>707</v>
      </c>
      <c r="E133" t="s">
        <v>707</v>
      </c>
      <c r="F133" t="s">
        <v>707</v>
      </c>
      <c r="G133" t="s">
        <v>2069</v>
      </c>
      <c r="H133" s="37" t="s">
        <v>233</v>
      </c>
      <c r="I133" s="37" t="s">
        <v>720</v>
      </c>
      <c r="J133" t="s">
        <v>244</v>
      </c>
      <c r="K133" t="s">
        <v>2982</v>
      </c>
      <c r="L133" t="s">
        <v>3069</v>
      </c>
      <c r="M133" t="s">
        <v>3055</v>
      </c>
      <c r="N133" t="s">
        <v>2982</v>
      </c>
      <c r="O133" s="39" t="s">
        <v>3058</v>
      </c>
      <c r="P133" t="s">
        <v>1676</v>
      </c>
      <c r="Q133" t="s">
        <v>1880</v>
      </c>
      <c r="R133" s="10">
        <v>121.49</v>
      </c>
      <c r="T133" s="10" t="s">
        <v>2290</v>
      </c>
    </row>
    <row r="134" spans="1:20" x14ac:dyDescent="0.25">
      <c r="A134">
        <v>2023</v>
      </c>
      <c r="B134" t="s">
        <v>807</v>
      </c>
      <c r="C134" t="s">
        <v>715</v>
      </c>
      <c r="D134" t="s">
        <v>707</v>
      </c>
      <c r="E134" t="s">
        <v>707</v>
      </c>
      <c r="F134" t="s">
        <v>707</v>
      </c>
      <c r="G134" t="s">
        <v>2086</v>
      </c>
      <c r="H134" s="37" t="s">
        <v>1846</v>
      </c>
      <c r="I134" s="37" t="s">
        <v>720</v>
      </c>
      <c r="J134" t="s">
        <v>720</v>
      </c>
      <c r="K134" t="s">
        <v>2982</v>
      </c>
      <c r="L134" t="s">
        <v>3068</v>
      </c>
      <c r="M134" t="s">
        <v>3055</v>
      </c>
      <c r="N134" t="s">
        <v>2982</v>
      </c>
      <c r="O134" s="39" t="s">
        <v>3058</v>
      </c>
      <c r="P134" t="s">
        <v>1616</v>
      </c>
      <c r="Q134" t="s">
        <v>1617</v>
      </c>
      <c r="R134" s="10">
        <v>959428</v>
      </c>
      <c r="T134" t="s">
        <v>2423</v>
      </c>
    </row>
    <row r="135" spans="1:20" x14ac:dyDescent="0.25">
      <c r="A135">
        <v>2023</v>
      </c>
      <c r="B135" t="s">
        <v>807</v>
      </c>
      <c r="C135" t="s">
        <v>715</v>
      </c>
      <c r="D135" t="s">
        <v>707</v>
      </c>
      <c r="E135" t="s">
        <v>707</v>
      </c>
      <c r="F135" t="s">
        <v>707</v>
      </c>
      <c r="G135" t="s">
        <v>2086</v>
      </c>
      <c r="H135" s="37" t="s">
        <v>1846</v>
      </c>
      <c r="I135" s="37" t="s">
        <v>720</v>
      </c>
      <c r="J135" t="s">
        <v>720</v>
      </c>
      <c r="K135" t="s">
        <v>2982</v>
      </c>
      <c r="L135" t="s">
        <v>3069</v>
      </c>
      <c r="M135" t="s">
        <v>3055</v>
      </c>
      <c r="N135" t="s">
        <v>2982</v>
      </c>
      <c r="O135" s="39" t="s">
        <v>3058</v>
      </c>
      <c r="P135" t="s">
        <v>1618</v>
      </c>
      <c r="Q135" t="s">
        <v>1617</v>
      </c>
      <c r="R135" s="10">
        <v>566617</v>
      </c>
      <c r="T135" t="s">
        <v>2423</v>
      </c>
    </row>
    <row r="136" spans="1:20" x14ac:dyDescent="0.25">
      <c r="A136">
        <v>2023</v>
      </c>
      <c r="B136" t="s">
        <v>807</v>
      </c>
      <c r="C136" t="s">
        <v>715</v>
      </c>
      <c r="D136" t="s">
        <v>707</v>
      </c>
      <c r="E136" t="s">
        <v>707</v>
      </c>
      <c r="F136" t="s">
        <v>707</v>
      </c>
      <c r="G136" t="s">
        <v>2086</v>
      </c>
      <c r="H136" s="37" t="s">
        <v>1846</v>
      </c>
      <c r="I136" s="37" t="s">
        <v>720</v>
      </c>
      <c r="J136" t="s">
        <v>720</v>
      </c>
      <c r="K136" t="s">
        <v>2982</v>
      </c>
      <c r="L136" t="s">
        <v>3070</v>
      </c>
      <c r="M136" t="s">
        <v>3055</v>
      </c>
      <c r="N136" t="s">
        <v>2982</v>
      </c>
      <c r="O136" s="39" t="s">
        <v>3058</v>
      </c>
      <c r="P136" t="s">
        <v>1639</v>
      </c>
      <c r="Q136" t="s">
        <v>1617</v>
      </c>
      <c r="R136" s="10">
        <v>486098</v>
      </c>
      <c r="T136" t="s">
        <v>2423</v>
      </c>
    </row>
    <row r="137" spans="1:20" x14ac:dyDescent="0.25">
      <c r="A137">
        <v>2023</v>
      </c>
      <c r="B137" t="s">
        <v>807</v>
      </c>
      <c r="C137" t="s">
        <v>8</v>
      </c>
      <c r="D137" t="s">
        <v>707</v>
      </c>
      <c r="E137" t="s">
        <v>707</v>
      </c>
      <c r="F137" t="s">
        <v>707</v>
      </c>
      <c r="G137" t="s">
        <v>1895</v>
      </c>
      <c r="H137" s="37" t="s">
        <v>11</v>
      </c>
      <c r="I137" s="37"/>
      <c r="K137" t="s">
        <v>2982</v>
      </c>
      <c r="L137" t="s">
        <v>3068</v>
      </c>
      <c r="M137" t="s">
        <v>3055</v>
      </c>
      <c r="N137" t="s">
        <v>2982</v>
      </c>
      <c r="O137" s="39" t="s">
        <v>3058</v>
      </c>
      <c r="P137" t="s">
        <v>1899</v>
      </c>
      <c r="Q137" t="s">
        <v>1897</v>
      </c>
      <c r="R137" s="10">
        <v>2424010553</v>
      </c>
      <c r="T137" t="s">
        <v>1904</v>
      </c>
    </row>
    <row r="138" spans="1:20" x14ac:dyDescent="0.25">
      <c r="A138">
        <v>2023</v>
      </c>
      <c r="B138" t="s">
        <v>807</v>
      </c>
      <c r="C138" t="s">
        <v>8</v>
      </c>
      <c r="D138" t="s">
        <v>707</v>
      </c>
      <c r="E138" t="s">
        <v>707</v>
      </c>
      <c r="F138" t="s">
        <v>707</v>
      </c>
      <c r="G138" t="s">
        <v>1895</v>
      </c>
      <c r="H138" s="37" t="s">
        <v>11</v>
      </c>
      <c r="I138" s="37"/>
      <c r="K138" t="s">
        <v>2982</v>
      </c>
      <c r="L138" t="s">
        <v>3070</v>
      </c>
      <c r="M138" t="s">
        <v>3055</v>
      </c>
      <c r="N138" t="s">
        <v>2982</v>
      </c>
      <c r="O138" s="39" t="s">
        <v>3058</v>
      </c>
      <c r="P138" t="s">
        <v>1898</v>
      </c>
      <c r="Q138" t="s">
        <v>1897</v>
      </c>
      <c r="R138" s="10">
        <v>2019639655</v>
      </c>
      <c r="T138" t="s">
        <v>1904</v>
      </c>
    </row>
    <row r="139" spans="1:20" x14ac:dyDescent="0.25">
      <c r="A139">
        <v>2023</v>
      </c>
      <c r="B139" t="s">
        <v>807</v>
      </c>
      <c r="C139" t="s">
        <v>8</v>
      </c>
      <c r="D139" t="s">
        <v>707</v>
      </c>
      <c r="E139" t="s">
        <v>707</v>
      </c>
      <c r="F139" t="s">
        <v>707</v>
      </c>
      <c r="G139" t="s">
        <v>1895</v>
      </c>
      <c r="H139" s="37" t="s">
        <v>11</v>
      </c>
      <c r="I139" s="37"/>
      <c r="K139" t="s">
        <v>2982</v>
      </c>
      <c r="L139" t="s">
        <v>3069</v>
      </c>
      <c r="M139" t="s">
        <v>3055</v>
      </c>
      <c r="N139" t="s">
        <v>2982</v>
      </c>
      <c r="O139" s="39" t="s">
        <v>3058</v>
      </c>
      <c r="P139" t="s">
        <v>1676</v>
      </c>
      <c r="Q139" t="s">
        <v>1897</v>
      </c>
      <c r="R139" s="10">
        <v>2663471722</v>
      </c>
      <c r="T139" t="s">
        <v>1904</v>
      </c>
    </row>
    <row r="140" spans="1:20" x14ac:dyDescent="0.25">
      <c r="A140">
        <v>2023</v>
      </c>
      <c r="B140" t="s">
        <v>807</v>
      </c>
      <c r="C140" t="s">
        <v>717</v>
      </c>
      <c r="D140" t="s">
        <v>707</v>
      </c>
      <c r="E140" t="s">
        <v>707</v>
      </c>
      <c r="F140" t="s">
        <v>707</v>
      </c>
      <c r="G140" t="s">
        <v>1848</v>
      </c>
      <c r="H140" s="37"/>
      <c r="I140" s="37"/>
      <c r="K140" t="s">
        <v>2982</v>
      </c>
      <c r="L140" t="s">
        <v>3068</v>
      </c>
      <c r="M140" t="s">
        <v>3055</v>
      </c>
      <c r="N140" t="s">
        <v>2982</v>
      </c>
      <c r="O140" s="39" t="s">
        <v>3058</v>
      </c>
      <c r="P140" t="s">
        <v>1616</v>
      </c>
      <c r="Q140" s="10" t="s">
        <v>1784</v>
      </c>
      <c r="R140">
        <v>17516</v>
      </c>
      <c r="T140" t="s">
        <v>1781</v>
      </c>
    </row>
    <row r="141" spans="1:20" x14ac:dyDescent="0.25">
      <c r="A141">
        <v>2023</v>
      </c>
      <c r="B141" t="s">
        <v>807</v>
      </c>
      <c r="C141" t="s">
        <v>717</v>
      </c>
      <c r="D141" t="s">
        <v>707</v>
      </c>
      <c r="E141" t="s">
        <v>707</v>
      </c>
      <c r="F141" t="s">
        <v>707</v>
      </c>
      <c r="G141" t="s">
        <v>1848</v>
      </c>
      <c r="H141" s="37"/>
      <c r="I141" s="37"/>
      <c r="K141" t="s">
        <v>2982</v>
      </c>
      <c r="L141" t="s">
        <v>3069</v>
      </c>
      <c r="M141" t="s">
        <v>3055</v>
      </c>
      <c r="N141" t="s">
        <v>2982</v>
      </c>
      <c r="O141" s="39" t="s">
        <v>3058</v>
      </c>
      <c r="P141" t="s">
        <v>1785</v>
      </c>
      <c r="Q141" s="10" t="s">
        <v>1784</v>
      </c>
      <c r="R141" s="10">
        <v>9590</v>
      </c>
      <c r="T141" t="s">
        <v>1781</v>
      </c>
    </row>
    <row r="142" spans="1:20" x14ac:dyDescent="0.25">
      <c r="A142">
        <v>2023</v>
      </c>
      <c r="B142" t="s">
        <v>807</v>
      </c>
      <c r="C142" t="s">
        <v>325</v>
      </c>
      <c r="D142" t="s">
        <v>707</v>
      </c>
      <c r="E142" t="s">
        <v>707</v>
      </c>
      <c r="F142" t="s">
        <v>707</v>
      </c>
      <c r="G142" t="s">
        <v>2119</v>
      </c>
      <c r="H142" s="37" t="s">
        <v>1846</v>
      </c>
      <c r="I142" s="37" t="s">
        <v>720</v>
      </c>
      <c r="J142" t="s">
        <v>2322</v>
      </c>
      <c r="K142" t="s">
        <v>2982</v>
      </c>
      <c r="L142" t="s">
        <v>3068</v>
      </c>
      <c r="M142" t="s">
        <v>3055</v>
      </c>
      <c r="N142" t="s">
        <v>2982</v>
      </c>
      <c r="O142" s="39" t="s">
        <v>3058</v>
      </c>
      <c r="P142" t="s">
        <v>1616</v>
      </c>
      <c r="Q142" t="s">
        <v>1617</v>
      </c>
      <c r="R142" s="10">
        <v>7761</v>
      </c>
      <c r="T142" t="s">
        <v>1904</v>
      </c>
    </row>
    <row r="143" spans="1:20" x14ac:dyDescent="0.25">
      <c r="A143">
        <v>2023</v>
      </c>
      <c r="B143" t="s">
        <v>807</v>
      </c>
      <c r="C143" t="s">
        <v>325</v>
      </c>
      <c r="D143" t="s">
        <v>707</v>
      </c>
      <c r="E143" t="s">
        <v>707</v>
      </c>
      <c r="F143" t="s">
        <v>707</v>
      </c>
      <c r="G143" t="s">
        <v>2119</v>
      </c>
      <c r="H143" s="37" t="s">
        <v>1846</v>
      </c>
      <c r="I143" s="37" t="s">
        <v>720</v>
      </c>
      <c r="J143" t="s">
        <v>2322</v>
      </c>
      <c r="K143" t="s">
        <v>2982</v>
      </c>
      <c r="L143" t="s">
        <v>3070</v>
      </c>
      <c r="M143" t="s">
        <v>3055</v>
      </c>
      <c r="N143" t="s">
        <v>2982</v>
      </c>
      <c r="O143" s="39" t="s">
        <v>3058</v>
      </c>
      <c r="P143" t="s">
        <v>2330</v>
      </c>
      <c r="Q143" t="s">
        <v>1617</v>
      </c>
      <c r="R143" s="10">
        <v>24321</v>
      </c>
      <c r="T143" t="s">
        <v>1904</v>
      </c>
    </row>
    <row r="144" spans="1:20" x14ac:dyDescent="0.25">
      <c r="A144">
        <v>2023</v>
      </c>
      <c r="B144" t="s">
        <v>807</v>
      </c>
      <c r="C144" t="s">
        <v>325</v>
      </c>
      <c r="D144" t="s">
        <v>707</v>
      </c>
      <c r="E144" t="s">
        <v>707</v>
      </c>
      <c r="F144" t="s">
        <v>707</v>
      </c>
      <c r="G144" t="s">
        <v>2119</v>
      </c>
      <c r="H144" s="37" t="s">
        <v>1846</v>
      </c>
      <c r="I144" s="37" t="s">
        <v>720</v>
      </c>
      <c r="J144" t="s">
        <v>2322</v>
      </c>
      <c r="K144" t="s">
        <v>2982</v>
      </c>
      <c r="L144" t="s">
        <v>3069</v>
      </c>
      <c r="M144" t="s">
        <v>3055</v>
      </c>
      <c r="N144" t="s">
        <v>2982</v>
      </c>
      <c r="O144" s="39" t="s">
        <v>3058</v>
      </c>
      <c r="P144" t="s">
        <v>1676</v>
      </c>
      <c r="Q144" t="s">
        <v>1617</v>
      </c>
      <c r="R144" s="10">
        <v>8466</v>
      </c>
      <c r="T144" t="s">
        <v>1904</v>
      </c>
    </row>
    <row r="145" spans="1:20" x14ac:dyDescent="0.25">
      <c r="A145">
        <v>2023</v>
      </c>
      <c r="B145" t="s">
        <v>807</v>
      </c>
      <c r="C145" t="s">
        <v>718</v>
      </c>
      <c r="D145" t="s">
        <v>707</v>
      </c>
      <c r="E145" t="s">
        <v>707</v>
      </c>
      <c r="F145" t="s">
        <v>707</v>
      </c>
      <c r="G145" t="s">
        <v>2149</v>
      </c>
      <c r="H145" s="37" t="s">
        <v>1846</v>
      </c>
      <c r="I145" s="37" t="s">
        <v>720</v>
      </c>
      <c r="J145" t="s">
        <v>720</v>
      </c>
      <c r="K145" t="s">
        <v>2982</v>
      </c>
      <c r="L145" t="s">
        <v>3068</v>
      </c>
      <c r="M145" t="s">
        <v>3055</v>
      </c>
      <c r="N145" t="s">
        <v>2982</v>
      </c>
      <c r="O145" s="39" t="s">
        <v>3058</v>
      </c>
      <c r="P145" t="s">
        <v>2465</v>
      </c>
      <c r="Q145" t="s">
        <v>2466</v>
      </c>
      <c r="R145" s="10">
        <v>1169</v>
      </c>
      <c r="T145" t="s">
        <v>2453</v>
      </c>
    </row>
    <row r="146" spans="1:20" x14ac:dyDescent="0.25">
      <c r="A146">
        <v>2023</v>
      </c>
      <c r="B146" t="s">
        <v>807</v>
      </c>
      <c r="C146" t="s">
        <v>718</v>
      </c>
      <c r="D146" t="s">
        <v>707</v>
      </c>
      <c r="E146" t="s">
        <v>707</v>
      </c>
      <c r="F146" t="s">
        <v>707</v>
      </c>
      <c r="G146" t="s">
        <v>2149</v>
      </c>
      <c r="H146" s="37" t="s">
        <v>1846</v>
      </c>
      <c r="I146" s="37" t="s">
        <v>720</v>
      </c>
      <c r="J146" t="s">
        <v>720</v>
      </c>
      <c r="K146" t="s">
        <v>2982</v>
      </c>
      <c r="L146" t="s">
        <v>3069</v>
      </c>
      <c r="M146" t="s">
        <v>3055</v>
      </c>
      <c r="N146" t="s">
        <v>2982</v>
      </c>
      <c r="O146" s="39" t="s">
        <v>3058</v>
      </c>
      <c r="P146" t="s">
        <v>1676</v>
      </c>
      <c r="Q146" t="s">
        <v>2466</v>
      </c>
      <c r="R146" s="10">
        <v>692</v>
      </c>
      <c r="T146" t="s">
        <v>2453</v>
      </c>
    </row>
    <row r="147" spans="1:20" x14ac:dyDescent="0.25">
      <c r="A147">
        <v>2023</v>
      </c>
      <c r="B147" t="s">
        <v>807</v>
      </c>
      <c r="C147" t="s">
        <v>718</v>
      </c>
      <c r="D147" t="s">
        <v>707</v>
      </c>
      <c r="E147" t="s">
        <v>707</v>
      </c>
      <c r="F147" t="s">
        <v>707</v>
      </c>
      <c r="G147" t="s">
        <v>2149</v>
      </c>
      <c r="H147" s="37" t="s">
        <v>1846</v>
      </c>
      <c r="I147" s="37" t="s">
        <v>720</v>
      </c>
      <c r="J147" t="s">
        <v>720</v>
      </c>
      <c r="K147" t="s">
        <v>2982</v>
      </c>
      <c r="L147" t="s">
        <v>3070</v>
      </c>
      <c r="M147" t="s">
        <v>3055</v>
      </c>
      <c r="N147" t="s">
        <v>2982</v>
      </c>
      <c r="O147" s="39" t="s">
        <v>3058</v>
      </c>
      <c r="P147" t="s">
        <v>1639</v>
      </c>
      <c r="Q147" t="s">
        <v>2466</v>
      </c>
      <c r="R147" s="10">
        <v>639</v>
      </c>
      <c r="T147" t="s">
        <v>2453</v>
      </c>
    </row>
    <row r="148" spans="1:20" x14ac:dyDescent="0.25">
      <c r="A148">
        <v>2023</v>
      </c>
      <c r="B148" t="s">
        <v>807</v>
      </c>
      <c r="C148" t="s">
        <v>718</v>
      </c>
      <c r="D148" t="s">
        <v>707</v>
      </c>
      <c r="E148" t="s">
        <v>707</v>
      </c>
      <c r="F148" t="s">
        <v>707</v>
      </c>
      <c r="G148" t="s">
        <v>2149</v>
      </c>
      <c r="H148" s="37" t="s">
        <v>1846</v>
      </c>
      <c r="I148" s="37" t="s">
        <v>720</v>
      </c>
      <c r="J148" t="s">
        <v>376</v>
      </c>
      <c r="K148" t="s">
        <v>2982</v>
      </c>
      <c r="L148" t="s">
        <v>3068</v>
      </c>
      <c r="M148" t="s">
        <v>3055</v>
      </c>
      <c r="N148" t="s">
        <v>2982</v>
      </c>
      <c r="O148" s="39" t="s">
        <v>3058</v>
      </c>
      <c r="P148" t="s">
        <v>2468</v>
      </c>
      <c r="Q148" t="s">
        <v>2466</v>
      </c>
      <c r="R148" s="10">
        <v>23</v>
      </c>
      <c r="T148" t="s">
        <v>2453</v>
      </c>
    </row>
    <row r="149" spans="1:20" x14ac:dyDescent="0.25">
      <c r="A149">
        <v>2023</v>
      </c>
      <c r="B149" t="s">
        <v>807</v>
      </c>
      <c r="C149" t="s">
        <v>718</v>
      </c>
      <c r="D149" t="s">
        <v>707</v>
      </c>
      <c r="E149" t="s">
        <v>707</v>
      </c>
      <c r="F149" t="s">
        <v>707</v>
      </c>
      <c r="G149" t="s">
        <v>2149</v>
      </c>
      <c r="H149" s="37" t="s">
        <v>1846</v>
      </c>
      <c r="I149" s="37" t="s">
        <v>720</v>
      </c>
      <c r="J149" t="s">
        <v>147</v>
      </c>
      <c r="K149" t="s">
        <v>2982</v>
      </c>
      <c r="L149" t="s">
        <v>3068</v>
      </c>
      <c r="M149" t="s">
        <v>3055</v>
      </c>
      <c r="N149" t="s">
        <v>2982</v>
      </c>
      <c r="O149" s="39" t="s">
        <v>3058</v>
      </c>
      <c r="P149" t="s">
        <v>2468</v>
      </c>
      <c r="Q149" t="s">
        <v>2466</v>
      </c>
      <c r="R149" s="10">
        <v>3</v>
      </c>
      <c r="T149" t="s">
        <v>2453</v>
      </c>
    </row>
    <row r="150" spans="1:20" x14ac:dyDescent="0.25">
      <c r="A150">
        <v>2023</v>
      </c>
      <c r="B150" t="s">
        <v>807</v>
      </c>
      <c r="C150" t="s">
        <v>718</v>
      </c>
      <c r="D150" t="s">
        <v>707</v>
      </c>
      <c r="E150" t="s">
        <v>707</v>
      </c>
      <c r="F150" t="s">
        <v>707</v>
      </c>
      <c r="G150" t="s">
        <v>2149</v>
      </c>
      <c r="H150" s="37" t="s">
        <v>1846</v>
      </c>
      <c r="I150" s="37" t="s">
        <v>720</v>
      </c>
      <c r="J150" t="s">
        <v>2467</v>
      </c>
      <c r="K150" t="s">
        <v>2982</v>
      </c>
      <c r="L150" t="s">
        <v>3068</v>
      </c>
      <c r="M150" t="s">
        <v>3055</v>
      </c>
      <c r="N150" t="s">
        <v>2982</v>
      </c>
      <c r="O150" s="39" t="s">
        <v>3058</v>
      </c>
      <c r="P150" t="s">
        <v>2468</v>
      </c>
      <c r="Q150" t="s">
        <v>2466</v>
      </c>
      <c r="R150" s="10">
        <v>44</v>
      </c>
      <c r="T150" t="s">
        <v>2453</v>
      </c>
    </row>
    <row r="151" spans="1:20" x14ac:dyDescent="0.25">
      <c r="A151">
        <v>2023</v>
      </c>
      <c r="B151" t="s">
        <v>807</v>
      </c>
      <c r="C151" t="s">
        <v>718</v>
      </c>
      <c r="D151" t="s">
        <v>707</v>
      </c>
      <c r="E151" t="s">
        <v>707</v>
      </c>
      <c r="F151" t="s">
        <v>707</v>
      </c>
      <c r="G151" t="s">
        <v>2149</v>
      </c>
      <c r="H151" s="37" t="s">
        <v>1846</v>
      </c>
      <c r="I151" s="37" t="s">
        <v>720</v>
      </c>
      <c r="J151" t="s">
        <v>340</v>
      </c>
      <c r="K151" t="s">
        <v>2982</v>
      </c>
      <c r="L151" t="s">
        <v>3068</v>
      </c>
      <c r="M151" t="s">
        <v>3055</v>
      </c>
      <c r="N151" t="s">
        <v>2982</v>
      </c>
      <c r="O151" s="39" t="s">
        <v>3058</v>
      </c>
      <c r="P151" t="s">
        <v>2468</v>
      </c>
      <c r="Q151" t="s">
        <v>2466</v>
      </c>
      <c r="R151" s="10">
        <v>185</v>
      </c>
      <c r="T151" t="s">
        <v>2453</v>
      </c>
    </row>
    <row r="152" spans="1:20" x14ac:dyDescent="0.25">
      <c r="A152">
        <v>2023</v>
      </c>
      <c r="B152" t="s">
        <v>807</v>
      </c>
      <c r="C152" t="s">
        <v>1937</v>
      </c>
      <c r="D152" t="s">
        <v>707</v>
      </c>
      <c r="E152" t="s">
        <v>707</v>
      </c>
      <c r="F152" t="s">
        <v>707</v>
      </c>
      <c r="G152" t="s">
        <v>1936</v>
      </c>
      <c r="H152" s="37" t="s">
        <v>233</v>
      </c>
      <c r="I152" s="37" t="s">
        <v>720</v>
      </c>
      <c r="J152" t="s">
        <v>1544</v>
      </c>
      <c r="K152" t="s">
        <v>2982</v>
      </c>
      <c r="L152" t="s">
        <v>3070</v>
      </c>
      <c r="M152" t="s">
        <v>3055</v>
      </c>
      <c r="N152" t="s">
        <v>2982</v>
      </c>
      <c r="O152" s="39" t="s">
        <v>3058</v>
      </c>
      <c r="P152" t="s">
        <v>1746</v>
      </c>
      <c r="Q152" t="s">
        <v>1638</v>
      </c>
      <c r="R152" s="10">
        <v>223236</v>
      </c>
      <c r="T152" t="s">
        <v>1940</v>
      </c>
    </row>
    <row r="153" spans="1:20" x14ac:dyDescent="0.25">
      <c r="A153">
        <v>2023</v>
      </c>
      <c r="B153" t="s">
        <v>807</v>
      </c>
      <c r="C153" t="s">
        <v>208</v>
      </c>
      <c r="D153" t="s">
        <v>707</v>
      </c>
      <c r="E153" t="s">
        <v>707</v>
      </c>
      <c r="F153" t="s">
        <v>707</v>
      </c>
      <c r="G153" t="s">
        <v>1752</v>
      </c>
      <c r="H153" s="37"/>
      <c r="I153" s="37"/>
      <c r="J153" t="s">
        <v>210</v>
      </c>
      <c r="K153" t="s">
        <v>2983</v>
      </c>
      <c r="L153" t="s">
        <v>3066</v>
      </c>
      <c r="M153" t="s">
        <v>3054</v>
      </c>
      <c r="N153" t="s">
        <v>1760</v>
      </c>
      <c r="O153" s="39" t="s">
        <v>3051</v>
      </c>
      <c r="P153" t="s">
        <v>707</v>
      </c>
      <c r="Q153" s="10" t="s">
        <v>1546</v>
      </c>
      <c r="R153" s="10">
        <v>79.864884310000008</v>
      </c>
      <c r="S153" t="s">
        <v>1758</v>
      </c>
      <c r="T153" t="s">
        <v>1847</v>
      </c>
    </row>
    <row r="154" spans="1:20" x14ac:dyDescent="0.25">
      <c r="A154">
        <v>2023</v>
      </c>
      <c r="B154" t="s">
        <v>807</v>
      </c>
      <c r="C154" t="s">
        <v>261</v>
      </c>
      <c r="D154" t="s">
        <v>707</v>
      </c>
      <c r="E154" t="s">
        <v>707</v>
      </c>
      <c r="F154" t="s">
        <v>707</v>
      </c>
      <c r="G154" t="s">
        <v>1948</v>
      </c>
      <c r="H154" s="37" t="s">
        <v>233</v>
      </c>
      <c r="I154" s="37" t="s">
        <v>249</v>
      </c>
      <c r="J154" t="s">
        <v>376</v>
      </c>
      <c r="K154" t="s">
        <v>2983</v>
      </c>
      <c r="L154" t="s">
        <v>3066</v>
      </c>
      <c r="M154" t="s">
        <v>3054</v>
      </c>
      <c r="N154" t="s">
        <v>1612</v>
      </c>
      <c r="O154" s="39" t="s">
        <v>3042</v>
      </c>
      <c r="P154" t="s">
        <v>707</v>
      </c>
      <c r="Q154" t="s">
        <v>1566</v>
      </c>
      <c r="R154" s="10">
        <v>205.16</v>
      </c>
      <c r="T154" t="s">
        <v>1949</v>
      </c>
    </row>
    <row r="155" spans="1:20" x14ac:dyDescent="0.25">
      <c r="A155">
        <v>2023</v>
      </c>
      <c r="B155" t="s">
        <v>807</v>
      </c>
      <c r="C155" t="s">
        <v>242</v>
      </c>
      <c r="D155" t="s">
        <v>707</v>
      </c>
      <c r="E155" t="s">
        <v>707</v>
      </c>
      <c r="F155" t="s">
        <v>707</v>
      </c>
      <c r="G155" t="s">
        <v>1981</v>
      </c>
      <c r="H155" s="37" t="s">
        <v>233</v>
      </c>
      <c r="I155" s="37" t="s">
        <v>245</v>
      </c>
      <c r="J155" t="s">
        <v>244</v>
      </c>
      <c r="K155" t="s">
        <v>2983</v>
      </c>
      <c r="L155" t="s">
        <v>3066</v>
      </c>
      <c r="M155" t="s">
        <v>3054</v>
      </c>
      <c r="N155" t="s">
        <v>1612</v>
      </c>
      <c r="O155" s="39" t="s">
        <v>3042</v>
      </c>
      <c r="P155" t="s">
        <v>707</v>
      </c>
      <c r="Q155" t="s">
        <v>1546</v>
      </c>
      <c r="R155" s="10">
        <v>766</v>
      </c>
      <c r="T155" t="s">
        <v>1886</v>
      </c>
    </row>
    <row r="156" spans="1:20" x14ac:dyDescent="0.25">
      <c r="A156">
        <v>2023</v>
      </c>
      <c r="B156" t="s">
        <v>807</v>
      </c>
      <c r="C156" t="s">
        <v>208</v>
      </c>
      <c r="D156" t="s">
        <v>707</v>
      </c>
      <c r="E156" t="s">
        <v>707</v>
      </c>
      <c r="F156" t="s">
        <v>707</v>
      </c>
      <c r="G156" t="s">
        <v>1752</v>
      </c>
      <c r="H156" s="37"/>
      <c r="I156" s="37"/>
      <c r="J156" t="s">
        <v>210</v>
      </c>
      <c r="K156" t="s">
        <v>2983</v>
      </c>
      <c r="L156" t="s">
        <v>3066</v>
      </c>
      <c r="M156" t="s">
        <v>3054</v>
      </c>
      <c r="N156" t="s">
        <v>1612</v>
      </c>
      <c r="O156" s="39" t="s">
        <v>3042</v>
      </c>
      <c r="P156" t="s">
        <v>707</v>
      </c>
      <c r="Q156" s="10" t="s">
        <v>1546</v>
      </c>
      <c r="R156" s="10">
        <v>87.328356343075427</v>
      </c>
      <c r="S156" t="s">
        <v>1758</v>
      </c>
      <c r="T156" t="s">
        <v>1847</v>
      </c>
    </row>
    <row r="157" spans="1:20" x14ac:dyDescent="0.25">
      <c r="A157">
        <v>2023</v>
      </c>
      <c r="B157" t="s">
        <v>807</v>
      </c>
      <c r="C157" t="s">
        <v>795</v>
      </c>
      <c r="D157" t="s">
        <v>707</v>
      </c>
      <c r="E157" t="s">
        <v>707</v>
      </c>
      <c r="F157" t="s">
        <v>707</v>
      </c>
      <c r="G157" t="s">
        <v>1993</v>
      </c>
      <c r="H157" s="37" t="s">
        <v>11</v>
      </c>
      <c r="I157" s="37" t="s">
        <v>34</v>
      </c>
      <c r="J157" t="s">
        <v>157</v>
      </c>
      <c r="K157" t="s">
        <v>2983</v>
      </c>
      <c r="L157" t="s">
        <v>3066</v>
      </c>
      <c r="M157" t="s">
        <v>3054</v>
      </c>
      <c r="N157" t="s">
        <v>1612</v>
      </c>
      <c r="O157" s="39" t="s">
        <v>3042</v>
      </c>
      <c r="P157" t="s">
        <v>707</v>
      </c>
      <c r="Q157" t="s">
        <v>1691</v>
      </c>
      <c r="R157" s="10">
        <v>422</v>
      </c>
      <c r="T157" t="s">
        <v>2002</v>
      </c>
    </row>
    <row r="158" spans="1:20" x14ac:dyDescent="0.25">
      <c r="A158">
        <v>2023</v>
      </c>
      <c r="B158" t="s">
        <v>807</v>
      </c>
      <c r="C158" t="s">
        <v>8</v>
      </c>
      <c r="D158" t="s">
        <v>707</v>
      </c>
      <c r="E158" t="s">
        <v>707</v>
      </c>
      <c r="F158" t="s">
        <v>707</v>
      </c>
      <c r="G158" t="s">
        <v>1895</v>
      </c>
      <c r="H158" s="37" t="s">
        <v>11</v>
      </c>
      <c r="I158" s="37"/>
      <c r="K158" t="s">
        <v>2983</v>
      </c>
      <c r="L158" t="s">
        <v>3066</v>
      </c>
      <c r="M158" t="s">
        <v>3054</v>
      </c>
      <c r="N158" t="s">
        <v>1612</v>
      </c>
      <c r="O158" s="39" t="s">
        <v>3042</v>
      </c>
      <c r="P158" t="s">
        <v>707</v>
      </c>
      <c r="Q158" t="s">
        <v>1546</v>
      </c>
      <c r="R158" s="10">
        <v>3.57</v>
      </c>
      <c r="T158" t="s">
        <v>1904</v>
      </c>
    </row>
    <row r="159" spans="1:20" x14ac:dyDescent="0.25">
      <c r="A159">
        <v>2021</v>
      </c>
      <c r="B159" t="s">
        <v>807</v>
      </c>
      <c r="C159" t="s">
        <v>716</v>
      </c>
      <c r="D159" t="s">
        <v>707</v>
      </c>
      <c r="E159" t="s">
        <v>707</v>
      </c>
      <c r="F159" t="s">
        <v>707</v>
      </c>
      <c r="G159" t="s">
        <v>2069</v>
      </c>
      <c r="H159" s="37" t="s">
        <v>233</v>
      </c>
      <c r="I159" s="37" t="s">
        <v>720</v>
      </c>
      <c r="J159" t="s">
        <v>244</v>
      </c>
      <c r="K159" t="s">
        <v>2983</v>
      </c>
      <c r="L159" t="s">
        <v>3066</v>
      </c>
      <c r="M159" t="s">
        <v>3055</v>
      </c>
      <c r="N159" t="s">
        <v>2288</v>
      </c>
      <c r="O159" s="39" t="s">
        <v>2288</v>
      </c>
      <c r="P159" t="s">
        <v>707</v>
      </c>
      <c r="Q159" t="s">
        <v>1566</v>
      </c>
      <c r="R159" s="10">
        <v>42.58</v>
      </c>
      <c r="T159" s="10" t="s">
        <v>2290</v>
      </c>
    </row>
    <row r="160" spans="1:20" x14ac:dyDescent="0.25">
      <c r="A160">
        <v>2023</v>
      </c>
      <c r="B160" t="s">
        <v>807</v>
      </c>
      <c r="C160" t="s">
        <v>718</v>
      </c>
      <c r="D160" t="s">
        <v>707</v>
      </c>
      <c r="E160" t="s">
        <v>707</v>
      </c>
      <c r="F160" t="s">
        <v>707</v>
      </c>
      <c r="G160" t="s">
        <v>2149</v>
      </c>
      <c r="H160" s="37" t="s">
        <v>1846</v>
      </c>
      <c r="I160" s="37" t="s">
        <v>720</v>
      </c>
      <c r="J160" t="s">
        <v>720</v>
      </c>
      <c r="K160" t="s">
        <v>2983</v>
      </c>
      <c r="L160" t="s">
        <v>3066</v>
      </c>
      <c r="M160" t="s">
        <v>3055</v>
      </c>
      <c r="N160" t="s">
        <v>2461</v>
      </c>
      <c r="O160" s="39" t="s">
        <v>2288</v>
      </c>
      <c r="P160" t="s">
        <v>707</v>
      </c>
      <c r="Q160" t="s">
        <v>1566</v>
      </c>
      <c r="R160" s="10">
        <v>2.61</v>
      </c>
      <c r="T160" t="s">
        <v>2453</v>
      </c>
    </row>
    <row r="161" spans="1:20" x14ac:dyDescent="0.25">
      <c r="A161">
        <v>2023</v>
      </c>
      <c r="B161" t="s">
        <v>807</v>
      </c>
      <c r="C161" t="s">
        <v>208</v>
      </c>
      <c r="D161" t="s">
        <v>707</v>
      </c>
      <c r="E161" t="s">
        <v>707</v>
      </c>
      <c r="F161" t="s">
        <v>707</v>
      </c>
      <c r="G161" t="s">
        <v>1752</v>
      </c>
      <c r="H161" s="37"/>
      <c r="I161" s="37"/>
      <c r="J161" t="s">
        <v>210</v>
      </c>
      <c r="K161" t="s">
        <v>2983</v>
      </c>
      <c r="L161" t="s">
        <v>3066</v>
      </c>
      <c r="M161" t="s">
        <v>3054</v>
      </c>
      <c r="N161" t="s">
        <v>1761</v>
      </c>
      <c r="O161" s="39" t="s">
        <v>3052</v>
      </c>
      <c r="P161" t="s">
        <v>707</v>
      </c>
      <c r="Q161" s="10" t="s">
        <v>1546</v>
      </c>
      <c r="R161" s="10">
        <v>0.48099999999999998</v>
      </c>
      <c r="S161" t="s">
        <v>1758</v>
      </c>
      <c r="T161" t="s">
        <v>1847</v>
      </c>
    </row>
    <row r="162" spans="1:20" x14ac:dyDescent="0.25">
      <c r="A162">
        <v>2023</v>
      </c>
      <c r="B162" t="s">
        <v>807</v>
      </c>
      <c r="C162" t="s">
        <v>242</v>
      </c>
      <c r="D162" t="s">
        <v>707</v>
      </c>
      <c r="E162" t="s">
        <v>707</v>
      </c>
      <c r="F162" t="s">
        <v>707</v>
      </c>
      <c r="G162" t="s">
        <v>1981</v>
      </c>
      <c r="H162" s="37" t="s">
        <v>233</v>
      </c>
      <c r="I162" s="37" t="s">
        <v>245</v>
      </c>
      <c r="J162" t="s">
        <v>244</v>
      </c>
      <c r="K162" t="s">
        <v>2983</v>
      </c>
      <c r="L162" t="s">
        <v>3066</v>
      </c>
      <c r="M162" t="s">
        <v>3054</v>
      </c>
      <c r="N162" t="s">
        <v>1615</v>
      </c>
      <c r="O162" s="39" t="s">
        <v>3043</v>
      </c>
      <c r="P162" t="s">
        <v>707</v>
      </c>
      <c r="Q162" t="s">
        <v>1546</v>
      </c>
      <c r="R162" s="10">
        <v>0.317</v>
      </c>
      <c r="T162" t="s">
        <v>1886</v>
      </c>
    </row>
    <row r="163" spans="1:20" x14ac:dyDescent="0.25">
      <c r="A163">
        <v>2023</v>
      </c>
      <c r="B163" t="s">
        <v>807</v>
      </c>
      <c r="C163" t="s">
        <v>242</v>
      </c>
      <c r="D163" t="s">
        <v>707</v>
      </c>
      <c r="E163" t="s">
        <v>707</v>
      </c>
      <c r="F163" t="s">
        <v>707</v>
      </c>
      <c r="G163" t="s">
        <v>1981</v>
      </c>
      <c r="H163" s="37" t="s">
        <v>233</v>
      </c>
      <c r="I163" s="37" t="s">
        <v>245</v>
      </c>
      <c r="J163" t="s">
        <v>244</v>
      </c>
      <c r="K163" t="s">
        <v>2983</v>
      </c>
      <c r="L163" t="s">
        <v>3066</v>
      </c>
      <c r="M163" t="s">
        <v>3054</v>
      </c>
      <c r="N163" t="s">
        <v>542</v>
      </c>
      <c r="O163" s="39" t="s">
        <v>3044</v>
      </c>
      <c r="P163" t="s">
        <v>707</v>
      </c>
      <c r="Q163" t="s">
        <v>1546</v>
      </c>
      <c r="R163" s="10">
        <v>5.18</v>
      </c>
      <c r="T163" t="s">
        <v>1886</v>
      </c>
    </row>
    <row r="164" spans="1:20" x14ac:dyDescent="0.25">
      <c r="A164">
        <v>2023</v>
      </c>
      <c r="B164" t="s">
        <v>807</v>
      </c>
      <c r="C164" t="s">
        <v>261</v>
      </c>
      <c r="D164" t="s">
        <v>707</v>
      </c>
      <c r="E164" t="s">
        <v>707</v>
      </c>
      <c r="F164" t="s">
        <v>707</v>
      </c>
      <c r="G164" t="s">
        <v>1948</v>
      </c>
      <c r="H164" s="37" t="s">
        <v>233</v>
      </c>
      <c r="I164" s="37" t="s">
        <v>249</v>
      </c>
      <c r="J164" t="s">
        <v>376</v>
      </c>
      <c r="K164" t="s">
        <v>2983</v>
      </c>
      <c r="L164" t="s">
        <v>3066</v>
      </c>
      <c r="M164" t="s">
        <v>3055</v>
      </c>
      <c r="N164" t="s">
        <v>1636</v>
      </c>
      <c r="O164" s="39" t="s">
        <v>3059</v>
      </c>
      <c r="P164" t="s">
        <v>707</v>
      </c>
      <c r="Q164" t="s">
        <v>1566</v>
      </c>
      <c r="R164" s="10">
        <v>17.8</v>
      </c>
      <c r="T164" t="s">
        <v>1949</v>
      </c>
    </row>
    <row r="165" spans="1:20" x14ac:dyDescent="0.25">
      <c r="A165">
        <v>2023</v>
      </c>
      <c r="B165" t="s">
        <v>807</v>
      </c>
      <c r="C165" t="s">
        <v>754</v>
      </c>
      <c r="D165" t="s">
        <v>707</v>
      </c>
      <c r="E165" t="s">
        <v>707</v>
      </c>
      <c r="F165" t="s">
        <v>707</v>
      </c>
      <c r="G165" t="s">
        <v>2005</v>
      </c>
      <c r="H165" s="37" t="s">
        <v>11</v>
      </c>
      <c r="I165" s="37" t="s">
        <v>98</v>
      </c>
      <c r="J165" t="s">
        <v>147</v>
      </c>
      <c r="K165" t="s">
        <v>2983</v>
      </c>
      <c r="L165" t="s">
        <v>3066</v>
      </c>
      <c r="M165" t="s">
        <v>3054</v>
      </c>
      <c r="N165" t="s">
        <v>1651</v>
      </c>
      <c r="O165" s="39" t="s">
        <v>3050</v>
      </c>
      <c r="P165" t="s">
        <v>707</v>
      </c>
      <c r="Q165" t="s">
        <v>1546</v>
      </c>
      <c r="R165" s="10">
        <v>7964</v>
      </c>
      <c r="T165" t="s">
        <v>1904</v>
      </c>
    </row>
    <row r="166" spans="1:20" x14ac:dyDescent="0.25">
      <c r="A166">
        <v>2023</v>
      </c>
      <c r="B166" t="s">
        <v>807</v>
      </c>
      <c r="C166" t="s">
        <v>242</v>
      </c>
      <c r="D166" t="s">
        <v>707</v>
      </c>
      <c r="E166" t="s">
        <v>707</v>
      </c>
      <c r="F166" t="s">
        <v>707</v>
      </c>
      <c r="G166" t="s">
        <v>1981</v>
      </c>
      <c r="H166" s="37" t="s">
        <v>233</v>
      </c>
      <c r="I166" s="37" t="s">
        <v>245</v>
      </c>
      <c r="J166" t="s">
        <v>244</v>
      </c>
      <c r="K166" t="s">
        <v>2983</v>
      </c>
      <c r="L166" t="s">
        <v>3066</v>
      </c>
      <c r="M166" t="s">
        <v>3055</v>
      </c>
      <c r="N166" t="s">
        <v>1636</v>
      </c>
      <c r="O166" s="39" t="s">
        <v>3059</v>
      </c>
      <c r="P166" t="s">
        <v>707</v>
      </c>
      <c r="Q166" t="s">
        <v>1546</v>
      </c>
      <c r="R166" s="10">
        <v>2329</v>
      </c>
      <c r="T166" t="s">
        <v>1886</v>
      </c>
    </row>
    <row r="167" spans="1:20" x14ac:dyDescent="0.25">
      <c r="A167">
        <v>2023</v>
      </c>
      <c r="B167" t="s">
        <v>807</v>
      </c>
      <c r="C167" t="s">
        <v>208</v>
      </c>
      <c r="D167" t="s">
        <v>707</v>
      </c>
      <c r="E167" t="s">
        <v>707</v>
      </c>
      <c r="F167" t="s">
        <v>707</v>
      </c>
      <c r="G167" t="s">
        <v>1752</v>
      </c>
      <c r="H167" s="37"/>
      <c r="I167" s="37"/>
      <c r="J167" t="s">
        <v>210</v>
      </c>
      <c r="K167" t="s">
        <v>2983</v>
      </c>
      <c r="L167" t="s">
        <v>3066</v>
      </c>
      <c r="M167" t="s">
        <v>3055</v>
      </c>
      <c r="N167" t="s">
        <v>1636</v>
      </c>
      <c r="O167" s="39" t="s">
        <v>3059</v>
      </c>
      <c r="P167" t="s">
        <v>707</v>
      </c>
      <c r="Q167" s="10" t="s">
        <v>1546</v>
      </c>
      <c r="R167" s="10">
        <v>181.69171559893115</v>
      </c>
      <c r="S167" t="s">
        <v>1758</v>
      </c>
      <c r="T167" t="s">
        <v>1847</v>
      </c>
    </row>
    <row r="168" spans="1:20" x14ac:dyDescent="0.25">
      <c r="A168">
        <v>2023</v>
      </c>
      <c r="B168" t="s">
        <v>807</v>
      </c>
      <c r="C168" t="s">
        <v>795</v>
      </c>
      <c r="D168" t="s">
        <v>707</v>
      </c>
      <c r="E168" t="s">
        <v>707</v>
      </c>
      <c r="F168" t="s">
        <v>707</v>
      </c>
      <c r="G168" t="s">
        <v>1993</v>
      </c>
      <c r="H168" s="37" t="s">
        <v>11</v>
      </c>
      <c r="I168" s="37" t="s">
        <v>34</v>
      </c>
      <c r="J168" t="s">
        <v>157</v>
      </c>
      <c r="K168" t="s">
        <v>2983</v>
      </c>
      <c r="L168" t="s">
        <v>3066</v>
      </c>
      <c r="M168" t="s">
        <v>3055</v>
      </c>
      <c r="N168" t="s">
        <v>1636</v>
      </c>
      <c r="O168" s="39" t="s">
        <v>3059</v>
      </c>
      <c r="P168" t="s">
        <v>707</v>
      </c>
      <c r="Q168" t="s">
        <v>1691</v>
      </c>
      <c r="R168" s="10">
        <v>232</v>
      </c>
      <c r="T168" t="s">
        <v>2002</v>
      </c>
    </row>
    <row r="169" spans="1:20" x14ac:dyDescent="0.25">
      <c r="A169">
        <v>2021</v>
      </c>
      <c r="B169" t="s">
        <v>807</v>
      </c>
      <c r="C169" t="s">
        <v>716</v>
      </c>
      <c r="D169" t="s">
        <v>707</v>
      </c>
      <c r="E169" t="s">
        <v>707</v>
      </c>
      <c r="F169" t="s">
        <v>707</v>
      </c>
      <c r="G169" t="s">
        <v>2069</v>
      </c>
      <c r="H169" s="37" t="s">
        <v>233</v>
      </c>
      <c r="I169" s="37" t="s">
        <v>720</v>
      </c>
      <c r="J169" t="s">
        <v>244</v>
      </c>
      <c r="K169" t="s">
        <v>2983</v>
      </c>
      <c r="L169" t="s">
        <v>3066</v>
      </c>
      <c r="M169" t="s">
        <v>3055</v>
      </c>
      <c r="N169" t="s">
        <v>1636</v>
      </c>
      <c r="O169" s="39" t="s">
        <v>3059</v>
      </c>
      <c r="P169" t="s">
        <v>707</v>
      </c>
      <c r="Q169" t="s">
        <v>1566</v>
      </c>
      <c r="R169" s="10">
        <v>25.2</v>
      </c>
      <c r="T169" s="10" t="s">
        <v>2290</v>
      </c>
    </row>
    <row r="170" spans="1:20" x14ac:dyDescent="0.25">
      <c r="A170">
        <v>2023</v>
      </c>
      <c r="B170" t="s">
        <v>807</v>
      </c>
      <c r="C170" t="s">
        <v>8</v>
      </c>
      <c r="D170" t="s">
        <v>707</v>
      </c>
      <c r="E170" t="s">
        <v>707</v>
      </c>
      <c r="F170" t="s">
        <v>707</v>
      </c>
      <c r="G170" t="s">
        <v>1895</v>
      </c>
      <c r="H170" s="37" t="s">
        <v>11</v>
      </c>
      <c r="I170" s="37"/>
      <c r="K170" t="s">
        <v>2983</v>
      </c>
      <c r="L170" t="s">
        <v>3066</v>
      </c>
      <c r="M170" t="s">
        <v>3055</v>
      </c>
      <c r="N170" t="s">
        <v>1636</v>
      </c>
      <c r="O170" s="39" t="s">
        <v>3059</v>
      </c>
      <c r="P170" t="s">
        <v>707</v>
      </c>
      <c r="Q170" t="s">
        <v>1546</v>
      </c>
      <c r="R170" s="10">
        <v>71.58</v>
      </c>
      <c r="T170" t="s">
        <v>1904</v>
      </c>
    </row>
    <row r="171" spans="1:20" x14ac:dyDescent="0.25">
      <c r="A171">
        <v>2023</v>
      </c>
      <c r="B171" t="s">
        <v>807</v>
      </c>
      <c r="C171" t="s">
        <v>718</v>
      </c>
      <c r="D171" t="s">
        <v>707</v>
      </c>
      <c r="E171" t="s">
        <v>707</v>
      </c>
      <c r="F171" t="s">
        <v>707</v>
      </c>
      <c r="G171" t="s">
        <v>2149</v>
      </c>
      <c r="H171" s="37" t="s">
        <v>1846</v>
      </c>
      <c r="I171" s="37" t="s">
        <v>720</v>
      </c>
      <c r="J171" t="s">
        <v>720</v>
      </c>
      <c r="K171" t="s">
        <v>2983</v>
      </c>
      <c r="L171" t="s">
        <v>3066</v>
      </c>
      <c r="M171" t="s">
        <v>3055</v>
      </c>
      <c r="N171" t="s">
        <v>1636</v>
      </c>
      <c r="O171" s="39" t="s">
        <v>3059</v>
      </c>
      <c r="P171" t="s">
        <v>707</v>
      </c>
      <c r="Q171" t="s">
        <v>1566</v>
      </c>
      <c r="R171" s="10">
        <v>67.2</v>
      </c>
      <c r="T171" t="s">
        <v>2453</v>
      </c>
    </row>
    <row r="172" spans="1:20" x14ac:dyDescent="0.25">
      <c r="A172">
        <v>2023</v>
      </c>
      <c r="B172" t="s">
        <v>807</v>
      </c>
      <c r="C172" t="s">
        <v>261</v>
      </c>
      <c r="D172" t="s">
        <v>707</v>
      </c>
      <c r="E172" t="s">
        <v>707</v>
      </c>
      <c r="F172" t="s">
        <v>707</v>
      </c>
      <c r="G172" t="s">
        <v>1948</v>
      </c>
      <c r="H172" s="37" t="s">
        <v>233</v>
      </c>
      <c r="I172" s="37" t="s">
        <v>249</v>
      </c>
      <c r="J172" t="s">
        <v>376</v>
      </c>
      <c r="K172" t="s">
        <v>2983</v>
      </c>
      <c r="L172" t="s">
        <v>3066</v>
      </c>
      <c r="M172" t="s">
        <v>3055</v>
      </c>
      <c r="N172" t="s">
        <v>3071</v>
      </c>
      <c r="O172" s="39" t="s">
        <v>3072</v>
      </c>
      <c r="P172" t="s">
        <v>707</v>
      </c>
      <c r="Q172" t="s">
        <v>1546</v>
      </c>
      <c r="R172" s="10">
        <v>7262</v>
      </c>
      <c r="T172" t="s">
        <v>1949</v>
      </c>
    </row>
    <row r="173" spans="1:20" x14ac:dyDescent="0.25">
      <c r="A173">
        <v>2023</v>
      </c>
      <c r="B173" t="s">
        <v>807</v>
      </c>
      <c r="C173" t="s">
        <v>242</v>
      </c>
      <c r="D173" t="s">
        <v>707</v>
      </c>
      <c r="E173" t="s">
        <v>707</v>
      </c>
      <c r="F173" t="s">
        <v>707</v>
      </c>
      <c r="G173" t="s">
        <v>1981</v>
      </c>
      <c r="H173" s="37" t="s">
        <v>233</v>
      </c>
      <c r="I173" s="37" t="s">
        <v>245</v>
      </c>
      <c r="J173" t="s">
        <v>244</v>
      </c>
      <c r="K173" t="s">
        <v>2983</v>
      </c>
      <c r="L173" t="s">
        <v>3066</v>
      </c>
      <c r="M173" t="s">
        <v>3055</v>
      </c>
      <c r="N173" t="s">
        <v>3073</v>
      </c>
      <c r="O173" s="39" t="s">
        <v>3074</v>
      </c>
      <c r="P173" t="s">
        <v>707</v>
      </c>
      <c r="Q173" t="s">
        <v>1546</v>
      </c>
      <c r="R173" s="10">
        <v>674</v>
      </c>
      <c r="T173" t="s">
        <v>1886</v>
      </c>
    </row>
    <row r="174" spans="1:20" x14ac:dyDescent="0.25">
      <c r="A174">
        <v>2023</v>
      </c>
      <c r="B174" t="s">
        <v>807</v>
      </c>
      <c r="C174" t="s">
        <v>208</v>
      </c>
      <c r="D174" t="s">
        <v>707</v>
      </c>
      <c r="E174" t="s">
        <v>707</v>
      </c>
      <c r="F174" t="s">
        <v>707</v>
      </c>
      <c r="G174" t="s">
        <v>1752</v>
      </c>
      <c r="H174" s="37"/>
      <c r="I174" s="37"/>
      <c r="J174" t="s">
        <v>210</v>
      </c>
      <c r="K174" t="s">
        <v>2983</v>
      </c>
      <c r="L174" t="s">
        <v>3066</v>
      </c>
      <c r="M174" t="s">
        <v>3055</v>
      </c>
      <c r="N174" t="s">
        <v>3073</v>
      </c>
      <c r="O174" s="39" t="s">
        <v>3074</v>
      </c>
      <c r="P174" t="s">
        <v>707</v>
      </c>
      <c r="Q174" s="10" t="s">
        <v>1546</v>
      </c>
      <c r="R174" s="10">
        <v>227.3527694436271</v>
      </c>
      <c r="S174" t="s">
        <v>1758</v>
      </c>
      <c r="T174" t="s">
        <v>1847</v>
      </c>
    </row>
    <row r="175" spans="1:20" x14ac:dyDescent="0.25">
      <c r="A175">
        <v>2023</v>
      </c>
      <c r="B175" t="s">
        <v>807</v>
      </c>
      <c r="C175" t="s">
        <v>795</v>
      </c>
      <c r="D175" t="s">
        <v>707</v>
      </c>
      <c r="E175" t="s">
        <v>707</v>
      </c>
      <c r="F175" t="s">
        <v>707</v>
      </c>
      <c r="G175" t="s">
        <v>1993</v>
      </c>
      <c r="H175" s="37" t="s">
        <v>11</v>
      </c>
      <c r="I175" s="37" t="s">
        <v>34</v>
      </c>
      <c r="J175" t="s">
        <v>157</v>
      </c>
      <c r="K175" t="s">
        <v>2983</v>
      </c>
      <c r="L175" t="s">
        <v>3066</v>
      </c>
      <c r="M175" t="s">
        <v>3055</v>
      </c>
      <c r="N175" t="s">
        <v>3073</v>
      </c>
      <c r="O175" s="39" t="s">
        <v>3074</v>
      </c>
      <c r="P175" t="s">
        <v>707</v>
      </c>
      <c r="Q175" t="s">
        <v>1691</v>
      </c>
      <c r="R175" s="10">
        <v>2633</v>
      </c>
      <c r="T175" t="s">
        <v>2002</v>
      </c>
    </row>
    <row r="176" spans="1:20" x14ac:dyDescent="0.25">
      <c r="A176">
        <v>2023</v>
      </c>
      <c r="B176" t="s">
        <v>807</v>
      </c>
      <c r="C176" t="s">
        <v>718</v>
      </c>
      <c r="D176" t="s">
        <v>707</v>
      </c>
      <c r="E176" t="s">
        <v>707</v>
      </c>
      <c r="F176" t="s">
        <v>707</v>
      </c>
      <c r="G176" t="s">
        <v>2149</v>
      </c>
      <c r="H176" s="37" t="s">
        <v>1846</v>
      </c>
      <c r="I176" s="37" t="s">
        <v>720</v>
      </c>
      <c r="J176" t="s">
        <v>720</v>
      </c>
      <c r="K176" t="s">
        <v>2983</v>
      </c>
      <c r="L176" t="s">
        <v>3066</v>
      </c>
      <c r="M176" t="s">
        <v>3055</v>
      </c>
      <c r="N176" t="s">
        <v>3073</v>
      </c>
      <c r="O176" s="39" t="s">
        <v>3074</v>
      </c>
      <c r="P176" t="s">
        <v>707</v>
      </c>
      <c r="Q176" t="s">
        <v>1566</v>
      </c>
      <c r="R176" s="10">
        <v>169.5</v>
      </c>
      <c r="T176" t="s">
        <v>2453</v>
      </c>
    </row>
    <row r="177" spans="1:20" x14ac:dyDescent="0.25">
      <c r="A177">
        <v>2023</v>
      </c>
      <c r="B177" t="s">
        <v>807</v>
      </c>
      <c r="C177" t="s">
        <v>795</v>
      </c>
      <c r="D177" t="s">
        <v>707</v>
      </c>
      <c r="E177" t="s">
        <v>707</v>
      </c>
      <c r="F177" t="s">
        <v>707</v>
      </c>
      <c r="G177" t="s">
        <v>1993</v>
      </c>
      <c r="H177" s="37" t="s">
        <v>11</v>
      </c>
      <c r="I177" s="37" t="s">
        <v>34</v>
      </c>
      <c r="J177" t="s">
        <v>157</v>
      </c>
      <c r="K177" t="s">
        <v>2983</v>
      </c>
      <c r="L177" t="s">
        <v>3066</v>
      </c>
      <c r="M177" t="s">
        <v>3055</v>
      </c>
      <c r="N177" t="s">
        <v>3075</v>
      </c>
      <c r="O177" s="39" t="s">
        <v>3076</v>
      </c>
      <c r="P177" t="s">
        <v>707</v>
      </c>
      <c r="Q177" t="s">
        <v>1691</v>
      </c>
      <c r="R177" s="10">
        <v>353</v>
      </c>
      <c r="T177" t="s">
        <v>2002</v>
      </c>
    </row>
    <row r="178" spans="1:20" x14ac:dyDescent="0.25">
      <c r="A178">
        <v>2023</v>
      </c>
      <c r="B178" t="s">
        <v>807</v>
      </c>
      <c r="C178" t="s">
        <v>718</v>
      </c>
      <c r="D178" t="s">
        <v>707</v>
      </c>
      <c r="E178" t="s">
        <v>707</v>
      </c>
      <c r="F178" t="s">
        <v>707</v>
      </c>
      <c r="G178" t="s">
        <v>2149</v>
      </c>
      <c r="H178" s="37" t="s">
        <v>1846</v>
      </c>
      <c r="I178" s="37" t="s">
        <v>720</v>
      </c>
      <c r="J178" t="s">
        <v>720</v>
      </c>
      <c r="K178" t="s">
        <v>2983</v>
      </c>
      <c r="L178" t="s">
        <v>3066</v>
      </c>
      <c r="M178" t="s">
        <v>3055</v>
      </c>
      <c r="N178" t="s">
        <v>3075</v>
      </c>
      <c r="O178" s="39" t="s">
        <v>3076</v>
      </c>
      <c r="P178" t="s">
        <v>707</v>
      </c>
      <c r="Q178" t="s">
        <v>1566</v>
      </c>
      <c r="R178" s="10">
        <v>7.7</v>
      </c>
      <c r="T178" t="s">
        <v>2453</v>
      </c>
    </row>
    <row r="179" spans="1:20" x14ac:dyDescent="0.25">
      <c r="A179">
        <v>2023</v>
      </c>
      <c r="B179" t="s">
        <v>807</v>
      </c>
      <c r="C179" t="s">
        <v>242</v>
      </c>
      <c r="D179" t="s">
        <v>707</v>
      </c>
      <c r="E179" t="s">
        <v>707</v>
      </c>
      <c r="F179" t="s">
        <v>707</v>
      </c>
      <c r="G179" t="s">
        <v>1981</v>
      </c>
      <c r="H179" s="37" t="s">
        <v>233</v>
      </c>
      <c r="I179" s="37" t="s">
        <v>245</v>
      </c>
      <c r="J179" t="s">
        <v>244</v>
      </c>
      <c r="K179" t="s">
        <v>2983</v>
      </c>
      <c r="L179" t="s">
        <v>3066</v>
      </c>
      <c r="M179" t="s">
        <v>3055</v>
      </c>
      <c r="N179" t="s">
        <v>2987</v>
      </c>
      <c r="O179" s="39" t="s">
        <v>3062</v>
      </c>
      <c r="P179" t="s">
        <v>707</v>
      </c>
      <c r="Q179" t="s">
        <v>1546</v>
      </c>
      <c r="R179" s="10">
        <v>0.56000000000000005</v>
      </c>
      <c r="T179" t="s">
        <v>1886</v>
      </c>
    </row>
    <row r="180" spans="1:20" x14ac:dyDescent="0.25">
      <c r="A180">
        <v>2023</v>
      </c>
      <c r="B180" t="s">
        <v>807</v>
      </c>
      <c r="C180" t="s">
        <v>795</v>
      </c>
      <c r="D180" t="s">
        <v>707</v>
      </c>
      <c r="E180" t="s">
        <v>707</v>
      </c>
      <c r="F180" t="s">
        <v>707</v>
      </c>
      <c r="G180" t="s">
        <v>1993</v>
      </c>
      <c r="H180" s="37" t="s">
        <v>11</v>
      </c>
      <c r="I180" s="37" t="s">
        <v>34</v>
      </c>
      <c r="J180" t="s">
        <v>157</v>
      </c>
      <c r="K180" t="s">
        <v>2983</v>
      </c>
      <c r="L180" t="s">
        <v>3066</v>
      </c>
      <c r="M180" t="s">
        <v>3054</v>
      </c>
      <c r="N180" t="s">
        <v>1650</v>
      </c>
      <c r="O180" s="39">
        <v>2025884</v>
      </c>
      <c r="P180" t="s">
        <v>707</v>
      </c>
      <c r="Q180" t="s">
        <v>1691</v>
      </c>
      <c r="R180" s="10">
        <v>15</v>
      </c>
      <c r="T180" t="s">
        <v>2002</v>
      </c>
    </row>
    <row r="181" spans="1:20" x14ac:dyDescent="0.25">
      <c r="A181">
        <v>2023</v>
      </c>
      <c r="B181" t="s">
        <v>807</v>
      </c>
      <c r="C181" t="s">
        <v>754</v>
      </c>
      <c r="D181" t="s">
        <v>707</v>
      </c>
      <c r="E181" t="s">
        <v>707</v>
      </c>
      <c r="F181" t="s">
        <v>707</v>
      </c>
      <c r="G181" t="s">
        <v>2005</v>
      </c>
      <c r="H181" s="37" t="s">
        <v>11</v>
      </c>
      <c r="I181" s="37" t="s">
        <v>98</v>
      </c>
      <c r="J181" t="s">
        <v>147</v>
      </c>
      <c r="K181" t="s">
        <v>2983</v>
      </c>
      <c r="L181" t="s">
        <v>3066</v>
      </c>
      <c r="M181" t="s">
        <v>3054</v>
      </c>
      <c r="N181" t="s">
        <v>1650</v>
      </c>
      <c r="O181" s="39">
        <v>2025884</v>
      </c>
      <c r="P181" t="s">
        <v>707</v>
      </c>
      <c r="Q181" t="s">
        <v>1546</v>
      </c>
      <c r="R181" s="10">
        <v>241</v>
      </c>
      <c r="T181" t="s">
        <v>1904</v>
      </c>
    </row>
    <row r="182" spans="1:20" x14ac:dyDescent="0.25">
      <c r="A182">
        <v>2023</v>
      </c>
      <c r="B182" t="s">
        <v>807</v>
      </c>
      <c r="C182" t="s">
        <v>242</v>
      </c>
      <c r="D182" t="s">
        <v>707</v>
      </c>
      <c r="E182" t="s">
        <v>707</v>
      </c>
      <c r="F182" t="s">
        <v>707</v>
      </c>
      <c r="G182" t="s">
        <v>1981</v>
      </c>
      <c r="H182" s="37" t="s">
        <v>233</v>
      </c>
      <c r="I182" s="37" t="s">
        <v>245</v>
      </c>
      <c r="J182" t="s">
        <v>244</v>
      </c>
      <c r="K182" t="s">
        <v>2983</v>
      </c>
      <c r="L182" t="s">
        <v>3066</v>
      </c>
      <c r="M182" t="s">
        <v>3055</v>
      </c>
      <c r="N182" t="s">
        <v>1637</v>
      </c>
      <c r="O182" s="39" t="s">
        <v>3063</v>
      </c>
      <c r="P182" t="s">
        <v>707</v>
      </c>
      <c r="Q182" t="s">
        <v>1546</v>
      </c>
      <c r="R182" s="10">
        <v>3493</v>
      </c>
      <c r="T182" t="s">
        <v>1886</v>
      </c>
    </row>
    <row r="183" spans="1:20" x14ac:dyDescent="0.25">
      <c r="A183">
        <v>2023</v>
      </c>
      <c r="B183" t="s">
        <v>807</v>
      </c>
      <c r="C183" t="s">
        <v>208</v>
      </c>
      <c r="D183" t="s">
        <v>707</v>
      </c>
      <c r="E183" t="s">
        <v>707</v>
      </c>
      <c r="F183" t="s">
        <v>707</v>
      </c>
      <c r="G183" t="s">
        <v>1752</v>
      </c>
      <c r="H183" s="37"/>
      <c r="I183" s="37"/>
      <c r="J183" t="s">
        <v>210</v>
      </c>
      <c r="K183" t="s">
        <v>2983</v>
      </c>
      <c r="L183" t="s">
        <v>3066</v>
      </c>
      <c r="M183" t="s">
        <v>3055</v>
      </c>
      <c r="N183" t="s">
        <v>1637</v>
      </c>
      <c r="O183" s="39" t="s">
        <v>3063</v>
      </c>
      <c r="P183" t="s">
        <v>707</v>
      </c>
      <c r="Q183" s="10" t="s">
        <v>1546</v>
      </c>
      <c r="R183" s="10">
        <v>0</v>
      </c>
      <c r="S183" t="s">
        <v>1758</v>
      </c>
      <c r="T183" t="s">
        <v>1847</v>
      </c>
    </row>
    <row r="184" spans="1:20" x14ac:dyDescent="0.25">
      <c r="A184">
        <v>2021</v>
      </c>
      <c r="B184" t="s">
        <v>807</v>
      </c>
      <c r="C184" t="s">
        <v>716</v>
      </c>
      <c r="D184" t="s">
        <v>707</v>
      </c>
      <c r="E184" t="s">
        <v>707</v>
      </c>
      <c r="F184" t="s">
        <v>707</v>
      </c>
      <c r="G184" t="s">
        <v>2069</v>
      </c>
      <c r="H184" s="37" t="s">
        <v>233</v>
      </c>
      <c r="I184" s="37" t="s">
        <v>720</v>
      </c>
      <c r="J184" t="s">
        <v>244</v>
      </c>
      <c r="K184" t="s">
        <v>2983</v>
      </c>
      <c r="L184" t="s">
        <v>3066</v>
      </c>
      <c r="M184" t="s">
        <v>3055</v>
      </c>
      <c r="N184" t="s">
        <v>1637</v>
      </c>
      <c r="O184" s="39" t="s">
        <v>3063</v>
      </c>
      <c r="P184" t="s">
        <v>707</v>
      </c>
      <c r="Q184" t="s">
        <v>1566</v>
      </c>
      <c r="R184" s="10">
        <v>41.6</v>
      </c>
      <c r="T184" s="10" t="s">
        <v>2290</v>
      </c>
    </row>
    <row r="185" spans="1:20" x14ac:dyDescent="0.25">
      <c r="A185">
        <v>2023</v>
      </c>
      <c r="B185" t="s">
        <v>807</v>
      </c>
      <c r="C185" t="s">
        <v>8</v>
      </c>
      <c r="D185" t="s">
        <v>707</v>
      </c>
      <c r="E185" t="s">
        <v>707</v>
      </c>
      <c r="F185" t="s">
        <v>707</v>
      </c>
      <c r="G185" t="s">
        <v>1895</v>
      </c>
      <c r="H185" s="37" t="s">
        <v>11</v>
      </c>
      <c r="I185" s="37"/>
      <c r="K185" t="s">
        <v>2983</v>
      </c>
      <c r="L185" t="s">
        <v>3066</v>
      </c>
      <c r="M185" t="s">
        <v>3055</v>
      </c>
      <c r="N185" t="s">
        <v>1637</v>
      </c>
      <c r="O185" s="39" t="s">
        <v>3063</v>
      </c>
      <c r="P185" t="s">
        <v>707</v>
      </c>
      <c r="Q185" t="s">
        <v>1546</v>
      </c>
      <c r="R185" s="10">
        <v>0.02</v>
      </c>
      <c r="T185" t="s">
        <v>1904</v>
      </c>
    </row>
    <row r="186" spans="1:20" x14ac:dyDescent="0.25">
      <c r="A186">
        <v>2023</v>
      </c>
      <c r="B186" t="s">
        <v>807</v>
      </c>
      <c r="C186" t="s">
        <v>718</v>
      </c>
      <c r="D186" t="s">
        <v>707</v>
      </c>
      <c r="E186" t="s">
        <v>707</v>
      </c>
      <c r="F186" t="s">
        <v>707</v>
      </c>
      <c r="G186" t="s">
        <v>2149</v>
      </c>
      <c r="H186" s="37" t="s">
        <v>1846</v>
      </c>
      <c r="I186" s="37" t="s">
        <v>720</v>
      </c>
      <c r="J186" t="s">
        <v>720</v>
      </c>
      <c r="K186" t="s">
        <v>2983</v>
      </c>
      <c r="L186" t="s">
        <v>3066</v>
      </c>
      <c r="M186" t="s">
        <v>3055</v>
      </c>
      <c r="N186" t="s">
        <v>1637</v>
      </c>
      <c r="O186" s="39" t="s">
        <v>3063</v>
      </c>
      <c r="P186" t="s">
        <v>707</v>
      </c>
      <c r="Q186" t="s">
        <v>1566</v>
      </c>
      <c r="R186" s="10">
        <v>72.8</v>
      </c>
      <c r="T186" t="s">
        <v>2453</v>
      </c>
    </row>
    <row r="187" spans="1:20" x14ac:dyDescent="0.25">
      <c r="A187">
        <v>2023</v>
      </c>
      <c r="B187" t="s">
        <v>807</v>
      </c>
      <c r="C187" t="s">
        <v>261</v>
      </c>
      <c r="D187" t="s">
        <v>707</v>
      </c>
      <c r="E187" t="s">
        <v>707</v>
      </c>
      <c r="F187" t="s">
        <v>707</v>
      </c>
      <c r="G187" t="s">
        <v>1948</v>
      </c>
      <c r="H187" s="37" t="s">
        <v>233</v>
      </c>
      <c r="I187" s="37" t="s">
        <v>249</v>
      </c>
      <c r="J187" t="s">
        <v>376</v>
      </c>
      <c r="K187" t="s">
        <v>2983</v>
      </c>
      <c r="L187" t="s">
        <v>3066</v>
      </c>
      <c r="M187" t="s">
        <v>3054</v>
      </c>
      <c r="N187" t="s">
        <v>1650</v>
      </c>
      <c r="O187" s="39">
        <v>2025884</v>
      </c>
      <c r="P187" t="s">
        <v>707</v>
      </c>
      <c r="Q187" t="s">
        <v>1566</v>
      </c>
      <c r="R187" s="10">
        <v>46.5</v>
      </c>
      <c r="T187" t="s">
        <v>1949</v>
      </c>
    </row>
    <row r="188" spans="1:20" x14ac:dyDescent="0.25">
      <c r="A188">
        <v>2023</v>
      </c>
      <c r="B188" t="s">
        <v>807</v>
      </c>
      <c r="C188" t="s">
        <v>208</v>
      </c>
      <c r="D188" t="s">
        <v>707</v>
      </c>
      <c r="E188" t="s">
        <v>707</v>
      </c>
      <c r="F188" t="s">
        <v>707</v>
      </c>
      <c r="G188" t="s">
        <v>1752</v>
      </c>
      <c r="H188" s="37"/>
      <c r="I188" s="37"/>
      <c r="J188" t="s">
        <v>210</v>
      </c>
      <c r="K188" t="s">
        <v>2983</v>
      </c>
      <c r="L188" t="s">
        <v>3066</v>
      </c>
      <c r="M188" t="s">
        <v>3054</v>
      </c>
      <c r="N188" t="s">
        <v>210</v>
      </c>
      <c r="O188" s="39" t="s">
        <v>3049</v>
      </c>
      <c r="P188" t="s">
        <v>707</v>
      </c>
      <c r="Q188" s="10" t="s">
        <v>1546</v>
      </c>
      <c r="R188" s="10">
        <v>0.27756999999999998</v>
      </c>
      <c r="S188" t="s">
        <v>1758</v>
      </c>
      <c r="T188" t="s">
        <v>1847</v>
      </c>
    </row>
    <row r="189" spans="1:20" x14ac:dyDescent="0.25">
      <c r="A189">
        <v>2023</v>
      </c>
      <c r="B189" t="s">
        <v>807</v>
      </c>
      <c r="C189" t="s">
        <v>261</v>
      </c>
      <c r="D189" t="s">
        <v>707</v>
      </c>
      <c r="E189" t="s">
        <v>707</v>
      </c>
      <c r="F189" t="s">
        <v>707</v>
      </c>
      <c r="G189" t="s">
        <v>1948</v>
      </c>
      <c r="H189" s="37" t="s">
        <v>233</v>
      </c>
      <c r="I189" s="37" t="s">
        <v>249</v>
      </c>
      <c r="J189" t="s">
        <v>376</v>
      </c>
      <c r="K189" t="s">
        <v>2983</v>
      </c>
      <c r="L189" t="s">
        <v>3066</v>
      </c>
      <c r="M189" t="s">
        <v>3055</v>
      </c>
      <c r="N189" t="s">
        <v>1733</v>
      </c>
      <c r="O189" s="39" t="s">
        <v>3047</v>
      </c>
      <c r="P189" t="s">
        <v>707</v>
      </c>
      <c r="Q189" t="s">
        <v>1546</v>
      </c>
      <c r="R189" s="10">
        <v>1509</v>
      </c>
      <c r="T189" t="s">
        <v>1949</v>
      </c>
    </row>
    <row r="190" spans="1:20" x14ac:dyDescent="0.25">
      <c r="A190">
        <v>2023</v>
      </c>
      <c r="B190" t="s">
        <v>807</v>
      </c>
      <c r="C190" t="s">
        <v>242</v>
      </c>
      <c r="D190" t="s">
        <v>707</v>
      </c>
      <c r="E190" t="s">
        <v>707</v>
      </c>
      <c r="F190" t="s">
        <v>707</v>
      </c>
      <c r="G190" t="s">
        <v>1981</v>
      </c>
      <c r="H190" s="37" t="s">
        <v>233</v>
      </c>
      <c r="I190" s="37" t="s">
        <v>245</v>
      </c>
      <c r="J190" t="s">
        <v>244</v>
      </c>
      <c r="K190" t="s">
        <v>2983</v>
      </c>
      <c r="L190" t="s">
        <v>3066</v>
      </c>
      <c r="M190" t="s">
        <v>3055</v>
      </c>
      <c r="N190" t="s">
        <v>1733</v>
      </c>
      <c r="O190" s="39" t="s">
        <v>3047</v>
      </c>
      <c r="P190" t="s">
        <v>707</v>
      </c>
      <c r="Q190" t="s">
        <v>1546</v>
      </c>
      <c r="R190" s="10">
        <v>117</v>
      </c>
      <c r="T190" t="s">
        <v>1886</v>
      </c>
    </row>
    <row r="191" spans="1:20" x14ac:dyDescent="0.25">
      <c r="A191">
        <v>2023</v>
      </c>
      <c r="B191" t="s">
        <v>807</v>
      </c>
      <c r="C191" t="s">
        <v>208</v>
      </c>
      <c r="D191" t="s">
        <v>707</v>
      </c>
      <c r="E191" t="s">
        <v>707</v>
      </c>
      <c r="F191" t="s">
        <v>707</v>
      </c>
      <c r="G191" t="s">
        <v>1752</v>
      </c>
      <c r="H191" s="37"/>
      <c r="I191" s="37"/>
      <c r="J191" t="s">
        <v>210</v>
      </c>
      <c r="K191" t="s">
        <v>2983</v>
      </c>
      <c r="L191" t="s">
        <v>3066</v>
      </c>
      <c r="M191" t="s">
        <v>3055</v>
      </c>
      <c r="N191" t="s">
        <v>1733</v>
      </c>
      <c r="O191" s="39" t="s">
        <v>3047</v>
      </c>
      <c r="P191" t="s">
        <v>707</v>
      </c>
      <c r="Q191" s="10" t="s">
        <v>1546</v>
      </c>
      <c r="R191" s="10">
        <v>77.03145938542302</v>
      </c>
      <c r="S191" t="s">
        <v>1758</v>
      </c>
      <c r="T191" t="s">
        <v>1847</v>
      </c>
    </row>
    <row r="192" spans="1:20" x14ac:dyDescent="0.25">
      <c r="A192">
        <v>2021</v>
      </c>
      <c r="B192" t="s">
        <v>807</v>
      </c>
      <c r="C192" t="s">
        <v>716</v>
      </c>
      <c r="D192" t="s">
        <v>707</v>
      </c>
      <c r="E192" t="s">
        <v>707</v>
      </c>
      <c r="F192" t="s">
        <v>707</v>
      </c>
      <c r="G192" t="s">
        <v>2069</v>
      </c>
      <c r="H192" s="37" t="s">
        <v>233</v>
      </c>
      <c r="I192" s="37" t="s">
        <v>720</v>
      </c>
      <c r="J192" t="s">
        <v>244</v>
      </c>
      <c r="K192" t="s">
        <v>2983</v>
      </c>
      <c r="L192" t="s">
        <v>3066</v>
      </c>
      <c r="M192" t="s">
        <v>3055</v>
      </c>
      <c r="N192" t="s">
        <v>1733</v>
      </c>
      <c r="O192" s="39" t="s">
        <v>3047</v>
      </c>
      <c r="P192" t="s">
        <v>707</v>
      </c>
      <c r="Q192" t="s">
        <v>1566</v>
      </c>
      <c r="R192" s="10">
        <v>1.4</v>
      </c>
      <c r="T192" s="10" t="s">
        <v>2290</v>
      </c>
    </row>
    <row r="195" spans="1:18" x14ac:dyDescent="0.25">
      <c r="A195">
        <v>2023</v>
      </c>
      <c r="B195" t="s">
        <v>807</v>
      </c>
      <c r="C195" t="s">
        <v>261</v>
      </c>
      <c r="D195" t="s">
        <v>707</v>
      </c>
      <c r="E195" t="s">
        <v>707</v>
      </c>
      <c r="F195" t="s">
        <v>707</v>
      </c>
      <c r="G195" t="s">
        <v>1948</v>
      </c>
      <c r="H195" s="37" t="s">
        <v>233</v>
      </c>
      <c r="I195" s="37" t="s">
        <v>249</v>
      </c>
      <c r="J195" t="s">
        <v>376</v>
      </c>
      <c r="K195" t="s">
        <v>2981</v>
      </c>
      <c r="L195" t="s">
        <v>1744</v>
      </c>
      <c r="M195" t="s">
        <v>1969</v>
      </c>
      <c r="N195" t="s">
        <v>707</v>
      </c>
      <c r="O195" t="s">
        <v>1566</v>
      </c>
      <c r="P195" s="10">
        <v>101.7</v>
      </c>
      <c r="R195" t="s">
        <v>1949</v>
      </c>
    </row>
    <row r="196" spans="1:18" x14ac:dyDescent="0.25">
      <c r="A196">
        <v>2023</v>
      </c>
      <c r="B196" t="s">
        <v>807</v>
      </c>
      <c r="C196" t="s">
        <v>261</v>
      </c>
      <c r="D196" t="s">
        <v>707</v>
      </c>
      <c r="E196" t="s">
        <v>707</v>
      </c>
      <c r="F196" t="s">
        <v>707</v>
      </c>
      <c r="G196" t="s">
        <v>1948</v>
      </c>
      <c r="H196" s="37" t="s">
        <v>233</v>
      </c>
      <c r="I196" s="37" t="s">
        <v>249</v>
      </c>
      <c r="J196" t="s">
        <v>376</v>
      </c>
      <c r="K196" t="s">
        <v>2981</v>
      </c>
      <c r="L196" t="s">
        <v>1744</v>
      </c>
      <c r="M196" t="s">
        <v>1694</v>
      </c>
      <c r="N196" t="s">
        <v>707</v>
      </c>
      <c r="O196" t="s">
        <v>1566</v>
      </c>
      <c r="P196" s="10">
        <v>133.80000000000001</v>
      </c>
      <c r="R196" t="s">
        <v>1949</v>
      </c>
    </row>
    <row r="197" spans="1:18" ht="15" customHeight="1" x14ac:dyDescent="0.25">
      <c r="A197">
        <v>2023</v>
      </c>
      <c r="B197" t="s">
        <v>807</v>
      </c>
      <c r="C197" t="s">
        <v>261</v>
      </c>
      <c r="D197" t="s">
        <v>707</v>
      </c>
      <c r="E197" t="s">
        <v>707</v>
      </c>
      <c r="F197" t="s">
        <v>707</v>
      </c>
      <c r="G197" t="s">
        <v>1948</v>
      </c>
      <c r="H197" s="37" t="s">
        <v>233</v>
      </c>
      <c r="I197" s="37" t="s">
        <v>249</v>
      </c>
      <c r="J197" t="s">
        <v>376</v>
      </c>
      <c r="K197" t="s">
        <v>2981</v>
      </c>
      <c r="L197" t="s">
        <v>1744</v>
      </c>
      <c r="M197" t="s">
        <v>1728</v>
      </c>
      <c r="N197" t="s">
        <v>707</v>
      </c>
      <c r="O197" t="s">
        <v>1566</v>
      </c>
      <c r="P197" s="10">
        <v>191.4</v>
      </c>
      <c r="R197" t="s">
        <v>1949</v>
      </c>
    </row>
    <row r="198" spans="1:18" ht="14.45" customHeight="1" x14ac:dyDescent="0.25">
      <c r="A198">
        <v>2023</v>
      </c>
      <c r="B198" t="s">
        <v>807</v>
      </c>
      <c r="C198" t="s">
        <v>261</v>
      </c>
      <c r="D198" t="s">
        <v>707</v>
      </c>
      <c r="E198" t="s">
        <v>707</v>
      </c>
      <c r="F198" t="s">
        <v>707</v>
      </c>
      <c r="G198" t="s">
        <v>1948</v>
      </c>
      <c r="H198" s="37" t="s">
        <v>233</v>
      </c>
      <c r="I198" s="37" t="s">
        <v>249</v>
      </c>
      <c r="J198" t="s">
        <v>376</v>
      </c>
      <c r="K198" t="s">
        <v>2981</v>
      </c>
      <c r="L198" t="s">
        <v>1744</v>
      </c>
      <c r="M198" t="s">
        <v>1787</v>
      </c>
      <c r="N198" t="s">
        <v>707</v>
      </c>
      <c r="O198" t="s">
        <v>1641</v>
      </c>
      <c r="P198" s="10">
        <v>1.5</v>
      </c>
      <c r="R198" t="s">
        <v>1949</v>
      </c>
    </row>
    <row r="199" spans="1:18" x14ac:dyDescent="0.25">
      <c r="A199">
        <v>2023</v>
      </c>
      <c r="B199" t="s">
        <v>807</v>
      </c>
      <c r="C199" t="s">
        <v>261</v>
      </c>
      <c r="D199" t="s">
        <v>707</v>
      </c>
      <c r="E199" t="s">
        <v>707</v>
      </c>
      <c r="F199" t="s">
        <v>707</v>
      </c>
      <c r="G199" t="s">
        <v>1948</v>
      </c>
      <c r="H199" s="37" t="s">
        <v>233</v>
      </c>
      <c r="I199" s="37" t="s">
        <v>249</v>
      </c>
      <c r="J199" t="s">
        <v>376</v>
      </c>
      <c r="K199" t="s">
        <v>2981</v>
      </c>
      <c r="L199" t="s">
        <v>1744</v>
      </c>
      <c r="M199" t="s">
        <v>1970</v>
      </c>
      <c r="N199" t="s">
        <v>707</v>
      </c>
      <c r="O199" t="s">
        <v>1641</v>
      </c>
      <c r="P199" s="10">
        <v>46.8</v>
      </c>
      <c r="R199" t="s">
        <v>1949</v>
      </c>
    </row>
    <row r="200" spans="1:18" x14ac:dyDescent="0.25">
      <c r="A200">
        <v>2023</v>
      </c>
      <c r="B200" t="s">
        <v>807</v>
      </c>
      <c r="C200" t="s">
        <v>261</v>
      </c>
      <c r="D200" t="s">
        <v>707</v>
      </c>
      <c r="E200" t="s">
        <v>707</v>
      </c>
      <c r="F200" t="s">
        <v>707</v>
      </c>
      <c r="G200" t="s">
        <v>1948</v>
      </c>
      <c r="H200" s="37" t="s">
        <v>233</v>
      </c>
      <c r="I200" s="37" t="s">
        <v>249</v>
      </c>
      <c r="J200" t="s">
        <v>376</v>
      </c>
      <c r="K200" t="s">
        <v>2981</v>
      </c>
      <c r="L200" t="s">
        <v>1744</v>
      </c>
      <c r="M200" t="s">
        <v>1971</v>
      </c>
      <c r="N200" t="s">
        <v>707</v>
      </c>
      <c r="O200" t="s">
        <v>1641</v>
      </c>
      <c r="P200" s="10">
        <v>1.5</v>
      </c>
      <c r="R200" t="s">
        <v>1949</v>
      </c>
    </row>
    <row r="201" spans="1:18" x14ac:dyDescent="0.25">
      <c r="A201">
        <v>2023</v>
      </c>
      <c r="B201" t="s">
        <v>807</v>
      </c>
      <c r="C201" t="s">
        <v>261</v>
      </c>
      <c r="D201" t="s">
        <v>707</v>
      </c>
      <c r="E201" t="s">
        <v>707</v>
      </c>
      <c r="F201" t="s">
        <v>707</v>
      </c>
      <c r="G201" t="s">
        <v>1948</v>
      </c>
      <c r="H201" s="37" t="s">
        <v>233</v>
      </c>
      <c r="I201" s="37" t="s">
        <v>249</v>
      </c>
      <c r="J201" t="s">
        <v>376</v>
      </c>
      <c r="K201" t="s">
        <v>2981</v>
      </c>
      <c r="L201" t="s">
        <v>1744</v>
      </c>
      <c r="M201" t="s">
        <v>1976</v>
      </c>
      <c r="N201" t="s">
        <v>707</v>
      </c>
      <c r="O201" t="s">
        <v>1641</v>
      </c>
      <c r="P201">
        <v>22.3</v>
      </c>
      <c r="R201" t="s">
        <v>1949</v>
      </c>
    </row>
    <row r="202" spans="1:18" x14ac:dyDescent="0.25">
      <c r="A202">
        <v>2023</v>
      </c>
      <c r="B202" t="s">
        <v>807</v>
      </c>
      <c r="C202" t="s">
        <v>242</v>
      </c>
      <c r="D202" t="s">
        <v>707</v>
      </c>
      <c r="E202" t="s">
        <v>707</v>
      </c>
      <c r="F202" t="s">
        <v>707</v>
      </c>
      <c r="G202" t="s">
        <v>1981</v>
      </c>
      <c r="H202" s="37" t="s">
        <v>233</v>
      </c>
      <c r="I202" s="37" t="s">
        <v>245</v>
      </c>
      <c r="J202" t="s">
        <v>244</v>
      </c>
      <c r="K202" t="s">
        <v>2981</v>
      </c>
      <c r="L202" t="s">
        <v>1744</v>
      </c>
      <c r="M202" t="s">
        <v>1695</v>
      </c>
      <c r="N202" t="s">
        <v>707</v>
      </c>
      <c r="O202" t="s">
        <v>1546</v>
      </c>
      <c r="P202">
        <v>1472636</v>
      </c>
      <c r="R202" t="s">
        <v>1886</v>
      </c>
    </row>
    <row r="203" spans="1:18" x14ac:dyDescent="0.25">
      <c r="A203">
        <v>2023</v>
      </c>
      <c r="B203" t="s">
        <v>807</v>
      </c>
      <c r="C203" t="s">
        <v>208</v>
      </c>
      <c r="D203" t="s">
        <v>707</v>
      </c>
      <c r="E203" t="s">
        <v>707</v>
      </c>
      <c r="F203" t="s">
        <v>707</v>
      </c>
      <c r="G203" t="s">
        <v>1752</v>
      </c>
      <c r="H203" s="37"/>
      <c r="I203" s="37"/>
      <c r="J203" t="s">
        <v>210</v>
      </c>
      <c r="K203" t="s">
        <v>2981</v>
      </c>
      <c r="L203" t="s">
        <v>1744</v>
      </c>
      <c r="M203" t="s">
        <v>1727</v>
      </c>
      <c r="N203" t="s">
        <v>707</v>
      </c>
      <c r="O203" t="s">
        <v>1546</v>
      </c>
      <c r="P203" s="10">
        <v>137431</v>
      </c>
      <c r="Q203" t="s">
        <v>1758</v>
      </c>
      <c r="R203" t="s">
        <v>1847</v>
      </c>
    </row>
    <row r="204" spans="1:18" x14ac:dyDescent="0.25">
      <c r="A204">
        <v>2023</v>
      </c>
      <c r="B204" t="s">
        <v>807</v>
      </c>
      <c r="C204" t="s">
        <v>208</v>
      </c>
      <c r="D204" t="s">
        <v>707</v>
      </c>
      <c r="E204" t="s">
        <v>707</v>
      </c>
      <c r="F204" t="s">
        <v>707</v>
      </c>
      <c r="G204" t="s">
        <v>1752</v>
      </c>
      <c r="H204" s="37"/>
      <c r="I204" s="37"/>
      <c r="J204" t="s">
        <v>210</v>
      </c>
      <c r="K204" t="s">
        <v>2981</v>
      </c>
      <c r="L204" t="s">
        <v>1744</v>
      </c>
      <c r="M204" t="s">
        <v>1693</v>
      </c>
      <c r="N204" t="s">
        <v>707</v>
      </c>
      <c r="O204" t="s">
        <v>1546</v>
      </c>
      <c r="P204" s="10">
        <v>11637.281794</v>
      </c>
      <c r="Q204" t="s">
        <v>1758</v>
      </c>
      <c r="R204" t="s">
        <v>1847</v>
      </c>
    </row>
    <row r="205" spans="1:18" x14ac:dyDescent="0.25">
      <c r="A205">
        <v>2023</v>
      </c>
      <c r="B205" t="s">
        <v>807</v>
      </c>
      <c r="C205" t="s">
        <v>208</v>
      </c>
      <c r="D205" t="s">
        <v>707</v>
      </c>
      <c r="E205" t="s">
        <v>707</v>
      </c>
      <c r="F205" t="s">
        <v>707</v>
      </c>
      <c r="G205" t="s">
        <v>1752</v>
      </c>
      <c r="H205" s="37"/>
      <c r="I205" s="37"/>
      <c r="J205" t="s">
        <v>210</v>
      </c>
      <c r="K205" t="s">
        <v>2981</v>
      </c>
      <c r="L205" t="s">
        <v>1744</v>
      </c>
      <c r="M205" t="s">
        <v>1754</v>
      </c>
      <c r="N205" t="s">
        <v>707</v>
      </c>
      <c r="O205" t="s">
        <v>1546</v>
      </c>
      <c r="P205" s="10">
        <v>7494.8230000000003</v>
      </c>
      <c r="Q205" t="s">
        <v>1758</v>
      </c>
      <c r="R205" t="s">
        <v>1847</v>
      </c>
    </row>
    <row r="206" spans="1:18" x14ac:dyDescent="0.25">
      <c r="A206">
        <v>2023</v>
      </c>
      <c r="B206" t="s">
        <v>807</v>
      </c>
      <c r="C206" t="s">
        <v>208</v>
      </c>
      <c r="D206" t="s">
        <v>707</v>
      </c>
      <c r="E206" t="s">
        <v>707</v>
      </c>
      <c r="F206" t="s">
        <v>707</v>
      </c>
      <c r="G206" t="s">
        <v>1752</v>
      </c>
      <c r="H206" s="37"/>
      <c r="I206" s="37"/>
      <c r="J206" t="s">
        <v>210</v>
      </c>
      <c r="K206" t="s">
        <v>2981</v>
      </c>
      <c r="L206" t="s">
        <v>1744</v>
      </c>
      <c r="M206" t="s">
        <v>1755</v>
      </c>
      <c r="N206" t="s">
        <v>707</v>
      </c>
      <c r="O206" t="s">
        <v>1546</v>
      </c>
      <c r="P206" s="10">
        <v>1898.6220000000001</v>
      </c>
      <c r="Q206" t="s">
        <v>1758</v>
      </c>
      <c r="R206" t="s">
        <v>1847</v>
      </c>
    </row>
    <row r="207" spans="1:18" x14ac:dyDescent="0.25">
      <c r="A207">
        <v>2023</v>
      </c>
      <c r="B207" t="s">
        <v>807</v>
      </c>
      <c r="C207" t="s">
        <v>208</v>
      </c>
      <c r="D207" t="s">
        <v>707</v>
      </c>
      <c r="E207" t="s">
        <v>707</v>
      </c>
      <c r="F207" t="s">
        <v>707</v>
      </c>
      <c r="G207" t="s">
        <v>1752</v>
      </c>
      <c r="H207" s="37"/>
      <c r="I207" s="37"/>
      <c r="J207" t="s">
        <v>210</v>
      </c>
      <c r="K207" t="s">
        <v>2981</v>
      </c>
      <c r="L207" t="s">
        <v>1744</v>
      </c>
      <c r="M207" t="s">
        <v>1756</v>
      </c>
      <c r="N207" t="s">
        <v>707</v>
      </c>
      <c r="O207" t="s">
        <v>1546</v>
      </c>
      <c r="P207" s="10">
        <v>1750.1487999999999</v>
      </c>
      <c r="Q207" t="s">
        <v>1758</v>
      </c>
      <c r="R207" t="s">
        <v>1847</v>
      </c>
    </row>
    <row r="208" spans="1:18" x14ac:dyDescent="0.25">
      <c r="A208">
        <v>2023</v>
      </c>
      <c r="B208" t="s">
        <v>807</v>
      </c>
      <c r="C208" t="s">
        <v>208</v>
      </c>
      <c r="D208" t="s">
        <v>707</v>
      </c>
      <c r="E208" t="s">
        <v>707</v>
      </c>
      <c r="F208" t="s">
        <v>707</v>
      </c>
      <c r="G208" t="s">
        <v>1752</v>
      </c>
      <c r="H208" s="37"/>
      <c r="I208" s="37"/>
      <c r="J208" t="s">
        <v>210</v>
      </c>
      <c r="K208" t="s">
        <v>2981</v>
      </c>
      <c r="L208" t="s">
        <v>1744</v>
      </c>
      <c r="M208" t="s">
        <v>1757</v>
      </c>
      <c r="N208" t="s">
        <v>707</v>
      </c>
      <c r="O208" t="s">
        <v>1546</v>
      </c>
      <c r="P208" s="10">
        <v>493.687994</v>
      </c>
      <c r="Q208" t="s">
        <v>1758</v>
      </c>
      <c r="R208" t="s">
        <v>1847</v>
      </c>
    </row>
    <row r="209" spans="1:18" x14ac:dyDescent="0.25">
      <c r="A209">
        <v>2023</v>
      </c>
      <c r="B209" t="s">
        <v>807</v>
      </c>
      <c r="C209" t="s">
        <v>795</v>
      </c>
      <c r="D209" t="s">
        <v>707</v>
      </c>
      <c r="E209" t="s">
        <v>707</v>
      </c>
      <c r="F209" t="s">
        <v>707</v>
      </c>
      <c r="G209" t="s">
        <v>1993</v>
      </c>
      <c r="H209" s="37" t="s">
        <v>11</v>
      </c>
      <c r="I209" s="37" t="s">
        <v>34</v>
      </c>
      <c r="J209" t="s">
        <v>157</v>
      </c>
      <c r="K209" t="s">
        <v>2981</v>
      </c>
      <c r="L209" t="s">
        <v>1744</v>
      </c>
      <c r="M209" t="s">
        <v>1622</v>
      </c>
      <c r="N209" t="s">
        <v>707</v>
      </c>
      <c r="O209" t="s">
        <v>1641</v>
      </c>
      <c r="P209" s="10">
        <v>26</v>
      </c>
      <c r="R209" t="s">
        <v>2002</v>
      </c>
    </row>
    <row r="210" spans="1:18" x14ac:dyDescent="0.25">
      <c r="A210">
        <v>2023</v>
      </c>
      <c r="B210" t="s">
        <v>807</v>
      </c>
      <c r="C210" t="s">
        <v>795</v>
      </c>
      <c r="D210" t="s">
        <v>707</v>
      </c>
      <c r="E210" t="s">
        <v>707</v>
      </c>
      <c r="F210" t="s">
        <v>707</v>
      </c>
      <c r="G210" t="s">
        <v>1993</v>
      </c>
      <c r="H210" s="37" t="s">
        <v>11</v>
      </c>
      <c r="I210" s="37" t="s">
        <v>34</v>
      </c>
      <c r="J210" t="s">
        <v>157</v>
      </c>
      <c r="K210" t="s">
        <v>2981</v>
      </c>
      <c r="L210" t="s">
        <v>1744</v>
      </c>
      <c r="M210" t="s">
        <v>1999</v>
      </c>
      <c r="N210" t="s">
        <v>707</v>
      </c>
      <c r="O210" t="s">
        <v>1641</v>
      </c>
      <c r="P210" s="10">
        <v>23.5</v>
      </c>
      <c r="R210" t="s">
        <v>2002</v>
      </c>
    </row>
    <row r="211" spans="1:18" ht="14.45" customHeight="1" x14ac:dyDescent="0.25">
      <c r="A211">
        <v>2023</v>
      </c>
      <c r="B211" t="s">
        <v>807</v>
      </c>
      <c r="C211" t="s">
        <v>795</v>
      </c>
      <c r="D211" t="s">
        <v>707</v>
      </c>
      <c r="E211" t="s">
        <v>707</v>
      </c>
      <c r="F211" t="s">
        <v>707</v>
      </c>
      <c r="G211" t="s">
        <v>1993</v>
      </c>
      <c r="H211" s="37" t="s">
        <v>11</v>
      </c>
      <c r="I211" s="37" t="s">
        <v>34</v>
      </c>
      <c r="J211" t="s">
        <v>157</v>
      </c>
      <c r="K211" t="s">
        <v>2981</v>
      </c>
      <c r="L211" t="s">
        <v>1744</v>
      </c>
      <c r="M211" t="s">
        <v>1728</v>
      </c>
      <c r="N211" t="s">
        <v>707</v>
      </c>
      <c r="O211" t="s">
        <v>1546</v>
      </c>
      <c r="P211" s="10">
        <v>6958</v>
      </c>
      <c r="R211" t="s">
        <v>2002</v>
      </c>
    </row>
    <row r="212" spans="1:18" ht="14.45" customHeight="1" x14ac:dyDescent="0.25">
      <c r="A212">
        <v>2023</v>
      </c>
      <c r="B212" t="s">
        <v>807</v>
      </c>
      <c r="C212" t="s">
        <v>795</v>
      </c>
      <c r="D212" t="s">
        <v>707</v>
      </c>
      <c r="E212" t="s">
        <v>707</v>
      </c>
      <c r="F212" t="s">
        <v>707</v>
      </c>
      <c r="G212" t="s">
        <v>1993</v>
      </c>
      <c r="H212" s="37" t="s">
        <v>11</v>
      </c>
      <c r="I212" s="37" t="s">
        <v>34</v>
      </c>
      <c r="J212" t="s">
        <v>157</v>
      </c>
      <c r="K212" t="s">
        <v>2981</v>
      </c>
      <c r="L212" t="s">
        <v>1744</v>
      </c>
      <c r="M212" t="s">
        <v>1694</v>
      </c>
      <c r="N212" t="s">
        <v>707</v>
      </c>
      <c r="O212" t="s">
        <v>1546</v>
      </c>
      <c r="P212" s="10">
        <v>1061</v>
      </c>
      <c r="R212" t="s">
        <v>2002</v>
      </c>
    </row>
    <row r="213" spans="1:18" x14ac:dyDescent="0.25">
      <c r="A213">
        <v>2021</v>
      </c>
      <c r="B213" t="s">
        <v>807</v>
      </c>
      <c r="C213" t="s">
        <v>716</v>
      </c>
      <c r="D213" t="s">
        <v>707</v>
      </c>
      <c r="E213" t="s">
        <v>707</v>
      </c>
      <c r="F213" t="s">
        <v>707</v>
      </c>
      <c r="G213" t="s">
        <v>2069</v>
      </c>
      <c r="H213" s="37" t="s">
        <v>233</v>
      </c>
      <c r="I213" s="37" t="s">
        <v>720</v>
      </c>
      <c r="J213" t="s">
        <v>244</v>
      </c>
      <c r="K213" t="s">
        <v>2981</v>
      </c>
      <c r="L213" t="s">
        <v>1744</v>
      </c>
      <c r="M213" t="s">
        <v>2294</v>
      </c>
      <c r="N213" t="s">
        <v>707</v>
      </c>
      <c r="O213" t="s">
        <v>1566</v>
      </c>
      <c r="P213" s="31">
        <v>8561.4</v>
      </c>
      <c r="R213" s="10" t="s">
        <v>2290</v>
      </c>
    </row>
    <row r="214" spans="1:18" x14ac:dyDescent="0.25">
      <c r="A214">
        <v>2021</v>
      </c>
      <c r="B214" t="s">
        <v>807</v>
      </c>
      <c r="C214" t="s">
        <v>716</v>
      </c>
      <c r="D214" t="s">
        <v>707</v>
      </c>
      <c r="E214" t="s">
        <v>707</v>
      </c>
      <c r="F214" t="s">
        <v>707</v>
      </c>
      <c r="G214" t="s">
        <v>2069</v>
      </c>
      <c r="H214" s="37" t="s">
        <v>233</v>
      </c>
      <c r="I214" s="37" t="s">
        <v>720</v>
      </c>
      <c r="J214" t="s">
        <v>244</v>
      </c>
      <c r="K214" t="s">
        <v>2981</v>
      </c>
      <c r="L214" t="s">
        <v>1744</v>
      </c>
      <c r="M214" t="s">
        <v>2295</v>
      </c>
      <c r="N214" t="s">
        <v>707</v>
      </c>
      <c r="O214" t="s">
        <v>1566</v>
      </c>
      <c r="P214" s="31">
        <v>2172.6999999999998</v>
      </c>
      <c r="R214" s="10" t="s">
        <v>2290</v>
      </c>
    </row>
    <row r="215" spans="1:18" x14ac:dyDescent="0.25">
      <c r="A215">
        <v>2021</v>
      </c>
      <c r="B215" t="s">
        <v>807</v>
      </c>
      <c r="C215" t="s">
        <v>716</v>
      </c>
      <c r="D215" t="s">
        <v>707</v>
      </c>
      <c r="E215" t="s">
        <v>707</v>
      </c>
      <c r="F215" t="s">
        <v>707</v>
      </c>
      <c r="G215" t="s">
        <v>2069</v>
      </c>
      <c r="H215" s="37" t="s">
        <v>233</v>
      </c>
      <c r="I215" s="37" t="s">
        <v>720</v>
      </c>
      <c r="J215" t="s">
        <v>244</v>
      </c>
      <c r="K215" t="s">
        <v>2981</v>
      </c>
      <c r="L215" t="s">
        <v>1744</v>
      </c>
      <c r="M215" t="s">
        <v>2003</v>
      </c>
      <c r="N215" t="s">
        <v>707</v>
      </c>
      <c r="O215" t="s">
        <v>1566</v>
      </c>
      <c r="P215" s="31">
        <v>2298.9</v>
      </c>
      <c r="R215" s="10" t="s">
        <v>2290</v>
      </c>
    </row>
    <row r="216" spans="1:18" x14ac:dyDescent="0.25">
      <c r="A216">
        <v>2021</v>
      </c>
      <c r="B216" t="s">
        <v>807</v>
      </c>
      <c r="C216" t="s">
        <v>716</v>
      </c>
      <c r="D216" t="s">
        <v>707</v>
      </c>
      <c r="E216" t="s">
        <v>707</v>
      </c>
      <c r="F216" t="s">
        <v>707</v>
      </c>
      <c r="G216" t="s">
        <v>2069</v>
      </c>
      <c r="H216" s="37" t="s">
        <v>233</v>
      </c>
      <c r="I216" s="37" t="s">
        <v>720</v>
      </c>
      <c r="J216" t="s">
        <v>244</v>
      </c>
      <c r="K216" t="s">
        <v>2981</v>
      </c>
      <c r="L216" t="s">
        <v>1744</v>
      </c>
      <c r="M216" t="s">
        <v>2296</v>
      </c>
      <c r="N216" t="s">
        <v>707</v>
      </c>
      <c r="O216" t="s">
        <v>1566</v>
      </c>
      <c r="P216" s="31">
        <v>8987.6</v>
      </c>
      <c r="R216" s="10" t="s">
        <v>2290</v>
      </c>
    </row>
    <row r="217" spans="1:18" ht="14.45" customHeight="1" x14ac:dyDescent="0.25">
      <c r="A217">
        <v>2021</v>
      </c>
      <c r="B217" t="s">
        <v>807</v>
      </c>
      <c r="C217" t="s">
        <v>716</v>
      </c>
      <c r="D217" t="s">
        <v>707</v>
      </c>
      <c r="E217" t="s">
        <v>707</v>
      </c>
      <c r="F217" t="s">
        <v>707</v>
      </c>
      <c r="G217" t="s">
        <v>2069</v>
      </c>
      <c r="H217" s="37" t="s">
        <v>233</v>
      </c>
      <c r="I217" s="37" t="s">
        <v>720</v>
      </c>
      <c r="J217" t="s">
        <v>244</v>
      </c>
      <c r="K217" t="s">
        <v>2981</v>
      </c>
      <c r="L217" t="s">
        <v>1744</v>
      </c>
      <c r="M217" t="s">
        <v>2297</v>
      </c>
      <c r="N217" t="s">
        <v>707</v>
      </c>
      <c r="O217" t="s">
        <v>1566</v>
      </c>
      <c r="P217">
        <v>837.9</v>
      </c>
      <c r="R217" s="10" t="s">
        <v>2290</v>
      </c>
    </row>
    <row r="218" spans="1:18" ht="14.45" customHeight="1" x14ac:dyDescent="0.25">
      <c r="A218">
        <v>2021</v>
      </c>
      <c r="B218" t="s">
        <v>807</v>
      </c>
      <c r="C218" t="s">
        <v>716</v>
      </c>
      <c r="D218" t="s">
        <v>707</v>
      </c>
      <c r="E218" t="s">
        <v>707</v>
      </c>
      <c r="F218" t="s">
        <v>707</v>
      </c>
      <c r="G218" t="s">
        <v>2069</v>
      </c>
      <c r="H218" s="37" t="s">
        <v>233</v>
      </c>
      <c r="I218" s="37" t="s">
        <v>720</v>
      </c>
      <c r="J218" t="s">
        <v>244</v>
      </c>
      <c r="K218" t="s">
        <v>2981</v>
      </c>
      <c r="L218" t="s">
        <v>1744</v>
      </c>
      <c r="M218" t="s">
        <v>2298</v>
      </c>
      <c r="N218" t="s">
        <v>707</v>
      </c>
      <c r="O218" t="s">
        <v>1566</v>
      </c>
      <c r="P218" s="25">
        <v>187131</v>
      </c>
      <c r="R218" s="10" t="s">
        <v>2290</v>
      </c>
    </row>
    <row r="219" spans="1:18" x14ac:dyDescent="0.25">
      <c r="A219">
        <v>2023</v>
      </c>
      <c r="B219" t="s">
        <v>807</v>
      </c>
      <c r="C219" t="s">
        <v>8</v>
      </c>
      <c r="D219" t="s">
        <v>707</v>
      </c>
      <c r="E219" t="s">
        <v>707</v>
      </c>
      <c r="F219" t="s">
        <v>707</v>
      </c>
      <c r="G219" t="s">
        <v>1895</v>
      </c>
      <c r="H219" s="37" t="s">
        <v>11</v>
      </c>
      <c r="I219" s="37"/>
      <c r="K219" t="s">
        <v>2981</v>
      </c>
      <c r="L219" t="s">
        <v>1744</v>
      </c>
      <c r="M219" t="s">
        <v>1900</v>
      </c>
      <c r="N219" t="s">
        <v>707</v>
      </c>
      <c r="O219" t="s">
        <v>1546</v>
      </c>
      <c r="P219">
        <v>5562353</v>
      </c>
      <c r="R219" t="s">
        <v>1904</v>
      </c>
    </row>
    <row r="220" spans="1:18" x14ac:dyDescent="0.25">
      <c r="A220">
        <v>2023</v>
      </c>
      <c r="B220" t="s">
        <v>807</v>
      </c>
      <c r="C220" t="s">
        <v>8</v>
      </c>
      <c r="D220" t="s">
        <v>707</v>
      </c>
      <c r="E220" t="s">
        <v>707</v>
      </c>
      <c r="F220" t="s">
        <v>707</v>
      </c>
      <c r="G220" t="s">
        <v>1895</v>
      </c>
      <c r="H220" s="37" t="s">
        <v>11</v>
      </c>
      <c r="I220" s="37"/>
      <c r="K220" t="s">
        <v>2981</v>
      </c>
      <c r="L220" t="s">
        <v>1744</v>
      </c>
      <c r="M220" t="s">
        <v>1622</v>
      </c>
      <c r="N220" t="s">
        <v>707</v>
      </c>
      <c r="O220" t="s">
        <v>1546</v>
      </c>
      <c r="P220">
        <v>2083146</v>
      </c>
      <c r="R220" t="s">
        <v>1904</v>
      </c>
    </row>
    <row r="221" spans="1:18" x14ac:dyDescent="0.25">
      <c r="A221">
        <v>2023</v>
      </c>
      <c r="B221" t="s">
        <v>807</v>
      </c>
      <c r="C221" t="s">
        <v>8</v>
      </c>
      <c r="D221" t="s">
        <v>707</v>
      </c>
      <c r="E221" t="s">
        <v>707</v>
      </c>
      <c r="F221" t="s">
        <v>707</v>
      </c>
      <c r="G221" t="s">
        <v>1895</v>
      </c>
      <c r="H221" s="37" t="s">
        <v>11</v>
      </c>
      <c r="I221" s="37"/>
      <c r="K221" t="s">
        <v>2981</v>
      </c>
      <c r="L221" t="s">
        <v>1744</v>
      </c>
      <c r="M221" t="s">
        <v>1901</v>
      </c>
      <c r="N221" t="s">
        <v>707</v>
      </c>
      <c r="O221" t="s">
        <v>1546</v>
      </c>
      <c r="P221">
        <v>1599</v>
      </c>
      <c r="R221" t="s">
        <v>1904</v>
      </c>
    </row>
    <row r="222" spans="1:18" x14ac:dyDescent="0.25">
      <c r="A222">
        <v>2023</v>
      </c>
      <c r="B222" t="s">
        <v>807</v>
      </c>
      <c r="C222" t="s">
        <v>8</v>
      </c>
      <c r="D222" t="s">
        <v>707</v>
      </c>
      <c r="E222" t="s">
        <v>707</v>
      </c>
      <c r="F222" t="s">
        <v>707</v>
      </c>
      <c r="G222" t="s">
        <v>1895</v>
      </c>
      <c r="H222" s="37" t="s">
        <v>11</v>
      </c>
      <c r="I222" s="37"/>
      <c r="K222" t="s">
        <v>2981</v>
      </c>
      <c r="L222" t="s">
        <v>1744</v>
      </c>
      <c r="M222" t="s">
        <v>1757</v>
      </c>
      <c r="N222" t="s">
        <v>707</v>
      </c>
      <c r="O222" t="s">
        <v>1546</v>
      </c>
      <c r="P222" s="10">
        <v>517</v>
      </c>
      <c r="R222" t="s">
        <v>1904</v>
      </c>
    </row>
    <row r="223" spans="1:18" x14ac:dyDescent="0.25">
      <c r="A223">
        <v>2023</v>
      </c>
      <c r="B223" t="s">
        <v>807</v>
      </c>
      <c r="C223" t="s">
        <v>717</v>
      </c>
      <c r="D223" t="s">
        <v>707</v>
      </c>
      <c r="E223" t="s">
        <v>707</v>
      </c>
      <c r="F223" t="s">
        <v>707</v>
      </c>
      <c r="G223" t="s">
        <v>1848</v>
      </c>
      <c r="H223" s="37"/>
      <c r="I223" s="37"/>
      <c r="K223" t="s">
        <v>2981</v>
      </c>
      <c r="L223" t="s">
        <v>1744</v>
      </c>
      <c r="M223" t="s">
        <v>1788</v>
      </c>
      <c r="N223" t="s">
        <v>707</v>
      </c>
      <c r="O223" s="10" t="s">
        <v>1546</v>
      </c>
      <c r="P223" s="10">
        <v>1033993</v>
      </c>
      <c r="R223" t="s">
        <v>1781</v>
      </c>
    </row>
    <row r="224" spans="1:18" x14ac:dyDescent="0.25">
      <c r="A224">
        <v>2023</v>
      </c>
      <c r="B224" t="s">
        <v>807</v>
      </c>
      <c r="C224" t="s">
        <v>717</v>
      </c>
      <c r="D224" t="s">
        <v>707</v>
      </c>
      <c r="E224" t="s">
        <v>707</v>
      </c>
      <c r="F224" t="s">
        <v>707</v>
      </c>
      <c r="G224" t="s">
        <v>1848</v>
      </c>
      <c r="H224" s="37"/>
      <c r="I224" s="37"/>
      <c r="K224" t="s">
        <v>2981</v>
      </c>
      <c r="L224" t="s">
        <v>1744</v>
      </c>
      <c r="M224" t="s">
        <v>1786</v>
      </c>
      <c r="N224" t="s">
        <v>707</v>
      </c>
      <c r="O224" s="10" t="s">
        <v>1546</v>
      </c>
      <c r="P224" s="10">
        <v>87553953</v>
      </c>
      <c r="R224" t="s">
        <v>1781</v>
      </c>
    </row>
    <row r="225" spans="1:18" x14ac:dyDescent="0.25">
      <c r="A225">
        <v>2023</v>
      </c>
      <c r="B225" t="s">
        <v>807</v>
      </c>
      <c r="C225" t="s">
        <v>717</v>
      </c>
      <c r="D225" t="s">
        <v>707</v>
      </c>
      <c r="E225" t="s">
        <v>707</v>
      </c>
      <c r="F225" t="s">
        <v>707</v>
      </c>
      <c r="G225" t="s">
        <v>1848</v>
      </c>
      <c r="H225" s="37"/>
      <c r="I225" s="37"/>
      <c r="K225" t="s">
        <v>2981</v>
      </c>
      <c r="L225" t="s">
        <v>1744</v>
      </c>
      <c r="M225" t="s">
        <v>1787</v>
      </c>
      <c r="N225" t="s">
        <v>707</v>
      </c>
      <c r="O225" s="10" t="s">
        <v>1546</v>
      </c>
      <c r="P225" s="10">
        <v>45174643</v>
      </c>
      <c r="R225" t="s">
        <v>1781</v>
      </c>
    </row>
    <row r="226" spans="1:18" x14ac:dyDescent="0.25">
      <c r="A226">
        <v>2023</v>
      </c>
      <c r="B226" t="s">
        <v>807</v>
      </c>
      <c r="C226" t="s">
        <v>325</v>
      </c>
      <c r="D226" t="s">
        <v>707</v>
      </c>
      <c r="E226" t="s">
        <v>707</v>
      </c>
      <c r="F226" t="s">
        <v>707</v>
      </c>
      <c r="G226" t="s">
        <v>2119</v>
      </c>
      <c r="H226" s="37" t="s">
        <v>1846</v>
      </c>
      <c r="I226" s="37" t="s">
        <v>720</v>
      </c>
      <c r="J226" t="s">
        <v>2322</v>
      </c>
      <c r="K226" t="s">
        <v>2981</v>
      </c>
      <c r="L226" t="s">
        <v>1744</v>
      </c>
      <c r="M226" t="s">
        <v>1901</v>
      </c>
      <c r="N226" t="s">
        <v>707</v>
      </c>
      <c r="O226" t="s">
        <v>1546</v>
      </c>
      <c r="P226">
        <v>3780</v>
      </c>
      <c r="R226" t="s">
        <v>1904</v>
      </c>
    </row>
    <row r="227" spans="1:18" x14ac:dyDescent="0.25">
      <c r="A227">
        <v>2023</v>
      </c>
      <c r="B227" t="s">
        <v>807</v>
      </c>
      <c r="C227" t="s">
        <v>325</v>
      </c>
      <c r="D227" t="s">
        <v>707</v>
      </c>
      <c r="E227" t="s">
        <v>707</v>
      </c>
      <c r="F227" t="s">
        <v>707</v>
      </c>
      <c r="G227" t="s">
        <v>2119</v>
      </c>
      <c r="H227" s="37" t="s">
        <v>1846</v>
      </c>
      <c r="I227" s="37" t="s">
        <v>720</v>
      </c>
      <c r="J227" t="s">
        <v>2322</v>
      </c>
      <c r="K227" t="s">
        <v>2981</v>
      </c>
      <c r="L227" t="s">
        <v>1744</v>
      </c>
      <c r="M227" t="s">
        <v>2325</v>
      </c>
      <c r="N227" t="s">
        <v>707</v>
      </c>
      <c r="O227" t="s">
        <v>1546</v>
      </c>
      <c r="P227">
        <v>3495</v>
      </c>
      <c r="R227" t="s">
        <v>1904</v>
      </c>
    </row>
    <row r="228" spans="1:18" x14ac:dyDescent="0.25">
      <c r="A228">
        <v>2023</v>
      </c>
      <c r="B228" t="s">
        <v>807</v>
      </c>
      <c r="C228" t="s">
        <v>325</v>
      </c>
      <c r="D228" t="s">
        <v>707</v>
      </c>
      <c r="E228" t="s">
        <v>707</v>
      </c>
      <c r="F228" t="s">
        <v>707</v>
      </c>
      <c r="G228" t="s">
        <v>2119</v>
      </c>
      <c r="H228" s="37" t="s">
        <v>1846</v>
      </c>
      <c r="I228" s="37" t="s">
        <v>720</v>
      </c>
      <c r="J228" t="s">
        <v>2322</v>
      </c>
      <c r="K228" t="s">
        <v>2981</v>
      </c>
      <c r="L228" t="s">
        <v>1744</v>
      </c>
      <c r="M228" t="s">
        <v>2326</v>
      </c>
      <c r="N228" t="s">
        <v>707</v>
      </c>
      <c r="O228" t="s">
        <v>1546</v>
      </c>
      <c r="P228">
        <v>285</v>
      </c>
      <c r="R228" t="s">
        <v>1904</v>
      </c>
    </row>
    <row r="229" spans="1:18" x14ac:dyDescent="0.25">
      <c r="A229">
        <v>2023</v>
      </c>
      <c r="B229" t="s">
        <v>807</v>
      </c>
      <c r="C229" t="s">
        <v>325</v>
      </c>
      <c r="D229" t="s">
        <v>707</v>
      </c>
      <c r="E229" t="s">
        <v>707</v>
      </c>
      <c r="F229" t="s">
        <v>707</v>
      </c>
      <c r="G229" t="s">
        <v>2119</v>
      </c>
      <c r="H229" s="37" t="s">
        <v>1846</v>
      </c>
      <c r="I229" s="37" t="s">
        <v>720</v>
      </c>
      <c r="J229" t="s">
        <v>2322</v>
      </c>
      <c r="K229" t="s">
        <v>2981</v>
      </c>
      <c r="L229" t="s">
        <v>1744</v>
      </c>
      <c r="M229" t="s">
        <v>2327</v>
      </c>
      <c r="N229" t="s">
        <v>707</v>
      </c>
      <c r="O229" t="s">
        <v>1546</v>
      </c>
      <c r="P229">
        <v>6259074</v>
      </c>
      <c r="R229" t="s">
        <v>1904</v>
      </c>
    </row>
    <row r="230" spans="1:18" x14ac:dyDescent="0.25">
      <c r="A230">
        <v>2023</v>
      </c>
      <c r="B230" t="s">
        <v>807</v>
      </c>
      <c r="C230" t="s">
        <v>325</v>
      </c>
      <c r="D230" t="s">
        <v>707</v>
      </c>
      <c r="E230" t="s">
        <v>707</v>
      </c>
      <c r="F230" t="s">
        <v>707</v>
      </c>
      <c r="G230" t="s">
        <v>2119</v>
      </c>
      <c r="H230" s="37" t="s">
        <v>1846</v>
      </c>
      <c r="I230" s="37" t="s">
        <v>720</v>
      </c>
      <c r="J230" t="s">
        <v>2322</v>
      </c>
      <c r="K230" t="s">
        <v>2981</v>
      </c>
      <c r="L230" t="s">
        <v>1744</v>
      </c>
      <c r="M230" t="s">
        <v>2328</v>
      </c>
      <c r="N230" t="s">
        <v>707</v>
      </c>
      <c r="O230" t="s">
        <v>1546</v>
      </c>
      <c r="P230">
        <v>2583084</v>
      </c>
      <c r="R230" t="s">
        <v>1904</v>
      </c>
    </row>
    <row r="231" spans="1:18" x14ac:dyDescent="0.25">
      <c r="A231">
        <v>2023</v>
      </c>
      <c r="B231" t="s">
        <v>807</v>
      </c>
      <c r="C231" t="s">
        <v>325</v>
      </c>
      <c r="D231" t="s">
        <v>707</v>
      </c>
      <c r="E231" t="s">
        <v>707</v>
      </c>
      <c r="F231" t="s">
        <v>707</v>
      </c>
      <c r="G231" t="s">
        <v>2119</v>
      </c>
      <c r="H231" s="37" t="s">
        <v>1846</v>
      </c>
      <c r="I231" s="37" t="s">
        <v>720</v>
      </c>
      <c r="J231" t="s">
        <v>2322</v>
      </c>
      <c r="K231" t="s">
        <v>2981</v>
      </c>
      <c r="L231" t="s">
        <v>1744</v>
      </c>
      <c r="M231" t="s">
        <v>2329</v>
      </c>
      <c r="N231" t="s">
        <v>707</v>
      </c>
      <c r="O231" t="s">
        <v>1546</v>
      </c>
      <c r="P231">
        <v>3675990</v>
      </c>
      <c r="R231" t="s">
        <v>1904</v>
      </c>
    </row>
    <row r="232" spans="1:18" x14ac:dyDescent="0.25">
      <c r="A232">
        <v>2023</v>
      </c>
      <c r="B232" t="s">
        <v>807</v>
      </c>
      <c r="C232" t="s">
        <v>325</v>
      </c>
      <c r="D232" t="s">
        <v>707</v>
      </c>
      <c r="E232" t="s">
        <v>707</v>
      </c>
      <c r="F232" t="s">
        <v>707</v>
      </c>
      <c r="G232" t="s">
        <v>2119</v>
      </c>
      <c r="H232" s="37" t="s">
        <v>1846</v>
      </c>
      <c r="I232" s="37" t="s">
        <v>720</v>
      </c>
      <c r="J232" t="s">
        <v>2322</v>
      </c>
      <c r="K232" t="s">
        <v>2981</v>
      </c>
      <c r="L232" t="s">
        <v>1744</v>
      </c>
      <c r="N232" t="s">
        <v>707</v>
      </c>
      <c r="P232" s="10"/>
      <c r="R232" t="s">
        <v>1904</v>
      </c>
    </row>
    <row r="233" spans="1:18" x14ac:dyDescent="0.25">
      <c r="A233">
        <v>2023</v>
      </c>
      <c r="B233" t="s">
        <v>807</v>
      </c>
      <c r="C233" t="s">
        <v>718</v>
      </c>
      <c r="D233" t="s">
        <v>707</v>
      </c>
      <c r="E233" t="s">
        <v>707</v>
      </c>
      <c r="F233" t="s">
        <v>707</v>
      </c>
      <c r="G233" t="s">
        <v>2149</v>
      </c>
      <c r="H233" s="37" t="s">
        <v>1846</v>
      </c>
      <c r="I233" s="37" t="s">
        <v>720</v>
      </c>
      <c r="J233" t="s">
        <v>720</v>
      </c>
      <c r="K233" t="s">
        <v>2981</v>
      </c>
      <c r="L233" t="s">
        <v>1744</v>
      </c>
      <c r="M233" t="s">
        <v>2462</v>
      </c>
      <c r="N233" t="s">
        <v>707</v>
      </c>
      <c r="O233" t="s">
        <v>1641</v>
      </c>
      <c r="P233" s="10">
        <v>9</v>
      </c>
      <c r="R233" t="s">
        <v>2453</v>
      </c>
    </row>
    <row r="234" spans="1:18" x14ac:dyDescent="0.25">
      <c r="A234">
        <v>2023</v>
      </c>
      <c r="B234" t="s">
        <v>807</v>
      </c>
      <c r="C234" t="s">
        <v>718</v>
      </c>
      <c r="D234" t="s">
        <v>707</v>
      </c>
      <c r="E234" t="s">
        <v>707</v>
      </c>
      <c r="F234" t="s">
        <v>707</v>
      </c>
      <c r="G234" t="s">
        <v>2149</v>
      </c>
      <c r="H234" s="37" t="s">
        <v>1846</v>
      </c>
      <c r="I234" s="37" t="s">
        <v>720</v>
      </c>
      <c r="J234" t="s">
        <v>720</v>
      </c>
      <c r="K234" t="s">
        <v>2981</v>
      </c>
      <c r="L234" t="s">
        <v>1744</v>
      </c>
      <c r="M234" t="s">
        <v>2463</v>
      </c>
      <c r="N234" t="s">
        <v>707</v>
      </c>
      <c r="O234" t="s">
        <v>1641</v>
      </c>
      <c r="P234" s="10">
        <v>974</v>
      </c>
      <c r="R234" t="s">
        <v>2453</v>
      </c>
    </row>
    <row r="235" spans="1:18" x14ac:dyDescent="0.25">
      <c r="A235">
        <v>2023</v>
      </c>
      <c r="B235" t="s">
        <v>807</v>
      </c>
      <c r="C235" t="s">
        <v>718</v>
      </c>
      <c r="D235" t="s">
        <v>707</v>
      </c>
      <c r="E235" t="s">
        <v>707</v>
      </c>
      <c r="F235" t="s">
        <v>707</v>
      </c>
      <c r="G235" t="s">
        <v>2149</v>
      </c>
      <c r="H235" s="37" t="s">
        <v>1846</v>
      </c>
      <c r="I235" s="37" t="s">
        <v>720</v>
      </c>
      <c r="J235" t="s">
        <v>720</v>
      </c>
      <c r="K235" t="s">
        <v>2981</v>
      </c>
      <c r="L235" t="s">
        <v>1744</v>
      </c>
      <c r="M235" t="s">
        <v>1693</v>
      </c>
      <c r="N235" t="s">
        <v>707</v>
      </c>
      <c r="O235" t="s">
        <v>1566</v>
      </c>
      <c r="P235" s="10">
        <v>1158</v>
      </c>
      <c r="R235" t="s">
        <v>2453</v>
      </c>
    </row>
    <row r="236" spans="1:18" x14ac:dyDescent="0.25">
      <c r="A236">
        <v>2023</v>
      </c>
      <c r="B236" t="s">
        <v>807</v>
      </c>
      <c r="C236" t="s">
        <v>718</v>
      </c>
      <c r="D236" t="s">
        <v>707</v>
      </c>
      <c r="E236" t="s">
        <v>707</v>
      </c>
      <c r="F236" t="s">
        <v>707</v>
      </c>
      <c r="G236" t="s">
        <v>2149</v>
      </c>
      <c r="H236" s="37" t="s">
        <v>1846</v>
      </c>
      <c r="I236" s="37" t="s">
        <v>720</v>
      </c>
      <c r="J236" t="s">
        <v>720</v>
      </c>
      <c r="K236" t="s">
        <v>2981</v>
      </c>
      <c r="L236" t="s">
        <v>1744</v>
      </c>
      <c r="M236" t="s">
        <v>2464</v>
      </c>
      <c r="N236" t="s">
        <v>707</v>
      </c>
      <c r="O236" t="s">
        <v>1566</v>
      </c>
      <c r="P236" s="10">
        <v>226</v>
      </c>
      <c r="R236" t="s">
        <v>2453</v>
      </c>
    </row>
    <row r="237" spans="1:18" x14ac:dyDescent="0.25">
      <c r="A237">
        <v>2023</v>
      </c>
      <c r="B237" t="s">
        <v>807</v>
      </c>
      <c r="C237" t="s">
        <v>1937</v>
      </c>
      <c r="D237" t="s">
        <v>707</v>
      </c>
      <c r="E237" t="s">
        <v>707</v>
      </c>
      <c r="F237" t="s">
        <v>707</v>
      </c>
      <c r="G237" t="s">
        <v>1936</v>
      </c>
      <c r="H237" s="37" t="s">
        <v>233</v>
      </c>
      <c r="I237" s="37" t="s">
        <v>720</v>
      </c>
      <c r="J237" t="s">
        <v>1544</v>
      </c>
      <c r="K237" t="s">
        <v>2981</v>
      </c>
      <c r="L237" t="s">
        <v>1744</v>
      </c>
      <c r="M237" t="s">
        <v>1941</v>
      </c>
      <c r="N237" t="s">
        <v>707</v>
      </c>
      <c r="O237" t="s">
        <v>1546</v>
      </c>
      <c r="P237" s="10">
        <v>1577</v>
      </c>
      <c r="R237" t="s">
        <v>1940</v>
      </c>
    </row>
    <row r="238" spans="1:18" x14ac:dyDescent="0.25">
      <c r="A238">
        <v>2023</v>
      </c>
      <c r="B238" t="s">
        <v>807</v>
      </c>
      <c r="C238" t="s">
        <v>1937</v>
      </c>
      <c r="D238" t="s">
        <v>707</v>
      </c>
      <c r="E238" t="s">
        <v>707</v>
      </c>
      <c r="F238" t="s">
        <v>707</v>
      </c>
      <c r="G238" t="s">
        <v>1936</v>
      </c>
      <c r="H238" s="37" t="s">
        <v>233</v>
      </c>
      <c r="I238" s="37" t="s">
        <v>720</v>
      </c>
      <c r="J238" t="s">
        <v>1544</v>
      </c>
      <c r="K238" t="s">
        <v>2981</v>
      </c>
      <c r="L238" t="s">
        <v>1744</v>
      </c>
      <c r="M238" t="s">
        <v>1694</v>
      </c>
      <c r="N238" t="s">
        <v>707</v>
      </c>
      <c r="O238" t="s">
        <v>1546</v>
      </c>
      <c r="P238" s="10">
        <v>1312</v>
      </c>
      <c r="R238" t="s">
        <v>1940</v>
      </c>
    </row>
    <row r="239" spans="1:18" x14ac:dyDescent="0.25">
      <c r="A239">
        <v>2024</v>
      </c>
      <c r="B239" t="s">
        <v>807</v>
      </c>
      <c r="C239" t="s">
        <v>101</v>
      </c>
      <c r="D239" t="s">
        <v>707</v>
      </c>
      <c r="E239" t="s">
        <v>707</v>
      </c>
      <c r="F239" t="s">
        <v>707</v>
      </c>
      <c r="G239" t="s">
        <v>1845</v>
      </c>
      <c r="H239" s="37"/>
      <c r="I239" s="37"/>
      <c r="K239" t="s">
        <v>2981</v>
      </c>
      <c r="L239" t="s">
        <v>1744</v>
      </c>
      <c r="M239" t="s">
        <v>1838</v>
      </c>
      <c r="N239" t="s">
        <v>707</v>
      </c>
      <c r="O239" t="s">
        <v>1546</v>
      </c>
      <c r="P239" s="10">
        <v>68000000</v>
      </c>
      <c r="R239" t="s">
        <v>1843</v>
      </c>
    </row>
    <row r="240" spans="1:18" x14ac:dyDescent="0.25">
      <c r="A240">
        <v>2025</v>
      </c>
      <c r="B240" t="s">
        <v>807</v>
      </c>
      <c r="C240" t="s">
        <v>101</v>
      </c>
      <c r="D240" t="s">
        <v>707</v>
      </c>
      <c r="E240" t="s">
        <v>707</v>
      </c>
      <c r="F240" t="s">
        <v>707</v>
      </c>
      <c r="G240" t="s">
        <v>1845</v>
      </c>
      <c r="H240" s="37"/>
      <c r="I240" s="37"/>
      <c r="K240" t="s">
        <v>2981</v>
      </c>
      <c r="L240" t="s">
        <v>1744</v>
      </c>
      <c r="M240" t="s">
        <v>1839</v>
      </c>
      <c r="N240" t="s">
        <v>707</v>
      </c>
      <c r="O240" t="s">
        <v>1546</v>
      </c>
      <c r="P240" s="10">
        <v>81000000</v>
      </c>
      <c r="R240" t="s">
        <v>1843</v>
      </c>
    </row>
    <row r="241" spans="1:20" x14ac:dyDescent="0.25">
      <c r="A241">
        <v>2026</v>
      </c>
      <c r="B241" t="s">
        <v>807</v>
      </c>
      <c r="C241" t="s">
        <v>101</v>
      </c>
      <c r="D241" t="s">
        <v>707</v>
      </c>
      <c r="E241" t="s">
        <v>707</v>
      </c>
      <c r="F241" t="s">
        <v>707</v>
      </c>
      <c r="G241" t="s">
        <v>1845</v>
      </c>
      <c r="H241" s="37"/>
      <c r="I241" s="37"/>
      <c r="K241" t="s">
        <v>2981</v>
      </c>
      <c r="L241" t="s">
        <v>1744</v>
      </c>
      <c r="M241" t="s">
        <v>1818</v>
      </c>
      <c r="N241" t="s">
        <v>707</v>
      </c>
      <c r="O241" t="s">
        <v>1546</v>
      </c>
      <c r="P241" s="10">
        <v>7979</v>
      </c>
      <c r="R241" t="s">
        <v>1843</v>
      </c>
    </row>
    <row r="242" spans="1:20" x14ac:dyDescent="0.25">
      <c r="A242">
        <v>2027</v>
      </c>
      <c r="B242" t="s">
        <v>807</v>
      </c>
      <c r="C242" t="s">
        <v>101</v>
      </c>
      <c r="D242" t="s">
        <v>707</v>
      </c>
      <c r="E242" t="s">
        <v>707</v>
      </c>
      <c r="F242" t="s">
        <v>707</v>
      </c>
      <c r="G242" t="s">
        <v>1845</v>
      </c>
      <c r="H242" s="37"/>
      <c r="I242" s="37"/>
      <c r="K242" t="s">
        <v>2981</v>
      </c>
      <c r="L242" t="s">
        <v>1744</v>
      </c>
      <c r="M242" t="s">
        <v>1817</v>
      </c>
      <c r="N242" t="s">
        <v>707</v>
      </c>
      <c r="O242" t="s">
        <v>1546</v>
      </c>
      <c r="P242" s="10">
        <v>37531</v>
      </c>
      <c r="R242" t="s">
        <v>1843</v>
      </c>
    </row>
    <row r="245" spans="1:20" x14ac:dyDescent="0.25">
      <c r="A245">
        <v>2023</v>
      </c>
      <c r="B245" t="s">
        <v>807</v>
      </c>
      <c r="C245" t="s">
        <v>2900</v>
      </c>
      <c r="D245" t="s">
        <v>261</v>
      </c>
      <c r="E245" t="s">
        <v>707</v>
      </c>
      <c r="F245" t="s">
        <v>707</v>
      </c>
      <c r="G245" t="s">
        <v>707</v>
      </c>
      <c r="H245" t="s">
        <v>1948</v>
      </c>
      <c r="I245" s="37" t="s">
        <v>233</v>
      </c>
      <c r="J245" s="37" t="s">
        <v>249</v>
      </c>
      <c r="K245" s="37" t="s">
        <v>376</v>
      </c>
      <c r="L245" t="s">
        <v>376</v>
      </c>
      <c r="M245" t="s">
        <v>2991</v>
      </c>
      <c r="N245" t="s">
        <v>2901</v>
      </c>
      <c r="O245" t="s">
        <v>2894</v>
      </c>
      <c r="P245" t="s">
        <v>3004</v>
      </c>
      <c r="Q245" t="s">
        <v>1980</v>
      </c>
      <c r="R245" s="31">
        <v>2114</v>
      </c>
      <c r="T245" t="s">
        <v>1979</v>
      </c>
    </row>
    <row r="246" spans="1:20" x14ac:dyDescent="0.25">
      <c r="A246">
        <v>2023</v>
      </c>
      <c r="B246" t="s">
        <v>807</v>
      </c>
      <c r="C246" t="s">
        <v>2900</v>
      </c>
      <c r="D246" t="s">
        <v>795</v>
      </c>
      <c r="E246" t="s">
        <v>707</v>
      </c>
      <c r="F246" t="s">
        <v>707</v>
      </c>
      <c r="G246" t="s">
        <v>707</v>
      </c>
      <c r="H246" t="s">
        <v>1993</v>
      </c>
      <c r="I246" s="37" t="s">
        <v>11</v>
      </c>
      <c r="J246" s="37" t="s">
        <v>34</v>
      </c>
      <c r="K246" s="37" t="s">
        <v>157</v>
      </c>
      <c r="L246" t="s">
        <v>157</v>
      </c>
      <c r="M246" t="s">
        <v>2990</v>
      </c>
      <c r="N246" t="s">
        <v>1552</v>
      </c>
      <c r="O246" t="s">
        <v>2894</v>
      </c>
      <c r="P246" t="s">
        <v>3004</v>
      </c>
      <c r="Q246" t="s">
        <v>1641</v>
      </c>
      <c r="R246" s="31">
        <v>14.16</v>
      </c>
      <c r="T246" t="s">
        <v>2002</v>
      </c>
    </row>
    <row r="247" spans="1:20" x14ac:dyDescent="0.25">
      <c r="A247">
        <v>2023</v>
      </c>
      <c r="B247" t="s">
        <v>807</v>
      </c>
      <c r="C247" t="s">
        <v>2900</v>
      </c>
      <c r="D247" t="s">
        <v>795</v>
      </c>
      <c r="E247" t="s">
        <v>707</v>
      </c>
      <c r="F247" t="s">
        <v>707</v>
      </c>
      <c r="G247" t="s">
        <v>707</v>
      </c>
      <c r="H247" t="s">
        <v>1993</v>
      </c>
      <c r="I247" s="37" t="s">
        <v>11</v>
      </c>
      <c r="J247" s="37" t="s">
        <v>34</v>
      </c>
      <c r="K247" s="37" t="s">
        <v>157</v>
      </c>
      <c r="L247" t="s">
        <v>157</v>
      </c>
      <c r="M247" t="s">
        <v>2988</v>
      </c>
      <c r="N247" t="s">
        <v>1594</v>
      </c>
      <c r="O247" t="s">
        <v>2894</v>
      </c>
      <c r="P247" t="s">
        <v>3004</v>
      </c>
      <c r="Q247" t="s">
        <v>1641</v>
      </c>
      <c r="R247" s="31">
        <v>40.869999999999997</v>
      </c>
      <c r="S247" t="s">
        <v>2001</v>
      </c>
      <c r="T247" t="s">
        <v>2002</v>
      </c>
    </row>
    <row r="248" spans="1:20" x14ac:dyDescent="0.25">
      <c r="A248">
        <v>2023</v>
      </c>
      <c r="B248" t="s">
        <v>807</v>
      </c>
      <c r="C248" t="s">
        <v>2899</v>
      </c>
      <c r="D248" t="s">
        <v>754</v>
      </c>
      <c r="E248" t="s">
        <v>707</v>
      </c>
      <c r="F248" t="s">
        <v>707</v>
      </c>
      <c r="G248" t="s">
        <v>707</v>
      </c>
      <c r="H248" t="s">
        <v>2005</v>
      </c>
      <c r="I248" s="37" t="s">
        <v>11</v>
      </c>
      <c r="J248" s="37" t="s">
        <v>98</v>
      </c>
      <c r="K248" s="37" t="s">
        <v>147</v>
      </c>
      <c r="L248" t="s">
        <v>147</v>
      </c>
      <c r="M248" t="s">
        <v>2990</v>
      </c>
      <c r="N248" t="s">
        <v>1801</v>
      </c>
      <c r="O248" t="s">
        <v>2894</v>
      </c>
      <c r="P248" t="s">
        <v>3004</v>
      </c>
      <c r="Q248" t="s">
        <v>2009</v>
      </c>
      <c r="R248" s="31">
        <v>2834</v>
      </c>
      <c r="T248" t="s">
        <v>1904</v>
      </c>
    </row>
    <row r="249" spans="1:20" x14ac:dyDescent="0.25">
      <c r="A249">
        <v>2023</v>
      </c>
      <c r="B249" t="s">
        <v>807</v>
      </c>
      <c r="C249" t="s">
        <v>2900</v>
      </c>
      <c r="D249" t="s">
        <v>715</v>
      </c>
      <c r="E249" t="s">
        <v>707</v>
      </c>
      <c r="F249" t="s">
        <v>707</v>
      </c>
      <c r="G249" t="s">
        <v>707</v>
      </c>
      <c r="I249" s="37" t="s">
        <v>274</v>
      </c>
      <c r="J249" s="37" t="s">
        <v>720</v>
      </c>
      <c r="K249" s="37" t="s">
        <v>286</v>
      </c>
      <c r="L249" t="s">
        <v>125</v>
      </c>
      <c r="M249" t="s">
        <v>2992</v>
      </c>
      <c r="N249" t="s">
        <v>2349</v>
      </c>
      <c r="O249" t="s">
        <v>2894</v>
      </c>
      <c r="P249" t="s">
        <v>3004</v>
      </c>
      <c r="Q249" t="s">
        <v>1566</v>
      </c>
      <c r="R249" s="31">
        <v>443.3</v>
      </c>
      <c r="S249" t="s">
        <v>2917</v>
      </c>
      <c r="T249" t="s">
        <v>2432</v>
      </c>
    </row>
    <row r="250" spans="1:20" x14ac:dyDescent="0.25">
      <c r="A250">
        <v>2023</v>
      </c>
      <c r="B250" t="s">
        <v>807</v>
      </c>
      <c r="C250" t="s">
        <v>2900</v>
      </c>
      <c r="D250" t="s">
        <v>715</v>
      </c>
      <c r="E250" t="s">
        <v>707</v>
      </c>
      <c r="F250" t="s">
        <v>707</v>
      </c>
      <c r="G250" t="s">
        <v>707</v>
      </c>
      <c r="I250" s="37" t="s">
        <v>274</v>
      </c>
      <c r="J250" s="37" t="s">
        <v>720</v>
      </c>
      <c r="K250" s="37" t="s">
        <v>286</v>
      </c>
      <c r="L250" t="s">
        <v>125</v>
      </c>
      <c r="M250" t="s">
        <v>2992</v>
      </c>
      <c r="N250" t="s">
        <v>2349</v>
      </c>
      <c r="O250" t="s">
        <v>2894</v>
      </c>
      <c r="P250" t="s">
        <v>3004</v>
      </c>
      <c r="Q250" t="s">
        <v>1566</v>
      </c>
      <c r="R250" s="31">
        <v>507.3</v>
      </c>
      <c r="S250" t="s">
        <v>2917</v>
      </c>
      <c r="T250" t="s">
        <v>2432</v>
      </c>
    </row>
    <row r="251" spans="1:20" x14ac:dyDescent="0.25">
      <c r="A251">
        <v>2023</v>
      </c>
      <c r="B251" t="s">
        <v>807</v>
      </c>
      <c r="C251" t="s">
        <v>2900</v>
      </c>
      <c r="D251" t="s">
        <v>715</v>
      </c>
      <c r="E251" t="s">
        <v>707</v>
      </c>
      <c r="F251" t="s">
        <v>707</v>
      </c>
      <c r="G251" t="s">
        <v>707</v>
      </c>
      <c r="H251" t="s">
        <v>2086</v>
      </c>
      <c r="I251" s="37" t="s">
        <v>1846</v>
      </c>
      <c r="J251" s="37" t="s">
        <v>720</v>
      </c>
      <c r="K251" s="37" t="s">
        <v>720</v>
      </c>
      <c r="L251" t="s">
        <v>1765</v>
      </c>
      <c r="M251" t="s">
        <v>2993</v>
      </c>
      <c r="N251" t="s">
        <v>3001</v>
      </c>
      <c r="O251" t="s">
        <v>2894</v>
      </c>
      <c r="P251" t="s">
        <v>3004</v>
      </c>
      <c r="Q251" t="s">
        <v>1566</v>
      </c>
      <c r="R251" s="31">
        <v>41.3</v>
      </c>
      <c r="S251" t="s">
        <v>2897</v>
      </c>
      <c r="T251" t="s">
        <v>2432</v>
      </c>
    </row>
    <row r="252" spans="1:20" x14ac:dyDescent="0.25">
      <c r="A252">
        <v>2023</v>
      </c>
      <c r="B252" t="s">
        <v>807</v>
      </c>
      <c r="C252" t="s">
        <v>2900</v>
      </c>
      <c r="D252" t="s">
        <v>715</v>
      </c>
      <c r="E252" t="s">
        <v>707</v>
      </c>
      <c r="F252" t="s">
        <v>707</v>
      </c>
      <c r="G252" t="s">
        <v>707</v>
      </c>
      <c r="H252" t="s">
        <v>2086</v>
      </c>
      <c r="I252" s="37" t="s">
        <v>1846</v>
      </c>
      <c r="J252" s="37" t="s">
        <v>720</v>
      </c>
      <c r="K252" s="37" t="s">
        <v>720</v>
      </c>
      <c r="L252" t="s">
        <v>125</v>
      </c>
      <c r="M252" t="s">
        <v>2993</v>
      </c>
      <c r="N252" t="s">
        <v>3001</v>
      </c>
      <c r="O252" t="s">
        <v>2894</v>
      </c>
      <c r="P252" t="s">
        <v>3004</v>
      </c>
      <c r="Q252" t="s">
        <v>1566</v>
      </c>
      <c r="R252" s="31">
        <v>1010.1</v>
      </c>
      <c r="S252" t="s">
        <v>2897</v>
      </c>
      <c r="T252" t="s">
        <v>2432</v>
      </c>
    </row>
    <row r="253" spans="1:20" x14ac:dyDescent="0.25">
      <c r="A253">
        <v>2023</v>
      </c>
      <c r="B253" t="s">
        <v>807</v>
      </c>
      <c r="C253" t="s">
        <v>2900</v>
      </c>
      <c r="D253" t="s">
        <v>715</v>
      </c>
      <c r="E253" t="s">
        <v>707</v>
      </c>
      <c r="F253" t="s">
        <v>707</v>
      </c>
      <c r="G253" t="s">
        <v>707</v>
      </c>
      <c r="H253" t="s">
        <v>2086</v>
      </c>
      <c r="I253" s="37" t="s">
        <v>1846</v>
      </c>
      <c r="J253" s="37" t="s">
        <v>720</v>
      </c>
      <c r="K253" s="37" t="s">
        <v>720</v>
      </c>
      <c r="L253" t="s">
        <v>2431</v>
      </c>
      <c r="M253" t="s">
        <v>2993</v>
      </c>
      <c r="N253" t="s">
        <v>3001</v>
      </c>
      <c r="O253" t="s">
        <v>2894</v>
      </c>
      <c r="P253" t="s">
        <v>3004</v>
      </c>
      <c r="Q253" t="s">
        <v>1566</v>
      </c>
      <c r="R253" s="31">
        <v>1162</v>
      </c>
      <c r="S253" t="s">
        <v>2897</v>
      </c>
      <c r="T253" t="s">
        <v>2432</v>
      </c>
    </row>
    <row r="254" spans="1:20" x14ac:dyDescent="0.25">
      <c r="A254">
        <v>2023</v>
      </c>
      <c r="B254" t="s">
        <v>807</v>
      </c>
      <c r="C254" t="s">
        <v>2900</v>
      </c>
      <c r="D254" t="s">
        <v>715</v>
      </c>
      <c r="E254" t="s">
        <v>707</v>
      </c>
      <c r="F254" t="s">
        <v>707</v>
      </c>
      <c r="G254" t="s">
        <v>707</v>
      </c>
      <c r="H254" t="s">
        <v>2086</v>
      </c>
      <c r="I254" s="37" t="s">
        <v>1846</v>
      </c>
      <c r="J254" s="37" t="s">
        <v>720</v>
      </c>
      <c r="K254" s="37" t="s">
        <v>720</v>
      </c>
      <c r="L254" t="s">
        <v>16</v>
      </c>
      <c r="M254" t="s">
        <v>2993</v>
      </c>
      <c r="N254" t="s">
        <v>3001</v>
      </c>
      <c r="O254" t="s">
        <v>2894</v>
      </c>
      <c r="P254" t="s">
        <v>3004</v>
      </c>
      <c r="Q254" t="s">
        <v>1550</v>
      </c>
      <c r="R254" s="31">
        <v>747</v>
      </c>
      <c r="S254" t="s">
        <v>2897</v>
      </c>
      <c r="T254" t="s">
        <v>2432</v>
      </c>
    </row>
    <row r="255" spans="1:20" x14ac:dyDescent="0.25">
      <c r="A255">
        <v>2023</v>
      </c>
      <c r="B255" t="s">
        <v>807</v>
      </c>
      <c r="C255" t="s">
        <v>2900</v>
      </c>
      <c r="D255" t="s">
        <v>715</v>
      </c>
      <c r="E255" t="s">
        <v>707</v>
      </c>
      <c r="F255" t="s">
        <v>707</v>
      </c>
      <c r="G255" t="s">
        <v>707</v>
      </c>
      <c r="H255" t="s">
        <v>2086</v>
      </c>
      <c r="I255" s="37" t="s">
        <v>1846</v>
      </c>
      <c r="J255" s="37" t="s">
        <v>720</v>
      </c>
      <c r="K255" s="37" t="s">
        <v>720</v>
      </c>
      <c r="L255" t="s">
        <v>1615</v>
      </c>
      <c r="M255" t="s">
        <v>2993</v>
      </c>
      <c r="N255" t="s">
        <v>3001</v>
      </c>
      <c r="O255" t="s">
        <v>2894</v>
      </c>
      <c r="P255" t="s">
        <v>3004</v>
      </c>
      <c r="Q255" t="s">
        <v>1566</v>
      </c>
      <c r="R255" s="31">
        <v>182.7</v>
      </c>
      <c r="S255" t="s">
        <v>2897</v>
      </c>
      <c r="T255" t="s">
        <v>2432</v>
      </c>
    </row>
    <row r="256" spans="1:20" x14ac:dyDescent="0.25">
      <c r="A256">
        <v>2023</v>
      </c>
      <c r="B256" t="s">
        <v>807</v>
      </c>
      <c r="C256" t="s">
        <v>2900</v>
      </c>
      <c r="D256" t="s">
        <v>715</v>
      </c>
      <c r="E256" t="s">
        <v>707</v>
      </c>
      <c r="F256" t="s">
        <v>707</v>
      </c>
      <c r="G256" t="s">
        <v>707</v>
      </c>
      <c r="H256" t="s">
        <v>2086</v>
      </c>
      <c r="I256" s="37" t="s">
        <v>1846</v>
      </c>
      <c r="J256" s="37" t="s">
        <v>720</v>
      </c>
      <c r="K256" s="37" t="s">
        <v>720</v>
      </c>
      <c r="L256" t="s">
        <v>557</v>
      </c>
      <c r="M256" t="s">
        <v>2993</v>
      </c>
      <c r="N256" t="s">
        <v>3001</v>
      </c>
      <c r="O256" t="s">
        <v>2894</v>
      </c>
      <c r="P256" t="s">
        <v>3004</v>
      </c>
      <c r="Q256" t="s">
        <v>1566</v>
      </c>
      <c r="R256" s="31">
        <v>97.6</v>
      </c>
      <c r="S256" t="s">
        <v>2897</v>
      </c>
      <c r="T256" t="s">
        <v>2432</v>
      </c>
    </row>
    <row r="257" spans="1:20" x14ac:dyDescent="0.25">
      <c r="A257">
        <v>2023</v>
      </c>
      <c r="B257" t="s">
        <v>807</v>
      </c>
      <c r="C257" t="s">
        <v>2900</v>
      </c>
      <c r="D257" t="s">
        <v>715</v>
      </c>
      <c r="E257" t="s">
        <v>707</v>
      </c>
      <c r="F257" t="s">
        <v>707</v>
      </c>
      <c r="G257" t="s">
        <v>707</v>
      </c>
      <c r="H257" t="s">
        <v>2086</v>
      </c>
      <c r="I257" s="37" t="s">
        <v>1846</v>
      </c>
      <c r="J257" s="37" t="s">
        <v>720</v>
      </c>
      <c r="K257" s="37" t="s">
        <v>720</v>
      </c>
      <c r="L257" t="s">
        <v>1549</v>
      </c>
      <c r="M257" t="s">
        <v>2993</v>
      </c>
      <c r="N257" t="s">
        <v>3001</v>
      </c>
      <c r="O257" t="s">
        <v>2894</v>
      </c>
      <c r="P257" t="s">
        <v>3004</v>
      </c>
      <c r="Q257" t="s">
        <v>1550</v>
      </c>
      <c r="R257" s="31">
        <v>20011</v>
      </c>
      <c r="S257" t="s">
        <v>2897</v>
      </c>
      <c r="T257" t="s">
        <v>2432</v>
      </c>
    </row>
    <row r="258" spans="1:20" x14ac:dyDescent="0.25">
      <c r="A258">
        <v>2023</v>
      </c>
      <c r="B258" t="s">
        <v>807</v>
      </c>
      <c r="C258" t="s">
        <v>2900</v>
      </c>
      <c r="D258" t="s">
        <v>715</v>
      </c>
      <c r="E258" t="s">
        <v>707</v>
      </c>
      <c r="F258" t="s">
        <v>707</v>
      </c>
      <c r="G258" t="s">
        <v>707</v>
      </c>
      <c r="H258" t="s">
        <v>2086</v>
      </c>
      <c r="I258" s="37" t="s">
        <v>1846</v>
      </c>
      <c r="J258" s="37" t="s">
        <v>720</v>
      </c>
      <c r="K258" s="37" t="s">
        <v>720</v>
      </c>
      <c r="L258" t="s">
        <v>1551</v>
      </c>
      <c r="M258" t="s">
        <v>2993</v>
      </c>
      <c r="N258" t="s">
        <v>3001</v>
      </c>
      <c r="O258" t="s">
        <v>2894</v>
      </c>
      <c r="P258" t="s">
        <v>3004</v>
      </c>
      <c r="Q258" t="s">
        <v>1566</v>
      </c>
      <c r="R258" s="31">
        <v>918.5</v>
      </c>
      <c r="S258" t="s">
        <v>2897</v>
      </c>
      <c r="T258" t="s">
        <v>2432</v>
      </c>
    </row>
    <row r="259" spans="1:20" x14ac:dyDescent="0.25">
      <c r="A259">
        <v>2023</v>
      </c>
      <c r="B259" t="s">
        <v>807</v>
      </c>
      <c r="C259" t="s">
        <v>2899</v>
      </c>
      <c r="D259" t="s">
        <v>1937</v>
      </c>
      <c r="E259" t="s">
        <v>720</v>
      </c>
      <c r="F259" t="s">
        <v>707</v>
      </c>
      <c r="G259" t="s">
        <v>707</v>
      </c>
      <c r="H259" t="s">
        <v>1936</v>
      </c>
      <c r="I259" s="37" t="s">
        <v>233</v>
      </c>
      <c r="J259" s="37" t="s">
        <v>274</v>
      </c>
      <c r="K259" s="37" t="s">
        <v>64</v>
      </c>
      <c r="L259" t="s">
        <v>16</v>
      </c>
      <c r="M259" t="s">
        <v>2992</v>
      </c>
      <c r="N259" t="s">
        <v>1938</v>
      </c>
      <c r="O259" t="s">
        <v>2894</v>
      </c>
      <c r="P259" t="s">
        <v>3004</v>
      </c>
      <c r="Q259" t="s">
        <v>1836</v>
      </c>
      <c r="R259" s="31">
        <v>0.99</v>
      </c>
      <c r="T259" t="s">
        <v>1940</v>
      </c>
    </row>
    <row r="260" spans="1:20" x14ac:dyDescent="0.25">
      <c r="A260">
        <v>2023</v>
      </c>
      <c r="B260" t="s">
        <v>807</v>
      </c>
      <c r="C260" t="s">
        <v>2899</v>
      </c>
      <c r="D260" t="s">
        <v>1937</v>
      </c>
      <c r="E260" t="s">
        <v>720</v>
      </c>
      <c r="F260" t="s">
        <v>707</v>
      </c>
      <c r="G260" t="s">
        <v>707</v>
      </c>
      <c r="H260" t="s">
        <v>1936</v>
      </c>
      <c r="I260" s="37" t="s">
        <v>233</v>
      </c>
      <c r="J260" s="37" t="s">
        <v>274</v>
      </c>
      <c r="K260" s="37" t="s">
        <v>64</v>
      </c>
      <c r="L260" t="s">
        <v>16</v>
      </c>
      <c r="M260" t="s">
        <v>2992</v>
      </c>
      <c r="N260" t="s">
        <v>2349</v>
      </c>
      <c r="O260" t="s">
        <v>2894</v>
      </c>
      <c r="P260" t="s">
        <v>3004</v>
      </c>
      <c r="Q260" t="s">
        <v>1836</v>
      </c>
      <c r="R260" s="31">
        <v>5.71</v>
      </c>
      <c r="T260" t="s">
        <v>1940</v>
      </c>
    </row>
    <row r="261" spans="1:20" x14ac:dyDescent="0.25">
      <c r="A261">
        <v>2023</v>
      </c>
      <c r="B261" t="s">
        <v>807</v>
      </c>
      <c r="C261" t="s">
        <v>2899</v>
      </c>
      <c r="D261" t="s">
        <v>1937</v>
      </c>
      <c r="E261" t="s">
        <v>720</v>
      </c>
      <c r="F261" t="s">
        <v>707</v>
      </c>
      <c r="G261" t="s">
        <v>707</v>
      </c>
      <c r="H261" t="s">
        <v>1936</v>
      </c>
      <c r="I261" s="37" t="s">
        <v>233</v>
      </c>
      <c r="J261" s="37" t="s">
        <v>274</v>
      </c>
      <c r="K261" s="37" t="s">
        <v>64</v>
      </c>
      <c r="L261" t="s">
        <v>16</v>
      </c>
      <c r="M261" t="s">
        <v>2992</v>
      </c>
      <c r="N261" t="s">
        <v>1939</v>
      </c>
      <c r="O261" t="s">
        <v>2894</v>
      </c>
      <c r="P261" t="s">
        <v>3004</v>
      </c>
      <c r="Q261" t="s">
        <v>1836</v>
      </c>
      <c r="R261" s="31">
        <v>1.6E-2</v>
      </c>
      <c r="T261" t="s">
        <v>1940</v>
      </c>
    </row>
    <row r="262" spans="1:20" x14ac:dyDescent="0.25">
      <c r="A262">
        <v>2023</v>
      </c>
      <c r="B262" t="s">
        <v>807</v>
      </c>
      <c r="C262" t="s">
        <v>2899</v>
      </c>
      <c r="D262" t="s">
        <v>1937</v>
      </c>
      <c r="E262" t="s">
        <v>720</v>
      </c>
      <c r="F262" t="s">
        <v>707</v>
      </c>
      <c r="G262" t="s">
        <v>707</v>
      </c>
      <c r="H262" t="s">
        <v>1936</v>
      </c>
      <c r="I262" s="37" t="s">
        <v>233</v>
      </c>
      <c r="J262" s="37" t="s">
        <v>274</v>
      </c>
      <c r="K262" s="37" t="s">
        <v>64</v>
      </c>
      <c r="L262" t="s">
        <v>1768</v>
      </c>
      <c r="M262" t="s">
        <v>2992</v>
      </c>
      <c r="N262" t="s">
        <v>1938</v>
      </c>
      <c r="O262" t="s">
        <v>2894</v>
      </c>
      <c r="P262" t="s">
        <v>3004</v>
      </c>
      <c r="Q262" t="s">
        <v>1836</v>
      </c>
      <c r="R262" s="31">
        <v>0.03</v>
      </c>
      <c r="T262" t="s">
        <v>1940</v>
      </c>
    </row>
    <row r="263" spans="1:20" x14ac:dyDescent="0.25">
      <c r="A263">
        <v>2023</v>
      </c>
      <c r="B263" t="s">
        <v>807</v>
      </c>
      <c r="C263" t="s">
        <v>2899</v>
      </c>
      <c r="D263" t="s">
        <v>1937</v>
      </c>
      <c r="E263" t="s">
        <v>720</v>
      </c>
      <c r="F263" t="s">
        <v>707</v>
      </c>
      <c r="G263" t="s">
        <v>707</v>
      </c>
      <c r="H263" t="s">
        <v>1936</v>
      </c>
      <c r="I263" s="37" t="s">
        <v>233</v>
      </c>
      <c r="J263" s="37" t="s">
        <v>274</v>
      </c>
      <c r="K263" s="37" t="s">
        <v>64</v>
      </c>
      <c r="L263" t="s">
        <v>1768</v>
      </c>
      <c r="M263" t="s">
        <v>2992</v>
      </c>
      <c r="N263" t="s">
        <v>1939</v>
      </c>
      <c r="O263" t="s">
        <v>2894</v>
      </c>
      <c r="P263" t="s">
        <v>3004</v>
      </c>
      <c r="Q263" t="s">
        <v>1836</v>
      </c>
      <c r="R263" s="31">
        <v>1E-3</v>
      </c>
      <c r="T263" t="s">
        <v>1940</v>
      </c>
    </row>
    <row r="264" spans="1:20" x14ac:dyDescent="0.25">
      <c r="A264">
        <v>2023</v>
      </c>
      <c r="B264" t="s">
        <v>807</v>
      </c>
      <c r="C264" t="s">
        <v>2899</v>
      </c>
      <c r="D264" t="s">
        <v>1937</v>
      </c>
      <c r="E264" t="s">
        <v>720</v>
      </c>
      <c r="F264" t="s">
        <v>707</v>
      </c>
      <c r="G264" t="s">
        <v>707</v>
      </c>
      <c r="H264" t="s">
        <v>1936</v>
      </c>
      <c r="I264" s="37" t="s">
        <v>233</v>
      </c>
      <c r="J264" s="37" t="s">
        <v>274</v>
      </c>
      <c r="K264" s="37" t="s">
        <v>64</v>
      </c>
      <c r="L264" t="s">
        <v>1549</v>
      </c>
      <c r="M264" t="s">
        <v>2992</v>
      </c>
      <c r="N264" t="s">
        <v>1938</v>
      </c>
      <c r="O264" t="s">
        <v>2894</v>
      </c>
      <c r="P264" t="s">
        <v>3004</v>
      </c>
      <c r="Q264" t="s">
        <v>1836</v>
      </c>
      <c r="R264" s="31">
        <v>24.8</v>
      </c>
      <c r="T264" t="s">
        <v>1940</v>
      </c>
    </row>
    <row r="265" spans="1:20" x14ac:dyDescent="0.25">
      <c r="A265">
        <v>2023</v>
      </c>
      <c r="B265" t="s">
        <v>807</v>
      </c>
      <c r="C265" t="s">
        <v>2899</v>
      </c>
      <c r="D265" t="s">
        <v>1937</v>
      </c>
      <c r="E265" t="s">
        <v>720</v>
      </c>
      <c r="F265" t="s">
        <v>707</v>
      </c>
      <c r="G265" t="s">
        <v>707</v>
      </c>
      <c r="H265" t="s">
        <v>1936</v>
      </c>
      <c r="I265" s="37" t="s">
        <v>233</v>
      </c>
      <c r="J265" s="37" t="s">
        <v>274</v>
      </c>
      <c r="K265" s="37" t="s">
        <v>64</v>
      </c>
      <c r="L265" t="s">
        <v>1549</v>
      </c>
      <c r="M265" t="s">
        <v>2992</v>
      </c>
      <c r="N265" t="s">
        <v>2349</v>
      </c>
      <c r="O265" t="s">
        <v>2894</v>
      </c>
      <c r="P265" t="s">
        <v>3004</v>
      </c>
      <c r="Q265" t="s">
        <v>1836</v>
      </c>
      <c r="R265" s="31">
        <v>2.2400000000000002</v>
      </c>
      <c r="T265" t="s">
        <v>1940</v>
      </c>
    </row>
    <row r="266" spans="1:20" x14ac:dyDescent="0.25">
      <c r="A266">
        <v>2023</v>
      </c>
      <c r="B266" t="s">
        <v>807</v>
      </c>
      <c r="C266" t="s">
        <v>2899</v>
      </c>
      <c r="D266" t="s">
        <v>1937</v>
      </c>
      <c r="E266" t="s">
        <v>720</v>
      </c>
      <c r="F266" t="s">
        <v>707</v>
      </c>
      <c r="G266" t="s">
        <v>707</v>
      </c>
      <c r="H266" t="s">
        <v>1936</v>
      </c>
      <c r="I266" s="37" t="s">
        <v>233</v>
      </c>
      <c r="J266" s="37" t="s">
        <v>274</v>
      </c>
      <c r="K266" s="37" t="s">
        <v>64</v>
      </c>
      <c r="L266" t="s">
        <v>1549</v>
      </c>
      <c r="M266" t="s">
        <v>2992</v>
      </c>
      <c r="N266" t="s">
        <v>1939</v>
      </c>
      <c r="O266" t="s">
        <v>2894</v>
      </c>
      <c r="P266" t="s">
        <v>3004</v>
      </c>
      <c r="Q266" t="s">
        <v>1836</v>
      </c>
      <c r="R266" s="31">
        <v>0.54800000000000004</v>
      </c>
      <c r="T266" t="s">
        <v>1940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109375" defaultRowHeight="15" x14ac:dyDescent="0.25"/>
  <cols>
    <col min="2" max="2" width="23.42578125" bestFit="1" customWidth="1"/>
    <col min="3" max="3" width="18.42578125" bestFit="1" customWidth="1"/>
    <col min="4" max="4" width="7.85546875" bestFit="1" customWidth="1"/>
    <col min="5" max="5" width="6" bestFit="1" customWidth="1"/>
    <col min="6" max="6" width="11.42578125" bestFit="1" customWidth="1"/>
    <col min="7" max="7" width="21.85546875" bestFit="1" customWidth="1"/>
    <col min="8" max="8" width="11.85546875" bestFit="1" customWidth="1"/>
  </cols>
  <sheetData>
    <row r="1" spans="1:8" x14ac:dyDescent="0.2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2026-01-12T12:29:24Z</dcterms:modified>
</cp:coreProperties>
</file>