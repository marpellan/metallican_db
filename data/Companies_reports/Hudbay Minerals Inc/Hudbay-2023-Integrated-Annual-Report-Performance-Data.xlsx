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https://polymtlca0-my.sharepoint.com/personal/marin_pellan_polymtlus_ca/Documents/Desktop/POST_DOC/Project/canada_metal_sustainability_db/data/Companies_reports/Hudbay Minerals Inc/"/>
    </mc:Choice>
  </mc:AlternateContent>
  <xr:revisionPtr revIDLastSave="5" documentId="13_ncr:1_{7934DDFB-6DA2-564A-8B6A-E184938E29F7}" xr6:coauthVersionLast="47" xr6:coauthVersionMax="47" xr10:uidLastSave="{054A906F-42D7-45B9-A01E-DC9B016B8B7E}"/>
  <bookViews>
    <workbookView xWindow="-108" yWindow="-108" windowWidth="23256" windowHeight="12456" activeTab="3" xr2:uid="{00000000-000D-0000-FFFF-FFFF00000000}"/>
  </bookViews>
  <sheets>
    <sheet name="Economic" sheetId="1" r:id="rId1"/>
    <sheet name="Employees" sheetId="2" r:id="rId2"/>
    <sheet name="Society" sheetId="3" r:id="rId3"/>
    <sheet name="Environmen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4" l="1"/>
  <c r="A4" i="4"/>
  <c r="A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Rebecca Graziotto</author>
  </authors>
  <commentList>
    <comment ref="C42" authorId="0" shapeId="0" xr:uid="{B45B8337-37F2-1247-A001-9771DAA6B4C1}">
      <text>
        <r>
          <rPr>
            <sz val="10"/>
            <color rgb="FF000000"/>
            <rFont val="Tahoma"/>
            <family val="2"/>
          </rPr>
          <t>1</t>
        </r>
      </text>
    </comment>
    <comment ref="B51" authorId="0" shapeId="0" xr:uid="{ABA382EE-6C52-9B4D-807A-0DEBB855CC29}">
      <text>
        <r>
          <rPr>
            <sz val="10"/>
            <color rgb="FF000000"/>
            <rFont val="Tahoma"/>
            <family val="2"/>
          </rPr>
          <t>2</t>
        </r>
      </text>
    </comment>
    <comment ref="C52" authorId="0" shapeId="0" xr:uid="{6F8DB7DF-5733-9644-BF55-3251952CB4EC}">
      <text>
        <r>
          <rPr>
            <sz val="10"/>
            <color rgb="FF000000"/>
            <rFont val="Tahoma"/>
            <family val="2"/>
          </rPr>
          <t>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Rebecca Graziotto</author>
  </authors>
  <commentList>
    <comment ref="C80" authorId="0" shapeId="0" xr:uid="{B26E9222-9460-C040-9EE3-2DD3FA823E80}">
      <text>
        <r>
          <rPr>
            <sz val="10"/>
            <color rgb="FF000000"/>
            <rFont val="Tahoma"/>
            <family val="2"/>
          </rPr>
          <t>1</t>
        </r>
      </text>
    </comment>
    <comment ref="C126" authorId="0" shapeId="0" xr:uid="{E88EC243-5CCC-E643-995A-7CEAA713A4B8}">
      <text>
        <r>
          <rPr>
            <sz val="10"/>
            <color rgb="FF000000"/>
            <rFont val="Tahoma"/>
            <family val="2"/>
          </rPr>
          <t>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Rebecca Graziotto</author>
  </authors>
  <commentList>
    <comment ref="C3" authorId="0" shapeId="0" xr:uid="{985DEF43-8570-A84B-8118-2FD8C4E7D0F4}">
      <text>
        <r>
          <rPr>
            <sz val="10"/>
            <color rgb="FF000000"/>
            <rFont val="Tahoma"/>
            <family val="2"/>
          </rPr>
          <t>1</t>
        </r>
      </text>
    </comment>
    <comment ref="C13" authorId="0" shapeId="0" xr:uid="{6015B066-BDCD-1844-AEA2-9917227F48C5}">
      <text>
        <r>
          <rPr>
            <sz val="10"/>
            <color rgb="FF000000"/>
            <rFont val="Tahoma"/>
            <family val="2"/>
          </rPr>
          <t>2</t>
        </r>
      </text>
    </comment>
    <comment ref="C18" authorId="0" shapeId="0" xr:uid="{2EB5F657-F2E9-2C4E-AB53-7C909DC3B9B5}">
      <text>
        <r>
          <rPr>
            <sz val="10"/>
            <color rgb="FF000000"/>
            <rFont val="Tahoma"/>
            <family val="2"/>
          </rPr>
          <t>3</t>
        </r>
      </text>
    </comment>
    <comment ref="C42" authorId="0" shapeId="0" xr:uid="{86D23425-03D7-2B46-9D29-9110574C22E3}">
      <text>
        <r>
          <rPr>
            <sz val="10"/>
            <color rgb="FF000000"/>
            <rFont val="Tahoma"/>
            <family val="2"/>
          </rPr>
          <t>4</t>
        </r>
      </text>
    </comment>
    <comment ref="B66" authorId="0" shapeId="0" xr:uid="{B3497B42-7D60-CF4B-845E-167C7EC9D56E}">
      <text>
        <r>
          <rPr>
            <sz val="10"/>
            <color rgb="FF000000"/>
            <rFont val="Tahoma"/>
            <family val="2"/>
          </rPr>
          <t>5</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Rebecca Graziotto</author>
  </authors>
  <commentList>
    <comment ref="B27" authorId="0" shapeId="0" xr:uid="{E7C3EB75-A105-2A49-8D21-E558BEAC25F7}">
      <text>
        <r>
          <rPr>
            <sz val="10"/>
            <color rgb="FF000000"/>
            <rFont val="Tahoma"/>
            <family val="2"/>
          </rPr>
          <t>1</t>
        </r>
      </text>
    </comment>
    <comment ref="C55" authorId="0" shapeId="0" xr:uid="{3BC0A8B4-8372-FA4E-B296-58017BF47468}">
      <text>
        <r>
          <rPr>
            <sz val="10"/>
            <color rgb="FF000000"/>
            <rFont val="Tahoma"/>
            <family val="2"/>
          </rPr>
          <t>2</t>
        </r>
      </text>
    </comment>
    <comment ref="B65" authorId="0" shapeId="0" xr:uid="{39EAAFA7-ABC0-774C-B088-21CCD960599E}">
      <text>
        <r>
          <rPr>
            <sz val="10"/>
            <color rgb="FF000000"/>
            <rFont val="Tahoma"/>
            <family val="2"/>
          </rPr>
          <t xml:space="preserve">3
</t>
        </r>
      </text>
    </comment>
    <comment ref="B69" authorId="0" shapeId="0" xr:uid="{1E6E7979-4DF2-3F4A-A879-E380F5FCC4FE}">
      <text>
        <r>
          <rPr>
            <sz val="10"/>
            <color rgb="FF000000"/>
            <rFont val="Tahoma"/>
            <family val="2"/>
          </rPr>
          <t>4</t>
        </r>
      </text>
    </comment>
    <comment ref="B131" authorId="0" shapeId="0" xr:uid="{B2A8AF2A-9C4E-BB4C-801B-371E19BF9094}">
      <text>
        <r>
          <rPr>
            <sz val="10"/>
            <color rgb="FF000000"/>
            <rFont val="Tahoma"/>
            <family val="2"/>
          </rPr>
          <t>5</t>
        </r>
      </text>
    </comment>
  </commentList>
</comments>
</file>

<file path=xl/sharedStrings.xml><?xml version="1.0" encoding="utf-8"?>
<sst xmlns="http://schemas.openxmlformats.org/spreadsheetml/2006/main" count="709" uniqueCount="293">
  <si>
    <r>
      <rPr>
        <sz val="27"/>
        <color rgb="FFD52A2F"/>
        <rFont val="Arial"/>
        <family val="2"/>
      </rPr>
      <t>Key Performance Data</t>
    </r>
  </si>
  <si>
    <r>
      <rPr>
        <sz val="9"/>
        <color rgb="FF1C252D"/>
        <rFont val="Arial"/>
        <family val="2"/>
      </rPr>
      <t>Revenues</t>
    </r>
  </si>
  <si>
    <r>
      <rPr>
        <b/>
        <sz val="9"/>
        <color rgb="FF1C252D"/>
        <rFont val="Arial"/>
        <family val="2"/>
      </rPr>
      <t>Operating costs</t>
    </r>
  </si>
  <si>
    <r>
      <rPr>
        <sz val="9"/>
        <color rgb="FF1C252D"/>
        <rFont val="Arial"/>
        <family val="2"/>
      </rPr>
      <t>Canada</t>
    </r>
  </si>
  <si>
    <r>
      <rPr>
        <sz val="9"/>
        <color rgb="FF1C252D"/>
        <rFont val="Arial"/>
        <family val="2"/>
      </rPr>
      <t>United States</t>
    </r>
  </si>
  <si>
    <r>
      <rPr>
        <sz val="9"/>
        <color rgb="FF1C252D"/>
        <rFont val="Arial"/>
        <family val="2"/>
      </rPr>
      <t>Peru</t>
    </r>
  </si>
  <si>
    <r>
      <rPr>
        <sz val="9"/>
        <color rgb="FF1C252D"/>
        <rFont val="Arial"/>
        <family val="2"/>
      </rPr>
      <t>Total</t>
    </r>
  </si>
  <si>
    <r>
      <rPr>
        <b/>
        <sz val="9"/>
        <color rgb="FF1C252D"/>
        <rFont val="Arial"/>
        <family val="2"/>
      </rPr>
      <t>Employee wages and benefits</t>
    </r>
  </si>
  <si>
    <r>
      <rPr>
        <b/>
        <sz val="9"/>
        <color rgb="FF1C252D"/>
        <rFont val="Arial"/>
        <family val="2"/>
      </rPr>
      <t>Payments to government</t>
    </r>
  </si>
  <si>
    <r>
      <rPr>
        <sz val="9"/>
        <color rgb="FF1C252D"/>
        <rFont val="Arial"/>
        <family val="2"/>
      </rPr>
      <t>Taxes paid</t>
    </r>
  </si>
  <si>
    <r>
      <rPr>
        <sz val="9"/>
        <color rgb="FF1C252D"/>
        <rFont val="Arial"/>
        <family val="2"/>
      </rPr>
      <t>Municipal taxes and grants</t>
    </r>
  </si>
  <si>
    <r>
      <rPr>
        <sz val="9"/>
        <color rgb="FF1C252D"/>
        <rFont val="Arial"/>
        <family val="2"/>
      </rPr>
      <t>Penalties and interest paid</t>
    </r>
  </si>
  <si>
    <r>
      <rPr>
        <sz val="9"/>
        <color rgb="FF1C252D"/>
        <rFont val="Arial"/>
        <family val="2"/>
      </rPr>
      <t>Chile</t>
    </r>
  </si>
  <si>
    <r>
      <rPr>
        <b/>
        <sz val="9"/>
        <color rgb="FF1C252D"/>
        <rFont val="Arial"/>
        <family val="2"/>
      </rPr>
      <t>Payments to providers of capital</t>
    </r>
  </si>
  <si>
    <r>
      <rPr>
        <sz val="9"/>
        <color rgb="FF1C252D"/>
        <rFont val="Arial"/>
        <family val="2"/>
      </rPr>
      <t>Dividends paid</t>
    </r>
  </si>
  <si>
    <r>
      <rPr>
        <sz val="9"/>
        <color rgb="FF1C252D"/>
        <rFont val="Arial"/>
        <family val="2"/>
      </rPr>
      <t>Interest payments made to providers of loans</t>
    </r>
  </si>
  <si>
    <r>
      <rPr>
        <sz val="9"/>
        <color rgb="FF1C252D"/>
        <rFont val="Arial"/>
        <family val="2"/>
      </rPr>
      <t>Financing fees paid</t>
    </r>
  </si>
  <si>
    <r>
      <rPr>
        <b/>
        <sz val="9"/>
        <color rgb="FF1C252D"/>
        <rFont val="Arial"/>
        <family val="2"/>
      </rPr>
      <t>Capital expenditures – cash flow basis</t>
    </r>
  </si>
  <si>
    <r>
      <rPr>
        <b/>
        <sz val="9"/>
        <color rgb="FF1C252D"/>
        <rFont val="Arial"/>
        <family val="2"/>
      </rPr>
      <t>Payments – local communities for land use (in $000s)</t>
    </r>
  </si>
  <si>
    <r>
      <rPr>
        <sz val="9"/>
        <color rgb="FF1C252D"/>
        <rFont val="Arial"/>
        <family val="2"/>
      </rPr>
      <t>Total land use payments</t>
    </r>
  </si>
  <si>
    <r>
      <rPr>
        <b/>
        <sz val="9"/>
        <color rgb="FF1C252D"/>
        <rFont val="Arial"/>
        <family val="2"/>
      </rPr>
      <t>Public benefit</t>
    </r>
  </si>
  <si>
    <r>
      <rPr>
        <sz val="9"/>
        <color rgb="FF1C252D"/>
        <rFont val="Arial"/>
        <family val="2"/>
      </rPr>
      <t>Community investments and charitable donations (in $000s)</t>
    </r>
  </si>
  <si>
    <r>
      <rPr>
        <sz val="9"/>
        <color rgb="FF1C252D"/>
        <rFont val="Arial"/>
        <family val="2"/>
      </rPr>
      <t>Resettlement investment (Peru) (in $000s)</t>
    </r>
  </si>
  <si>
    <t>Direct economic value generated and distributed </t>
  </si>
  <si>
    <t>Profit (loss) before tax</t>
  </si>
  <si>
    <t>1   Outstanding accrual for the development of a trailer park and airport in Snow Lake.
2   Political donations are included in this total; however, in accordance with Hudbay policy, political donations were $0.
3   Resettlement payments are a continuation of commitments made for the operation of the Constancia mine. Negotiation agreements were signed with 36 owners and include the resettlement process for the 36 affected families in the area of Coporaque, specifically the Fundo Quinsachata.</t>
  </si>
  <si>
    <t>Total community investments and donations</t>
  </si>
  <si>
    <t>Economic (in $ millions, unless otherwise stated)</t>
  </si>
  <si>
    <r>
      <rPr>
        <b/>
        <sz val="9"/>
        <color rgb="FFFFFFFF"/>
        <rFont val="Arial"/>
        <family val="2"/>
      </rPr>
      <t>Employees</t>
    </r>
  </si>
  <si>
    <r>
      <rPr>
        <sz val="9"/>
        <color rgb="FF1C252D"/>
        <rFont val="Arial"/>
        <family val="2"/>
      </rPr>
      <t>Contract (term) employees</t>
    </r>
  </si>
  <si>
    <r>
      <rPr>
        <sz val="9"/>
        <color rgb="FF1C252D"/>
        <rFont val="Arial"/>
        <family val="2"/>
      </rPr>
      <t>Manitoba</t>
    </r>
  </si>
  <si>
    <r>
      <rPr>
        <sz val="9"/>
        <color rgb="FF1C252D"/>
        <rFont val="Arial"/>
        <family val="2"/>
      </rPr>
      <t>Corporate</t>
    </r>
  </si>
  <si>
    <r>
      <rPr>
        <sz val="9"/>
        <color rgb="FF1C252D"/>
        <rFont val="Arial"/>
        <family val="2"/>
      </rPr>
      <t>Arizona</t>
    </r>
  </si>
  <si>
    <r>
      <rPr>
        <sz val="9"/>
        <color rgb="FF1C252D"/>
        <rFont val="Arial"/>
        <family val="2"/>
      </rPr>
      <t>British Columbia</t>
    </r>
  </si>
  <si>
    <r>
      <rPr>
        <sz val="9"/>
        <color rgb="FF1C252D"/>
        <rFont val="Arial"/>
        <family val="2"/>
      </rPr>
      <t>N/av</t>
    </r>
  </si>
  <si>
    <r>
      <rPr>
        <sz val="9"/>
        <color rgb="FF1C252D"/>
        <rFont val="Arial"/>
        <family val="2"/>
      </rPr>
      <t>Total contract employees</t>
    </r>
  </si>
  <si>
    <r>
      <rPr>
        <sz val="9"/>
        <color rgb="FF1C252D"/>
        <rFont val="Arial"/>
        <family val="2"/>
      </rPr>
      <t>Co-op and summer students hired</t>
    </r>
  </si>
  <si>
    <r>
      <rPr>
        <sz val="9"/>
        <color rgb="FF1C252D"/>
        <rFont val="Arial"/>
        <family val="2"/>
      </rPr>
      <t>Total co-op/summer students</t>
    </r>
  </si>
  <si>
    <r>
      <rPr>
        <sz val="9"/>
        <color rgb="FF1C252D"/>
        <rFont val="Arial"/>
        <family val="2"/>
      </rPr>
      <t>Employees represented by collective bargaining agreements</t>
    </r>
  </si>
  <si>
    <r>
      <rPr>
        <sz val="9"/>
        <color rgb="FF1C252D"/>
        <rFont val="Arial"/>
        <family val="2"/>
      </rPr>
      <t>Percentage of employees represented by trade unions (includes all full-time and part-time employees)</t>
    </r>
  </si>
  <si>
    <r>
      <rPr>
        <sz val="9"/>
        <color rgb="FF1C252D"/>
        <rFont val="Arial"/>
        <family val="2"/>
      </rPr>
      <t>Negotiated into collective agreements (MBU only)</t>
    </r>
  </si>
  <si>
    <r>
      <rPr>
        <b/>
        <sz val="9"/>
        <color rgb="FF1C252D"/>
        <rFont val="Arial"/>
        <family val="2"/>
      </rPr>
      <t>Yes</t>
    </r>
  </si>
  <si>
    <r>
      <rPr>
        <sz val="9"/>
        <color rgb="FF1C252D"/>
        <rFont val="Arial"/>
        <family val="2"/>
      </rPr>
      <t>Yes</t>
    </r>
  </si>
  <si>
    <r>
      <rPr>
        <b/>
        <sz val="9"/>
        <color rgb="FF1C252D"/>
        <rFont val="Arial"/>
        <family val="2"/>
      </rPr>
      <t>Number of strikes or lockouts exceeding one week</t>
    </r>
  </si>
  <si>
    <r>
      <rPr>
        <b/>
        <sz val="9"/>
        <color rgb="FF1C252D"/>
        <rFont val="Arial"/>
        <family val="2"/>
      </rPr>
      <t>N/ap</t>
    </r>
  </si>
  <si>
    <r>
      <rPr>
        <sz val="9"/>
        <color rgb="FF1C252D"/>
        <rFont val="Arial"/>
        <family val="2"/>
      </rPr>
      <t>N/ap</t>
    </r>
  </si>
  <si>
    <r>
      <rPr>
        <b/>
        <sz val="9"/>
        <color rgb="FF1C252D"/>
        <rFont val="Arial"/>
        <family val="2"/>
      </rPr>
      <t>Employee turnover (voluntary and involuntary, unless noted; includes all full-time employees)</t>
    </r>
  </si>
  <si>
    <r>
      <rPr>
        <sz val="9"/>
        <color rgb="FF1C252D"/>
        <rFont val="Arial"/>
        <family val="2"/>
      </rPr>
      <t>Employee turnover – age distribution</t>
    </r>
  </si>
  <si>
    <r>
      <rPr>
        <sz val="9"/>
        <color rgb="FF1C252D"/>
        <rFont val="Arial"/>
        <family val="2"/>
      </rPr>
      <t>&lt;30</t>
    </r>
  </si>
  <si>
    <r>
      <rPr>
        <sz val="9"/>
        <color rgb="FF1C252D"/>
        <rFont val="Arial"/>
        <family val="2"/>
      </rPr>
      <t>30–50</t>
    </r>
  </si>
  <si>
    <r>
      <rPr>
        <sz val="9"/>
        <color rgb="FF1C252D"/>
        <rFont val="Arial"/>
        <family val="2"/>
      </rPr>
      <t>&gt;50</t>
    </r>
  </si>
  <si>
    <r>
      <rPr>
        <sz val="9"/>
        <color rgb="FF1C252D"/>
        <rFont val="Arial"/>
        <family val="2"/>
      </rPr>
      <t>Employee turnover – gender</t>
    </r>
  </si>
  <si>
    <r>
      <rPr>
        <sz val="9"/>
        <color rgb="FF1C252D"/>
        <rFont val="Arial"/>
        <family val="2"/>
      </rPr>
      <t>Male</t>
    </r>
  </si>
  <si>
    <r>
      <rPr>
        <sz val="9"/>
        <color rgb="FF1C252D"/>
        <rFont val="Arial"/>
        <family val="2"/>
      </rPr>
      <t>Female</t>
    </r>
  </si>
  <si>
    <r>
      <rPr>
        <sz val="9"/>
        <color rgb="FF1C252D"/>
        <rFont val="Arial"/>
        <family val="2"/>
      </rPr>
      <t>Voluntary turnover rate (Hudbay total)</t>
    </r>
  </si>
  <si>
    <r>
      <rPr>
        <sz val="9"/>
        <color rgb="FF1C252D"/>
        <rFont val="Arial"/>
        <family val="2"/>
      </rPr>
      <t>Involuntary turnover rate (Hudbay total)</t>
    </r>
  </si>
  <si>
    <r>
      <rPr>
        <b/>
        <sz val="9"/>
        <color rgb="FF1C252D"/>
        <rFont val="Arial"/>
        <family val="2"/>
      </rPr>
      <t>New employee hires</t>
    </r>
  </si>
  <si>
    <r>
      <rPr>
        <sz val="9"/>
        <color rgb="FF1C252D"/>
        <rFont val="Arial"/>
        <family val="2"/>
      </rPr>
      <t>New hires – age distribution</t>
    </r>
  </si>
  <si>
    <r>
      <rPr>
        <sz val="9"/>
        <color rgb="FF1C252D"/>
        <rFont val="Arial"/>
        <family val="2"/>
      </rPr>
      <t>New hires – gender</t>
    </r>
  </si>
  <si>
    <r>
      <rPr>
        <b/>
        <sz val="9"/>
        <color rgb="FF1C252D"/>
        <rFont val="Arial"/>
        <family val="2"/>
      </rPr>
      <t>Net number of full-time employees added (decreased)</t>
    </r>
  </si>
  <si>
    <r>
      <rPr>
        <b/>
        <sz val="9"/>
        <color rgb="FF1C252D"/>
        <rFont val="Arial"/>
        <family val="2"/>
      </rPr>
      <t>Senior management from local community</t>
    </r>
  </si>
  <si>
    <r>
      <rPr>
        <b/>
        <sz val="9"/>
        <color rgb="FF1C252D"/>
        <rFont val="Arial"/>
        <family val="2"/>
      </rPr>
      <t>Number of contractor full-time equivalent staff</t>
    </r>
  </si>
  <si>
    <r>
      <rPr>
        <b/>
        <sz val="9"/>
        <color rgb="FF1C252D"/>
        <rFont val="Arial"/>
        <family val="2"/>
      </rPr>
      <t>Person-hours of work (including contractors)</t>
    </r>
  </si>
  <si>
    <r>
      <rPr>
        <sz val="9"/>
        <color rgb="FF1C252D"/>
        <rFont val="Arial"/>
        <family val="2"/>
      </rPr>
      <t>North America</t>
    </r>
  </si>
  <si>
    <r>
      <rPr>
        <sz val="9"/>
        <color rgb="FF1C252D"/>
        <rFont val="Arial"/>
        <family val="2"/>
      </rPr>
      <t>South America</t>
    </r>
  </si>
  <si>
    <r>
      <rPr>
        <sz val="9"/>
        <color rgb="FF1C252D"/>
        <rFont val="Arial"/>
        <family val="2"/>
      </rPr>
      <t>Total person-hours</t>
    </r>
  </si>
  <si>
    <r>
      <rPr>
        <b/>
        <sz val="9"/>
        <color rgb="FF1C252D"/>
        <rFont val="Arial"/>
        <family val="2"/>
      </rPr>
      <t>Hudbay total workforce age distribution (includes all full-time employees)</t>
    </r>
  </si>
  <si>
    <r>
      <rPr>
        <b/>
        <sz val="9"/>
        <color rgb="FF1C252D"/>
        <rFont val="Arial"/>
        <family val="2"/>
      </rPr>
      <t>Composition of employees</t>
    </r>
  </si>
  <si>
    <r>
      <rPr>
        <sz val="9"/>
        <color rgb="FF1C252D"/>
        <rFont val="Arial"/>
        <family val="2"/>
      </rPr>
      <t>Workforce diversity (includes all full-time employees)</t>
    </r>
  </si>
  <si>
    <r>
      <rPr>
        <b/>
        <sz val="9"/>
        <color rgb="FF1C252D"/>
        <rFont val="Arial"/>
        <family val="2"/>
      </rPr>
      <t>1.4:1</t>
    </r>
  </si>
  <si>
    <r>
      <rPr>
        <sz val="9"/>
        <color rgb="FF1C252D"/>
        <rFont val="Arial"/>
        <family val="2"/>
      </rPr>
      <t>2.7:1</t>
    </r>
  </si>
  <si>
    <r>
      <rPr>
        <sz val="9"/>
        <color rgb="FF1C252D"/>
        <rFont val="Arial"/>
        <family val="2"/>
      </rPr>
      <t>2.3:1</t>
    </r>
  </si>
  <si>
    <r>
      <rPr>
        <sz val="9"/>
        <color rgb="FF1C252D"/>
        <rFont val="Arial"/>
        <family val="2"/>
      </rPr>
      <t>Age distribution</t>
    </r>
  </si>
  <si>
    <r>
      <rPr>
        <sz val="9"/>
        <color rgb="FF1C252D"/>
        <rFont val="Arial"/>
        <family val="2"/>
      </rPr>
      <t>Executive management (ratio male to female)</t>
    </r>
  </si>
  <si>
    <r>
      <rPr>
        <b/>
        <sz val="9"/>
        <color rgb="FF1C252D"/>
        <rFont val="Arial"/>
        <family val="2"/>
      </rPr>
      <t>14.0:1</t>
    </r>
  </si>
  <si>
    <r>
      <rPr>
        <sz val="9"/>
        <color rgb="FF1C252D"/>
        <rFont val="Arial"/>
        <family val="2"/>
      </rPr>
      <t>5.5:1</t>
    </r>
  </si>
  <si>
    <r>
      <rPr>
        <sz val="9"/>
        <color rgb="FF1C252D"/>
        <rFont val="Arial"/>
        <family val="2"/>
      </rPr>
      <t>6.0:1</t>
    </r>
  </si>
  <si>
    <r>
      <rPr>
        <sz val="9"/>
        <color rgb="FF1C252D"/>
        <rFont val="Arial"/>
        <family val="2"/>
      </rPr>
      <t>13.0:1</t>
    </r>
  </si>
  <si>
    <r>
      <rPr>
        <b/>
        <sz val="9"/>
        <color rgb="FF1C252D"/>
        <rFont val="Arial"/>
        <family val="2"/>
      </rPr>
      <t>Ratio of annual compensation of highest paid individual to mean total compensation</t>
    </r>
  </si>
  <si>
    <r>
      <rPr>
        <sz val="9"/>
        <color rgb="FF1C252D"/>
        <rFont val="Arial"/>
        <family val="2"/>
      </rPr>
      <t>Canada (MBU, excluding Corporate office)</t>
    </r>
  </si>
  <si>
    <r>
      <rPr>
        <b/>
        <sz val="9"/>
        <color rgb="FF1C252D"/>
        <rFont val="Arial"/>
        <family val="2"/>
      </rPr>
      <t>4.7:1</t>
    </r>
  </si>
  <si>
    <r>
      <rPr>
        <sz val="9"/>
        <color rgb="FF1C252D"/>
        <rFont val="Arial"/>
        <family val="2"/>
      </rPr>
      <t>3.5:1</t>
    </r>
  </si>
  <si>
    <r>
      <rPr>
        <sz val="9"/>
        <color rgb="FF1C252D"/>
        <rFont val="Arial"/>
        <family val="2"/>
      </rPr>
      <t>7.4:1</t>
    </r>
  </si>
  <si>
    <r>
      <rPr>
        <sz val="9"/>
        <color rgb="FF1C252D"/>
        <rFont val="Arial"/>
        <family val="2"/>
      </rPr>
      <t>7.1:1</t>
    </r>
  </si>
  <si>
    <r>
      <rPr>
        <sz val="9"/>
        <color rgb="FF1C252D"/>
        <rFont val="Arial"/>
        <family val="2"/>
      </rPr>
      <t>4.1:1</t>
    </r>
  </si>
  <si>
    <r>
      <rPr>
        <sz val="9"/>
        <color rgb="FF1C252D"/>
        <rFont val="Arial"/>
        <family val="2"/>
      </rPr>
      <t>Canada (BCBU, excluding Corporate office)</t>
    </r>
  </si>
  <si>
    <r>
      <rPr>
        <b/>
        <sz val="9"/>
        <color rgb="FF1C252D"/>
        <rFont val="Arial"/>
        <family val="2"/>
      </rPr>
      <t>3.7:1</t>
    </r>
  </si>
  <si>
    <r>
      <rPr>
        <sz val="9"/>
        <color rgb="FF1C252D"/>
        <rFont val="Arial"/>
        <family val="2"/>
      </rPr>
      <t>Canada (including Corporate office)</t>
    </r>
  </si>
  <si>
    <r>
      <rPr>
        <b/>
        <sz val="9"/>
        <color rgb="FF1C252D"/>
        <rFont val="Arial"/>
        <family val="2"/>
      </rPr>
      <t>19.2:1</t>
    </r>
  </si>
  <si>
    <r>
      <rPr>
        <sz val="9"/>
        <color rgb="FF1C252D"/>
        <rFont val="Arial"/>
        <family val="2"/>
      </rPr>
      <t>24.4:1</t>
    </r>
  </si>
  <si>
    <r>
      <rPr>
        <sz val="9"/>
        <color rgb="FF1C252D"/>
        <rFont val="Arial"/>
        <family val="2"/>
      </rPr>
      <t>30.8:1</t>
    </r>
  </si>
  <si>
    <r>
      <rPr>
        <sz val="9"/>
        <color rgb="FF1C252D"/>
        <rFont val="Arial"/>
        <family val="2"/>
      </rPr>
      <t>23.0:1</t>
    </r>
  </si>
  <si>
    <r>
      <rPr>
        <sz val="9"/>
        <color rgb="FF1C252D"/>
        <rFont val="Arial"/>
        <family val="2"/>
      </rPr>
      <t>26.4:1</t>
    </r>
  </si>
  <si>
    <r>
      <rPr>
        <b/>
        <sz val="9"/>
        <color rgb="FF1C252D"/>
        <rFont val="Arial"/>
        <family val="2"/>
      </rPr>
      <t>11.5:1</t>
    </r>
  </si>
  <si>
    <r>
      <rPr>
        <sz val="9"/>
        <color rgb="FF1C252D"/>
        <rFont val="Arial"/>
        <family val="2"/>
      </rPr>
      <t>29.1:1</t>
    </r>
  </si>
  <si>
    <r>
      <rPr>
        <sz val="9"/>
        <color rgb="FF1C252D"/>
        <rFont val="Arial"/>
        <family val="2"/>
      </rPr>
      <t>16.1:1</t>
    </r>
  </si>
  <si>
    <r>
      <rPr>
        <sz val="9"/>
        <color rgb="FF1C252D"/>
        <rFont val="Arial"/>
        <family val="2"/>
      </rPr>
      <t>14.5:1</t>
    </r>
  </si>
  <si>
    <r>
      <rPr>
        <sz val="9"/>
        <color rgb="FF1C252D"/>
        <rFont val="Arial"/>
        <family val="2"/>
      </rPr>
      <t>17.8:1</t>
    </r>
  </si>
  <si>
    <r>
      <rPr>
        <sz val="9"/>
        <color rgb="FF1C252D"/>
        <rFont val="Arial"/>
        <family val="2"/>
      </rPr>
      <t>United States (ABU)</t>
    </r>
  </si>
  <si>
    <r>
      <rPr>
        <b/>
        <sz val="9"/>
        <color rgb="FF1C252D"/>
        <rFont val="Arial"/>
        <family val="2"/>
      </rPr>
      <t>5.4:1</t>
    </r>
  </si>
  <si>
    <r>
      <rPr>
        <sz val="9"/>
        <color rgb="FF1C252D"/>
        <rFont val="Arial"/>
        <family val="2"/>
      </rPr>
      <t>10.8:1</t>
    </r>
  </si>
  <si>
    <r>
      <rPr>
        <sz val="9"/>
        <color rgb="FF1C252D"/>
        <rFont val="Arial"/>
        <family val="2"/>
      </rPr>
      <t>32.5:1</t>
    </r>
  </si>
  <si>
    <r>
      <rPr>
        <sz val="9"/>
        <color rgb="FF1C252D"/>
        <rFont val="Arial"/>
        <family val="2"/>
      </rPr>
      <t>8.8:1</t>
    </r>
  </si>
  <si>
    <r>
      <rPr>
        <sz val="9"/>
        <color rgb="FF1C252D"/>
        <rFont val="Arial"/>
        <family val="2"/>
      </rPr>
      <t>4.4:1</t>
    </r>
  </si>
  <si>
    <r>
      <rPr>
        <b/>
        <sz val="9"/>
        <color rgb="FF1C252D"/>
        <rFont val="Arial"/>
        <family val="2"/>
      </rPr>
      <t>Health and safety performance (per 200,000 hours worked, except where noted)</t>
    </r>
  </si>
  <si>
    <r>
      <rPr>
        <sz val="9"/>
        <color rgb="FF1C252D"/>
        <rFont val="Arial"/>
        <family val="2"/>
      </rPr>
      <t>Lost time injury frequency (LTI)</t>
    </r>
  </si>
  <si>
    <r>
      <rPr>
        <sz val="9"/>
        <color rgb="FF1C252D"/>
        <rFont val="Arial"/>
        <family val="2"/>
      </rPr>
      <t>Manitoba contractors</t>
    </r>
  </si>
  <si>
    <r>
      <rPr>
        <sz val="9"/>
        <color rgb="FF1C252D"/>
        <rFont val="Arial"/>
        <family val="2"/>
      </rPr>
      <t>British Columbia contractors</t>
    </r>
  </si>
  <si>
    <r>
      <rPr>
        <sz val="9"/>
        <color rgb="FF1C252D"/>
        <rFont val="Arial"/>
        <family val="2"/>
      </rPr>
      <t>Peru contractors</t>
    </r>
  </si>
  <si>
    <r>
      <rPr>
        <sz val="9"/>
        <color rgb="FF1C252D"/>
        <rFont val="Arial"/>
        <family val="2"/>
      </rPr>
      <t>Arizona contractors</t>
    </r>
  </si>
  <si>
    <r>
      <rPr>
        <sz val="9"/>
        <color rgb="FF1C252D"/>
        <rFont val="Arial"/>
        <family val="2"/>
      </rPr>
      <t>Other North America (not including MBU, BCBU and ABU)</t>
    </r>
  </si>
  <si>
    <r>
      <rPr>
        <sz val="9"/>
        <color rgb="FF1C252D"/>
        <rFont val="Arial"/>
        <family val="2"/>
      </rPr>
      <t>Other North America contractors (not including MBU, BCBU and ABU)</t>
    </r>
  </si>
  <si>
    <r>
      <rPr>
        <sz val="9"/>
        <color rgb="FF1C252D"/>
        <rFont val="Arial"/>
        <family val="2"/>
      </rPr>
      <t>Other South America (not including Peru)</t>
    </r>
  </si>
  <si>
    <r>
      <rPr>
        <sz val="9"/>
        <color rgb="FF1C252D"/>
        <rFont val="Arial"/>
        <family val="2"/>
      </rPr>
      <t>Other South America contractors (not including Peru)</t>
    </r>
  </si>
  <si>
    <r>
      <rPr>
        <sz val="9"/>
        <color rgb="FF1C252D"/>
        <rFont val="Arial"/>
        <family val="2"/>
      </rPr>
      <t>Lost time injury severity (SEV)</t>
    </r>
  </si>
  <si>
    <r>
      <rPr>
        <sz val="9"/>
        <color rgb="FF1C252D"/>
        <rFont val="Arial"/>
        <family val="2"/>
      </rPr>
      <t>Total recordable injury frequency</t>
    </r>
  </si>
  <si>
    <r>
      <rPr>
        <sz val="9"/>
        <color rgb="FF1C252D"/>
        <rFont val="Arial"/>
        <family val="2"/>
      </rPr>
      <t>First aid (FA) frequency</t>
    </r>
  </si>
  <si>
    <r>
      <rPr>
        <sz val="9"/>
        <color rgb="FF1C252D"/>
        <rFont val="Arial"/>
        <family val="2"/>
      </rPr>
      <t>Other North America (not including MBU, BCBU &amp; ABU)</t>
    </r>
  </si>
  <si>
    <r>
      <rPr>
        <sz val="9"/>
        <color rgb="FF1C252D"/>
        <rFont val="Arial"/>
        <family val="2"/>
      </rPr>
      <t>Other North America contractors (not including MBU, BCBU &amp; ABU)</t>
    </r>
  </si>
  <si>
    <r>
      <rPr>
        <sz val="9"/>
        <color rgb="FF1C252D"/>
        <rFont val="Arial"/>
        <family val="2"/>
      </rPr>
      <t>Fatality</t>
    </r>
  </si>
  <si>
    <r>
      <rPr>
        <sz val="9"/>
        <color rgb="FF1C252D"/>
        <rFont val="Arial"/>
        <family val="2"/>
      </rPr>
      <t>Reportable occurrences (defined as EHS incidents required by Hudbay policy to be reported to our Board of Directors)</t>
    </r>
  </si>
  <si>
    <r>
      <rPr>
        <b/>
        <sz val="9"/>
        <color rgb="FF1C252D"/>
        <rFont val="Arial"/>
        <family val="2"/>
      </rPr>
      <t>Total workforce</t>
    </r>
  </si>
  <si>
    <r>
      <rPr>
        <sz val="9"/>
        <color rgb="FF1C252D"/>
        <rFont val="Arial"/>
        <family val="2"/>
      </rPr>
      <t>Full-time employees</t>
    </r>
  </si>
  <si>
    <r>
      <rPr>
        <sz val="9"/>
        <color rgb="FF1C252D"/>
        <rFont val="Arial"/>
        <family val="2"/>
      </rPr>
      <t>Total full-time employees</t>
    </r>
  </si>
  <si>
    <r>
      <rPr>
        <b/>
        <sz val="9"/>
        <color rgb="FF1C252D"/>
        <rFont val="Arial"/>
        <family val="2"/>
      </rPr>
      <t>Employment</t>
    </r>
  </si>
  <si>
    <r>
      <rPr>
        <sz val="9"/>
        <color rgb="FF1C252D"/>
        <rFont val="Arial"/>
        <family val="2"/>
      </rPr>
      <t>Part-time employees</t>
    </r>
  </si>
  <si>
    <r>
      <rPr>
        <sz val="9"/>
        <color rgb="FF1C252D"/>
        <rFont val="Arial"/>
        <family val="2"/>
      </rPr>
      <t>Total part-time employees</t>
    </r>
  </si>
  <si>
    <t>Employees receiving regular performance and career development reviews (includes all full-time employees)</t>
  </si>
  <si>
    <t>Percentage reviewed</t>
  </si>
  <si>
    <t>Operational changes</t>
  </si>
  <si>
    <t>Minimum number of weeks provided before operational changes (MBU only)</t>
  </si>
  <si>
    <t>1   This only includes Peru, British Columbia and Arizona. Data is unavailable for Manitoba and Corporate.
2   Hudbay’s Arizona employees are currently not covered because the size of their office does not require it.</t>
  </si>
  <si>
    <t>Percentage represented</t>
  </si>
  <si>
    <t>Workforce represented in formal joint management–worker Health and Safety Committees</t>
  </si>
  <si>
    <t>Board of Directors (ratio male to female)</t>
  </si>
  <si>
    <t>Composition of executive management and corporate governance bodies</t>
  </si>
  <si>
    <t>Percentage of workforce that are Indigenous (MBU and BCBU only)</t>
  </si>
  <si>
    <t>Percentage of workforce that are disabled (MBU only)</t>
  </si>
  <si>
    <t>Percentage of workforce that are visible minorities (MBU only)</t>
  </si>
  <si>
    <t>Society</t>
  </si>
  <si>
    <r>
      <rPr>
        <b/>
        <sz val="9"/>
        <color rgb="FF1C252D"/>
        <rFont val="Arial"/>
        <family val="2"/>
      </rPr>
      <t>Total number of incidents of discrimination (and actions taken)</t>
    </r>
  </si>
  <si>
    <r>
      <rPr>
        <b/>
        <sz val="9"/>
        <color rgb="FF1C252D"/>
        <rFont val="Arial"/>
        <family val="2"/>
      </rPr>
      <t>Land use disputes</t>
    </r>
  </si>
  <si>
    <r>
      <rPr>
        <b/>
        <sz val="9"/>
        <color rgb="FF1C252D"/>
        <rFont val="Arial"/>
        <family val="2"/>
      </rPr>
      <t>Resettlements</t>
    </r>
  </si>
  <si>
    <r>
      <rPr>
        <sz val="9"/>
        <color rgb="FF1C252D"/>
        <rFont val="Arial"/>
        <family val="2"/>
      </rPr>
      <t>Number of households (Peru only)</t>
    </r>
  </si>
  <si>
    <r>
      <rPr>
        <sz val="9"/>
        <color rgb="FF1C252D"/>
        <rFont val="Arial"/>
        <family val="2"/>
      </rPr>
      <t>Number of individuals (Peru only)</t>
    </r>
  </si>
  <si>
    <t>Number and percentage of operations assessed for corruption risks</t>
  </si>
  <si>
    <t>Number – operations</t>
  </si>
  <si>
    <t>Percentage</t>
  </si>
  <si>
    <t>Employees that anti-corruption policies have been communicated to</t>
  </si>
  <si>
    <t>Number</t>
  </si>
  <si>
    <t>50% </t>
  </si>
  <si>
    <t>Governance body members that anti-corruption policies have been communicated to</t>
  </si>
  <si>
    <t>Governance body members that received training on anti-corruption</t>
  </si>
  <si>
    <t>12 </t>
  </si>
  <si>
    <t>Average hours of training (Peru and Arizona business units only)</t>
  </si>
  <si>
    <t>Males in management</t>
  </si>
  <si>
    <t>Females in management</t>
  </si>
  <si>
    <t>Males in non-management</t>
  </si>
  <si>
    <t>Females in non-management</t>
  </si>
  <si>
    <t>Security practices (security personnel training) </t>
  </si>
  <si>
    <t>Hudbay security personnel trained on human rights policies and procedures</t>
  </si>
  <si>
    <t>Contractor security personnel trained on human rights policies and procedures</t>
  </si>
  <si>
    <t>Value of fines or sanctions for non-compliance with laws and regulations</t>
  </si>
  <si>
    <t>$0 </t>
  </si>
  <si>
    <t>Grievances about impacts on society</t>
  </si>
  <si>
    <t>Number filed through formal grievance mechanisms</t>
  </si>
  <si>
    <t>Number addressed during reporting period</t>
  </si>
  <si>
    <t>Number resolved during reporting period</t>
  </si>
  <si>
    <t>Number filed prior to the reporting period that were resolved during the reporting period</t>
  </si>
  <si>
    <t>Number of other concerns</t>
  </si>
  <si>
    <t>Closure plans</t>
  </si>
  <si>
    <t>Total number of operations</t>
  </si>
  <si>
    <t>Number of company operations that have closure plans</t>
  </si>
  <si>
    <t>Percentage of total operations with closure plans</t>
  </si>
  <si>
    <t>Number of advanced exploration projects that have closure plans</t>
  </si>
  <si>
    <t>Percentage of advanced exploration projects that have closure plans</t>
  </si>
  <si>
    <t>Overall financial provision representing the present value of future cash flows relating to estimated closure costs per Canadian Generally Accepted Accounting Principles (in $ 000s)</t>
  </si>
  <si>
    <t>Manitoba</t>
  </si>
  <si>
    <t>Partial</t>
  </si>
  <si>
    <t>Yes </t>
  </si>
  <si>
    <t>Yes</t>
  </si>
  <si>
    <t>British Columbia</t>
  </si>
  <si>
    <t>N/av</t>
  </si>
  <si>
    <t>Arizona</t>
  </si>
  <si>
    <t>Peru</t>
  </si>
  <si>
    <t>Report whether operations are taking place in or adjacent to Indigenous peoples’ territories</t>
  </si>
  <si>
    <t>Artisanal/small-scale and informal mining</t>
  </si>
  <si>
    <t>No artisanal/small-scale or informal mining</t>
  </si>
  <si>
    <t>Peru </t>
  </si>
  <si>
    <t>Other</t>
  </si>
  <si>
    <t>Human rights</t>
  </si>
  <si>
    <t>Resettlement/livelihood</t>
  </si>
  <si>
    <t>Labour and commercial practices</t>
  </si>
  <si>
    <t>Environment </t>
  </si>
  <si>
    <t>1 Incident was reviewed and addressed.
2 Hudbay’s anti-corruption training varies from year to year. On an annual basis, all directors, officers and employees with Hudbay email addresses, accounting for 50% of our workforce this year, are required to read and sign off on our compliance policies (including our Whistleblower Policy, Code of Business Conduct and Ethics, Statement of Anti-Corruption, and Confidentiality and Insider Trading Policy).
3 Board directors are required to complete the same annual certification process as our employees with respect to our key compliance policies. In addition, our directors are encouraged to attend third-party educational programs, particularly with the Institute of Corporate Directors, through which they have access to educational materials and are invited to training seminars throughout the year. For more information, see our Management Information Circular.
4 Both grievances have been reviewed and addressed.
5 Previous informal mining activities at Pampacancha ended upon the completion of agreements with the community and land users prior to the start of Hudbay’s operating activities. Informal mining is taking place on some of our mineral claim areas for which we do not control surface rights, but this is not in the vicinity of or impacting our operations.</t>
  </si>
  <si>
    <r>
      <rPr>
        <b/>
        <sz val="9"/>
        <color rgb="FFFFFFFF"/>
        <rFont val="Arial"/>
        <family val="2"/>
      </rPr>
      <t>Environment</t>
    </r>
  </si>
  <si>
    <r>
      <rPr>
        <b/>
        <sz val="9"/>
        <color rgb="FF1C252D"/>
        <rFont val="Arial"/>
        <family val="2"/>
      </rPr>
      <t>Direct energy consumption by primary energy source (terajoules)</t>
    </r>
  </si>
  <si>
    <r>
      <rPr>
        <sz val="9"/>
        <color rgb="FF1C252D"/>
        <rFont val="Arial"/>
        <family val="2"/>
      </rPr>
      <t>Propane</t>
    </r>
  </si>
  <si>
    <r>
      <rPr>
        <sz val="9"/>
        <color rgb="FF1C252D"/>
        <rFont val="Arial"/>
        <family val="2"/>
      </rPr>
      <t>Diesel</t>
    </r>
  </si>
  <si>
    <r>
      <rPr>
        <sz val="9"/>
        <color rgb="FF1C252D"/>
        <rFont val="Arial"/>
        <family val="2"/>
      </rPr>
      <t>Gasoline</t>
    </r>
  </si>
  <si>
    <r>
      <rPr>
        <sz val="9"/>
        <color rgb="FF1C252D"/>
        <rFont val="Arial"/>
        <family val="2"/>
      </rPr>
      <t>Other</t>
    </r>
  </si>
  <si>
    <r>
      <rPr>
        <b/>
        <sz val="9"/>
        <color rgb="FF1C252D"/>
        <rFont val="Arial"/>
        <family val="2"/>
      </rPr>
      <t>Direct energy consumption by business unit (terajoules)</t>
    </r>
  </si>
  <si>
    <r>
      <rPr>
        <b/>
        <sz val="9"/>
        <color rgb="FF1C252D"/>
        <rFont val="Arial"/>
        <family val="2"/>
      </rPr>
      <t>Indirect energy consumption by business unit (terajoules)</t>
    </r>
  </si>
  <si>
    <r>
      <rPr>
        <sz val="9"/>
        <color rgb="FF1C252D"/>
        <rFont val="Arial"/>
        <family val="2"/>
      </rPr>
      <t>Total electricity consumed</t>
    </r>
  </si>
  <si>
    <r>
      <rPr>
        <b/>
        <sz val="9"/>
        <color rgb="FF1C252D"/>
        <rFont val="Arial"/>
        <family val="2"/>
      </rPr>
      <t>Total indirect energy consumed by organization (terajoules)</t>
    </r>
  </si>
  <si>
    <r>
      <rPr>
        <b/>
        <sz val="9"/>
        <color rgb="FF1C252D"/>
        <rFont val="Arial"/>
        <family val="2"/>
      </rPr>
      <t>Total direct and indirect greenhouse gas emissions (kilotonnes of CO</t>
    </r>
    <r>
      <rPr>
        <b/>
        <vertAlign val="subscript"/>
        <sz val="5"/>
        <color rgb="FF1C252D"/>
        <rFont val="Arial"/>
        <family val="2"/>
      </rPr>
      <t xml:space="preserve">2  </t>
    </r>
    <r>
      <rPr>
        <b/>
        <sz val="9"/>
        <color rgb="FF1C252D"/>
        <rFont val="Arial"/>
        <family val="2"/>
      </rPr>
      <t>equivalent)</t>
    </r>
  </si>
  <si>
    <r>
      <rPr>
        <sz val="9"/>
        <color rgb="FF1C252D"/>
        <rFont val="Arial"/>
        <family val="2"/>
      </rPr>
      <t>Direct CO</t>
    </r>
    <r>
      <rPr>
        <vertAlign val="subscript"/>
        <sz val="5"/>
        <color rgb="FF1C252D"/>
        <rFont val="Arial"/>
        <family val="2"/>
      </rPr>
      <t>2</t>
    </r>
    <r>
      <rPr>
        <sz val="9"/>
        <color rgb="FF1C252D"/>
        <rFont val="Arial"/>
        <family val="2"/>
      </rPr>
      <t>e emissions</t>
    </r>
  </si>
  <si>
    <r>
      <rPr>
        <sz val="9"/>
        <color rgb="FF1C252D"/>
        <rFont val="Arial"/>
        <family val="2"/>
      </rPr>
      <t>Total direct CO</t>
    </r>
    <r>
      <rPr>
        <vertAlign val="subscript"/>
        <sz val="5"/>
        <color rgb="FF1C252D"/>
        <rFont val="Arial"/>
        <family val="2"/>
      </rPr>
      <t>2</t>
    </r>
    <r>
      <rPr>
        <sz val="9"/>
        <color rgb="FF1C252D"/>
        <rFont val="Arial"/>
        <family val="2"/>
      </rPr>
      <t>e emissions</t>
    </r>
  </si>
  <si>
    <r>
      <rPr>
        <sz val="9"/>
        <color rgb="FF1C252D"/>
        <rFont val="Arial"/>
        <family val="2"/>
      </rPr>
      <t>Total indirect CO</t>
    </r>
    <r>
      <rPr>
        <vertAlign val="subscript"/>
        <sz val="5"/>
        <color rgb="FF1C252D"/>
        <rFont val="Arial"/>
        <family val="2"/>
      </rPr>
      <t>2</t>
    </r>
    <r>
      <rPr>
        <sz val="9"/>
        <color rgb="FF1C252D"/>
        <rFont val="Arial"/>
        <family val="2"/>
      </rPr>
      <t>e emissions</t>
    </r>
  </si>
  <si>
    <r>
      <rPr>
        <b/>
        <sz val="9"/>
        <color rgb="FF1C252D"/>
        <rFont val="Arial"/>
        <family val="2"/>
      </rPr>
      <t>NO</t>
    </r>
    <r>
      <rPr>
        <b/>
        <vertAlign val="subscript"/>
        <sz val="5"/>
        <color rgb="FF1C252D"/>
        <rFont val="Arial"/>
        <family val="2"/>
      </rPr>
      <t>x</t>
    </r>
    <r>
      <rPr>
        <b/>
        <sz val="9"/>
        <color rgb="FF1C252D"/>
        <rFont val="Arial"/>
        <family val="2"/>
      </rPr>
      <t>, SO</t>
    </r>
    <r>
      <rPr>
        <b/>
        <vertAlign val="subscript"/>
        <sz val="5"/>
        <color rgb="FF1C252D"/>
        <rFont val="Arial"/>
        <family val="2"/>
      </rPr>
      <t xml:space="preserve">x  </t>
    </r>
    <r>
      <rPr>
        <b/>
        <sz val="9"/>
        <color rgb="FF1C252D"/>
        <rFont val="Arial"/>
        <family val="2"/>
      </rPr>
      <t>and other significant air emissions (in tonnes)</t>
    </r>
  </si>
  <si>
    <r>
      <rPr>
        <sz val="9"/>
        <color rgb="FF1C252D"/>
        <rFont val="Arial"/>
        <family val="2"/>
      </rPr>
      <t>NO</t>
    </r>
    <r>
      <rPr>
        <vertAlign val="subscript"/>
        <sz val="5"/>
        <color rgb="FF1C252D"/>
        <rFont val="Arial"/>
        <family val="2"/>
      </rPr>
      <t>x</t>
    </r>
    <r>
      <rPr>
        <sz val="9"/>
        <color rgb="FF1C252D"/>
        <rFont val="Arial"/>
        <family val="2"/>
      </rPr>
      <t>, SO</t>
    </r>
    <r>
      <rPr>
        <vertAlign val="subscript"/>
        <sz val="5"/>
        <color rgb="FF1C252D"/>
        <rFont val="Arial"/>
        <family val="2"/>
      </rPr>
      <t>x</t>
    </r>
  </si>
  <si>
    <r>
      <rPr>
        <sz val="9"/>
        <color rgb="FF1C252D"/>
        <rFont val="Arial"/>
        <family val="2"/>
      </rPr>
      <t>Particulate</t>
    </r>
  </si>
  <si>
    <r>
      <rPr>
        <b/>
        <sz val="9"/>
        <color rgb="FF1C252D"/>
        <rFont val="Arial"/>
        <family val="2"/>
      </rPr>
      <t>Total water withdrawal (000 cubic metres)</t>
    </r>
  </si>
  <si>
    <r>
      <rPr>
        <sz val="9"/>
        <color rgb="FF1C252D"/>
        <rFont val="Arial"/>
        <family val="2"/>
      </rPr>
      <t>Surface water</t>
    </r>
  </si>
  <si>
    <r>
      <rPr>
        <sz val="9"/>
        <color rgb="FF1C252D"/>
        <rFont val="Arial"/>
        <family val="2"/>
      </rPr>
      <t>Groundwater</t>
    </r>
  </si>
  <si>
    <r>
      <rPr>
        <sz val="9"/>
        <color rgb="FF1C252D"/>
        <rFont val="Arial"/>
        <family val="2"/>
      </rPr>
      <t>Rainwater collected directly and stored by the organization</t>
    </r>
  </si>
  <si>
    <r>
      <rPr>
        <sz val="9"/>
        <color rgb="FF1C252D"/>
        <rFont val="Arial"/>
        <family val="2"/>
      </rPr>
      <t>Waste water from another organization</t>
    </r>
  </si>
  <si>
    <r>
      <rPr>
        <sz val="9"/>
        <color rgb="FF1C252D"/>
        <rFont val="Arial"/>
        <family val="2"/>
      </rPr>
      <t>Municipal water supplies</t>
    </r>
  </si>
  <si>
    <r>
      <rPr>
        <sz val="9"/>
        <color rgb="FF1C252D"/>
        <rFont val="Arial"/>
        <family val="2"/>
      </rPr>
      <t>Total water withdrawal</t>
    </r>
  </si>
  <si>
    <r>
      <rPr>
        <b/>
        <sz val="9"/>
        <color rgb="FF1C252D"/>
        <rFont val="Arial"/>
        <family val="2"/>
      </rPr>
      <t>Percentage and total volume of water recycled and reused</t>
    </r>
  </si>
  <si>
    <r>
      <rPr>
        <sz val="9"/>
        <color rgb="FF1C252D"/>
        <rFont val="Arial"/>
        <family val="2"/>
      </rPr>
      <t>Total volume (000 cubic metres)</t>
    </r>
  </si>
  <si>
    <r>
      <rPr>
        <sz val="9"/>
        <color rgb="FF1C252D"/>
        <rFont val="Arial"/>
        <family val="2"/>
      </rPr>
      <t>Percentage</t>
    </r>
  </si>
  <si>
    <r>
      <rPr>
        <b/>
        <sz val="9"/>
        <color rgb="FF1C252D"/>
        <rFont val="Arial"/>
        <family val="2"/>
      </rPr>
      <t>Total water discharged (000 cubic metres)</t>
    </r>
  </si>
  <si>
    <r>
      <rPr>
        <sz val="9"/>
        <color rgb="FF1C252D"/>
        <rFont val="Arial"/>
        <family val="2"/>
      </rPr>
      <t>Flin Flon Creek</t>
    </r>
  </si>
  <si>
    <r>
      <rPr>
        <sz val="9"/>
        <color rgb="FF1C252D"/>
        <rFont val="Arial"/>
        <family val="2"/>
      </rPr>
      <t>Wekusko Lake</t>
    </r>
  </si>
  <si>
    <r>
      <rPr>
        <sz val="9"/>
        <color rgb="FF1C252D"/>
        <rFont val="Arial"/>
        <family val="2"/>
      </rPr>
      <t>Woosey Creek</t>
    </r>
  </si>
  <si>
    <r>
      <rPr>
        <sz val="9"/>
        <color rgb="FF1C252D"/>
        <rFont val="Arial"/>
        <family val="2"/>
      </rPr>
      <t>Namew Lake</t>
    </r>
  </si>
  <si>
    <r>
      <rPr>
        <sz val="9"/>
        <color rgb="FF1C252D"/>
        <rFont val="Arial"/>
        <family val="2"/>
      </rPr>
      <t>Herblet Lake</t>
    </r>
  </si>
  <si>
    <r>
      <rPr>
        <sz val="9"/>
        <color rgb="FF1C252D"/>
        <rFont val="Arial"/>
        <family val="2"/>
      </rPr>
      <t>Similkameen River</t>
    </r>
  </si>
  <si>
    <r>
      <rPr>
        <sz val="9"/>
        <color rgb="FF1C252D"/>
        <rFont val="Arial"/>
        <family val="2"/>
      </rPr>
      <t>Chilloroya River</t>
    </r>
  </si>
  <si>
    <r>
      <rPr>
        <sz val="9"/>
        <color rgb="FF1C252D"/>
        <rFont val="Arial"/>
        <family val="2"/>
      </rPr>
      <t>Total water discharged</t>
    </r>
  </si>
  <si>
    <r>
      <rPr>
        <sz val="9"/>
        <color rgb="FF1C252D"/>
        <rFont val="Arial"/>
        <family val="2"/>
      </rPr>
      <t>Volume (liquid) (m</t>
    </r>
    <r>
      <rPr>
        <vertAlign val="superscript"/>
        <sz val="5"/>
        <color rgb="FF1C252D"/>
        <rFont val="Arial"/>
        <family val="2"/>
      </rPr>
      <t>3</t>
    </r>
    <r>
      <rPr>
        <sz val="9"/>
        <color rgb="FF1C252D"/>
        <rFont val="Arial"/>
        <family val="2"/>
      </rPr>
      <t>)</t>
    </r>
  </si>
  <si>
    <r>
      <rPr>
        <sz val="9"/>
        <color rgb="FF1C252D"/>
        <rFont val="Arial"/>
        <family val="2"/>
      </rPr>
      <t>Volume (solid) (tonnes)</t>
    </r>
  </si>
  <si>
    <r>
      <rPr>
        <b/>
        <sz val="9"/>
        <color rgb="FF1C252D"/>
        <rFont val="Arial"/>
        <family val="2"/>
      </rPr>
      <t>Hazardous waste disposed of at external facility (tonnes)</t>
    </r>
  </si>
  <si>
    <r>
      <rPr>
        <sz val="9"/>
        <color rgb="FF1C252D"/>
        <rFont val="Arial"/>
        <family val="2"/>
      </rPr>
      <t>Overburden</t>
    </r>
  </si>
  <si>
    <r>
      <rPr>
        <sz val="9"/>
        <color rgb="FF1C252D"/>
        <rFont val="Arial"/>
        <family val="2"/>
      </rPr>
      <t>Waste rock</t>
    </r>
  </si>
  <si>
    <r>
      <rPr>
        <sz val="9"/>
        <color rgb="FF1C252D"/>
        <rFont val="Arial"/>
        <family val="2"/>
      </rPr>
      <t>Tailings</t>
    </r>
  </si>
  <si>
    <r>
      <rPr>
        <b/>
        <sz val="9"/>
        <color rgb="FF1C252D"/>
        <rFont val="Arial"/>
        <family val="2"/>
      </rPr>
      <t>Total amounts of waste recycled (tonnes)</t>
    </r>
  </si>
  <si>
    <r>
      <rPr>
        <sz val="9"/>
        <color rgb="FF1C252D"/>
        <rFont val="Arial"/>
        <family val="2"/>
      </rPr>
      <t>Waste rock used as backfill</t>
    </r>
  </si>
  <si>
    <r>
      <rPr>
        <sz val="9"/>
        <color rgb="FF1C252D"/>
        <rFont val="Arial"/>
        <family val="2"/>
      </rPr>
      <t>Waste rock used for tailing structures</t>
    </r>
  </si>
  <si>
    <r>
      <rPr>
        <sz val="9"/>
        <color rgb="FF1C252D"/>
        <rFont val="Arial"/>
        <family val="2"/>
      </rPr>
      <t>Tailings used for backfill</t>
    </r>
  </si>
  <si>
    <r>
      <rPr>
        <b/>
        <sz val="9"/>
        <color rgb="FF1C252D"/>
        <rFont val="Arial"/>
        <family val="2"/>
      </rPr>
      <t>Number of fines or sanctions for non-compliance with environmental laws and regulations</t>
    </r>
  </si>
  <si>
    <r>
      <rPr>
        <b/>
        <sz val="9"/>
        <color rgb="FF1C252D"/>
        <rFont val="Arial"/>
        <family val="2"/>
      </rPr>
      <t>Land use (hectares) – mineral tenure</t>
    </r>
  </si>
  <si>
    <r>
      <rPr>
        <sz val="9"/>
        <color rgb="FF1C252D"/>
        <rFont val="Arial"/>
        <family val="2"/>
      </rPr>
      <t>Manitoba and Saskatchewan</t>
    </r>
  </si>
  <si>
    <r>
      <rPr>
        <b/>
        <sz val="9"/>
        <color rgb="FF1C252D"/>
        <rFont val="Arial"/>
        <family val="2"/>
      </rPr>
      <t>N/av</t>
    </r>
  </si>
  <si>
    <r>
      <rPr>
        <sz val="9"/>
        <color rgb="FF1C252D"/>
        <rFont val="Arial"/>
        <family val="2"/>
      </rPr>
      <t>Nunavut</t>
    </r>
  </si>
  <si>
    <r>
      <rPr>
        <sz val="9"/>
        <color rgb="FF1C252D"/>
        <rFont val="Arial"/>
        <family val="2"/>
      </rPr>
      <t>Total Canada</t>
    </r>
  </si>
  <si>
    <r>
      <rPr>
        <sz val="9"/>
        <color rgb="FF1C252D"/>
        <rFont val="Arial"/>
        <family val="2"/>
      </rPr>
      <t>Nevada</t>
    </r>
  </si>
  <si>
    <r>
      <rPr>
        <sz val="9"/>
        <color rgb="FF1C252D"/>
        <rFont val="Arial"/>
        <family val="2"/>
      </rPr>
      <t>New Mexico</t>
    </r>
  </si>
  <si>
    <r>
      <rPr>
        <sz val="9"/>
        <color rgb="FF1C252D"/>
        <rFont val="Arial"/>
        <family val="2"/>
      </rPr>
      <t>Total United States</t>
    </r>
  </si>
  <si>
    <r>
      <rPr>
        <sz val="9"/>
        <color rgb="FF1C252D"/>
        <rFont val="Arial"/>
        <family val="2"/>
      </rPr>
      <t>Total South/Central America</t>
    </r>
  </si>
  <si>
    <r>
      <rPr>
        <b/>
        <sz val="9"/>
        <color rgb="FF1C252D"/>
        <rFont val="Arial"/>
        <family val="2"/>
      </rPr>
      <t>Land use (hectares) – surface rights</t>
    </r>
  </si>
  <si>
    <r>
      <rPr>
        <b/>
        <sz val="9"/>
        <color rgb="FF1C252D"/>
        <rFont val="Arial"/>
        <family val="2"/>
      </rPr>
      <t>Land use (hectares) – disturbed land</t>
    </r>
  </si>
  <si>
    <r>
      <rPr>
        <b/>
        <sz val="9"/>
        <color rgb="FF1C252D"/>
        <rFont val="Arial"/>
        <family val="2"/>
      </rPr>
      <t>Sites requiring biodiversity management plans</t>
    </r>
  </si>
  <si>
    <r>
      <rPr>
        <sz val="9"/>
        <color rgb="FF1C252D"/>
        <rFont val="Arial"/>
        <family val="2"/>
      </rPr>
      <t>Number of sites legally requiring plans</t>
    </r>
  </si>
  <si>
    <r>
      <rPr>
        <sz val="9"/>
        <color rgb="FF1C252D"/>
        <rFont val="Arial"/>
        <family val="2"/>
      </rPr>
      <t>Number of sites with voluntary plans in place</t>
    </r>
  </si>
  <si>
    <r>
      <rPr>
        <b/>
        <sz val="9"/>
        <color rgb="FF1C252D"/>
        <rFont val="Arial"/>
        <family val="2"/>
      </rPr>
      <t>Habitats protected or restored (hectares)</t>
    </r>
  </si>
  <si>
    <r>
      <rPr>
        <sz val="9"/>
        <color rgb="FF1C252D"/>
        <rFont val="Arial"/>
        <family val="2"/>
      </rPr>
      <t>Protected</t>
    </r>
  </si>
  <si>
    <r>
      <rPr>
        <sz val="9"/>
        <color rgb="FF1C252D"/>
        <rFont val="Arial"/>
        <family val="2"/>
      </rPr>
      <t>Restored</t>
    </r>
  </si>
  <si>
    <r>
      <rPr>
        <sz val="9"/>
        <color rgb="FF1C252D"/>
        <rFont val="Arial"/>
        <family val="2"/>
      </rPr>
      <t>Partnerships exist</t>
    </r>
  </si>
  <si>
    <r>
      <rPr>
        <b/>
        <sz val="9"/>
        <color rgb="FF1C252D"/>
        <rFont val="Arial"/>
        <family val="2"/>
      </rPr>
      <t>No</t>
    </r>
  </si>
  <si>
    <r>
      <rPr>
        <sz val="9"/>
        <color rgb="FF1C252D"/>
        <rFont val="Arial"/>
        <family val="2"/>
      </rPr>
      <t>No</t>
    </r>
  </si>
  <si>
    <r>
      <rPr>
        <sz val="9"/>
        <color rgb="FF1C252D"/>
        <rFont val="Arial"/>
        <family val="2"/>
      </rPr>
      <t>Status at close of reporting period</t>
    </r>
  </si>
  <si>
    <r>
      <rPr>
        <b/>
        <sz val="9"/>
        <color rgb="FF1C252D"/>
        <rFont val="Arial"/>
        <family val="2"/>
      </rPr>
      <t>Monitoring</t>
    </r>
  </si>
  <si>
    <r>
      <rPr>
        <sz val="9"/>
        <color rgb="FF1C252D"/>
        <rFont val="Arial"/>
        <family val="2"/>
      </rPr>
      <t>Monitoring</t>
    </r>
  </si>
  <si>
    <r>
      <rPr>
        <b/>
        <sz val="9"/>
        <color rgb="FF1C252D"/>
        <rFont val="Arial"/>
        <family val="2"/>
      </rPr>
      <t>IUCN Red List species and National Conservation List species</t>
    </r>
  </si>
  <si>
    <r>
      <rPr>
        <sz val="9"/>
        <color rgb="FF1C252D"/>
        <rFont val="Arial"/>
        <family val="2"/>
      </rPr>
      <t>Critically endangered</t>
    </r>
  </si>
  <si>
    <r>
      <rPr>
        <sz val="9"/>
        <color rgb="FF1C252D"/>
        <rFont val="Arial"/>
        <family val="2"/>
      </rPr>
      <t>Endangered</t>
    </r>
  </si>
  <si>
    <r>
      <rPr>
        <sz val="9"/>
        <color rgb="FF1C252D"/>
        <rFont val="Arial"/>
        <family val="2"/>
      </rPr>
      <t>Vulnerable</t>
    </r>
  </si>
  <si>
    <r>
      <rPr>
        <sz val="9"/>
        <color rgb="FF1C252D"/>
        <rFont val="Arial"/>
        <family val="2"/>
      </rPr>
      <t>Near threatened</t>
    </r>
  </si>
  <si>
    <r>
      <rPr>
        <sz val="9"/>
        <color rgb="FF1C252D"/>
        <rFont val="Arial"/>
        <family val="2"/>
      </rPr>
      <t>Least concern</t>
    </r>
  </si>
  <si>
    <r>
      <rPr>
        <b/>
        <sz val="9"/>
        <color rgb="FFFFFFFF"/>
        <rFont val="Arial"/>
        <family val="2"/>
      </rPr>
      <t>Environment Intensity Metrics</t>
    </r>
  </si>
  <si>
    <r>
      <rPr>
        <sz val="9"/>
        <color rgb="FF1C252D"/>
        <rFont val="Arial"/>
        <family val="2"/>
      </rPr>
      <t>Total ore processed (tonnes)</t>
    </r>
  </si>
  <si>
    <r>
      <rPr>
        <sz val="9"/>
        <color rgb="FF1C252D"/>
        <rFont val="Arial"/>
        <family val="2"/>
      </rPr>
      <t>Total direct and indirect energy consumption (terajoules)</t>
    </r>
  </si>
  <si>
    <r>
      <rPr>
        <b/>
        <sz val="9"/>
        <color rgb="FF1C252D"/>
        <rFont val="Arial"/>
        <family val="2"/>
      </rPr>
      <t>Energy intensity (terajoules per million tonnes of ore processed)</t>
    </r>
  </si>
  <si>
    <r>
      <rPr>
        <b/>
        <sz val="9"/>
        <color rgb="FF1C252D"/>
        <rFont val="Arial"/>
        <family val="2"/>
      </rPr>
      <t>Energy intensity (terajoules per kilotonne of copper-equivalent production)</t>
    </r>
  </si>
  <si>
    <r>
      <rPr>
        <sz val="9"/>
        <color rgb="FF1C252D"/>
        <rFont val="Arial"/>
        <family val="2"/>
      </rPr>
      <t>Total direct and indirect GHG emissions (kilotonnes of CO</t>
    </r>
    <r>
      <rPr>
        <vertAlign val="subscript"/>
        <sz val="5"/>
        <color rgb="FF1C252D"/>
        <rFont val="Arial"/>
        <family val="2"/>
      </rPr>
      <t xml:space="preserve">2 </t>
    </r>
    <r>
      <rPr>
        <sz val="9"/>
        <color rgb="FF1C252D"/>
        <rFont val="Arial"/>
        <family val="2"/>
      </rPr>
      <t>equivalent)</t>
    </r>
  </si>
  <si>
    <r>
      <rPr>
        <b/>
        <sz val="9"/>
        <color rgb="FF1C252D"/>
        <rFont val="Arial"/>
        <family val="2"/>
      </rPr>
      <t>GHG intensity (tonnes of GHG emissions per kilotonne of ore processed)</t>
    </r>
  </si>
  <si>
    <r>
      <rPr>
        <b/>
        <sz val="9"/>
        <color rgb="FF1C252D"/>
        <rFont val="Arial"/>
        <family val="2"/>
      </rPr>
      <t>GHG intensity (tonnes of GHG emissions per tonne of copper-equivalent production)</t>
    </r>
  </si>
  <si>
    <t>Electricity</t>
  </si>
  <si>
    <t>Indirect energy sold/credits (terajoules)</t>
  </si>
  <si>
    <t> 1 </t>
  </si>
  <si>
    <t> 3 </t>
  </si>
  <si>
    <t> 125 </t>
  </si>
  <si>
    <t> 123 </t>
  </si>
  <si>
    <t> 132 </t>
  </si>
  <si>
    <t> 8 </t>
  </si>
  <si>
    <t>Total number of significant spills</t>
  </si>
  <si>
    <t>Total amounts of waste (tonnes)</t>
  </si>
  <si>
    <t>Total copper-equivalent production (tonnes)</t>
  </si>
  <si>
    <t>1   We report location-based energy consumption, not market-based. A location-based method reflects the average emissions intensity of grids on which energy consumption occurs (using mostly grid-average emissions factor data).
2   Water recycled does not include the full impact of our British Columbia Business Unit as process water data was not available at the time of data collection.
3   We define a significant spill as anything that causes a moderate or higher impact on the physical or biological environment, which may include limited impairment of ecosystem function, impact to surface or groundwater or impact to drinking water supply.
4   The large increase in our reported overburden and waste rock produced and waste rock recycled is due to the acquisition of Copper Mountain mine.
5   Copper-equivalent (Cu-Eq) production calculated using realized metal prices as per revenue in each period. 2023 includes a partial period for British Columbia since the acquisition on June 20, 2023.</t>
  </si>
  <si>
    <r>
      <t>Indirect CO</t>
    </r>
    <r>
      <rPr>
        <vertAlign val="subscript"/>
        <sz val="9"/>
        <rFont val="Arial"/>
        <family val="2"/>
      </rPr>
      <t>2</t>
    </r>
    <r>
      <rPr>
        <sz val="9"/>
        <rFont val="Arial"/>
        <family val="2"/>
      </rPr>
      <t>e emissions</t>
    </r>
  </si>
  <si>
    <t>Report whether operations have implemented local community engagement, impact assessments and development programs in line with the Stakeholder Engagement Standard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</si>
</sst>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quot;$&quot;#,##0_);[Red]\(&quot;$&quot;#,##0\)"/>
    <numFmt numFmtId="165" formatCode="\$\ 0.00"/>
    <numFmt numFmtId="166" formatCode="\$\ #,##0.00"/>
    <numFmt numFmtId="167" formatCode="0.0"/>
    <numFmt numFmtId="168" formatCode="#,##0.0"/>
    <numFmt numFmtId="169" formatCode="0_);\(0\)"/>
    <numFmt numFmtId="170" formatCode="\$\ ##,#00.0"/>
    <numFmt numFmtId="171" formatCode="\$\ #,##0.0"/>
    <numFmt numFmtId="172" formatCode="\(&quot;$&quot;\ #,##0.0\)"/>
  </numFmts>
  <fonts count="23" x14ac:knownFonts="1">
    <font>
      <sz val="10"/>
      <color rgb="FF000000"/>
      <name val="Times New Roman"/>
      <charset val="204"/>
    </font>
    <font>
      <sz val="27"/>
      <name val="Arial"/>
      <family val="2"/>
    </font>
    <font>
      <b/>
      <sz val="9"/>
      <name val="Arial"/>
      <family val="2"/>
    </font>
    <font>
      <b/>
      <sz val="9"/>
      <color rgb="FFFFFFFF"/>
      <name val="Arial"/>
      <family val="2"/>
    </font>
    <font>
      <sz val="9"/>
      <color rgb="FFFFFFFF"/>
      <name val="Arial"/>
      <family val="2"/>
    </font>
    <font>
      <b/>
      <sz val="9"/>
      <color rgb="FF1C252D"/>
      <name val="Arial"/>
      <family val="2"/>
    </font>
    <font>
      <sz val="9"/>
      <color rgb="FF1C252D"/>
      <name val="Arial"/>
      <family val="2"/>
    </font>
    <font>
      <sz val="9"/>
      <name val="Arial"/>
      <family val="2"/>
    </font>
    <font>
      <sz val="27"/>
      <color rgb="FFD52A2F"/>
      <name val="Arial"/>
      <family val="2"/>
    </font>
    <font>
      <vertAlign val="superscript"/>
      <sz val="5"/>
      <color rgb="FF1C252D"/>
      <name val="Arial"/>
      <family val="2"/>
    </font>
    <font>
      <sz val="8"/>
      <color rgb="FF1C252D"/>
      <name val="Arial"/>
      <family val="2"/>
    </font>
    <font>
      <sz val="8"/>
      <color rgb="FF000000"/>
      <name val="Times New Roman"/>
      <family val="1"/>
    </font>
    <font>
      <sz val="10"/>
      <color rgb="FF000000"/>
      <name val="Tahoma"/>
      <family val="2"/>
    </font>
    <font>
      <sz val="8"/>
      <color rgb="FF000000"/>
      <name val="Arial"/>
      <family val="2"/>
    </font>
    <font>
      <sz val="9"/>
      <color rgb="FF1C242C"/>
      <name val="Helvetica"/>
      <family val="2"/>
    </font>
    <font>
      <b/>
      <sz val="9"/>
      <color rgb="FF1C242C"/>
      <name val="Helvetica"/>
      <family val="2"/>
    </font>
    <font>
      <sz val="9"/>
      <color rgb="FF1C242C"/>
      <name val="Arial"/>
      <family val="2"/>
    </font>
    <font>
      <sz val="9"/>
      <color rgb="FF000000"/>
      <name val="Arial"/>
      <family val="2"/>
    </font>
    <font>
      <b/>
      <vertAlign val="subscript"/>
      <sz val="5"/>
      <color rgb="FF1C252D"/>
      <name val="Arial"/>
      <family val="2"/>
    </font>
    <font>
      <vertAlign val="subscript"/>
      <sz val="5"/>
      <color rgb="FF1C252D"/>
      <name val="Arial"/>
      <family val="2"/>
    </font>
    <font>
      <b/>
      <sz val="9"/>
      <color rgb="FF1C242C"/>
      <name val="Arial"/>
      <family val="2"/>
    </font>
    <font>
      <sz val="10"/>
      <color rgb="FF1C252D"/>
      <name val="Arial"/>
      <family val="2"/>
    </font>
    <font>
      <vertAlign val="subscript"/>
      <sz val="9"/>
      <name val="Arial"/>
      <family val="2"/>
    </font>
  </fonts>
  <fills count="3">
    <fill>
      <patternFill patternType="none"/>
    </fill>
    <fill>
      <patternFill patternType="gray125"/>
    </fill>
    <fill>
      <patternFill patternType="solid">
        <fgColor rgb="FFD52A2F"/>
      </patternFill>
    </fill>
  </fills>
  <borders count="4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medium">
        <color indexed="64"/>
      </bottom>
      <diagonal/>
    </border>
    <border>
      <left/>
      <right/>
      <top style="thin">
        <color rgb="FF000000"/>
      </top>
      <bottom style="medium">
        <color indexed="64"/>
      </bottom>
      <diagonal/>
    </border>
    <border>
      <left/>
      <right style="thin">
        <color rgb="FF000000"/>
      </right>
      <top style="thin">
        <color rgb="FF000000"/>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diagonal/>
    </border>
    <border>
      <left/>
      <right style="thin">
        <color indexed="64"/>
      </right>
      <top style="thin">
        <color rgb="FF000000"/>
      </top>
      <bottom style="thin">
        <color rgb="FF000000"/>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rgb="FF000000"/>
      </bottom>
      <diagonal/>
    </border>
    <border>
      <left/>
      <right/>
      <top style="thin">
        <color indexed="64"/>
      </top>
      <bottom style="thin">
        <color rgb="FF000000"/>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thin">
        <color rgb="FF000000"/>
      </top>
      <bottom style="medium">
        <color indexed="64"/>
      </bottom>
      <diagonal/>
    </border>
    <border>
      <left style="thin">
        <color indexed="64"/>
      </left>
      <right/>
      <top/>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indexed="64"/>
      </left>
      <right/>
      <top style="thin">
        <color rgb="FF000000"/>
      </top>
      <bottom/>
      <diagonal/>
    </border>
    <border>
      <left style="thin">
        <color indexed="64"/>
      </left>
      <right/>
      <top/>
      <bottom style="thin">
        <color rgb="FF000000"/>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rgb="FF000000"/>
      </left>
      <right/>
      <top/>
      <bottom style="thin">
        <color indexed="64"/>
      </bottom>
      <diagonal/>
    </border>
    <border>
      <left style="thin">
        <color indexed="64"/>
      </left>
      <right/>
      <top style="thin">
        <color indexed="64"/>
      </top>
      <bottom style="thin">
        <color indexed="64"/>
      </bottom>
      <diagonal/>
    </border>
    <border>
      <left style="thin">
        <color rgb="FF000000"/>
      </left>
      <right/>
      <top style="thin">
        <color indexed="64"/>
      </top>
      <bottom style="medium">
        <color indexed="64"/>
      </bottom>
      <diagonal/>
    </border>
    <border>
      <left/>
      <right style="thin">
        <color rgb="FF000000"/>
      </right>
      <top style="thin">
        <color indexed="64"/>
      </top>
      <bottom style="medium">
        <color indexed="64"/>
      </bottom>
      <diagonal/>
    </border>
    <border>
      <left style="thin">
        <color rgb="FF000000"/>
      </left>
      <right/>
      <top style="medium">
        <color indexed="64"/>
      </top>
      <bottom/>
      <diagonal/>
    </border>
    <border>
      <left style="thin">
        <color rgb="FF000000"/>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s>
  <cellStyleXfs count="1">
    <xf numFmtId="0" fontId="0" fillId="0" borderId="0"/>
  </cellStyleXfs>
  <cellXfs count="289">
    <xf numFmtId="0" fontId="0" fillId="0" borderId="0" xfId="0" applyAlignment="1">
      <alignment horizontal="left" vertical="top"/>
    </xf>
    <xf numFmtId="0" fontId="1" fillId="0" borderId="0" xfId="0" applyFont="1" applyAlignment="1">
      <alignment horizontal="left" vertical="top" wrapText="1"/>
    </xf>
    <xf numFmtId="0" fontId="2" fillId="2" borderId="1" xfId="0" applyFont="1" applyFill="1" applyBorder="1" applyAlignment="1">
      <alignment horizontal="left" vertical="top" wrapText="1"/>
    </xf>
    <xf numFmtId="0" fontId="7" fillId="0" borderId="1" xfId="0" applyFont="1" applyBorder="1" applyAlignment="1">
      <alignment horizontal="left" vertical="top" wrapText="1"/>
    </xf>
    <xf numFmtId="0" fontId="2" fillId="0" borderId="4" xfId="0" applyFont="1" applyBorder="1" applyAlignment="1">
      <alignment horizontal="left" vertical="top" wrapText="1"/>
    </xf>
    <xf numFmtId="0" fontId="7" fillId="0" borderId="7" xfId="0" applyFont="1" applyBorder="1" applyAlignment="1">
      <alignment horizontal="left" vertical="top" wrapText="1"/>
    </xf>
    <xf numFmtId="0" fontId="7" fillId="0" borderId="9" xfId="0" applyFont="1" applyBorder="1" applyAlignment="1">
      <alignment horizontal="left" vertical="top" wrapText="1"/>
    </xf>
    <xf numFmtId="0" fontId="7" fillId="0" borderId="7" xfId="0" applyFont="1" applyBorder="1" applyAlignment="1">
      <alignment horizontal="left" vertical="top" wrapText="1" indent="1"/>
    </xf>
    <xf numFmtId="0" fontId="7" fillId="0" borderId="9" xfId="0" applyFont="1" applyBorder="1" applyAlignment="1">
      <alignment horizontal="left" vertical="top" wrapText="1" indent="1"/>
    </xf>
    <xf numFmtId="0" fontId="7" fillId="0" borderId="4" xfId="0" applyFont="1" applyBorder="1" applyAlignment="1">
      <alignment horizontal="left" vertical="top" wrapText="1"/>
    </xf>
    <xf numFmtId="0" fontId="2" fillId="0" borderId="1" xfId="0" applyFont="1" applyBorder="1" applyAlignment="1">
      <alignment horizontal="left" vertical="top" wrapText="1"/>
    </xf>
    <xf numFmtId="0" fontId="0" fillId="0" borderId="0" xfId="0" applyAlignment="1">
      <alignment horizontal="left" vertical="top" wrapText="1"/>
    </xf>
    <xf numFmtId="0" fontId="7" fillId="0" borderId="0" xfId="0" applyFont="1" applyAlignment="1">
      <alignment horizontal="left" vertical="top" wrapText="1"/>
    </xf>
    <xf numFmtId="0" fontId="0" fillId="0" borderId="5" xfId="0" applyBorder="1" applyAlignment="1">
      <alignment horizontal="right" wrapText="1"/>
    </xf>
    <xf numFmtId="0" fontId="0" fillId="0" borderId="6" xfId="0" applyBorder="1" applyAlignment="1">
      <alignment horizontal="right" wrapText="1"/>
    </xf>
    <xf numFmtId="0" fontId="6" fillId="0" borderId="1" xfId="0" applyFont="1" applyBorder="1" applyAlignment="1">
      <alignment horizontal="left" vertical="top" wrapText="1"/>
    </xf>
    <xf numFmtId="0" fontId="2" fillId="0" borderId="7" xfId="0" applyFont="1" applyBorder="1" applyAlignment="1">
      <alignment horizontal="left" vertical="top" wrapText="1"/>
    </xf>
    <xf numFmtId="0" fontId="7" fillId="0" borderId="12" xfId="0" applyFont="1" applyBorder="1" applyAlignment="1">
      <alignment horizontal="left" vertical="top" wrapText="1"/>
    </xf>
    <xf numFmtId="0" fontId="2" fillId="0" borderId="9" xfId="0" applyFont="1" applyBorder="1" applyAlignment="1">
      <alignment horizontal="left" vertical="top" wrapText="1"/>
    </xf>
    <xf numFmtId="0" fontId="6" fillId="0" borderId="12" xfId="0" applyFont="1" applyBorder="1" applyAlignment="1">
      <alignment horizontal="left" vertical="top" wrapText="1"/>
    </xf>
    <xf numFmtId="0" fontId="3" fillId="2" borderId="1" xfId="0" applyFont="1" applyFill="1" applyBorder="1" applyAlignment="1">
      <alignment horizontal="left" vertical="top" wrapText="1"/>
    </xf>
    <xf numFmtId="1" fontId="3" fillId="2" borderId="2" xfId="0" applyNumberFormat="1" applyFont="1" applyFill="1" applyBorder="1" applyAlignment="1">
      <alignment horizontal="right" vertical="top" shrinkToFit="1"/>
    </xf>
    <xf numFmtId="1" fontId="4" fillId="2" borderId="2" xfId="0" applyNumberFormat="1" applyFont="1" applyFill="1" applyBorder="1" applyAlignment="1">
      <alignment horizontal="right" vertical="top" shrinkToFit="1"/>
    </xf>
    <xf numFmtId="1" fontId="4" fillId="2" borderId="3" xfId="0" applyNumberFormat="1" applyFont="1" applyFill="1" applyBorder="1" applyAlignment="1">
      <alignment horizontal="right" vertical="top" shrinkToFit="1"/>
    </xf>
    <xf numFmtId="1" fontId="5" fillId="0" borderId="0" xfId="0" applyNumberFormat="1" applyFont="1" applyAlignment="1">
      <alignment horizontal="right" vertical="top" shrinkToFit="1"/>
    </xf>
    <xf numFmtId="1" fontId="6" fillId="0" borderId="0" xfId="0" applyNumberFormat="1" applyFont="1" applyAlignment="1">
      <alignment horizontal="right" vertical="top" shrinkToFit="1"/>
    </xf>
    <xf numFmtId="1" fontId="6" fillId="0" borderId="8" xfId="0" applyNumberFormat="1" applyFont="1" applyBorder="1" applyAlignment="1">
      <alignment horizontal="right" vertical="top" shrinkToFit="1"/>
    </xf>
    <xf numFmtId="0" fontId="7" fillId="0" borderId="0" xfId="0" applyFont="1" applyAlignment="1">
      <alignment horizontal="right" vertical="top" wrapText="1"/>
    </xf>
    <xf numFmtId="0" fontId="7" fillId="0" borderId="8" xfId="0" applyFont="1" applyBorder="1" applyAlignment="1">
      <alignment horizontal="right" vertical="top" wrapText="1"/>
    </xf>
    <xf numFmtId="1" fontId="5" fillId="0" borderId="10" xfId="0" applyNumberFormat="1" applyFont="1" applyBorder="1" applyAlignment="1">
      <alignment horizontal="right" vertical="top" shrinkToFit="1"/>
    </xf>
    <xf numFmtId="1" fontId="6" fillId="0" borderId="10" xfId="0" applyNumberFormat="1" applyFont="1" applyBorder="1" applyAlignment="1">
      <alignment horizontal="right" vertical="top" shrinkToFit="1"/>
    </xf>
    <xf numFmtId="1" fontId="6" fillId="0" borderId="11" xfId="0" applyNumberFormat="1" applyFont="1" applyBorder="1" applyAlignment="1">
      <alignment horizontal="right" vertical="top" shrinkToFit="1"/>
    </xf>
    <xf numFmtId="1" fontId="5" fillId="0" borderId="13" xfId="0" applyNumberFormat="1" applyFont="1" applyBorder="1" applyAlignment="1">
      <alignment horizontal="right" vertical="top" shrinkToFit="1"/>
    </xf>
    <xf numFmtId="1" fontId="6" fillId="0" borderId="13" xfId="0" applyNumberFormat="1" applyFont="1" applyBorder="1" applyAlignment="1">
      <alignment horizontal="right" vertical="top" shrinkToFit="1"/>
    </xf>
    <xf numFmtId="1" fontId="6" fillId="0" borderId="14" xfId="0" applyNumberFormat="1" applyFont="1" applyBorder="1" applyAlignment="1">
      <alignment horizontal="right" vertical="top" shrinkToFit="1"/>
    </xf>
    <xf numFmtId="0" fontId="0" fillId="0" borderId="0" xfId="0" applyAlignment="1">
      <alignment horizontal="right" wrapText="1"/>
    </xf>
    <xf numFmtId="0" fontId="0" fillId="0" borderId="8" xfId="0" applyBorder="1" applyAlignment="1">
      <alignment horizontal="right" wrapText="1"/>
    </xf>
    <xf numFmtId="1" fontId="5" fillId="0" borderId="2" xfId="0" applyNumberFormat="1" applyFont="1" applyBorder="1" applyAlignment="1">
      <alignment horizontal="right" vertical="top" shrinkToFit="1"/>
    </xf>
    <xf numFmtId="1" fontId="6" fillId="0" borderId="2" xfId="0" applyNumberFormat="1" applyFont="1" applyBorder="1" applyAlignment="1">
      <alignment horizontal="right" vertical="top" shrinkToFit="1"/>
    </xf>
    <xf numFmtId="1" fontId="6" fillId="0" borderId="3" xfId="0" applyNumberFormat="1" applyFont="1" applyBorder="1" applyAlignment="1">
      <alignment horizontal="right" vertical="top" shrinkToFit="1"/>
    </xf>
    <xf numFmtId="9" fontId="5" fillId="0" borderId="2" xfId="0" applyNumberFormat="1" applyFont="1" applyBorder="1" applyAlignment="1">
      <alignment horizontal="right" vertical="top" shrinkToFit="1"/>
    </xf>
    <xf numFmtId="9" fontId="6" fillId="0" borderId="2" xfId="0" applyNumberFormat="1" applyFont="1" applyBorder="1" applyAlignment="1">
      <alignment horizontal="right" vertical="top" shrinkToFit="1"/>
    </xf>
    <xf numFmtId="9" fontId="6" fillId="0" borderId="3" xfId="0" applyNumberFormat="1" applyFont="1" applyBorder="1" applyAlignment="1">
      <alignment horizontal="right" vertical="top" shrinkToFit="1"/>
    </xf>
    <xf numFmtId="0" fontId="2" fillId="0" borderId="2" xfId="0" applyFont="1" applyBorder="1" applyAlignment="1">
      <alignment horizontal="right" vertical="top" wrapText="1"/>
    </xf>
    <xf numFmtId="0" fontId="7" fillId="0" borderId="2" xfId="0" applyFont="1" applyBorder="1" applyAlignment="1">
      <alignment horizontal="right" vertical="top" wrapText="1"/>
    </xf>
    <xf numFmtId="0" fontId="7" fillId="0" borderId="3" xfId="0" applyFont="1" applyBorder="1" applyAlignment="1">
      <alignment horizontal="right" vertical="top" wrapText="1"/>
    </xf>
    <xf numFmtId="0" fontId="2" fillId="0" borderId="0" xfId="0" applyFont="1" applyAlignment="1">
      <alignment horizontal="right" vertical="top" wrapText="1"/>
    </xf>
    <xf numFmtId="9" fontId="5" fillId="0" borderId="0" xfId="0" applyNumberFormat="1" applyFont="1" applyAlignment="1">
      <alignment horizontal="right" vertical="top" shrinkToFit="1"/>
    </xf>
    <xf numFmtId="9" fontId="6" fillId="0" borderId="0" xfId="0" applyNumberFormat="1" applyFont="1" applyAlignment="1">
      <alignment horizontal="right" vertical="top" shrinkToFit="1"/>
    </xf>
    <xf numFmtId="9" fontId="6" fillId="0" borderId="8" xfId="0" applyNumberFormat="1" applyFont="1" applyBorder="1" applyAlignment="1">
      <alignment horizontal="right" vertical="top" shrinkToFit="1"/>
    </xf>
    <xf numFmtId="9" fontId="5" fillId="0" borderId="10" xfId="0" applyNumberFormat="1" applyFont="1" applyBorder="1" applyAlignment="1">
      <alignment horizontal="right" vertical="top" shrinkToFit="1"/>
    </xf>
    <xf numFmtId="9" fontId="6" fillId="0" borderId="10" xfId="0" applyNumberFormat="1" applyFont="1" applyBorder="1" applyAlignment="1">
      <alignment horizontal="right" vertical="top" shrinkToFit="1"/>
    </xf>
    <xf numFmtId="9" fontId="6" fillId="0" borderId="11" xfId="0" applyNumberFormat="1" applyFont="1" applyBorder="1" applyAlignment="1">
      <alignment horizontal="right" vertical="top" shrinkToFit="1"/>
    </xf>
    <xf numFmtId="0" fontId="0" fillId="0" borderId="0" xfId="0" applyAlignment="1">
      <alignment horizontal="right" vertical="center" wrapText="1"/>
    </xf>
    <xf numFmtId="0" fontId="0" fillId="0" borderId="5" xfId="0" applyBorder="1" applyAlignment="1">
      <alignment horizontal="right" vertical="center" wrapText="1"/>
    </xf>
    <xf numFmtId="169" fontId="6" fillId="0" borderId="0" xfId="0" applyNumberFormat="1" applyFont="1" applyAlignment="1">
      <alignment horizontal="right" vertical="top" shrinkToFit="1"/>
    </xf>
    <xf numFmtId="3" fontId="5" fillId="0" borderId="0" xfId="0" applyNumberFormat="1" applyFont="1" applyAlignment="1">
      <alignment horizontal="right" vertical="top" shrinkToFit="1"/>
    </xf>
    <xf numFmtId="3" fontId="6" fillId="0" borderId="0" xfId="0" applyNumberFormat="1" applyFont="1" applyAlignment="1">
      <alignment horizontal="right" vertical="top" shrinkToFit="1"/>
    </xf>
    <xf numFmtId="3" fontId="5" fillId="0" borderId="10" xfId="0" applyNumberFormat="1" applyFont="1" applyBorder="1" applyAlignment="1">
      <alignment horizontal="right" vertical="top" shrinkToFit="1"/>
    </xf>
    <xf numFmtId="3" fontId="6" fillId="0" borderId="10" xfId="0" applyNumberFormat="1" applyFont="1" applyBorder="1" applyAlignment="1">
      <alignment horizontal="right" vertical="top" shrinkToFit="1"/>
    </xf>
    <xf numFmtId="0" fontId="0" fillId="0" borderId="6" xfId="0" applyBorder="1" applyAlignment="1">
      <alignment horizontal="right" vertical="center" wrapText="1"/>
    </xf>
    <xf numFmtId="0" fontId="2" fillId="0" borderId="10" xfId="0" applyFont="1" applyBorder="1" applyAlignment="1">
      <alignment horizontal="right" vertical="top" wrapText="1"/>
    </xf>
    <xf numFmtId="0" fontId="7" fillId="0" borderId="10" xfId="0" applyFont="1" applyBorder="1" applyAlignment="1">
      <alignment horizontal="right" vertical="top" wrapText="1"/>
    </xf>
    <xf numFmtId="0" fontId="7" fillId="0" borderId="11" xfId="0" applyFont="1" applyBorder="1" applyAlignment="1">
      <alignment horizontal="right" vertical="top" wrapText="1"/>
    </xf>
    <xf numFmtId="167" fontId="5" fillId="0" borderId="0" xfId="0" applyNumberFormat="1" applyFont="1" applyAlignment="1">
      <alignment horizontal="right" vertical="top" shrinkToFit="1"/>
    </xf>
    <xf numFmtId="167" fontId="6" fillId="0" borderId="0" xfId="0" applyNumberFormat="1" applyFont="1" applyAlignment="1">
      <alignment horizontal="right" vertical="top" shrinkToFit="1"/>
    </xf>
    <xf numFmtId="167" fontId="6" fillId="0" borderId="8" xfId="0" applyNumberFormat="1" applyFont="1" applyBorder="1" applyAlignment="1">
      <alignment horizontal="right" vertical="top" shrinkToFit="1"/>
    </xf>
    <xf numFmtId="167" fontId="5" fillId="0" borderId="10" xfId="0" applyNumberFormat="1" applyFont="1" applyBorder="1" applyAlignment="1">
      <alignment horizontal="right" vertical="top" shrinkToFit="1"/>
    </xf>
    <xf numFmtId="167" fontId="6" fillId="0" borderId="10" xfId="0" applyNumberFormat="1" applyFont="1" applyBorder="1" applyAlignment="1">
      <alignment horizontal="right" vertical="top" shrinkToFit="1"/>
    </xf>
    <xf numFmtId="167" fontId="6" fillId="0" borderId="11" xfId="0" applyNumberFormat="1" applyFont="1" applyBorder="1" applyAlignment="1">
      <alignment horizontal="right" vertical="top" shrinkToFit="1"/>
    </xf>
    <xf numFmtId="167" fontId="5" fillId="0" borderId="13" xfId="0" applyNumberFormat="1" applyFont="1" applyBorder="1" applyAlignment="1">
      <alignment horizontal="right" vertical="top" shrinkToFit="1"/>
    </xf>
    <xf numFmtId="167" fontId="6" fillId="0" borderId="13" xfId="0" applyNumberFormat="1" applyFont="1" applyBorder="1" applyAlignment="1">
      <alignment horizontal="right" vertical="top" shrinkToFit="1"/>
    </xf>
    <xf numFmtId="167" fontId="6" fillId="0" borderId="14" xfId="0" applyNumberFormat="1" applyFont="1" applyBorder="1" applyAlignment="1">
      <alignment horizontal="right" vertical="top" shrinkToFit="1"/>
    </xf>
    <xf numFmtId="1" fontId="5" fillId="0" borderId="10" xfId="0" applyNumberFormat="1" applyFont="1" applyBorder="1" applyAlignment="1">
      <alignment horizontal="right" vertical="center" shrinkToFit="1"/>
    </xf>
    <xf numFmtId="1" fontId="6" fillId="0" borderId="10" xfId="0" applyNumberFormat="1" applyFont="1" applyBorder="1" applyAlignment="1">
      <alignment horizontal="right" vertical="center" shrinkToFit="1"/>
    </xf>
    <xf numFmtId="1" fontId="6" fillId="0" borderId="11" xfId="0" applyNumberFormat="1" applyFont="1" applyBorder="1" applyAlignment="1">
      <alignment horizontal="right" vertical="center" shrinkToFit="1"/>
    </xf>
    <xf numFmtId="0" fontId="13" fillId="0" borderId="0" xfId="0" applyFont="1" applyAlignment="1">
      <alignment horizontal="left" vertical="top" wrapText="1"/>
    </xf>
    <xf numFmtId="0" fontId="0" fillId="0" borderId="0" xfId="0" applyAlignment="1">
      <alignment horizontal="right" vertical="top"/>
    </xf>
    <xf numFmtId="0" fontId="0" fillId="0" borderId="15" xfId="0" applyBorder="1" applyAlignment="1">
      <alignment horizontal="right" vertical="center" wrapText="1"/>
    </xf>
    <xf numFmtId="9" fontId="6" fillId="0" borderId="16" xfId="0" applyNumberFormat="1" applyFont="1" applyBorder="1" applyAlignment="1">
      <alignment horizontal="right" vertical="top" shrinkToFit="1"/>
    </xf>
    <xf numFmtId="9" fontId="6" fillId="0" borderId="17" xfId="0" applyNumberFormat="1" applyFont="1" applyBorder="1" applyAlignment="1">
      <alignment horizontal="right" vertical="top" shrinkToFit="1"/>
    </xf>
    <xf numFmtId="0" fontId="0" fillId="0" borderId="18" xfId="0" applyBorder="1" applyAlignment="1">
      <alignment horizontal="right" vertical="center" wrapText="1"/>
    </xf>
    <xf numFmtId="1" fontId="6" fillId="0" borderId="16" xfId="0" applyNumberFormat="1" applyFont="1" applyBorder="1" applyAlignment="1">
      <alignment horizontal="right" vertical="top" shrinkToFit="1"/>
    </xf>
    <xf numFmtId="169" fontId="6" fillId="0" borderId="16" xfId="0" applyNumberFormat="1" applyFont="1" applyBorder="1" applyAlignment="1">
      <alignment horizontal="right" vertical="top" shrinkToFit="1"/>
    </xf>
    <xf numFmtId="1" fontId="6" fillId="0" borderId="17" xfId="0" applyNumberFormat="1" applyFont="1" applyBorder="1" applyAlignment="1">
      <alignment horizontal="right" vertical="top" shrinkToFit="1"/>
    </xf>
    <xf numFmtId="1" fontId="6" fillId="0" borderId="19" xfId="0" applyNumberFormat="1" applyFont="1" applyBorder="1" applyAlignment="1">
      <alignment horizontal="right" vertical="top" shrinkToFit="1"/>
    </xf>
    <xf numFmtId="3" fontId="6" fillId="0" borderId="16" xfId="0" applyNumberFormat="1" applyFont="1" applyBorder="1" applyAlignment="1">
      <alignment horizontal="right" vertical="top" shrinkToFit="1"/>
    </xf>
    <xf numFmtId="0" fontId="7" fillId="0" borderId="16" xfId="0" applyFont="1" applyBorder="1" applyAlignment="1">
      <alignment horizontal="right" vertical="top" wrapText="1"/>
    </xf>
    <xf numFmtId="3" fontId="6" fillId="0" borderId="17" xfId="0" applyNumberFormat="1" applyFont="1" applyBorder="1" applyAlignment="1">
      <alignment horizontal="right" vertical="top" shrinkToFit="1"/>
    </xf>
    <xf numFmtId="1" fontId="5" fillId="0" borderId="21" xfId="0" applyNumberFormat="1" applyFont="1" applyBorder="1" applyAlignment="1">
      <alignment horizontal="right" vertical="top" shrinkToFit="1"/>
    </xf>
    <xf numFmtId="0" fontId="0" fillId="0" borderId="16" xfId="0" applyBorder="1" applyAlignment="1">
      <alignment horizontal="right" wrapText="1"/>
    </xf>
    <xf numFmtId="1" fontId="5" fillId="0" borderId="24" xfId="0" applyNumberFormat="1" applyFont="1" applyBorder="1" applyAlignment="1">
      <alignment horizontal="right" vertical="top" shrinkToFit="1"/>
    </xf>
    <xf numFmtId="1" fontId="6" fillId="0" borderId="24" xfId="0" applyNumberFormat="1" applyFont="1" applyBorder="1" applyAlignment="1">
      <alignment horizontal="right" vertical="top" shrinkToFit="1"/>
    </xf>
    <xf numFmtId="1" fontId="6" fillId="0" borderId="25" xfId="0" applyNumberFormat="1" applyFont="1" applyBorder="1" applyAlignment="1">
      <alignment horizontal="right" vertical="top" shrinkToFit="1"/>
    </xf>
    <xf numFmtId="3" fontId="6" fillId="0" borderId="11" xfId="0" applyNumberFormat="1" applyFont="1" applyBorder="1" applyAlignment="1">
      <alignment horizontal="right" vertical="top" shrinkToFit="1"/>
    </xf>
    <xf numFmtId="0" fontId="0" fillId="0" borderId="5" xfId="0" applyBorder="1" applyAlignment="1">
      <alignment vertical="center" wrapText="1"/>
    </xf>
    <xf numFmtId="169" fontId="6" fillId="0" borderId="2" xfId="0" applyNumberFormat="1" applyFont="1" applyBorder="1" applyAlignment="1">
      <alignment horizontal="right" vertical="top" shrinkToFit="1"/>
    </xf>
    <xf numFmtId="9" fontId="5" fillId="0" borderId="10" xfId="0" applyNumberFormat="1" applyFont="1" applyBorder="1" applyAlignment="1">
      <alignment horizontal="right" vertical="center" shrinkToFit="1"/>
    </xf>
    <xf numFmtId="9" fontId="6" fillId="0" borderId="10" xfId="0" applyNumberFormat="1" applyFont="1" applyBorder="1" applyAlignment="1">
      <alignment horizontal="right" vertical="center" shrinkToFit="1"/>
    </xf>
    <xf numFmtId="3" fontId="5" fillId="0" borderId="13" xfId="0" applyNumberFormat="1" applyFont="1" applyBorder="1" applyAlignment="1">
      <alignment horizontal="right" vertical="top" shrinkToFit="1"/>
    </xf>
    <xf numFmtId="3" fontId="6" fillId="0" borderId="13" xfId="0" applyNumberFormat="1" applyFont="1" applyBorder="1" applyAlignment="1">
      <alignment horizontal="right" vertical="top" shrinkToFit="1"/>
    </xf>
    <xf numFmtId="3" fontId="6" fillId="0" borderId="26" xfId="0" applyNumberFormat="1" applyFont="1" applyBorder="1" applyAlignment="1">
      <alignment horizontal="right" vertical="top" shrinkToFit="1"/>
    </xf>
    <xf numFmtId="0" fontId="6" fillId="0" borderId="9" xfId="0" applyFont="1" applyBorder="1" applyAlignment="1">
      <alignment horizontal="left" vertical="top" wrapText="1"/>
    </xf>
    <xf numFmtId="0" fontId="0" fillId="0" borderId="0" xfId="0" applyAlignment="1">
      <alignment horizontal="left"/>
    </xf>
    <xf numFmtId="1" fontId="5" fillId="0" borderId="5" xfId="0" applyNumberFormat="1" applyFont="1" applyBorder="1" applyAlignment="1">
      <alignment horizontal="right" vertical="top" shrinkToFit="1"/>
    </xf>
    <xf numFmtId="9" fontId="5" fillId="0" borderId="13" xfId="0" applyNumberFormat="1" applyFont="1" applyBorder="1" applyAlignment="1">
      <alignment horizontal="right" vertical="top" shrinkToFit="1"/>
    </xf>
    <xf numFmtId="9" fontId="6" fillId="0" borderId="13" xfId="0" applyNumberFormat="1" applyFont="1" applyBorder="1" applyAlignment="1">
      <alignment horizontal="right" vertical="top" shrinkToFit="1"/>
    </xf>
    <xf numFmtId="9" fontId="6" fillId="0" borderId="14" xfId="0" applyNumberFormat="1" applyFont="1" applyBorder="1" applyAlignment="1">
      <alignment horizontal="right" vertical="top" shrinkToFit="1"/>
    </xf>
    <xf numFmtId="9" fontId="5" fillId="0" borderId="10" xfId="0" applyNumberFormat="1" applyFont="1" applyBorder="1" applyAlignment="1">
      <alignment horizontal="right" vertical="top" wrapText="1"/>
    </xf>
    <xf numFmtId="9" fontId="6" fillId="0" borderId="10" xfId="0" applyNumberFormat="1" applyFont="1" applyBorder="1" applyAlignment="1">
      <alignment horizontal="right" vertical="top" wrapText="1"/>
    </xf>
    <xf numFmtId="9" fontId="6" fillId="0" borderId="11" xfId="0" applyNumberFormat="1" applyFont="1" applyBorder="1" applyAlignment="1">
      <alignment horizontal="right" vertical="top" wrapText="1"/>
    </xf>
    <xf numFmtId="0" fontId="7" fillId="0" borderId="27" xfId="0" applyFont="1" applyBorder="1" applyAlignment="1">
      <alignment horizontal="left" vertical="top" wrapText="1"/>
    </xf>
    <xf numFmtId="0" fontId="0" fillId="0" borderId="5" xfId="0" applyBorder="1" applyAlignment="1">
      <alignment horizontal="right" vertical="top" wrapText="1"/>
    </xf>
    <xf numFmtId="0" fontId="0" fillId="0" borderId="6" xfId="0" applyBorder="1" applyAlignment="1">
      <alignment horizontal="right" vertical="top" wrapText="1"/>
    </xf>
    <xf numFmtId="0" fontId="2" fillId="0" borderId="0" xfId="0" applyFont="1" applyAlignment="1">
      <alignment horizontal="right" vertical="center" wrapText="1"/>
    </xf>
    <xf numFmtId="0" fontId="7" fillId="0" borderId="0" xfId="0" applyFont="1" applyAlignment="1">
      <alignment horizontal="right" vertical="center" wrapText="1"/>
    </xf>
    <xf numFmtId="0" fontId="7" fillId="0" borderId="16" xfId="0" applyFont="1" applyBorder="1" applyAlignment="1">
      <alignment horizontal="right" vertical="center" wrapText="1"/>
    </xf>
    <xf numFmtId="0" fontId="6" fillId="0" borderId="27" xfId="0" applyFont="1" applyBorder="1" applyAlignment="1">
      <alignment horizontal="left" vertical="top" wrapText="1"/>
    </xf>
    <xf numFmtId="0" fontId="7" fillId="0" borderId="5" xfId="0" applyFont="1" applyBorder="1" applyAlignment="1">
      <alignment horizontal="right" vertical="top" wrapText="1"/>
    </xf>
    <xf numFmtId="9" fontId="6" fillId="0" borderId="11" xfId="0" applyNumberFormat="1" applyFont="1" applyBorder="1" applyAlignment="1">
      <alignment horizontal="right" vertical="center" shrinkToFit="1"/>
    </xf>
    <xf numFmtId="0" fontId="7" fillId="0" borderId="6" xfId="0" applyFont="1" applyBorder="1" applyAlignment="1">
      <alignment horizontal="right" vertical="top" wrapText="1"/>
    </xf>
    <xf numFmtId="0" fontId="1" fillId="0" borderId="0" xfId="0" applyFont="1" applyAlignment="1">
      <alignment horizontal="right" vertical="top" wrapText="1"/>
    </xf>
    <xf numFmtId="0" fontId="3" fillId="2" borderId="4" xfId="0" applyFont="1" applyFill="1" applyBorder="1" applyAlignment="1">
      <alignment horizontal="left" vertical="top" wrapText="1"/>
    </xf>
    <xf numFmtId="0" fontId="2" fillId="0" borderId="28" xfId="0" applyFont="1" applyBorder="1" applyAlignment="1">
      <alignment horizontal="left" vertical="top" wrapText="1"/>
    </xf>
    <xf numFmtId="0" fontId="2" fillId="0" borderId="29" xfId="0" applyFont="1" applyBorder="1" applyAlignment="1">
      <alignment horizontal="left" vertical="top" wrapText="1"/>
    </xf>
    <xf numFmtId="0" fontId="14" fillId="0" borderId="0" xfId="0" applyFont="1" applyAlignment="1">
      <alignment horizontal="right" vertical="top"/>
    </xf>
    <xf numFmtId="0" fontId="2" fillId="0" borderId="30" xfId="0" applyFont="1" applyBorder="1" applyAlignment="1">
      <alignment horizontal="left" vertical="top" wrapText="1"/>
    </xf>
    <xf numFmtId="0" fontId="0" fillId="0" borderId="18" xfId="0" applyBorder="1" applyAlignment="1">
      <alignment horizontal="right" wrapText="1"/>
    </xf>
    <xf numFmtId="0" fontId="7" fillId="0" borderId="31" xfId="0" applyFont="1" applyBorder="1" applyAlignment="1">
      <alignment horizontal="left" vertical="top" wrapText="1"/>
    </xf>
    <xf numFmtId="0" fontId="15" fillId="0" borderId="0" xfId="0" applyFont="1" applyAlignment="1">
      <alignment horizontal="right" vertical="top"/>
    </xf>
    <xf numFmtId="1" fontId="3" fillId="2" borderId="5" xfId="0" applyNumberFormat="1" applyFont="1" applyFill="1" applyBorder="1" applyAlignment="1">
      <alignment horizontal="right" vertical="top" wrapText="1" shrinkToFit="1"/>
    </xf>
    <xf numFmtId="1" fontId="4" fillId="2" borderId="5" xfId="0" applyNumberFormat="1" applyFont="1" applyFill="1" applyBorder="1" applyAlignment="1">
      <alignment horizontal="right" vertical="top" wrapText="1" shrinkToFit="1"/>
    </xf>
    <xf numFmtId="1" fontId="4" fillId="2" borderId="6" xfId="0" applyNumberFormat="1" applyFont="1" applyFill="1" applyBorder="1" applyAlignment="1">
      <alignment horizontal="right" vertical="top" wrapText="1" shrinkToFit="1"/>
    </xf>
    <xf numFmtId="1" fontId="6" fillId="0" borderId="23" xfId="0" applyNumberFormat="1" applyFont="1" applyBorder="1" applyAlignment="1">
      <alignment horizontal="right" vertical="top" wrapText="1" shrinkToFit="1"/>
    </xf>
    <xf numFmtId="1" fontId="6" fillId="0" borderId="22" xfId="0" applyNumberFormat="1" applyFont="1" applyBorder="1" applyAlignment="1">
      <alignment horizontal="right" vertical="top" wrapText="1" shrinkToFit="1"/>
    </xf>
    <xf numFmtId="1" fontId="5" fillId="0" borderId="2" xfId="0" applyNumberFormat="1" applyFont="1" applyBorder="1" applyAlignment="1">
      <alignment horizontal="right" vertical="top" wrapText="1" shrinkToFit="1"/>
    </xf>
    <xf numFmtId="1" fontId="6" fillId="0" borderId="2" xfId="0" applyNumberFormat="1" applyFont="1" applyBorder="1" applyAlignment="1">
      <alignment horizontal="right" vertical="top" wrapText="1" shrinkToFit="1"/>
    </xf>
    <xf numFmtId="1" fontId="6" fillId="0" borderId="19" xfId="0" applyNumberFormat="1" applyFont="1" applyBorder="1" applyAlignment="1">
      <alignment horizontal="right" vertical="top" wrapText="1" shrinkToFit="1"/>
    </xf>
    <xf numFmtId="1" fontId="5" fillId="0" borderId="0" xfId="0" applyNumberFormat="1" applyFont="1" applyAlignment="1">
      <alignment horizontal="right" vertical="top" wrapText="1" shrinkToFit="1"/>
    </xf>
    <xf numFmtId="1" fontId="6" fillId="0" borderId="0" xfId="0" applyNumberFormat="1" applyFont="1" applyAlignment="1">
      <alignment horizontal="right" vertical="top" wrapText="1" shrinkToFit="1"/>
    </xf>
    <xf numFmtId="1" fontId="6" fillId="0" borderId="16" xfId="0" applyNumberFormat="1" applyFont="1" applyBorder="1" applyAlignment="1">
      <alignment horizontal="right" vertical="top" wrapText="1" shrinkToFit="1"/>
    </xf>
    <xf numFmtId="1" fontId="5" fillId="0" borderId="10" xfId="0" applyNumberFormat="1" applyFont="1" applyBorder="1" applyAlignment="1">
      <alignment horizontal="right" vertical="top" wrapText="1" shrinkToFit="1"/>
    </xf>
    <xf numFmtId="1" fontId="6" fillId="0" borderId="10" xfId="0" applyNumberFormat="1" applyFont="1" applyBorder="1" applyAlignment="1">
      <alignment horizontal="right" vertical="top" wrapText="1" shrinkToFit="1"/>
    </xf>
    <xf numFmtId="1" fontId="6" fillId="0" borderId="17" xfId="0" applyNumberFormat="1" applyFont="1" applyBorder="1" applyAlignment="1">
      <alignment horizontal="right" vertical="top" wrapText="1" shrinkToFit="1"/>
    </xf>
    <xf numFmtId="0" fontId="17" fillId="0" borderId="23" xfId="0" applyFont="1" applyBorder="1" applyAlignment="1">
      <alignment horizontal="right" vertical="top" wrapText="1"/>
    </xf>
    <xf numFmtId="0" fontId="16" fillId="0" borderId="21" xfId="0" applyFont="1" applyBorder="1" applyAlignment="1">
      <alignment horizontal="right" vertical="top" wrapText="1"/>
    </xf>
    <xf numFmtId="0" fontId="7" fillId="0" borderId="35" xfId="0" applyFont="1" applyBorder="1" applyAlignment="1">
      <alignment horizontal="left" vertical="top" wrapText="1" indent="1"/>
    </xf>
    <xf numFmtId="0" fontId="14" fillId="0" borderId="0" xfId="0" applyFont="1" applyAlignment="1">
      <alignment horizontal="left" vertical="top"/>
    </xf>
    <xf numFmtId="0" fontId="0" fillId="0" borderId="4" xfId="0" applyBorder="1" applyAlignment="1">
      <alignment horizontal="left" vertical="top" wrapText="1"/>
    </xf>
    <xf numFmtId="0" fontId="0" fillId="0" borderId="7" xfId="0" applyBorder="1" applyAlignment="1">
      <alignment horizontal="left" vertical="top" wrapText="1"/>
    </xf>
    <xf numFmtId="1" fontId="3" fillId="2" borderId="2" xfId="0" applyNumberFormat="1" applyFont="1" applyFill="1" applyBorder="1" applyAlignment="1">
      <alignment vertical="top" shrinkToFit="1"/>
    </xf>
    <xf numFmtId="1" fontId="4" fillId="2" borderId="2" xfId="0" applyNumberFormat="1" applyFont="1" applyFill="1" applyBorder="1" applyAlignment="1">
      <alignment vertical="top" shrinkToFit="1"/>
    </xf>
    <xf numFmtId="1" fontId="4" fillId="2" borderId="3" xfId="0" applyNumberFormat="1" applyFont="1" applyFill="1" applyBorder="1" applyAlignment="1">
      <alignment vertical="top" shrinkToFit="1"/>
    </xf>
    <xf numFmtId="0" fontId="0" fillId="0" borderId="5" xfId="0" applyBorder="1" applyAlignment="1">
      <alignment wrapText="1"/>
    </xf>
    <xf numFmtId="0" fontId="0" fillId="0" borderId="6" xfId="0" applyBorder="1" applyAlignment="1">
      <alignment wrapText="1"/>
    </xf>
    <xf numFmtId="167" fontId="5" fillId="0" borderId="0" xfId="0" applyNumberFormat="1" applyFont="1" applyAlignment="1">
      <alignment vertical="top" shrinkToFit="1"/>
    </xf>
    <xf numFmtId="167" fontId="6" fillId="0" borderId="0" xfId="0" applyNumberFormat="1" applyFont="1" applyAlignment="1">
      <alignment vertical="top" shrinkToFit="1"/>
    </xf>
    <xf numFmtId="167" fontId="6" fillId="0" borderId="8" xfId="0" applyNumberFormat="1" applyFont="1" applyBorder="1" applyAlignment="1">
      <alignment vertical="top" shrinkToFit="1"/>
    </xf>
    <xf numFmtId="167" fontId="5" fillId="0" borderId="10" xfId="0" applyNumberFormat="1" applyFont="1" applyBorder="1" applyAlignment="1">
      <alignment vertical="top" shrinkToFit="1"/>
    </xf>
    <xf numFmtId="167" fontId="6" fillId="0" borderId="10" xfId="0" applyNumberFormat="1" applyFont="1" applyBorder="1" applyAlignment="1">
      <alignment vertical="top" shrinkToFit="1"/>
    </xf>
    <xf numFmtId="167" fontId="6" fillId="0" borderId="11" xfId="0" applyNumberFormat="1" applyFont="1" applyBorder="1" applyAlignment="1">
      <alignment vertical="top" shrinkToFit="1"/>
    </xf>
    <xf numFmtId="0" fontId="0" fillId="0" borderId="0" xfId="0" applyAlignment="1">
      <alignment wrapText="1"/>
    </xf>
    <xf numFmtId="0" fontId="0" fillId="0" borderId="8" xfId="0" applyBorder="1" applyAlignment="1">
      <alignment wrapText="1"/>
    </xf>
    <xf numFmtId="0" fontId="0" fillId="0" borderId="0" xfId="0" applyAlignment="1">
      <alignment vertical="center" wrapText="1"/>
    </xf>
    <xf numFmtId="0" fontId="0" fillId="0" borderId="8" xfId="0" applyBorder="1" applyAlignment="1">
      <alignment vertical="center" wrapText="1"/>
    </xf>
    <xf numFmtId="165" fontId="6" fillId="0" borderId="0" xfId="0" applyNumberFormat="1" applyFont="1" applyAlignment="1">
      <alignment vertical="top" shrinkToFit="1"/>
    </xf>
    <xf numFmtId="0" fontId="0" fillId="0" borderId="6" xfId="0" applyBorder="1" applyAlignment="1">
      <alignment vertical="center" wrapText="1"/>
    </xf>
    <xf numFmtId="168" fontId="5" fillId="0" borderId="10" xfId="0" applyNumberFormat="1" applyFont="1" applyBorder="1" applyAlignment="1">
      <alignment vertical="top" shrinkToFit="1"/>
    </xf>
    <xf numFmtId="168" fontId="6" fillId="0" borderId="10" xfId="0" applyNumberFormat="1" applyFont="1" applyBorder="1" applyAlignment="1">
      <alignment vertical="top" shrinkToFit="1"/>
    </xf>
    <xf numFmtId="168" fontId="6" fillId="0" borderId="11" xfId="0" applyNumberFormat="1" applyFont="1" applyBorder="1" applyAlignment="1">
      <alignment vertical="top" shrinkToFit="1"/>
    </xf>
    <xf numFmtId="0" fontId="0" fillId="0" borderId="0" xfId="0" applyAlignment="1">
      <alignment vertical="top" wrapText="1"/>
    </xf>
    <xf numFmtId="166" fontId="6" fillId="0" borderId="0" xfId="0" applyNumberFormat="1" applyFont="1" applyAlignment="1">
      <alignment vertical="top" shrinkToFit="1"/>
    </xf>
    <xf numFmtId="0" fontId="0" fillId="0" borderId="0" xfId="0" applyAlignment="1">
      <alignment vertical="top"/>
    </xf>
    <xf numFmtId="0" fontId="2" fillId="0" borderId="5" xfId="0" applyFont="1" applyBorder="1" applyAlignment="1">
      <alignment horizontal="right" vertical="top" wrapText="1"/>
    </xf>
    <xf numFmtId="0" fontId="0" fillId="0" borderId="8" xfId="0" applyBorder="1" applyAlignment="1">
      <alignment horizontal="right" vertical="center" wrapText="1"/>
    </xf>
    <xf numFmtId="0" fontId="0" fillId="0" borderId="0" xfId="0" applyAlignment="1">
      <alignment horizontal="right" vertical="top" wrapText="1"/>
    </xf>
    <xf numFmtId="0" fontId="2" fillId="0" borderId="18" xfId="0" applyFont="1" applyBorder="1" applyAlignment="1">
      <alignment horizontal="right" vertical="top" wrapText="1"/>
    </xf>
    <xf numFmtId="3" fontId="6" fillId="0" borderId="8" xfId="0" applyNumberFormat="1" applyFont="1" applyBorder="1" applyAlignment="1">
      <alignment horizontal="right" vertical="top" shrinkToFit="1"/>
    </xf>
    <xf numFmtId="2" fontId="5" fillId="0" borderId="0" xfId="0" applyNumberFormat="1" applyFont="1" applyAlignment="1">
      <alignment horizontal="right" vertical="top" shrinkToFit="1"/>
    </xf>
    <xf numFmtId="2" fontId="6" fillId="0" borderId="0" xfId="0" applyNumberFormat="1" applyFont="1" applyAlignment="1">
      <alignment horizontal="right" vertical="top" shrinkToFit="1"/>
    </xf>
    <xf numFmtId="2" fontId="6" fillId="0" borderId="8" xfId="0" applyNumberFormat="1" applyFont="1" applyBorder="1" applyAlignment="1">
      <alignment horizontal="right" vertical="top" shrinkToFit="1"/>
    </xf>
    <xf numFmtId="2" fontId="5" fillId="0" borderId="10" xfId="0" applyNumberFormat="1" applyFont="1" applyBorder="1" applyAlignment="1">
      <alignment horizontal="right" vertical="top" shrinkToFit="1"/>
    </xf>
    <xf numFmtId="2" fontId="6" fillId="0" borderId="10" xfId="0" applyNumberFormat="1" applyFont="1" applyBorder="1" applyAlignment="1">
      <alignment horizontal="right" vertical="top" shrinkToFit="1"/>
    </xf>
    <xf numFmtId="2" fontId="6" fillId="0" borderId="11" xfId="0" applyNumberFormat="1" applyFont="1" applyBorder="1" applyAlignment="1">
      <alignment horizontal="right" vertical="top" shrinkToFit="1"/>
    </xf>
    <xf numFmtId="1" fontId="6" fillId="0" borderId="5" xfId="0" applyNumberFormat="1" applyFont="1" applyBorder="1" applyAlignment="1">
      <alignment horizontal="right" vertical="top" shrinkToFit="1"/>
    </xf>
    <xf numFmtId="1" fontId="6" fillId="0" borderId="18" xfId="0" applyNumberFormat="1" applyFont="1" applyBorder="1" applyAlignment="1">
      <alignment horizontal="right" vertical="top" shrinkToFit="1"/>
    </xf>
    <xf numFmtId="3" fontId="5" fillId="0" borderId="5" xfId="0" applyNumberFormat="1" applyFont="1" applyBorder="1" applyAlignment="1">
      <alignment horizontal="right" vertical="top" shrinkToFit="1"/>
    </xf>
    <xf numFmtId="3" fontId="6" fillId="0" borderId="5" xfId="0" applyNumberFormat="1" applyFont="1" applyBorder="1" applyAlignment="1">
      <alignment horizontal="right" vertical="top" shrinkToFit="1"/>
    </xf>
    <xf numFmtId="3" fontId="6" fillId="0" borderId="18" xfId="0" applyNumberFormat="1" applyFont="1" applyBorder="1" applyAlignment="1">
      <alignment horizontal="right" vertical="top" shrinkToFit="1"/>
    </xf>
    <xf numFmtId="0" fontId="7" fillId="0" borderId="17" xfId="0" applyFont="1" applyBorder="1" applyAlignment="1">
      <alignment horizontal="right" vertical="top" wrapText="1"/>
    </xf>
    <xf numFmtId="1" fontId="4" fillId="2" borderId="19" xfId="0" applyNumberFormat="1" applyFont="1" applyFill="1" applyBorder="1" applyAlignment="1">
      <alignment horizontal="right" vertical="top" shrinkToFit="1"/>
    </xf>
    <xf numFmtId="167" fontId="6" fillId="0" borderId="16" xfId="0" applyNumberFormat="1" applyFont="1" applyBorder="1" applyAlignment="1">
      <alignment horizontal="right" vertical="top" shrinkToFit="1"/>
    </xf>
    <xf numFmtId="167" fontId="6" fillId="0" borderId="17" xfId="0" applyNumberFormat="1" applyFont="1" applyBorder="1" applyAlignment="1">
      <alignment horizontal="right" vertical="top" shrinkToFit="1"/>
    </xf>
    <xf numFmtId="0" fontId="16" fillId="0" borderId="0" xfId="0" applyFont="1" applyAlignment="1">
      <alignment horizontal="right" vertical="top" wrapText="1"/>
    </xf>
    <xf numFmtId="0" fontId="16" fillId="0" borderId="33" xfId="0" applyFont="1" applyBorder="1" applyAlignment="1">
      <alignment horizontal="right" vertical="top" wrapText="1"/>
    </xf>
    <xf numFmtId="0" fontId="20" fillId="0" borderId="27" xfId="0" applyFont="1" applyBorder="1" applyAlignment="1">
      <alignment horizontal="left" vertical="top" wrapText="1"/>
    </xf>
    <xf numFmtId="0" fontId="16" fillId="0" borderId="27" xfId="0" applyFont="1" applyBorder="1" applyAlignment="1">
      <alignment horizontal="left" vertical="top" wrapText="1"/>
    </xf>
    <xf numFmtId="0" fontId="20" fillId="0" borderId="0" xfId="0" applyFont="1" applyAlignment="1">
      <alignment horizontal="right" vertical="top" wrapText="1"/>
    </xf>
    <xf numFmtId="0" fontId="16" fillId="0" borderId="16" xfId="0" applyFont="1" applyBorder="1" applyAlignment="1">
      <alignment horizontal="right" vertical="top" wrapText="1"/>
    </xf>
    <xf numFmtId="0" fontId="16" fillId="0" borderId="32" xfId="0" applyFont="1" applyBorder="1" applyAlignment="1">
      <alignment horizontal="left" vertical="top" wrapText="1"/>
    </xf>
    <xf numFmtId="9" fontId="20" fillId="0" borderId="33" xfId="0" applyNumberFormat="1" applyFont="1" applyBorder="1" applyAlignment="1">
      <alignment horizontal="right" vertical="top" wrapText="1"/>
    </xf>
    <xf numFmtId="9" fontId="16" fillId="0" borderId="33" xfId="0" applyNumberFormat="1" applyFont="1" applyBorder="1" applyAlignment="1">
      <alignment horizontal="right" vertical="top" wrapText="1"/>
    </xf>
    <xf numFmtId="9" fontId="16" fillId="0" borderId="34" xfId="0" applyNumberFormat="1" applyFont="1" applyBorder="1" applyAlignment="1">
      <alignment horizontal="right" vertical="top" wrapText="1"/>
    </xf>
    <xf numFmtId="3" fontId="20" fillId="0" borderId="0" xfId="0" applyNumberFormat="1" applyFont="1" applyAlignment="1">
      <alignment horizontal="right" vertical="top" wrapText="1"/>
    </xf>
    <xf numFmtId="3" fontId="16" fillId="0" borderId="0" xfId="0" applyNumberFormat="1" applyFont="1" applyAlignment="1">
      <alignment horizontal="right" vertical="top" wrapText="1"/>
    </xf>
    <xf numFmtId="0" fontId="20" fillId="0" borderId="33" xfId="0" applyFont="1" applyBorder="1" applyAlignment="1">
      <alignment horizontal="right" vertical="top" wrapText="1"/>
    </xf>
    <xf numFmtId="4" fontId="20" fillId="0" borderId="0" xfId="0" applyNumberFormat="1" applyFont="1" applyAlignment="1">
      <alignment horizontal="right" vertical="top" wrapText="1"/>
    </xf>
    <xf numFmtId="4" fontId="16" fillId="0" borderId="0" xfId="0" applyNumberFormat="1" applyFont="1" applyAlignment="1">
      <alignment horizontal="right" vertical="top" wrapText="1"/>
    </xf>
    <xf numFmtId="4" fontId="16" fillId="0" borderId="16" xfId="0" applyNumberFormat="1" applyFont="1" applyBorder="1" applyAlignment="1">
      <alignment horizontal="right" vertical="top" wrapText="1"/>
    </xf>
    <xf numFmtId="4" fontId="20" fillId="0" borderId="33" xfId="0" applyNumberFormat="1" applyFont="1" applyBorder="1" applyAlignment="1">
      <alignment horizontal="right" vertical="top" wrapText="1"/>
    </xf>
    <xf numFmtId="4" fontId="16" fillId="0" borderId="33" xfId="0" applyNumberFormat="1" applyFont="1" applyBorder="1" applyAlignment="1">
      <alignment horizontal="right" vertical="top" wrapText="1"/>
    </xf>
    <xf numFmtId="4" fontId="16" fillId="0" borderId="34" xfId="0" applyNumberFormat="1" applyFont="1" applyBorder="1" applyAlignment="1">
      <alignment horizontal="right" vertical="top" wrapText="1"/>
    </xf>
    <xf numFmtId="9" fontId="20" fillId="0" borderId="0" xfId="0" applyNumberFormat="1" applyFont="1" applyAlignment="1">
      <alignment horizontal="right" vertical="top" wrapText="1"/>
    </xf>
    <xf numFmtId="9" fontId="16" fillId="0" borderId="0" xfId="0" applyNumberFormat="1" applyFont="1" applyAlignment="1">
      <alignment horizontal="right" vertical="top" wrapText="1"/>
    </xf>
    <xf numFmtId="9" fontId="16" fillId="0" borderId="16" xfId="0" applyNumberFormat="1" applyFont="1" applyBorder="1" applyAlignment="1">
      <alignment horizontal="right" vertical="top" wrapText="1"/>
    </xf>
    <xf numFmtId="0" fontId="20" fillId="0" borderId="36" xfId="0" applyFont="1" applyBorder="1" applyAlignment="1">
      <alignment horizontal="left" vertical="top" wrapText="1"/>
    </xf>
    <xf numFmtId="0" fontId="20" fillId="0" borderId="21" xfId="0" applyFont="1" applyBorder="1" applyAlignment="1">
      <alignment horizontal="right" vertical="top" wrapText="1"/>
    </xf>
    <xf numFmtId="0" fontId="16" fillId="0" borderId="20" xfId="0" applyFont="1" applyBorder="1" applyAlignment="1">
      <alignment horizontal="right" vertical="top" wrapText="1"/>
    </xf>
    <xf numFmtId="0" fontId="16" fillId="0" borderId="34" xfId="0" applyFont="1" applyBorder="1" applyAlignment="1">
      <alignment horizontal="right" vertical="top" wrapText="1"/>
    </xf>
    <xf numFmtId="164" fontId="20" fillId="0" borderId="33" xfId="0" applyNumberFormat="1" applyFont="1" applyBorder="1" applyAlignment="1">
      <alignment horizontal="right" vertical="top" wrapText="1"/>
    </xf>
    <xf numFmtId="164" fontId="16" fillId="0" borderId="33" xfId="0" applyNumberFormat="1" applyFont="1" applyBorder="1" applyAlignment="1">
      <alignment horizontal="right" vertical="top" wrapText="1"/>
    </xf>
    <xf numFmtId="164" fontId="16" fillId="0" borderId="34" xfId="0" applyNumberFormat="1" applyFont="1" applyBorder="1" applyAlignment="1">
      <alignment horizontal="right" vertical="top" wrapText="1"/>
    </xf>
    <xf numFmtId="0" fontId="17" fillId="0" borderId="5" xfId="0" applyFont="1" applyBorder="1" applyAlignment="1">
      <alignment horizontal="right" wrapText="1"/>
    </xf>
    <xf numFmtId="0" fontId="17" fillId="0" borderId="0" xfId="0" applyFont="1" applyAlignment="1">
      <alignment horizontal="right" vertical="top" wrapText="1"/>
    </xf>
    <xf numFmtId="0" fontId="17" fillId="0" borderId="18" xfId="0" applyFont="1" applyBorder="1" applyAlignment="1">
      <alignment horizontal="right" wrapText="1"/>
    </xf>
    <xf numFmtId="0" fontId="17" fillId="0" borderId="16" xfId="0" applyFont="1" applyBorder="1" applyAlignment="1">
      <alignment horizontal="right" vertical="top" wrapText="1"/>
    </xf>
    <xf numFmtId="3" fontId="6" fillId="0" borderId="14" xfId="0" applyNumberFormat="1" applyFont="1" applyBorder="1" applyAlignment="1">
      <alignment horizontal="right" vertical="top" shrinkToFit="1"/>
    </xf>
    <xf numFmtId="2" fontId="5" fillId="0" borderId="10" xfId="0" applyNumberFormat="1" applyFont="1" applyBorder="1" applyAlignment="1">
      <alignment horizontal="right" vertical="center" shrinkToFit="1"/>
    </xf>
    <xf numFmtId="2" fontId="6" fillId="0" borderId="10" xfId="0" applyNumberFormat="1" applyFont="1" applyBorder="1" applyAlignment="1">
      <alignment horizontal="right" vertical="center" shrinkToFit="1"/>
    </xf>
    <xf numFmtId="2" fontId="6" fillId="0" borderId="11" xfId="0" applyNumberFormat="1" applyFont="1" applyBorder="1" applyAlignment="1">
      <alignment horizontal="right" vertical="center" shrinkToFit="1"/>
    </xf>
    <xf numFmtId="0" fontId="7" fillId="0" borderId="37" xfId="0" applyFont="1" applyBorder="1" applyAlignment="1">
      <alignment horizontal="left" vertical="top" wrapText="1"/>
    </xf>
    <xf numFmtId="3" fontId="5" fillId="0" borderId="24" xfId="0" applyNumberFormat="1" applyFont="1" applyBorder="1" applyAlignment="1">
      <alignment horizontal="right" vertical="top" shrinkToFit="1"/>
    </xf>
    <xf numFmtId="3" fontId="6" fillId="0" borderId="24" xfId="0" applyNumberFormat="1" applyFont="1" applyBorder="1" applyAlignment="1">
      <alignment horizontal="right" vertical="top" shrinkToFit="1"/>
    </xf>
    <xf numFmtId="3" fontId="6" fillId="0" borderId="38" xfId="0" applyNumberFormat="1" applyFont="1" applyBorder="1" applyAlignment="1">
      <alignment horizontal="right" vertical="top" shrinkToFit="1"/>
    </xf>
    <xf numFmtId="0" fontId="2" fillId="0" borderId="12" xfId="0" applyFont="1" applyBorder="1" applyAlignment="1">
      <alignment horizontal="left" vertical="top" wrapText="1"/>
    </xf>
    <xf numFmtId="0" fontId="0" fillId="0" borderId="9" xfId="0" applyBorder="1" applyAlignment="1">
      <alignment horizontal="left" vertical="top" wrapText="1" indent="1"/>
    </xf>
    <xf numFmtId="0" fontId="2" fillId="0" borderId="39" xfId="0" applyFont="1" applyBorder="1" applyAlignment="1">
      <alignment horizontal="left" vertical="top" wrapText="1"/>
    </xf>
    <xf numFmtId="0" fontId="7" fillId="0" borderId="39" xfId="0" applyFont="1" applyBorder="1" applyAlignment="1">
      <alignment horizontal="left" vertical="top" wrapText="1"/>
    </xf>
    <xf numFmtId="0" fontId="7" fillId="0" borderId="12" xfId="0" applyFont="1" applyBorder="1" applyAlignment="1">
      <alignment horizontal="left" vertical="top" wrapText="1" indent="1"/>
    </xf>
    <xf numFmtId="2" fontId="5" fillId="0" borderId="13" xfId="0" applyNumberFormat="1" applyFont="1" applyBorder="1" applyAlignment="1">
      <alignment horizontal="right" vertical="top" shrinkToFit="1"/>
    </xf>
    <xf numFmtId="2" fontId="6" fillId="0" borderId="13" xfId="0" applyNumberFormat="1" applyFont="1" applyBorder="1" applyAlignment="1">
      <alignment horizontal="right" vertical="top" shrinkToFit="1"/>
    </xf>
    <xf numFmtId="2" fontId="6" fillId="0" borderId="14" xfId="0" applyNumberFormat="1" applyFont="1" applyBorder="1" applyAlignment="1">
      <alignment horizontal="right" vertical="top" shrinkToFit="1"/>
    </xf>
    <xf numFmtId="0" fontId="5" fillId="0" borderId="7" xfId="0" applyFont="1" applyBorder="1" applyAlignment="1">
      <alignment horizontal="left" vertical="top" wrapText="1"/>
    </xf>
    <xf numFmtId="0" fontId="5" fillId="0" borderId="4" xfId="0" applyFont="1" applyBorder="1" applyAlignment="1">
      <alignment horizontal="left" vertical="top" wrapText="1"/>
    </xf>
    <xf numFmtId="1" fontId="6" fillId="0" borderId="26" xfId="0" applyNumberFormat="1" applyFont="1" applyBorder="1" applyAlignment="1">
      <alignment horizontal="right" vertical="top" shrinkToFit="1"/>
    </xf>
    <xf numFmtId="0" fontId="7" fillId="0" borderId="40" xfId="0" applyFont="1" applyBorder="1" applyAlignment="1">
      <alignment horizontal="left" vertical="top" wrapText="1"/>
    </xf>
    <xf numFmtId="3" fontId="5" fillId="0" borderId="41" xfId="0" applyNumberFormat="1" applyFont="1" applyBorder="1" applyAlignment="1">
      <alignment horizontal="right" vertical="top" shrinkToFit="1"/>
    </xf>
    <xf numFmtId="3" fontId="6" fillId="0" borderId="41" xfId="0" applyNumberFormat="1" applyFont="1" applyBorder="1" applyAlignment="1">
      <alignment horizontal="right" vertical="top" shrinkToFit="1"/>
    </xf>
    <xf numFmtId="3" fontId="6" fillId="0" borderId="42" xfId="0" applyNumberFormat="1" applyFont="1" applyBorder="1" applyAlignment="1">
      <alignment horizontal="right" vertical="top" shrinkToFit="1"/>
    </xf>
    <xf numFmtId="0" fontId="7" fillId="0" borderId="13" xfId="0" applyFont="1" applyBorder="1" applyAlignment="1">
      <alignment horizontal="right" vertical="top" wrapText="1"/>
    </xf>
    <xf numFmtId="0" fontId="7" fillId="0" borderId="26" xfId="0" applyFont="1" applyBorder="1" applyAlignment="1">
      <alignment horizontal="right" vertical="top" wrapText="1"/>
    </xf>
    <xf numFmtId="3" fontId="5" fillId="0" borderId="43" xfId="0" applyNumberFormat="1" applyFont="1" applyBorder="1" applyAlignment="1">
      <alignment horizontal="right" vertical="top" shrinkToFit="1"/>
    </xf>
    <xf numFmtId="3" fontId="6" fillId="0" borderId="43" xfId="0" applyNumberFormat="1" applyFont="1" applyBorder="1" applyAlignment="1">
      <alignment horizontal="right" vertical="top" shrinkToFit="1"/>
    </xf>
    <xf numFmtId="3" fontId="5" fillId="0" borderId="21" xfId="0" applyNumberFormat="1" applyFont="1" applyBorder="1" applyAlignment="1">
      <alignment horizontal="right" vertical="top" shrinkToFit="1"/>
    </xf>
    <xf numFmtId="3" fontId="6" fillId="0" borderId="21" xfId="0" applyNumberFormat="1" applyFont="1" applyBorder="1" applyAlignment="1">
      <alignment horizontal="right" vertical="top" shrinkToFit="1"/>
    </xf>
    <xf numFmtId="3" fontId="6" fillId="0" borderId="20" xfId="0" applyNumberFormat="1" applyFont="1" applyBorder="1" applyAlignment="1">
      <alignment horizontal="right" vertical="top" shrinkToFit="1"/>
    </xf>
    <xf numFmtId="0" fontId="21" fillId="0" borderId="12" xfId="0" applyFont="1" applyBorder="1" applyAlignment="1">
      <alignment horizontal="left" vertical="top" wrapText="1" indent="1"/>
    </xf>
    <xf numFmtId="170" fontId="5" fillId="0" borderId="13" xfId="0" applyNumberFormat="1" applyFont="1" applyBorder="1" applyAlignment="1">
      <alignment vertical="top" shrinkToFit="1"/>
    </xf>
    <xf numFmtId="170" fontId="6" fillId="0" borderId="13" xfId="0" applyNumberFormat="1" applyFont="1" applyBorder="1" applyAlignment="1">
      <alignment vertical="top" shrinkToFit="1"/>
    </xf>
    <xf numFmtId="170" fontId="6" fillId="0" borderId="14" xfId="0" applyNumberFormat="1" applyFont="1" applyBorder="1" applyAlignment="1">
      <alignment vertical="top" shrinkToFit="1"/>
    </xf>
    <xf numFmtId="170" fontId="6" fillId="0" borderId="10" xfId="0" applyNumberFormat="1" applyFont="1" applyBorder="1" applyAlignment="1">
      <alignment vertical="top" shrinkToFit="1"/>
    </xf>
    <xf numFmtId="170" fontId="6" fillId="0" borderId="11" xfId="0" applyNumberFormat="1" applyFont="1" applyBorder="1" applyAlignment="1">
      <alignment vertical="top" shrinkToFit="1"/>
    </xf>
    <xf numFmtId="170" fontId="5" fillId="0" borderId="10" xfId="0" applyNumberFormat="1" applyFont="1" applyBorder="1" applyAlignment="1">
      <alignment vertical="top" shrinkToFit="1"/>
    </xf>
    <xf numFmtId="171" fontId="5" fillId="0" borderId="0" xfId="0" applyNumberFormat="1" applyFont="1" applyAlignment="1">
      <alignment vertical="top" shrinkToFit="1"/>
    </xf>
    <xf numFmtId="171" fontId="6" fillId="0" borderId="0" xfId="0" applyNumberFormat="1" applyFont="1" applyAlignment="1">
      <alignment vertical="top" shrinkToFit="1"/>
    </xf>
    <xf numFmtId="171" fontId="6" fillId="0" borderId="8" xfId="0" applyNumberFormat="1" applyFont="1" applyBorder="1" applyAlignment="1">
      <alignment vertical="top" shrinkToFit="1"/>
    </xf>
    <xf numFmtId="171" fontId="5" fillId="0" borderId="13" xfId="0" applyNumberFormat="1" applyFont="1" applyBorder="1" applyAlignment="1">
      <alignment vertical="top" shrinkToFit="1"/>
    </xf>
    <xf numFmtId="171" fontId="6" fillId="0" borderId="13" xfId="0" applyNumberFormat="1" applyFont="1" applyBorder="1" applyAlignment="1">
      <alignment vertical="top" shrinkToFit="1"/>
    </xf>
    <xf numFmtId="171" fontId="6" fillId="0" borderId="14" xfId="0" applyNumberFormat="1" applyFont="1" applyBorder="1" applyAlignment="1">
      <alignment vertical="top" shrinkToFit="1"/>
    </xf>
    <xf numFmtId="171" fontId="5" fillId="0" borderId="2" xfId="0" applyNumberFormat="1" applyFont="1" applyBorder="1" applyAlignment="1">
      <alignment vertical="center" shrinkToFit="1"/>
    </xf>
    <xf numFmtId="171" fontId="6" fillId="0" borderId="2" xfId="0" applyNumberFormat="1" applyFont="1" applyBorder="1" applyAlignment="1">
      <alignment vertical="center" shrinkToFit="1"/>
    </xf>
    <xf numFmtId="171" fontId="5" fillId="0" borderId="2" xfId="0" applyNumberFormat="1" applyFont="1" applyBorder="1" applyAlignment="1">
      <alignment vertical="top" shrinkToFit="1"/>
    </xf>
    <xf numFmtId="171" fontId="6" fillId="0" borderId="2" xfId="0" applyNumberFormat="1" applyFont="1" applyBorder="1" applyAlignment="1">
      <alignment vertical="top" shrinkToFit="1"/>
    </xf>
    <xf numFmtId="171" fontId="6" fillId="0" borderId="3" xfId="0" applyNumberFormat="1" applyFont="1" applyBorder="1" applyAlignment="1">
      <alignment vertical="top" shrinkToFit="1"/>
    </xf>
    <xf numFmtId="172" fontId="6" fillId="0" borderId="2" xfId="0" applyNumberFormat="1" applyFont="1" applyBorder="1" applyAlignment="1">
      <alignment vertical="center" shrinkToFit="1"/>
    </xf>
    <xf numFmtId="172" fontId="6" fillId="0" borderId="3" xfId="0" applyNumberFormat="1" applyFont="1" applyBorder="1" applyAlignment="1">
      <alignment vertical="center" shrinkToFit="1"/>
    </xf>
    <xf numFmtId="9" fontId="5" fillId="0" borderId="5" xfId="0" applyNumberFormat="1" applyFont="1" applyBorder="1" applyAlignment="1">
      <alignment horizontal="right" vertical="top" shrinkToFit="1"/>
    </xf>
    <xf numFmtId="9" fontId="6" fillId="0" borderId="5" xfId="0" applyNumberFormat="1" applyFont="1" applyBorder="1" applyAlignment="1">
      <alignment horizontal="right" vertical="top" shrinkToFit="1"/>
    </xf>
    <xf numFmtId="9" fontId="6" fillId="0" borderId="6" xfId="0" applyNumberFormat="1" applyFont="1" applyBorder="1" applyAlignment="1">
      <alignment horizontal="right" vertical="top" shrinkToFit="1"/>
    </xf>
    <xf numFmtId="0" fontId="14" fillId="0" borderId="16" xfId="0" applyFont="1" applyBorder="1" applyAlignment="1">
      <alignment horizontal="right" vertical="top"/>
    </xf>
    <xf numFmtId="0" fontId="14" fillId="0" borderId="17" xfId="0" applyFont="1" applyBorder="1" applyAlignment="1">
      <alignment horizontal="right" vertical="top"/>
    </xf>
    <xf numFmtId="0" fontId="10" fillId="0" borderId="0" xfId="0" applyFont="1" applyAlignment="1">
      <alignment horizontal="left" vertical="top" wrapText="1"/>
    </xf>
    <xf numFmtId="0" fontId="11" fillId="0" borderId="0" xfId="0" applyFont="1" applyAlignment="1">
      <alignment horizontal="left" vertical="top" wrapText="1"/>
    </xf>
    <xf numFmtId="0" fontId="1" fillId="0" borderId="0" xfId="0" applyFont="1" applyAlignment="1">
      <alignment horizontal="left" vertical="top" wrapText="1"/>
    </xf>
    <xf numFmtId="0" fontId="17" fillId="0" borderId="0" xfId="0" applyFont="1" applyAlignment="1">
      <alignment horizontal="right" vertical="top" wrapText="1"/>
    </xf>
    <xf numFmtId="0" fontId="17" fillId="0" borderId="16" xfId="0" applyFont="1" applyBorder="1" applyAlignment="1">
      <alignment horizontal="right" vertical="top" wrapText="1"/>
    </xf>
    <xf numFmtId="0" fontId="20" fillId="0" borderId="44" xfId="0" applyFont="1" applyBorder="1" applyAlignment="1">
      <alignment horizontal="left" vertical="top" wrapText="1"/>
    </xf>
    <xf numFmtId="0" fontId="20" fillId="0" borderId="27" xfId="0" applyFont="1" applyBorder="1" applyAlignment="1">
      <alignment horizontal="left" vertical="top" wrapText="1"/>
    </xf>
    <xf numFmtId="0" fontId="10" fillId="0" borderId="5" xfId="0" applyFont="1" applyBorder="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19</xdr:row>
      <xdr:rowOff>0</xdr:rowOff>
    </xdr:from>
    <xdr:to>
      <xdr:col>1</xdr:col>
      <xdr:colOff>1200150</xdr:colOff>
      <xdr:row>19</xdr:row>
      <xdr:rowOff>0</xdr:rowOff>
    </xdr:to>
    <xdr:sp macro="" textlink="">
      <xdr:nvSpPr>
        <xdr:cNvPr id="2" name="Shape 2">
          <a:extLst>
            <a:ext uri="{FF2B5EF4-FFF2-40B4-BE49-F238E27FC236}">
              <a16:creationId xmlns:a16="http://schemas.microsoft.com/office/drawing/2014/main" id="{8203A14E-A022-8D4B-95A9-69740499199F}"/>
            </a:ext>
          </a:extLst>
        </xdr:cNvPr>
        <xdr:cNvSpPr/>
      </xdr:nvSpPr>
      <xdr:spPr>
        <a:xfrm>
          <a:off x="0" y="4381500"/>
          <a:ext cx="1200150" cy="0"/>
        </a:xfrm>
        <a:custGeom>
          <a:avLst/>
          <a:gdLst/>
          <a:ahLst/>
          <a:cxnLst/>
          <a:rect l="0" t="0" r="0" b="0"/>
          <a:pathLst>
            <a:path w="1200150">
              <a:moveTo>
                <a:pt x="0" y="0"/>
              </a:moveTo>
              <a:lnTo>
                <a:pt x="1200061" y="0"/>
              </a:lnTo>
            </a:path>
          </a:pathLst>
        </a:custGeom>
        <a:ln w="6350">
          <a:solidFill>
            <a:srgbClr val="D52A2F"/>
          </a:solidFill>
        </a:ln>
      </xdr:spPr>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G54"/>
  <sheetViews>
    <sheetView zoomScale="137" zoomScaleNormal="137" workbookViewId="0">
      <selection activeCell="B1" sqref="B1:G1"/>
    </sheetView>
  </sheetViews>
  <sheetFormatPr defaultColWidth="9" defaultRowHeight="13.2" x14ac:dyDescent="0.25"/>
  <cols>
    <col min="2" max="2" width="61.21875" customWidth="1"/>
    <col min="3" max="7" width="16" style="172" customWidth="1"/>
    <col min="8" max="8" width="9" customWidth="1"/>
  </cols>
  <sheetData>
    <row r="1" spans="2:7" ht="37.5" customHeight="1" x14ac:dyDescent="0.25">
      <c r="B1" s="283" t="s">
        <v>0</v>
      </c>
      <c r="C1" s="283"/>
      <c r="D1" s="283"/>
      <c r="E1" s="283"/>
      <c r="F1" s="283"/>
      <c r="G1" s="283"/>
    </row>
    <row r="2" spans="2:7" ht="19.05" customHeight="1" x14ac:dyDescent="0.25">
      <c r="B2" s="20" t="s">
        <v>27</v>
      </c>
      <c r="C2" s="150">
        <v>2023</v>
      </c>
      <c r="D2" s="151">
        <v>2022</v>
      </c>
      <c r="E2" s="151">
        <v>2021</v>
      </c>
      <c r="F2" s="151">
        <v>2020</v>
      </c>
      <c r="G2" s="152">
        <v>2019</v>
      </c>
    </row>
    <row r="3" spans="2:7" ht="16.05" customHeight="1" x14ac:dyDescent="0.25">
      <c r="B3" s="4" t="s">
        <v>23</v>
      </c>
      <c r="C3" s="153"/>
      <c r="D3" s="153"/>
      <c r="E3" s="153"/>
      <c r="F3" s="153"/>
      <c r="G3" s="154"/>
    </row>
    <row r="4" spans="2:7" ht="16.05" customHeight="1" x14ac:dyDescent="0.25">
      <c r="B4" s="15" t="s">
        <v>24</v>
      </c>
      <c r="C4" s="269">
        <v>152</v>
      </c>
      <c r="D4" s="270">
        <v>95.8</v>
      </c>
      <c r="E4" s="274">
        <v>217.4</v>
      </c>
      <c r="F4" s="274">
        <v>144.6</v>
      </c>
      <c r="G4" s="275">
        <v>452.8</v>
      </c>
    </row>
    <row r="5" spans="2:7" ht="16.05" customHeight="1" x14ac:dyDescent="0.25">
      <c r="B5" s="3" t="s">
        <v>1</v>
      </c>
      <c r="C5" s="271">
        <v>1690</v>
      </c>
      <c r="D5" s="272">
        <v>1461.4</v>
      </c>
      <c r="E5" s="272">
        <v>1501.6</v>
      </c>
      <c r="F5" s="272">
        <v>1088.7</v>
      </c>
      <c r="G5" s="273">
        <v>1237.4000000000001</v>
      </c>
    </row>
    <row r="6" spans="2:7" ht="16.05" customHeight="1" x14ac:dyDescent="0.25">
      <c r="B6" s="4" t="s">
        <v>2</v>
      </c>
      <c r="C6" s="153"/>
      <c r="D6" s="153"/>
      <c r="E6" s="153"/>
      <c r="F6" s="153"/>
      <c r="G6" s="154"/>
    </row>
    <row r="7" spans="2:7" ht="16.05" customHeight="1" x14ac:dyDescent="0.25">
      <c r="B7" s="5" t="s">
        <v>3</v>
      </c>
      <c r="C7" s="155">
        <v>470.4</v>
      </c>
      <c r="D7" s="156">
        <v>338</v>
      </c>
      <c r="E7" s="156">
        <v>706.2</v>
      </c>
      <c r="F7" s="156">
        <v>450</v>
      </c>
      <c r="G7" s="157">
        <v>448.3</v>
      </c>
    </row>
    <row r="8" spans="2:7" ht="16.05" customHeight="1" x14ac:dyDescent="0.25">
      <c r="B8" s="5" t="s">
        <v>4</v>
      </c>
      <c r="C8" s="155">
        <v>3.8</v>
      </c>
      <c r="D8" s="156">
        <v>99.9</v>
      </c>
      <c r="E8" s="156">
        <v>39.4</v>
      </c>
      <c r="F8" s="156">
        <v>6.1</v>
      </c>
      <c r="G8" s="157">
        <v>29.7</v>
      </c>
    </row>
    <row r="9" spans="2:7" ht="16.05" customHeight="1" x14ac:dyDescent="0.25">
      <c r="B9" s="6" t="s">
        <v>5</v>
      </c>
      <c r="C9" s="158">
        <v>527.1</v>
      </c>
      <c r="D9" s="159">
        <v>435.6</v>
      </c>
      <c r="E9" s="159">
        <v>379.9</v>
      </c>
      <c r="F9" s="159">
        <v>311.3</v>
      </c>
      <c r="G9" s="160">
        <v>375.9</v>
      </c>
    </row>
    <row r="10" spans="2:7" ht="16.05" customHeight="1" thickBot="1" x14ac:dyDescent="0.3">
      <c r="B10" s="17" t="s">
        <v>6</v>
      </c>
      <c r="C10" s="266">
        <v>1001.3</v>
      </c>
      <c r="D10" s="267">
        <v>873.6</v>
      </c>
      <c r="E10" s="267">
        <v>1125.8</v>
      </c>
      <c r="F10" s="267">
        <v>767.7</v>
      </c>
      <c r="G10" s="268">
        <v>859.4</v>
      </c>
    </row>
    <row r="11" spans="2:7" ht="16.05" customHeight="1" x14ac:dyDescent="0.25">
      <c r="B11" s="16" t="s">
        <v>7</v>
      </c>
      <c r="C11" s="161"/>
      <c r="D11" s="161"/>
      <c r="E11" s="161"/>
      <c r="F11" s="161"/>
      <c r="G11" s="162"/>
    </row>
    <row r="12" spans="2:7" ht="16.05" customHeight="1" x14ac:dyDescent="0.25">
      <c r="B12" s="5" t="s">
        <v>3</v>
      </c>
      <c r="C12" s="155">
        <v>173.7</v>
      </c>
      <c r="D12" s="156">
        <v>176.2</v>
      </c>
      <c r="E12" s="156">
        <v>183.1</v>
      </c>
      <c r="F12" s="156">
        <v>168.2</v>
      </c>
      <c r="G12" s="157">
        <v>150.80000000000001</v>
      </c>
    </row>
    <row r="13" spans="2:7" ht="16.05" customHeight="1" x14ac:dyDescent="0.25">
      <c r="B13" s="5" t="s">
        <v>4</v>
      </c>
      <c r="C13" s="155">
        <v>7.6</v>
      </c>
      <c r="D13" s="156">
        <v>9</v>
      </c>
      <c r="E13" s="156">
        <v>5.5</v>
      </c>
      <c r="F13" s="156">
        <v>4</v>
      </c>
      <c r="G13" s="157">
        <v>5.9</v>
      </c>
    </row>
    <row r="14" spans="2:7" ht="16.05" customHeight="1" x14ac:dyDescent="0.25">
      <c r="B14" s="6" t="s">
        <v>5</v>
      </c>
      <c r="C14" s="158">
        <v>75.8</v>
      </c>
      <c r="D14" s="159">
        <v>52.9</v>
      </c>
      <c r="E14" s="159">
        <v>60.8</v>
      </c>
      <c r="F14" s="159">
        <v>50.6</v>
      </c>
      <c r="G14" s="160">
        <v>45.4</v>
      </c>
    </row>
    <row r="15" spans="2:7" ht="16.05" customHeight="1" thickBot="1" x14ac:dyDescent="0.3">
      <c r="B15" s="17" t="s">
        <v>6</v>
      </c>
      <c r="C15" s="266">
        <v>257.10000000000002</v>
      </c>
      <c r="D15" s="267">
        <v>238.1</v>
      </c>
      <c r="E15" s="267">
        <v>249.4</v>
      </c>
      <c r="F15" s="267">
        <v>222.8</v>
      </c>
      <c r="G15" s="268">
        <v>202.1</v>
      </c>
    </row>
    <row r="16" spans="2:7" ht="16.05" customHeight="1" x14ac:dyDescent="0.25">
      <c r="B16" s="16" t="s">
        <v>8</v>
      </c>
      <c r="C16" s="161"/>
      <c r="D16" s="161"/>
      <c r="E16" s="161"/>
      <c r="F16" s="161"/>
      <c r="G16" s="162"/>
    </row>
    <row r="17" spans="2:7" ht="16.05" customHeight="1" x14ac:dyDescent="0.25">
      <c r="B17" s="5" t="s">
        <v>9</v>
      </c>
      <c r="C17" s="161"/>
      <c r="D17" s="161"/>
      <c r="E17" s="161"/>
      <c r="F17" s="161"/>
      <c r="G17" s="162"/>
    </row>
    <row r="18" spans="2:7" ht="16.05" customHeight="1" x14ac:dyDescent="0.25">
      <c r="B18" s="7" t="s">
        <v>3</v>
      </c>
      <c r="C18" s="155">
        <v>2.6</v>
      </c>
      <c r="D18" s="156">
        <v>3.5</v>
      </c>
      <c r="E18" s="156">
        <v>2.7</v>
      </c>
      <c r="F18" s="156">
        <v>2.2000000000000002</v>
      </c>
      <c r="G18" s="157">
        <v>5.8</v>
      </c>
    </row>
    <row r="19" spans="2:7" ht="16.05" customHeight="1" x14ac:dyDescent="0.25">
      <c r="B19" s="7" t="s">
        <v>4</v>
      </c>
      <c r="C19" s="155">
        <v>0</v>
      </c>
      <c r="D19" s="156">
        <v>0</v>
      </c>
      <c r="E19" s="156">
        <v>0.1</v>
      </c>
      <c r="F19" s="156">
        <v>0</v>
      </c>
      <c r="G19" s="157">
        <v>0</v>
      </c>
    </row>
    <row r="20" spans="2:7" ht="16.05" customHeight="1" x14ac:dyDescent="0.25">
      <c r="B20" s="8" t="s">
        <v>5</v>
      </c>
      <c r="C20" s="158">
        <v>56.3</v>
      </c>
      <c r="D20" s="159">
        <v>36.299999999999997</v>
      </c>
      <c r="E20" s="159">
        <v>28</v>
      </c>
      <c r="F20" s="159">
        <v>24.1</v>
      </c>
      <c r="G20" s="160">
        <v>32.9</v>
      </c>
    </row>
    <row r="21" spans="2:7" ht="16.05" customHeight="1" thickBot="1" x14ac:dyDescent="0.3">
      <c r="B21" s="17" t="s">
        <v>6</v>
      </c>
      <c r="C21" s="266">
        <v>58.9</v>
      </c>
      <c r="D21" s="267">
        <v>39.9</v>
      </c>
      <c r="E21" s="267">
        <v>30.8</v>
      </c>
      <c r="F21" s="267">
        <v>26.3</v>
      </c>
      <c r="G21" s="268">
        <v>38.700000000000003</v>
      </c>
    </row>
    <row r="22" spans="2:7" ht="16.05" customHeight="1" x14ac:dyDescent="0.25">
      <c r="B22" s="5" t="s">
        <v>10</v>
      </c>
      <c r="C22" s="163"/>
      <c r="D22" s="163"/>
      <c r="E22" s="163"/>
      <c r="F22" s="163"/>
      <c r="G22" s="164"/>
    </row>
    <row r="23" spans="2:7" ht="16.05" customHeight="1" x14ac:dyDescent="0.25">
      <c r="B23" s="7" t="s">
        <v>3</v>
      </c>
      <c r="C23" s="155">
        <v>28.1</v>
      </c>
      <c r="D23" s="156">
        <v>13.6</v>
      </c>
      <c r="E23" s="156">
        <v>14.4</v>
      </c>
      <c r="F23" s="156">
        <v>10.9</v>
      </c>
      <c r="G23" s="157">
        <v>6.6</v>
      </c>
    </row>
    <row r="24" spans="2:7" ht="16.05" customHeight="1" x14ac:dyDescent="0.25">
      <c r="B24" s="7" t="s">
        <v>4</v>
      </c>
      <c r="C24" s="155">
        <v>0.1</v>
      </c>
      <c r="D24" s="156">
        <v>0.5</v>
      </c>
      <c r="E24" s="156">
        <v>0.3</v>
      </c>
      <c r="F24" s="156">
        <v>0.2</v>
      </c>
      <c r="G24" s="157">
        <v>0</v>
      </c>
    </row>
    <row r="25" spans="2:7" ht="16.05" customHeight="1" x14ac:dyDescent="0.25">
      <c r="B25" s="8" t="s">
        <v>5</v>
      </c>
      <c r="C25" s="158">
        <v>9.9</v>
      </c>
      <c r="D25" s="159">
        <v>19.2</v>
      </c>
      <c r="E25" s="159">
        <v>12.2</v>
      </c>
      <c r="F25" s="159">
        <v>10.5</v>
      </c>
      <c r="G25" s="160">
        <v>9.6999999999999993</v>
      </c>
    </row>
    <row r="26" spans="2:7" ht="16.05" customHeight="1" thickBot="1" x14ac:dyDescent="0.3">
      <c r="B26" s="17" t="s">
        <v>6</v>
      </c>
      <c r="C26" s="266">
        <v>38.1</v>
      </c>
      <c r="D26" s="267">
        <v>33.4</v>
      </c>
      <c r="E26" s="267">
        <v>30.8</v>
      </c>
      <c r="F26" s="267">
        <v>21.6</v>
      </c>
      <c r="G26" s="268">
        <v>16.3</v>
      </c>
    </row>
    <row r="27" spans="2:7" ht="16.05" customHeight="1" x14ac:dyDescent="0.25">
      <c r="B27" s="5" t="s">
        <v>11</v>
      </c>
      <c r="C27" s="163"/>
      <c r="D27" s="163"/>
      <c r="E27" s="163"/>
      <c r="F27" s="163"/>
      <c r="G27" s="164"/>
    </row>
    <row r="28" spans="2:7" ht="16.05" customHeight="1" x14ac:dyDescent="0.25">
      <c r="B28" s="7" t="s">
        <v>3</v>
      </c>
      <c r="C28" s="155">
        <v>0</v>
      </c>
      <c r="D28" s="156">
        <v>0</v>
      </c>
      <c r="E28" s="156">
        <v>0</v>
      </c>
      <c r="F28" s="156">
        <v>0</v>
      </c>
      <c r="G28" s="157">
        <v>0</v>
      </c>
    </row>
    <row r="29" spans="2:7" ht="16.05" customHeight="1" x14ac:dyDescent="0.25">
      <c r="B29" s="7" t="s">
        <v>4</v>
      </c>
      <c r="C29" s="155">
        <v>0</v>
      </c>
      <c r="D29" s="156">
        <v>0</v>
      </c>
      <c r="E29" s="156">
        <v>0</v>
      </c>
      <c r="F29" s="156">
        <v>0</v>
      </c>
      <c r="G29" s="157">
        <v>0</v>
      </c>
    </row>
    <row r="30" spans="2:7" ht="16.05" customHeight="1" x14ac:dyDescent="0.25">
      <c r="B30" s="7" t="s">
        <v>5</v>
      </c>
      <c r="C30" s="155">
        <v>0.1</v>
      </c>
      <c r="D30" s="156">
        <v>0.1</v>
      </c>
      <c r="E30" s="156">
        <v>0</v>
      </c>
      <c r="F30" s="156">
        <v>0.1</v>
      </c>
      <c r="G30" s="157">
        <v>2.1</v>
      </c>
    </row>
    <row r="31" spans="2:7" ht="16.05" customHeight="1" x14ac:dyDescent="0.25">
      <c r="B31" s="8" t="s">
        <v>12</v>
      </c>
      <c r="C31" s="158">
        <v>0</v>
      </c>
      <c r="D31" s="159">
        <v>0</v>
      </c>
      <c r="E31" s="159">
        <v>0</v>
      </c>
      <c r="F31" s="159">
        <v>0</v>
      </c>
      <c r="G31" s="160">
        <v>0</v>
      </c>
    </row>
    <row r="32" spans="2:7" ht="16.05" customHeight="1" thickBot="1" x14ac:dyDescent="0.3">
      <c r="B32" s="17" t="s">
        <v>6</v>
      </c>
      <c r="C32" s="266">
        <v>0.1</v>
      </c>
      <c r="D32" s="267">
        <v>0.1</v>
      </c>
      <c r="E32" s="267">
        <v>0</v>
      </c>
      <c r="F32" s="267">
        <v>0.1</v>
      </c>
      <c r="G32" s="268">
        <v>2.1</v>
      </c>
    </row>
    <row r="33" spans="2:7" ht="16.05" customHeight="1" x14ac:dyDescent="0.25">
      <c r="B33" s="16" t="s">
        <v>13</v>
      </c>
      <c r="C33" s="163"/>
      <c r="D33" s="163"/>
      <c r="E33" s="163"/>
      <c r="F33" s="163"/>
      <c r="G33" s="164"/>
    </row>
    <row r="34" spans="2:7" ht="16.05" customHeight="1" x14ac:dyDescent="0.25">
      <c r="B34" s="5" t="s">
        <v>14</v>
      </c>
      <c r="C34" s="263">
        <v>4.5</v>
      </c>
      <c r="D34" s="264">
        <v>4</v>
      </c>
      <c r="E34" s="264">
        <v>4.0999999999999996</v>
      </c>
      <c r="F34" s="264">
        <v>3.8</v>
      </c>
      <c r="G34" s="265">
        <v>3.9</v>
      </c>
    </row>
    <row r="35" spans="2:7" ht="16.05" customHeight="1" x14ac:dyDescent="0.25">
      <c r="B35" s="5" t="s">
        <v>15</v>
      </c>
      <c r="C35" s="263">
        <v>74</v>
      </c>
      <c r="D35" s="264">
        <v>63.8</v>
      </c>
      <c r="E35" s="264">
        <v>84.4</v>
      </c>
      <c r="F35" s="264">
        <v>81.5</v>
      </c>
      <c r="G35" s="265">
        <v>74.8</v>
      </c>
    </row>
    <row r="36" spans="2:7" ht="16.05" customHeight="1" x14ac:dyDescent="0.25">
      <c r="B36" s="5" t="s">
        <v>16</v>
      </c>
      <c r="C36" s="163"/>
      <c r="D36" s="163"/>
      <c r="E36" s="163"/>
      <c r="F36" s="163"/>
      <c r="G36" s="164"/>
    </row>
    <row r="37" spans="2:7" ht="16.05" customHeight="1" x14ac:dyDescent="0.25">
      <c r="B37" s="7" t="s">
        <v>3</v>
      </c>
      <c r="C37" s="155">
        <v>5.3</v>
      </c>
      <c r="D37" s="156">
        <v>4.5</v>
      </c>
      <c r="E37" s="156">
        <v>8.5</v>
      </c>
      <c r="F37" s="156">
        <v>4.7</v>
      </c>
      <c r="G37" s="157">
        <v>1.7</v>
      </c>
    </row>
    <row r="38" spans="2:7" ht="16.05" customHeight="1" x14ac:dyDescent="0.25">
      <c r="B38" s="8" t="s">
        <v>5</v>
      </c>
      <c r="C38" s="158">
        <v>6.9</v>
      </c>
      <c r="D38" s="159">
        <v>7.8</v>
      </c>
      <c r="E38" s="159">
        <v>11.2</v>
      </c>
      <c r="F38" s="159">
        <v>11.5</v>
      </c>
      <c r="G38" s="160">
        <v>24.4</v>
      </c>
    </row>
    <row r="39" spans="2:7" ht="16.05" customHeight="1" thickBot="1" x14ac:dyDescent="0.3">
      <c r="B39" s="17" t="s">
        <v>6</v>
      </c>
      <c r="C39" s="257">
        <v>12.2</v>
      </c>
      <c r="D39" s="258">
        <v>12.3</v>
      </c>
      <c r="E39" s="258">
        <v>19.600000000000001</v>
      </c>
      <c r="F39" s="258">
        <v>16.2</v>
      </c>
      <c r="G39" s="259">
        <v>26.1</v>
      </c>
    </row>
    <row r="40" spans="2:7" ht="16.05" customHeight="1" x14ac:dyDescent="0.25">
      <c r="B40" s="18" t="s">
        <v>17</v>
      </c>
      <c r="C40" s="262">
        <v>281</v>
      </c>
      <c r="D40" s="260">
        <v>309</v>
      </c>
      <c r="E40" s="260">
        <v>377.4</v>
      </c>
      <c r="F40" s="260">
        <v>361.2</v>
      </c>
      <c r="G40" s="261">
        <v>259.2</v>
      </c>
    </row>
    <row r="41" spans="2:7" ht="16.05" customHeight="1" x14ac:dyDescent="0.25">
      <c r="B41" s="4" t="s">
        <v>18</v>
      </c>
      <c r="C41" s="95"/>
      <c r="D41" s="95"/>
      <c r="E41" s="95"/>
      <c r="F41" s="95"/>
      <c r="G41" s="166"/>
    </row>
    <row r="42" spans="2:7" ht="16.05" customHeight="1" x14ac:dyDescent="0.25">
      <c r="B42" s="5" t="s">
        <v>3</v>
      </c>
      <c r="C42" s="155">
        <v>19.809999999999999</v>
      </c>
      <c r="D42" s="156">
        <v>27.9</v>
      </c>
      <c r="E42" s="156">
        <v>3.1</v>
      </c>
      <c r="F42" s="156">
        <v>0</v>
      </c>
      <c r="G42" s="157">
        <v>0</v>
      </c>
    </row>
    <row r="43" spans="2:7" ht="16.05" customHeight="1" x14ac:dyDescent="0.25">
      <c r="B43" s="5" t="s">
        <v>4</v>
      </c>
      <c r="C43" s="155">
        <v>0</v>
      </c>
      <c r="D43" s="156">
        <v>0</v>
      </c>
      <c r="E43" s="156">
        <v>0</v>
      </c>
      <c r="F43" s="156">
        <v>0</v>
      </c>
      <c r="G43" s="157">
        <v>0</v>
      </c>
    </row>
    <row r="44" spans="2:7" ht="16.05" customHeight="1" x14ac:dyDescent="0.25">
      <c r="B44" s="6" t="s">
        <v>5</v>
      </c>
      <c r="C44" s="167">
        <v>10476</v>
      </c>
      <c r="D44" s="168">
        <v>35232</v>
      </c>
      <c r="E44" s="168">
        <v>26195</v>
      </c>
      <c r="F44" s="168">
        <v>98322</v>
      </c>
      <c r="G44" s="169">
        <v>3355</v>
      </c>
    </row>
    <row r="45" spans="2:7" ht="16.05" customHeight="1" thickBot="1" x14ac:dyDescent="0.3">
      <c r="B45" s="17" t="s">
        <v>19</v>
      </c>
      <c r="C45" s="257">
        <v>10495.8</v>
      </c>
      <c r="D45" s="258">
        <v>35259.9</v>
      </c>
      <c r="E45" s="258">
        <v>26198.1</v>
      </c>
      <c r="F45" s="258">
        <v>98322</v>
      </c>
      <c r="G45" s="259">
        <v>3355</v>
      </c>
    </row>
    <row r="46" spans="2:7" ht="16.05" customHeight="1" x14ac:dyDescent="0.25">
      <c r="B46" s="4" t="s">
        <v>20</v>
      </c>
      <c r="C46" s="95"/>
      <c r="D46" s="95"/>
      <c r="E46" s="95"/>
      <c r="F46" s="95"/>
      <c r="G46" s="166"/>
    </row>
    <row r="47" spans="2:7" ht="16.05" customHeight="1" x14ac:dyDescent="0.25">
      <c r="B47" s="5" t="s">
        <v>21</v>
      </c>
      <c r="C47" s="163"/>
      <c r="D47" s="163"/>
      <c r="E47" s="163"/>
      <c r="F47" s="163"/>
      <c r="G47" s="164"/>
    </row>
    <row r="48" spans="2:7" ht="16.05" customHeight="1" x14ac:dyDescent="0.25">
      <c r="B48" s="7" t="s">
        <v>3</v>
      </c>
      <c r="C48" s="155">
        <v>357.9</v>
      </c>
      <c r="D48" s="156">
        <v>449.2</v>
      </c>
      <c r="E48" s="156">
        <v>702.8</v>
      </c>
      <c r="F48" s="156">
        <v>552.29999999999995</v>
      </c>
      <c r="G48" s="157">
        <v>373.8</v>
      </c>
    </row>
    <row r="49" spans="2:7" ht="16.05" customHeight="1" x14ac:dyDescent="0.25">
      <c r="B49" s="7" t="s">
        <v>4</v>
      </c>
      <c r="C49" s="155">
        <v>32.6</v>
      </c>
      <c r="D49" s="156">
        <v>38.4</v>
      </c>
      <c r="E49" s="156">
        <v>94.5</v>
      </c>
      <c r="F49" s="156">
        <v>93</v>
      </c>
      <c r="G49" s="157">
        <v>162</v>
      </c>
    </row>
    <row r="50" spans="2:7" ht="16.05" customHeight="1" x14ac:dyDescent="0.25">
      <c r="B50" s="8" t="s">
        <v>5</v>
      </c>
      <c r="C50" s="167">
        <v>8891</v>
      </c>
      <c r="D50" s="168">
        <v>9599</v>
      </c>
      <c r="E50" s="168">
        <v>8480</v>
      </c>
      <c r="F50" s="168">
        <v>4633</v>
      </c>
      <c r="G50" s="169">
        <v>7572</v>
      </c>
    </row>
    <row r="51" spans="2:7" ht="16.05" customHeight="1" thickBot="1" x14ac:dyDescent="0.3">
      <c r="B51" s="19" t="s">
        <v>26</v>
      </c>
      <c r="C51" s="257">
        <v>9281.5</v>
      </c>
      <c r="D51" s="258">
        <v>10086.6</v>
      </c>
      <c r="E51" s="258">
        <v>9277.2999999999993</v>
      </c>
      <c r="F51" s="258">
        <v>5278.4</v>
      </c>
      <c r="G51" s="259">
        <v>8107.8</v>
      </c>
    </row>
    <row r="52" spans="2:7" ht="16.05" customHeight="1" x14ac:dyDescent="0.25">
      <c r="B52" s="6" t="s">
        <v>22</v>
      </c>
      <c r="C52" s="262">
        <v>199</v>
      </c>
      <c r="D52" s="260">
        <v>1288</v>
      </c>
      <c r="E52" s="260">
        <v>43</v>
      </c>
      <c r="F52" s="260">
        <v>0</v>
      </c>
      <c r="G52" s="261">
        <v>0</v>
      </c>
    </row>
    <row r="53" spans="2:7" ht="16.05" customHeight="1" x14ac:dyDescent="0.25">
      <c r="B53" s="12"/>
      <c r="C53" s="170"/>
      <c r="D53" s="171"/>
      <c r="E53" s="165"/>
      <c r="F53" s="165"/>
      <c r="G53" s="165"/>
    </row>
    <row r="54" spans="2:7" ht="109.95" customHeight="1" x14ac:dyDescent="0.25">
      <c r="B54" s="281" t="s">
        <v>25</v>
      </c>
      <c r="C54" s="282"/>
      <c r="D54" s="282"/>
      <c r="E54" s="282"/>
      <c r="F54" s="282"/>
      <c r="G54" s="282"/>
    </row>
  </sheetData>
  <mergeCells count="2">
    <mergeCell ref="B54:G54"/>
    <mergeCell ref="B1:G1"/>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72F3D4-BF6C-2B47-94F4-30341C6A7CC3}">
  <dimension ref="B1:H186"/>
  <sheetViews>
    <sheetView zoomScale="137" zoomScaleNormal="137" workbookViewId="0">
      <selection activeCell="C128" sqref="C128"/>
    </sheetView>
  </sheetViews>
  <sheetFormatPr defaultColWidth="11.5546875" defaultRowHeight="13.2" x14ac:dyDescent="0.25"/>
  <cols>
    <col min="1" max="1" width="9" customWidth="1"/>
    <col min="2" max="2" width="103.77734375" customWidth="1"/>
    <col min="3" max="7" width="16.21875" customWidth="1"/>
  </cols>
  <sheetData>
    <row r="1" spans="2:8" ht="34.049999999999997" customHeight="1" x14ac:dyDescent="0.25">
      <c r="B1" s="1" t="s">
        <v>0</v>
      </c>
      <c r="C1" s="1"/>
      <c r="D1" s="1"/>
      <c r="E1" s="1"/>
      <c r="F1" s="1"/>
      <c r="G1" s="1"/>
      <c r="H1" s="1"/>
    </row>
    <row r="2" spans="2:8" ht="19.05" customHeight="1" x14ac:dyDescent="0.25">
      <c r="B2" s="2" t="s">
        <v>28</v>
      </c>
      <c r="C2" s="21">
        <v>2023</v>
      </c>
      <c r="D2" s="22">
        <v>2022</v>
      </c>
      <c r="E2" s="22">
        <v>2021</v>
      </c>
      <c r="F2" s="22">
        <v>2020</v>
      </c>
      <c r="G2" s="23">
        <v>2019</v>
      </c>
    </row>
    <row r="3" spans="2:8" ht="16.05" customHeight="1" x14ac:dyDescent="0.25">
      <c r="B3" s="4" t="s">
        <v>121</v>
      </c>
      <c r="D3" s="13"/>
      <c r="E3" s="13"/>
      <c r="F3" s="13"/>
      <c r="G3" s="14"/>
    </row>
    <row r="4" spans="2:8" ht="16.05" customHeight="1" x14ac:dyDescent="0.25">
      <c r="B4" s="5" t="s">
        <v>122</v>
      </c>
      <c r="D4" s="35"/>
      <c r="E4" s="35"/>
      <c r="F4" s="35"/>
      <c r="G4" s="90"/>
    </row>
    <row r="5" spans="2:8" ht="16.05" customHeight="1" x14ac:dyDescent="0.25">
      <c r="B5" s="7" t="s">
        <v>30</v>
      </c>
      <c r="C5" s="24">
        <v>933</v>
      </c>
      <c r="D5" s="25">
        <v>974</v>
      </c>
      <c r="E5" s="57">
        <v>1323</v>
      </c>
      <c r="F5" s="57">
        <v>1392</v>
      </c>
      <c r="G5" s="86">
        <v>1411</v>
      </c>
    </row>
    <row r="6" spans="2:8" ht="16.05" customHeight="1" x14ac:dyDescent="0.25">
      <c r="B6" s="7" t="s">
        <v>31</v>
      </c>
      <c r="C6" s="24">
        <v>74</v>
      </c>
      <c r="D6" s="25">
        <v>75</v>
      </c>
      <c r="E6" s="25">
        <v>75</v>
      </c>
      <c r="F6" s="25">
        <v>76</v>
      </c>
      <c r="G6" s="82">
        <v>69</v>
      </c>
    </row>
    <row r="7" spans="2:8" ht="16.05" customHeight="1" x14ac:dyDescent="0.25">
      <c r="B7" s="7" t="s">
        <v>32</v>
      </c>
      <c r="C7" s="24">
        <v>43</v>
      </c>
      <c r="D7" s="25">
        <v>42</v>
      </c>
      <c r="E7" s="25">
        <v>60</v>
      </c>
      <c r="F7" s="25">
        <v>28</v>
      </c>
      <c r="G7" s="82">
        <v>25</v>
      </c>
    </row>
    <row r="8" spans="2:8" ht="16.05" customHeight="1" x14ac:dyDescent="0.25">
      <c r="B8" s="7" t="s">
        <v>33</v>
      </c>
      <c r="C8" s="24">
        <v>547</v>
      </c>
      <c r="D8" s="25" t="s">
        <v>34</v>
      </c>
      <c r="E8" s="25" t="s">
        <v>34</v>
      </c>
      <c r="F8" s="25" t="s">
        <v>34</v>
      </c>
      <c r="G8" s="82" t="s">
        <v>34</v>
      </c>
    </row>
    <row r="9" spans="2:8" ht="16.05" customHeight="1" x14ac:dyDescent="0.25">
      <c r="B9" s="8" t="s">
        <v>5</v>
      </c>
      <c r="C9" s="24">
        <v>865</v>
      </c>
      <c r="D9" s="25">
        <v>833</v>
      </c>
      <c r="E9" s="25">
        <v>787</v>
      </c>
      <c r="F9" s="25">
        <v>739</v>
      </c>
      <c r="G9" s="82">
        <v>728</v>
      </c>
    </row>
    <row r="10" spans="2:8" ht="16.05" customHeight="1" x14ac:dyDescent="0.25">
      <c r="B10" s="3" t="s">
        <v>123</v>
      </c>
      <c r="C10" s="253">
        <v>2462</v>
      </c>
      <c r="D10" s="254">
        <v>1924</v>
      </c>
      <c r="E10" s="254">
        <v>2245</v>
      </c>
      <c r="F10" s="254">
        <v>2235</v>
      </c>
      <c r="G10" s="255">
        <v>2233</v>
      </c>
    </row>
    <row r="11" spans="2:8" ht="16.05" customHeight="1" x14ac:dyDescent="0.25">
      <c r="B11" s="4" t="s">
        <v>124</v>
      </c>
      <c r="C11" s="24"/>
      <c r="D11" s="25"/>
      <c r="E11" s="25"/>
      <c r="F11" s="25"/>
      <c r="G11" s="82"/>
    </row>
    <row r="12" spans="2:8" ht="16.05" customHeight="1" x14ac:dyDescent="0.25">
      <c r="B12" s="5" t="s">
        <v>125</v>
      </c>
      <c r="C12" s="24"/>
      <c r="D12" s="25"/>
      <c r="E12" s="25"/>
      <c r="F12" s="25"/>
      <c r="G12" s="82"/>
    </row>
    <row r="13" spans="2:8" ht="16.05" customHeight="1" x14ac:dyDescent="0.25">
      <c r="B13" s="7" t="s">
        <v>30</v>
      </c>
      <c r="C13" s="24">
        <v>0</v>
      </c>
      <c r="D13" s="25">
        <v>0</v>
      </c>
      <c r="E13" s="25">
        <v>34</v>
      </c>
      <c r="F13" s="25">
        <v>31</v>
      </c>
      <c r="G13" s="82">
        <v>14</v>
      </c>
    </row>
    <row r="14" spans="2:8" ht="16.05" customHeight="1" x14ac:dyDescent="0.25">
      <c r="B14" s="7" t="s">
        <v>31</v>
      </c>
      <c r="C14" s="24">
        <v>0</v>
      </c>
      <c r="D14" s="25">
        <v>1</v>
      </c>
      <c r="E14" s="25">
        <v>0</v>
      </c>
      <c r="F14" s="25">
        <v>0</v>
      </c>
      <c r="G14" s="82">
        <v>1</v>
      </c>
    </row>
    <row r="15" spans="2:8" ht="16.05" customHeight="1" x14ac:dyDescent="0.25">
      <c r="B15" s="7" t="s">
        <v>32</v>
      </c>
      <c r="C15" s="24">
        <v>2</v>
      </c>
      <c r="D15" s="25">
        <v>2</v>
      </c>
      <c r="E15" s="25">
        <v>0</v>
      </c>
      <c r="F15" s="25">
        <v>4</v>
      </c>
      <c r="G15" s="82">
        <v>2</v>
      </c>
    </row>
    <row r="16" spans="2:8" ht="16.05" customHeight="1" x14ac:dyDescent="0.25">
      <c r="B16" s="7" t="s">
        <v>33</v>
      </c>
      <c r="C16" s="24">
        <v>0</v>
      </c>
      <c r="D16" s="25" t="s">
        <v>34</v>
      </c>
      <c r="E16" s="25" t="s">
        <v>34</v>
      </c>
      <c r="F16" s="25" t="s">
        <v>34</v>
      </c>
      <c r="G16" s="82" t="s">
        <v>34</v>
      </c>
    </row>
    <row r="17" spans="2:7" ht="16.05" customHeight="1" x14ac:dyDescent="0.25">
      <c r="B17" s="8" t="s">
        <v>5</v>
      </c>
      <c r="C17" s="24">
        <v>0</v>
      </c>
      <c r="D17" s="25">
        <v>0</v>
      </c>
      <c r="E17" s="25">
        <v>0</v>
      </c>
      <c r="F17" s="25">
        <v>0</v>
      </c>
      <c r="G17" s="82">
        <v>0</v>
      </c>
    </row>
    <row r="18" spans="2:7" ht="16.05" customHeight="1" thickBot="1" x14ac:dyDescent="0.3">
      <c r="B18" s="17" t="s">
        <v>126</v>
      </c>
      <c r="C18" s="91">
        <v>2</v>
      </c>
      <c r="D18" s="92">
        <v>3</v>
      </c>
      <c r="E18" s="92">
        <v>34</v>
      </c>
      <c r="F18" s="92">
        <v>35</v>
      </c>
      <c r="G18" s="93">
        <v>17</v>
      </c>
    </row>
    <row r="19" spans="2:7" ht="16.05" customHeight="1" x14ac:dyDescent="0.25">
      <c r="B19" s="5" t="s">
        <v>29</v>
      </c>
      <c r="C19" s="35"/>
      <c r="D19" s="35"/>
      <c r="E19" s="35"/>
      <c r="F19" s="35"/>
      <c r="G19" s="36"/>
    </row>
    <row r="20" spans="2:7" ht="16.05" customHeight="1" x14ac:dyDescent="0.25">
      <c r="B20" s="7" t="s">
        <v>30</v>
      </c>
      <c r="C20" s="24">
        <v>36</v>
      </c>
      <c r="D20" s="25">
        <v>47</v>
      </c>
      <c r="E20" s="25">
        <v>56</v>
      </c>
      <c r="F20" s="25">
        <v>51</v>
      </c>
      <c r="G20" s="26">
        <v>64</v>
      </c>
    </row>
    <row r="21" spans="2:7" ht="16.05" customHeight="1" x14ac:dyDescent="0.25">
      <c r="B21" s="7" t="s">
        <v>31</v>
      </c>
      <c r="C21" s="24">
        <v>2</v>
      </c>
      <c r="D21" s="25">
        <v>3</v>
      </c>
      <c r="E21" s="25">
        <v>2</v>
      </c>
      <c r="F21" s="25">
        <v>1</v>
      </c>
      <c r="G21" s="26">
        <v>2</v>
      </c>
    </row>
    <row r="22" spans="2:7" ht="16.05" customHeight="1" x14ac:dyDescent="0.25">
      <c r="B22" s="7" t="s">
        <v>32</v>
      </c>
      <c r="C22" s="24">
        <v>0</v>
      </c>
      <c r="D22" s="25">
        <v>16</v>
      </c>
      <c r="E22" s="25">
        <v>45</v>
      </c>
      <c r="F22" s="25">
        <v>1</v>
      </c>
      <c r="G22" s="26">
        <v>1</v>
      </c>
    </row>
    <row r="23" spans="2:7" ht="16.05" customHeight="1" x14ac:dyDescent="0.25">
      <c r="B23" s="7" t="s">
        <v>33</v>
      </c>
      <c r="C23" s="24">
        <v>0</v>
      </c>
      <c r="D23" s="27" t="s">
        <v>34</v>
      </c>
      <c r="E23" s="27" t="s">
        <v>34</v>
      </c>
      <c r="F23" s="27" t="s">
        <v>34</v>
      </c>
      <c r="G23" s="28" t="s">
        <v>34</v>
      </c>
    </row>
    <row r="24" spans="2:7" ht="16.05" customHeight="1" x14ac:dyDescent="0.25">
      <c r="B24" s="8" t="s">
        <v>5</v>
      </c>
      <c r="C24" s="29">
        <v>183</v>
      </c>
      <c r="D24" s="30">
        <v>247</v>
      </c>
      <c r="E24" s="30">
        <v>139</v>
      </c>
      <c r="F24" s="30">
        <v>165</v>
      </c>
      <c r="G24" s="31">
        <v>130</v>
      </c>
    </row>
    <row r="25" spans="2:7" ht="16.05" customHeight="1" thickBot="1" x14ac:dyDescent="0.3">
      <c r="B25" s="17" t="s">
        <v>35</v>
      </c>
      <c r="C25" s="32">
        <v>221</v>
      </c>
      <c r="D25" s="33">
        <v>313</v>
      </c>
      <c r="E25" s="33">
        <v>242</v>
      </c>
      <c r="F25" s="33">
        <v>218</v>
      </c>
      <c r="G25" s="34">
        <v>197</v>
      </c>
    </row>
    <row r="26" spans="2:7" ht="16.05" customHeight="1" x14ac:dyDescent="0.25">
      <c r="B26" s="5" t="s">
        <v>36</v>
      </c>
      <c r="C26" s="35"/>
      <c r="D26" s="35"/>
      <c r="E26" s="35"/>
      <c r="F26" s="35"/>
      <c r="G26" s="36"/>
    </row>
    <row r="27" spans="2:7" ht="16.05" customHeight="1" x14ac:dyDescent="0.25">
      <c r="B27" s="7" t="s">
        <v>30</v>
      </c>
      <c r="C27" s="24">
        <v>3</v>
      </c>
      <c r="D27" s="25">
        <v>4</v>
      </c>
      <c r="E27" s="25">
        <v>26</v>
      </c>
      <c r="F27" s="25">
        <v>20</v>
      </c>
      <c r="G27" s="26">
        <v>13</v>
      </c>
    </row>
    <row r="28" spans="2:7" ht="16.05" customHeight="1" x14ac:dyDescent="0.25">
      <c r="B28" s="7" t="s">
        <v>31</v>
      </c>
      <c r="C28" s="24">
        <v>0</v>
      </c>
      <c r="D28" s="25">
        <v>0</v>
      </c>
      <c r="E28" s="25">
        <v>0</v>
      </c>
      <c r="F28" s="25">
        <v>4</v>
      </c>
      <c r="G28" s="26">
        <v>5</v>
      </c>
    </row>
    <row r="29" spans="2:7" ht="16.05" customHeight="1" x14ac:dyDescent="0.25">
      <c r="B29" s="7" t="s">
        <v>32</v>
      </c>
      <c r="C29" s="24">
        <v>2</v>
      </c>
      <c r="D29" s="25">
        <v>0</v>
      </c>
      <c r="E29" s="25">
        <v>3</v>
      </c>
      <c r="F29" s="25">
        <v>0</v>
      </c>
      <c r="G29" s="26">
        <v>0</v>
      </c>
    </row>
    <row r="30" spans="2:7" ht="16.05" customHeight="1" x14ac:dyDescent="0.25">
      <c r="B30" s="7" t="s">
        <v>33</v>
      </c>
      <c r="C30" s="24">
        <v>15</v>
      </c>
      <c r="D30" s="27" t="s">
        <v>34</v>
      </c>
      <c r="E30" s="27" t="s">
        <v>34</v>
      </c>
      <c r="F30" s="27" t="s">
        <v>34</v>
      </c>
      <c r="G30" s="28" t="s">
        <v>34</v>
      </c>
    </row>
    <row r="31" spans="2:7" ht="16.05" customHeight="1" x14ac:dyDescent="0.25">
      <c r="B31" s="8" t="s">
        <v>5</v>
      </c>
      <c r="C31" s="29">
        <v>18</v>
      </c>
      <c r="D31" s="30">
        <v>42</v>
      </c>
      <c r="E31" s="30">
        <v>33</v>
      </c>
      <c r="F31" s="30">
        <v>30</v>
      </c>
      <c r="G31" s="31">
        <v>23</v>
      </c>
    </row>
    <row r="32" spans="2:7" ht="16.05" customHeight="1" thickBot="1" x14ac:dyDescent="0.3">
      <c r="B32" s="17" t="s">
        <v>37</v>
      </c>
      <c r="C32" s="32">
        <v>38</v>
      </c>
      <c r="D32" s="33">
        <v>46</v>
      </c>
      <c r="E32" s="33">
        <v>62</v>
      </c>
      <c r="F32" s="33">
        <v>54</v>
      </c>
      <c r="G32" s="34">
        <v>41</v>
      </c>
    </row>
    <row r="33" spans="2:7" ht="16.05" customHeight="1" x14ac:dyDescent="0.25">
      <c r="B33" s="6" t="s">
        <v>38</v>
      </c>
      <c r="C33" s="58">
        <v>1182</v>
      </c>
      <c r="D33" s="59">
        <v>1089</v>
      </c>
      <c r="E33" s="59">
        <v>1332</v>
      </c>
      <c r="F33" s="59">
        <v>1389</v>
      </c>
      <c r="G33" s="94">
        <v>1238</v>
      </c>
    </row>
    <row r="34" spans="2:7" ht="16.05" customHeight="1" x14ac:dyDescent="0.25">
      <c r="B34" s="3" t="s">
        <v>39</v>
      </c>
      <c r="C34" s="40">
        <v>0.55000000000000004</v>
      </c>
      <c r="D34" s="41">
        <v>0.56999999999999995</v>
      </c>
      <c r="E34" s="41">
        <v>0.57999999999999996</v>
      </c>
      <c r="F34" s="41">
        <v>0.61</v>
      </c>
      <c r="G34" s="42">
        <v>0.55000000000000004</v>
      </c>
    </row>
    <row r="35" spans="2:7" ht="16.05" customHeight="1" x14ac:dyDescent="0.25">
      <c r="B35" s="4" t="s">
        <v>129</v>
      </c>
      <c r="C35" s="276"/>
      <c r="D35" s="277"/>
      <c r="E35" s="277"/>
      <c r="F35" s="277"/>
      <c r="G35" s="278"/>
    </row>
    <row r="36" spans="2:7" s="103" customFormat="1" ht="16.05" customHeight="1" x14ac:dyDescent="0.25">
      <c r="B36" s="102" t="s">
        <v>130</v>
      </c>
      <c r="C36" s="29">
        <v>2</v>
      </c>
      <c r="D36" s="30">
        <v>2</v>
      </c>
      <c r="E36" s="30">
        <v>2</v>
      </c>
      <c r="F36" s="30">
        <v>2</v>
      </c>
      <c r="G36" s="31">
        <v>2</v>
      </c>
    </row>
    <row r="37" spans="2:7" ht="16.05" customHeight="1" x14ac:dyDescent="0.25">
      <c r="B37" s="3" t="s">
        <v>40</v>
      </c>
      <c r="C37" s="43" t="s">
        <v>41</v>
      </c>
      <c r="D37" s="44" t="s">
        <v>42</v>
      </c>
      <c r="E37" s="44" t="s">
        <v>42</v>
      </c>
      <c r="F37" s="44" t="s">
        <v>42</v>
      </c>
      <c r="G37" s="45" t="s">
        <v>42</v>
      </c>
    </row>
    <row r="38" spans="2:7" ht="16.05" customHeight="1" x14ac:dyDescent="0.25">
      <c r="B38" s="4" t="s">
        <v>43</v>
      </c>
      <c r="C38" s="13"/>
      <c r="D38" s="13"/>
      <c r="E38" s="13"/>
      <c r="F38" s="13"/>
      <c r="G38" s="14"/>
    </row>
    <row r="39" spans="2:7" ht="16.05" customHeight="1" x14ac:dyDescent="0.25">
      <c r="B39" s="5" t="s">
        <v>30</v>
      </c>
      <c r="C39" s="24">
        <v>0</v>
      </c>
      <c r="D39" s="25">
        <v>0</v>
      </c>
      <c r="E39" s="25">
        <v>0</v>
      </c>
      <c r="F39" s="25">
        <v>0</v>
      </c>
      <c r="G39" s="26">
        <v>0</v>
      </c>
    </row>
    <row r="40" spans="2:7" ht="16.05" customHeight="1" x14ac:dyDescent="0.25">
      <c r="B40" s="5" t="s">
        <v>31</v>
      </c>
      <c r="C40" s="46" t="s">
        <v>44</v>
      </c>
      <c r="D40" s="27" t="s">
        <v>45</v>
      </c>
      <c r="E40" s="27" t="s">
        <v>45</v>
      </c>
      <c r="F40" s="27" t="s">
        <v>45</v>
      </c>
      <c r="G40" s="28" t="s">
        <v>45</v>
      </c>
    </row>
    <row r="41" spans="2:7" ht="16.05" customHeight="1" x14ac:dyDescent="0.25">
      <c r="B41" s="5" t="s">
        <v>32</v>
      </c>
      <c r="C41" s="24">
        <v>0</v>
      </c>
      <c r="D41" s="25">
        <v>0</v>
      </c>
      <c r="E41" s="27" t="s">
        <v>45</v>
      </c>
      <c r="F41" s="27" t="s">
        <v>45</v>
      </c>
      <c r="G41" s="28" t="s">
        <v>45</v>
      </c>
    </row>
    <row r="42" spans="2:7" ht="16.05" customHeight="1" x14ac:dyDescent="0.25">
      <c r="B42" s="5" t="s">
        <v>33</v>
      </c>
      <c r="C42" s="24">
        <v>0</v>
      </c>
      <c r="D42" s="27" t="s">
        <v>34</v>
      </c>
      <c r="E42" s="27" t="s">
        <v>34</v>
      </c>
      <c r="F42" s="27" t="s">
        <v>34</v>
      </c>
      <c r="G42" s="28" t="s">
        <v>34</v>
      </c>
    </row>
    <row r="43" spans="2:7" ht="16.05" customHeight="1" x14ac:dyDescent="0.25">
      <c r="B43" s="6" t="s">
        <v>5</v>
      </c>
      <c r="C43" s="29">
        <v>0</v>
      </c>
      <c r="D43" s="30">
        <v>0</v>
      </c>
      <c r="E43" s="30">
        <v>0</v>
      </c>
      <c r="F43" s="30">
        <v>0</v>
      </c>
      <c r="G43" s="31">
        <v>0</v>
      </c>
    </row>
    <row r="44" spans="2:7" ht="16.05" customHeight="1" thickBot="1" x14ac:dyDescent="0.3">
      <c r="B44" s="17" t="s">
        <v>6</v>
      </c>
      <c r="C44" s="32">
        <v>0</v>
      </c>
      <c r="D44" s="33">
        <v>0</v>
      </c>
      <c r="E44" s="33">
        <v>0</v>
      </c>
      <c r="F44" s="33">
        <v>0</v>
      </c>
      <c r="G44" s="34">
        <v>0</v>
      </c>
    </row>
    <row r="45" spans="2:7" ht="16.05" customHeight="1" x14ac:dyDescent="0.25">
      <c r="B45" s="16" t="s">
        <v>46</v>
      </c>
      <c r="C45" s="35"/>
      <c r="D45" s="35"/>
      <c r="E45" s="35"/>
      <c r="F45" s="35"/>
      <c r="G45" s="36"/>
    </row>
    <row r="46" spans="2:7" ht="16.05" customHeight="1" x14ac:dyDescent="0.25">
      <c r="B46" s="5" t="s">
        <v>30</v>
      </c>
      <c r="C46" s="24">
        <v>139</v>
      </c>
      <c r="D46" s="25">
        <v>469</v>
      </c>
      <c r="E46" s="25">
        <v>254</v>
      </c>
      <c r="F46" s="25">
        <v>179</v>
      </c>
      <c r="G46" s="26">
        <v>168</v>
      </c>
    </row>
    <row r="47" spans="2:7" ht="16.05" customHeight="1" x14ac:dyDescent="0.25">
      <c r="B47" s="5" t="s">
        <v>31</v>
      </c>
      <c r="C47" s="24">
        <v>14</v>
      </c>
      <c r="D47" s="25">
        <v>10</v>
      </c>
      <c r="E47" s="25">
        <v>13</v>
      </c>
      <c r="F47" s="25">
        <v>10</v>
      </c>
      <c r="G47" s="26">
        <v>18</v>
      </c>
    </row>
    <row r="48" spans="2:7" ht="16.05" customHeight="1" x14ac:dyDescent="0.25">
      <c r="B48" s="5" t="s">
        <v>32</v>
      </c>
      <c r="C48" s="24">
        <v>29</v>
      </c>
      <c r="D48" s="25">
        <v>29</v>
      </c>
      <c r="E48" s="25">
        <v>46</v>
      </c>
      <c r="F48" s="25">
        <v>10</v>
      </c>
      <c r="G48" s="26">
        <v>18</v>
      </c>
    </row>
    <row r="49" spans="2:7" ht="16.05" customHeight="1" x14ac:dyDescent="0.25">
      <c r="B49" s="5" t="s">
        <v>33</v>
      </c>
      <c r="C49" s="24">
        <v>97</v>
      </c>
      <c r="D49" s="27" t="s">
        <v>34</v>
      </c>
      <c r="E49" s="27" t="s">
        <v>34</v>
      </c>
      <c r="F49" s="27" t="s">
        <v>34</v>
      </c>
      <c r="G49" s="28" t="s">
        <v>34</v>
      </c>
    </row>
    <row r="50" spans="2:7" ht="16.05" customHeight="1" x14ac:dyDescent="0.25">
      <c r="B50" s="6" t="s">
        <v>5</v>
      </c>
      <c r="C50" s="29">
        <v>78</v>
      </c>
      <c r="D50" s="30">
        <v>93</v>
      </c>
      <c r="E50" s="30">
        <v>81</v>
      </c>
      <c r="F50" s="30">
        <v>104</v>
      </c>
      <c r="G50" s="31">
        <v>84</v>
      </c>
    </row>
    <row r="51" spans="2:7" ht="16.05" customHeight="1" thickBot="1" x14ac:dyDescent="0.3">
      <c r="B51" s="17" t="s">
        <v>6</v>
      </c>
      <c r="C51" s="32">
        <v>357</v>
      </c>
      <c r="D51" s="33">
        <v>601</v>
      </c>
      <c r="E51" s="33">
        <v>394</v>
      </c>
      <c r="F51" s="33">
        <v>303</v>
      </c>
      <c r="G51" s="34">
        <v>288</v>
      </c>
    </row>
    <row r="52" spans="2:7" ht="16.05" customHeight="1" x14ac:dyDescent="0.25">
      <c r="B52" s="5" t="s">
        <v>47</v>
      </c>
      <c r="C52" s="35"/>
      <c r="D52" s="35"/>
      <c r="E52" s="35"/>
      <c r="F52" s="35"/>
      <c r="G52" s="36"/>
    </row>
    <row r="53" spans="2:7" ht="16.05" customHeight="1" x14ac:dyDescent="0.25">
      <c r="B53" s="7" t="s">
        <v>48</v>
      </c>
      <c r="C53" s="47">
        <v>0.26</v>
      </c>
      <c r="D53" s="48">
        <v>0.27</v>
      </c>
      <c r="E53" s="48">
        <v>0.28999999999999998</v>
      </c>
      <c r="F53" s="48">
        <v>0.21</v>
      </c>
      <c r="G53" s="49">
        <v>0.18</v>
      </c>
    </row>
    <row r="54" spans="2:7" ht="16.05" customHeight="1" x14ac:dyDescent="0.25">
      <c r="B54" s="7" t="s">
        <v>49</v>
      </c>
      <c r="C54" s="47">
        <v>0.47</v>
      </c>
      <c r="D54" s="48">
        <v>0.44</v>
      </c>
      <c r="E54" s="48">
        <v>0.45</v>
      </c>
      <c r="F54" s="48">
        <v>0.42</v>
      </c>
      <c r="G54" s="49">
        <v>0.47</v>
      </c>
    </row>
    <row r="55" spans="2:7" ht="16.05" customHeight="1" x14ac:dyDescent="0.25">
      <c r="B55" s="8" t="s">
        <v>50</v>
      </c>
      <c r="C55" s="50">
        <v>0.27</v>
      </c>
      <c r="D55" s="51">
        <v>0.28999999999999998</v>
      </c>
      <c r="E55" s="51">
        <v>0.26</v>
      </c>
      <c r="F55" s="51">
        <v>0.37</v>
      </c>
      <c r="G55" s="52">
        <v>0.35</v>
      </c>
    </row>
    <row r="56" spans="2:7" ht="16.05" customHeight="1" x14ac:dyDescent="0.25">
      <c r="B56" s="9" t="s">
        <v>51</v>
      </c>
      <c r="C56" s="13"/>
      <c r="D56" s="13"/>
      <c r="E56" s="13"/>
      <c r="F56" s="13"/>
      <c r="G56" s="14"/>
    </row>
    <row r="57" spans="2:7" ht="16.05" customHeight="1" x14ac:dyDescent="0.25">
      <c r="B57" s="7" t="s">
        <v>52</v>
      </c>
      <c r="C57" s="47">
        <v>0.75</v>
      </c>
      <c r="D57" s="48">
        <v>0.76</v>
      </c>
      <c r="E57" s="48">
        <v>0.8</v>
      </c>
      <c r="F57" s="48">
        <v>0.82</v>
      </c>
      <c r="G57" s="49">
        <v>0.79</v>
      </c>
    </row>
    <row r="58" spans="2:7" ht="16.05" customHeight="1" x14ac:dyDescent="0.25">
      <c r="B58" s="8" t="s">
        <v>53</v>
      </c>
      <c r="C58" s="50">
        <v>0.25</v>
      </c>
      <c r="D58" s="51">
        <v>0.24</v>
      </c>
      <c r="E58" s="51">
        <v>0.2</v>
      </c>
      <c r="F58" s="51">
        <v>0.18</v>
      </c>
      <c r="G58" s="52">
        <v>0.21</v>
      </c>
    </row>
    <row r="59" spans="2:7" ht="16.05" customHeight="1" x14ac:dyDescent="0.25">
      <c r="B59" s="3" t="s">
        <v>54</v>
      </c>
      <c r="C59" s="40">
        <v>0.09</v>
      </c>
      <c r="D59" s="41">
        <v>0.09</v>
      </c>
      <c r="E59" s="41">
        <v>0.14000000000000001</v>
      </c>
      <c r="F59" s="41">
        <v>0.09</v>
      </c>
      <c r="G59" s="42">
        <v>0.09</v>
      </c>
    </row>
    <row r="60" spans="2:7" ht="16.05" customHeight="1" x14ac:dyDescent="0.25">
      <c r="B60" s="3" t="s">
        <v>55</v>
      </c>
      <c r="C60" s="40">
        <v>0.05</v>
      </c>
      <c r="D60" s="41">
        <v>0.22</v>
      </c>
      <c r="E60" s="41">
        <v>0.02</v>
      </c>
      <c r="F60" s="41">
        <v>0.05</v>
      </c>
      <c r="G60" s="42">
        <v>0.04</v>
      </c>
    </row>
    <row r="61" spans="2:7" ht="16.05" customHeight="1" x14ac:dyDescent="0.25">
      <c r="B61" s="4" t="s">
        <v>56</v>
      </c>
      <c r="C61" s="13"/>
      <c r="D61" s="13"/>
      <c r="E61" s="13"/>
      <c r="F61" s="13"/>
      <c r="G61" s="14"/>
    </row>
    <row r="62" spans="2:7" ht="16.05" customHeight="1" x14ac:dyDescent="0.25">
      <c r="B62" s="5" t="s">
        <v>30</v>
      </c>
      <c r="C62" s="24">
        <v>52</v>
      </c>
      <c r="D62" s="25">
        <v>78</v>
      </c>
      <c r="E62" s="25">
        <v>189</v>
      </c>
      <c r="F62" s="25">
        <v>172</v>
      </c>
      <c r="G62" s="26">
        <v>233</v>
      </c>
    </row>
    <row r="63" spans="2:7" ht="16.05" customHeight="1" x14ac:dyDescent="0.25">
      <c r="B63" s="5" t="s">
        <v>31</v>
      </c>
      <c r="C63" s="24">
        <v>9</v>
      </c>
      <c r="D63" s="25">
        <v>11</v>
      </c>
      <c r="E63" s="25">
        <v>13</v>
      </c>
      <c r="F63" s="25">
        <v>8</v>
      </c>
      <c r="G63" s="26">
        <v>13</v>
      </c>
    </row>
    <row r="64" spans="2:7" ht="16.05" customHeight="1" x14ac:dyDescent="0.25">
      <c r="B64" s="5" t="s">
        <v>32</v>
      </c>
      <c r="C64" s="24">
        <v>15</v>
      </c>
      <c r="D64" s="25">
        <v>32</v>
      </c>
      <c r="E64" s="25">
        <v>35</v>
      </c>
      <c r="F64" s="25">
        <v>16</v>
      </c>
      <c r="G64" s="26">
        <v>8</v>
      </c>
    </row>
    <row r="65" spans="2:7" ht="16.05" customHeight="1" x14ac:dyDescent="0.25">
      <c r="B65" s="5" t="s">
        <v>33</v>
      </c>
      <c r="C65" s="24">
        <v>127</v>
      </c>
      <c r="D65" s="27" t="s">
        <v>34</v>
      </c>
      <c r="E65" s="27" t="s">
        <v>34</v>
      </c>
      <c r="F65" s="27" t="s">
        <v>34</v>
      </c>
      <c r="G65" s="28" t="s">
        <v>34</v>
      </c>
    </row>
    <row r="66" spans="2:7" ht="16.05" customHeight="1" x14ac:dyDescent="0.25">
      <c r="B66" s="6" t="s">
        <v>5</v>
      </c>
      <c r="C66" s="29">
        <v>128</v>
      </c>
      <c r="D66" s="30">
        <v>194</v>
      </c>
      <c r="E66" s="30">
        <v>112</v>
      </c>
      <c r="F66" s="30">
        <v>146</v>
      </c>
      <c r="G66" s="31">
        <v>98</v>
      </c>
    </row>
    <row r="67" spans="2:7" ht="16.05" customHeight="1" thickBot="1" x14ac:dyDescent="0.3">
      <c r="B67" s="17" t="s">
        <v>6</v>
      </c>
      <c r="C67" s="32">
        <v>331</v>
      </c>
      <c r="D67" s="33">
        <v>315</v>
      </c>
      <c r="E67" s="33">
        <v>349</v>
      </c>
      <c r="F67" s="33">
        <v>342</v>
      </c>
      <c r="G67" s="34">
        <v>352</v>
      </c>
    </row>
    <row r="68" spans="2:7" ht="16.05" customHeight="1" x14ac:dyDescent="0.25">
      <c r="B68" s="5" t="s">
        <v>57</v>
      </c>
      <c r="C68" s="53"/>
      <c r="D68" s="53"/>
      <c r="E68" s="53"/>
      <c r="F68" s="53"/>
      <c r="G68" s="78"/>
    </row>
    <row r="69" spans="2:7" ht="16.05" customHeight="1" x14ac:dyDescent="0.25">
      <c r="B69" s="7" t="s">
        <v>48</v>
      </c>
      <c r="C69" s="47">
        <v>0.44</v>
      </c>
      <c r="D69" s="48">
        <v>0.45</v>
      </c>
      <c r="E69" s="48">
        <v>0.45</v>
      </c>
      <c r="F69" s="48">
        <v>0.36</v>
      </c>
      <c r="G69" s="79">
        <v>0.39</v>
      </c>
    </row>
    <row r="70" spans="2:7" ht="16.05" customHeight="1" x14ac:dyDescent="0.25">
      <c r="B70" s="7" t="s">
        <v>49</v>
      </c>
      <c r="C70" s="47">
        <v>0.41</v>
      </c>
      <c r="D70" s="48">
        <v>0.46</v>
      </c>
      <c r="E70" s="48">
        <v>0.44</v>
      </c>
      <c r="F70" s="48">
        <v>0.54</v>
      </c>
      <c r="G70" s="79">
        <v>0.45</v>
      </c>
    </row>
    <row r="71" spans="2:7" ht="16.05" customHeight="1" x14ac:dyDescent="0.25">
      <c r="B71" s="8" t="s">
        <v>50</v>
      </c>
      <c r="C71" s="50">
        <v>0.14000000000000001</v>
      </c>
      <c r="D71" s="51">
        <v>0.09</v>
      </c>
      <c r="E71" s="51">
        <v>0.11</v>
      </c>
      <c r="F71" s="51">
        <v>0.11</v>
      </c>
      <c r="G71" s="80">
        <v>0.16</v>
      </c>
    </row>
    <row r="72" spans="2:7" ht="16.05" customHeight="1" x14ac:dyDescent="0.25">
      <c r="B72" s="9" t="s">
        <v>58</v>
      </c>
      <c r="C72" s="54"/>
      <c r="D72" s="54"/>
      <c r="E72" s="54"/>
      <c r="F72" s="54"/>
      <c r="G72" s="81"/>
    </row>
    <row r="73" spans="2:7" ht="16.05" customHeight="1" x14ac:dyDescent="0.25">
      <c r="B73" s="7" t="s">
        <v>52</v>
      </c>
      <c r="C73" s="47">
        <v>0.78</v>
      </c>
      <c r="D73" s="48">
        <v>0.71</v>
      </c>
      <c r="E73" s="48">
        <v>0.68</v>
      </c>
      <c r="F73" s="48">
        <v>0.8</v>
      </c>
      <c r="G73" s="79">
        <v>0.78</v>
      </c>
    </row>
    <row r="74" spans="2:7" ht="16.05" customHeight="1" x14ac:dyDescent="0.25">
      <c r="B74" s="8" t="s">
        <v>53</v>
      </c>
      <c r="C74" s="50">
        <v>0.22</v>
      </c>
      <c r="D74" s="51">
        <v>0.28999999999999998</v>
      </c>
      <c r="E74" s="51">
        <v>0.32</v>
      </c>
      <c r="F74" s="51">
        <v>0.2</v>
      </c>
      <c r="G74" s="80">
        <v>0.22</v>
      </c>
    </row>
    <row r="75" spans="2:7" ht="16.05" customHeight="1" x14ac:dyDescent="0.25">
      <c r="B75" s="4" t="s">
        <v>59</v>
      </c>
      <c r="C75" s="54"/>
      <c r="D75" s="54"/>
      <c r="E75" s="54"/>
      <c r="F75" s="54"/>
      <c r="G75" s="81"/>
    </row>
    <row r="76" spans="2:7" ht="16.05" customHeight="1" x14ac:dyDescent="0.25">
      <c r="B76" s="5" t="s">
        <v>3</v>
      </c>
      <c r="C76" s="24">
        <v>505</v>
      </c>
      <c r="D76" s="55">
        <v>-419</v>
      </c>
      <c r="E76" s="55">
        <v>-70</v>
      </c>
      <c r="F76" s="55">
        <v>-12</v>
      </c>
      <c r="G76" s="82">
        <v>24</v>
      </c>
    </row>
    <row r="77" spans="2:7" ht="16.05" customHeight="1" x14ac:dyDescent="0.25">
      <c r="B77" s="5" t="s">
        <v>4</v>
      </c>
      <c r="C77" s="24">
        <v>1</v>
      </c>
      <c r="D77" s="25">
        <v>14</v>
      </c>
      <c r="E77" s="25">
        <v>32</v>
      </c>
      <c r="F77" s="25">
        <v>3</v>
      </c>
      <c r="G77" s="83">
        <v>-8</v>
      </c>
    </row>
    <row r="78" spans="2:7" ht="16.05" customHeight="1" x14ac:dyDescent="0.25">
      <c r="B78" s="6" t="s">
        <v>5</v>
      </c>
      <c r="C78" s="29">
        <v>32</v>
      </c>
      <c r="D78" s="30">
        <v>94</v>
      </c>
      <c r="E78" s="30">
        <v>48</v>
      </c>
      <c r="F78" s="30">
        <v>11</v>
      </c>
      <c r="G78" s="84">
        <v>38</v>
      </c>
    </row>
    <row r="79" spans="2:7" ht="16.05" customHeight="1" x14ac:dyDescent="0.25">
      <c r="B79" s="3" t="s">
        <v>6</v>
      </c>
      <c r="C79" s="104">
        <v>538</v>
      </c>
      <c r="D79" s="96">
        <v>-311</v>
      </c>
      <c r="E79" s="38">
        <v>10</v>
      </c>
      <c r="F79" s="38">
        <v>2</v>
      </c>
      <c r="G79" s="85">
        <v>54</v>
      </c>
    </row>
    <row r="80" spans="2:7" ht="16.05" customHeight="1" x14ac:dyDescent="0.25">
      <c r="B80" s="10" t="s">
        <v>60</v>
      </c>
      <c r="C80" s="89">
        <v>10</v>
      </c>
      <c r="D80" s="38">
        <v>2</v>
      </c>
      <c r="E80" s="38">
        <v>5</v>
      </c>
      <c r="F80" s="38">
        <v>5</v>
      </c>
      <c r="G80" s="85">
        <v>4</v>
      </c>
    </row>
    <row r="81" spans="2:7" ht="16.05" customHeight="1" x14ac:dyDescent="0.25">
      <c r="B81" s="4" t="s">
        <v>61</v>
      </c>
      <c r="C81" s="53"/>
      <c r="D81" s="54"/>
      <c r="E81" s="54"/>
      <c r="F81" s="54"/>
      <c r="G81" s="81"/>
    </row>
    <row r="82" spans="2:7" ht="16.05" customHeight="1" x14ac:dyDescent="0.25">
      <c r="B82" s="5" t="s">
        <v>30</v>
      </c>
      <c r="C82" s="24">
        <v>249</v>
      </c>
      <c r="D82" s="25">
        <v>553</v>
      </c>
      <c r="E82" s="25">
        <v>710</v>
      </c>
      <c r="F82" s="25">
        <v>456</v>
      </c>
      <c r="G82" s="82">
        <v>407</v>
      </c>
    </row>
    <row r="83" spans="2:7" ht="16.05" customHeight="1" x14ac:dyDescent="0.25">
      <c r="B83" s="5" t="s">
        <v>5</v>
      </c>
      <c r="C83" s="56">
        <v>2662</v>
      </c>
      <c r="D83" s="57">
        <v>2389</v>
      </c>
      <c r="E83" s="57">
        <v>2838</v>
      </c>
      <c r="F83" s="57">
        <v>1774</v>
      </c>
      <c r="G83" s="86">
        <v>2283</v>
      </c>
    </row>
    <row r="84" spans="2:7" ht="16.05" customHeight="1" x14ac:dyDescent="0.25">
      <c r="B84" s="5" t="s">
        <v>33</v>
      </c>
      <c r="C84" s="24">
        <v>53</v>
      </c>
      <c r="D84" s="27" t="s">
        <v>34</v>
      </c>
      <c r="E84" s="27" t="s">
        <v>34</v>
      </c>
      <c r="F84" s="27" t="s">
        <v>34</v>
      </c>
      <c r="G84" s="87" t="s">
        <v>34</v>
      </c>
    </row>
    <row r="85" spans="2:7" ht="16.05" customHeight="1" x14ac:dyDescent="0.25">
      <c r="B85" s="6" t="s">
        <v>32</v>
      </c>
      <c r="C85" s="29">
        <v>13</v>
      </c>
      <c r="D85" s="30">
        <v>117</v>
      </c>
      <c r="E85" s="30">
        <v>37</v>
      </c>
      <c r="F85" s="30">
        <v>14</v>
      </c>
      <c r="G85" s="84">
        <v>15</v>
      </c>
    </row>
    <row r="86" spans="2:7" ht="16.05" customHeight="1" x14ac:dyDescent="0.25">
      <c r="B86" s="4" t="s">
        <v>62</v>
      </c>
      <c r="C86" s="54"/>
      <c r="D86" s="54"/>
      <c r="E86" s="54"/>
      <c r="F86" s="54"/>
      <c r="G86" s="81"/>
    </row>
    <row r="87" spans="2:7" ht="16.05" customHeight="1" x14ac:dyDescent="0.25">
      <c r="B87" s="5" t="s">
        <v>63</v>
      </c>
      <c r="C87" s="56">
        <v>5384923</v>
      </c>
      <c r="D87" s="57">
        <v>5157627</v>
      </c>
      <c r="E87" s="57">
        <v>5583816</v>
      </c>
      <c r="F87" s="57">
        <v>3902648</v>
      </c>
      <c r="G87" s="86">
        <v>3750575</v>
      </c>
    </row>
    <row r="88" spans="2:7" ht="16.05" customHeight="1" x14ac:dyDescent="0.25">
      <c r="B88" s="6" t="s">
        <v>64</v>
      </c>
      <c r="C88" s="58">
        <v>6191724</v>
      </c>
      <c r="D88" s="59">
        <v>6364413</v>
      </c>
      <c r="E88" s="59">
        <v>7551957</v>
      </c>
      <c r="F88" s="59">
        <v>6257428</v>
      </c>
      <c r="G88" s="88">
        <v>7146600</v>
      </c>
    </row>
    <row r="89" spans="2:7" ht="16.05" customHeight="1" thickBot="1" x14ac:dyDescent="0.3">
      <c r="B89" s="17" t="s">
        <v>65</v>
      </c>
      <c r="C89" s="99">
        <v>11576647</v>
      </c>
      <c r="D89" s="100">
        <v>11522040</v>
      </c>
      <c r="E89" s="100">
        <v>13135773</v>
      </c>
      <c r="F89" s="100">
        <v>10160076</v>
      </c>
      <c r="G89" s="101">
        <v>10897175</v>
      </c>
    </row>
    <row r="90" spans="2:7" ht="16.05" customHeight="1" x14ac:dyDescent="0.25">
      <c r="B90" s="16" t="s">
        <v>127</v>
      </c>
      <c r="C90" s="56"/>
      <c r="D90" s="57"/>
      <c r="E90" s="57"/>
      <c r="F90" s="57"/>
      <c r="G90" s="86"/>
    </row>
    <row r="91" spans="2:7" ht="16.05" customHeight="1" x14ac:dyDescent="0.25">
      <c r="B91" s="102" t="s">
        <v>128</v>
      </c>
      <c r="C91" s="50">
        <v>0.55000000000000004</v>
      </c>
      <c r="D91" s="51">
        <v>0.75</v>
      </c>
      <c r="E91" s="51">
        <v>0.62</v>
      </c>
      <c r="F91" s="51">
        <v>0.59</v>
      </c>
      <c r="G91" s="80">
        <v>0.53</v>
      </c>
    </row>
    <row r="92" spans="2:7" ht="16.05" customHeight="1" x14ac:dyDescent="0.25">
      <c r="B92" s="4" t="s">
        <v>66</v>
      </c>
      <c r="C92" s="13"/>
      <c r="D92" s="13"/>
      <c r="E92" s="13"/>
      <c r="F92" s="13"/>
      <c r="G92" s="14"/>
    </row>
    <row r="93" spans="2:7" ht="16.05" customHeight="1" x14ac:dyDescent="0.25">
      <c r="B93" s="5" t="s">
        <v>48</v>
      </c>
      <c r="C93" s="47">
        <v>0.13</v>
      </c>
      <c r="D93" s="48">
        <v>0.14000000000000001</v>
      </c>
      <c r="E93" s="48">
        <v>0.16</v>
      </c>
      <c r="F93" s="48">
        <v>0.14000000000000001</v>
      </c>
      <c r="G93" s="49">
        <v>0.14000000000000001</v>
      </c>
    </row>
    <row r="94" spans="2:7" ht="16.05" customHeight="1" x14ac:dyDescent="0.25">
      <c r="B94" s="5" t="s">
        <v>49</v>
      </c>
      <c r="C94" s="47">
        <v>0.61</v>
      </c>
      <c r="D94" s="48">
        <v>0.62</v>
      </c>
      <c r="E94" s="48">
        <v>0.59</v>
      </c>
      <c r="F94" s="48">
        <v>0.63</v>
      </c>
      <c r="G94" s="49">
        <v>0.62</v>
      </c>
    </row>
    <row r="95" spans="2:7" ht="16.05" customHeight="1" x14ac:dyDescent="0.25">
      <c r="B95" s="6" t="s">
        <v>50</v>
      </c>
      <c r="C95" s="50">
        <v>0.26</v>
      </c>
      <c r="D95" s="51">
        <v>0.24</v>
      </c>
      <c r="E95" s="51">
        <v>0.25</v>
      </c>
      <c r="F95" s="51">
        <v>0.23</v>
      </c>
      <c r="G95" s="52">
        <v>0.24</v>
      </c>
    </row>
    <row r="96" spans="2:7" ht="16.05" customHeight="1" x14ac:dyDescent="0.25">
      <c r="B96" s="4" t="s">
        <v>67</v>
      </c>
      <c r="C96" s="13"/>
      <c r="D96" s="13"/>
      <c r="E96" s="13"/>
      <c r="F96" s="13"/>
      <c r="G96" s="14"/>
    </row>
    <row r="97" spans="2:7" ht="16.05" customHeight="1" x14ac:dyDescent="0.25">
      <c r="B97" s="5" t="s">
        <v>68</v>
      </c>
      <c r="C97" s="35"/>
      <c r="D97" s="35"/>
      <c r="E97" s="35"/>
      <c r="F97" s="35"/>
      <c r="G97" s="36"/>
    </row>
    <row r="98" spans="2:7" ht="16.05" customHeight="1" x14ac:dyDescent="0.25">
      <c r="B98" s="5" t="s">
        <v>53</v>
      </c>
      <c r="C98" s="35"/>
      <c r="D98" s="35"/>
      <c r="E98" s="35"/>
      <c r="F98" s="35"/>
      <c r="G98" s="36"/>
    </row>
    <row r="99" spans="2:7" ht="16.05" customHeight="1" x14ac:dyDescent="0.25">
      <c r="B99" s="7" t="s">
        <v>30</v>
      </c>
      <c r="C99" s="47">
        <v>0.18</v>
      </c>
      <c r="D99" s="48">
        <v>0.17</v>
      </c>
      <c r="E99" s="48">
        <v>0.19</v>
      </c>
      <c r="F99" s="48">
        <v>0.18</v>
      </c>
      <c r="G99" s="49">
        <v>0.16</v>
      </c>
    </row>
    <row r="100" spans="2:7" ht="16.05" customHeight="1" x14ac:dyDescent="0.25">
      <c r="B100" s="7" t="s">
        <v>31</v>
      </c>
      <c r="C100" s="47">
        <v>0.41</v>
      </c>
      <c r="D100" s="48">
        <v>0.38</v>
      </c>
      <c r="E100" s="48">
        <v>0.42</v>
      </c>
      <c r="F100" s="48">
        <v>0.41</v>
      </c>
      <c r="G100" s="49">
        <v>0.48</v>
      </c>
    </row>
    <row r="101" spans="2:7" ht="16.05" customHeight="1" x14ac:dyDescent="0.25">
      <c r="B101" s="7" t="s">
        <v>32</v>
      </c>
      <c r="C101" s="47">
        <v>0.28000000000000003</v>
      </c>
      <c r="D101" s="48">
        <v>0.27</v>
      </c>
      <c r="E101" s="48">
        <v>0.28999999999999998</v>
      </c>
      <c r="F101" s="48">
        <v>0.32</v>
      </c>
      <c r="G101" s="49">
        <v>0.28000000000000003</v>
      </c>
    </row>
    <row r="102" spans="2:7" ht="16.05" customHeight="1" x14ac:dyDescent="0.25">
      <c r="B102" s="7" t="s">
        <v>33</v>
      </c>
      <c r="C102" s="47">
        <v>0.18</v>
      </c>
      <c r="D102" s="27" t="s">
        <v>34</v>
      </c>
      <c r="E102" s="27" t="s">
        <v>34</v>
      </c>
      <c r="F102" s="27" t="s">
        <v>34</v>
      </c>
      <c r="G102" s="28" t="s">
        <v>34</v>
      </c>
    </row>
    <row r="103" spans="2:7" ht="16.05" customHeight="1" x14ac:dyDescent="0.25">
      <c r="B103" s="8" t="s">
        <v>5</v>
      </c>
      <c r="C103" s="50">
        <v>0.16</v>
      </c>
      <c r="D103" s="51">
        <v>0.15</v>
      </c>
      <c r="E103" s="51">
        <v>0.1</v>
      </c>
      <c r="F103" s="51">
        <v>0.12</v>
      </c>
      <c r="G103" s="52">
        <v>0.12</v>
      </c>
    </row>
    <row r="104" spans="2:7" ht="16.05" customHeight="1" thickBot="1" x14ac:dyDescent="0.3">
      <c r="B104" s="17" t="s">
        <v>6</v>
      </c>
      <c r="C104" s="105">
        <v>0.18</v>
      </c>
      <c r="D104" s="106">
        <v>0.17</v>
      </c>
      <c r="E104" s="106">
        <v>0.17</v>
      </c>
      <c r="F104" s="106">
        <v>0.17</v>
      </c>
      <c r="G104" s="107">
        <v>0.16</v>
      </c>
    </row>
    <row r="105" spans="2:7" ht="16.05" customHeight="1" x14ac:dyDescent="0.25">
      <c r="B105" s="5" t="s">
        <v>136</v>
      </c>
      <c r="C105" s="47">
        <v>0.14000000000000001</v>
      </c>
      <c r="D105" s="48">
        <v>0.13</v>
      </c>
      <c r="E105" s="48">
        <v>0.16</v>
      </c>
      <c r="F105" s="48">
        <v>0.15</v>
      </c>
      <c r="G105" s="49">
        <v>0.15</v>
      </c>
    </row>
    <row r="106" spans="2:7" ht="16.05" customHeight="1" x14ac:dyDescent="0.25">
      <c r="B106" s="111" t="s">
        <v>137</v>
      </c>
      <c r="C106" s="47">
        <v>0.02</v>
      </c>
      <c r="D106" s="48">
        <v>0.02</v>
      </c>
      <c r="E106" s="48">
        <v>0.02</v>
      </c>
      <c r="F106" s="48">
        <v>0.02</v>
      </c>
      <c r="G106" s="79">
        <v>0.04</v>
      </c>
    </row>
    <row r="107" spans="2:7" ht="16.05" customHeight="1" x14ac:dyDescent="0.25">
      <c r="B107" s="102" t="s">
        <v>138</v>
      </c>
      <c r="C107" s="108">
        <v>7.0000000000000007E-2</v>
      </c>
      <c r="D107" s="109">
        <v>0.06</v>
      </c>
      <c r="E107" s="109">
        <v>7.0000000000000007E-2</v>
      </c>
      <c r="F107" s="109">
        <v>0.05</v>
      </c>
      <c r="G107" s="110">
        <v>0.06</v>
      </c>
    </row>
    <row r="108" spans="2:7" ht="16.05" customHeight="1" x14ac:dyDescent="0.25">
      <c r="B108" s="4" t="s">
        <v>135</v>
      </c>
      <c r="C108" s="112"/>
      <c r="D108" s="112"/>
      <c r="E108" s="112"/>
      <c r="F108" s="112"/>
      <c r="G108" s="113"/>
    </row>
    <row r="109" spans="2:7" ht="16.05" customHeight="1" x14ac:dyDescent="0.25">
      <c r="B109" s="117" t="s">
        <v>134</v>
      </c>
      <c r="C109" s="114" t="s">
        <v>69</v>
      </c>
      <c r="D109" s="115" t="s">
        <v>70</v>
      </c>
      <c r="E109" s="115" t="s">
        <v>71</v>
      </c>
      <c r="F109" s="115" t="s">
        <v>71</v>
      </c>
      <c r="G109" s="116" t="s">
        <v>70</v>
      </c>
    </row>
    <row r="110" spans="2:7" ht="16.05" customHeight="1" x14ac:dyDescent="0.25">
      <c r="B110" s="5" t="s">
        <v>72</v>
      </c>
      <c r="C110" s="35"/>
      <c r="D110" s="35"/>
      <c r="E110" s="35"/>
      <c r="F110" s="35"/>
      <c r="G110" s="36"/>
    </row>
    <row r="111" spans="2:7" ht="16.05" customHeight="1" x14ac:dyDescent="0.25">
      <c r="B111" s="7" t="s">
        <v>48</v>
      </c>
      <c r="C111" s="47">
        <v>0</v>
      </c>
      <c r="D111" s="48">
        <v>0</v>
      </c>
      <c r="E111" s="48">
        <v>0</v>
      </c>
      <c r="F111" s="48">
        <v>0</v>
      </c>
      <c r="G111" s="49">
        <v>0</v>
      </c>
    </row>
    <row r="112" spans="2:7" ht="16.05" customHeight="1" x14ac:dyDescent="0.25">
      <c r="B112" s="7" t="s">
        <v>49</v>
      </c>
      <c r="C112" s="47">
        <v>0.09</v>
      </c>
      <c r="D112" s="48">
        <v>0.09</v>
      </c>
      <c r="E112" s="48">
        <v>0.1</v>
      </c>
      <c r="F112" s="48">
        <v>0.1</v>
      </c>
      <c r="G112" s="49">
        <v>0.09</v>
      </c>
    </row>
    <row r="113" spans="2:7" ht="16.05" customHeight="1" x14ac:dyDescent="0.25">
      <c r="B113" s="8" t="s">
        <v>50</v>
      </c>
      <c r="C113" s="50">
        <v>0.91</v>
      </c>
      <c r="D113" s="51">
        <v>0.91</v>
      </c>
      <c r="E113" s="51">
        <v>0.9</v>
      </c>
      <c r="F113" s="51">
        <v>0.9</v>
      </c>
      <c r="G113" s="52">
        <v>0.91</v>
      </c>
    </row>
    <row r="114" spans="2:7" ht="16.05" customHeight="1" x14ac:dyDescent="0.25">
      <c r="B114" s="3" t="s">
        <v>73</v>
      </c>
      <c r="C114" s="43" t="s">
        <v>74</v>
      </c>
      <c r="D114" s="44" t="s">
        <v>75</v>
      </c>
      <c r="E114" s="44" t="s">
        <v>76</v>
      </c>
      <c r="F114" s="44" t="s">
        <v>77</v>
      </c>
      <c r="G114" s="45" t="s">
        <v>77</v>
      </c>
    </row>
    <row r="115" spans="2:7" ht="16.05" customHeight="1" x14ac:dyDescent="0.25">
      <c r="B115" s="9" t="s">
        <v>72</v>
      </c>
      <c r="C115" s="54"/>
      <c r="D115" s="54"/>
      <c r="E115" s="54"/>
      <c r="F115" s="54"/>
      <c r="G115" s="60"/>
    </row>
    <row r="116" spans="2:7" ht="16.05" customHeight="1" x14ac:dyDescent="0.25">
      <c r="B116" s="7" t="s">
        <v>48</v>
      </c>
      <c r="C116" s="47">
        <v>0</v>
      </c>
      <c r="D116" s="48">
        <v>0</v>
      </c>
      <c r="E116" s="48">
        <v>0</v>
      </c>
      <c r="F116" s="48">
        <v>0</v>
      </c>
      <c r="G116" s="49">
        <v>0</v>
      </c>
    </row>
    <row r="117" spans="2:7" ht="16.05" customHeight="1" x14ac:dyDescent="0.25">
      <c r="B117" s="7" t="s">
        <v>49</v>
      </c>
      <c r="C117" s="47">
        <v>0.56999999999999995</v>
      </c>
      <c r="D117" s="48">
        <v>0.45</v>
      </c>
      <c r="E117" s="48">
        <v>0.47</v>
      </c>
      <c r="F117" s="48">
        <v>0.43</v>
      </c>
      <c r="G117" s="49">
        <v>0.43</v>
      </c>
    </row>
    <row r="118" spans="2:7" ht="16.05" customHeight="1" x14ac:dyDescent="0.25">
      <c r="B118" s="8" t="s">
        <v>50</v>
      </c>
      <c r="C118" s="50">
        <v>0.43</v>
      </c>
      <c r="D118" s="51">
        <v>0.55000000000000004</v>
      </c>
      <c r="E118" s="51">
        <v>0.53</v>
      </c>
      <c r="F118" s="51">
        <v>0.56999999999999995</v>
      </c>
      <c r="G118" s="52">
        <v>0.56999999999999995</v>
      </c>
    </row>
    <row r="119" spans="2:7" ht="16.05" customHeight="1" x14ac:dyDescent="0.25">
      <c r="B119" s="4" t="s">
        <v>78</v>
      </c>
      <c r="C119" s="54"/>
      <c r="D119" s="54"/>
      <c r="E119" s="54"/>
      <c r="F119" s="54"/>
      <c r="G119" s="60"/>
    </row>
    <row r="120" spans="2:7" ht="16.05" customHeight="1" x14ac:dyDescent="0.25">
      <c r="B120" s="5" t="s">
        <v>79</v>
      </c>
      <c r="C120" s="46" t="s">
        <v>80</v>
      </c>
      <c r="D120" s="27" t="s">
        <v>81</v>
      </c>
      <c r="E120" s="27" t="s">
        <v>82</v>
      </c>
      <c r="F120" s="27" t="s">
        <v>83</v>
      </c>
      <c r="G120" s="28" t="s">
        <v>84</v>
      </c>
    </row>
    <row r="121" spans="2:7" ht="16.05" customHeight="1" x14ac:dyDescent="0.25">
      <c r="B121" s="5" t="s">
        <v>85</v>
      </c>
      <c r="C121" s="46" t="s">
        <v>86</v>
      </c>
      <c r="D121" s="27" t="s">
        <v>34</v>
      </c>
      <c r="E121" s="27" t="s">
        <v>34</v>
      </c>
      <c r="F121" s="27" t="s">
        <v>34</v>
      </c>
      <c r="G121" s="28" t="s">
        <v>34</v>
      </c>
    </row>
    <row r="122" spans="2:7" ht="16.05" customHeight="1" x14ac:dyDescent="0.25">
      <c r="B122" s="5" t="s">
        <v>87</v>
      </c>
      <c r="C122" s="46" t="s">
        <v>88</v>
      </c>
      <c r="D122" s="27" t="s">
        <v>89</v>
      </c>
      <c r="E122" s="27" t="s">
        <v>90</v>
      </c>
      <c r="F122" s="27" t="s">
        <v>91</v>
      </c>
      <c r="G122" s="28" t="s">
        <v>92</v>
      </c>
    </row>
    <row r="123" spans="2:7" ht="16.05" customHeight="1" x14ac:dyDescent="0.25">
      <c r="B123" s="5" t="s">
        <v>5</v>
      </c>
      <c r="C123" s="46" t="s">
        <v>93</v>
      </c>
      <c r="D123" s="27" t="s">
        <v>94</v>
      </c>
      <c r="E123" s="27" t="s">
        <v>95</v>
      </c>
      <c r="F123" s="27" t="s">
        <v>96</v>
      </c>
      <c r="G123" s="28" t="s">
        <v>97</v>
      </c>
    </row>
    <row r="124" spans="2:7" ht="16.05" customHeight="1" x14ac:dyDescent="0.25">
      <c r="B124" s="6" t="s">
        <v>98</v>
      </c>
      <c r="C124" s="61" t="s">
        <v>99</v>
      </c>
      <c r="D124" s="62" t="s">
        <v>100</v>
      </c>
      <c r="E124" s="62" t="s">
        <v>101</v>
      </c>
      <c r="F124" s="62" t="s">
        <v>102</v>
      </c>
      <c r="G124" s="63" t="s">
        <v>103</v>
      </c>
    </row>
    <row r="125" spans="2:7" ht="16.05" customHeight="1" x14ac:dyDescent="0.25">
      <c r="B125" s="16" t="s">
        <v>133</v>
      </c>
      <c r="C125" s="46"/>
      <c r="D125" s="27"/>
      <c r="E125" s="27"/>
      <c r="F125" s="118"/>
      <c r="G125" s="120"/>
    </row>
    <row r="126" spans="2:7" ht="16.05" customHeight="1" x14ac:dyDescent="0.25">
      <c r="B126" s="102" t="s">
        <v>132</v>
      </c>
      <c r="C126" s="97">
        <v>0.99</v>
      </c>
      <c r="D126" s="98">
        <v>0.98</v>
      </c>
      <c r="E126" s="98">
        <v>0.97</v>
      </c>
      <c r="F126" s="98">
        <v>0.99</v>
      </c>
      <c r="G126" s="119">
        <v>0.99</v>
      </c>
    </row>
    <row r="127" spans="2:7" ht="16.05" customHeight="1" x14ac:dyDescent="0.25">
      <c r="B127" s="4" t="s">
        <v>104</v>
      </c>
      <c r="C127" s="13"/>
      <c r="D127" s="13"/>
      <c r="E127" s="13"/>
      <c r="F127" s="13"/>
      <c r="G127" s="14"/>
    </row>
    <row r="128" spans="2:7" ht="16.05" customHeight="1" x14ac:dyDescent="0.25">
      <c r="B128" s="5" t="s">
        <v>105</v>
      </c>
      <c r="C128" s="35"/>
      <c r="D128" s="35"/>
      <c r="E128" s="35"/>
      <c r="F128" s="35"/>
      <c r="G128" s="36"/>
    </row>
    <row r="129" spans="2:7" ht="16.05" customHeight="1" x14ac:dyDescent="0.25">
      <c r="B129" s="7" t="s">
        <v>30</v>
      </c>
      <c r="C129" s="64">
        <v>0.8</v>
      </c>
      <c r="D129" s="65">
        <v>1.4</v>
      </c>
      <c r="E129" s="65">
        <v>0.6</v>
      </c>
      <c r="F129" s="65">
        <v>0.6</v>
      </c>
      <c r="G129" s="66">
        <v>0.7</v>
      </c>
    </row>
    <row r="130" spans="2:7" ht="16.05" customHeight="1" x14ac:dyDescent="0.25">
      <c r="B130" s="7" t="s">
        <v>106</v>
      </c>
      <c r="C130" s="64">
        <v>0</v>
      </c>
      <c r="D130" s="65">
        <v>0</v>
      </c>
      <c r="E130" s="65">
        <v>0.1</v>
      </c>
      <c r="F130" s="65">
        <v>0.2</v>
      </c>
      <c r="G130" s="66">
        <v>0</v>
      </c>
    </row>
    <row r="131" spans="2:7" ht="16.05" customHeight="1" x14ac:dyDescent="0.25">
      <c r="B131" s="7" t="s">
        <v>33</v>
      </c>
      <c r="C131" s="64">
        <v>0.3</v>
      </c>
      <c r="D131" s="27" t="s">
        <v>34</v>
      </c>
      <c r="E131" s="27" t="s">
        <v>34</v>
      </c>
      <c r="F131" s="27" t="s">
        <v>34</v>
      </c>
      <c r="G131" s="28" t="s">
        <v>34</v>
      </c>
    </row>
    <row r="132" spans="2:7" ht="16.05" customHeight="1" x14ac:dyDescent="0.25">
      <c r="B132" s="7" t="s">
        <v>107</v>
      </c>
      <c r="C132" s="64">
        <v>0</v>
      </c>
      <c r="D132" s="27" t="s">
        <v>34</v>
      </c>
      <c r="E132" s="27" t="s">
        <v>34</v>
      </c>
      <c r="F132" s="27" t="s">
        <v>34</v>
      </c>
      <c r="G132" s="28" t="s">
        <v>34</v>
      </c>
    </row>
    <row r="133" spans="2:7" ht="16.05" customHeight="1" x14ac:dyDescent="0.25">
      <c r="B133" s="7" t="s">
        <v>5</v>
      </c>
      <c r="C133" s="64">
        <v>0</v>
      </c>
      <c r="D133" s="65">
        <v>0.1</v>
      </c>
      <c r="E133" s="65">
        <v>0</v>
      </c>
      <c r="F133" s="65">
        <v>0.1</v>
      </c>
      <c r="G133" s="66">
        <v>0.1</v>
      </c>
    </row>
    <row r="134" spans="2:7" ht="16.05" customHeight="1" x14ac:dyDescent="0.25">
      <c r="B134" s="7" t="s">
        <v>108</v>
      </c>
      <c r="C134" s="64">
        <v>0.1</v>
      </c>
      <c r="D134" s="65">
        <v>0</v>
      </c>
      <c r="E134" s="65">
        <v>0</v>
      </c>
      <c r="F134" s="65">
        <v>0</v>
      </c>
      <c r="G134" s="66">
        <v>0</v>
      </c>
    </row>
    <row r="135" spans="2:7" ht="16.05" customHeight="1" x14ac:dyDescent="0.25">
      <c r="B135" s="7" t="s">
        <v>32</v>
      </c>
      <c r="C135" s="64">
        <v>0</v>
      </c>
      <c r="D135" s="65">
        <v>0</v>
      </c>
      <c r="E135" s="65">
        <v>0</v>
      </c>
      <c r="F135" s="65">
        <v>0</v>
      </c>
      <c r="G135" s="66">
        <v>0</v>
      </c>
    </row>
    <row r="136" spans="2:7" ht="16.05" customHeight="1" x14ac:dyDescent="0.25">
      <c r="B136" s="7" t="s">
        <v>109</v>
      </c>
      <c r="C136" s="64">
        <v>0</v>
      </c>
      <c r="D136" s="65">
        <v>0</v>
      </c>
      <c r="E136" s="65">
        <v>0</v>
      </c>
      <c r="F136" s="65">
        <v>0</v>
      </c>
      <c r="G136" s="66">
        <v>0</v>
      </c>
    </row>
    <row r="137" spans="2:7" ht="16.05" customHeight="1" x14ac:dyDescent="0.25">
      <c r="B137" s="7" t="s">
        <v>110</v>
      </c>
      <c r="C137" s="64">
        <v>0</v>
      </c>
      <c r="D137" s="65">
        <v>0</v>
      </c>
      <c r="E137" s="65">
        <v>0</v>
      </c>
      <c r="F137" s="65">
        <v>0</v>
      </c>
      <c r="G137" s="66">
        <v>0</v>
      </c>
    </row>
    <row r="138" spans="2:7" ht="16.05" customHeight="1" x14ac:dyDescent="0.25">
      <c r="B138" s="7" t="s">
        <v>111</v>
      </c>
      <c r="C138" s="64">
        <v>0</v>
      </c>
      <c r="D138" s="65">
        <v>0</v>
      </c>
      <c r="E138" s="65">
        <v>0</v>
      </c>
      <c r="F138" s="65">
        <v>0</v>
      </c>
      <c r="G138" s="66">
        <v>0</v>
      </c>
    </row>
    <row r="139" spans="2:7" ht="16.05" customHeight="1" x14ac:dyDescent="0.25">
      <c r="B139" s="7" t="s">
        <v>112</v>
      </c>
      <c r="C139" s="64">
        <v>0</v>
      </c>
      <c r="D139" s="65">
        <v>0</v>
      </c>
      <c r="E139" s="65">
        <v>0</v>
      </c>
      <c r="F139" s="65">
        <v>0</v>
      </c>
      <c r="G139" s="66">
        <v>0</v>
      </c>
    </row>
    <row r="140" spans="2:7" ht="16.05" customHeight="1" x14ac:dyDescent="0.25">
      <c r="B140" s="8" t="s">
        <v>113</v>
      </c>
      <c r="C140" s="67">
        <v>0</v>
      </c>
      <c r="D140" s="68">
        <v>0</v>
      </c>
      <c r="E140" s="68">
        <v>0</v>
      </c>
      <c r="F140" s="68">
        <v>0</v>
      </c>
      <c r="G140" s="69">
        <v>0</v>
      </c>
    </row>
    <row r="141" spans="2:7" ht="16.05" customHeight="1" thickBot="1" x14ac:dyDescent="0.3">
      <c r="B141" s="17" t="s">
        <v>6</v>
      </c>
      <c r="C141" s="70">
        <v>0.2</v>
      </c>
      <c r="D141" s="71">
        <v>0.3</v>
      </c>
      <c r="E141" s="71">
        <v>0.2</v>
      </c>
      <c r="F141" s="71">
        <v>0.2</v>
      </c>
      <c r="G141" s="72">
        <v>0.2</v>
      </c>
    </row>
    <row r="142" spans="2:7" ht="16.05" customHeight="1" x14ac:dyDescent="0.25">
      <c r="B142" s="5" t="s">
        <v>114</v>
      </c>
      <c r="C142" s="35"/>
      <c r="D142" s="35"/>
      <c r="E142" s="35"/>
      <c r="F142" s="35"/>
      <c r="G142" s="36"/>
    </row>
    <row r="143" spans="2:7" ht="16.05" customHeight="1" x14ac:dyDescent="0.25">
      <c r="B143" s="7" t="s">
        <v>30</v>
      </c>
      <c r="C143" s="64">
        <v>29.3</v>
      </c>
      <c r="D143" s="65">
        <v>42.2</v>
      </c>
      <c r="E143" s="65">
        <v>8.8000000000000007</v>
      </c>
      <c r="F143" s="65">
        <v>10.5</v>
      </c>
      <c r="G143" s="66">
        <v>5.5</v>
      </c>
    </row>
    <row r="144" spans="2:7" ht="16.05" customHeight="1" x14ac:dyDescent="0.25">
      <c r="B144" s="7" t="s">
        <v>106</v>
      </c>
      <c r="C144" s="64">
        <v>0</v>
      </c>
      <c r="D144" s="65">
        <v>0</v>
      </c>
      <c r="E144" s="65">
        <v>826.5</v>
      </c>
      <c r="F144" s="65">
        <v>6.1</v>
      </c>
      <c r="G144" s="66">
        <v>0</v>
      </c>
    </row>
    <row r="145" spans="2:7" ht="16.05" customHeight="1" x14ac:dyDescent="0.25">
      <c r="B145" s="7" t="s">
        <v>33</v>
      </c>
      <c r="C145" s="64">
        <v>0</v>
      </c>
      <c r="D145" s="27" t="s">
        <v>34</v>
      </c>
      <c r="E145" s="27" t="s">
        <v>34</v>
      </c>
      <c r="F145" s="27" t="s">
        <v>34</v>
      </c>
      <c r="G145" s="28" t="s">
        <v>34</v>
      </c>
    </row>
    <row r="146" spans="2:7" ht="16.05" customHeight="1" x14ac:dyDescent="0.25">
      <c r="B146" s="7" t="s">
        <v>107</v>
      </c>
      <c r="C146" s="64">
        <v>0</v>
      </c>
      <c r="D146" s="27" t="s">
        <v>34</v>
      </c>
      <c r="E146" s="27" t="s">
        <v>34</v>
      </c>
      <c r="F146" s="27" t="s">
        <v>34</v>
      </c>
      <c r="G146" s="28" t="s">
        <v>34</v>
      </c>
    </row>
    <row r="147" spans="2:7" ht="16.05" customHeight="1" x14ac:dyDescent="0.25">
      <c r="B147" s="7" t="s">
        <v>5</v>
      </c>
      <c r="C147" s="64">
        <v>0</v>
      </c>
      <c r="D147" s="65">
        <v>0</v>
      </c>
      <c r="E147" s="65">
        <v>0</v>
      </c>
      <c r="F147" s="65">
        <v>0</v>
      </c>
      <c r="G147" s="66">
        <v>9.4</v>
      </c>
    </row>
    <row r="148" spans="2:7" ht="16.05" customHeight="1" x14ac:dyDescent="0.25">
      <c r="B148" s="7" t="s">
        <v>108</v>
      </c>
      <c r="C148" s="64">
        <v>0.4</v>
      </c>
      <c r="D148" s="65">
        <v>7</v>
      </c>
      <c r="E148" s="65">
        <v>0.2</v>
      </c>
      <c r="F148" s="65">
        <v>0</v>
      </c>
      <c r="G148" s="66">
        <v>1.6</v>
      </c>
    </row>
    <row r="149" spans="2:7" ht="16.05" customHeight="1" x14ac:dyDescent="0.25">
      <c r="B149" s="7" t="s">
        <v>32</v>
      </c>
      <c r="C149" s="64">
        <v>0</v>
      </c>
      <c r="D149" s="65">
        <v>0</v>
      </c>
      <c r="E149" s="65">
        <v>0</v>
      </c>
      <c r="F149" s="65">
        <v>0</v>
      </c>
      <c r="G149" s="66">
        <v>0</v>
      </c>
    </row>
    <row r="150" spans="2:7" ht="16.05" customHeight="1" x14ac:dyDescent="0.25">
      <c r="B150" s="7" t="s">
        <v>109</v>
      </c>
      <c r="C150" s="64">
        <v>0</v>
      </c>
      <c r="D150" s="65">
        <v>0</v>
      </c>
      <c r="E150" s="65">
        <v>0</v>
      </c>
      <c r="F150" s="65">
        <v>0</v>
      </c>
      <c r="G150" s="66">
        <v>0</v>
      </c>
    </row>
    <row r="151" spans="2:7" ht="16.05" customHeight="1" x14ac:dyDescent="0.25">
      <c r="B151" s="7" t="s">
        <v>110</v>
      </c>
      <c r="C151" s="64">
        <v>0</v>
      </c>
      <c r="D151" s="65">
        <v>0</v>
      </c>
      <c r="E151" s="65">
        <v>0</v>
      </c>
      <c r="F151" s="65">
        <v>0</v>
      </c>
      <c r="G151" s="66">
        <v>0</v>
      </c>
    </row>
    <row r="152" spans="2:7" ht="16.05" customHeight="1" x14ac:dyDescent="0.25">
      <c r="B152" s="7" t="s">
        <v>111</v>
      </c>
      <c r="C152" s="64">
        <v>0</v>
      </c>
      <c r="D152" s="65">
        <v>0</v>
      </c>
      <c r="E152" s="65">
        <v>0</v>
      </c>
      <c r="F152" s="65">
        <v>0</v>
      </c>
      <c r="G152" s="66">
        <v>0</v>
      </c>
    </row>
    <row r="153" spans="2:7" ht="16.05" customHeight="1" x14ac:dyDescent="0.25">
      <c r="B153" s="7" t="s">
        <v>112</v>
      </c>
      <c r="C153" s="64">
        <v>0</v>
      </c>
      <c r="D153" s="65">
        <v>0</v>
      </c>
      <c r="E153" s="65">
        <v>0</v>
      </c>
      <c r="F153" s="65">
        <v>0</v>
      </c>
      <c r="G153" s="66">
        <v>0</v>
      </c>
    </row>
    <row r="154" spans="2:7" ht="16.05" customHeight="1" x14ac:dyDescent="0.25">
      <c r="B154" s="8" t="s">
        <v>113</v>
      </c>
      <c r="C154" s="67">
        <v>0</v>
      </c>
      <c r="D154" s="68">
        <v>0</v>
      </c>
      <c r="E154" s="68">
        <v>0</v>
      </c>
      <c r="F154" s="68">
        <v>0</v>
      </c>
      <c r="G154" s="69">
        <v>0</v>
      </c>
    </row>
    <row r="155" spans="2:7" ht="16.05" customHeight="1" thickBot="1" x14ac:dyDescent="0.3">
      <c r="B155" s="17" t="s">
        <v>6</v>
      </c>
      <c r="C155" s="70">
        <v>4.9000000000000004</v>
      </c>
      <c r="D155" s="71">
        <v>11</v>
      </c>
      <c r="E155" s="71">
        <v>94.9</v>
      </c>
      <c r="F155" s="71">
        <v>3.4</v>
      </c>
      <c r="G155" s="72">
        <v>4.0999999999999996</v>
      </c>
    </row>
    <row r="156" spans="2:7" ht="16.05" customHeight="1" x14ac:dyDescent="0.25">
      <c r="B156" s="5" t="s">
        <v>115</v>
      </c>
      <c r="C156" s="35"/>
      <c r="D156" s="35"/>
      <c r="E156" s="35"/>
      <c r="F156" s="35"/>
      <c r="G156" s="36"/>
    </row>
    <row r="157" spans="2:7" ht="16.05" customHeight="1" x14ac:dyDescent="0.25">
      <c r="B157" s="7" t="s">
        <v>30</v>
      </c>
      <c r="C157" s="64">
        <v>5</v>
      </c>
      <c r="D157" s="65">
        <v>3.8</v>
      </c>
      <c r="E157" s="65">
        <v>2.8</v>
      </c>
      <c r="F157" s="65">
        <v>2.7</v>
      </c>
      <c r="G157" s="66">
        <v>3.1</v>
      </c>
    </row>
    <row r="158" spans="2:7" ht="16.05" customHeight="1" x14ac:dyDescent="0.25">
      <c r="B158" s="7" t="s">
        <v>106</v>
      </c>
      <c r="C158" s="64">
        <v>5</v>
      </c>
      <c r="D158" s="65">
        <v>4</v>
      </c>
      <c r="E158" s="65">
        <v>5.7</v>
      </c>
      <c r="F158" s="65">
        <v>3.4</v>
      </c>
      <c r="G158" s="66">
        <v>4.3</v>
      </c>
    </row>
    <row r="159" spans="2:7" ht="16.05" customHeight="1" x14ac:dyDescent="0.25">
      <c r="B159" s="7" t="s">
        <v>33</v>
      </c>
      <c r="C159" s="64">
        <v>1.7</v>
      </c>
      <c r="D159" s="27" t="s">
        <v>34</v>
      </c>
      <c r="E159" s="27" t="s">
        <v>34</v>
      </c>
      <c r="F159" s="27" t="s">
        <v>34</v>
      </c>
      <c r="G159" s="28" t="s">
        <v>34</v>
      </c>
    </row>
    <row r="160" spans="2:7" ht="16.05" customHeight="1" x14ac:dyDescent="0.25">
      <c r="B160" s="7" t="s">
        <v>107</v>
      </c>
      <c r="C160" s="64">
        <v>1.8</v>
      </c>
      <c r="D160" s="27" t="s">
        <v>34</v>
      </c>
      <c r="E160" s="27" t="s">
        <v>34</v>
      </c>
      <c r="F160" s="27" t="s">
        <v>34</v>
      </c>
      <c r="G160" s="28" t="s">
        <v>34</v>
      </c>
    </row>
    <row r="161" spans="2:7" ht="16.05" customHeight="1" x14ac:dyDescent="0.25">
      <c r="B161" s="7" t="s">
        <v>5</v>
      </c>
      <c r="C161" s="64">
        <v>0.1</v>
      </c>
      <c r="D161" s="65">
        <v>0.1</v>
      </c>
      <c r="E161" s="65">
        <v>0.1</v>
      </c>
      <c r="F161" s="65">
        <v>0.2</v>
      </c>
      <c r="G161" s="66">
        <v>0.3</v>
      </c>
    </row>
    <row r="162" spans="2:7" ht="16.05" customHeight="1" x14ac:dyDescent="0.25">
      <c r="B162" s="7" t="s">
        <v>108</v>
      </c>
      <c r="C162" s="64">
        <v>0.3</v>
      </c>
      <c r="D162" s="65">
        <v>0.2</v>
      </c>
      <c r="E162" s="65">
        <v>0.4</v>
      </c>
      <c r="F162" s="65">
        <v>0.4</v>
      </c>
      <c r="G162" s="66">
        <v>0.3</v>
      </c>
    </row>
    <row r="163" spans="2:7" ht="16.05" customHeight="1" x14ac:dyDescent="0.25">
      <c r="B163" s="7" t="s">
        <v>32</v>
      </c>
      <c r="C163" s="64">
        <v>0</v>
      </c>
      <c r="D163" s="65">
        <v>6.6</v>
      </c>
      <c r="E163" s="65">
        <v>5.2</v>
      </c>
      <c r="F163" s="65">
        <v>4.2</v>
      </c>
      <c r="G163" s="66">
        <v>0</v>
      </c>
    </row>
    <row r="164" spans="2:7" ht="16.95" customHeight="1" x14ac:dyDescent="0.25">
      <c r="B164" s="7" t="s">
        <v>109</v>
      </c>
      <c r="C164" s="64">
        <v>7.6</v>
      </c>
      <c r="D164" s="65">
        <v>0.8</v>
      </c>
      <c r="E164" s="65">
        <v>0</v>
      </c>
      <c r="F164" s="65">
        <v>0</v>
      </c>
      <c r="G164" s="66">
        <v>0</v>
      </c>
    </row>
    <row r="165" spans="2:7" ht="16.05" customHeight="1" x14ac:dyDescent="0.25">
      <c r="B165" s="7" t="s">
        <v>110</v>
      </c>
      <c r="C165" s="64">
        <v>1.3</v>
      </c>
      <c r="D165" s="65">
        <v>0</v>
      </c>
      <c r="E165" s="65">
        <v>0</v>
      </c>
      <c r="F165" s="65">
        <v>0</v>
      </c>
      <c r="G165" s="66">
        <v>1.3</v>
      </c>
    </row>
    <row r="166" spans="2:7" ht="16.05" customHeight="1" x14ac:dyDescent="0.25">
      <c r="B166" s="7" t="s">
        <v>111</v>
      </c>
      <c r="C166" s="64">
        <v>0</v>
      </c>
      <c r="D166" s="65">
        <v>0</v>
      </c>
      <c r="E166" s="65">
        <v>0</v>
      </c>
      <c r="F166" s="65">
        <v>0</v>
      </c>
      <c r="G166" s="66">
        <v>0</v>
      </c>
    </row>
    <row r="167" spans="2:7" ht="16.05" customHeight="1" x14ac:dyDescent="0.25">
      <c r="B167" s="7" t="s">
        <v>112</v>
      </c>
      <c r="C167" s="64">
        <v>0</v>
      </c>
      <c r="D167" s="65">
        <v>0</v>
      </c>
      <c r="E167" s="65">
        <v>0</v>
      </c>
      <c r="F167" s="65">
        <v>0</v>
      </c>
      <c r="G167" s="66">
        <v>0</v>
      </c>
    </row>
    <row r="168" spans="2:7" ht="16.05" customHeight="1" x14ac:dyDescent="0.25">
      <c r="B168" s="8" t="s">
        <v>113</v>
      </c>
      <c r="C168" s="67">
        <v>0</v>
      </c>
      <c r="D168" s="68">
        <v>0</v>
      </c>
      <c r="E168" s="68">
        <v>0</v>
      </c>
      <c r="F168" s="68">
        <v>0</v>
      </c>
      <c r="G168" s="69">
        <v>0</v>
      </c>
    </row>
    <row r="169" spans="2:7" ht="16.05" customHeight="1" thickBot="1" x14ac:dyDescent="0.3">
      <c r="B169" s="17" t="s">
        <v>6</v>
      </c>
      <c r="C169" s="70">
        <v>1.2</v>
      </c>
      <c r="D169" s="71">
        <v>1.3</v>
      </c>
      <c r="E169" s="71">
        <v>1.4</v>
      </c>
      <c r="F169" s="71">
        <v>1.3</v>
      </c>
      <c r="G169" s="72">
        <v>1.3</v>
      </c>
    </row>
    <row r="170" spans="2:7" ht="16.05" customHeight="1" x14ac:dyDescent="0.25">
      <c r="B170" s="5" t="s">
        <v>116</v>
      </c>
      <c r="C170" s="35"/>
      <c r="D170" s="35"/>
      <c r="E170" s="35"/>
      <c r="F170" s="35"/>
      <c r="G170" s="36"/>
    </row>
    <row r="171" spans="2:7" ht="16.05" customHeight="1" x14ac:dyDescent="0.25">
      <c r="B171" s="7" t="s">
        <v>30</v>
      </c>
      <c r="C171" s="64">
        <v>17.8</v>
      </c>
      <c r="D171" s="65">
        <v>17</v>
      </c>
      <c r="E171" s="65">
        <v>14</v>
      </c>
      <c r="F171" s="65">
        <v>18.100000000000001</v>
      </c>
      <c r="G171" s="66">
        <v>20.8</v>
      </c>
    </row>
    <row r="172" spans="2:7" ht="16.05" customHeight="1" x14ac:dyDescent="0.25">
      <c r="B172" s="7" t="s">
        <v>106</v>
      </c>
      <c r="C172" s="64">
        <v>12.3</v>
      </c>
      <c r="D172" s="65">
        <v>17.399999999999999</v>
      </c>
      <c r="E172" s="65">
        <v>14.5</v>
      </c>
      <c r="F172" s="65">
        <v>12.6</v>
      </c>
      <c r="G172" s="66">
        <v>16.600000000000001</v>
      </c>
    </row>
    <row r="173" spans="2:7" ht="16.05" customHeight="1" x14ac:dyDescent="0.25">
      <c r="B173" s="7" t="s">
        <v>33</v>
      </c>
      <c r="C173" s="64">
        <v>13.6</v>
      </c>
      <c r="D173" s="27" t="s">
        <v>34</v>
      </c>
      <c r="E173" s="27" t="s">
        <v>34</v>
      </c>
      <c r="F173" s="27" t="s">
        <v>34</v>
      </c>
      <c r="G173" s="28" t="s">
        <v>34</v>
      </c>
    </row>
    <row r="174" spans="2:7" ht="16.05" customHeight="1" x14ac:dyDescent="0.25">
      <c r="B174" s="7" t="s">
        <v>107</v>
      </c>
      <c r="C174" s="64">
        <v>10.8</v>
      </c>
      <c r="D174" s="27" t="s">
        <v>34</v>
      </c>
      <c r="E174" s="27" t="s">
        <v>34</v>
      </c>
      <c r="F174" s="27" t="s">
        <v>34</v>
      </c>
      <c r="G174" s="28" t="s">
        <v>34</v>
      </c>
    </row>
    <row r="175" spans="2:7" ht="16.05" customHeight="1" x14ac:dyDescent="0.25">
      <c r="B175" s="7" t="s">
        <v>5</v>
      </c>
      <c r="C175" s="64">
        <v>0.7</v>
      </c>
      <c r="D175" s="65">
        <v>0.2</v>
      </c>
      <c r="E175" s="65">
        <v>0.2</v>
      </c>
      <c r="F175" s="65">
        <v>0.2</v>
      </c>
      <c r="G175" s="66">
        <v>0.4</v>
      </c>
    </row>
    <row r="176" spans="2:7" ht="16.05" customHeight="1" x14ac:dyDescent="0.25">
      <c r="B176" s="7" t="s">
        <v>108</v>
      </c>
      <c r="C176" s="64">
        <v>0.3</v>
      </c>
      <c r="D176" s="65">
        <v>1</v>
      </c>
      <c r="E176" s="65">
        <v>0.8</v>
      </c>
      <c r="F176" s="65">
        <v>0.8</v>
      </c>
      <c r="G176" s="66">
        <v>0.9</v>
      </c>
    </row>
    <row r="177" spans="2:7" ht="16.05" customHeight="1" x14ac:dyDescent="0.25">
      <c r="B177" s="7" t="s">
        <v>32</v>
      </c>
      <c r="C177" s="64">
        <v>4.5</v>
      </c>
      <c r="D177" s="65">
        <v>9.9</v>
      </c>
      <c r="E177" s="65">
        <v>2.6</v>
      </c>
      <c r="F177" s="65">
        <v>0</v>
      </c>
      <c r="G177" s="66">
        <v>3.4</v>
      </c>
    </row>
    <row r="178" spans="2:7" ht="16.05" customHeight="1" x14ac:dyDescent="0.25">
      <c r="B178" s="7" t="s">
        <v>109</v>
      </c>
      <c r="C178" s="64">
        <v>0</v>
      </c>
      <c r="D178" s="65">
        <v>0</v>
      </c>
      <c r="E178" s="65">
        <v>1.2</v>
      </c>
      <c r="F178" s="65">
        <v>0</v>
      </c>
      <c r="G178" s="66">
        <v>12.5</v>
      </c>
    </row>
    <row r="179" spans="2:7" ht="16.05" customHeight="1" x14ac:dyDescent="0.25">
      <c r="B179" s="7" t="s">
        <v>117</v>
      </c>
      <c r="C179" s="64">
        <v>0</v>
      </c>
      <c r="D179" s="65">
        <v>9.3000000000000007</v>
      </c>
      <c r="E179" s="65">
        <v>0</v>
      </c>
      <c r="F179" s="65">
        <v>0</v>
      </c>
      <c r="G179" s="66">
        <v>0</v>
      </c>
    </row>
    <row r="180" spans="2:7" ht="16.05" customHeight="1" x14ac:dyDescent="0.25">
      <c r="B180" s="7" t="s">
        <v>118</v>
      </c>
      <c r="C180" s="64">
        <v>0</v>
      </c>
      <c r="D180" s="65">
        <v>0</v>
      </c>
      <c r="E180" s="65">
        <v>0</v>
      </c>
      <c r="F180" s="65">
        <v>0</v>
      </c>
      <c r="G180" s="66">
        <v>0</v>
      </c>
    </row>
    <row r="181" spans="2:7" ht="16.05" customHeight="1" x14ac:dyDescent="0.25">
      <c r="B181" s="7" t="s">
        <v>112</v>
      </c>
      <c r="C181" s="64">
        <v>0</v>
      </c>
      <c r="D181" s="65">
        <v>0</v>
      </c>
      <c r="E181" s="65">
        <v>0</v>
      </c>
      <c r="F181" s="65">
        <v>0</v>
      </c>
      <c r="G181" s="66">
        <v>0</v>
      </c>
    </row>
    <row r="182" spans="2:7" ht="16.05" customHeight="1" x14ac:dyDescent="0.25">
      <c r="B182" s="8" t="s">
        <v>113</v>
      </c>
      <c r="C182" s="67">
        <v>0</v>
      </c>
      <c r="D182" s="68">
        <v>0</v>
      </c>
      <c r="E182" s="68">
        <v>0</v>
      </c>
      <c r="F182" s="68">
        <v>0</v>
      </c>
      <c r="G182" s="69">
        <v>0</v>
      </c>
    </row>
    <row r="183" spans="2:7" ht="16.05" customHeight="1" thickBot="1" x14ac:dyDescent="0.3">
      <c r="B183" s="17" t="s">
        <v>6</v>
      </c>
      <c r="C183" s="70">
        <v>4.5</v>
      </c>
      <c r="D183" s="71">
        <v>5.7</v>
      </c>
      <c r="E183" s="71">
        <v>4.9000000000000004</v>
      </c>
      <c r="F183" s="71">
        <v>6.4</v>
      </c>
      <c r="G183" s="72">
        <v>6.9</v>
      </c>
    </row>
    <row r="184" spans="2:7" ht="16.05" customHeight="1" x14ac:dyDescent="0.25">
      <c r="B184" s="5" t="s">
        <v>119</v>
      </c>
      <c r="C184" s="24">
        <v>0</v>
      </c>
      <c r="D184" s="25">
        <v>0</v>
      </c>
      <c r="E184" s="25">
        <v>1</v>
      </c>
      <c r="F184" s="25">
        <v>0</v>
      </c>
      <c r="G184" s="26">
        <v>0</v>
      </c>
    </row>
    <row r="185" spans="2:7" ht="16.05" customHeight="1" x14ac:dyDescent="0.25">
      <c r="B185" s="6" t="s">
        <v>120</v>
      </c>
      <c r="C185" s="73">
        <v>95</v>
      </c>
      <c r="D185" s="74">
        <v>67</v>
      </c>
      <c r="E185" s="74">
        <v>61</v>
      </c>
      <c r="F185" s="74">
        <v>57</v>
      </c>
      <c r="G185" s="75">
        <v>81</v>
      </c>
    </row>
    <row r="186" spans="2:7" ht="20.399999999999999" x14ac:dyDescent="0.25">
      <c r="B186" s="76" t="s">
        <v>131</v>
      </c>
      <c r="C186" s="77"/>
      <c r="D186" s="77"/>
      <c r="E186" s="77"/>
      <c r="F186" s="77"/>
      <c r="G186" s="77"/>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42D48D-E06C-B34D-82FF-3120F576D774}">
  <dimension ref="B1:G67"/>
  <sheetViews>
    <sheetView zoomScale="137" zoomScaleNormal="137" workbookViewId="0">
      <selection activeCell="B1" sqref="B1"/>
    </sheetView>
  </sheetViews>
  <sheetFormatPr defaultColWidth="11.5546875" defaultRowHeight="13.2" x14ac:dyDescent="0.25"/>
  <cols>
    <col min="1" max="1" width="9" customWidth="1"/>
    <col min="2" max="2" width="103.21875" style="11" customWidth="1"/>
    <col min="3" max="7" width="16" style="11" customWidth="1"/>
  </cols>
  <sheetData>
    <row r="1" spans="2:7" ht="33.6" x14ac:dyDescent="0.25">
      <c r="B1" s="1" t="s">
        <v>0</v>
      </c>
      <c r="C1" s="121"/>
      <c r="D1" s="121"/>
      <c r="E1" s="121"/>
      <c r="F1" s="121"/>
      <c r="G1" s="121"/>
    </row>
    <row r="2" spans="2:7" ht="19.05" customHeight="1" x14ac:dyDescent="0.25">
      <c r="B2" s="122" t="s">
        <v>139</v>
      </c>
      <c r="C2" s="130">
        <v>2023</v>
      </c>
      <c r="D2" s="131">
        <v>2022</v>
      </c>
      <c r="E2" s="131">
        <v>2021</v>
      </c>
      <c r="F2" s="131">
        <v>2020</v>
      </c>
      <c r="G2" s="132">
        <v>2019</v>
      </c>
    </row>
    <row r="3" spans="2:7" ht="16.95" customHeight="1" x14ac:dyDescent="0.25">
      <c r="B3" s="123" t="s">
        <v>140</v>
      </c>
      <c r="C3" s="144">
        <v>1</v>
      </c>
      <c r="D3" s="145">
        <v>0</v>
      </c>
      <c r="E3" s="145">
        <v>0</v>
      </c>
      <c r="F3" s="133">
        <v>0</v>
      </c>
      <c r="G3" s="134">
        <v>0</v>
      </c>
    </row>
    <row r="4" spans="2:7" ht="16.95" customHeight="1" x14ac:dyDescent="0.25">
      <c r="B4" s="124" t="s">
        <v>141</v>
      </c>
      <c r="C4" s="135">
        <v>0</v>
      </c>
      <c r="D4" s="145">
        <v>0</v>
      </c>
      <c r="E4" s="145">
        <v>2</v>
      </c>
      <c r="F4" s="136">
        <v>0</v>
      </c>
      <c r="G4" s="137">
        <v>1</v>
      </c>
    </row>
    <row r="5" spans="2:7" ht="16.95" customHeight="1" x14ac:dyDescent="0.2">
      <c r="B5" s="126" t="s">
        <v>142</v>
      </c>
      <c r="C5" s="222"/>
      <c r="D5" s="223"/>
      <c r="E5" s="223"/>
      <c r="F5" s="222"/>
      <c r="G5" s="224"/>
    </row>
    <row r="6" spans="2:7" ht="16.95" customHeight="1" x14ac:dyDescent="0.25">
      <c r="B6" s="111" t="s">
        <v>143</v>
      </c>
      <c r="C6" s="138">
        <v>0</v>
      </c>
      <c r="D6" s="193">
        <v>0</v>
      </c>
      <c r="E6" s="193">
        <v>0</v>
      </c>
      <c r="F6" s="139">
        <v>0</v>
      </c>
      <c r="G6" s="140">
        <v>0</v>
      </c>
    </row>
    <row r="7" spans="2:7" ht="16.95" customHeight="1" x14ac:dyDescent="0.25">
      <c r="B7" s="128" t="s">
        <v>144</v>
      </c>
      <c r="C7" s="141">
        <v>0</v>
      </c>
      <c r="D7" s="194">
        <v>0</v>
      </c>
      <c r="E7" s="194">
        <v>0</v>
      </c>
      <c r="F7" s="142">
        <v>0</v>
      </c>
      <c r="G7" s="143">
        <v>0</v>
      </c>
    </row>
    <row r="8" spans="2:7" ht="16.95" customHeight="1" x14ac:dyDescent="0.25">
      <c r="B8" s="195" t="s">
        <v>145</v>
      </c>
      <c r="C8" s="223"/>
      <c r="D8" s="223"/>
      <c r="E8" s="223"/>
      <c r="F8" s="223"/>
      <c r="G8" s="225"/>
    </row>
    <row r="9" spans="2:7" ht="16.95" customHeight="1" x14ac:dyDescent="0.25">
      <c r="B9" s="196" t="s">
        <v>146</v>
      </c>
      <c r="C9" s="197">
        <v>4</v>
      </c>
      <c r="D9" s="193">
        <v>4</v>
      </c>
      <c r="E9" s="193">
        <v>4</v>
      </c>
      <c r="F9" s="193">
        <v>4</v>
      </c>
      <c r="G9" s="198">
        <v>4</v>
      </c>
    </row>
    <row r="10" spans="2:7" ht="16.95" customHeight="1" x14ac:dyDescent="0.25">
      <c r="B10" s="199" t="s">
        <v>147</v>
      </c>
      <c r="C10" s="200">
        <v>1</v>
      </c>
      <c r="D10" s="201">
        <v>1</v>
      </c>
      <c r="E10" s="201">
        <v>1</v>
      </c>
      <c r="F10" s="201">
        <v>1</v>
      </c>
      <c r="G10" s="202">
        <v>1</v>
      </c>
    </row>
    <row r="11" spans="2:7" ht="16.95" customHeight="1" x14ac:dyDescent="0.25">
      <c r="B11" s="195" t="s">
        <v>148</v>
      </c>
      <c r="C11" s="223"/>
      <c r="D11" s="223"/>
      <c r="E11" s="223"/>
      <c r="F11" s="223"/>
      <c r="G11" s="225"/>
    </row>
    <row r="12" spans="2:7" ht="16.95" customHeight="1" x14ac:dyDescent="0.25">
      <c r="B12" s="196" t="s">
        <v>149</v>
      </c>
      <c r="C12" s="203">
        <v>1242</v>
      </c>
      <c r="D12" s="204">
        <v>1162</v>
      </c>
      <c r="E12" s="193">
        <v>354</v>
      </c>
      <c r="F12" s="193">
        <v>546</v>
      </c>
      <c r="G12" s="198">
        <v>562</v>
      </c>
    </row>
    <row r="13" spans="2:7" ht="16.95" customHeight="1" x14ac:dyDescent="0.25">
      <c r="B13" s="199" t="s">
        <v>147</v>
      </c>
      <c r="C13" s="205" t="s">
        <v>150</v>
      </c>
      <c r="D13" s="201">
        <v>0.47</v>
      </c>
      <c r="E13" s="201">
        <v>0.57999999999999996</v>
      </c>
      <c r="F13" s="201">
        <v>0.9</v>
      </c>
      <c r="G13" s="202">
        <v>0.92</v>
      </c>
    </row>
    <row r="14" spans="2:7" ht="16.95" customHeight="1" x14ac:dyDescent="0.25">
      <c r="B14" s="195" t="s">
        <v>151</v>
      </c>
      <c r="C14" s="223"/>
      <c r="D14" s="223"/>
      <c r="E14" s="223"/>
      <c r="F14" s="223"/>
      <c r="G14" s="225"/>
    </row>
    <row r="15" spans="2:7" ht="16.95" customHeight="1" x14ac:dyDescent="0.25">
      <c r="B15" s="196" t="s">
        <v>149</v>
      </c>
      <c r="C15" s="197">
        <v>12</v>
      </c>
      <c r="D15" s="193">
        <v>11</v>
      </c>
      <c r="E15" s="193">
        <v>10</v>
      </c>
      <c r="F15" s="193">
        <v>10</v>
      </c>
      <c r="G15" s="198">
        <v>9</v>
      </c>
    </row>
    <row r="16" spans="2:7" ht="16.95" customHeight="1" x14ac:dyDescent="0.25">
      <c r="B16" s="199" t="s">
        <v>147</v>
      </c>
      <c r="C16" s="200">
        <v>1</v>
      </c>
      <c r="D16" s="201">
        <v>1</v>
      </c>
      <c r="E16" s="201">
        <v>1</v>
      </c>
      <c r="F16" s="201">
        <v>1</v>
      </c>
      <c r="G16" s="202">
        <v>1</v>
      </c>
    </row>
    <row r="17" spans="2:7" ht="16.95" customHeight="1" x14ac:dyDescent="0.25">
      <c r="B17" s="195" t="s">
        <v>152</v>
      </c>
      <c r="C17" s="223"/>
      <c r="D17" s="223"/>
      <c r="E17" s="223"/>
      <c r="F17" s="223"/>
      <c r="G17" s="225"/>
    </row>
    <row r="18" spans="2:7" ht="16.95" customHeight="1" x14ac:dyDescent="0.25">
      <c r="B18" s="196" t="s">
        <v>149</v>
      </c>
      <c r="C18" s="197" t="s">
        <v>153</v>
      </c>
      <c r="D18" s="193">
        <v>11</v>
      </c>
      <c r="E18" s="193">
        <v>10</v>
      </c>
      <c r="F18" s="193">
        <v>10</v>
      </c>
      <c r="G18" s="198">
        <v>9</v>
      </c>
    </row>
    <row r="19" spans="2:7" ht="16.95" customHeight="1" x14ac:dyDescent="0.25">
      <c r="B19" s="199" t="s">
        <v>147</v>
      </c>
      <c r="C19" s="200">
        <v>1</v>
      </c>
      <c r="D19" s="201">
        <v>1</v>
      </c>
      <c r="E19" s="201">
        <v>1</v>
      </c>
      <c r="F19" s="201">
        <v>1</v>
      </c>
      <c r="G19" s="202">
        <v>1</v>
      </c>
    </row>
    <row r="20" spans="2:7" ht="16.95" customHeight="1" x14ac:dyDescent="0.25">
      <c r="B20" s="195" t="s">
        <v>154</v>
      </c>
      <c r="C20" s="223"/>
      <c r="D20" s="223"/>
      <c r="E20" s="223"/>
      <c r="F20" s="223"/>
      <c r="G20" s="225"/>
    </row>
    <row r="21" spans="2:7" ht="16.95" customHeight="1" x14ac:dyDescent="0.25">
      <c r="B21" s="196" t="s">
        <v>155</v>
      </c>
      <c r="C21" s="206">
        <v>30.33</v>
      </c>
      <c r="D21" s="207">
        <v>27.43</v>
      </c>
      <c r="E21" s="207">
        <v>26.43</v>
      </c>
      <c r="F21" s="207">
        <v>26.97</v>
      </c>
      <c r="G21" s="208">
        <v>32.35</v>
      </c>
    </row>
    <row r="22" spans="2:7" ht="16.95" customHeight="1" x14ac:dyDescent="0.25">
      <c r="B22" s="196" t="s">
        <v>156</v>
      </c>
      <c r="C22" s="206">
        <v>17.190000000000001</v>
      </c>
      <c r="D22" s="207">
        <v>5.87</v>
      </c>
      <c r="E22" s="207">
        <v>0.7</v>
      </c>
      <c r="F22" s="207">
        <v>1.37</v>
      </c>
      <c r="G22" s="208">
        <v>20</v>
      </c>
    </row>
    <row r="23" spans="2:7" ht="16.95" customHeight="1" x14ac:dyDescent="0.25">
      <c r="B23" s="196" t="s">
        <v>157</v>
      </c>
      <c r="C23" s="206">
        <v>39.25</v>
      </c>
      <c r="D23" s="207">
        <v>179.2</v>
      </c>
      <c r="E23" s="207">
        <v>30.46</v>
      </c>
      <c r="F23" s="207">
        <v>52.37</v>
      </c>
      <c r="G23" s="208">
        <v>42.92</v>
      </c>
    </row>
    <row r="24" spans="2:7" ht="16.95" customHeight="1" x14ac:dyDescent="0.25">
      <c r="B24" s="199" t="s">
        <v>158</v>
      </c>
      <c r="C24" s="209">
        <v>37.369999999999997</v>
      </c>
      <c r="D24" s="210">
        <v>31.21</v>
      </c>
      <c r="E24" s="210">
        <v>3.04</v>
      </c>
      <c r="F24" s="210">
        <v>48.53</v>
      </c>
      <c r="G24" s="211">
        <v>20.14</v>
      </c>
    </row>
    <row r="25" spans="2:7" ht="16.95" customHeight="1" x14ac:dyDescent="0.25">
      <c r="B25" s="195" t="s">
        <v>159</v>
      </c>
      <c r="C25" s="223"/>
      <c r="D25" s="223"/>
      <c r="E25" s="223"/>
      <c r="F25" s="223"/>
      <c r="G25" s="225"/>
    </row>
    <row r="26" spans="2:7" ht="16.95" customHeight="1" x14ac:dyDescent="0.25">
      <c r="B26" s="196" t="s">
        <v>160</v>
      </c>
      <c r="C26" s="223"/>
      <c r="D26" s="223"/>
      <c r="E26" s="223"/>
      <c r="F26" s="223"/>
      <c r="G26" s="225"/>
    </row>
    <row r="27" spans="2:7" ht="16.95" customHeight="1" x14ac:dyDescent="0.25">
      <c r="B27" s="7" t="s">
        <v>149</v>
      </c>
      <c r="C27" s="197">
        <v>17</v>
      </c>
      <c r="D27" s="193">
        <v>18</v>
      </c>
      <c r="E27" s="193">
        <v>16</v>
      </c>
      <c r="F27" s="193">
        <v>21</v>
      </c>
      <c r="G27" s="198">
        <v>16</v>
      </c>
    </row>
    <row r="28" spans="2:7" ht="16.95" customHeight="1" x14ac:dyDescent="0.25">
      <c r="B28" s="7" t="s">
        <v>147</v>
      </c>
      <c r="C28" s="212">
        <v>1</v>
      </c>
      <c r="D28" s="213">
        <v>1</v>
      </c>
      <c r="E28" s="213">
        <v>0.89</v>
      </c>
      <c r="F28" s="213">
        <v>1</v>
      </c>
      <c r="G28" s="214">
        <v>1</v>
      </c>
    </row>
    <row r="29" spans="2:7" ht="16.95" customHeight="1" x14ac:dyDescent="0.25">
      <c r="B29" s="196" t="s">
        <v>161</v>
      </c>
      <c r="C29" s="223"/>
      <c r="D29" s="223"/>
      <c r="E29" s="223"/>
      <c r="F29" s="223"/>
      <c r="G29" s="225"/>
    </row>
    <row r="30" spans="2:7" ht="16.95" customHeight="1" x14ac:dyDescent="0.25">
      <c r="B30" s="7" t="s">
        <v>149</v>
      </c>
      <c r="C30" s="197">
        <v>118</v>
      </c>
      <c r="D30" s="193">
        <v>181</v>
      </c>
      <c r="E30" s="193">
        <v>129</v>
      </c>
      <c r="F30" s="193">
        <v>125</v>
      </c>
      <c r="G30" s="198">
        <v>116</v>
      </c>
    </row>
    <row r="31" spans="2:7" ht="16.95" customHeight="1" x14ac:dyDescent="0.25">
      <c r="B31" s="146" t="s">
        <v>147</v>
      </c>
      <c r="C31" s="200">
        <v>1</v>
      </c>
      <c r="D31" s="201">
        <v>1</v>
      </c>
      <c r="E31" s="201">
        <v>1</v>
      </c>
      <c r="F31" s="201">
        <v>1</v>
      </c>
      <c r="G31" s="202">
        <v>1</v>
      </c>
    </row>
    <row r="32" spans="2:7" ht="16.95" customHeight="1" x14ac:dyDescent="0.25">
      <c r="B32" s="215" t="s">
        <v>162</v>
      </c>
      <c r="C32" s="216" t="s">
        <v>163</v>
      </c>
      <c r="D32" s="145" t="s">
        <v>163</v>
      </c>
      <c r="E32" s="145" t="s">
        <v>163</v>
      </c>
      <c r="F32" s="145" t="s">
        <v>163</v>
      </c>
      <c r="G32" s="217" t="s">
        <v>163</v>
      </c>
    </row>
    <row r="33" spans="2:7" ht="16.95" customHeight="1" x14ac:dyDescent="0.25">
      <c r="B33" s="195" t="s">
        <v>164</v>
      </c>
      <c r="C33" s="223"/>
      <c r="D33" s="223"/>
      <c r="E33" s="223"/>
      <c r="F33" s="223"/>
      <c r="G33" s="225"/>
    </row>
    <row r="34" spans="2:7" ht="16.95" customHeight="1" x14ac:dyDescent="0.25">
      <c r="B34" s="196" t="s">
        <v>165</v>
      </c>
      <c r="C34" s="197">
        <v>61</v>
      </c>
      <c r="D34" s="193">
        <v>85</v>
      </c>
      <c r="E34" s="193">
        <v>55</v>
      </c>
      <c r="F34" s="193">
        <v>64</v>
      </c>
      <c r="G34" s="198">
        <v>78</v>
      </c>
    </row>
    <row r="35" spans="2:7" ht="16.95" customHeight="1" x14ac:dyDescent="0.25">
      <c r="B35" s="196" t="s">
        <v>166</v>
      </c>
      <c r="C35" s="197">
        <v>61</v>
      </c>
      <c r="D35" s="193">
        <v>85</v>
      </c>
      <c r="E35" s="193">
        <v>55</v>
      </c>
      <c r="F35" s="193">
        <v>64</v>
      </c>
      <c r="G35" s="198">
        <v>9</v>
      </c>
    </row>
    <row r="36" spans="2:7" ht="16.95" customHeight="1" x14ac:dyDescent="0.25">
      <c r="B36" s="196" t="s">
        <v>167</v>
      </c>
      <c r="C36" s="197">
        <v>38</v>
      </c>
      <c r="D36" s="193">
        <v>75</v>
      </c>
      <c r="E36" s="193">
        <v>46</v>
      </c>
      <c r="F36" s="193">
        <v>53</v>
      </c>
      <c r="G36" s="198">
        <v>69</v>
      </c>
    </row>
    <row r="37" spans="2:7" ht="16.95" customHeight="1" x14ac:dyDescent="0.25">
      <c r="B37" s="196" t="s">
        <v>168</v>
      </c>
      <c r="C37" s="197">
        <v>0</v>
      </c>
      <c r="D37" s="193">
        <v>0</v>
      </c>
      <c r="E37" s="193">
        <v>0</v>
      </c>
      <c r="F37" s="193">
        <v>0</v>
      </c>
      <c r="G37" s="198">
        <v>6</v>
      </c>
    </row>
    <row r="38" spans="2:7" ht="16.95" customHeight="1" x14ac:dyDescent="0.25">
      <c r="B38" s="196" t="s">
        <v>169</v>
      </c>
      <c r="C38" s="223"/>
      <c r="D38" s="223"/>
      <c r="E38" s="223"/>
      <c r="F38" s="223"/>
      <c r="G38" s="225"/>
    </row>
    <row r="39" spans="2:7" ht="16.95" customHeight="1" x14ac:dyDescent="0.25">
      <c r="B39" s="7" t="s">
        <v>193</v>
      </c>
      <c r="C39" s="197">
        <v>7</v>
      </c>
      <c r="D39" s="193">
        <v>5</v>
      </c>
      <c r="E39" s="193">
        <v>3</v>
      </c>
      <c r="F39" s="193">
        <v>7</v>
      </c>
      <c r="G39" s="198">
        <v>5</v>
      </c>
    </row>
    <row r="40" spans="2:7" ht="16.95" customHeight="1" x14ac:dyDescent="0.25">
      <c r="B40" s="7" t="s">
        <v>192</v>
      </c>
      <c r="C40" s="197">
        <v>252</v>
      </c>
      <c r="D40" s="193">
        <v>235</v>
      </c>
      <c r="E40" s="193">
        <v>132</v>
      </c>
      <c r="F40" s="193">
        <v>151</v>
      </c>
      <c r="G40" s="198">
        <v>152</v>
      </c>
    </row>
    <row r="41" spans="2:7" ht="16.95" customHeight="1" x14ac:dyDescent="0.25">
      <c r="B41" s="7" t="s">
        <v>191</v>
      </c>
      <c r="C41" s="197">
        <v>0</v>
      </c>
      <c r="D41" s="193">
        <v>3</v>
      </c>
      <c r="E41" s="193">
        <v>1</v>
      </c>
      <c r="F41" s="193">
        <v>9</v>
      </c>
      <c r="G41" s="198">
        <v>4</v>
      </c>
    </row>
    <row r="42" spans="2:7" ht="16.95" customHeight="1" x14ac:dyDescent="0.25">
      <c r="B42" s="7" t="s">
        <v>190</v>
      </c>
      <c r="C42" s="197">
        <v>2</v>
      </c>
      <c r="D42" s="193">
        <v>0</v>
      </c>
      <c r="E42" s="193">
        <v>1</v>
      </c>
      <c r="F42" s="193">
        <v>1</v>
      </c>
      <c r="G42" s="198">
        <v>1</v>
      </c>
    </row>
    <row r="43" spans="2:7" ht="16.95" customHeight="1" x14ac:dyDescent="0.25">
      <c r="B43" s="146" t="s">
        <v>189</v>
      </c>
      <c r="C43" s="205">
        <v>5</v>
      </c>
      <c r="D43" s="194">
        <v>11</v>
      </c>
      <c r="E43" s="194">
        <v>48</v>
      </c>
      <c r="F43" s="194">
        <v>26</v>
      </c>
      <c r="G43" s="218">
        <v>25</v>
      </c>
    </row>
    <row r="44" spans="2:7" ht="16.95" customHeight="1" x14ac:dyDescent="0.25">
      <c r="B44" s="195" t="s">
        <v>170</v>
      </c>
      <c r="C44" s="223"/>
      <c r="D44" s="223"/>
      <c r="E44" s="223"/>
      <c r="F44" s="223"/>
      <c r="G44" s="225"/>
    </row>
    <row r="45" spans="2:7" ht="16.95" customHeight="1" x14ac:dyDescent="0.25">
      <c r="B45" s="196" t="s">
        <v>171</v>
      </c>
      <c r="C45" s="197">
        <v>6</v>
      </c>
      <c r="D45" s="193">
        <v>5</v>
      </c>
      <c r="E45" s="193">
        <v>6</v>
      </c>
      <c r="F45" s="193">
        <v>4</v>
      </c>
      <c r="G45" s="198">
        <v>4</v>
      </c>
    </row>
    <row r="46" spans="2:7" ht="16.95" customHeight="1" x14ac:dyDescent="0.25">
      <c r="B46" s="196" t="s">
        <v>172</v>
      </c>
      <c r="C46" s="197">
        <v>6</v>
      </c>
      <c r="D46" s="193">
        <v>5</v>
      </c>
      <c r="E46" s="193">
        <v>6</v>
      </c>
      <c r="F46" s="193">
        <v>4</v>
      </c>
      <c r="G46" s="198">
        <v>4</v>
      </c>
    </row>
    <row r="47" spans="2:7" ht="16.95" customHeight="1" x14ac:dyDescent="0.25">
      <c r="B47" s="196" t="s">
        <v>173</v>
      </c>
      <c r="C47" s="212">
        <v>1</v>
      </c>
      <c r="D47" s="213">
        <v>1</v>
      </c>
      <c r="E47" s="213">
        <v>1</v>
      </c>
      <c r="F47" s="213">
        <v>1</v>
      </c>
      <c r="G47" s="214">
        <v>1</v>
      </c>
    </row>
    <row r="48" spans="2:7" ht="16.95" customHeight="1" x14ac:dyDescent="0.25">
      <c r="B48" s="196" t="s">
        <v>174</v>
      </c>
      <c r="C48" s="197">
        <v>3</v>
      </c>
      <c r="D48" s="193">
        <v>2</v>
      </c>
      <c r="E48" s="193">
        <v>4</v>
      </c>
      <c r="F48" s="193">
        <v>2</v>
      </c>
      <c r="G48" s="198">
        <v>3</v>
      </c>
    </row>
    <row r="49" spans="2:7" ht="16.95" customHeight="1" x14ac:dyDescent="0.25">
      <c r="B49" s="196" t="s">
        <v>175</v>
      </c>
      <c r="C49" s="212">
        <v>1</v>
      </c>
      <c r="D49" s="213">
        <v>1</v>
      </c>
      <c r="E49" s="213">
        <v>1</v>
      </c>
      <c r="F49" s="213">
        <v>1</v>
      </c>
      <c r="G49" s="214">
        <v>1</v>
      </c>
    </row>
    <row r="50" spans="2:7" ht="28.05" customHeight="1" x14ac:dyDescent="0.25">
      <c r="B50" s="199" t="s">
        <v>176</v>
      </c>
      <c r="C50" s="219">
        <v>315341</v>
      </c>
      <c r="D50" s="220">
        <v>276402</v>
      </c>
      <c r="E50" s="220">
        <v>467800</v>
      </c>
      <c r="F50" s="220">
        <v>343132</v>
      </c>
      <c r="G50" s="221">
        <v>302116</v>
      </c>
    </row>
    <row r="51" spans="2:7" ht="16.95" customHeight="1" x14ac:dyDescent="0.25">
      <c r="B51" s="286" t="s">
        <v>292</v>
      </c>
      <c r="C51" s="284"/>
      <c r="D51" s="284"/>
      <c r="E51" s="284"/>
      <c r="F51" s="284"/>
      <c r="G51" s="285"/>
    </row>
    <row r="52" spans="2:7" ht="16.95" customHeight="1" x14ac:dyDescent="0.25">
      <c r="B52" s="287"/>
      <c r="C52" s="284"/>
      <c r="D52" s="284"/>
      <c r="E52" s="284"/>
      <c r="F52" s="284"/>
      <c r="G52" s="285"/>
    </row>
    <row r="53" spans="2:7" ht="16.95" customHeight="1" x14ac:dyDescent="0.25">
      <c r="B53" s="196" t="s">
        <v>177</v>
      </c>
      <c r="C53" s="197" t="s">
        <v>178</v>
      </c>
      <c r="D53" s="193" t="s">
        <v>178</v>
      </c>
      <c r="E53" s="193" t="s">
        <v>179</v>
      </c>
      <c r="F53" s="193" t="s">
        <v>180</v>
      </c>
      <c r="G53" s="198" t="s">
        <v>180</v>
      </c>
    </row>
    <row r="54" spans="2:7" ht="16.95" customHeight="1" x14ac:dyDescent="0.25">
      <c r="B54" s="196" t="s">
        <v>181</v>
      </c>
      <c r="C54" s="197" t="s">
        <v>180</v>
      </c>
      <c r="D54" s="193" t="s">
        <v>182</v>
      </c>
      <c r="E54" s="193" t="s">
        <v>182</v>
      </c>
      <c r="F54" s="193" t="s">
        <v>182</v>
      </c>
      <c r="G54" s="198" t="s">
        <v>182</v>
      </c>
    </row>
    <row r="55" spans="2:7" ht="16.95" customHeight="1" x14ac:dyDescent="0.25">
      <c r="B55" s="196" t="s">
        <v>183</v>
      </c>
      <c r="C55" s="197" t="s">
        <v>180</v>
      </c>
      <c r="D55" s="193" t="s">
        <v>180</v>
      </c>
      <c r="E55" s="193" t="s">
        <v>180</v>
      </c>
      <c r="F55" s="193" t="s">
        <v>180</v>
      </c>
      <c r="G55" s="198" t="s">
        <v>180</v>
      </c>
    </row>
    <row r="56" spans="2:7" ht="16.95" customHeight="1" x14ac:dyDescent="0.25">
      <c r="B56" s="199" t="s">
        <v>184</v>
      </c>
      <c r="C56" s="205" t="s">
        <v>180</v>
      </c>
      <c r="D56" s="194" t="s">
        <v>180</v>
      </c>
      <c r="E56" s="194" t="s">
        <v>180</v>
      </c>
      <c r="F56" s="194" t="s">
        <v>180</v>
      </c>
      <c r="G56" s="218" t="s">
        <v>180</v>
      </c>
    </row>
    <row r="57" spans="2:7" ht="16.95" customHeight="1" x14ac:dyDescent="0.25">
      <c r="B57" s="195" t="s">
        <v>185</v>
      </c>
      <c r="C57" s="223"/>
      <c r="D57" s="223"/>
      <c r="E57" s="223"/>
      <c r="F57" s="223"/>
      <c r="G57" s="225"/>
    </row>
    <row r="58" spans="2:7" ht="16.95" customHeight="1" x14ac:dyDescent="0.25">
      <c r="B58" s="196" t="s">
        <v>177</v>
      </c>
      <c r="C58" s="197" t="s">
        <v>180</v>
      </c>
      <c r="D58" s="193" t="s">
        <v>180</v>
      </c>
      <c r="E58" s="193" t="s">
        <v>179</v>
      </c>
      <c r="F58" s="193" t="s">
        <v>180</v>
      </c>
      <c r="G58" s="198" t="s">
        <v>180</v>
      </c>
    </row>
    <row r="59" spans="2:7" ht="16.95" customHeight="1" x14ac:dyDescent="0.25">
      <c r="B59" s="196" t="s">
        <v>181</v>
      </c>
      <c r="C59" s="197" t="s">
        <v>180</v>
      </c>
      <c r="D59" s="193" t="s">
        <v>182</v>
      </c>
      <c r="E59" s="193" t="s">
        <v>182</v>
      </c>
      <c r="F59" s="193" t="s">
        <v>182</v>
      </c>
      <c r="G59" s="198" t="s">
        <v>182</v>
      </c>
    </row>
    <row r="60" spans="2:7" ht="16.95" customHeight="1" x14ac:dyDescent="0.25">
      <c r="B60" s="196" t="s">
        <v>183</v>
      </c>
      <c r="C60" s="197" t="s">
        <v>180</v>
      </c>
      <c r="D60" s="193" t="s">
        <v>180</v>
      </c>
      <c r="E60" s="193" t="s">
        <v>180</v>
      </c>
      <c r="F60" s="193" t="s">
        <v>180</v>
      </c>
      <c r="G60" s="198" t="s">
        <v>180</v>
      </c>
    </row>
    <row r="61" spans="2:7" ht="16.95" customHeight="1" x14ac:dyDescent="0.25">
      <c r="B61" s="199" t="s">
        <v>184</v>
      </c>
      <c r="C61" s="205" t="s">
        <v>180</v>
      </c>
      <c r="D61" s="194" t="s">
        <v>180</v>
      </c>
      <c r="E61" s="194" t="s">
        <v>180</v>
      </c>
      <c r="F61" s="194" t="s">
        <v>180</v>
      </c>
      <c r="G61" s="218" t="s">
        <v>180</v>
      </c>
    </row>
    <row r="62" spans="2:7" ht="16.95" customHeight="1" x14ac:dyDescent="0.25">
      <c r="B62" s="195" t="s">
        <v>186</v>
      </c>
      <c r="C62" s="223"/>
      <c r="D62" s="223"/>
      <c r="E62" s="223"/>
      <c r="F62" s="223"/>
      <c r="G62" s="225"/>
    </row>
    <row r="63" spans="2:7" ht="36" x14ac:dyDescent="0.25">
      <c r="B63" s="196" t="s">
        <v>177</v>
      </c>
      <c r="C63" s="197" t="s">
        <v>187</v>
      </c>
      <c r="D63" s="193" t="s">
        <v>187</v>
      </c>
      <c r="E63" s="193" t="s">
        <v>187</v>
      </c>
      <c r="F63" s="193" t="s">
        <v>187</v>
      </c>
      <c r="G63" s="198" t="s">
        <v>187</v>
      </c>
    </row>
    <row r="64" spans="2:7" ht="36" x14ac:dyDescent="0.25">
      <c r="B64" s="196" t="s">
        <v>181</v>
      </c>
      <c r="C64" s="197" t="s">
        <v>187</v>
      </c>
      <c r="D64" s="193" t="s">
        <v>182</v>
      </c>
      <c r="E64" s="193" t="s">
        <v>182</v>
      </c>
      <c r="F64" s="193" t="s">
        <v>182</v>
      </c>
      <c r="G64" s="198" t="s">
        <v>182</v>
      </c>
    </row>
    <row r="65" spans="2:7" ht="36" x14ac:dyDescent="0.25">
      <c r="B65" s="196" t="s">
        <v>183</v>
      </c>
      <c r="C65" s="197" t="s">
        <v>187</v>
      </c>
      <c r="D65" s="193" t="s">
        <v>187</v>
      </c>
      <c r="E65" s="193" t="s">
        <v>187</v>
      </c>
      <c r="F65" s="193" t="s">
        <v>187</v>
      </c>
      <c r="G65" s="198" t="s">
        <v>187</v>
      </c>
    </row>
    <row r="66" spans="2:7" ht="15" customHeight="1" x14ac:dyDescent="0.25">
      <c r="B66" s="199" t="s">
        <v>188</v>
      </c>
      <c r="C66" s="205" t="s">
        <v>179</v>
      </c>
      <c r="D66" s="194" t="s">
        <v>180</v>
      </c>
      <c r="E66" s="194" t="s">
        <v>180</v>
      </c>
      <c r="F66" s="194" t="s">
        <v>180</v>
      </c>
      <c r="G66" s="218" t="s">
        <v>180</v>
      </c>
    </row>
    <row r="67" spans="2:7" ht="115.05" customHeight="1" x14ac:dyDescent="0.25">
      <c r="B67" s="281" t="s">
        <v>194</v>
      </c>
      <c r="C67" s="282"/>
      <c r="D67" s="282"/>
      <c r="E67" s="282"/>
      <c r="F67" s="282"/>
      <c r="G67" s="282"/>
    </row>
  </sheetData>
  <mergeCells count="7">
    <mergeCell ref="B67:G67"/>
    <mergeCell ref="C51:C52"/>
    <mergeCell ref="D51:D52"/>
    <mergeCell ref="E51:E52"/>
    <mergeCell ref="F51:F52"/>
    <mergeCell ref="G51:G52"/>
    <mergeCell ref="B51:B52"/>
  </mergeCells>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531F3-5950-ED4C-8DFC-D2FBB76707FE}">
  <dimension ref="A1:G138"/>
  <sheetViews>
    <sheetView tabSelected="1" zoomScale="137" zoomScaleNormal="137" workbookViewId="0">
      <selection activeCell="A6" sqref="A6"/>
    </sheetView>
  </sheetViews>
  <sheetFormatPr defaultColWidth="11.5546875" defaultRowHeight="13.2" x14ac:dyDescent="0.25"/>
  <cols>
    <col min="1" max="1" width="9.21875" customWidth="1"/>
    <col min="2" max="2" width="103.77734375" customWidth="1"/>
    <col min="3" max="7" width="16" style="77" customWidth="1"/>
  </cols>
  <sheetData>
    <row r="1" spans="1:7" ht="34.049999999999997" customHeight="1" x14ac:dyDescent="0.25">
      <c r="A1" s="147"/>
      <c r="B1" s="1" t="s">
        <v>0</v>
      </c>
      <c r="C1" s="121"/>
      <c r="D1" s="121"/>
      <c r="E1" s="121"/>
      <c r="F1" s="121"/>
      <c r="G1" s="121"/>
    </row>
    <row r="2" spans="1:7" ht="19.95" customHeight="1" x14ac:dyDescent="0.25">
      <c r="B2" s="2" t="s">
        <v>195</v>
      </c>
      <c r="C2" s="21">
        <v>2023</v>
      </c>
      <c r="D2" s="22">
        <v>2022</v>
      </c>
      <c r="E2" s="22">
        <v>2021</v>
      </c>
      <c r="F2" s="22">
        <v>2020</v>
      </c>
      <c r="G2" s="23">
        <v>2019</v>
      </c>
    </row>
    <row r="3" spans="1:7" ht="16.95" customHeight="1" x14ac:dyDescent="0.25">
      <c r="B3" s="4" t="s">
        <v>196</v>
      </c>
      <c r="C3" s="13"/>
      <c r="D3" s="13"/>
      <c r="E3" s="13"/>
      <c r="F3" s="13"/>
      <c r="G3" s="14"/>
    </row>
    <row r="4" spans="1:7" ht="16.95" customHeight="1" x14ac:dyDescent="0.25">
      <c r="A4">
        <f>C4/C8</f>
        <v>0.11420612813370473</v>
      </c>
      <c r="B4" s="5" t="s">
        <v>197</v>
      </c>
      <c r="C4" s="24">
        <v>287</v>
      </c>
      <c r="D4" s="25">
        <v>749</v>
      </c>
      <c r="E4" s="25">
        <v>544</v>
      </c>
      <c r="F4" s="25">
        <v>624</v>
      </c>
      <c r="G4" s="26">
        <v>615</v>
      </c>
    </row>
    <row r="5" spans="1:7" ht="16.95" customHeight="1" x14ac:dyDescent="0.25">
      <c r="A5">
        <f>C5/C8</f>
        <v>0.88101870274572225</v>
      </c>
      <c r="B5" s="5" t="s">
        <v>198</v>
      </c>
      <c r="C5" s="56">
        <v>2214</v>
      </c>
      <c r="D5" s="57">
        <v>2062</v>
      </c>
      <c r="E5" s="57">
        <v>1815</v>
      </c>
      <c r="F5" s="57">
        <v>1393</v>
      </c>
      <c r="G5" s="177">
        <v>1794</v>
      </c>
    </row>
    <row r="6" spans="1:7" ht="16.95" customHeight="1" x14ac:dyDescent="0.25">
      <c r="A6">
        <f>C6/C8</f>
        <v>3.9793076004775172E-3</v>
      </c>
      <c r="B6" s="5" t="s">
        <v>199</v>
      </c>
      <c r="C6" s="24">
        <v>10</v>
      </c>
      <c r="D6" s="25">
        <v>19</v>
      </c>
      <c r="E6" s="25">
        <v>19</v>
      </c>
      <c r="F6" s="25">
        <v>15</v>
      </c>
      <c r="G6" s="26">
        <v>15</v>
      </c>
    </row>
    <row r="7" spans="1:7" ht="16.95" customHeight="1" x14ac:dyDescent="0.25">
      <c r="B7" s="6" t="s">
        <v>200</v>
      </c>
      <c r="C7" s="29">
        <v>0</v>
      </c>
      <c r="D7" s="30">
        <v>0</v>
      </c>
      <c r="E7" s="30">
        <v>0</v>
      </c>
      <c r="F7" s="30">
        <v>0</v>
      </c>
      <c r="G7" s="31">
        <v>0</v>
      </c>
    </row>
    <row r="8" spans="1:7" ht="16.95" customHeight="1" thickBot="1" x14ac:dyDescent="0.3">
      <c r="B8" s="17" t="s">
        <v>6</v>
      </c>
      <c r="C8" s="99">
        <v>2513</v>
      </c>
      <c r="D8" s="100">
        <v>2830</v>
      </c>
      <c r="E8" s="100">
        <v>2378</v>
      </c>
      <c r="F8" s="100">
        <v>2031</v>
      </c>
      <c r="G8" s="226">
        <v>2424</v>
      </c>
    </row>
    <row r="9" spans="1:7" ht="16.95" customHeight="1" x14ac:dyDescent="0.25">
      <c r="B9" s="16" t="s">
        <v>201</v>
      </c>
      <c r="C9" s="46"/>
      <c r="D9" s="53"/>
      <c r="E9" s="53"/>
      <c r="F9" s="53"/>
      <c r="G9" s="174"/>
    </row>
    <row r="10" spans="1:7" ht="16.95" customHeight="1" x14ac:dyDescent="0.25">
      <c r="B10" s="5" t="s">
        <v>30</v>
      </c>
      <c r="C10" s="24">
        <v>440</v>
      </c>
      <c r="D10" s="25">
        <v>962</v>
      </c>
      <c r="E10" s="25">
        <v>760</v>
      </c>
      <c r="F10" s="25">
        <v>846</v>
      </c>
      <c r="G10" s="26">
        <v>844</v>
      </c>
    </row>
    <row r="11" spans="1:7" ht="16.95" customHeight="1" x14ac:dyDescent="0.25">
      <c r="B11" s="5" t="s">
        <v>5</v>
      </c>
      <c r="C11" s="56">
        <v>1981</v>
      </c>
      <c r="D11" s="57">
        <v>1853</v>
      </c>
      <c r="E11" s="57">
        <v>1618</v>
      </c>
      <c r="F11" s="57">
        <v>1185</v>
      </c>
      <c r="G11" s="177">
        <v>1579</v>
      </c>
    </row>
    <row r="12" spans="1:7" ht="16.95" customHeight="1" x14ac:dyDescent="0.25">
      <c r="B12" s="6" t="s">
        <v>33</v>
      </c>
      <c r="C12" s="29">
        <v>92</v>
      </c>
      <c r="D12" s="62" t="s">
        <v>34</v>
      </c>
      <c r="E12" s="62" t="s">
        <v>34</v>
      </c>
      <c r="F12" s="62" t="s">
        <v>34</v>
      </c>
      <c r="G12" s="63" t="s">
        <v>34</v>
      </c>
    </row>
    <row r="13" spans="1:7" ht="16.95" customHeight="1" x14ac:dyDescent="0.25">
      <c r="B13" s="4" t="s">
        <v>202</v>
      </c>
      <c r="C13" s="54"/>
      <c r="D13" s="54"/>
      <c r="E13" s="54"/>
      <c r="F13" s="54"/>
      <c r="G13" s="60"/>
    </row>
    <row r="14" spans="1:7" ht="16.95" customHeight="1" x14ac:dyDescent="0.25">
      <c r="B14" s="5" t="s">
        <v>30</v>
      </c>
      <c r="C14" s="24">
        <v>764</v>
      </c>
      <c r="D14" s="57">
        <v>1843</v>
      </c>
      <c r="E14" s="57">
        <v>3222</v>
      </c>
      <c r="F14" s="57">
        <v>3422</v>
      </c>
      <c r="G14" s="177">
        <v>3381</v>
      </c>
    </row>
    <row r="15" spans="1:7" ht="16.95" customHeight="1" x14ac:dyDescent="0.25">
      <c r="B15" s="5" t="s">
        <v>5</v>
      </c>
      <c r="C15" s="56">
        <v>2594</v>
      </c>
      <c r="D15" s="57">
        <v>2553</v>
      </c>
      <c r="E15" s="57">
        <v>2555</v>
      </c>
      <c r="F15" s="57">
        <v>2300</v>
      </c>
      <c r="G15" s="177">
        <v>2523</v>
      </c>
    </row>
    <row r="16" spans="1:7" ht="16.95" customHeight="1" x14ac:dyDescent="0.25">
      <c r="B16" s="5" t="s">
        <v>33</v>
      </c>
      <c r="C16" s="56">
        <v>1968</v>
      </c>
      <c r="D16" s="27" t="s">
        <v>34</v>
      </c>
      <c r="E16" s="27" t="s">
        <v>34</v>
      </c>
      <c r="F16" s="27" t="s">
        <v>34</v>
      </c>
      <c r="G16" s="28" t="s">
        <v>34</v>
      </c>
    </row>
    <row r="17" spans="2:7" ht="16.95" customHeight="1" thickBot="1" x14ac:dyDescent="0.3">
      <c r="B17" s="230" t="s">
        <v>203</v>
      </c>
      <c r="C17" s="231">
        <v>5326</v>
      </c>
      <c r="D17" s="232">
        <v>4396</v>
      </c>
      <c r="E17" s="232">
        <v>5777</v>
      </c>
      <c r="F17" s="232">
        <v>5722</v>
      </c>
      <c r="G17" s="233">
        <v>5905</v>
      </c>
    </row>
    <row r="18" spans="2:7" ht="16.95" customHeight="1" x14ac:dyDescent="0.25">
      <c r="B18" s="236" t="s">
        <v>280</v>
      </c>
      <c r="C18" s="251"/>
      <c r="D18" s="57"/>
      <c r="E18" s="252"/>
      <c r="F18" s="57"/>
      <c r="G18" s="177"/>
    </row>
    <row r="19" spans="2:7" ht="16.95" customHeight="1" x14ac:dyDescent="0.25">
      <c r="B19" s="102" t="s">
        <v>279</v>
      </c>
      <c r="C19" s="227">
        <v>0</v>
      </c>
      <c r="D19" s="228">
        <v>0</v>
      </c>
      <c r="E19" s="228">
        <v>0</v>
      </c>
      <c r="F19" s="228">
        <v>0</v>
      </c>
      <c r="G19" s="229">
        <v>0.84</v>
      </c>
    </row>
    <row r="20" spans="2:7" ht="16.95" customHeight="1" thickBot="1" x14ac:dyDescent="0.3">
      <c r="B20" s="234" t="s">
        <v>204</v>
      </c>
      <c r="C20" s="99">
        <v>5326</v>
      </c>
      <c r="D20" s="100">
        <v>4396</v>
      </c>
      <c r="E20" s="100">
        <v>5777</v>
      </c>
      <c r="F20" s="100">
        <v>5722</v>
      </c>
      <c r="G20" s="226">
        <v>5904</v>
      </c>
    </row>
    <row r="21" spans="2:7" ht="16.95" customHeight="1" x14ac:dyDescent="0.25">
      <c r="B21" s="4" t="s">
        <v>205</v>
      </c>
      <c r="C21" s="53"/>
      <c r="D21" s="53"/>
      <c r="E21" s="53"/>
      <c r="F21" s="53"/>
      <c r="G21" s="174"/>
    </row>
    <row r="22" spans="2:7" ht="16.95" customHeight="1" x14ac:dyDescent="0.25">
      <c r="B22" s="149" t="s">
        <v>206</v>
      </c>
      <c r="C22" s="53"/>
      <c r="D22" s="53"/>
      <c r="E22" s="53"/>
      <c r="F22" s="53"/>
      <c r="G22" s="174"/>
    </row>
    <row r="23" spans="2:7" ht="16.95" customHeight="1" x14ac:dyDescent="0.25">
      <c r="B23" s="7" t="s">
        <v>30</v>
      </c>
      <c r="C23" s="24">
        <v>28</v>
      </c>
      <c r="D23" s="25">
        <v>61</v>
      </c>
      <c r="E23" s="25">
        <v>48</v>
      </c>
      <c r="F23" s="25">
        <v>53</v>
      </c>
      <c r="G23" s="26">
        <v>53</v>
      </c>
    </row>
    <row r="24" spans="2:7" ht="16.95" customHeight="1" x14ac:dyDescent="0.25">
      <c r="B24" s="7" t="s">
        <v>5</v>
      </c>
      <c r="C24" s="24">
        <v>159</v>
      </c>
      <c r="D24" s="25">
        <v>149</v>
      </c>
      <c r="E24" s="25">
        <v>130</v>
      </c>
      <c r="F24" s="25">
        <v>92</v>
      </c>
      <c r="G24" s="26">
        <v>110</v>
      </c>
    </row>
    <row r="25" spans="2:7" ht="16.95" customHeight="1" x14ac:dyDescent="0.25">
      <c r="B25" s="8" t="s">
        <v>33</v>
      </c>
      <c r="C25" s="29">
        <v>67</v>
      </c>
      <c r="D25" s="62" t="s">
        <v>34</v>
      </c>
      <c r="E25" s="62" t="s">
        <v>34</v>
      </c>
      <c r="F25" s="62" t="s">
        <v>34</v>
      </c>
      <c r="G25" s="63" t="s">
        <v>34</v>
      </c>
    </row>
    <row r="26" spans="2:7" ht="16.95" customHeight="1" thickBot="1" x14ac:dyDescent="0.3">
      <c r="B26" s="256" t="s">
        <v>207</v>
      </c>
      <c r="C26" s="32">
        <v>254</v>
      </c>
      <c r="D26" s="33">
        <v>210</v>
      </c>
      <c r="E26" s="33">
        <v>178</v>
      </c>
      <c r="F26" s="33">
        <v>144</v>
      </c>
      <c r="G26" s="34">
        <v>161</v>
      </c>
    </row>
    <row r="27" spans="2:7" ht="16.95" customHeight="1" x14ac:dyDescent="0.25">
      <c r="B27" s="237" t="s">
        <v>291</v>
      </c>
      <c r="C27" s="24"/>
      <c r="D27" s="25"/>
      <c r="E27" s="25"/>
      <c r="F27" s="25"/>
      <c r="G27" s="26"/>
    </row>
    <row r="28" spans="2:7" ht="16.95" customHeight="1" x14ac:dyDescent="0.25">
      <c r="B28" s="7" t="s">
        <v>30</v>
      </c>
      <c r="C28" s="129" t="s">
        <v>281</v>
      </c>
      <c r="D28" s="125" t="s">
        <v>281</v>
      </c>
      <c r="E28" s="125" t="s">
        <v>282</v>
      </c>
      <c r="F28" s="125" t="s">
        <v>282</v>
      </c>
      <c r="G28" s="279">
        <v>3</v>
      </c>
    </row>
    <row r="29" spans="2:7" ht="16.95" customHeight="1" x14ac:dyDescent="0.25">
      <c r="B29" s="7" t="s">
        <v>5</v>
      </c>
      <c r="C29" s="129" t="s">
        <v>283</v>
      </c>
      <c r="D29" s="125" t="s">
        <v>284</v>
      </c>
      <c r="E29" s="125" t="s">
        <v>284</v>
      </c>
      <c r="F29" s="125" t="s">
        <v>285</v>
      </c>
      <c r="G29" s="279">
        <v>139</v>
      </c>
    </row>
    <row r="30" spans="2:7" ht="16.95" customHeight="1" x14ac:dyDescent="0.25">
      <c r="B30" s="146" t="s">
        <v>33</v>
      </c>
      <c r="C30" s="129" t="s">
        <v>286</v>
      </c>
      <c r="D30" s="125" t="s">
        <v>182</v>
      </c>
      <c r="E30" s="125" t="s">
        <v>182</v>
      </c>
      <c r="F30" s="125" t="s">
        <v>182</v>
      </c>
      <c r="G30" s="280" t="s">
        <v>182</v>
      </c>
    </row>
    <row r="31" spans="2:7" ht="16.95" customHeight="1" x14ac:dyDescent="0.25">
      <c r="B31" s="235" t="s">
        <v>208</v>
      </c>
      <c r="C31" s="37">
        <v>134</v>
      </c>
      <c r="D31" s="38">
        <v>124</v>
      </c>
      <c r="E31" s="38">
        <v>126</v>
      </c>
      <c r="F31" s="38">
        <v>135</v>
      </c>
      <c r="G31" s="39">
        <v>142</v>
      </c>
    </row>
    <row r="32" spans="2:7" ht="16.95" customHeight="1" thickBot="1" x14ac:dyDescent="0.3">
      <c r="B32" s="17" t="s">
        <v>6</v>
      </c>
      <c r="C32" s="32">
        <v>388</v>
      </c>
      <c r="D32" s="33">
        <v>333</v>
      </c>
      <c r="E32" s="33">
        <v>304</v>
      </c>
      <c r="F32" s="33">
        <v>286</v>
      </c>
      <c r="G32" s="34">
        <v>303</v>
      </c>
    </row>
    <row r="33" spans="2:7" ht="16.95" customHeight="1" x14ac:dyDescent="0.25">
      <c r="B33" s="149" t="s">
        <v>209</v>
      </c>
      <c r="C33" s="175"/>
      <c r="D33" s="53"/>
      <c r="E33" s="53"/>
      <c r="F33" s="53"/>
      <c r="G33" s="174"/>
    </row>
    <row r="34" spans="2:7" ht="16.95" customHeight="1" x14ac:dyDescent="0.25">
      <c r="B34" s="149" t="s">
        <v>210</v>
      </c>
      <c r="C34" s="175"/>
      <c r="D34" s="53"/>
      <c r="E34" s="53"/>
      <c r="F34" s="53"/>
      <c r="G34" s="174"/>
    </row>
    <row r="35" spans="2:7" ht="16.95" customHeight="1" x14ac:dyDescent="0.25">
      <c r="B35" s="7" t="s">
        <v>30</v>
      </c>
      <c r="C35" s="178">
        <v>0</v>
      </c>
      <c r="D35" s="179">
        <v>0</v>
      </c>
      <c r="E35" s="179">
        <v>0</v>
      </c>
      <c r="F35" s="179">
        <v>0</v>
      </c>
      <c r="G35" s="180">
        <v>0</v>
      </c>
    </row>
    <row r="36" spans="2:7" ht="16.95" customHeight="1" x14ac:dyDescent="0.25">
      <c r="B36" s="7" t="s">
        <v>33</v>
      </c>
      <c r="C36" s="178">
        <v>0</v>
      </c>
      <c r="D36" s="27" t="s">
        <v>34</v>
      </c>
      <c r="E36" s="27" t="s">
        <v>34</v>
      </c>
      <c r="F36" s="27" t="s">
        <v>34</v>
      </c>
      <c r="G36" s="28" t="s">
        <v>34</v>
      </c>
    </row>
    <row r="37" spans="2:7" ht="16.95" customHeight="1" x14ac:dyDescent="0.25">
      <c r="B37" s="7" t="s">
        <v>5</v>
      </c>
      <c r="C37" s="178">
        <v>0</v>
      </c>
      <c r="D37" s="179">
        <v>0</v>
      </c>
      <c r="E37" s="179">
        <v>0</v>
      </c>
      <c r="F37" s="179">
        <v>0</v>
      </c>
      <c r="G37" s="180">
        <v>0</v>
      </c>
    </row>
    <row r="38" spans="2:7" ht="16.95" customHeight="1" x14ac:dyDescent="0.25">
      <c r="B38" s="8" t="s">
        <v>32</v>
      </c>
      <c r="C38" s="181">
        <v>0</v>
      </c>
      <c r="D38" s="182">
        <v>0</v>
      </c>
      <c r="E38" s="182">
        <v>0</v>
      </c>
      <c r="F38" s="182">
        <v>0</v>
      </c>
      <c r="G38" s="183">
        <v>0</v>
      </c>
    </row>
    <row r="39" spans="2:7" ht="16.95" customHeight="1" thickBot="1" x14ac:dyDescent="0.3">
      <c r="B39" s="238" t="s">
        <v>6</v>
      </c>
      <c r="C39" s="239">
        <v>0</v>
      </c>
      <c r="D39" s="240">
        <v>0</v>
      </c>
      <c r="E39" s="240">
        <v>0</v>
      </c>
      <c r="F39" s="240">
        <v>0</v>
      </c>
      <c r="G39" s="241">
        <v>0</v>
      </c>
    </row>
    <row r="40" spans="2:7" ht="16.95" customHeight="1" x14ac:dyDescent="0.25">
      <c r="B40" s="5" t="s">
        <v>211</v>
      </c>
      <c r="C40" s="53"/>
      <c r="D40" s="53"/>
      <c r="E40" s="53"/>
      <c r="F40" s="53"/>
      <c r="G40" s="174"/>
    </row>
    <row r="41" spans="2:7" ht="16.95" customHeight="1" x14ac:dyDescent="0.25">
      <c r="B41" s="7" t="s">
        <v>30</v>
      </c>
      <c r="C41" s="178">
        <v>0.55000000000000004</v>
      </c>
      <c r="D41" s="179">
        <v>0.37</v>
      </c>
      <c r="E41" s="179">
        <v>0.69</v>
      </c>
      <c r="F41" s="179">
        <v>0.43</v>
      </c>
      <c r="G41" s="180">
        <v>0.65</v>
      </c>
    </row>
    <row r="42" spans="2:7" ht="16.95" customHeight="1" x14ac:dyDescent="0.25">
      <c r="B42" s="7" t="s">
        <v>33</v>
      </c>
      <c r="C42" s="178">
        <v>0</v>
      </c>
      <c r="D42" s="27" t="s">
        <v>34</v>
      </c>
      <c r="E42" s="27" t="s">
        <v>34</v>
      </c>
      <c r="F42" s="27" t="s">
        <v>34</v>
      </c>
      <c r="G42" s="28" t="s">
        <v>34</v>
      </c>
    </row>
    <row r="43" spans="2:7" ht="16.95" customHeight="1" x14ac:dyDescent="0.25">
      <c r="B43" s="7" t="s">
        <v>5</v>
      </c>
      <c r="C43" s="178">
        <v>0</v>
      </c>
      <c r="D43" s="179">
        <v>0</v>
      </c>
      <c r="E43" s="179">
        <v>0</v>
      </c>
      <c r="F43" s="27" t="s">
        <v>34</v>
      </c>
      <c r="G43" s="28" t="s">
        <v>34</v>
      </c>
    </row>
    <row r="44" spans="2:7" ht="16.95" customHeight="1" x14ac:dyDescent="0.25">
      <c r="B44" s="8" t="s">
        <v>32</v>
      </c>
      <c r="C44" s="181">
        <v>0</v>
      </c>
      <c r="D44" s="182">
        <v>0</v>
      </c>
      <c r="E44" s="182">
        <v>0</v>
      </c>
      <c r="F44" s="182">
        <v>0</v>
      </c>
      <c r="G44" s="183">
        <v>0</v>
      </c>
    </row>
    <row r="45" spans="2:7" ht="16.95" customHeight="1" thickBot="1" x14ac:dyDescent="0.3">
      <c r="B45" s="238" t="s">
        <v>6</v>
      </c>
      <c r="C45" s="239">
        <v>0.55000000000000004</v>
      </c>
      <c r="D45" s="240">
        <v>0.37</v>
      </c>
      <c r="E45" s="240">
        <v>0.69</v>
      </c>
      <c r="F45" s="240">
        <v>0.43</v>
      </c>
      <c r="G45" s="241">
        <v>0.65</v>
      </c>
    </row>
    <row r="46" spans="2:7" ht="16.95" customHeight="1" x14ac:dyDescent="0.25">
      <c r="B46" s="16" t="s">
        <v>212</v>
      </c>
      <c r="C46" s="53"/>
      <c r="D46" s="53"/>
      <c r="E46" s="53"/>
      <c r="F46" s="53"/>
      <c r="G46" s="174"/>
    </row>
    <row r="47" spans="2:7" ht="16.95" customHeight="1" x14ac:dyDescent="0.25">
      <c r="B47" s="5" t="s">
        <v>213</v>
      </c>
      <c r="C47" s="56">
        <v>6556</v>
      </c>
      <c r="D47" s="57">
        <v>6317</v>
      </c>
      <c r="E47" s="57">
        <v>11478</v>
      </c>
      <c r="F47" s="57">
        <v>12093</v>
      </c>
      <c r="G47" s="177">
        <v>12693</v>
      </c>
    </row>
    <row r="48" spans="2:7" ht="16.95" customHeight="1" x14ac:dyDescent="0.25">
      <c r="B48" s="5" t="s">
        <v>214</v>
      </c>
      <c r="C48" s="56">
        <v>5058</v>
      </c>
      <c r="D48" s="57">
        <v>5190</v>
      </c>
      <c r="E48" s="57">
        <v>4704</v>
      </c>
      <c r="F48" s="57">
        <v>4540</v>
      </c>
      <c r="G48" s="177">
        <v>4144</v>
      </c>
    </row>
    <row r="49" spans="2:7" ht="16.95" customHeight="1" x14ac:dyDescent="0.25">
      <c r="B49" s="5" t="s">
        <v>215</v>
      </c>
      <c r="C49" s="56">
        <v>5901</v>
      </c>
      <c r="D49" s="57">
        <v>7223</v>
      </c>
      <c r="E49" s="57">
        <v>8479</v>
      </c>
      <c r="F49" s="57">
        <v>7705</v>
      </c>
      <c r="G49" s="177">
        <v>5093</v>
      </c>
    </row>
    <row r="50" spans="2:7" ht="16.95" customHeight="1" x14ac:dyDescent="0.25">
      <c r="B50" s="5" t="s">
        <v>216</v>
      </c>
      <c r="C50" s="178">
        <v>0</v>
      </c>
      <c r="D50" s="179">
        <v>0</v>
      </c>
      <c r="E50" s="179">
        <v>0</v>
      </c>
      <c r="F50" s="179">
        <v>0</v>
      </c>
      <c r="G50" s="180">
        <v>0</v>
      </c>
    </row>
    <row r="51" spans="2:7" ht="16.95" customHeight="1" x14ac:dyDescent="0.25">
      <c r="B51" s="6" t="s">
        <v>217</v>
      </c>
      <c r="C51" s="181">
        <v>0.41</v>
      </c>
      <c r="D51" s="182">
        <v>0.25</v>
      </c>
      <c r="E51" s="182">
        <v>0.2</v>
      </c>
      <c r="F51" s="182">
        <v>0.08</v>
      </c>
      <c r="G51" s="183">
        <v>0.14000000000000001</v>
      </c>
    </row>
    <row r="52" spans="2:7" ht="16.95" customHeight="1" thickBot="1" x14ac:dyDescent="0.3">
      <c r="B52" s="17" t="s">
        <v>218</v>
      </c>
      <c r="C52" s="99">
        <v>17516</v>
      </c>
      <c r="D52" s="100">
        <v>18730</v>
      </c>
      <c r="E52" s="100">
        <v>24661</v>
      </c>
      <c r="F52" s="100">
        <v>24338</v>
      </c>
      <c r="G52" s="226">
        <v>21930</v>
      </c>
    </row>
    <row r="53" spans="2:7" ht="16.95" customHeight="1" x14ac:dyDescent="0.25">
      <c r="B53" s="16" t="s">
        <v>219</v>
      </c>
      <c r="C53" s="53"/>
      <c r="D53" s="53"/>
      <c r="E53" s="53"/>
      <c r="F53" s="53"/>
      <c r="G53" s="174"/>
    </row>
    <row r="54" spans="2:7" ht="16.95" customHeight="1" x14ac:dyDescent="0.25">
      <c r="B54" s="5" t="s">
        <v>220</v>
      </c>
      <c r="C54" s="56">
        <v>57632</v>
      </c>
      <c r="D54" s="57">
        <v>64885</v>
      </c>
      <c r="E54" s="57">
        <v>59242</v>
      </c>
      <c r="F54" s="57">
        <v>57474</v>
      </c>
      <c r="G54" s="177">
        <v>71911</v>
      </c>
    </row>
    <row r="55" spans="2:7" ht="16.95" customHeight="1" x14ac:dyDescent="0.25">
      <c r="B55" s="6" t="s">
        <v>221</v>
      </c>
      <c r="C55" s="50">
        <v>0.77</v>
      </c>
      <c r="D55" s="51">
        <v>0.78</v>
      </c>
      <c r="E55" s="51">
        <v>0.71</v>
      </c>
      <c r="F55" s="51">
        <v>0.7</v>
      </c>
      <c r="G55" s="52">
        <v>0.77</v>
      </c>
    </row>
    <row r="56" spans="2:7" ht="16.95" customHeight="1" x14ac:dyDescent="0.25">
      <c r="B56" s="4" t="s">
        <v>222</v>
      </c>
      <c r="C56" s="173"/>
      <c r="D56" s="173"/>
      <c r="E56" s="173"/>
      <c r="F56" s="173"/>
      <c r="G56" s="176"/>
    </row>
    <row r="57" spans="2:7" ht="16.95" customHeight="1" x14ac:dyDescent="0.25">
      <c r="B57" s="5" t="s">
        <v>223</v>
      </c>
      <c r="C57" s="24">
        <v>526</v>
      </c>
      <c r="D57" s="57">
        <v>8241</v>
      </c>
      <c r="E57" s="57">
        <v>11521</v>
      </c>
      <c r="F57" s="57">
        <v>14342</v>
      </c>
      <c r="G57" s="86">
        <v>12501</v>
      </c>
    </row>
    <row r="58" spans="2:7" ht="16.95" customHeight="1" x14ac:dyDescent="0.25">
      <c r="B58" s="5" t="s">
        <v>224</v>
      </c>
      <c r="C58" s="56">
        <v>5662</v>
      </c>
      <c r="D58" s="57">
        <v>2411</v>
      </c>
      <c r="E58" s="57">
        <v>1685</v>
      </c>
      <c r="F58" s="57">
        <v>4370</v>
      </c>
      <c r="G58" s="86">
        <v>4384</v>
      </c>
    </row>
    <row r="59" spans="2:7" ht="16.95" customHeight="1" x14ac:dyDescent="0.25">
      <c r="B59" s="5" t="s">
        <v>225</v>
      </c>
      <c r="C59" s="56">
        <v>1293</v>
      </c>
      <c r="D59" s="57">
        <v>1398</v>
      </c>
      <c r="E59" s="57">
        <v>1462</v>
      </c>
      <c r="F59" s="57">
        <v>1824</v>
      </c>
      <c r="G59" s="86">
        <v>1670</v>
      </c>
    </row>
    <row r="60" spans="2:7" ht="16.95" customHeight="1" x14ac:dyDescent="0.25">
      <c r="B60" s="5" t="s">
        <v>226</v>
      </c>
      <c r="C60" s="24">
        <v>30</v>
      </c>
      <c r="D60" s="25">
        <v>30</v>
      </c>
      <c r="E60" s="25">
        <v>40</v>
      </c>
      <c r="F60" s="25">
        <v>35</v>
      </c>
      <c r="G60" s="82">
        <v>30</v>
      </c>
    </row>
    <row r="61" spans="2:7" ht="16.95" customHeight="1" x14ac:dyDescent="0.25">
      <c r="B61" s="5" t="s">
        <v>227</v>
      </c>
      <c r="C61" s="24">
        <v>243</v>
      </c>
      <c r="D61" s="25">
        <v>435</v>
      </c>
      <c r="E61" s="25">
        <v>473</v>
      </c>
      <c r="F61" s="25">
        <v>576</v>
      </c>
      <c r="G61" s="82">
        <v>595</v>
      </c>
    </row>
    <row r="62" spans="2:7" ht="16.95" customHeight="1" x14ac:dyDescent="0.25">
      <c r="B62" s="5" t="s">
        <v>228</v>
      </c>
      <c r="C62" s="24">
        <v>16</v>
      </c>
      <c r="D62" s="27" t="s">
        <v>34</v>
      </c>
      <c r="E62" s="27" t="s">
        <v>34</v>
      </c>
      <c r="F62" s="27" t="s">
        <v>34</v>
      </c>
      <c r="G62" s="87" t="s">
        <v>34</v>
      </c>
    </row>
    <row r="63" spans="2:7" ht="16.95" customHeight="1" x14ac:dyDescent="0.25">
      <c r="B63" s="6" t="s">
        <v>229</v>
      </c>
      <c r="C63" s="58">
        <v>1820</v>
      </c>
      <c r="D63" s="59">
        <v>2591</v>
      </c>
      <c r="E63" s="59">
        <v>2445</v>
      </c>
      <c r="F63" s="59">
        <v>1981</v>
      </c>
      <c r="G63" s="84">
        <v>862</v>
      </c>
    </row>
    <row r="64" spans="2:7" ht="16.95" customHeight="1" thickBot="1" x14ac:dyDescent="0.3">
      <c r="B64" s="17" t="s">
        <v>230</v>
      </c>
      <c r="C64" s="99">
        <v>9590</v>
      </c>
      <c r="D64" s="100">
        <v>15106</v>
      </c>
      <c r="E64" s="100">
        <v>17627</v>
      </c>
      <c r="F64" s="100">
        <v>23128</v>
      </c>
      <c r="G64" s="101">
        <v>20041</v>
      </c>
    </row>
    <row r="65" spans="2:7" ht="16.95" customHeight="1" x14ac:dyDescent="0.25">
      <c r="B65" s="242" t="s">
        <v>287</v>
      </c>
      <c r="C65" s="24">
        <v>0</v>
      </c>
      <c r="D65" s="25">
        <v>0</v>
      </c>
      <c r="E65" s="25">
        <v>0</v>
      </c>
      <c r="F65" s="25">
        <v>1</v>
      </c>
      <c r="G65" s="82">
        <v>0</v>
      </c>
    </row>
    <row r="66" spans="2:7" ht="16.95" customHeight="1" x14ac:dyDescent="0.25">
      <c r="B66" s="149" t="s">
        <v>231</v>
      </c>
      <c r="C66" s="24">
        <v>0</v>
      </c>
      <c r="D66" s="25">
        <v>0</v>
      </c>
      <c r="E66" s="25">
        <v>0</v>
      </c>
      <c r="F66" s="25">
        <v>50</v>
      </c>
      <c r="G66" s="82">
        <v>0</v>
      </c>
    </row>
    <row r="67" spans="2:7" ht="16.95" customHeight="1" x14ac:dyDescent="0.25">
      <c r="B67" s="6" t="s">
        <v>232</v>
      </c>
      <c r="C67" s="29">
        <v>0</v>
      </c>
      <c r="D67" s="30">
        <v>0</v>
      </c>
      <c r="E67" s="30">
        <v>0</v>
      </c>
      <c r="F67" s="30">
        <v>0</v>
      </c>
      <c r="G67" s="84">
        <v>0</v>
      </c>
    </row>
    <row r="68" spans="2:7" ht="16.95" customHeight="1" x14ac:dyDescent="0.25">
      <c r="B68" s="10" t="s">
        <v>233</v>
      </c>
      <c r="C68" s="37">
        <v>758</v>
      </c>
      <c r="D68" s="38">
        <v>726</v>
      </c>
      <c r="E68" s="38">
        <v>660</v>
      </c>
      <c r="F68" s="38">
        <v>468</v>
      </c>
      <c r="G68" s="85">
        <v>926</v>
      </c>
    </row>
    <row r="69" spans="2:7" ht="16.95" customHeight="1" x14ac:dyDescent="0.25">
      <c r="B69" s="243" t="s">
        <v>288</v>
      </c>
      <c r="C69" s="54"/>
      <c r="D69" s="54"/>
      <c r="E69" s="54"/>
      <c r="F69" s="54"/>
      <c r="G69" s="81"/>
    </row>
    <row r="70" spans="2:7" ht="16.95" customHeight="1" x14ac:dyDescent="0.25">
      <c r="B70" s="5" t="s">
        <v>234</v>
      </c>
      <c r="C70" s="56">
        <v>1033993</v>
      </c>
      <c r="D70" s="57">
        <v>116237</v>
      </c>
      <c r="E70" s="57">
        <v>299498</v>
      </c>
      <c r="F70" s="57">
        <v>65738</v>
      </c>
      <c r="G70" s="86">
        <v>256454</v>
      </c>
    </row>
    <row r="71" spans="2:7" ht="16.95" customHeight="1" x14ac:dyDescent="0.25">
      <c r="B71" s="5" t="s">
        <v>235</v>
      </c>
      <c r="C71" s="56">
        <v>87553953</v>
      </c>
      <c r="D71" s="57">
        <v>38700044</v>
      </c>
      <c r="E71" s="57">
        <v>35408474</v>
      </c>
      <c r="F71" s="57">
        <v>23992684</v>
      </c>
      <c r="G71" s="86">
        <v>37005883</v>
      </c>
    </row>
    <row r="72" spans="2:7" ht="16.95" customHeight="1" x14ac:dyDescent="0.25">
      <c r="B72" s="6" t="s">
        <v>236</v>
      </c>
      <c r="C72" s="58">
        <v>45174643</v>
      </c>
      <c r="D72" s="59">
        <v>31120463</v>
      </c>
      <c r="E72" s="59">
        <v>31694502</v>
      </c>
      <c r="F72" s="59">
        <v>28044090</v>
      </c>
      <c r="G72" s="88">
        <v>33211879</v>
      </c>
    </row>
    <row r="73" spans="2:7" ht="16.95" customHeight="1" x14ac:dyDescent="0.25">
      <c r="B73" s="4" t="s">
        <v>237</v>
      </c>
      <c r="C73" s="54"/>
      <c r="D73" s="54"/>
      <c r="E73" s="54"/>
      <c r="F73" s="54"/>
      <c r="G73" s="81"/>
    </row>
    <row r="74" spans="2:7" ht="16.95" customHeight="1" x14ac:dyDescent="0.25">
      <c r="B74" s="5" t="s">
        <v>238</v>
      </c>
      <c r="C74" s="56">
        <v>26684642</v>
      </c>
      <c r="D74" s="57">
        <v>583730</v>
      </c>
      <c r="E74" s="25">
        <v>0</v>
      </c>
      <c r="F74" s="57">
        <v>2770</v>
      </c>
      <c r="G74" s="86">
        <v>19530</v>
      </c>
    </row>
    <row r="75" spans="2:7" ht="16.95" customHeight="1" x14ac:dyDescent="0.25">
      <c r="B75" s="5" t="s">
        <v>239</v>
      </c>
      <c r="C75" s="56">
        <v>7616782</v>
      </c>
      <c r="D75" s="57">
        <v>5528824</v>
      </c>
      <c r="E75" s="57">
        <v>6783750</v>
      </c>
      <c r="F75" s="57">
        <v>9385125</v>
      </c>
      <c r="G75" s="86">
        <v>10508423</v>
      </c>
    </row>
    <row r="76" spans="2:7" ht="16.95" customHeight="1" x14ac:dyDescent="0.25">
      <c r="B76" s="6" t="s">
        <v>240</v>
      </c>
      <c r="C76" s="58">
        <v>363698</v>
      </c>
      <c r="D76" s="59">
        <v>722570</v>
      </c>
      <c r="E76" s="59">
        <v>726428</v>
      </c>
      <c r="F76" s="59">
        <v>688613</v>
      </c>
      <c r="G76" s="88">
        <v>738743</v>
      </c>
    </row>
    <row r="77" spans="2:7" ht="16.95" customHeight="1" thickBot="1" x14ac:dyDescent="0.3">
      <c r="B77" s="17" t="s">
        <v>6</v>
      </c>
      <c r="C77" s="99">
        <v>34665122</v>
      </c>
      <c r="D77" s="100">
        <v>6835124</v>
      </c>
      <c r="E77" s="100">
        <v>7510178</v>
      </c>
      <c r="F77" s="100">
        <v>10076508</v>
      </c>
      <c r="G77" s="101">
        <v>11266696</v>
      </c>
    </row>
    <row r="78" spans="2:7" ht="16.95" customHeight="1" x14ac:dyDescent="0.25">
      <c r="B78" s="18" t="s">
        <v>241</v>
      </c>
      <c r="C78" s="29">
        <v>0</v>
      </c>
      <c r="D78" s="30">
        <v>2</v>
      </c>
      <c r="E78" s="30">
        <v>2</v>
      </c>
      <c r="F78" s="30">
        <v>0</v>
      </c>
      <c r="G78" s="84">
        <v>6</v>
      </c>
    </row>
    <row r="79" spans="2:7" ht="16.95" customHeight="1" x14ac:dyDescent="0.25">
      <c r="B79" s="4" t="s">
        <v>242</v>
      </c>
      <c r="C79" s="13"/>
      <c r="D79" s="13"/>
      <c r="E79" s="13"/>
      <c r="F79" s="13"/>
      <c r="G79" s="127"/>
    </row>
    <row r="80" spans="2:7" ht="16.95" customHeight="1" x14ac:dyDescent="0.25">
      <c r="B80" s="5" t="s">
        <v>243</v>
      </c>
      <c r="C80" s="56">
        <v>594168</v>
      </c>
      <c r="D80" s="57">
        <v>645861</v>
      </c>
      <c r="E80" s="57">
        <v>611642</v>
      </c>
      <c r="F80" s="57">
        <v>603506</v>
      </c>
      <c r="G80" s="86">
        <v>518030</v>
      </c>
    </row>
    <row r="81" spans="2:7" ht="16.95" customHeight="1" x14ac:dyDescent="0.25">
      <c r="B81" s="5" t="s">
        <v>33</v>
      </c>
      <c r="C81" s="46" t="s">
        <v>244</v>
      </c>
      <c r="D81" s="27" t="s">
        <v>34</v>
      </c>
      <c r="E81" s="27" t="s">
        <v>34</v>
      </c>
      <c r="F81" s="27" t="s">
        <v>34</v>
      </c>
      <c r="G81" s="87" t="s">
        <v>34</v>
      </c>
    </row>
    <row r="82" spans="2:7" ht="16.95" customHeight="1" x14ac:dyDescent="0.25">
      <c r="B82" s="6" t="s">
        <v>245</v>
      </c>
      <c r="C82" s="29">
        <v>21</v>
      </c>
      <c r="D82" s="30">
        <v>21</v>
      </c>
      <c r="E82" s="30">
        <v>21</v>
      </c>
      <c r="F82" s="30">
        <v>21</v>
      </c>
      <c r="G82" s="84">
        <v>21</v>
      </c>
    </row>
    <row r="83" spans="2:7" ht="16.95" customHeight="1" thickBot="1" x14ac:dyDescent="0.3">
      <c r="B83" s="17" t="s">
        <v>246</v>
      </c>
      <c r="C83" s="99">
        <v>594189</v>
      </c>
      <c r="D83" s="100">
        <v>645882</v>
      </c>
      <c r="E83" s="100">
        <v>505908</v>
      </c>
      <c r="F83" s="100">
        <v>603527</v>
      </c>
      <c r="G83" s="101">
        <v>518051</v>
      </c>
    </row>
    <row r="84" spans="2:7" ht="16.95" customHeight="1" x14ac:dyDescent="0.25">
      <c r="B84" s="5" t="s">
        <v>32</v>
      </c>
      <c r="C84" s="56">
        <v>11619</v>
      </c>
      <c r="D84" s="57">
        <v>11619</v>
      </c>
      <c r="E84" s="57">
        <v>11575</v>
      </c>
      <c r="F84" s="57">
        <v>11532</v>
      </c>
      <c r="G84" s="86">
        <v>7284</v>
      </c>
    </row>
    <row r="85" spans="2:7" ht="16.95" customHeight="1" x14ac:dyDescent="0.25">
      <c r="B85" s="5" t="s">
        <v>247</v>
      </c>
      <c r="C85" s="56">
        <v>14394</v>
      </c>
      <c r="D85" s="57">
        <v>14394</v>
      </c>
      <c r="E85" s="57">
        <v>14394</v>
      </c>
      <c r="F85" s="57">
        <v>14394</v>
      </c>
      <c r="G85" s="82">
        <v>0</v>
      </c>
    </row>
    <row r="86" spans="2:7" ht="16.95" customHeight="1" x14ac:dyDescent="0.25">
      <c r="B86" s="6" t="s">
        <v>248</v>
      </c>
      <c r="C86" s="58">
        <v>1917</v>
      </c>
      <c r="D86" s="59">
        <v>1917</v>
      </c>
      <c r="E86" s="59">
        <v>1917</v>
      </c>
      <c r="F86" s="59">
        <v>1917</v>
      </c>
      <c r="G86" s="84">
        <v>0</v>
      </c>
    </row>
    <row r="87" spans="2:7" ht="16.95" customHeight="1" thickBot="1" x14ac:dyDescent="0.3">
      <c r="B87" s="17" t="s">
        <v>249</v>
      </c>
      <c r="C87" s="99">
        <v>27930</v>
      </c>
      <c r="D87" s="100">
        <v>27929</v>
      </c>
      <c r="E87" s="100">
        <v>28960</v>
      </c>
      <c r="F87" s="100">
        <v>16311</v>
      </c>
      <c r="G87" s="244">
        <v>0</v>
      </c>
    </row>
    <row r="88" spans="2:7" ht="16.95" customHeight="1" x14ac:dyDescent="0.25">
      <c r="B88" s="6" t="s">
        <v>5</v>
      </c>
      <c r="C88" s="58">
        <v>162045</v>
      </c>
      <c r="D88" s="59">
        <v>161245</v>
      </c>
      <c r="E88" s="59">
        <v>160845</v>
      </c>
      <c r="F88" s="59">
        <v>160754</v>
      </c>
      <c r="G88" s="88">
        <v>139496</v>
      </c>
    </row>
    <row r="89" spans="2:7" ht="16.95" customHeight="1" thickBot="1" x14ac:dyDescent="0.3">
      <c r="B89" s="17" t="s">
        <v>250</v>
      </c>
      <c r="C89" s="99">
        <v>162045</v>
      </c>
      <c r="D89" s="100">
        <v>162776</v>
      </c>
      <c r="E89" s="100">
        <v>9462</v>
      </c>
      <c r="F89" s="100">
        <v>162285</v>
      </c>
      <c r="G89" s="101">
        <v>141027</v>
      </c>
    </row>
    <row r="90" spans="2:7" ht="16.95" customHeight="1" thickBot="1" x14ac:dyDescent="0.3">
      <c r="B90" s="245" t="s">
        <v>6</v>
      </c>
      <c r="C90" s="246">
        <v>784164</v>
      </c>
      <c r="D90" s="247">
        <v>836587</v>
      </c>
      <c r="E90" s="247">
        <v>515371</v>
      </c>
      <c r="F90" s="247">
        <v>782123</v>
      </c>
      <c r="G90" s="248">
        <v>659078</v>
      </c>
    </row>
    <row r="91" spans="2:7" ht="16.95" customHeight="1" x14ac:dyDescent="0.25">
      <c r="B91" s="16" t="s">
        <v>251</v>
      </c>
      <c r="C91" s="35"/>
      <c r="D91" s="35"/>
      <c r="E91" s="35"/>
      <c r="F91" s="35"/>
      <c r="G91" s="90"/>
    </row>
    <row r="92" spans="2:7" ht="16.95" customHeight="1" x14ac:dyDescent="0.25">
      <c r="B92" s="5" t="s">
        <v>243</v>
      </c>
      <c r="C92" s="56">
        <v>7829</v>
      </c>
      <c r="D92" s="57">
        <v>7819</v>
      </c>
      <c r="E92" s="57">
        <v>7724</v>
      </c>
      <c r="F92" s="57">
        <v>7718</v>
      </c>
      <c r="G92" s="86">
        <v>7711</v>
      </c>
    </row>
    <row r="93" spans="2:7" ht="16.95" customHeight="1" x14ac:dyDescent="0.25">
      <c r="B93" s="5" t="s">
        <v>33</v>
      </c>
      <c r="C93" s="46" t="s">
        <v>244</v>
      </c>
      <c r="D93" s="27" t="s">
        <v>34</v>
      </c>
      <c r="E93" s="27" t="s">
        <v>34</v>
      </c>
      <c r="F93" s="27" t="s">
        <v>34</v>
      </c>
      <c r="G93" s="87" t="s">
        <v>34</v>
      </c>
    </row>
    <row r="94" spans="2:7" ht="16.95" customHeight="1" x14ac:dyDescent="0.25">
      <c r="B94" s="6" t="s">
        <v>245</v>
      </c>
      <c r="C94" s="29">
        <v>0</v>
      </c>
      <c r="D94" s="30">
        <v>0</v>
      </c>
      <c r="E94" s="30">
        <v>0</v>
      </c>
      <c r="F94" s="30">
        <v>0</v>
      </c>
      <c r="G94" s="84">
        <v>0</v>
      </c>
    </row>
    <row r="95" spans="2:7" ht="16.95" customHeight="1" thickBot="1" x14ac:dyDescent="0.3">
      <c r="B95" s="17" t="s">
        <v>246</v>
      </c>
      <c r="C95" s="99">
        <v>7829</v>
      </c>
      <c r="D95" s="100">
        <v>7819</v>
      </c>
      <c r="E95" s="100">
        <v>7724</v>
      </c>
      <c r="F95" s="100">
        <v>7718</v>
      </c>
      <c r="G95" s="101">
        <v>7711</v>
      </c>
    </row>
    <row r="96" spans="2:7" ht="16.95" customHeight="1" x14ac:dyDescent="0.25">
      <c r="B96" s="5" t="s">
        <v>32</v>
      </c>
      <c r="C96" s="56">
        <v>3755</v>
      </c>
      <c r="D96" s="57">
        <v>3646</v>
      </c>
      <c r="E96" s="57">
        <v>3251</v>
      </c>
      <c r="F96" s="57">
        <v>3249</v>
      </c>
      <c r="G96" s="82">
        <v>0</v>
      </c>
    </row>
    <row r="97" spans="2:7" ht="16.95" customHeight="1" x14ac:dyDescent="0.25">
      <c r="B97" s="5" t="s">
        <v>247</v>
      </c>
      <c r="C97" s="24">
        <v>86</v>
      </c>
      <c r="D97" s="25">
        <v>86</v>
      </c>
      <c r="E97" s="25">
        <v>86</v>
      </c>
      <c r="F97" s="25">
        <v>86</v>
      </c>
      <c r="G97" s="82">
        <v>0</v>
      </c>
    </row>
    <row r="98" spans="2:7" ht="16.95" customHeight="1" x14ac:dyDescent="0.25">
      <c r="B98" s="6" t="s">
        <v>248</v>
      </c>
      <c r="C98" s="29">
        <v>0</v>
      </c>
      <c r="D98" s="30">
        <v>0</v>
      </c>
      <c r="E98" s="30">
        <v>0</v>
      </c>
      <c r="F98" s="30">
        <v>0</v>
      </c>
      <c r="G98" s="84">
        <v>0</v>
      </c>
    </row>
    <row r="99" spans="2:7" ht="16.95" customHeight="1" thickBot="1" x14ac:dyDescent="0.3">
      <c r="B99" s="17" t="s">
        <v>249</v>
      </c>
      <c r="C99" s="99">
        <v>3841</v>
      </c>
      <c r="D99" s="100">
        <v>3731</v>
      </c>
      <c r="E99" s="100">
        <v>4347</v>
      </c>
      <c r="F99" s="100">
        <v>3335</v>
      </c>
      <c r="G99" s="244">
        <v>0</v>
      </c>
    </row>
    <row r="100" spans="2:7" ht="16.95" customHeight="1" x14ac:dyDescent="0.25">
      <c r="B100" s="6" t="s">
        <v>5</v>
      </c>
      <c r="C100" s="58">
        <v>9462</v>
      </c>
      <c r="D100" s="59">
        <v>9462</v>
      </c>
      <c r="E100" s="59">
        <v>9462</v>
      </c>
      <c r="F100" s="59">
        <v>9462</v>
      </c>
      <c r="G100" s="88">
        <v>7700</v>
      </c>
    </row>
    <row r="101" spans="2:7" ht="16.95" customHeight="1" thickBot="1" x14ac:dyDescent="0.3">
      <c r="B101" s="17" t="s">
        <v>250</v>
      </c>
      <c r="C101" s="99">
        <v>9462</v>
      </c>
      <c r="D101" s="100">
        <v>9462</v>
      </c>
      <c r="E101" s="100">
        <v>9462</v>
      </c>
      <c r="F101" s="100">
        <v>9462</v>
      </c>
      <c r="G101" s="101">
        <v>7700</v>
      </c>
    </row>
    <row r="102" spans="2:7" ht="16.95" customHeight="1" thickBot="1" x14ac:dyDescent="0.3">
      <c r="B102" s="245" t="s">
        <v>6</v>
      </c>
      <c r="C102" s="246">
        <v>21133</v>
      </c>
      <c r="D102" s="247">
        <v>21013</v>
      </c>
      <c r="E102" s="247">
        <v>21533</v>
      </c>
      <c r="F102" s="247">
        <v>20516</v>
      </c>
      <c r="G102" s="248">
        <v>15411</v>
      </c>
    </row>
    <row r="103" spans="2:7" ht="16.95" customHeight="1" x14ac:dyDescent="0.25">
      <c r="B103" s="16" t="s">
        <v>252</v>
      </c>
      <c r="C103" s="46"/>
      <c r="D103" s="35"/>
      <c r="E103" s="35"/>
      <c r="F103" s="35"/>
      <c r="G103" s="90"/>
    </row>
    <row r="104" spans="2:7" ht="16.95" customHeight="1" x14ac:dyDescent="0.25">
      <c r="B104" s="5" t="s">
        <v>243</v>
      </c>
      <c r="C104" s="56">
        <v>1661</v>
      </c>
      <c r="D104" s="57">
        <v>1649</v>
      </c>
      <c r="E104" s="27" t="s">
        <v>34</v>
      </c>
      <c r="F104" s="27" t="s">
        <v>34</v>
      </c>
      <c r="G104" s="87" t="s">
        <v>34</v>
      </c>
    </row>
    <row r="105" spans="2:7" ht="16.95" customHeight="1" x14ac:dyDescent="0.25">
      <c r="B105" s="5" t="s">
        <v>33</v>
      </c>
      <c r="C105" s="46" t="s">
        <v>244</v>
      </c>
      <c r="D105" s="27" t="s">
        <v>34</v>
      </c>
      <c r="E105" s="27" t="s">
        <v>34</v>
      </c>
      <c r="F105" s="27" t="s">
        <v>34</v>
      </c>
      <c r="G105" s="87" t="s">
        <v>34</v>
      </c>
    </row>
    <row r="106" spans="2:7" ht="16.95" customHeight="1" x14ac:dyDescent="0.25">
      <c r="B106" s="6" t="s">
        <v>245</v>
      </c>
      <c r="C106" s="29">
        <v>0</v>
      </c>
      <c r="D106" s="30">
        <v>0</v>
      </c>
      <c r="E106" s="30">
        <v>0</v>
      </c>
      <c r="F106" s="30">
        <v>0</v>
      </c>
      <c r="G106" s="84">
        <v>0</v>
      </c>
    </row>
    <row r="107" spans="2:7" ht="16.95" customHeight="1" thickBot="1" x14ac:dyDescent="0.3">
      <c r="B107" s="17" t="s">
        <v>246</v>
      </c>
      <c r="C107" s="99">
        <v>1661</v>
      </c>
      <c r="D107" s="100">
        <v>1649</v>
      </c>
      <c r="E107" s="249" t="s">
        <v>34</v>
      </c>
      <c r="F107" s="249" t="s">
        <v>34</v>
      </c>
      <c r="G107" s="250" t="s">
        <v>34</v>
      </c>
    </row>
    <row r="108" spans="2:7" ht="16.95" customHeight="1" x14ac:dyDescent="0.25">
      <c r="B108" s="5" t="s">
        <v>32</v>
      </c>
      <c r="C108" s="24">
        <v>23</v>
      </c>
      <c r="D108" s="25">
        <v>251</v>
      </c>
      <c r="E108" s="27" t="s">
        <v>34</v>
      </c>
      <c r="F108" s="27" t="s">
        <v>34</v>
      </c>
      <c r="G108" s="87" t="s">
        <v>34</v>
      </c>
    </row>
    <row r="109" spans="2:7" ht="16.95" customHeight="1" x14ac:dyDescent="0.25">
      <c r="B109" s="5" t="s">
        <v>247</v>
      </c>
      <c r="C109" s="24">
        <v>0</v>
      </c>
      <c r="D109" s="25">
        <v>0</v>
      </c>
      <c r="E109" s="27" t="s">
        <v>34</v>
      </c>
      <c r="F109" s="27" t="s">
        <v>34</v>
      </c>
      <c r="G109" s="87" t="s">
        <v>34</v>
      </c>
    </row>
    <row r="110" spans="2:7" ht="16.95" customHeight="1" x14ac:dyDescent="0.25">
      <c r="B110" s="6" t="s">
        <v>248</v>
      </c>
      <c r="C110" s="29">
        <v>0</v>
      </c>
      <c r="D110" s="30">
        <v>0</v>
      </c>
      <c r="E110" s="62" t="s">
        <v>34</v>
      </c>
      <c r="F110" s="62" t="s">
        <v>34</v>
      </c>
      <c r="G110" s="189" t="s">
        <v>34</v>
      </c>
    </row>
    <row r="111" spans="2:7" ht="16.95" customHeight="1" thickBot="1" x14ac:dyDescent="0.3">
      <c r="B111" s="17" t="s">
        <v>249</v>
      </c>
      <c r="C111" s="32">
        <v>23</v>
      </c>
      <c r="D111" s="33">
        <v>251</v>
      </c>
      <c r="E111" s="249" t="s">
        <v>34</v>
      </c>
      <c r="F111" s="249" t="s">
        <v>34</v>
      </c>
      <c r="G111" s="250" t="s">
        <v>34</v>
      </c>
    </row>
    <row r="112" spans="2:7" ht="16.95" customHeight="1" x14ac:dyDescent="0.25">
      <c r="B112" s="6" t="s">
        <v>5</v>
      </c>
      <c r="C112" s="58">
        <v>1850</v>
      </c>
      <c r="D112" s="59">
        <v>1790</v>
      </c>
      <c r="E112" s="59">
        <v>1709</v>
      </c>
      <c r="F112" s="59">
        <v>1620</v>
      </c>
      <c r="G112" s="88">
        <v>1591</v>
      </c>
    </row>
    <row r="113" spans="2:7" ht="16.95" customHeight="1" thickBot="1" x14ac:dyDescent="0.3">
      <c r="B113" s="17" t="s">
        <v>250</v>
      </c>
      <c r="C113" s="99">
        <v>1850</v>
      </c>
      <c r="D113" s="100">
        <v>1790</v>
      </c>
      <c r="E113" s="100">
        <v>1709</v>
      </c>
      <c r="F113" s="100">
        <v>1620</v>
      </c>
      <c r="G113" s="101">
        <v>1591</v>
      </c>
    </row>
    <row r="114" spans="2:7" ht="16.95" customHeight="1" thickBot="1" x14ac:dyDescent="0.3">
      <c r="B114" s="245" t="s">
        <v>6</v>
      </c>
      <c r="C114" s="246">
        <v>3533</v>
      </c>
      <c r="D114" s="247">
        <v>3690</v>
      </c>
      <c r="E114" s="247">
        <v>1709</v>
      </c>
      <c r="F114" s="247">
        <v>1620</v>
      </c>
      <c r="G114" s="248">
        <v>1591</v>
      </c>
    </row>
    <row r="115" spans="2:7" ht="16.95" customHeight="1" x14ac:dyDescent="0.25">
      <c r="B115" s="16" t="s">
        <v>253</v>
      </c>
      <c r="C115" s="35"/>
      <c r="D115" s="35"/>
      <c r="E115" s="35"/>
      <c r="F115" s="35"/>
      <c r="G115" s="90"/>
    </row>
    <row r="116" spans="2:7" ht="16.95" customHeight="1" x14ac:dyDescent="0.25">
      <c r="B116" s="5" t="s">
        <v>254</v>
      </c>
      <c r="C116" s="24">
        <v>1</v>
      </c>
      <c r="D116" s="25">
        <v>2</v>
      </c>
      <c r="E116" s="25">
        <v>2</v>
      </c>
      <c r="F116" s="25">
        <v>2</v>
      </c>
      <c r="G116" s="82">
        <v>2</v>
      </c>
    </row>
    <row r="117" spans="2:7" ht="16.95" customHeight="1" x14ac:dyDescent="0.25">
      <c r="B117" s="6" t="s">
        <v>255</v>
      </c>
      <c r="C117" s="29">
        <v>5</v>
      </c>
      <c r="D117" s="30">
        <v>2</v>
      </c>
      <c r="E117" s="30">
        <v>2</v>
      </c>
      <c r="F117" s="30">
        <v>1</v>
      </c>
      <c r="G117" s="84">
        <v>1</v>
      </c>
    </row>
    <row r="118" spans="2:7" ht="16.95" customHeight="1" x14ac:dyDescent="0.25">
      <c r="B118" s="4" t="s">
        <v>256</v>
      </c>
      <c r="C118" s="13"/>
      <c r="D118" s="13"/>
      <c r="E118" s="13"/>
      <c r="F118" s="13"/>
      <c r="G118" s="127"/>
    </row>
    <row r="119" spans="2:7" ht="16.95" customHeight="1" x14ac:dyDescent="0.25">
      <c r="B119" s="5" t="s">
        <v>257</v>
      </c>
      <c r="C119" s="24">
        <v>49</v>
      </c>
      <c r="D119" s="25">
        <v>49</v>
      </c>
      <c r="E119" s="25">
        <v>49</v>
      </c>
      <c r="F119" s="25">
        <v>49</v>
      </c>
      <c r="G119" s="87" t="s">
        <v>34</v>
      </c>
    </row>
    <row r="120" spans="2:7" ht="16.95" customHeight="1" x14ac:dyDescent="0.25">
      <c r="B120" s="5" t="s">
        <v>258</v>
      </c>
      <c r="C120" s="24">
        <v>24</v>
      </c>
      <c r="D120" s="25">
        <v>88</v>
      </c>
      <c r="E120" s="25">
        <v>107</v>
      </c>
      <c r="F120" s="25">
        <v>84</v>
      </c>
      <c r="G120" s="82">
        <v>25</v>
      </c>
    </row>
    <row r="121" spans="2:7" ht="16.95" customHeight="1" x14ac:dyDescent="0.25">
      <c r="B121" s="5" t="s">
        <v>259</v>
      </c>
      <c r="C121" s="46" t="s">
        <v>260</v>
      </c>
      <c r="D121" s="27" t="s">
        <v>261</v>
      </c>
      <c r="E121" s="27" t="s">
        <v>261</v>
      </c>
      <c r="F121" s="27" t="s">
        <v>261</v>
      </c>
      <c r="G121" s="87" t="s">
        <v>42</v>
      </c>
    </row>
    <row r="122" spans="2:7" ht="16.95" customHeight="1" x14ac:dyDescent="0.25">
      <c r="B122" s="6" t="s">
        <v>262</v>
      </c>
      <c r="C122" s="61" t="s">
        <v>263</v>
      </c>
      <c r="D122" s="62" t="s">
        <v>264</v>
      </c>
      <c r="E122" s="62" t="s">
        <v>264</v>
      </c>
      <c r="F122" s="62" t="s">
        <v>264</v>
      </c>
      <c r="G122" s="189" t="s">
        <v>264</v>
      </c>
    </row>
    <row r="123" spans="2:7" ht="16.95" customHeight="1" x14ac:dyDescent="0.25">
      <c r="B123" s="4" t="s">
        <v>265</v>
      </c>
      <c r="C123" s="13"/>
      <c r="D123" s="13"/>
      <c r="E123" s="13"/>
      <c r="F123" s="13"/>
      <c r="G123" s="127"/>
    </row>
    <row r="124" spans="2:7" ht="16.95" customHeight="1" x14ac:dyDescent="0.25">
      <c r="B124" s="5" t="s">
        <v>266</v>
      </c>
      <c r="C124" s="24">
        <v>3</v>
      </c>
      <c r="D124" s="25">
        <v>3</v>
      </c>
      <c r="E124" s="25">
        <v>2</v>
      </c>
      <c r="F124" s="25">
        <v>2</v>
      </c>
      <c r="G124" s="82">
        <v>3</v>
      </c>
    </row>
    <row r="125" spans="2:7" ht="16.95" customHeight="1" x14ac:dyDescent="0.25">
      <c r="B125" s="5" t="s">
        <v>267</v>
      </c>
      <c r="C125" s="24">
        <v>11</v>
      </c>
      <c r="D125" s="25">
        <v>7</v>
      </c>
      <c r="E125" s="25">
        <v>11</v>
      </c>
      <c r="F125" s="25">
        <v>6</v>
      </c>
      <c r="G125" s="82">
        <v>6</v>
      </c>
    </row>
    <row r="126" spans="2:7" ht="16.95" customHeight="1" x14ac:dyDescent="0.25">
      <c r="B126" s="5" t="s">
        <v>268</v>
      </c>
      <c r="C126" s="24">
        <v>35</v>
      </c>
      <c r="D126" s="25">
        <v>23</v>
      </c>
      <c r="E126" s="25">
        <v>26</v>
      </c>
      <c r="F126" s="25">
        <v>26</v>
      </c>
      <c r="G126" s="82">
        <v>29</v>
      </c>
    </row>
    <row r="127" spans="2:7" ht="16.95" customHeight="1" x14ac:dyDescent="0.25">
      <c r="B127" s="5" t="s">
        <v>269</v>
      </c>
      <c r="C127" s="24">
        <v>26</v>
      </c>
      <c r="D127" s="25">
        <v>32</v>
      </c>
      <c r="E127" s="25">
        <v>16</v>
      </c>
      <c r="F127" s="25">
        <v>24</v>
      </c>
      <c r="G127" s="82">
        <v>24</v>
      </c>
    </row>
    <row r="128" spans="2:7" ht="16.95" customHeight="1" x14ac:dyDescent="0.25">
      <c r="B128" s="6" t="s">
        <v>270</v>
      </c>
      <c r="C128" s="29">
        <v>335</v>
      </c>
      <c r="D128" s="30">
        <v>329</v>
      </c>
      <c r="E128" s="30">
        <v>351</v>
      </c>
      <c r="F128" s="30">
        <v>342</v>
      </c>
      <c r="G128" s="84">
        <v>388</v>
      </c>
    </row>
    <row r="129" spans="2:7" ht="19.95" customHeight="1" x14ac:dyDescent="0.25">
      <c r="B129" s="2" t="s">
        <v>271</v>
      </c>
      <c r="C129" s="21">
        <v>2023</v>
      </c>
      <c r="D129" s="22">
        <v>2022</v>
      </c>
      <c r="E129" s="22">
        <v>2021</v>
      </c>
      <c r="F129" s="22">
        <v>2020</v>
      </c>
      <c r="G129" s="190">
        <v>2019</v>
      </c>
    </row>
    <row r="130" spans="2:7" ht="16.95" customHeight="1" x14ac:dyDescent="0.25">
      <c r="B130" s="9" t="s">
        <v>272</v>
      </c>
      <c r="C130" s="186">
        <v>39145560</v>
      </c>
      <c r="D130" s="187">
        <v>32530545</v>
      </c>
      <c r="E130" s="187">
        <v>31450027</v>
      </c>
      <c r="F130" s="187">
        <v>28915383</v>
      </c>
      <c r="G130" s="188">
        <v>34039587</v>
      </c>
    </row>
    <row r="131" spans="2:7" ht="16.95" customHeight="1" x14ac:dyDescent="0.25">
      <c r="B131" s="102" t="s">
        <v>289</v>
      </c>
      <c r="C131" s="58">
        <v>225430</v>
      </c>
      <c r="D131" s="59">
        <v>178969</v>
      </c>
      <c r="E131" s="59">
        <v>175463</v>
      </c>
      <c r="F131" s="59">
        <v>183539</v>
      </c>
      <c r="G131" s="88">
        <v>224239</v>
      </c>
    </row>
    <row r="132" spans="2:7" ht="16.95" customHeight="1" x14ac:dyDescent="0.25">
      <c r="B132" s="9" t="s">
        <v>273</v>
      </c>
      <c r="C132" s="186">
        <v>7839</v>
      </c>
      <c r="D132" s="187">
        <v>7211</v>
      </c>
      <c r="E132" s="187">
        <v>8155</v>
      </c>
      <c r="F132" s="187">
        <v>7753</v>
      </c>
      <c r="G132" s="188">
        <v>8326</v>
      </c>
    </row>
    <row r="133" spans="2:7" ht="16.95" customHeight="1" x14ac:dyDescent="0.25">
      <c r="B133" s="16" t="s">
        <v>274</v>
      </c>
      <c r="C133" s="24">
        <v>200</v>
      </c>
      <c r="D133" s="25">
        <v>222</v>
      </c>
      <c r="E133" s="25">
        <v>259</v>
      </c>
      <c r="F133" s="25">
        <v>268</v>
      </c>
      <c r="G133" s="82">
        <v>245</v>
      </c>
    </row>
    <row r="134" spans="2:7" ht="16.95" customHeight="1" x14ac:dyDescent="0.25">
      <c r="B134" s="18" t="s">
        <v>275</v>
      </c>
      <c r="C134" s="29">
        <v>35</v>
      </c>
      <c r="D134" s="30">
        <v>40</v>
      </c>
      <c r="E134" s="30">
        <v>46</v>
      </c>
      <c r="F134" s="30">
        <v>42</v>
      </c>
      <c r="G134" s="84">
        <v>37</v>
      </c>
    </row>
    <row r="135" spans="2:7" ht="16.95" customHeight="1" x14ac:dyDescent="0.25">
      <c r="B135" s="148" t="s">
        <v>276</v>
      </c>
      <c r="C135" s="104">
        <v>388</v>
      </c>
      <c r="D135" s="184">
        <v>333</v>
      </c>
      <c r="E135" s="184">
        <v>304</v>
      </c>
      <c r="F135" s="184">
        <v>286</v>
      </c>
      <c r="G135" s="185">
        <v>303</v>
      </c>
    </row>
    <row r="136" spans="2:7" ht="16.95" customHeight="1" x14ac:dyDescent="0.25">
      <c r="B136" s="16" t="s">
        <v>277</v>
      </c>
      <c r="C136" s="64">
        <v>9.9</v>
      </c>
      <c r="D136" s="65">
        <v>10.199999999999999</v>
      </c>
      <c r="E136" s="65">
        <v>9.6999999999999993</v>
      </c>
      <c r="F136" s="65">
        <v>9.9</v>
      </c>
      <c r="G136" s="191">
        <v>8.9</v>
      </c>
    </row>
    <row r="137" spans="2:7" ht="16.95" customHeight="1" x14ac:dyDescent="0.25">
      <c r="B137" s="18" t="s">
        <v>278</v>
      </c>
      <c r="C137" s="67">
        <v>1.7</v>
      </c>
      <c r="D137" s="68">
        <v>1.9</v>
      </c>
      <c r="E137" s="68">
        <v>1.7</v>
      </c>
      <c r="F137" s="68">
        <v>1.6</v>
      </c>
      <c r="G137" s="192">
        <v>1.3</v>
      </c>
    </row>
    <row r="138" spans="2:7" ht="88.05" customHeight="1" x14ac:dyDescent="0.25">
      <c r="B138" s="288" t="s">
        <v>290</v>
      </c>
      <c r="C138" s="288"/>
      <c r="D138" s="288"/>
      <c r="E138" s="288"/>
      <c r="F138" s="288"/>
      <c r="G138" s="288"/>
    </row>
  </sheetData>
  <mergeCells count="1">
    <mergeCell ref="B138:G138"/>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Economic</vt:lpstr>
      <vt:lpstr>Employees</vt:lpstr>
      <vt:lpstr>Society</vt:lpstr>
      <vt:lpstr>Environment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Hudbay 2023 Integrated Annual Report</dc:title>
  <dc:creator>Hudbay Minerals</dc:creator>
  <cp:lastModifiedBy>Marin PELLAN</cp:lastModifiedBy>
  <dcterms:created xsi:type="dcterms:W3CDTF">2024-06-08T18:31:54Z</dcterms:created>
  <dcterms:modified xsi:type="dcterms:W3CDTF">2025-07-23T21:34:03Z</dcterms:modified>
</cp:coreProperties>
</file>