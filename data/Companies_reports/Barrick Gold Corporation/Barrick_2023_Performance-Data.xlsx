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showInkAnnotation="0" autoCompressPictures="0" defaultThemeVersion="166925"/>
  <mc:AlternateContent xmlns:mc="http://schemas.openxmlformats.org/markup-compatibility/2006">
    <mc:Choice Requires="x15">
      <x15ac:absPath xmlns:x15ac="http://schemas.microsoft.com/office/spreadsheetml/2010/11/ac" url="C:\Users\jgemmell\OneDrive - Barrick Gold Corporation\Desktop\2024 Sustainability Report\!Finals\"/>
    </mc:Choice>
  </mc:AlternateContent>
  <xr:revisionPtr revIDLastSave="0" documentId="13_ncr:1_{EC643BD6-5D60-4B9A-AE36-D9EA90D5BAE3}" xr6:coauthVersionLast="47" xr6:coauthVersionMax="47" xr10:uidLastSave="{00000000-0000-0000-0000-000000000000}"/>
  <workbookProtection workbookAlgorithmName="SHA-512" workbookHashValue="yW4fr6NqdFkr7GpK7rxmGjthwersZIT4DJFGmkdkvLsqeg7mop5+JyENa8eRHFiVrZAZB3+QGMG0yK9GrRabaA==" workbookSaltValue="61D5vzr0T1L/UDLESco4JQ==" workbookSpinCount="100000" lockStructure="1"/>
  <bookViews>
    <workbookView xWindow="-110" yWindow="-110" windowWidth="25820" windowHeight="14020" tabRatio="500" xr2:uid="{00000000-000D-0000-FFFF-FFFF00000000}"/>
  </bookViews>
  <sheets>
    <sheet name="Economic Values" sheetId="9" r:id="rId1"/>
    <sheet name="Water" sheetId="2" r:id="rId2"/>
    <sheet name="GHG and Energy " sheetId="3" r:id="rId3"/>
    <sheet name="Safety" sheetId="4" r:id="rId4"/>
    <sheet name="Incidents and Spills" sheetId="5" r:id="rId5"/>
    <sheet name="Waste Effluent and Material" sheetId="8" r:id="rId6"/>
    <sheet name="Grievanc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3" l="1"/>
  <c r="N21" i="3"/>
  <c r="N5" i="3"/>
  <c r="N3" i="3"/>
  <c r="E7" i="8"/>
  <c r="E6" i="8" s="1"/>
  <c r="L6" i="8" s="1"/>
  <c r="E8" i="8"/>
  <c r="E11" i="8"/>
  <c r="F11" i="8" s="1"/>
  <c r="F10" i="8" s="1"/>
  <c r="E10" i="8"/>
  <c r="E12" i="8"/>
  <c r="E15" i="8"/>
  <c r="E14" i="8" s="1"/>
  <c r="E17" i="8"/>
  <c r="L17" i="8" s="1"/>
  <c r="E19" i="8"/>
  <c r="J19" i="8" s="1"/>
  <c r="J18" i="8" s="1"/>
  <c r="E22" i="8"/>
  <c r="F22" i="8" s="1"/>
  <c r="F21" i="8" s="1"/>
  <c r="E21" i="8"/>
  <c r="E24" i="8"/>
  <c r="E27" i="8"/>
  <c r="E29" i="8"/>
  <c r="E32" i="8"/>
  <c r="E36" i="8"/>
  <c r="F36" i="8" s="1"/>
  <c r="F35" i="8" s="1"/>
  <c r="E35" i="8"/>
  <c r="E52" i="8"/>
  <c r="L52" i="8" s="1"/>
  <c r="E53" i="8"/>
  <c r="F53" i="8" s="1"/>
  <c r="E56" i="8"/>
  <c r="L56" i="8" s="1"/>
  <c r="E57" i="8"/>
  <c r="F57" i="8" s="1"/>
  <c r="G7" i="8"/>
  <c r="F7" i="8" s="1"/>
  <c r="F6" i="8" s="1"/>
  <c r="F9" i="8"/>
  <c r="F8" i="8"/>
  <c r="F13" i="8"/>
  <c r="F12" i="8"/>
  <c r="F16" i="8"/>
  <c r="F17" i="8"/>
  <c r="F25" i="8"/>
  <c r="F24" i="8" s="1"/>
  <c r="F28" i="8"/>
  <c r="F27" i="8"/>
  <c r="F31" i="8"/>
  <c r="F29" i="8"/>
  <c r="F33" i="8"/>
  <c r="F32" i="8" s="1"/>
  <c r="F42" i="8"/>
  <c r="F55" i="8"/>
  <c r="G8" i="8"/>
  <c r="G10" i="8"/>
  <c r="G12" i="8"/>
  <c r="G14" i="8"/>
  <c r="G18" i="8"/>
  <c r="G21" i="8"/>
  <c r="G24" i="8"/>
  <c r="G27" i="8"/>
  <c r="G29" i="8"/>
  <c r="G32" i="8"/>
  <c r="G35" i="8"/>
  <c r="G34" i="8" s="1"/>
  <c r="G51" i="8"/>
  <c r="G41" i="8" s="1"/>
  <c r="H6" i="8"/>
  <c r="H8" i="8"/>
  <c r="H10" i="8"/>
  <c r="H12" i="8"/>
  <c r="H14" i="8"/>
  <c r="H18" i="8"/>
  <c r="H21" i="8"/>
  <c r="H20" i="8" s="1"/>
  <c r="H24" i="8"/>
  <c r="H27" i="8"/>
  <c r="H29" i="8"/>
  <c r="H32" i="8"/>
  <c r="H35" i="8"/>
  <c r="H51" i="8"/>
  <c r="H41" i="8" s="1"/>
  <c r="I6" i="8"/>
  <c r="I5" i="8" s="1"/>
  <c r="I8" i="8"/>
  <c r="I10" i="8"/>
  <c r="I12" i="8"/>
  <c r="I14" i="8"/>
  <c r="I18" i="8"/>
  <c r="I21" i="8"/>
  <c r="I24" i="8"/>
  <c r="I20" i="8" s="1"/>
  <c r="I27" i="8"/>
  <c r="I29" i="8"/>
  <c r="I32" i="8"/>
  <c r="I35" i="8"/>
  <c r="I42" i="8"/>
  <c r="J42" i="8" s="1"/>
  <c r="I51" i="8"/>
  <c r="I41" i="8" s="1"/>
  <c r="J7" i="8"/>
  <c r="J6" i="8" s="1"/>
  <c r="J9" i="8"/>
  <c r="J8" i="8" s="1"/>
  <c r="J13" i="8"/>
  <c r="J12" i="8"/>
  <c r="J16" i="8"/>
  <c r="J17" i="8"/>
  <c r="J22" i="8"/>
  <c r="J21" i="8" s="1"/>
  <c r="J25" i="8"/>
  <c r="J24" i="8"/>
  <c r="J28" i="8"/>
  <c r="J27" i="8"/>
  <c r="J31" i="8"/>
  <c r="J29" i="8" s="1"/>
  <c r="J33" i="8"/>
  <c r="J32" i="8" s="1"/>
  <c r="J36" i="8"/>
  <c r="J35" i="8" s="1"/>
  <c r="J55" i="8"/>
  <c r="K6" i="8"/>
  <c r="K8" i="8"/>
  <c r="L8" i="8" s="1"/>
  <c r="K10" i="8"/>
  <c r="K12" i="8"/>
  <c r="K14" i="8"/>
  <c r="K18" i="8"/>
  <c r="K21" i="8"/>
  <c r="K24" i="8"/>
  <c r="K27" i="8"/>
  <c r="L27" i="8" s="1"/>
  <c r="K29" i="8"/>
  <c r="K32" i="8"/>
  <c r="K35" i="8"/>
  <c r="K51" i="8"/>
  <c r="K41" i="8" s="1"/>
  <c r="M5" i="8"/>
  <c r="M4" i="8" s="1"/>
  <c r="M20" i="8"/>
  <c r="N5" i="8"/>
  <c r="N20" i="8"/>
  <c r="N4" i="8"/>
  <c r="O5" i="8"/>
  <c r="O20" i="8"/>
  <c r="O4" i="8"/>
  <c r="P5" i="8"/>
  <c r="Q5" i="8" s="1"/>
  <c r="S5" i="8" s="1"/>
  <c r="P20" i="8"/>
  <c r="Q20" i="8" s="1"/>
  <c r="R5" i="8"/>
  <c r="R4" i="8" s="1"/>
  <c r="R20" i="8"/>
  <c r="S20" i="8" s="1"/>
  <c r="W13" i="8"/>
  <c r="W12" i="8" s="1"/>
  <c r="W5" i="8" s="1"/>
  <c r="W21" i="8"/>
  <c r="W20" i="8" s="1"/>
  <c r="X4" i="8"/>
  <c r="T12" i="8"/>
  <c r="T18" i="8"/>
  <c r="U12" i="8"/>
  <c r="U5" i="8" s="1"/>
  <c r="V12" i="8"/>
  <c r="V5" i="8"/>
  <c r="Q6" i="8"/>
  <c r="S6" i="8"/>
  <c r="L7" i="8"/>
  <c r="Q7" i="8"/>
  <c r="S7" i="8" s="1"/>
  <c r="Q8" i="8"/>
  <c r="S8" i="8" s="1"/>
  <c r="L9" i="8"/>
  <c r="Q9" i="8"/>
  <c r="S9" i="8"/>
  <c r="Q10" i="8"/>
  <c r="S10" i="8"/>
  <c r="Q11" i="8"/>
  <c r="S11" i="8"/>
  <c r="Q12" i="8"/>
  <c r="S12" i="8" s="1"/>
  <c r="L13" i="8"/>
  <c r="Q13" i="8"/>
  <c r="S13" i="8" s="1"/>
  <c r="Q14" i="8"/>
  <c r="S14" i="8" s="1"/>
  <c r="Q15" i="8"/>
  <c r="S15" i="8"/>
  <c r="Q16" i="8"/>
  <c r="S16" i="8" s="1"/>
  <c r="Q17" i="8"/>
  <c r="S17" i="8"/>
  <c r="Q18" i="8"/>
  <c r="S18" i="8" s="1"/>
  <c r="Q19" i="8"/>
  <c r="S19" i="8" s="1"/>
  <c r="T20" i="8"/>
  <c r="U20" i="8"/>
  <c r="V27" i="8"/>
  <c r="V20" i="8"/>
  <c r="Q21" i="8"/>
  <c r="S21" i="8" s="1"/>
  <c r="Q22" i="8"/>
  <c r="S22" i="8"/>
  <c r="Q23" i="8"/>
  <c r="S23" i="8" s="1"/>
  <c r="Q24" i="8"/>
  <c r="S24" i="8"/>
  <c r="Q25" i="8"/>
  <c r="S25" i="8" s="1"/>
  <c r="Q26" i="8"/>
  <c r="Q27" i="8"/>
  <c r="S27" i="8"/>
  <c r="L28" i="8"/>
  <c r="Q28" i="8"/>
  <c r="S28" i="8" s="1"/>
  <c r="Q29" i="8"/>
  <c r="S29" i="8" s="1"/>
  <c r="Q30" i="8"/>
  <c r="Q31" i="8"/>
  <c r="S31" i="8"/>
  <c r="Q32" i="8"/>
  <c r="S32" i="8" s="1"/>
  <c r="L33" i="8"/>
  <c r="Q33" i="8"/>
  <c r="S33" i="8"/>
  <c r="Q34" i="8"/>
  <c r="S34" i="8" s="1"/>
  <c r="Q35" i="8"/>
  <c r="S35" i="8"/>
  <c r="Q36" i="8"/>
  <c r="S36" i="8"/>
  <c r="Q37" i="8"/>
  <c r="Q38" i="8"/>
  <c r="Q39" i="8"/>
  <c r="Q40" i="8"/>
  <c r="Q41" i="8"/>
  <c r="S41" i="8"/>
  <c r="L42" i="8"/>
  <c r="Q42" i="8"/>
  <c r="S42" i="8" s="1"/>
  <c r="Q43" i="8"/>
  <c r="Q44" i="8"/>
  <c r="Q45" i="8"/>
  <c r="Q46" i="8"/>
  <c r="Q47" i="8"/>
  <c r="Q48" i="8"/>
  <c r="Q49" i="8"/>
  <c r="Q50" i="8"/>
  <c r="M51" i="8"/>
  <c r="N51" i="8"/>
  <c r="O51" i="8"/>
  <c r="P51" i="8"/>
  <c r="Q51" i="8" s="1"/>
  <c r="R51" i="8"/>
  <c r="Q52" i="8"/>
  <c r="S52" i="8"/>
  <c r="Q53" i="8"/>
  <c r="S53" i="8"/>
  <c r="Q54" i="8"/>
  <c r="S54" i="8" s="1"/>
  <c r="Q55" i="8"/>
  <c r="S55" i="8" s="1"/>
  <c r="Q56" i="8"/>
  <c r="S56" i="8"/>
  <c r="Q57" i="8"/>
  <c r="S57" i="8" s="1"/>
  <c r="BH5" i="2"/>
  <c r="BH6" i="2"/>
  <c r="C5" i="7"/>
  <c r="D5" i="7"/>
  <c r="E5" i="7"/>
  <c r="F5" i="7"/>
  <c r="G5" i="7"/>
  <c r="H5" i="7"/>
  <c r="I5" i="7"/>
  <c r="J5" i="7"/>
  <c r="K5" i="7"/>
  <c r="L5" i="7"/>
  <c r="M5" i="7"/>
  <c r="N5" i="7"/>
  <c r="O5" i="7"/>
  <c r="P5" i="7"/>
  <c r="Q5" i="7"/>
  <c r="Q4" i="7" s="1"/>
  <c r="R5" i="7"/>
  <c r="R4" i="7" s="1"/>
  <c r="S5" i="7"/>
  <c r="T5" i="7"/>
  <c r="U5" i="7"/>
  <c r="V5" i="7"/>
  <c r="W5" i="7"/>
  <c r="X5" i="7"/>
  <c r="Y5" i="7"/>
  <c r="Z5" i="7"/>
  <c r="AA5" i="7"/>
  <c r="AB5" i="7"/>
  <c r="B6" i="7"/>
  <c r="AD6" i="7" s="1"/>
  <c r="AD5" i="7" s="1"/>
  <c r="AC6" i="7"/>
  <c r="AC5" i="7"/>
  <c r="C7" i="7"/>
  <c r="D7" i="7"/>
  <c r="E7" i="7"/>
  <c r="F7" i="7"/>
  <c r="G7" i="7"/>
  <c r="H7" i="7"/>
  <c r="I7" i="7"/>
  <c r="J7" i="7"/>
  <c r="K7" i="7"/>
  <c r="L7" i="7"/>
  <c r="M7" i="7"/>
  <c r="N7" i="7"/>
  <c r="O7" i="7"/>
  <c r="P7" i="7"/>
  <c r="Q7" i="7"/>
  <c r="R7" i="7"/>
  <c r="S7" i="7"/>
  <c r="T7" i="7"/>
  <c r="U7" i="7"/>
  <c r="V7" i="7"/>
  <c r="W7" i="7"/>
  <c r="X7" i="7"/>
  <c r="Y7" i="7"/>
  <c r="Z7" i="7"/>
  <c r="AA7" i="7"/>
  <c r="AB7" i="7"/>
  <c r="B8" i="7"/>
  <c r="AD8" i="7" s="1"/>
  <c r="AD7" i="7" s="1"/>
  <c r="AC8" i="7"/>
  <c r="AC7" i="7" s="1"/>
  <c r="C9" i="7"/>
  <c r="D9" i="7"/>
  <c r="E9" i="7"/>
  <c r="F9" i="7"/>
  <c r="G9" i="7"/>
  <c r="H9" i="7"/>
  <c r="I9" i="7"/>
  <c r="J9" i="7"/>
  <c r="K9" i="7"/>
  <c r="L9" i="7"/>
  <c r="M9" i="7"/>
  <c r="N9" i="7"/>
  <c r="O9" i="7"/>
  <c r="P9" i="7"/>
  <c r="Q9" i="7"/>
  <c r="R9" i="7"/>
  <c r="S9" i="7"/>
  <c r="T9" i="7"/>
  <c r="U9" i="7"/>
  <c r="V9" i="7"/>
  <c r="V4" i="7" s="1"/>
  <c r="W9" i="7"/>
  <c r="W4" i="7" s="1"/>
  <c r="X9" i="7"/>
  <c r="Y9" i="7"/>
  <c r="Z9" i="7"/>
  <c r="AA9" i="7"/>
  <c r="AB9" i="7"/>
  <c r="B10" i="7"/>
  <c r="AC10" i="7" s="1"/>
  <c r="AC9" i="7" s="1"/>
  <c r="C11" i="7"/>
  <c r="D11" i="7"/>
  <c r="E11" i="7"/>
  <c r="F11" i="7"/>
  <c r="G11" i="7"/>
  <c r="H11" i="7"/>
  <c r="I11" i="7"/>
  <c r="I4" i="7" s="1"/>
  <c r="J11" i="7"/>
  <c r="K11" i="7"/>
  <c r="L11" i="7"/>
  <c r="M11" i="7"/>
  <c r="N11" i="7"/>
  <c r="O11" i="7"/>
  <c r="P11" i="7"/>
  <c r="Q11" i="7"/>
  <c r="R11" i="7"/>
  <c r="S11" i="7"/>
  <c r="T11" i="7"/>
  <c r="U11" i="7"/>
  <c r="V11" i="7"/>
  <c r="W11" i="7"/>
  <c r="X11" i="7"/>
  <c r="Y11" i="7"/>
  <c r="Y4" i="7" s="1"/>
  <c r="Y3" i="7" s="1"/>
  <c r="Z11" i="7"/>
  <c r="AA11" i="7"/>
  <c r="AB11" i="7"/>
  <c r="B12" i="7"/>
  <c r="AD12" i="7" s="1"/>
  <c r="AD11" i="7" s="1"/>
  <c r="C13" i="7"/>
  <c r="D13" i="7"/>
  <c r="E13" i="7"/>
  <c r="F13" i="7"/>
  <c r="G13" i="7"/>
  <c r="H13" i="7"/>
  <c r="I13" i="7"/>
  <c r="J13" i="7"/>
  <c r="K13" i="7"/>
  <c r="L13" i="7"/>
  <c r="M13" i="7"/>
  <c r="N13" i="7"/>
  <c r="O13" i="7"/>
  <c r="P13" i="7"/>
  <c r="P4" i="7" s="1"/>
  <c r="Q13" i="7"/>
  <c r="R13" i="7"/>
  <c r="S13" i="7"/>
  <c r="T13" i="7"/>
  <c r="U13" i="7"/>
  <c r="V13" i="7"/>
  <c r="W13" i="7"/>
  <c r="X13" i="7"/>
  <c r="Y13" i="7"/>
  <c r="Z13" i="7"/>
  <c r="AA13" i="7"/>
  <c r="AB13" i="7"/>
  <c r="B14" i="7"/>
  <c r="AD14" i="7" s="1"/>
  <c r="AD13" i="7" s="1"/>
  <c r="AC14" i="7"/>
  <c r="B15" i="7"/>
  <c r="AD15" i="7"/>
  <c r="B16" i="7"/>
  <c r="AC16" i="7" s="1"/>
  <c r="C17" i="7"/>
  <c r="D17" i="7"/>
  <c r="E17" i="7"/>
  <c r="F17" i="7"/>
  <c r="G17" i="7"/>
  <c r="B17" i="7" s="1"/>
  <c r="H17" i="7"/>
  <c r="I17" i="7"/>
  <c r="J17" i="7"/>
  <c r="K17" i="7"/>
  <c r="L17" i="7"/>
  <c r="M17" i="7"/>
  <c r="N17" i="7"/>
  <c r="O17" i="7"/>
  <c r="P17" i="7"/>
  <c r="Q17" i="7"/>
  <c r="R17" i="7"/>
  <c r="S17" i="7"/>
  <c r="T17" i="7"/>
  <c r="U17" i="7"/>
  <c r="V17" i="7"/>
  <c r="W17" i="7"/>
  <c r="X17" i="7"/>
  <c r="Y17" i="7"/>
  <c r="Z17" i="7"/>
  <c r="AA17" i="7"/>
  <c r="AB17" i="7"/>
  <c r="B18" i="7"/>
  <c r="AC18" i="7"/>
  <c r="C20" i="7"/>
  <c r="C19" i="7" s="1"/>
  <c r="D20" i="7"/>
  <c r="E20" i="7"/>
  <c r="F20" i="7"/>
  <c r="G20" i="7"/>
  <c r="H20" i="7"/>
  <c r="I20" i="7"/>
  <c r="J20" i="7"/>
  <c r="K20" i="7"/>
  <c r="L20" i="7"/>
  <c r="M20" i="7"/>
  <c r="N20" i="7"/>
  <c r="O20" i="7"/>
  <c r="P20" i="7"/>
  <c r="Q20" i="7"/>
  <c r="R20" i="7"/>
  <c r="R19" i="7" s="1"/>
  <c r="S20" i="7"/>
  <c r="T20" i="7"/>
  <c r="T19" i="7" s="1"/>
  <c r="U20" i="7"/>
  <c r="V20" i="7"/>
  <c r="W20" i="7"/>
  <c r="X20" i="7"/>
  <c r="Y20" i="7"/>
  <c r="Y19" i="7" s="1"/>
  <c r="Z20" i="7"/>
  <c r="AA20" i="7"/>
  <c r="AB20" i="7"/>
  <c r="B21" i="7"/>
  <c r="AC21" i="7" s="1"/>
  <c r="B22" i="7"/>
  <c r="AD22" i="7"/>
  <c r="C23" i="7"/>
  <c r="D23" i="7"/>
  <c r="E23" i="7"/>
  <c r="F23" i="7"/>
  <c r="G23" i="7"/>
  <c r="H23" i="7"/>
  <c r="I23" i="7"/>
  <c r="J23" i="7"/>
  <c r="K23" i="7"/>
  <c r="L23" i="7"/>
  <c r="M23" i="7"/>
  <c r="N23" i="7"/>
  <c r="O23" i="7"/>
  <c r="P23" i="7"/>
  <c r="Q23" i="7"/>
  <c r="R23" i="7"/>
  <c r="S23" i="7"/>
  <c r="T23" i="7"/>
  <c r="U23" i="7"/>
  <c r="V23" i="7"/>
  <c r="W23" i="7"/>
  <c r="X23" i="7"/>
  <c r="Y23" i="7"/>
  <c r="Z23" i="7"/>
  <c r="AA23" i="7"/>
  <c r="AB23" i="7"/>
  <c r="B24" i="7"/>
  <c r="AD24" i="7"/>
  <c r="AD23" i="7"/>
  <c r="C25" i="7"/>
  <c r="D25" i="7"/>
  <c r="E25" i="7"/>
  <c r="F25" i="7"/>
  <c r="G25" i="7"/>
  <c r="H25" i="7"/>
  <c r="I25" i="7"/>
  <c r="J25" i="7"/>
  <c r="K25" i="7"/>
  <c r="L25" i="7"/>
  <c r="M25" i="7"/>
  <c r="N25" i="7"/>
  <c r="O25" i="7"/>
  <c r="P25" i="7"/>
  <c r="Q25" i="7"/>
  <c r="R25" i="7"/>
  <c r="S25" i="7"/>
  <c r="T25" i="7"/>
  <c r="U25" i="7"/>
  <c r="V25" i="7"/>
  <c r="W25" i="7"/>
  <c r="X25" i="7"/>
  <c r="Y25" i="7"/>
  <c r="Z25" i="7"/>
  <c r="Z19" i="7" s="1"/>
  <c r="AA25" i="7"/>
  <c r="AB25" i="7"/>
  <c r="B26" i="7"/>
  <c r="AC26" i="7" s="1"/>
  <c r="AC25" i="7" s="1"/>
  <c r="C27" i="7"/>
  <c r="D27" i="7"/>
  <c r="E27" i="7"/>
  <c r="F27" i="7"/>
  <c r="G27" i="7"/>
  <c r="H27" i="7"/>
  <c r="I27" i="7"/>
  <c r="J27" i="7"/>
  <c r="K27" i="7"/>
  <c r="L27" i="7"/>
  <c r="M27" i="7"/>
  <c r="N27" i="7"/>
  <c r="O27" i="7"/>
  <c r="P27" i="7"/>
  <c r="Q27" i="7"/>
  <c r="R27" i="7"/>
  <c r="S27" i="7"/>
  <c r="T27" i="7"/>
  <c r="U27" i="7"/>
  <c r="V27" i="7"/>
  <c r="W27" i="7"/>
  <c r="X27" i="7"/>
  <c r="Y27" i="7"/>
  <c r="Z27" i="7"/>
  <c r="AA27" i="7"/>
  <c r="AB27" i="7"/>
  <c r="B28" i="7"/>
  <c r="AD28" i="7" s="1"/>
  <c r="AD27" i="7" s="1"/>
  <c r="AC28" i="7"/>
  <c r="AC27" i="7" s="1"/>
  <c r="C29" i="7"/>
  <c r="D29" i="7"/>
  <c r="E29" i="7"/>
  <c r="F29" i="7"/>
  <c r="G29" i="7"/>
  <c r="H29" i="7"/>
  <c r="I29" i="7"/>
  <c r="J29" i="7"/>
  <c r="K29" i="7"/>
  <c r="L29" i="7"/>
  <c r="M29" i="7"/>
  <c r="N29" i="7"/>
  <c r="O29" i="7"/>
  <c r="P29" i="7"/>
  <c r="P19" i="7" s="1"/>
  <c r="Q29" i="7"/>
  <c r="R29" i="7"/>
  <c r="S29" i="7"/>
  <c r="T29" i="7"/>
  <c r="U29" i="7"/>
  <c r="V29" i="7"/>
  <c r="W29" i="7"/>
  <c r="X29" i="7"/>
  <c r="Y29" i="7"/>
  <c r="Z29" i="7"/>
  <c r="AA29" i="7"/>
  <c r="AB29" i="7"/>
  <c r="B30" i="7"/>
  <c r="AD30" i="7" s="1"/>
  <c r="AD29" i="7" s="1"/>
  <c r="C32" i="7"/>
  <c r="D32" i="7"/>
  <c r="D31" i="7" s="1"/>
  <c r="E32" i="7"/>
  <c r="E31" i="7"/>
  <c r="F32" i="7"/>
  <c r="F31" i="7" s="1"/>
  <c r="G32" i="7"/>
  <c r="H32" i="7"/>
  <c r="I32" i="7"/>
  <c r="J32" i="7"/>
  <c r="K32" i="7"/>
  <c r="L32" i="7"/>
  <c r="M32" i="7"/>
  <c r="N32" i="7"/>
  <c r="N31" i="7"/>
  <c r="O32" i="7"/>
  <c r="P32" i="7"/>
  <c r="P31" i="7" s="1"/>
  <c r="Q32" i="7"/>
  <c r="Q31" i="7" s="1"/>
  <c r="R32" i="7"/>
  <c r="R31" i="7" s="1"/>
  <c r="S32" i="7"/>
  <c r="T32" i="7"/>
  <c r="U32" i="7"/>
  <c r="U31" i="7" s="1"/>
  <c r="V32" i="7"/>
  <c r="W32" i="7"/>
  <c r="W31" i="7" s="1"/>
  <c r="X32" i="7"/>
  <c r="X31" i="7"/>
  <c r="Y32" i="7"/>
  <c r="Y31" i="7" s="1"/>
  <c r="Z32" i="7"/>
  <c r="Z31" i="7" s="1"/>
  <c r="AA32" i="7"/>
  <c r="AB32" i="7"/>
  <c r="B33" i="7"/>
  <c r="AD33" i="7"/>
  <c r="AD32" i="7"/>
  <c r="C34" i="7"/>
  <c r="D34" i="7"/>
  <c r="E34" i="7"/>
  <c r="F34" i="7"/>
  <c r="G34" i="7"/>
  <c r="H34" i="7"/>
  <c r="H31" i="7" s="1"/>
  <c r="I34" i="7"/>
  <c r="J34" i="7"/>
  <c r="J31" i="7" s="1"/>
  <c r="K34" i="7"/>
  <c r="L34" i="7"/>
  <c r="M34" i="7"/>
  <c r="M31" i="7" s="1"/>
  <c r="N34" i="7"/>
  <c r="O34" i="7"/>
  <c r="P34" i="7"/>
  <c r="Q34" i="7"/>
  <c r="R34" i="7"/>
  <c r="S34" i="7"/>
  <c r="S31" i="7" s="1"/>
  <c r="T34" i="7"/>
  <c r="T31" i="7" s="1"/>
  <c r="U34" i="7"/>
  <c r="V34" i="7"/>
  <c r="W34" i="7"/>
  <c r="X34" i="7"/>
  <c r="Y34" i="7"/>
  <c r="Z34" i="7"/>
  <c r="AA34" i="7"/>
  <c r="AA31" i="7" s="1"/>
  <c r="AB34" i="7"/>
  <c r="AB31" i="7" s="1"/>
  <c r="B35" i="7"/>
  <c r="AD35" i="7"/>
  <c r="B36" i="7"/>
  <c r="AC36" i="7" s="1"/>
  <c r="E19" i="7"/>
  <c r="G31" i="7"/>
  <c r="L31" i="7"/>
  <c r="AD18" i="7"/>
  <c r="AD17" i="7"/>
  <c r="AD16" i="7"/>
  <c r="AB4" i="7"/>
  <c r="AD26" i="7"/>
  <c r="AD25" i="7" s="1"/>
  <c r="AD10" i="7"/>
  <c r="AD9" i="7" s="1"/>
  <c r="BG7" i="2"/>
  <c r="K20" i="8" l="1"/>
  <c r="L21" i="8"/>
  <c r="AA4" i="7"/>
  <c r="L19" i="7"/>
  <c r="B11" i="7"/>
  <c r="B20" i="7"/>
  <c r="I31" i="7"/>
  <c r="J19" i="7"/>
  <c r="L53" i="8"/>
  <c r="J15" i="8"/>
  <c r="J14" i="8" s="1"/>
  <c r="F15" i="8"/>
  <c r="F14" i="8" s="1"/>
  <c r="B34" i="7"/>
  <c r="AC34" i="7" s="1"/>
  <c r="B25" i="7"/>
  <c r="U19" i="7"/>
  <c r="I19" i="7"/>
  <c r="I3" i="7" s="1"/>
  <c r="B13" i="7"/>
  <c r="AC13" i="7" s="1"/>
  <c r="G4" i="7"/>
  <c r="J53" i="8"/>
  <c r="H5" i="8"/>
  <c r="E20" i="8"/>
  <c r="P3" i="7"/>
  <c r="B9" i="7"/>
  <c r="G19" i="7"/>
  <c r="AA19" i="7"/>
  <c r="AC30" i="7"/>
  <c r="V31" i="7"/>
  <c r="K19" i="7"/>
  <c r="K3" i="7" s="1"/>
  <c r="X19" i="7"/>
  <c r="H19" i="7"/>
  <c r="F4" i="7"/>
  <c r="G6" i="8"/>
  <c r="G5" i="8" s="1"/>
  <c r="G4" i="8" s="1"/>
  <c r="K31" i="7"/>
  <c r="B27" i="7"/>
  <c r="M19" i="7"/>
  <c r="W19" i="7"/>
  <c r="E4" i="7"/>
  <c r="E3" i="7" s="1"/>
  <c r="S51" i="8"/>
  <c r="B7" i="7"/>
  <c r="AC20" i="7"/>
  <c r="T5" i="8"/>
  <c r="J57" i="8"/>
  <c r="U4" i="7"/>
  <c r="U3" i="7" s="1"/>
  <c r="B29" i="7"/>
  <c r="V19" i="7"/>
  <c r="V3" i="7" s="1"/>
  <c r="F19" i="7"/>
  <c r="M4" i="7"/>
  <c r="M3" i="7" s="1"/>
  <c r="Z4" i="7"/>
  <c r="Z3" i="7" s="1"/>
  <c r="J4" i="7"/>
  <c r="T4" i="7"/>
  <c r="T3" i="7" s="1"/>
  <c r="L22" i="8"/>
  <c r="L15" i="8"/>
  <c r="W4" i="8"/>
  <c r="L32" i="8"/>
  <c r="S4" i="7"/>
  <c r="B5" i="7"/>
  <c r="E51" i="8"/>
  <c r="E41" i="8" s="1"/>
  <c r="E34" i="8" s="1"/>
  <c r="Q19" i="7"/>
  <c r="Q3" i="7" s="1"/>
  <c r="H4" i="7"/>
  <c r="H3" i="7" s="1"/>
  <c r="L57" i="8"/>
  <c r="O31" i="7"/>
  <c r="S19" i="7"/>
  <c r="D4" i="7"/>
  <c r="L14" i="8"/>
  <c r="O19" i="7"/>
  <c r="K4" i="7"/>
  <c r="K5" i="8"/>
  <c r="L35" i="8"/>
  <c r="H34" i="8"/>
  <c r="B32" i="7"/>
  <c r="X4" i="7"/>
  <c r="X3" i="7" s="1"/>
  <c r="P4" i="8"/>
  <c r="Q4" i="8" s="1"/>
  <c r="S4" i="8" s="1"/>
  <c r="I34" i="8"/>
  <c r="I4" i="8" s="1"/>
  <c r="B23" i="7"/>
  <c r="AC17" i="7"/>
  <c r="N4" i="7"/>
  <c r="N3" i="7" s="1"/>
  <c r="J20" i="8"/>
  <c r="D19" i="7"/>
  <c r="B19" i="7" s="1"/>
  <c r="N19" i="7"/>
  <c r="O4" i="7"/>
  <c r="L4" i="7"/>
  <c r="L11" i="8"/>
  <c r="L10" i="8"/>
  <c r="G20" i="8"/>
  <c r="G3" i="7"/>
  <c r="H4" i="8"/>
  <c r="K34" i="8"/>
  <c r="J5" i="8"/>
  <c r="W3" i="7"/>
  <c r="F41" i="8"/>
  <c r="F34" i="8" s="1"/>
  <c r="R3" i="7"/>
  <c r="AD4" i="7"/>
  <c r="O3" i="7"/>
  <c r="L3" i="7"/>
  <c r="F20" i="8"/>
  <c r="J11" i="8"/>
  <c r="J10" i="8" s="1"/>
  <c r="AD36" i="7"/>
  <c r="AD34" i="7" s="1"/>
  <c r="AD31" i="7" s="1"/>
  <c r="AB19" i="7"/>
  <c r="F56" i="8"/>
  <c r="C4" i="7"/>
  <c r="L19" i="8"/>
  <c r="J56" i="8"/>
  <c r="F52" i="8"/>
  <c r="F51" i="8" s="1"/>
  <c r="AD21" i="7"/>
  <c r="AD20" i="7" s="1"/>
  <c r="AD19" i="7" s="1"/>
  <c r="L36" i="8"/>
  <c r="F19" i="8"/>
  <c r="F18" i="8" s="1"/>
  <c r="E18" i="8"/>
  <c r="L18" i="8" s="1"/>
  <c r="L12" i="8"/>
  <c r="J52" i="8"/>
  <c r="AB3" i="7"/>
  <c r="C31" i="7"/>
  <c r="L20" i="8" l="1"/>
  <c r="F5" i="8"/>
  <c r="F4" i="8" s="1"/>
  <c r="B31" i="7"/>
  <c r="AC31" i="7" s="1"/>
  <c r="L41" i="8"/>
  <c r="F3" i="7"/>
  <c r="D3" i="7"/>
  <c r="L51" i="8"/>
  <c r="J51" i="8"/>
  <c r="J41" i="8" s="1"/>
  <c r="J34" i="8" s="1"/>
  <c r="L34" i="8"/>
  <c r="AA3" i="7"/>
  <c r="S3" i="7"/>
  <c r="J3" i="7"/>
  <c r="AD3" i="7"/>
  <c r="J4" i="8"/>
  <c r="E5" i="8"/>
  <c r="K4" i="8"/>
  <c r="C3" i="7"/>
  <c r="B3" i="7" s="1"/>
  <c r="AC3" i="7" s="1"/>
  <c r="B4" i="7"/>
  <c r="AC4" i="7" s="1"/>
  <c r="AC19" i="7"/>
  <c r="E4" i="8" l="1"/>
  <c r="L4" i="8" s="1"/>
  <c r="L5" i="8"/>
</calcChain>
</file>

<file path=xl/sharedStrings.xml><?xml version="1.0" encoding="utf-8"?>
<sst xmlns="http://schemas.openxmlformats.org/spreadsheetml/2006/main" count="1401" uniqueCount="487">
  <si>
    <t>Payments to Governments</t>
  </si>
  <si>
    <t>Payments to communities</t>
  </si>
  <si>
    <t>Operating costs</t>
  </si>
  <si>
    <t>Other payments</t>
  </si>
  <si>
    <t>Value created</t>
  </si>
  <si>
    <t xml:space="preserve">Revenue </t>
  </si>
  <si>
    <t>Payments to Employees</t>
  </si>
  <si>
    <t>Total payments to govt</t>
  </si>
  <si>
    <t>Taxes Witheld from Other Parties</t>
  </si>
  <si>
    <t xml:space="preserve">Royalties paid to Governments </t>
  </si>
  <si>
    <t>Other taxes paid including VAT and GST</t>
  </si>
  <si>
    <t>Income taxes</t>
  </si>
  <si>
    <t>Other taxes</t>
  </si>
  <si>
    <t>Dividend payments to governments</t>
  </si>
  <si>
    <t>Payments to Communities</t>
  </si>
  <si>
    <t xml:space="preserve">Community Development </t>
  </si>
  <si>
    <t>Health</t>
  </si>
  <si>
    <t>Education</t>
  </si>
  <si>
    <t>Arts, Culture &amp; Sports</t>
  </si>
  <si>
    <t>Environment</t>
  </si>
  <si>
    <t>Economic Development</t>
  </si>
  <si>
    <t>Infrastructure</t>
  </si>
  <si>
    <t>Water Infrastructure</t>
  </si>
  <si>
    <t>Community Engagement</t>
  </si>
  <si>
    <t>Other</t>
  </si>
  <si>
    <t xml:space="preserve">Compensation Payments </t>
  </si>
  <si>
    <t>Payments to local communities as part of land use agreements</t>
  </si>
  <si>
    <t>Local</t>
  </si>
  <si>
    <t>Regional</t>
  </si>
  <si>
    <t>National</t>
  </si>
  <si>
    <t>Out-of-country</t>
  </si>
  <si>
    <t>Other Payments</t>
  </si>
  <si>
    <t>Payments to providers of capital</t>
  </si>
  <si>
    <t>Royalties paid to third-parties</t>
  </si>
  <si>
    <t>Additional/ other payments</t>
  </si>
  <si>
    <t>Total economic value distributed</t>
  </si>
  <si>
    <t>Total economic value distributed in-country</t>
  </si>
  <si>
    <t>Economic value retained by Barrick</t>
  </si>
  <si>
    <t>Finance_1000</t>
  </si>
  <si>
    <t>Finance_1001</t>
  </si>
  <si>
    <t>"=E#+F#+G#+H#+I#"</t>
  </si>
  <si>
    <t>Tax_1046</t>
  </si>
  <si>
    <t>Finance_1003</t>
  </si>
  <si>
    <t>Finance_1002</t>
  </si>
  <si>
    <t>Finance_1005</t>
  </si>
  <si>
    <t>Finance_1004</t>
  </si>
  <si>
    <t>Tax_1016</t>
  </si>
  <si>
    <t>"=K#+U#+V#"</t>
  </si>
  <si>
    <t>"=SUM(L#:T#)"</t>
  </si>
  <si>
    <t>Community_1039</t>
  </si>
  <si>
    <t>Community_1040</t>
  </si>
  <si>
    <t>Community_1041</t>
  </si>
  <si>
    <t>Community_1042</t>
  </si>
  <si>
    <t>Community_1043</t>
  </si>
  <si>
    <t>Community_1044</t>
  </si>
  <si>
    <t>Community_1045</t>
  </si>
  <si>
    <t>Community_1046</t>
  </si>
  <si>
    <t>Community_1047</t>
  </si>
  <si>
    <t>Community_1050</t>
  </si>
  <si>
    <t>Community_1051</t>
  </si>
  <si>
    <t>"=SUM(X#:AA#)"</t>
  </si>
  <si>
    <t>Supply Chain _1000</t>
  </si>
  <si>
    <t>Supply Chain _1001</t>
  </si>
  <si>
    <t>Supply Chain _1002</t>
  </si>
  <si>
    <t>Supply Chain _1003</t>
  </si>
  <si>
    <t>"=SUM(AC#:AE#)"</t>
  </si>
  <si>
    <t>Finance_1008</t>
  </si>
  <si>
    <t>Finance_1007</t>
  </si>
  <si>
    <t>Finance_1009</t>
  </si>
  <si>
    <t>"=AB#+W#+J#+C#+D#"</t>
  </si>
  <si>
    <t>"=C#+D#+K#+Y#+Z#+AA#+AE#+AF#"</t>
  </si>
  <si>
    <t>"=AG#-AH#"</t>
  </si>
  <si>
    <t>Barrick</t>
  </si>
  <si>
    <t>Africa and Middle East</t>
  </si>
  <si>
    <t>Mali</t>
  </si>
  <si>
    <t>Loulo-Gounkoto</t>
  </si>
  <si>
    <t>Cote d'Ivoire</t>
  </si>
  <si>
    <t>Tongon</t>
  </si>
  <si>
    <t>Democratic Republic of Congo</t>
  </si>
  <si>
    <t>Kibali</t>
  </si>
  <si>
    <t>Saudi Arabia</t>
  </si>
  <si>
    <t>Jabal Sayid</t>
  </si>
  <si>
    <t>Tanzania</t>
  </si>
  <si>
    <t>Bulyanhulu</t>
  </si>
  <si>
    <t>Buzwagi</t>
  </si>
  <si>
    <t>North Mara</t>
  </si>
  <si>
    <t>Zambia</t>
  </si>
  <si>
    <t>Lumwana</t>
  </si>
  <si>
    <t>Latin America and Asia Pacific</t>
  </si>
  <si>
    <t>Argentina</t>
  </si>
  <si>
    <t>Veladero</t>
  </si>
  <si>
    <t>Lama</t>
  </si>
  <si>
    <t>Chile</t>
  </si>
  <si>
    <t>Pascua</t>
  </si>
  <si>
    <t>Closure</t>
  </si>
  <si>
    <t>Domincan Republic</t>
  </si>
  <si>
    <t>Pueblo Viejo</t>
  </si>
  <si>
    <t>Peru</t>
  </si>
  <si>
    <t>Pierina</t>
  </si>
  <si>
    <t>Papua New Guinea</t>
  </si>
  <si>
    <t>Porgera</t>
  </si>
  <si>
    <t>Pakistan</t>
  </si>
  <si>
    <t>Reko Diq</t>
  </si>
  <si>
    <t>North America</t>
  </si>
  <si>
    <t>Canada</t>
  </si>
  <si>
    <t>Hemlo</t>
  </si>
  <si>
    <t>Corporate</t>
  </si>
  <si>
    <t>Canada Closure</t>
  </si>
  <si>
    <t>Canada Exploration</t>
  </si>
  <si>
    <t>United States of America</t>
  </si>
  <si>
    <t>Golden Sunlight</t>
  </si>
  <si>
    <t>Nevada Gold Mines</t>
  </si>
  <si>
    <t>US closure</t>
  </si>
  <si>
    <t>Corporate US</t>
  </si>
  <si>
    <t>US exploration</t>
  </si>
  <si>
    <t>Withdrawal</t>
  </si>
  <si>
    <t>Change in Storage</t>
  </si>
  <si>
    <t>Diversion</t>
  </si>
  <si>
    <t>Discharged</t>
  </si>
  <si>
    <t>Total Consumption</t>
  </si>
  <si>
    <t>Total Volume to Task</t>
  </si>
  <si>
    <t>Reused Volume of Water to Task</t>
  </si>
  <si>
    <t>Efficiency (%)</t>
  </si>
  <si>
    <t>Withdrawal Intensity 
(M3 / ounce of gold produced)</t>
  </si>
  <si>
    <t>Withdrawal Intensity 
(M3 / tonne ore processed)</t>
  </si>
  <si>
    <t>Consumption Intensity 
(M3/ ounce of gold produced)</t>
  </si>
  <si>
    <t>Consumption Intensity 
(M3/ tonne)</t>
  </si>
  <si>
    <t>Ounces of Gold Produced</t>
  </si>
  <si>
    <t>Pounds of Copper Produced</t>
  </si>
  <si>
    <t>Total Ore Processed</t>
  </si>
  <si>
    <t>Disclosure Metrics</t>
  </si>
  <si>
    <t>High Quality</t>
  </si>
  <si>
    <t>Details</t>
  </si>
  <si>
    <t>Total High Quality</t>
  </si>
  <si>
    <t>Low Quality</t>
  </si>
  <si>
    <t>Total Low Quality</t>
  </si>
  <si>
    <t>Water Withdrawals - Sea Water</t>
  </si>
  <si>
    <t>Total Withdrawal</t>
  </si>
  <si>
    <t>Total Discharge</t>
  </si>
  <si>
    <t>Consumption High Quality</t>
  </si>
  <si>
    <t>Consumption Low Quality</t>
  </si>
  <si>
    <t>CHECK</t>
  </si>
  <si>
    <t>Context</t>
  </si>
  <si>
    <t>Catchment Stress</t>
  </si>
  <si>
    <t>Site Risk</t>
  </si>
  <si>
    <t>Site Opportunity</t>
  </si>
  <si>
    <t>Cubic Metres</t>
  </si>
  <si>
    <t>Precipitation and Runoff</t>
  </si>
  <si>
    <t>Rivers and Streams</t>
  </si>
  <si>
    <t>External Surface Water Storages</t>
  </si>
  <si>
    <t>Aquifer Interception</t>
  </si>
  <si>
    <t xml:space="preserve">Bore Fields </t>
  </si>
  <si>
    <t>Entrainment</t>
  </si>
  <si>
    <t>Municipal</t>
  </si>
  <si>
    <t>Waste Water</t>
  </si>
  <si>
    <t>Water Withdrawals - Surface Water - High Quality</t>
  </si>
  <si>
    <t>Water Withdrawals - Groundwater - High Quality</t>
  </si>
  <si>
    <t>Third Party Water - High Quality</t>
  </si>
  <si>
    <t>Bore Fields</t>
  </si>
  <si>
    <t>Sea / Ocean</t>
  </si>
  <si>
    <t>Water Withdrawals - Surface Water - Low Quality</t>
  </si>
  <si>
    <t>Water Withdrawals - Groundwater - Low Quality</t>
  </si>
  <si>
    <t>Third Party Water - Low Quality</t>
  </si>
  <si>
    <t>Surface Water</t>
  </si>
  <si>
    <t>Environmental Flows</t>
  </si>
  <si>
    <t>Seepage</t>
  </si>
  <si>
    <t>Reinjection</t>
  </si>
  <si>
    <t>Estuary</t>
  </si>
  <si>
    <t>Sea</t>
  </si>
  <si>
    <t>Third Party Supply</t>
  </si>
  <si>
    <t>Water Discharged - Sea Water</t>
  </si>
  <si>
    <t>Water Discharged - Surface Water - High Quality</t>
  </si>
  <si>
    <t>Water Discharged - Groundwater - High Quality</t>
  </si>
  <si>
    <t>Water Discharged - Surface Water - Low Quality</t>
  </si>
  <si>
    <t>Water Discharged - Groundwater - Low Quality</t>
  </si>
  <si>
    <t>Evaporation</t>
  </si>
  <si>
    <t>Andre's Total</t>
  </si>
  <si>
    <t>Differences</t>
  </si>
  <si>
    <t>Catchment</t>
  </si>
  <si>
    <t>Climate conditions</t>
  </si>
  <si>
    <t>Main operational activities</t>
  </si>
  <si>
    <t>Baseline catchment stress</t>
  </si>
  <si>
    <t>Assessment method</t>
  </si>
  <si>
    <t>Overall level</t>
  </si>
  <si>
    <t>Primary risk type</t>
  </si>
  <si>
    <t>Secondary risk type</t>
  </si>
  <si>
    <t>Main opportunity type</t>
  </si>
  <si>
    <t>Environment_1071</t>
  </si>
  <si>
    <t>Environment_1073</t>
  </si>
  <si>
    <t>Environment_1076</t>
  </si>
  <si>
    <t>=J#+K#+L#</t>
  </si>
  <si>
    <t>Environment_1072</t>
  </si>
  <si>
    <t>Environment_1074</t>
  </si>
  <si>
    <t>Environment_1077</t>
  </si>
  <si>
    <t>=V#+W#+X#</t>
  </si>
  <si>
    <t>Environment_1075</t>
  </si>
  <si>
    <t>=M#+Y#+Z#</t>
  </si>
  <si>
    <t>Environment_1070</t>
  </si>
  <si>
    <t>Environment_1066</t>
  </si>
  <si>
    <t>Environment_1065</t>
  </si>
  <si>
    <t>Environment_1061</t>
  </si>
  <si>
    <t>Environment_1063</t>
  </si>
  <si>
    <t>Environment_1062</t>
  </si>
  <si>
    <t>Environment_1064</t>
  </si>
  <si>
    <t>Environment_1055</t>
  </si>
  <si>
    <t>Environment_1056</t>
  </si>
  <si>
    <t>Environment_1057</t>
  </si>
  <si>
    <t>=SUM(AX#:AZ#)</t>
  </si>
  <si>
    <t>No Low Quality TSM</t>
  </si>
  <si>
    <t>=SUM(BB#:BD#)</t>
  </si>
  <si>
    <t>=BA#+BE#</t>
  </si>
  <si>
    <t>Environment_1058</t>
  </si>
  <si>
    <t>Environment_1059</t>
  </si>
  <si>
    <t>Environment_1060</t>
  </si>
  <si>
    <t>=X#/BL#</t>
  </si>
  <si>
    <t>=X#/BN#</t>
  </si>
  <si>
    <t>=BD#/BL#</t>
  </si>
  <si>
    <t>=BD#/BN#</t>
  </si>
  <si>
    <t>5092125.05</t>
  </si>
  <si>
    <t>1308376</t>
  </si>
  <si>
    <t>FIX NEEDED</t>
  </si>
  <si>
    <t>Operations</t>
  </si>
  <si>
    <t>Operations in water stressed areas</t>
  </si>
  <si>
    <t>MATCH</t>
  </si>
  <si>
    <t xml:space="preserve">Faleme </t>
  </si>
  <si>
    <t>Semi-arid</t>
  </si>
  <si>
    <t>Ore Processing</t>
  </si>
  <si>
    <t>Tailings Management</t>
  </si>
  <si>
    <t>Dust suppression</t>
  </si>
  <si>
    <t>3. Moderate risk</t>
  </si>
  <si>
    <t>WWF Water Risk Filter</t>
  </si>
  <si>
    <t>2. Low risk</t>
  </si>
  <si>
    <t>Physical</t>
  </si>
  <si>
    <t>Reputational</t>
  </si>
  <si>
    <t>Company Specific</t>
  </si>
  <si>
    <t>4. High</t>
  </si>
  <si>
    <t>Operational</t>
  </si>
  <si>
    <t>Morila</t>
  </si>
  <si>
    <t>#DIV/0!</t>
  </si>
  <si>
    <t>Bagoe</t>
  </si>
  <si>
    <t>Arid or semi-arid environment</t>
  </si>
  <si>
    <t>Reprocessing TSF</t>
  </si>
  <si>
    <t>Ore processing</t>
  </si>
  <si>
    <t>Regulatory</t>
  </si>
  <si>
    <t>2. Low</t>
  </si>
  <si>
    <t>Bandama</t>
  </si>
  <si>
    <t>Moderate precipitation with distinct dry season</t>
  </si>
  <si>
    <t>Dewatering</t>
  </si>
  <si>
    <t>Tailings management</t>
  </si>
  <si>
    <t>3. Moderate</t>
  </si>
  <si>
    <t>Congo</t>
  </si>
  <si>
    <t>Very high precipitation and/or frequent major storm events</t>
  </si>
  <si>
    <t>Stormwater management</t>
  </si>
  <si>
    <t>1. Very low risk</t>
  </si>
  <si>
    <t xml:space="preserve">Operational </t>
  </si>
  <si>
    <t>None</t>
  </si>
  <si>
    <t>Arid</t>
  </si>
  <si>
    <t>Dust Suppression</t>
  </si>
  <si>
    <t>5. Very high risk</t>
  </si>
  <si>
    <t>Lake Victoria</t>
  </si>
  <si>
    <t>Moderate precipiation with distinct dry season</t>
  </si>
  <si>
    <t>Zambezi</t>
  </si>
  <si>
    <t>2. Low Risk</t>
  </si>
  <si>
    <t>Company specific</t>
  </si>
  <si>
    <t>Taguas River Basin</t>
  </si>
  <si>
    <t>Moderate Precipitation with distinct dry season</t>
  </si>
  <si>
    <t>Dust Suppresion</t>
  </si>
  <si>
    <t>Ore Seperation</t>
  </si>
  <si>
    <t>4. High Risk</t>
  </si>
  <si>
    <t>Company Specfic</t>
  </si>
  <si>
    <t>Margajita River</t>
  </si>
  <si>
    <t>Water treatment</t>
  </si>
  <si>
    <t>NA</t>
  </si>
  <si>
    <t>Lagunas Norte</t>
  </si>
  <si>
    <t>Chicama River / Amazonas River</t>
  </si>
  <si>
    <t>Santa River</t>
  </si>
  <si>
    <t>4. High risk</t>
  </si>
  <si>
    <t>Porgera - Lagaip - Strickalne - Fly</t>
  </si>
  <si>
    <t>Discharge</t>
  </si>
  <si>
    <t>Formal risk assessment performed on water</t>
  </si>
  <si>
    <t>St. Lawrence</t>
  </si>
  <si>
    <t>Moderate Precipitation</t>
  </si>
  <si>
    <t>Water Treatment</t>
  </si>
  <si>
    <t>Eskay Creek</t>
  </si>
  <si>
    <t>Giant Nickel</t>
  </si>
  <si>
    <t>Nickel Plate</t>
  </si>
  <si>
    <t>Jefferson</t>
  </si>
  <si>
    <t>Water storage</t>
  </si>
  <si>
    <t>Access to water</t>
  </si>
  <si>
    <t>Company</t>
  </si>
  <si>
    <t>3. Medium</t>
  </si>
  <si>
    <t>Irrigation</t>
  </si>
  <si>
    <t>Homestake / Lead</t>
  </si>
  <si>
    <t>Richmond Hill</t>
  </si>
  <si>
    <t>Grants</t>
  </si>
  <si>
    <t>McLaughlin</t>
  </si>
  <si>
    <t>Pitch</t>
  </si>
  <si>
    <t>CHRP</t>
  </si>
  <si>
    <t>Mercur</t>
  </si>
  <si>
    <t>CARLIN</t>
  </si>
  <si>
    <t>Humboldt River</t>
  </si>
  <si>
    <t>Cortez</t>
  </si>
  <si>
    <t>Lone Tree*</t>
  </si>
  <si>
    <t>Central region</t>
  </si>
  <si>
    <t>Long Canyon</t>
  </si>
  <si>
    <t>Phoenix</t>
  </si>
  <si>
    <t>Humboldt River and Central Region</t>
  </si>
  <si>
    <t>Turquoise Ridge and Twin Creeks</t>
  </si>
  <si>
    <t>Western 102 Power Plant</t>
  </si>
  <si>
    <t>TS Power Plant</t>
  </si>
  <si>
    <t>Notes:</t>
  </si>
  <si>
    <t xml:space="preserve">Lumwana and Jabal Sayid are copper mines and, as such, their water intensity metrics are not directly comparable to Barrick's other properties. Data for these properties are provided per thousand pounds of copper. The total water intensities for Barrick per ounce of gold produced does not include water use from the copper mines.
</t>
  </si>
  <si>
    <t>Greenhouse Gas Emissions (CO2e)</t>
  </si>
  <si>
    <t>Energy Use (GJ)</t>
  </si>
  <si>
    <t>Production Statistics</t>
  </si>
  <si>
    <t>Scope 1</t>
  </si>
  <si>
    <t>Scope 2 - Location Based</t>
  </si>
  <si>
    <t>Scope 2 - Market Based</t>
  </si>
  <si>
    <t>Total Emissions (Market Based)</t>
  </si>
  <si>
    <t>Scope 3</t>
  </si>
  <si>
    <t>Tonnes CO2e / Ounce of Gold Produced</t>
  </si>
  <si>
    <t>Tonnes CO2e / Tonne of Ore Processed</t>
  </si>
  <si>
    <t>Renewable Electricity Use</t>
  </si>
  <si>
    <t>Renewable Fuel Use</t>
  </si>
  <si>
    <t>Non-Renewable Electricity Use</t>
  </si>
  <si>
    <t>Non-Renewable Fuel Use</t>
  </si>
  <si>
    <t>Total Energy Use</t>
  </si>
  <si>
    <t>Percentage renewable electricity</t>
  </si>
  <si>
    <t>Percentage renewable energy</t>
  </si>
  <si>
    <t>GJ / Ounce of Gold Produced</t>
  </si>
  <si>
    <t>GJ / Tonne of Ore Processed</t>
  </si>
  <si>
    <t>Corporate Jet</t>
  </si>
  <si>
    <t xml:space="preserve">Carlin </t>
  </si>
  <si>
    <t>Lone Tree</t>
  </si>
  <si>
    <t>Twin Creeks *</t>
  </si>
  <si>
    <t>Western 102 Power Plant*</t>
  </si>
  <si>
    <t>TS Power Plant*</t>
  </si>
  <si>
    <t>Democratic Republic of Congon</t>
  </si>
  <si>
    <t>Office / Other</t>
  </si>
  <si>
    <t>Carlin</t>
  </si>
  <si>
    <t>Turquoise Ridge</t>
  </si>
  <si>
    <t>-</t>
  </si>
  <si>
    <t xml:space="preserve">Lumwana and Jabal Sayid are copper mines and, as such, their GHG intensity metrics are not directly comparable to Barrick's other properties. Data for these properties are provided per thousand pounds of copper. The total GHG intensity for Barrick per ounce of gold produced does not include emissions from the copper mines.
</t>
  </si>
  <si>
    <t>Total Workforce Injuries</t>
  </si>
  <si>
    <t>GRI 403-9</t>
  </si>
  <si>
    <t>Fatalities</t>
  </si>
  <si>
    <t>Fatality Rate</t>
  </si>
  <si>
    <t>Total Reportable Injuries</t>
  </si>
  <si>
    <t>Total Reportable Injury Frequency Rate</t>
  </si>
  <si>
    <t>Loss Time Injuries</t>
  </si>
  <si>
    <t>Loss Time Injury Frequency Rate</t>
  </si>
  <si>
    <t>Restricted Duty Injuries</t>
  </si>
  <si>
    <t>Restricted Duty Injury Frequency Rate</t>
  </si>
  <si>
    <t>Medical Treatment Injuries</t>
  </si>
  <si>
    <t>Medical Treatment Injury Frequency Rate</t>
  </si>
  <si>
    <t xml:space="preserve">Occupational Disease Cases </t>
  </si>
  <si>
    <t>Hours Worked</t>
  </si>
  <si>
    <t>HSE_1002</t>
  </si>
  <si>
    <t>=(B#*1000000)/$M$#</t>
  </si>
  <si>
    <t>HSE_1024</t>
  </si>
  <si>
    <t>=(D#*1000000)/$M$#</t>
  </si>
  <si>
    <t>HSE_1003</t>
  </si>
  <si>
    <t>HSE_1004</t>
  </si>
  <si>
    <t>HSE_1005</t>
  </si>
  <si>
    <t>HSE_1012</t>
  </si>
  <si>
    <t>HSE_1001</t>
  </si>
  <si>
    <t>Exploration</t>
  </si>
  <si>
    <t>Libertador project</t>
  </si>
  <si>
    <t>El Indio</t>
  </si>
  <si>
    <t>OSHA sites</t>
  </si>
  <si>
    <t>TS Power Plant &amp; Western 102</t>
  </si>
  <si>
    <t>Environmental Incidents</t>
  </si>
  <si>
    <t>Non-Compliances</t>
  </si>
  <si>
    <t>Spills</t>
  </si>
  <si>
    <t xml:space="preserve">Class I </t>
  </si>
  <si>
    <t>Class II</t>
  </si>
  <si>
    <t>Incidents Involving Cyanide</t>
  </si>
  <si>
    <t>Non-compliances</t>
  </si>
  <si>
    <t>Air</t>
  </si>
  <si>
    <t>Water</t>
  </si>
  <si>
    <t>Waste</t>
  </si>
  <si>
    <t>Land</t>
  </si>
  <si>
    <t>Wildlife</t>
  </si>
  <si>
    <t>Environment-related fines</t>
  </si>
  <si>
    <t>Value of environmental-related fines</t>
  </si>
  <si>
    <t>Number of Spills</t>
  </si>
  <si>
    <t>Total Volume of Spills</t>
  </si>
  <si>
    <t>Volume of oil spills</t>
  </si>
  <si>
    <t>Volume of fuel spills</t>
  </si>
  <si>
    <t>Volume of waste spills</t>
  </si>
  <si>
    <t>Volume of chemical spills</t>
  </si>
  <si>
    <t>Volume of other types of spills</t>
  </si>
  <si>
    <t>Environment_1020</t>
  </si>
  <si>
    <t>Environment_1021</t>
  </si>
  <si>
    <t>Environment_1024</t>
  </si>
  <si>
    <t>=F#+G#+H#+I#+J#+K#</t>
  </si>
  <si>
    <t>Environment_1037</t>
  </si>
  <si>
    <t>Environment_1038</t>
  </si>
  <si>
    <t>Environment_1039</t>
  </si>
  <si>
    <t>Environment_1040</t>
  </si>
  <si>
    <t>Environment_1041</t>
  </si>
  <si>
    <t>Environment_1042</t>
  </si>
  <si>
    <t>Environment_1025</t>
  </si>
  <si>
    <t>Environment_1026</t>
  </si>
  <si>
    <t>Environment_1027</t>
  </si>
  <si>
    <t>=P#+Q#+R#+S#+T#</t>
  </si>
  <si>
    <t>Environment_1028</t>
  </si>
  <si>
    <t>Environment_1029</t>
  </si>
  <si>
    <t>Environment_1030</t>
  </si>
  <si>
    <t>Environment_1031</t>
  </si>
  <si>
    <t>Environment_1032</t>
  </si>
  <si>
    <t>Production</t>
  </si>
  <si>
    <t>Mineral Waste</t>
  </si>
  <si>
    <t>General Waste</t>
  </si>
  <si>
    <t>Air Emissions</t>
  </si>
  <si>
    <t>Total Waste Rock Mined</t>
  </si>
  <si>
    <t>Waste Rock Deposited to Surface</t>
  </si>
  <si>
    <t>Waste Rock Backfilled</t>
  </si>
  <si>
    <t>Tailings produced</t>
  </si>
  <si>
    <t>Tailings Backfilled and Backfilled as  Paste</t>
  </si>
  <si>
    <t>Total Mine Waste to Surface</t>
  </si>
  <si>
    <t>Waste that is geochemically reactive</t>
  </si>
  <si>
    <t>Percent of waste that is geochemically reactive</t>
  </si>
  <si>
    <t>Mercury produced as a by-product/ co-product
(tonnes)</t>
  </si>
  <si>
    <t>Hazardous waste produced
(tonnes)</t>
  </si>
  <si>
    <t>Non-hazardous waste produced
(tonnes)</t>
  </si>
  <si>
    <t>Total Waste Produced 
(tonnes)</t>
  </si>
  <si>
    <t>Waste recycled
(tonnes)</t>
  </si>
  <si>
    <t>Waste recycled
(%)</t>
  </si>
  <si>
    <t>NOx
(tonnes)</t>
  </si>
  <si>
    <t>SOx
(tonnes)</t>
  </si>
  <si>
    <t>Mercury
(tonnes)</t>
  </si>
  <si>
    <t>Particulate Matter (PM10) 
(µg/m3)</t>
  </si>
  <si>
    <t>Particulate Matter (PM10) 
(tonnes)</t>
  </si>
  <si>
    <t>Operations_1000</t>
  </si>
  <si>
    <t>Operations_1001</t>
  </si>
  <si>
    <t>Operations_1006</t>
  </si>
  <si>
    <t>Operations_1008</t>
  </si>
  <si>
    <t>Operations_1010</t>
  </si>
  <si>
    <t>Operations_1009</t>
  </si>
  <si>
    <t>=E#+F#</t>
  </si>
  <si>
    <t>Operations_1012</t>
  </si>
  <si>
    <t>=I#/H#</t>
  </si>
  <si>
    <t>Environment_1053</t>
  </si>
  <si>
    <t>Environment_1046</t>
  </si>
  <si>
    <t>Environment_1047</t>
  </si>
  <si>
    <t>Environment_1049</t>
  </si>
  <si>
    <t>Environment_1012</t>
  </si>
  <si>
    <t>Environment_1014</t>
  </si>
  <si>
    <t>Environment_1017</t>
  </si>
  <si>
    <t>Environment_1016</t>
  </si>
  <si>
    <t>Goldstart</t>
  </si>
  <si>
    <t>Goldstrike/Arturo</t>
  </si>
  <si>
    <t>TR</t>
  </si>
  <si>
    <t>Phoenx</t>
  </si>
  <si>
    <t>Grievances Received by Type</t>
  </si>
  <si>
    <t>Greivance Management</t>
  </si>
  <si>
    <t>Total Grievances</t>
  </si>
  <si>
    <t>Human Rights (automatically escalated to Group)</t>
  </si>
  <si>
    <t>Unmet obligations</t>
  </si>
  <si>
    <t>Resettlement and relocation</t>
  </si>
  <si>
    <t>Land Compensation</t>
  </si>
  <si>
    <t>Land encroachment</t>
  </si>
  <si>
    <t>Land Access</t>
  </si>
  <si>
    <t>Property Damage</t>
  </si>
  <si>
    <t>Road Quality</t>
  </si>
  <si>
    <t>Driving and Speeding</t>
  </si>
  <si>
    <t>Security</t>
  </si>
  <si>
    <t>Employee Behaviour</t>
  </si>
  <si>
    <t>Contractor Behaviour</t>
  </si>
  <si>
    <t>Contractor Payment Issues</t>
  </si>
  <si>
    <t>Barrick Payment Issues</t>
  </si>
  <si>
    <t>Local Procurement and Contracting</t>
  </si>
  <si>
    <t>Local Employment</t>
  </si>
  <si>
    <t>Water Grievances</t>
  </si>
  <si>
    <t>Dust</t>
  </si>
  <si>
    <t>Emissions</t>
  </si>
  <si>
    <t>Noise and Light</t>
  </si>
  <si>
    <t>Vibrations</t>
  </si>
  <si>
    <t>Greivances Open 
(1 January 2023)</t>
  </si>
  <si>
    <t>Grievances Resolved</t>
  </si>
  <si>
    <t>Grievances Resolved within 30 Days</t>
  </si>
  <si>
    <t>% Greivances resolved within 30 days</t>
  </si>
  <si>
    <t>Greivances Open 
(1 January 2024)</t>
  </si>
  <si>
    <t>Ounces of Gold Produced (000)</t>
  </si>
  <si>
    <t>Pounds of Copper Produced (000)</t>
  </si>
  <si>
    <t>Total Ore Processed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</si>
</sst>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_-* #,##0.00_-;\-* #,##0.00_-;_-* &quot;-&quot;??_-;_-@_-"/>
    <numFmt numFmtId="165" formatCode="&quot;$&quot;* #,##0_);&quot;$&quot;* \(#,##0\);&quot;$&quot;* &quot;—&quot;_);_(@_)"/>
    <numFmt numFmtId="166" formatCode="&quot;$&quot;#,##0_);&quot;$&quot;\(#,##0\);&quot;$&quot;&quot;—&quot;_);_(@_)"/>
    <numFmt numFmtId="167" formatCode="&quot;$&quot;* #,##0.00_);&quot;$&quot;* \(#,##0.00\);&quot;$&quot;* &quot;—&quot;_);_(@_)"/>
    <numFmt numFmtId="168" formatCode="* #,##0;* \(#,##0\);* &quot;—&quot;;_(@_)"/>
    <numFmt numFmtId="169" formatCode="#,##0.00;&quot;-&quot;#,##0.00;#,##0.00;_(@_)"/>
    <numFmt numFmtId="170" formatCode="#,##0;&quot;-&quot;#,##0;#,##0;_(@_)"/>
    <numFmt numFmtId="171" formatCode="#,##0.#######################;\(#,##0.#######################\);&quot;—&quot;;_(@_)"/>
    <numFmt numFmtId="172" formatCode="#,##0;\(#,##0\);&quot;—&quot;;_(@_)"/>
    <numFmt numFmtId="173" formatCode="#0.0%;&quot;-&quot;#0.0%;&quot;-&quot;\%;_(@_)"/>
    <numFmt numFmtId="174" formatCode="#0.00;&quot;-&quot;#0.00;#0.00;_(@_)"/>
    <numFmt numFmtId="175" formatCode="#,##0.000%;&quot;-&quot;#,##0.000%;&quot;-&quot;\%;_(@_)"/>
    <numFmt numFmtId="176" formatCode="* #,##0.00;* \(#,##0.00\);* &quot;—&quot;;_(@_)"/>
    <numFmt numFmtId="177" formatCode="* #,##0.000;* \(#,##0.000\);* &quot;—&quot;;_(@_)"/>
    <numFmt numFmtId="178" formatCode="* #,##0.0000;* \(#,##0.0000\);* &quot;—&quot;;_(@_)"/>
    <numFmt numFmtId="179" formatCode="#0.00%;&quot;-&quot;#0.00%;&quot;-&quot;\%;_(@_)"/>
    <numFmt numFmtId="180" formatCode="#,##0.000;\(#,##0.000\);&quot;—&quot;;_(@_)"/>
    <numFmt numFmtId="181" formatCode="* #,##0;* &quot;-&quot;#,##0;* &quot;—&quot;;_(@_)"/>
    <numFmt numFmtId="182" formatCode="&quot;$&quot;* #,##0.00;&quot;$&quot;* &quot;-&quot;#,##0.00;&quot;$&quot;* &quot;—&quot;;_(@_)"/>
    <numFmt numFmtId="183" formatCode="#0;&quot;-&quot;#0;#0;_(@_)"/>
    <numFmt numFmtId="184" formatCode="_(* #,##0_);_(* \(#,##0\);_(* &quot;-&quot;??_);_(@_)"/>
    <numFmt numFmtId="185" formatCode="_-* #,##0_-;\-* #,##0_-;_-* &quot;-&quot;??_-;_-@_-"/>
    <numFmt numFmtId="186" formatCode="_-* #,##0.0_-;\-* #,##0.0_-;_-* &quot;-&quot;??_-;_-@_-"/>
    <numFmt numFmtId="187" formatCode="_-* #,##0.0000_-;\-* #,##0.0000_-;_-* &quot;-&quot;??_-;_-@_-"/>
    <numFmt numFmtId="188" formatCode="#,##0%;&quot;-&quot;#,##0%;&quot;-&quot;\%;_(@_)"/>
  </numFmts>
  <fonts count="32" x14ac:knownFonts="1">
    <font>
      <sz val="10"/>
      <name val="Arial"/>
    </font>
    <font>
      <sz val="11"/>
      <color theme="1"/>
      <name val="Calibri"/>
      <family val="2"/>
      <scheme val="minor"/>
    </font>
    <font>
      <sz val="10"/>
      <color rgb="FF000000"/>
      <name val="Arial"/>
    </font>
    <font>
      <sz val="12"/>
      <color rgb="FF000000"/>
      <name val="Arial"/>
    </font>
    <font>
      <b/>
      <sz val="18"/>
      <color rgb="FF000000"/>
      <name val="Arial"/>
    </font>
    <font>
      <b/>
      <sz val="16"/>
      <color rgb="FF000000"/>
      <name val="Arial"/>
    </font>
    <font>
      <sz val="14"/>
      <color rgb="FF000000"/>
      <name val="Arial"/>
    </font>
    <font>
      <b/>
      <sz val="14"/>
      <color rgb="FF0E32E1"/>
      <name val="Calibri"/>
    </font>
    <font>
      <b/>
      <sz val="10"/>
      <color rgb="FF000000"/>
      <name val="Calibri"/>
    </font>
    <font>
      <sz val="10"/>
      <color rgb="FF0E32E1"/>
      <name val="Calibri"/>
    </font>
    <font>
      <b/>
      <sz val="10"/>
      <color rgb="FF0E32E1"/>
      <name val="Calibri"/>
    </font>
    <font>
      <b/>
      <sz val="10"/>
      <color rgb="FFFFFFFF"/>
      <name val="Calibri"/>
    </font>
    <font>
      <sz val="10"/>
      <color rgb="FF000000"/>
      <name val="Calibri"/>
    </font>
    <font>
      <b/>
      <sz val="11"/>
      <color rgb="FF000000"/>
      <name val="Calibri"/>
    </font>
    <font>
      <b/>
      <sz val="11"/>
      <color rgb="FF3051F2"/>
      <name val="Calibri"/>
    </font>
    <font>
      <sz val="11"/>
      <color rgb="FF000000"/>
      <name val="Calibri"/>
    </font>
    <font>
      <i/>
      <sz val="11"/>
      <color rgb="FF000000"/>
      <name val="Calibri"/>
    </font>
    <font>
      <sz val="11"/>
      <color rgb="FF3051F2"/>
      <name val="Calibri"/>
    </font>
    <font>
      <sz val="9"/>
      <color rgb="FF000000"/>
      <name val="Arial"/>
    </font>
    <font>
      <b/>
      <sz val="10"/>
      <color rgb="FF000000"/>
      <name val="Arial"/>
    </font>
    <font>
      <sz val="10"/>
      <color rgb="FF3051F2"/>
      <name val="Arial"/>
    </font>
    <font>
      <b/>
      <sz val="10"/>
      <color rgb="FF3051F2"/>
      <name val="Arial"/>
    </font>
    <font>
      <b/>
      <sz val="10"/>
      <color rgb="FF3051F2"/>
      <name val="Calibri"/>
    </font>
    <font>
      <b/>
      <sz val="11"/>
      <color theme="1"/>
      <name val="Calibri"/>
      <family val="2"/>
      <scheme val="minor"/>
    </font>
    <font>
      <b/>
      <sz val="10"/>
      <color rgb="FF000000"/>
      <name val="Arial"/>
      <family val="2"/>
    </font>
    <font>
      <b/>
      <sz val="10"/>
      <name val="Arial"/>
      <family val="2"/>
    </font>
    <font>
      <b/>
      <sz val="10"/>
      <color theme="1"/>
      <name val="Arial"/>
      <family val="2"/>
    </font>
    <font>
      <sz val="10"/>
      <name val="Arial"/>
    </font>
    <font>
      <sz val="11"/>
      <color rgb="FF000000"/>
      <name val="Calibri"/>
      <family val="2"/>
    </font>
    <font>
      <b/>
      <sz val="11"/>
      <color rgb="FF000000"/>
      <name val="Calibri"/>
      <family val="2"/>
    </font>
    <font>
      <b/>
      <sz val="11"/>
      <color rgb="FF3051F2"/>
      <name val="Calibri"/>
      <family val="2"/>
    </font>
    <font>
      <sz val="11"/>
      <name val="Calibri"/>
      <family val="2"/>
    </font>
  </fonts>
  <fills count="18">
    <fill>
      <patternFill patternType="none"/>
    </fill>
    <fill>
      <patternFill patternType="gray125"/>
    </fill>
    <fill>
      <patternFill patternType="solid">
        <fgColor rgb="FFFFFFFF"/>
        <bgColor indexed="64"/>
      </patternFill>
    </fill>
    <fill>
      <patternFill patternType="solid">
        <fgColor rgb="FF000000"/>
        <bgColor indexed="64"/>
      </patternFill>
    </fill>
    <fill>
      <patternFill patternType="solid">
        <fgColor rgb="FFA6A6A6"/>
        <bgColor indexed="64"/>
      </patternFill>
    </fill>
    <fill>
      <patternFill patternType="solid">
        <fgColor rgb="FFD9D9D9"/>
        <bgColor indexed="64"/>
      </patternFill>
    </fill>
    <fill>
      <patternFill patternType="solid">
        <fgColor rgb="FFBFBFBF"/>
        <bgColor indexed="64"/>
      </patternFill>
    </fill>
    <fill>
      <patternFill patternType="solid">
        <fgColor rgb="FFFF0000"/>
        <bgColor indexed="64"/>
      </patternFill>
    </fill>
    <fill>
      <patternFill patternType="solid">
        <fgColor rgb="FF00B0F0"/>
        <bgColor indexed="64"/>
      </patternFill>
    </fill>
    <fill>
      <patternFill patternType="solid">
        <fgColor rgb="FFF2F2F2"/>
        <bgColor indexed="64"/>
      </patternFill>
    </fill>
    <fill>
      <patternFill patternType="solid">
        <fgColor rgb="FFDBDBDB"/>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1"/>
        <bgColor indexed="64"/>
      </patternFill>
    </fill>
  </fills>
  <borders count="106">
    <border>
      <left/>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right style="medium">
        <color rgb="FF000000"/>
      </right>
      <top/>
      <bottom/>
      <diagonal/>
    </border>
    <border>
      <left/>
      <right style="thin">
        <color rgb="FF000000"/>
      </right>
      <top/>
      <bottom/>
      <diagonal/>
    </border>
    <border>
      <left style="thin">
        <color rgb="FF000000"/>
      </left>
      <right style="medium">
        <color rgb="FF000000"/>
      </right>
      <top/>
      <bottom style="thin">
        <color rgb="FFA39161"/>
      </bottom>
      <diagonal/>
    </border>
    <border>
      <left style="thin">
        <color rgb="FF000000"/>
      </left>
      <right style="medium">
        <color rgb="FF000000"/>
      </right>
      <top style="thin">
        <color rgb="FFA39161"/>
      </top>
      <bottom/>
      <diagonal/>
    </border>
    <border>
      <left style="thin">
        <color rgb="FF000000"/>
      </left>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medium">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style="thin">
        <color auto="1"/>
      </bottom>
      <diagonal/>
    </border>
    <border>
      <left/>
      <right/>
      <top/>
      <bottom style="medium">
        <color indexed="64"/>
      </bottom>
      <diagonal/>
    </border>
    <border>
      <left style="thin">
        <color auto="1"/>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medium">
        <color indexed="64"/>
      </right>
      <top style="medium">
        <color rgb="FF000000"/>
      </top>
      <bottom style="thin">
        <color rgb="FF000000"/>
      </bottom>
      <diagonal/>
    </border>
    <border>
      <left style="medium">
        <color indexed="64"/>
      </left>
      <right style="thin">
        <color rgb="FF000000"/>
      </right>
      <top style="medium">
        <color rgb="FF000000"/>
      </top>
      <bottom style="thin">
        <color rgb="FF000000"/>
      </bottom>
      <diagonal/>
    </border>
    <border>
      <left style="thin">
        <color rgb="FF000000"/>
      </left>
      <right style="medium">
        <color indexed="64"/>
      </right>
      <top/>
      <bottom style="medium">
        <color rgb="FF000000"/>
      </bottom>
      <diagonal/>
    </border>
    <border>
      <left style="medium">
        <color indexed="64"/>
      </left>
      <right style="thin">
        <color rgb="FF000000"/>
      </right>
      <top/>
      <bottom style="medium">
        <color rgb="FF000000"/>
      </bottom>
      <diagonal/>
    </border>
    <border>
      <left/>
      <right style="thin">
        <color rgb="FF000000"/>
      </right>
      <top style="medium">
        <color rgb="FF000000"/>
      </top>
      <bottom/>
      <diagonal/>
    </border>
    <border>
      <left style="thin">
        <color rgb="FF000000"/>
      </left>
      <right style="medium">
        <color indexed="64"/>
      </right>
      <top style="medium">
        <color rgb="FF000000"/>
      </top>
      <bottom/>
      <diagonal/>
    </border>
    <border>
      <left style="medium">
        <color indexed="64"/>
      </left>
      <right style="thin">
        <color rgb="FF000000"/>
      </right>
      <top style="medium">
        <color rgb="FF000000"/>
      </top>
      <bottom/>
      <diagonal/>
    </border>
    <border>
      <left/>
      <right style="medium">
        <color indexed="64"/>
      </right>
      <top style="medium">
        <color indexed="64"/>
      </top>
      <bottom style="medium">
        <color rgb="FF000000"/>
      </bottom>
      <diagonal/>
    </border>
    <border>
      <left/>
      <right/>
      <top style="medium">
        <color indexed="64"/>
      </top>
      <bottom style="medium">
        <color rgb="FF000000"/>
      </bottom>
      <diagonal/>
    </border>
    <border>
      <left style="medium">
        <color indexed="64"/>
      </left>
      <right/>
      <top style="medium">
        <color indexed="64"/>
      </top>
      <bottom style="medium">
        <color rgb="FF000000"/>
      </bottom>
      <diagonal/>
    </border>
    <border>
      <left style="thin">
        <color rgb="FFA39161"/>
      </left>
      <right/>
      <top/>
      <bottom/>
      <diagonal/>
    </border>
    <border>
      <left/>
      <right style="thin">
        <color rgb="FFA39161"/>
      </right>
      <top/>
      <bottom/>
      <diagonal/>
    </border>
  </borders>
  <cellStyleXfs count="11">
    <xf numFmtId="0" fontId="0" fillId="0" borderId="0"/>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6" fillId="0" borderId="0" applyBorder="0">
      <alignment wrapText="1"/>
    </xf>
    <xf numFmtId="0" fontId="1" fillId="0" borderId="0"/>
    <xf numFmtId="164" fontId="1" fillId="0" borderId="0" applyFont="0" applyFill="0" applyBorder="0" applyAlignment="0" applyProtection="0"/>
    <xf numFmtId="9" fontId="1" fillId="0" borderId="0" applyFont="0" applyFill="0" applyBorder="0" applyAlignment="0" applyProtection="0"/>
    <xf numFmtId="164" fontId="27" fillId="0" borderId="0" applyFont="0" applyFill="0" applyBorder="0" applyAlignment="0" applyProtection="0"/>
    <xf numFmtId="9" fontId="27" fillId="0" borderId="0" applyFont="0" applyFill="0" applyBorder="0" applyAlignment="0" applyProtection="0"/>
  </cellStyleXfs>
  <cellXfs count="698">
    <xf numFmtId="0" fontId="0" fillId="0" borderId="0" xfId="0"/>
    <xf numFmtId="0" fontId="2" fillId="0" borderId="0" xfId="1">
      <alignment wrapText="1"/>
    </xf>
    <xf numFmtId="0" fontId="7" fillId="0" borderId="1" xfId="0" applyFont="1" applyBorder="1" applyAlignment="1">
      <alignment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2" borderId="11"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1" fillId="3" borderId="14" xfId="0" applyFont="1" applyFill="1" applyBorder="1" applyAlignment="1">
      <alignment wrapText="1"/>
    </xf>
    <xf numFmtId="165" fontId="11" fillId="3" borderId="9" xfId="0" applyNumberFormat="1" applyFont="1" applyFill="1" applyBorder="1" applyAlignment="1">
      <alignment wrapText="1"/>
    </xf>
    <xf numFmtId="165" fontId="11" fillId="3" borderId="10" xfId="0" applyNumberFormat="1" applyFont="1" applyFill="1" applyBorder="1" applyAlignment="1">
      <alignment wrapText="1"/>
    </xf>
    <xf numFmtId="165" fontId="11" fillId="3" borderId="11" xfId="0" applyNumberFormat="1" applyFont="1" applyFill="1" applyBorder="1" applyAlignment="1">
      <alignment wrapText="1"/>
    </xf>
    <xf numFmtId="165" fontId="11" fillId="3" borderId="0" xfId="0" applyNumberFormat="1" applyFont="1" applyFill="1" applyAlignment="1">
      <alignment wrapText="1"/>
    </xf>
    <xf numFmtId="165" fontId="11" fillId="3" borderId="7" xfId="0" applyNumberFormat="1" applyFont="1" applyFill="1" applyBorder="1" applyAlignment="1">
      <alignment wrapText="1"/>
    </xf>
    <xf numFmtId="0" fontId="8" fillId="4" borderId="15" xfId="0" applyFont="1" applyFill="1" applyBorder="1" applyAlignment="1">
      <alignment wrapText="1"/>
    </xf>
    <xf numFmtId="165" fontId="12" fillId="4" borderId="9" xfId="0" applyNumberFormat="1" applyFont="1" applyFill="1" applyBorder="1" applyAlignment="1">
      <alignment wrapText="1"/>
    </xf>
    <xf numFmtId="165" fontId="12" fillId="4" borderId="10" xfId="0" applyNumberFormat="1" applyFont="1" applyFill="1" applyBorder="1" applyAlignment="1">
      <alignment wrapText="1"/>
    </xf>
    <xf numFmtId="165" fontId="12" fillId="4" borderId="11" xfId="0" applyNumberFormat="1" applyFont="1" applyFill="1" applyBorder="1" applyAlignment="1">
      <alignment wrapText="1"/>
    </xf>
    <xf numFmtId="165" fontId="12" fillId="4" borderId="0" xfId="0" applyNumberFormat="1" applyFont="1" applyFill="1" applyAlignment="1">
      <alignment wrapText="1"/>
    </xf>
    <xf numFmtId="165" fontId="12" fillId="4" borderId="16" xfId="0" applyNumberFormat="1" applyFont="1" applyFill="1" applyBorder="1" applyAlignment="1">
      <alignment wrapText="1"/>
    </xf>
    <xf numFmtId="0" fontId="12" fillId="2" borderId="17" xfId="0" applyFont="1" applyFill="1" applyBorder="1" applyAlignment="1">
      <alignment wrapText="1"/>
    </xf>
    <xf numFmtId="0" fontId="12" fillId="5" borderId="15" xfId="0" applyFont="1" applyFill="1" applyBorder="1" applyAlignment="1">
      <alignment wrapText="1"/>
    </xf>
    <xf numFmtId="165" fontId="12" fillId="5" borderId="9" xfId="0" applyNumberFormat="1" applyFont="1" applyFill="1" applyBorder="1" applyAlignment="1">
      <alignment wrapText="1"/>
    </xf>
    <xf numFmtId="165" fontId="12" fillId="5" borderId="10" xfId="0" applyNumberFormat="1" applyFont="1" applyFill="1" applyBorder="1" applyAlignment="1">
      <alignment wrapText="1"/>
    </xf>
    <xf numFmtId="165" fontId="12" fillId="5" borderId="11" xfId="0" applyNumberFormat="1" applyFont="1" applyFill="1" applyBorder="1" applyAlignment="1">
      <alignment wrapText="1"/>
    </xf>
    <xf numFmtId="165" fontId="12" fillId="5" borderId="0" xfId="0" applyNumberFormat="1" applyFont="1" applyFill="1" applyAlignment="1">
      <alignment wrapText="1"/>
    </xf>
    <xf numFmtId="165" fontId="12" fillId="5" borderId="16" xfId="0" applyNumberFormat="1" applyFont="1" applyFill="1" applyBorder="1" applyAlignment="1">
      <alignment wrapText="1"/>
    </xf>
    <xf numFmtId="0" fontId="12" fillId="2" borderId="13" xfId="0" applyFont="1" applyFill="1" applyBorder="1" applyAlignment="1">
      <alignment wrapText="1"/>
    </xf>
    <xf numFmtId="0" fontId="12" fillId="0" borderId="15" xfId="0" applyFont="1" applyBorder="1" applyAlignment="1">
      <alignment wrapText="1"/>
    </xf>
    <xf numFmtId="165" fontId="12" fillId="0" borderId="9" xfId="0" applyNumberFormat="1" applyFont="1" applyBorder="1" applyAlignment="1">
      <alignment wrapText="1"/>
    </xf>
    <xf numFmtId="165" fontId="12" fillId="0" borderId="10" xfId="0" applyNumberFormat="1" applyFont="1" applyBorder="1" applyAlignment="1">
      <alignment wrapText="1"/>
    </xf>
    <xf numFmtId="165" fontId="12" fillId="0" borderId="11" xfId="0" applyNumberFormat="1" applyFont="1" applyBorder="1" applyAlignment="1">
      <alignment wrapText="1"/>
    </xf>
    <xf numFmtId="165" fontId="12" fillId="0" borderId="0" xfId="0" applyNumberFormat="1" applyFont="1" applyAlignment="1">
      <alignment wrapText="1"/>
    </xf>
    <xf numFmtId="0" fontId="12" fillId="0" borderId="0" xfId="0" applyFont="1" applyAlignment="1">
      <alignment wrapText="1"/>
    </xf>
    <xf numFmtId="165" fontId="12" fillId="0" borderId="16" xfId="0" applyNumberFormat="1" applyFont="1" applyBorder="1" applyAlignment="1">
      <alignment wrapText="1"/>
    </xf>
    <xf numFmtId="165" fontId="12" fillId="2" borderId="0" xfId="0" applyNumberFormat="1" applyFont="1" applyFill="1" applyAlignment="1">
      <alignment wrapText="1"/>
    </xf>
    <xf numFmtId="165" fontId="12" fillId="2" borderId="16" xfId="0" applyNumberFormat="1" applyFont="1" applyFill="1" applyBorder="1" applyAlignment="1">
      <alignment wrapText="1"/>
    </xf>
    <xf numFmtId="0" fontId="12" fillId="2" borderId="15" xfId="0" applyFont="1" applyFill="1" applyBorder="1" applyAlignment="1">
      <alignment wrapText="1"/>
    </xf>
    <xf numFmtId="165" fontId="12" fillId="2" borderId="9" xfId="0" applyNumberFormat="1" applyFont="1" applyFill="1" applyBorder="1" applyAlignment="1">
      <alignment wrapText="1"/>
    </xf>
    <xf numFmtId="165" fontId="12" fillId="2" borderId="10" xfId="0" applyNumberFormat="1" applyFont="1" applyFill="1" applyBorder="1" applyAlignment="1">
      <alignment wrapText="1"/>
    </xf>
    <xf numFmtId="0" fontId="12" fillId="2" borderId="0" xfId="0" applyFont="1" applyFill="1" applyAlignment="1">
      <alignment wrapText="1"/>
    </xf>
    <xf numFmtId="165" fontId="12" fillId="2" borderId="0" xfId="0" applyNumberFormat="1" applyFont="1" applyFill="1" applyAlignment="1">
      <alignment vertical="center" wrapText="1"/>
    </xf>
    <xf numFmtId="166" fontId="12" fillId="2" borderId="16" xfId="0" applyNumberFormat="1" applyFont="1" applyFill="1" applyBorder="1" applyAlignment="1">
      <alignment wrapText="1"/>
    </xf>
    <xf numFmtId="167" fontId="12" fillId="0" borderId="11" xfId="0" applyNumberFormat="1" applyFont="1" applyBorder="1" applyAlignment="1">
      <alignment wrapText="1"/>
    </xf>
    <xf numFmtId="165" fontId="12" fillId="0" borderId="0" xfId="0" applyNumberFormat="1" applyFont="1" applyAlignment="1">
      <alignment vertical="center" wrapText="1"/>
    </xf>
    <xf numFmtId="167" fontId="12" fillId="5" borderId="11" xfId="0" applyNumberFormat="1" applyFont="1" applyFill="1" applyBorder="1" applyAlignment="1">
      <alignment wrapText="1"/>
    </xf>
    <xf numFmtId="167" fontId="12" fillId="5" borderId="16" xfId="0" applyNumberFormat="1" applyFont="1" applyFill="1" applyBorder="1" applyAlignment="1">
      <alignment wrapText="1"/>
    </xf>
    <xf numFmtId="167" fontId="12" fillId="2" borderId="16" xfId="0" applyNumberFormat="1" applyFont="1" applyFill="1" applyBorder="1" applyAlignment="1">
      <alignment wrapText="1"/>
    </xf>
    <xf numFmtId="167" fontId="12" fillId="2" borderId="0" xfId="0" applyNumberFormat="1" applyFont="1" applyFill="1" applyAlignment="1">
      <alignment wrapText="1"/>
    </xf>
    <xf numFmtId="165" fontId="12" fillId="2" borderId="11" xfId="0" applyNumberFormat="1" applyFont="1" applyFill="1" applyBorder="1" applyAlignment="1">
      <alignment wrapText="1"/>
    </xf>
    <xf numFmtId="167" fontId="12" fillId="2" borderId="11" xfId="0" applyNumberFormat="1" applyFont="1" applyFill="1" applyBorder="1" applyAlignment="1">
      <alignment wrapText="1"/>
    </xf>
    <xf numFmtId="167" fontId="12" fillId="5" borderId="0" xfId="0" applyNumberFormat="1" applyFont="1" applyFill="1" applyAlignment="1">
      <alignment wrapText="1"/>
    </xf>
    <xf numFmtId="167" fontId="12" fillId="4" borderId="11" xfId="0" applyNumberFormat="1" applyFont="1" applyFill="1" applyBorder="1" applyAlignment="1">
      <alignment wrapText="1"/>
    </xf>
    <xf numFmtId="167" fontId="12" fillId="4" borderId="0" xfId="0" applyNumberFormat="1" applyFont="1" applyFill="1" applyAlignment="1">
      <alignment wrapText="1"/>
    </xf>
    <xf numFmtId="165" fontId="12" fillId="2" borderId="18" xfId="0" applyNumberFormat="1" applyFont="1" applyFill="1" applyBorder="1" applyAlignment="1">
      <alignment wrapText="1"/>
    </xf>
    <xf numFmtId="165" fontId="12" fillId="2" borderId="19" xfId="0" applyNumberFormat="1" applyFont="1" applyFill="1" applyBorder="1" applyAlignment="1">
      <alignment wrapText="1"/>
    </xf>
    <xf numFmtId="165" fontId="12" fillId="2" borderId="13" xfId="0" applyNumberFormat="1" applyFont="1" applyFill="1" applyBorder="1" applyAlignment="1">
      <alignment wrapText="1"/>
    </xf>
    <xf numFmtId="165" fontId="12" fillId="0" borderId="20" xfId="0" applyNumberFormat="1" applyFont="1" applyBorder="1" applyAlignment="1">
      <alignment wrapText="1"/>
    </xf>
    <xf numFmtId="167" fontId="12" fillId="0" borderId="0" xfId="0" applyNumberFormat="1" applyFont="1" applyAlignment="1">
      <alignment wrapText="1"/>
    </xf>
    <xf numFmtId="0" fontId="12" fillId="2" borderId="21" xfId="0" applyFont="1" applyFill="1" applyBorder="1" applyAlignment="1">
      <alignment wrapText="1"/>
    </xf>
    <xf numFmtId="165" fontId="12" fillId="2" borderId="22" xfId="0" applyNumberFormat="1" applyFont="1" applyFill="1" applyBorder="1" applyAlignment="1">
      <alignment wrapText="1"/>
    </xf>
    <xf numFmtId="165" fontId="12" fillId="2" borderId="23" xfId="0" applyNumberFormat="1" applyFont="1" applyFill="1" applyBorder="1" applyAlignment="1">
      <alignment wrapText="1"/>
    </xf>
    <xf numFmtId="165" fontId="12" fillId="0" borderId="24" xfId="0" applyNumberFormat="1" applyFont="1" applyBorder="1" applyAlignment="1">
      <alignment wrapText="1"/>
    </xf>
    <xf numFmtId="165" fontId="12" fillId="2" borderId="25" xfId="0" applyNumberFormat="1" applyFont="1" applyFill="1" applyBorder="1" applyAlignment="1">
      <alignment wrapText="1"/>
    </xf>
    <xf numFmtId="165" fontId="12" fillId="2" borderId="12" xfId="0" applyNumberFormat="1" applyFont="1" applyFill="1" applyBorder="1" applyAlignment="1">
      <alignment wrapText="1"/>
    </xf>
    <xf numFmtId="167" fontId="12" fillId="0" borderId="24" xfId="0" applyNumberFormat="1" applyFont="1" applyBorder="1" applyAlignment="1">
      <alignment wrapText="1"/>
    </xf>
    <xf numFmtId="165" fontId="12" fillId="0" borderId="25" xfId="0" applyNumberFormat="1" applyFont="1" applyBorder="1" applyAlignment="1">
      <alignment wrapText="1"/>
    </xf>
    <xf numFmtId="167" fontId="12" fillId="2" borderId="25" xfId="0" applyNumberFormat="1" applyFont="1" applyFill="1" applyBorder="1" applyAlignment="1">
      <alignment wrapText="1"/>
    </xf>
    <xf numFmtId="167" fontId="12" fillId="2" borderId="12" xfId="0" applyNumberFormat="1" applyFont="1" applyFill="1" applyBorder="1" applyAlignment="1">
      <alignment wrapText="1"/>
    </xf>
    <xf numFmtId="165" fontId="12" fillId="0" borderId="12" xfId="0" applyNumberFormat="1" applyFont="1" applyBorder="1" applyAlignment="1">
      <alignment wrapText="1"/>
    </xf>
    <xf numFmtId="0" fontId="2" fillId="0" borderId="0" xfId="0" applyFont="1" applyAlignment="1">
      <alignment horizontal="right" wrapText="1"/>
    </xf>
    <xf numFmtId="0" fontId="8" fillId="2" borderId="26" xfId="0" applyFont="1" applyFill="1" applyBorder="1" applyAlignment="1">
      <alignment horizontal="center" vertical="center" wrapText="1"/>
    </xf>
    <xf numFmtId="0" fontId="8" fillId="0" borderId="27" xfId="0" applyFont="1" applyBorder="1" applyAlignment="1">
      <alignment vertical="center" wrapText="1"/>
    </xf>
    <xf numFmtId="0" fontId="2" fillId="0" borderId="20" xfId="0" applyFont="1" applyBorder="1" applyAlignment="1">
      <alignment wrapText="1"/>
    </xf>
    <xf numFmtId="0" fontId="8" fillId="2" borderId="14" xfId="0" applyFont="1" applyFill="1" applyBorder="1" applyAlignment="1">
      <alignment horizontal="center" vertical="center" wrapText="1"/>
    </xf>
    <xf numFmtId="0" fontId="10" fillId="2" borderId="21" xfId="0" applyFont="1" applyFill="1" applyBorder="1" applyAlignment="1">
      <alignment wrapText="1"/>
    </xf>
    <xf numFmtId="0" fontId="12" fillId="2" borderId="16" xfId="0" applyFont="1" applyFill="1" applyBorder="1" applyAlignment="1">
      <alignment wrapText="1"/>
    </xf>
    <xf numFmtId="0" fontId="12" fillId="5" borderId="0" xfId="0" applyFont="1" applyFill="1" applyAlignment="1">
      <alignment wrapText="1"/>
    </xf>
    <xf numFmtId="0" fontId="12" fillId="2" borderId="25" xfId="0" applyFont="1" applyFill="1" applyBorder="1" applyAlignment="1">
      <alignment wrapText="1"/>
    </xf>
    <xf numFmtId="0" fontId="12" fillId="2" borderId="31" xfId="0" applyFont="1" applyFill="1" applyBorder="1" applyAlignment="1">
      <alignment wrapText="1"/>
    </xf>
    <xf numFmtId="0" fontId="2" fillId="0" borderId="6" xfId="0" applyFont="1" applyBorder="1" applyAlignment="1">
      <alignment wrapText="1"/>
    </xf>
    <xf numFmtId="0" fontId="2" fillId="0" borderId="32" xfId="0" applyFont="1" applyBorder="1" applyAlignment="1">
      <alignment wrapText="1"/>
    </xf>
    <xf numFmtId="0" fontId="13" fillId="0" borderId="4"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43" xfId="0" applyFont="1" applyBorder="1" applyAlignment="1">
      <alignment vertical="center" wrapText="1"/>
    </xf>
    <xf numFmtId="0" fontId="13" fillId="0" borderId="44" xfId="0" applyFont="1" applyBorder="1" applyAlignment="1">
      <alignment vertical="center" wrapText="1"/>
    </xf>
    <xf numFmtId="0" fontId="13" fillId="0" borderId="14" xfId="0" applyFont="1" applyBorder="1" applyAlignment="1">
      <alignment vertical="center" wrapText="1"/>
    </xf>
    <xf numFmtId="0" fontId="13" fillId="0" borderId="45" xfId="0" applyFont="1" applyBorder="1" applyAlignment="1">
      <alignment vertical="center" wrapText="1"/>
    </xf>
    <xf numFmtId="0" fontId="13" fillId="0" borderId="6" xfId="0" applyFont="1" applyBorder="1" applyAlignment="1">
      <alignment vertical="center" wrapText="1"/>
    </xf>
    <xf numFmtId="0" fontId="13" fillId="0" borderId="46" xfId="0" applyFont="1" applyBorder="1" applyAlignment="1">
      <alignment horizontal="center" vertical="center" wrapText="1"/>
    </xf>
    <xf numFmtId="0" fontId="13" fillId="0" borderId="0" xfId="0" applyFont="1" applyAlignment="1">
      <alignment horizontal="center" vertical="center" wrapText="1"/>
    </xf>
    <xf numFmtId="0" fontId="13" fillId="0" borderId="6" xfId="0" applyFont="1" applyBorder="1" applyAlignment="1">
      <alignment horizontal="center" vertical="center" wrapText="1"/>
    </xf>
    <xf numFmtId="0" fontId="13" fillId="0" borderId="46" xfId="0" applyFont="1" applyBorder="1" applyAlignment="1">
      <alignment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7" xfId="0" applyFont="1" applyBorder="1" applyAlignment="1">
      <alignment vertical="center" wrapText="1"/>
    </xf>
    <xf numFmtId="0" fontId="13" fillId="0" borderId="32" xfId="0" applyFont="1" applyBorder="1" applyAlignment="1">
      <alignment vertical="center" wrapText="1"/>
    </xf>
    <xf numFmtId="0" fontId="13" fillId="0" borderId="48" xfId="0" applyFont="1" applyBorder="1" applyAlignment="1">
      <alignment vertical="center" wrapText="1"/>
    </xf>
    <xf numFmtId="0" fontId="13" fillId="0" borderId="49" xfId="0" applyFont="1" applyBorder="1" applyAlignment="1">
      <alignment vertical="center" wrapText="1"/>
    </xf>
    <xf numFmtId="0" fontId="14" fillId="2" borderId="21" xfId="0" applyFont="1" applyFill="1" applyBorder="1" applyAlignment="1">
      <alignment wrapText="1"/>
    </xf>
    <xf numFmtId="0" fontId="14" fillId="2" borderId="22" xfId="0" applyFont="1" applyFill="1" applyBorder="1" applyAlignment="1">
      <alignment wrapText="1"/>
    </xf>
    <xf numFmtId="0" fontId="14" fillId="2" borderId="23" xfId="0" applyFont="1" applyFill="1" applyBorder="1" applyAlignment="1">
      <alignment wrapText="1"/>
    </xf>
    <xf numFmtId="0" fontId="14" fillId="2" borderId="50" xfId="0" applyFont="1" applyFill="1" applyBorder="1" applyAlignment="1">
      <alignment wrapText="1"/>
    </xf>
    <xf numFmtId="0" fontId="14" fillId="2" borderId="25" xfId="0" applyFont="1" applyFill="1" applyBorder="1" applyAlignment="1">
      <alignment wrapText="1"/>
    </xf>
    <xf numFmtId="0" fontId="14" fillId="2" borderId="12" xfId="0" applyFont="1" applyFill="1" applyBorder="1" applyAlignment="1">
      <alignment wrapText="1"/>
    </xf>
    <xf numFmtId="0" fontId="14" fillId="2" borderId="51"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52" xfId="0" applyFont="1" applyFill="1" applyBorder="1" applyAlignment="1">
      <alignment wrapText="1"/>
    </xf>
    <xf numFmtId="0" fontId="14" fillId="2" borderId="21" xfId="0" applyFont="1" applyFill="1" applyBorder="1" applyAlignment="1">
      <alignment horizontal="center" wrapText="1"/>
    </xf>
    <xf numFmtId="0" fontId="14" fillId="2" borderId="22" xfId="0" applyFont="1" applyFill="1" applyBorder="1" applyAlignment="1">
      <alignment horizontal="center" wrapText="1"/>
    </xf>
    <xf numFmtId="0" fontId="13" fillId="4" borderId="37" xfId="0" applyFont="1" applyFill="1" applyBorder="1" applyAlignment="1">
      <alignment wrapText="1"/>
    </xf>
    <xf numFmtId="168" fontId="13" fillId="4" borderId="36" xfId="0" applyNumberFormat="1" applyFont="1" applyFill="1" applyBorder="1" applyAlignment="1">
      <alignment wrapText="1"/>
    </xf>
    <xf numFmtId="168" fontId="13" fillId="4" borderId="39" xfId="0" applyNumberFormat="1" applyFont="1" applyFill="1" applyBorder="1" applyAlignment="1">
      <alignment wrapText="1"/>
    </xf>
    <xf numFmtId="169" fontId="13" fillId="4" borderId="39" xfId="0" applyNumberFormat="1" applyFont="1" applyFill="1" applyBorder="1" applyAlignment="1">
      <alignment wrapText="1"/>
    </xf>
    <xf numFmtId="170" fontId="13" fillId="4" borderId="39" xfId="0" applyNumberFormat="1" applyFont="1" applyFill="1" applyBorder="1" applyAlignment="1">
      <alignment wrapText="1"/>
    </xf>
    <xf numFmtId="168" fontId="13" fillId="4" borderId="40" xfId="0" applyNumberFormat="1" applyFont="1" applyFill="1" applyBorder="1" applyAlignment="1">
      <alignment wrapText="1"/>
    </xf>
    <xf numFmtId="171" fontId="13" fillId="4" borderId="53" xfId="0" applyNumberFormat="1" applyFont="1" applyFill="1" applyBorder="1" applyAlignment="1">
      <alignment wrapText="1"/>
    </xf>
    <xf numFmtId="172" fontId="13" fillId="4" borderId="54" xfId="0" applyNumberFormat="1" applyFont="1" applyFill="1" applyBorder="1" applyAlignment="1">
      <alignment wrapText="1"/>
    </xf>
    <xf numFmtId="168" fontId="13" fillId="4" borderId="55" xfId="0" applyNumberFormat="1" applyFont="1" applyFill="1" applyBorder="1" applyAlignment="1">
      <alignment wrapText="1"/>
    </xf>
    <xf numFmtId="168" fontId="13" fillId="4" borderId="37" xfId="0" applyNumberFormat="1" applyFont="1" applyFill="1" applyBorder="1" applyAlignment="1">
      <alignment wrapText="1"/>
    </xf>
    <xf numFmtId="168" fontId="13" fillId="4" borderId="53" xfId="0" applyNumberFormat="1" applyFont="1" applyFill="1" applyBorder="1" applyAlignment="1">
      <alignment wrapText="1"/>
    </xf>
    <xf numFmtId="168" fontId="13" fillId="4" borderId="56" xfId="0" applyNumberFormat="1" applyFont="1" applyFill="1" applyBorder="1" applyAlignment="1">
      <alignment wrapText="1"/>
    </xf>
    <xf numFmtId="0" fontId="13" fillId="4" borderId="39" xfId="0" applyFont="1" applyFill="1" applyBorder="1" applyAlignment="1">
      <alignment wrapText="1"/>
    </xf>
    <xf numFmtId="173" fontId="13" fillId="4" borderId="36" xfId="0" applyNumberFormat="1" applyFont="1" applyFill="1" applyBorder="1" applyAlignment="1">
      <alignment wrapText="1"/>
    </xf>
    <xf numFmtId="174" fontId="13" fillId="4" borderId="39" xfId="0" applyNumberFormat="1" applyFont="1" applyFill="1" applyBorder="1" applyAlignment="1">
      <alignment wrapText="1"/>
    </xf>
    <xf numFmtId="174" fontId="13" fillId="4" borderId="40" xfId="0" applyNumberFormat="1" applyFont="1" applyFill="1" applyBorder="1" applyAlignment="1">
      <alignment wrapText="1"/>
    </xf>
    <xf numFmtId="0" fontId="15" fillId="2" borderId="57" xfId="0" applyFont="1" applyFill="1" applyBorder="1" applyAlignment="1">
      <alignment wrapText="1"/>
    </xf>
    <xf numFmtId="168" fontId="15" fillId="2" borderId="58" xfId="0" applyNumberFormat="1" applyFont="1" applyFill="1" applyBorder="1" applyAlignment="1">
      <alignment wrapText="1"/>
    </xf>
    <xf numFmtId="168" fontId="15" fillId="2" borderId="59" xfId="0" applyNumberFormat="1" applyFont="1" applyFill="1" applyBorder="1" applyAlignment="1">
      <alignment wrapText="1"/>
    </xf>
    <xf numFmtId="169" fontId="15" fillId="2" borderId="59" xfId="0" applyNumberFormat="1" applyFont="1" applyFill="1" applyBorder="1" applyAlignment="1">
      <alignment wrapText="1"/>
    </xf>
    <xf numFmtId="170" fontId="15" fillId="2" borderId="59" xfId="0" applyNumberFormat="1" applyFont="1" applyFill="1" applyBorder="1" applyAlignment="1">
      <alignment wrapText="1"/>
    </xf>
    <xf numFmtId="168" fontId="15" fillId="2" borderId="60" xfId="0" applyNumberFormat="1" applyFont="1" applyFill="1" applyBorder="1" applyAlignment="1">
      <alignment wrapText="1"/>
    </xf>
    <xf numFmtId="168" fontId="15" fillId="2" borderId="57" xfId="0" applyNumberFormat="1" applyFont="1" applyFill="1" applyBorder="1" applyAlignment="1">
      <alignment wrapText="1"/>
    </xf>
    <xf numFmtId="168" fontId="13" fillId="2" borderId="57" xfId="0" applyNumberFormat="1" applyFont="1" applyFill="1" applyBorder="1" applyAlignment="1">
      <alignment wrapText="1"/>
    </xf>
    <xf numFmtId="168" fontId="15" fillId="2" borderId="42" xfId="0" applyNumberFormat="1" applyFont="1" applyFill="1" applyBorder="1" applyAlignment="1">
      <alignment wrapText="1"/>
    </xf>
    <xf numFmtId="168" fontId="15" fillId="2" borderId="61" xfId="0" applyNumberFormat="1" applyFont="1" applyFill="1" applyBorder="1" applyAlignment="1">
      <alignment wrapText="1"/>
    </xf>
    <xf numFmtId="0" fontId="15" fillId="2" borderId="59" xfId="0" applyFont="1" applyFill="1" applyBorder="1" applyAlignment="1">
      <alignment wrapText="1"/>
    </xf>
    <xf numFmtId="175" fontId="15" fillId="2" borderId="58" xfId="0" applyNumberFormat="1" applyFont="1" applyFill="1" applyBorder="1" applyAlignment="1">
      <alignment wrapText="1"/>
    </xf>
    <xf numFmtId="174" fontId="15" fillId="2" borderId="59" xfId="0" applyNumberFormat="1" applyFont="1" applyFill="1" applyBorder="1" applyAlignment="1">
      <alignment wrapText="1"/>
    </xf>
    <xf numFmtId="174" fontId="15" fillId="2" borderId="60" xfId="0" applyNumberFormat="1" applyFont="1" applyFill="1" applyBorder="1" applyAlignment="1">
      <alignment wrapText="1"/>
    </xf>
    <xf numFmtId="169" fontId="15" fillId="2" borderId="57" xfId="0" applyNumberFormat="1" applyFont="1" applyFill="1" applyBorder="1" applyAlignment="1">
      <alignment wrapText="1"/>
    </xf>
    <xf numFmtId="170" fontId="15" fillId="2" borderId="57" xfId="0" applyNumberFormat="1" applyFont="1" applyFill="1" applyBorder="1" applyAlignment="1">
      <alignment wrapText="1"/>
    </xf>
    <xf numFmtId="168" fontId="15" fillId="2" borderId="41" xfId="0" applyNumberFormat="1" applyFont="1" applyFill="1" applyBorder="1" applyAlignment="1">
      <alignment wrapText="1"/>
    </xf>
    <xf numFmtId="168" fontId="15" fillId="2" borderId="62" xfId="0" applyNumberFormat="1" applyFont="1" applyFill="1" applyBorder="1" applyAlignment="1">
      <alignment wrapText="1"/>
    </xf>
    <xf numFmtId="0" fontId="13" fillId="6" borderId="57" xfId="0" applyFont="1" applyFill="1" applyBorder="1" applyAlignment="1">
      <alignment wrapText="1"/>
    </xf>
    <xf numFmtId="168" fontId="13" fillId="6" borderId="58" xfId="0" applyNumberFormat="1" applyFont="1" applyFill="1" applyBorder="1" applyAlignment="1">
      <alignment wrapText="1"/>
    </xf>
    <xf numFmtId="168" fontId="13" fillId="6" borderId="59" xfId="0" applyNumberFormat="1" applyFont="1" applyFill="1" applyBorder="1" applyAlignment="1">
      <alignment wrapText="1"/>
    </xf>
    <xf numFmtId="169" fontId="13" fillId="6" borderId="59" xfId="0" applyNumberFormat="1" applyFont="1" applyFill="1" applyBorder="1" applyAlignment="1">
      <alignment wrapText="1"/>
    </xf>
    <xf numFmtId="170" fontId="13" fillId="6" borderId="59" xfId="0" applyNumberFormat="1" applyFont="1" applyFill="1" applyBorder="1" applyAlignment="1">
      <alignment wrapText="1"/>
    </xf>
    <xf numFmtId="168" fontId="13" fillId="6" borderId="60" xfId="0" applyNumberFormat="1" applyFont="1" applyFill="1" applyBorder="1" applyAlignment="1">
      <alignment wrapText="1"/>
    </xf>
    <xf numFmtId="168" fontId="13" fillId="6" borderId="57" xfId="0" applyNumberFormat="1" applyFont="1" applyFill="1" applyBorder="1" applyAlignment="1">
      <alignment wrapText="1"/>
    </xf>
    <xf numFmtId="168" fontId="13" fillId="6" borderId="42" xfId="0" applyNumberFormat="1" applyFont="1" applyFill="1" applyBorder="1" applyAlignment="1">
      <alignment wrapText="1"/>
    </xf>
    <xf numFmtId="168" fontId="13" fillId="6" borderId="61" xfId="0" applyNumberFormat="1" applyFont="1" applyFill="1" applyBorder="1" applyAlignment="1">
      <alignment wrapText="1"/>
    </xf>
    <xf numFmtId="0" fontId="13" fillId="6" borderId="59" xfId="0" applyFont="1" applyFill="1" applyBorder="1" applyAlignment="1">
      <alignment wrapText="1"/>
    </xf>
    <xf numFmtId="174" fontId="13" fillId="6" borderId="59" xfId="0" applyNumberFormat="1" applyFont="1" applyFill="1" applyBorder="1" applyAlignment="1">
      <alignment wrapText="1"/>
    </xf>
    <xf numFmtId="174" fontId="13" fillId="6" borderId="60" xfId="0" applyNumberFormat="1" applyFont="1" applyFill="1" applyBorder="1" applyAlignment="1">
      <alignment wrapText="1"/>
    </xf>
    <xf numFmtId="0" fontId="15" fillId="5" borderId="57" xfId="0" applyFont="1" applyFill="1" applyBorder="1" applyAlignment="1">
      <alignment horizontal="left" wrapText="1" indent="1"/>
    </xf>
    <xf numFmtId="168" fontId="15" fillId="5" borderId="58" xfId="0" applyNumberFormat="1" applyFont="1" applyFill="1" applyBorder="1" applyAlignment="1">
      <alignment wrapText="1"/>
    </xf>
    <xf numFmtId="168" fontId="15" fillId="5" borderId="59" xfId="0" applyNumberFormat="1" applyFont="1" applyFill="1" applyBorder="1" applyAlignment="1">
      <alignment wrapText="1"/>
    </xf>
    <xf numFmtId="169" fontId="15" fillId="5" borderId="59" xfId="0" applyNumberFormat="1" applyFont="1" applyFill="1" applyBorder="1" applyAlignment="1">
      <alignment wrapText="1"/>
    </xf>
    <xf numFmtId="170" fontId="15" fillId="5" borderId="59" xfId="0" applyNumberFormat="1" applyFont="1" applyFill="1" applyBorder="1" applyAlignment="1">
      <alignment wrapText="1"/>
    </xf>
    <xf numFmtId="168" fontId="15" fillId="5" borderId="60" xfId="0" applyNumberFormat="1" applyFont="1" applyFill="1" applyBorder="1" applyAlignment="1">
      <alignment wrapText="1"/>
    </xf>
    <xf numFmtId="168" fontId="15" fillId="5" borderId="57" xfId="0" applyNumberFormat="1" applyFont="1" applyFill="1" applyBorder="1" applyAlignment="1">
      <alignment wrapText="1"/>
    </xf>
    <xf numFmtId="168" fontId="15" fillId="5" borderId="42" xfId="0" applyNumberFormat="1" applyFont="1" applyFill="1" applyBorder="1" applyAlignment="1">
      <alignment wrapText="1"/>
    </xf>
    <xf numFmtId="168" fontId="15" fillId="5" borderId="61" xfId="0" applyNumberFormat="1" applyFont="1" applyFill="1" applyBorder="1" applyAlignment="1">
      <alignment wrapText="1"/>
    </xf>
    <xf numFmtId="0" fontId="15" fillId="5" borderId="59" xfId="0" applyFont="1" applyFill="1" applyBorder="1" applyAlignment="1">
      <alignment wrapText="1"/>
    </xf>
    <xf numFmtId="174" fontId="15" fillId="5" borderId="59" xfId="0" applyNumberFormat="1" applyFont="1" applyFill="1" applyBorder="1" applyAlignment="1">
      <alignment wrapText="1"/>
    </xf>
    <xf numFmtId="174" fontId="15" fillId="5" borderId="60" xfId="0" applyNumberFormat="1" applyFont="1" applyFill="1" applyBorder="1" applyAlignment="1">
      <alignment wrapText="1"/>
    </xf>
    <xf numFmtId="168" fontId="15" fillId="5" borderId="58" xfId="0" applyNumberFormat="1" applyFont="1" applyFill="1" applyBorder="1" applyAlignment="1">
      <alignment vertical="center" wrapText="1"/>
    </xf>
    <xf numFmtId="168" fontId="15" fillId="5" borderId="59" xfId="0" applyNumberFormat="1" applyFont="1" applyFill="1" applyBorder="1" applyAlignment="1">
      <alignment vertical="center" wrapText="1"/>
    </xf>
    <xf numFmtId="168" fontId="15" fillId="5" borderId="60" xfId="0" applyNumberFormat="1" applyFont="1" applyFill="1" applyBorder="1" applyAlignment="1">
      <alignment vertical="center" wrapText="1"/>
    </xf>
    <xf numFmtId="0" fontId="15" fillId="2" borderId="57" xfId="0" applyFont="1" applyFill="1" applyBorder="1" applyAlignment="1">
      <alignment horizontal="left" wrapText="1" indent="2"/>
    </xf>
    <xf numFmtId="168" fontId="15" fillId="2" borderId="57" xfId="0" applyNumberFormat="1" applyFont="1" applyFill="1" applyBorder="1" applyAlignment="1">
      <alignment vertical="center" wrapText="1"/>
    </xf>
    <xf numFmtId="0" fontId="15" fillId="2" borderId="58" xfId="0" applyFont="1" applyFill="1" applyBorder="1" applyAlignment="1">
      <alignment wrapText="1"/>
    </xf>
    <xf numFmtId="0" fontId="15" fillId="2" borderId="60" xfId="0" applyFont="1" applyFill="1" applyBorder="1" applyAlignment="1">
      <alignment wrapText="1"/>
    </xf>
    <xf numFmtId="0" fontId="15" fillId="0" borderId="57" xfId="0" applyFont="1" applyBorder="1" applyAlignment="1">
      <alignment horizontal="left" wrapText="1" indent="2"/>
    </xf>
    <xf numFmtId="0" fontId="15" fillId="0" borderId="59" xfId="0" applyFont="1" applyBorder="1" applyAlignment="1">
      <alignment wrapText="1"/>
    </xf>
    <xf numFmtId="0" fontId="15" fillId="0" borderId="60" xfId="0" applyFont="1" applyBorder="1" applyAlignment="1">
      <alignment wrapText="1"/>
    </xf>
    <xf numFmtId="0" fontId="15" fillId="0" borderId="57" xfId="0" applyFont="1" applyBorder="1" applyAlignment="1">
      <alignment wrapText="1"/>
    </xf>
    <xf numFmtId="0" fontId="15" fillId="0" borderId="42" xfId="0" applyFont="1" applyBorder="1" applyAlignment="1">
      <alignment wrapText="1"/>
    </xf>
    <xf numFmtId="0" fontId="15" fillId="0" borderId="61" xfId="0" applyFont="1" applyBorder="1" applyAlignment="1">
      <alignment wrapText="1"/>
    </xf>
    <xf numFmtId="168" fontId="15" fillId="0" borderId="58" xfId="0" applyNumberFormat="1" applyFont="1" applyBorder="1" applyAlignment="1">
      <alignment wrapText="1"/>
    </xf>
    <xf numFmtId="168" fontId="15" fillId="0" borderId="59" xfId="0" applyNumberFormat="1" applyFont="1" applyBorder="1" applyAlignment="1">
      <alignment wrapText="1"/>
    </xf>
    <xf numFmtId="0" fontId="15" fillId="0" borderId="58" xfId="0" applyFont="1" applyBorder="1" applyAlignment="1">
      <alignment wrapText="1"/>
    </xf>
    <xf numFmtId="168" fontId="15" fillId="0" borderId="57" xfId="0" applyNumberFormat="1" applyFont="1" applyBorder="1" applyAlignment="1">
      <alignment vertical="center" wrapText="1"/>
    </xf>
    <xf numFmtId="174" fontId="16" fillId="5" borderId="59" xfId="0" applyNumberFormat="1" applyFont="1" applyFill="1" applyBorder="1" applyAlignment="1">
      <alignment wrapText="1"/>
    </xf>
    <xf numFmtId="0" fontId="15" fillId="2" borderId="42" xfId="0" applyFont="1" applyFill="1" applyBorder="1" applyAlignment="1">
      <alignment wrapText="1"/>
    </xf>
    <xf numFmtId="174" fontId="16" fillId="2" borderId="59" xfId="0" applyNumberFormat="1" applyFont="1" applyFill="1" applyBorder="1" applyAlignment="1">
      <alignment wrapText="1"/>
    </xf>
    <xf numFmtId="168" fontId="13" fillId="6" borderId="41" xfId="0" applyNumberFormat="1" applyFont="1" applyFill="1" applyBorder="1" applyAlignment="1">
      <alignment wrapText="1"/>
    </xf>
    <xf numFmtId="168" fontId="13" fillId="6" borderId="62" xfId="0" applyNumberFormat="1" applyFont="1" applyFill="1" applyBorder="1" applyAlignment="1">
      <alignment wrapText="1"/>
    </xf>
    <xf numFmtId="0" fontId="13" fillId="6" borderId="58" xfId="0" applyFont="1" applyFill="1" applyBorder="1" applyAlignment="1">
      <alignment wrapText="1"/>
    </xf>
    <xf numFmtId="176" fontId="13" fillId="6" borderId="57" xfId="0" applyNumberFormat="1" applyFont="1" applyFill="1" applyBorder="1" applyAlignment="1">
      <alignment wrapText="1"/>
    </xf>
    <xf numFmtId="0" fontId="15" fillId="5" borderId="58" xfId="0" applyFont="1" applyFill="1" applyBorder="1" applyAlignment="1">
      <alignment wrapText="1"/>
    </xf>
    <xf numFmtId="0" fontId="15" fillId="5" borderId="57" xfId="0" applyFont="1" applyFill="1" applyBorder="1" applyAlignment="1">
      <alignment wrapText="1"/>
    </xf>
    <xf numFmtId="169" fontId="15" fillId="0" borderId="59" xfId="0" applyNumberFormat="1" applyFont="1" applyBorder="1" applyAlignment="1">
      <alignment wrapText="1"/>
    </xf>
    <xf numFmtId="170" fontId="15" fillId="0" borderId="59" xfId="0" applyNumberFormat="1" applyFont="1" applyBorder="1" applyAlignment="1">
      <alignment wrapText="1"/>
    </xf>
    <xf numFmtId="168" fontId="15" fillId="0" borderId="60" xfId="0" applyNumberFormat="1" applyFont="1" applyBorder="1" applyAlignment="1">
      <alignment wrapText="1"/>
    </xf>
    <xf numFmtId="168" fontId="15" fillId="0" borderId="57" xfId="0" applyNumberFormat="1" applyFont="1" applyBorder="1" applyAlignment="1">
      <alignment wrapText="1"/>
    </xf>
    <xf numFmtId="168" fontId="15" fillId="7" borderId="58" xfId="0" applyNumberFormat="1" applyFont="1" applyFill="1" applyBorder="1" applyAlignment="1">
      <alignment wrapText="1"/>
    </xf>
    <xf numFmtId="168" fontId="15" fillId="0" borderId="42" xfId="0" applyNumberFormat="1" applyFont="1" applyBorder="1" applyAlignment="1">
      <alignment wrapText="1"/>
    </xf>
    <xf numFmtId="168" fontId="15" fillId="0" borderId="61" xfId="0" applyNumberFormat="1" applyFont="1" applyBorder="1" applyAlignment="1">
      <alignment wrapText="1"/>
    </xf>
    <xf numFmtId="168" fontId="15" fillId="7" borderId="59" xfId="0" applyNumberFormat="1" applyFont="1" applyFill="1" applyBorder="1" applyAlignment="1">
      <alignment wrapText="1"/>
    </xf>
    <xf numFmtId="0" fontId="15" fillId="7" borderId="59" xfId="0" applyFont="1" applyFill="1" applyBorder="1" applyAlignment="1">
      <alignment wrapText="1"/>
    </xf>
    <xf numFmtId="0" fontId="15" fillId="7" borderId="60" xfId="0" applyFont="1" applyFill="1" applyBorder="1" applyAlignment="1">
      <alignment wrapText="1"/>
    </xf>
    <xf numFmtId="168" fontId="15" fillId="7" borderId="57" xfId="0" applyNumberFormat="1" applyFont="1" applyFill="1" applyBorder="1" applyAlignment="1">
      <alignment vertical="center" wrapText="1"/>
    </xf>
    <xf numFmtId="175" fontId="15" fillId="5" borderId="57" xfId="0" applyNumberFormat="1" applyFont="1" applyFill="1" applyBorder="1" applyAlignment="1">
      <alignment wrapText="1"/>
    </xf>
    <xf numFmtId="0" fontId="15" fillId="8" borderId="57" xfId="0" applyFont="1" applyFill="1" applyBorder="1" applyAlignment="1">
      <alignment horizontal="left" wrapText="1" indent="2"/>
    </xf>
    <xf numFmtId="0" fontId="15" fillId="5" borderId="57" xfId="0" applyFont="1" applyFill="1" applyBorder="1" applyAlignment="1">
      <alignment horizontal="left" wrapText="1" indent="2"/>
    </xf>
    <xf numFmtId="0" fontId="15" fillId="2" borderId="57" xfId="0" applyFont="1" applyFill="1" applyBorder="1" applyAlignment="1">
      <alignment horizontal="left" wrapText="1" indent="3"/>
    </xf>
    <xf numFmtId="0" fontId="15" fillId="2" borderId="27" xfId="0" applyFont="1" applyFill="1" applyBorder="1" applyAlignment="1">
      <alignment horizontal="left" wrapText="1" indent="3"/>
    </xf>
    <xf numFmtId="168" fontId="15" fillId="2" borderId="63" xfId="0" applyNumberFormat="1" applyFont="1" applyFill="1" applyBorder="1" applyAlignment="1">
      <alignment wrapText="1"/>
    </xf>
    <xf numFmtId="168" fontId="15" fillId="2" borderId="1" xfId="0" applyNumberFormat="1" applyFont="1" applyFill="1" applyBorder="1" applyAlignment="1">
      <alignment wrapText="1"/>
    </xf>
    <xf numFmtId="169" fontId="15" fillId="2" borderId="1" xfId="0" applyNumberFormat="1" applyFont="1" applyFill="1" applyBorder="1" applyAlignment="1">
      <alignment wrapText="1"/>
    </xf>
    <xf numFmtId="170" fontId="15" fillId="2" borderId="1" xfId="0" applyNumberFormat="1" applyFont="1" applyFill="1" applyBorder="1" applyAlignment="1">
      <alignment wrapText="1"/>
    </xf>
    <xf numFmtId="168" fontId="15" fillId="2" borderId="30" xfId="0" applyNumberFormat="1" applyFont="1" applyFill="1" applyBorder="1" applyAlignment="1">
      <alignment wrapText="1"/>
    </xf>
    <xf numFmtId="0" fontId="15" fillId="2" borderId="1" xfId="0" applyFont="1" applyFill="1" applyBorder="1" applyAlignment="1">
      <alignment wrapText="1"/>
    </xf>
    <xf numFmtId="0" fontId="2" fillId="0" borderId="0" xfId="0" applyFont="1" applyAlignment="1">
      <alignment horizontal="right" vertical="center" wrapText="1"/>
    </xf>
    <xf numFmtId="0" fontId="13" fillId="0" borderId="4" xfId="0" applyFont="1" applyBorder="1" applyAlignment="1">
      <alignment vertical="center" wrapText="1"/>
    </xf>
    <xf numFmtId="0" fontId="13" fillId="0" borderId="11" xfId="0" applyFont="1" applyBorder="1" applyAlignment="1">
      <alignment vertical="center" wrapText="1"/>
    </xf>
    <xf numFmtId="0" fontId="13" fillId="0" borderId="23" xfId="0" applyFont="1" applyBorder="1" applyAlignment="1">
      <alignment vertical="center" wrapText="1"/>
    </xf>
    <xf numFmtId="0" fontId="13" fillId="0" borderId="7" xfId="0" applyFont="1" applyBorder="1" applyAlignment="1">
      <alignment horizontal="center" vertical="center" wrapText="1"/>
    </xf>
    <xf numFmtId="0" fontId="13" fillId="0" borderId="11" xfId="0" applyFont="1" applyBorder="1" applyAlignment="1">
      <alignment horizontal="center" vertical="center" wrapText="1"/>
    </xf>
    <xf numFmtId="0" fontId="17" fillId="2" borderId="24" xfId="0" applyFont="1" applyFill="1" applyBorder="1" applyAlignment="1">
      <alignment wrapText="1"/>
    </xf>
    <xf numFmtId="0" fontId="17" fillId="2" borderId="25" xfId="0" applyFont="1" applyFill="1" applyBorder="1" applyAlignment="1">
      <alignment wrapText="1"/>
    </xf>
    <xf numFmtId="0" fontId="17" fillId="2" borderId="12" xfId="0" applyFont="1" applyFill="1" applyBorder="1" applyAlignment="1">
      <alignment wrapText="1"/>
    </xf>
    <xf numFmtId="0" fontId="17" fillId="2" borderId="11" xfId="0" applyFont="1" applyFill="1" applyBorder="1" applyAlignment="1">
      <alignment wrapText="1"/>
    </xf>
    <xf numFmtId="0" fontId="17" fillId="2" borderId="0" xfId="0" applyFont="1" applyFill="1" applyAlignment="1">
      <alignment wrapText="1"/>
    </xf>
    <xf numFmtId="0" fontId="15" fillId="0" borderId="36" xfId="0" applyFont="1" applyBorder="1" applyAlignment="1">
      <alignment wrapText="1"/>
    </xf>
    <xf numFmtId="0" fontId="15" fillId="0" borderId="39" xfId="0" applyFont="1" applyBorder="1" applyAlignment="1">
      <alignment wrapText="1"/>
    </xf>
    <xf numFmtId="0" fontId="15" fillId="0" borderId="40" xfId="0" applyFont="1" applyBorder="1" applyAlignment="1">
      <alignment wrapText="1"/>
    </xf>
    <xf numFmtId="0" fontId="15" fillId="0" borderId="11" xfId="0" applyFont="1" applyBorder="1" applyAlignment="1">
      <alignment wrapText="1"/>
    </xf>
    <xf numFmtId="0" fontId="15" fillId="2" borderId="11" xfId="0" applyFont="1" applyFill="1" applyBorder="1" applyAlignment="1">
      <alignment wrapText="1"/>
    </xf>
    <xf numFmtId="0" fontId="15" fillId="2" borderId="0" xfId="0" applyFont="1" applyFill="1" applyAlignment="1">
      <alignment wrapText="1"/>
    </xf>
    <xf numFmtId="0" fontId="13" fillId="0" borderId="11" xfId="0" applyFont="1" applyBorder="1" applyAlignment="1">
      <alignment wrapText="1"/>
    </xf>
    <xf numFmtId="0" fontId="15" fillId="2" borderId="59" xfId="0" applyFont="1" applyFill="1" applyBorder="1" applyAlignment="1">
      <alignment horizontal="right" wrapText="1"/>
    </xf>
    <xf numFmtId="0" fontId="15" fillId="2" borderId="60" xfId="0" applyFont="1" applyFill="1" applyBorder="1" applyAlignment="1">
      <alignment horizontal="right" wrapText="1"/>
    </xf>
    <xf numFmtId="0" fontId="15" fillId="2" borderId="63" xfId="0" applyFont="1" applyFill="1" applyBorder="1" applyAlignment="1">
      <alignment wrapText="1"/>
    </xf>
    <xf numFmtId="0" fontId="15" fillId="2" borderId="26" xfId="0" applyFont="1" applyFill="1" applyBorder="1" applyAlignment="1">
      <alignment wrapText="1"/>
    </xf>
    <xf numFmtId="0" fontId="15" fillId="0" borderId="6" xfId="0" applyFont="1" applyBorder="1" applyAlignment="1">
      <alignment wrapText="1"/>
    </xf>
    <xf numFmtId="0" fontId="15" fillId="0" borderId="32" xfId="0" applyFont="1" applyBorder="1" applyAlignment="1">
      <alignment wrapText="1"/>
    </xf>
    <xf numFmtId="0" fontId="13" fillId="0" borderId="34" xfId="0" applyFont="1" applyBorder="1" applyAlignment="1">
      <alignment vertical="center" wrapText="1"/>
    </xf>
    <xf numFmtId="0" fontId="13" fillId="0" borderId="65" xfId="0" applyFont="1" applyBorder="1" applyAlignment="1">
      <alignment vertical="center" wrapText="1"/>
    </xf>
    <xf numFmtId="0" fontId="13" fillId="0" borderId="39" xfId="0" applyFont="1" applyBorder="1" applyAlignment="1">
      <alignment horizontal="right" vertical="center" wrapText="1"/>
    </xf>
    <xf numFmtId="0" fontId="13" fillId="0" borderId="40" xfId="0" applyFont="1" applyBorder="1" applyAlignment="1">
      <alignment horizontal="right" vertical="center" wrapText="1"/>
    </xf>
    <xf numFmtId="0" fontId="13" fillId="0" borderId="66" xfId="0" applyFont="1" applyBorder="1" applyAlignment="1">
      <alignment vertical="center" wrapText="1"/>
    </xf>
    <xf numFmtId="0" fontId="13" fillId="4" borderId="37" xfId="0" applyFont="1" applyFill="1" applyBorder="1" applyAlignment="1">
      <alignment vertical="center" wrapText="1"/>
    </xf>
    <xf numFmtId="168" fontId="13" fillId="4" borderId="36" xfId="0" applyNumberFormat="1" applyFont="1" applyFill="1" applyBorder="1" applyAlignment="1">
      <alignment vertical="center" wrapText="1"/>
    </xf>
    <xf numFmtId="168" fontId="13" fillId="4" borderId="39" xfId="0" applyNumberFormat="1" applyFont="1" applyFill="1" applyBorder="1" applyAlignment="1">
      <alignment vertical="center" wrapText="1"/>
    </xf>
    <xf numFmtId="177" fontId="13" fillId="4" borderId="59" xfId="0" applyNumberFormat="1" applyFont="1" applyFill="1" applyBorder="1" applyAlignment="1">
      <alignment vertical="center" wrapText="1"/>
    </xf>
    <xf numFmtId="178" fontId="13" fillId="4" borderId="60" xfId="0" applyNumberFormat="1" applyFont="1" applyFill="1" applyBorder="1" applyAlignment="1">
      <alignment vertical="center" wrapText="1"/>
    </xf>
    <xf numFmtId="179" fontId="13" fillId="4" borderId="39" xfId="0" applyNumberFormat="1" applyFont="1" applyFill="1" applyBorder="1" applyAlignment="1">
      <alignment vertical="center" wrapText="1"/>
    </xf>
    <xf numFmtId="176" fontId="13" fillId="4" borderId="39" xfId="0" applyNumberFormat="1" applyFont="1" applyFill="1" applyBorder="1" applyAlignment="1">
      <alignment vertical="center" wrapText="1"/>
    </xf>
    <xf numFmtId="176" fontId="13" fillId="4" borderId="40" xfId="0" applyNumberFormat="1" applyFont="1" applyFill="1" applyBorder="1" applyAlignment="1">
      <alignment vertical="center" wrapText="1"/>
    </xf>
    <xf numFmtId="168" fontId="13" fillId="4" borderId="40" xfId="0" applyNumberFormat="1" applyFont="1" applyFill="1" applyBorder="1" applyAlignment="1">
      <alignment vertical="center" wrapText="1"/>
    </xf>
    <xf numFmtId="0" fontId="13" fillId="6" borderId="57" xfId="0" applyFont="1" applyFill="1" applyBorder="1" applyAlignment="1">
      <alignment vertical="center" wrapText="1"/>
    </xf>
    <xf numFmtId="168" fontId="13" fillId="6" borderId="57" xfId="0" applyNumberFormat="1" applyFont="1" applyFill="1" applyBorder="1" applyAlignment="1">
      <alignment vertical="center" wrapText="1"/>
    </xf>
    <xf numFmtId="168" fontId="13" fillId="6" borderId="58" xfId="0" applyNumberFormat="1" applyFont="1" applyFill="1" applyBorder="1" applyAlignment="1">
      <alignment vertical="center" wrapText="1"/>
    </xf>
    <xf numFmtId="168" fontId="13" fillId="6" borderId="59" xfId="0" applyNumberFormat="1" applyFont="1" applyFill="1" applyBorder="1" applyAlignment="1">
      <alignment vertical="center" wrapText="1"/>
    </xf>
    <xf numFmtId="168" fontId="13" fillId="6" borderId="41" xfId="0" applyNumberFormat="1" applyFont="1" applyFill="1" applyBorder="1" applyAlignment="1">
      <alignment vertical="center" wrapText="1"/>
    </xf>
    <xf numFmtId="177" fontId="13" fillId="6" borderId="59" xfId="0" applyNumberFormat="1" applyFont="1" applyFill="1" applyBorder="1" applyAlignment="1">
      <alignment vertical="center" wrapText="1"/>
    </xf>
    <xf numFmtId="177" fontId="13" fillId="6" borderId="60" xfId="0" applyNumberFormat="1" applyFont="1" applyFill="1" applyBorder="1" applyAlignment="1">
      <alignment vertical="center" wrapText="1"/>
    </xf>
    <xf numFmtId="179" fontId="13" fillId="6" borderId="59" xfId="0" applyNumberFormat="1" applyFont="1" applyFill="1" applyBorder="1" applyAlignment="1">
      <alignment vertical="center" wrapText="1"/>
    </xf>
    <xf numFmtId="176" fontId="13" fillId="6" borderId="59" xfId="0" applyNumberFormat="1" applyFont="1" applyFill="1" applyBorder="1" applyAlignment="1">
      <alignment vertical="center" wrapText="1"/>
    </xf>
    <xf numFmtId="176" fontId="13" fillId="6" borderId="60" xfId="0" applyNumberFormat="1" applyFont="1" applyFill="1" applyBorder="1" applyAlignment="1">
      <alignment vertical="center" wrapText="1"/>
    </xf>
    <xf numFmtId="0" fontId="15" fillId="5" borderId="57" xfId="0" applyFont="1" applyFill="1" applyBorder="1" applyAlignment="1">
      <alignment horizontal="left" vertical="center" wrapText="1" indent="1"/>
    </xf>
    <xf numFmtId="177" fontId="15" fillId="5" borderId="59" xfId="0" applyNumberFormat="1" applyFont="1" applyFill="1" applyBorder="1" applyAlignment="1">
      <alignment vertical="center" wrapText="1"/>
    </xf>
    <xf numFmtId="177" fontId="15" fillId="5" borderId="60" xfId="0" applyNumberFormat="1" applyFont="1" applyFill="1" applyBorder="1" applyAlignment="1">
      <alignment vertical="center" wrapText="1"/>
    </xf>
    <xf numFmtId="179" fontId="15" fillId="5" borderId="59" xfId="0" applyNumberFormat="1" applyFont="1" applyFill="1" applyBorder="1" applyAlignment="1">
      <alignment vertical="center" wrapText="1"/>
    </xf>
    <xf numFmtId="176" fontId="15" fillId="5" borderId="59" xfId="0" applyNumberFormat="1" applyFont="1" applyFill="1" applyBorder="1" applyAlignment="1">
      <alignment vertical="center" wrapText="1"/>
    </xf>
    <xf numFmtId="176" fontId="15" fillId="5" borderId="60" xfId="0" applyNumberFormat="1" applyFont="1" applyFill="1" applyBorder="1" applyAlignment="1">
      <alignment vertical="center" wrapText="1"/>
    </xf>
    <xf numFmtId="0" fontId="15" fillId="0" borderId="57" xfId="0" applyFont="1" applyBorder="1" applyAlignment="1">
      <alignment horizontal="left" vertical="center" wrapText="1" indent="2"/>
    </xf>
    <xf numFmtId="168" fontId="15" fillId="0" borderId="58" xfId="0" applyNumberFormat="1" applyFont="1" applyBorder="1" applyAlignment="1">
      <alignment vertical="center" wrapText="1"/>
    </xf>
    <xf numFmtId="168" fontId="15" fillId="0" borderId="59" xfId="0" applyNumberFormat="1" applyFont="1" applyBorder="1" applyAlignment="1">
      <alignment vertical="center" wrapText="1"/>
    </xf>
    <xf numFmtId="177" fontId="15" fillId="0" borderId="59" xfId="0" applyNumberFormat="1" applyFont="1" applyBorder="1" applyAlignment="1">
      <alignment vertical="center" wrapText="1"/>
    </xf>
    <xf numFmtId="177" fontId="15" fillId="0" borderId="60" xfId="0" applyNumberFormat="1" applyFont="1" applyBorder="1" applyAlignment="1">
      <alignment vertical="center" wrapText="1"/>
    </xf>
    <xf numFmtId="0" fontId="15" fillId="0" borderId="59" xfId="0" applyFont="1" applyBorder="1" applyAlignment="1">
      <alignment vertical="center" wrapText="1"/>
    </xf>
    <xf numFmtId="179" fontId="15" fillId="0" borderId="59" xfId="0" applyNumberFormat="1" applyFont="1" applyBorder="1" applyAlignment="1">
      <alignment vertical="center" wrapText="1"/>
    </xf>
    <xf numFmtId="176" fontId="15" fillId="0" borderId="59" xfId="0" applyNumberFormat="1" applyFont="1" applyBorder="1" applyAlignment="1">
      <alignment vertical="center" wrapText="1"/>
    </xf>
    <xf numFmtId="176" fontId="15" fillId="0" borderId="60" xfId="0" applyNumberFormat="1" applyFont="1" applyBorder="1" applyAlignment="1">
      <alignment vertical="center" wrapText="1"/>
    </xf>
    <xf numFmtId="0" fontId="15" fillId="0" borderId="59" xfId="0" applyFont="1" applyBorder="1" applyAlignment="1">
      <alignment horizontal="right" vertical="center" wrapText="1"/>
    </xf>
    <xf numFmtId="0" fontId="15" fillId="0" borderId="60" xfId="0" applyFont="1" applyBorder="1" applyAlignment="1">
      <alignment horizontal="right" vertical="center" wrapText="1"/>
    </xf>
    <xf numFmtId="168" fontId="15" fillId="0" borderId="41" xfId="0" applyNumberFormat="1" applyFont="1" applyBorder="1" applyAlignment="1">
      <alignment vertical="center" wrapText="1"/>
    </xf>
    <xf numFmtId="0" fontId="15" fillId="0" borderId="60" xfId="0" applyFont="1" applyBorder="1" applyAlignment="1">
      <alignment vertical="center" wrapText="1"/>
    </xf>
    <xf numFmtId="178" fontId="16" fillId="5" borderId="59" xfId="0" applyNumberFormat="1" applyFont="1" applyFill="1" applyBorder="1" applyAlignment="1">
      <alignment vertical="center" wrapText="1"/>
    </xf>
    <xf numFmtId="176" fontId="16" fillId="5" borderId="59" xfId="0" applyNumberFormat="1" applyFont="1" applyFill="1" applyBorder="1" applyAlignment="1">
      <alignment vertical="center" wrapText="1"/>
    </xf>
    <xf numFmtId="177" fontId="16" fillId="0" borderId="59" xfId="0" applyNumberFormat="1" applyFont="1" applyBorder="1" applyAlignment="1">
      <alignment vertical="center" wrapText="1"/>
    </xf>
    <xf numFmtId="176" fontId="16" fillId="0" borderId="59" xfId="0" applyNumberFormat="1" applyFont="1" applyBorder="1" applyAlignment="1">
      <alignment vertical="center" wrapText="1"/>
    </xf>
    <xf numFmtId="0" fontId="15" fillId="8" borderId="57" xfId="0" applyFont="1" applyFill="1" applyBorder="1" applyAlignment="1">
      <alignment horizontal="left" vertical="center" wrapText="1" indent="2"/>
    </xf>
    <xf numFmtId="0" fontId="15" fillId="5" borderId="60" xfId="0" applyFont="1" applyFill="1" applyBorder="1" applyAlignment="1">
      <alignment horizontal="right" vertical="center" wrapText="1"/>
    </xf>
    <xf numFmtId="0" fontId="15" fillId="5" borderId="60" xfId="0" applyFont="1" applyFill="1" applyBorder="1" applyAlignment="1">
      <alignment vertical="center" wrapText="1"/>
    </xf>
    <xf numFmtId="0" fontId="15" fillId="5" borderId="59" xfId="0" applyFont="1" applyFill="1" applyBorder="1" applyAlignment="1">
      <alignment horizontal="right" vertical="center" wrapText="1"/>
    </xf>
    <xf numFmtId="0" fontId="15" fillId="5" borderId="59" xfId="0" applyFont="1" applyFill="1" applyBorder="1" applyAlignment="1">
      <alignment vertical="center" wrapText="1"/>
    </xf>
    <xf numFmtId="0" fontId="15" fillId="5" borderId="57" xfId="0" applyFont="1" applyFill="1" applyBorder="1" applyAlignment="1">
      <alignment horizontal="left" vertical="center" wrapText="1" indent="2"/>
    </xf>
    <xf numFmtId="0" fontId="15" fillId="0" borderId="57" xfId="0" applyFont="1" applyBorder="1" applyAlignment="1">
      <alignment horizontal="left" wrapText="1" indent="3"/>
    </xf>
    <xf numFmtId="180" fontId="15" fillId="0" borderId="59" xfId="0" applyNumberFormat="1" applyFont="1" applyBorder="1" applyAlignment="1">
      <alignment horizontal="right" vertical="center" wrapText="1"/>
    </xf>
    <xf numFmtId="180" fontId="15" fillId="0" borderId="60" xfId="0" applyNumberFormat="1" applyFont="1" applyBorder="1" applyAlignment="1">
      <alignment horizontal="right" vertical="center" wrapText="1"/>
    </xf>
    <xf numFmtId="0" fontId="15" fillId="0" borderId="57" xfId="0" applyFont="1" applyBorder="1" applyAlignment="1">
      <alignment horizontal="right" vertical="center" wrapText="1"/>
    </xf>
    <xf numFmtId="0" fontId="15" fillId="0" borderId="57" xfId="0" applyFont="1" applyBorder="1" applyAlignment="1">
      <alignment vertical="center" wrapText="1"/>
    </xf>
    <xf numFmtId="0" fontId="15" fillId="0" borderId="27" xfId="0" applyFont="1" applyBorder="1" applyAlignment="1">
      <alignment horizontal="left" wrapText="1" indent="3"/>
    </xf>
    <xf numFmtId="168" fontId="15" fillId="0" borderId="1" xfId="0" applyNumberFormat="1" applyFont="1" applyBorder="1" applyAlignment="1">
      <alignment vertical="center" wrapText="1"/>
    </xf>
    <xf numFmtId="179" fontId="15" fillId="0" borderId="1" xfId="0" applyNumberFormat="1" applyFont="1" applyBorder="1" applyAlignment="1">
      <alignment vertical="center" wrapText="1"/>
    </xf>
    <xf numFmtId="0" fontId="13" fillId="6" borderId="58" xfId="0" applyFont="1" applyFill="1" applyBorder="1" applyAlignment="1">
      <alignment vertical="center" wrapText="1"/>
    </xf>
    <xf numFmtId="168" fontId="15" fillId="6" borderId="59" xfId="0" applyNumberFormat="1" applyFont="1" applyFill="1" applyBorder="1" applyAlignment="1">
      <alignment vertical="center" wrapText="1"/>
    </xf>
    <xf numFmtId="0" fontId="15" fillId="5" borderId="58" xfId="0" applyFont="1" applyFill="1" applyBorder="1" applyAlignment="1">
      <alignment vertical="center" wrapText="1"/>
    </xf>
    <xf numFmtId="0" fontId="15" fillId="0" borderId="58" xfId="0" applyFont="1" applyBorder="1" applyAlignment="1">
      <alignment vertical="center" wrapText="1"/>
    </xf>
    <xf numFmtId="172" fontId="15" fillId="0" borderId="59" xfId="0" applyNumberFormat="1" applyFont="1" applyBorder="1" applyAlignment="1">
      <alignment horizontal="center" vertical="center" wrapText="1"/>
    </xf>
    <xf numFmtId="0" fontId="15" fillId="9" borderId="58" xfId="0" applyFont="1" applyFill="1" applyBorder="1" applyAlignment="1">
      <alignment vertical="center" wrapText="1"/>
    </xf>
    <xf numFmtId="168" fontId="15" fillId="9" borderId="59" xfId="0" applyNumberFormat="1" applyFont="1" applyFill="1" applyBorder="1" applyAlignment="1">
      <alignment vertical="center" wrapText="1"/>
    </xf>
    <xf numFmtId="168" fontId="15" fillId="0" borderId="32" xfId="0" applyNumberFormat="1" applyFont="1" applyBorder="1" applyAlignment="1">
      <alignment vertical="center" wrapText="1"/>
    </xf>
    <xf numFmtId="168" fontId="15" fillId="0" borderId="0" xfId="0" applyNumberFormat="1" applyFont="1" applyAlignment="1">
      <alignment vertical="center" wrapText="1"/>
    </xf>
    <xf numFmtId="0" fontId="18" fillId="0" borderId="0" xfId="0" applyFont="1" applyAlignment="1">
      <alignment horizontal="right" vertical="center" wrapText="1"/>
    </xf>
    <xf numFmtId="0" fontId="13" fillId="0" borderId="26" xfId="0" applyFont="1" applyBorder="1" applyAlignment="1">
      <alignment vertical="center" wrapText="1"/>
    </xf>
    <xf numFmtId="0" fontId="13" fillId="6" borderId="59" xfId="0" applyFont="1" applyFill="1" applyBorder="1" applyAlignment="1">
      <alignment vertical="center" wrapText="1"/>
    </xf>
    <xf numFmtId="0" fontId="13" fillId="6" borderId="59" xfId="0" applyFont="1" applyFill="1" applyBorder="1" applyAlignment="1">
      <alignment horizontal="right" vertical="center" wrapText="1"/>
    </xf>
    <xf numFmtId="0" fontId="13" fillId="6" borderId="60" xfId="0" applyFont="1" applyFill="1" applyBorder="1" applyAlignment="1">
      <alignment horizontal="right" vertical="center" wrapText="1"/>
    </xf>
    <xf numFmtId="0" fontId="15" fillId="0" borderId="11" xfId="0" applyFont="1" applyBorder="1" applyAlignment="1">
      <alignment vertical="center" wrapText="1"/>
    </xf>
    <xf numFmtId="0" fontId="15" fillId="0" borderId="20" xfId="0" applyFont="1" applyBorder="1" applyAlignment="1">
      <alignment vertical="center" wrapText="1"/>
    </xf>
    <xf numFmtId="0" fontId="13" fillId="0" borderId="20" xfId="0" applyFont="1" applyBorder="1" applyAlignment="1">
      <alignment vertical="center" wrapText="1"/>
    </xf>
    <xf numFmtId="0" fontId="15" fillId="0" borderId="58" xfId="0" applyFont="1" applyBorder="1" applyAlignment="1">
      <alignment horizontal="right" wrapText="1"/>
    </xf>
    <xf numFmtId="0" fontId="15" fillId="0" borderId="60" xfId="0" applyFont="1" applyBorder="1" applyAlignment="1">
      <alignment horizontal="right" wrapText="1"/>
    </xf>
    <xf numFmtId="0" fontId="15" fillId="0" borderId="54" xfId="0" applyFont="1" applyBorder="1" applyAlignment="1">
      <alignment vertical="center" wrapText="1"/>
    </xf>
    <xf numFmtId="0" fontId="15" fillId="0" borderId="68" xfId="0" applyFont="1" applyBorder="1" applyAlignment="1">
      <alignment vertical="center" wrapText="1"/>
    </xf>
    <xf numFmtId="0" fontId="15" fillId="0" borderId="68" xfId="0" applyFont="1" applyBorder="1" applyAlignment="1">
      <alignment horizontal="right" vertical="center" wrapText="1"/>
    </xf>
    <xf numFmtId="0" fontId="15" fillId="9" borderId="59" xfId="0" applyFont="1" applyFill="1" applyBorder="1" applyAlignment="1">
      <alignment horizontal="right" vertical="center" wrapText="1"/>
    </xf>
    <xf numFmtId="0" fontId="15" fillId="9" borderId="59" xfId="0" applyFont="1" applyFill="1" applyBorder="1" applyAlignment="1">
      <alignment vertical="center" wrapText="1"/>
    </xf>
    <xf numFmtId="0" fontId="15" fillId="0" borderId="32" xfId="0" applyFont="1" applyBorder="1" applyAlignment="1">
      <alignment vertical="center" wrapText="1"/>
    </xf>
    <xf numFmtId="0" fontId="15" fillId="0" borderId="32" xfId="0" applyFont="1" applyBorder="1" applyAlignment="1">
      <alignment horizontal="right" vertical="center" wrapText="1"/>
    </xf>
    <xf numFmtId="0" fontId="20" fillId="0" borderId="8"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3" xfId="0" applyFont="1" applyBorder="1" applyAlignment="1">
      <alignment horizontal="center" vertical="center" wrapText="1"/>
    </xf>
    <xf numFmtId="0" fontId="21" fillId="0" borderId="0" xfId="0" applyFont="1" applyAlignment="1">
      <alignment horizontal="center" vertical="center" wrapText="1"/>
    </xf>
    <xf numFmtId="0" fontId="19" fillId="6" borderId="36" xfId="0" applyFont="1" applyFill="1" applyBorder="1" applyAlignment="1">
      <alignment wrapText="1"/>
    </xf>
    <xf numFmtId="168" fontId="19" fillId="6" borderId="71" xfId="0" applyNumberFormat="1" applyFont="1" applyFill="1" applyBorder="1" applyAlignment="1">
      <alignment wrapText="1"/>
    </xf>
    <xf numFmtId="176" fontId="19" fillId="6" borderId="71" xfId="0" applyNumberFormat="1" applyFont="1" applyFill="1" applyBorder="1" applyAlignment="1">
      <alignment wrapText="1"/>
    </xf>
    <xf numFmtId="0" fontId="19" fillId="6" borderId="71" xfId="0" applyFont="1" applyFill="1" applyBorder="1" applyAlignment="1">
      <alignment wrapText="1"/>
    </xf>
    <xf numFmtId="168" fontId="19" fillId="6" borderId="72" xfId="0" applyNumberFormat="1" applyFont="1" applyFill="1" applyBorder="1" applyAlignment="1">
      <alignment wrapText="1"/>
    </xf>
    <xf numFmtId="0" fontId="19" fillId="0" borderId="0" xfId="0" applyFont="1" applyAlignment="1">
      <alignment wrapText="1"/>
    </xf>
    <xf numFmtId="0" fontId="19" fillId="5" borderId="58" xfId="0" applyFont="1" applyFill="1" applyBorder="1" applyAlignment="1">
      <alignment wrapText="1"/>
    </xf>
    <xf numFmtId="168" fontId="19" fillId="5" borderId="59" xfId="0" applyNumberFormat="1" applyFont="1" applyFill="1" applyBorder="1" applyAlignment="1">
      <alignment wrapText="1"/>
    </xf>
    <xf numFmtId="176" fontId="19" fillId="5" borderId="59" xfId="0" applyNumberFormat="1" applyFont="1" applyFill="1" applyBorder="1" applyAlignment="1">
      <alignment wrapText="1"/>
    </xf>
    <xf numFmtId="0" fontId="19" fillId="5" borderId="59" xfId="0" applyFont="1" applyFill="1" applyBorder="1" applyAlignment="1">
      <alignment wrapText="1"/>
    </xf>
    <xf numFmtId="168" fontId="19" fillId="5" borderId="60" xfId="0" applyNumberFormat="1" applyFont="1" applyFill="1" applyBorder="1" applyAlignment="1">
      <alignment wrapText="1"/>
    </xf>
    <xf numFmtId="0" fontId="2" fillId="0" borderId="58" xfId="0" applyFont="1" applyBorder="1" applyAlignment="1">
      <alignment horizontal="left" wrapText="1" indent="2"/>
    </xf>
    <xf numFmtId="168" fontId="2" fillId="0" borderId="59" xfId="0" applyNumberFormat="1" applyFont="1" applyBorder="1" applyAlignment="1">
      <alignment wrapText="1"/>
    </xf>
    <xf numFmtId="176" fontId="2" fillId="0" borderId="59" xfId="0" applyNumberFormat="1" applyFont="1" applyBorder="1" applyAlignment="1">
      <alignment wrapText="1"/>
    </xf>
    <xf numFmtId="168" fontId="2" fillId="2" borderId="59" xfId="0" applyNumberFormat="1" applyFont="1" applyFill="1" applyBorder="1" applyAlignment="1">
      <alignment wrapText="1"/>
    </xf>
    <xf numFmtId="0" fontId="2" fillId="0" borderId="59" xfId="0" applyFont="1" applyBorder="1" applyAlignment="1">
      <alignment wrapText="1"/>
    </xf>
    <xf numFmtId="168" fontId="2" fillId="0" borderId="60" xfId="0" applyNumberFormat="1" applyFont="1" applyBorder="1" applyAlignment="1">
      <alignment wrapText="1"/>
    </xf>
    <xf numFmtId="0" fontId="2" fillId="0" borderId="0" xfId="0" applyFont="1" applyAlignment="1">
      <alignment wrapText="1"/>
    </xf>
    <xf numFmtId="0" fontId="2" fillId="5" borderId="58" xfId="0" applyFont="1" applyFill="1" applyBorder="1" applyAlignment="1">
      <alignment horizontal="left" wrapText="1" indent="1"/>
    </xf>
    <xf numFmtId="168" fontId="2" fillId="5" borderId="59" xfId="0" applyNumberFormat="1" applyFont="1" applyFill="1" applyBorder="1" applyAlignment="1">
      <alignment wrapText="1"/>
    </xf>
    <xf numFmtId="176" fontId="2" fillId="5" borderId="59" xfId="0" applyNumberFormat="1" applyFont="1" applyFill="1" applyBorder="1" applyAlignment="1">
      <alignment wrapText="1"/>
    </xf>
    <xf numFmtId="0" fontId="2" fillId="5" borderId="59" xfId="0" applyFont="1" applyFill="1" applyBorder="1" applyAlignment="1">
      <alignment wrapText="1"/>
    </xf>
    <xf numFmtId="168" fontId="2" fillId="5" borderId="60" xfId="0" applyNumberFormat="1" applyFont="1" applyFill="1" applyBorder="1" applyAlignment="1">
      <alignment wrapText="1"/>
    </xf>
    <xf numFmtId="176" fontId="2" fillId="2" borderId="59" xfId="0" applyNumberFormat="1" applyFont="1" applyFill="1" applyBorder="1" applyAlignment="1">
      <alignment wrapText="1"/>
    </xf>
    <xf numFmtId="168" fontId="2" fillId="2" borderId="60" xfId="0" applyNumberFormat="1" applyFont="1" applyFill="1" applyBorder="1" applyAlignment="1">
      <alignment wrapText="1"/>
    </xf>
    <xf numFmtId="172" fontId="2" fillId="5" borderId="59" xfId="0" applyNumberFormat="1" applyFont="1" applyFill="1" applyBorder="1" applyAlignment="1">
      <alignment horizontal="left" wrapText="1" indent="2"/>
    </xf>
    <xf numFmtId="168" fontId="19" fillId="0" borderId="60" xfId="0" applyNumberFormat="1" applyFont="1" applyBorder="1" applyAlignment="1">
      <alignment wrapText="1"/>
    </xf>
    <xf numFmtId="0" fontId="19" fillId="6" borderId="58" xfId="0" applyFont="1" applyFill="1" applyBorder="1" applyAlignment="1">
      <alignment wrapText="1"/>
    </xf>
    <xf numFmtId="168" fontId="19" fillId="6" borderId="59" xfId="0" applyNumberFormat="1" applyFont="1" applyFill="1" applyBorder="1" applyAlignment="1">
      <alignment wrapText="1"/>
    </xf>
    <xf numFmtId="176" fontId="19" fillId="6" borderId="59" xfId="0" applyNumberFormat="1" applyFont="1" applyFill="1" applyBorder="1" applyAlignment="1">
      <alignment wrapText="1"/>
    </xf>
    <xf numFmtId="0" fontId="19" fillId="6" borderId="59" xfId="0" applyFont="1" applyFill="1" applyBorder="1" applyAlignment="1">
      <alignment wrapText="1"/>
    </xf>
    <xf numFmtId="168" fontId="19" fillId="6" borderId="60" xfId="0" applyNumberFormat="1" applyFont="1" applyFill="1" applyBorder="1" applyAlignment="1">
      <alignment wrapText="1"/>
    </xf>
    <xf numFmtId="176" fontId="19" fillId="2" borderId="59" xfId="0" applyNumberFormat="1" applyFont="1" applyFill="1" applyBorder="1" applyAlignment="1">
      <alignment wrapText="1"/>
    </xf>
    <xf numFmtId="0" fontId="2" fillId="8" borderId="58" xfId="0" applyFont="1" applyFill="1" applyBorder="1" applyAlignment="1">
      <alignment horizontal="left" wrapText="1" indent="2"/>
    </xf>
    <xf numFmtId="0" fontId="2" fillId="2" borderId="58" xfId="0" applyFont="1" applyFill="1" applyBorder="1" applyAlignment="1">
      <alignment horizontal="left" wrapText="1" indent="2"/>
    </xf>
    <xf numFmtId="0" fontId="2" fillId="5" borderId="59" xfId="0" applyFont="1" applyFill="1" applyBorder="1" applyAlignment="1">
      <alignment horizontal="left" wrapText="1" indent="1"/>
    </xf>
    <xf numFmtId="168" fontId="2" fillId="10" borderId="59" xfId="0" applyNumberFormat="1" applyFont="1" applyFill="1" applyBorder="1" applyAlignment="1">
      <alignment wrapText="1"/>
    </xf>
    <xf numFmtId="176" fontId="2" fillId="10" borderId="59" xfId="0" applyNumberFormat="1" applyFont="1" applyFill="1" applyBorder="1" applyAlignment="1">
      <alignment wrapText="1"/>
    </xf>
    <xf numFmtId="0" fontId="2" fillId="0" borderId="59" xfId="0" applyFont="1" applyBorder="1" applyAlignment="1">
      <alignment horizontal="left" wrapText="1" indent="1"/>
    </xf>
    <xf numFmtId="176" fontId="19" fillId="6" borderId="58" xfId="0" applyNumberFormat="1" applyFont="1" applyFill="1" applyBorder="1" applyAlignment="1">
      <alignment wrapText="1"/>
    </xf>
    <xf numFmtId="172" fontId="2" fillId="0" borderId="59" xfId="0" applyNumberFormat="1" applyFont="1" applyBorder="1" applyAlignment="1">
      <alignment wrapText="1"/>
    </xf>
    <xf numFmtId="0" fontId="2" fillId="5" borderId="58" xfId="0" applyFont="1" applyFill="1" applyBorder="1" applyAlignment="1">
      <alignment horizontal="left" wrapText="1" indent="2"/>
    </xf>
    <xf numFmtId="0" fontId="2" fillId="0" borderId="58" xfId="0" applyFont="1" applyBorder="1" applyAlignment="1">
      <alignment horizontal="left" wrapText="1" indent="3"/>
    </xf>
    <xf numFmtId="172" fontId="2" fillId="0" borderId="59" xfId="0" applyNumberFormat="1" applyFont="1" applyBorder="1" applyAlignment="1">
      <alignment horizontal="left" wrapText="1" indent="2"/>
    </xf>
    <xf numFmtId="0" fontId="2" fillId="0" borderId="11" xfId="0" applyFont="1" applyBorder="1" applyAlignment="1">
      <alignment wrapText="1"/>
    </xf>
    <xf numFmtId="0" fontId="21" fillId="6" borderId="12" xfId="0" applyFont="1" applyFill="1" applyBorder="1" applyAlignment="1">
      <alignment horizontal="center" vertical="center" wrapText="1"/>
    </xf>
    <xf numFmtId="0" fontId="21" fillId="0" borderId="11" xfId="0" applyFont="1" applyBorder="1" applyAlignment="1">
      <alignment horizontal="center" vertical="center" wrapText="1"/>
    </xf>
    <xf numFmtId="0" fontId="19" fillId="0" borderId="11" xfId="0" applyFont="1" applyBorder="1" applyAlignment="1">
      <alignment wrapText="1"/>
    </xf>
    <xf numFmtId="0" fontId="19" fillId="2" borderId="11" xfId="0" applyFont="1" applyFill="1" applyBorder="1" applyAlignment="1">
      <alignment wrapText="1"/>
    </xf>
    <xf numFmtId="0" fontId="19" fillId="2" borderId="0" xfId="0" applyFont="1" applyFill="1" applyAlignment="1">
      <alignment wrapText="1"/>
    </xf>
    <xf numFmtId="0" fontId="8" fillId="0" borderId="5" xfId="0" applyFont="1" applyBorder="1" applyAlignment="1">
      <alignment wrapText="1"/>
    </xf>
    <xf numFmtId="0" fontId="8" fillId="0" borderId="7" xfId="0" applyFont="1" applyBorder="1" applyAlignment="1">
      <alignment wrapText="1"/>
    </xf>
    <xf numFmtId="0" fontId="8" fillId="0" borderId="6" xfId="0" applyFont="1" applyBorder="1" applyAlignment="1">
      <alignment wrapText="1"/>
    </xf>
    <xf numFmtId="0" fontId="22" fillId="0" borderId="73" xfId="0" applyFont="1" applyBorder="1" applyAlignment="1">
      <alignment wrapText="1"/>
    </xf>
    <xf numFmtId="0" fontId="22" fillId="0" borderId="74" xfId="0" applyFont="1" applyBorder="1" applyAlignment="1">
      <alignment wrapText="1"/>
    </xf>
    <xf numFmtId="0" fontId="22" fillId="0" borderId="75" xfId="0" applyFont="1" applyBorder="1" applyAlignment="1">
      <alignment wrapText="1"/>
    </xf>
    <xf numFmtId="0" fontId="8" fillId="6" borderId="60" xfId="0" applyFont="1" applyFill="1" applyBorder="1" applyAlignment="1">
      <alignment wrapText="1"/>
    </xf>
    <xf numFmtId="181" fontId="8" fillId="6" borderId="58" xfId="0" applyNumberFormat="1" applyFont="1" applyFill="1" applyBorder="1" applyAlignment="1">
      <alignment wrapText="1"/>
    </xf>
    <xf numFmtId="181" fontId="8" fillId="6" borderId="59" xfId="0" applyNumberFormat="1" applyFont="1" applyFill="1" applyBorder="1" applyAlignment="1">
      <alignment wrapText="1"/>
    </xf>
    <xf numFmtId="182" fontId="8" fillId="6" borderId="59" xfId="0" applyNumberFormat="1" applyFont="1" applyFill="1" applyBorder="1" applyAlignment="1">
      <alignment wrapText="1"/>
    </xf>
    <xf numFmtId="168" fontId="8" fillId="6" borderId="59" xfId="0" applyNumberFormat="1" applyFont="1" applyFill="1" applyBorder="1" applyAlignment="1">
      <alignment wrapText="1"/>
    </xf>
    <xf numFmtId="0" fontId="8" fillId="5" borderId="60" xfId="0" applyFont="1" applyFill="1" applyBorder="1" applyAlignment="1">
      <alignment wrapText="1"/>
    </xf>
    <xf numFmtId="183" fontId="8" fillId="5" borderId="57" xfId="0" applyNumberFormat="1" applyFont="1" applyFill="1" applyBorder="1" applyAlignment="1">
      <alignment wrapText="1"/>
    </xf>
    <xf numFmtId="182" fontId="8" fillId="5" borderId="57" xfId="0" applyNumberFormat="1" applyFont="1" applyFill="1" applyBorder="1" applyAlignment="1">
      <alignment wrapText="1"/>
    </xf>
    <xf numFmtId="168" fontId="8" fillId="5" borderId="57" xfId="0" applyNumberFormat="1" applyFont="1" applyFill="1" applyBorder="1" applyAlignment="1">
      <alignment wrapText="1"/>
    </xf>
    <xf numFmtId="168" fontId="8" fillId="5" borderId="58" xfId="0" applyNumberFormat="1" applyFont="1" applyFill="1" applyBorder="1" applyAlignment="1">
      <alignment wrapText="1"/>
    </xf>
    <xf numFmtId="0" fontId="12" fillId="9" borderId="60" xfId="0" applyFont="1" applyFill="1" applyBorder="1" applyAlignment="1">
      <alignment wrapText="1"/>
    </xf>
    <xf numFmtId="183" fontId="12" fillId="9" borderId="57" xfId="0" applyNumberFormat="1" applyFont="1" applyFill="1" applyBorder="1" applyAlignment="1">
      <alignment wrapText="1"/>
    </xf>
    <xf numFmtId="182" fontId="12" fillId="9" borderId="57" xfId="0" applyNumberFormat="1" applyFont="1" applyFill="1" applyBorder="1" applyAlignment="1">
      <alignment wrapText="1"/>
    </xf>
    <xf numFmtId="168" fontId="12" fillId="9" borderId="57" xfId="0" applyNumberFormat="1" applyFont="1" applyFill="1" applyBorder="1" applyAlignment="1">
      <alignment wrapText="1"/>
    </xf>
    <xf numFmtId="168" fontId="12" fillId="9" borderId="58" xfId="0" applyNumberFormat="1" applyFont="1" applyFill="1" applyBorder="1" applyAlignment="1">
      <alignment wrapText="1"/>
    </xf>
    <xf numFmtId="0" fontId="12" fillId="0" borderId="60" xfId="0" applyFont="1" applyBorder="1" applyAlignment="1">
      <alignment wrapText="1"/>
    </xf>
    <xf numFmtId="183" fontId="12" fillId="0" borderId="57" xfId="0" applyNumberFormat="1" applyFont="1" applyBorder="1" applyAlignment="1">
      <alignment wrapText="1"/>
    </xf>
    <xf numFmtId="183" fontId="12" fillId="0" borderId="58" xfId="0" applyNumberFormat="1" applyFont="1" applyBorder="1" applyAlignment="1">
      <alignment wrapText="1"/>
    </xf>
    <xf numFmtId="183" fontId="12" fillId="0" borderId="59" xfId="0" applyNumberFormat="1" applyFont="1" applyBorder="1" applyAlignment="1">
      <alignment wrapText="1"/>
    </xf>
    <xf numFmtId="182" fontId="12" fillId="0" borderId="60" xfId="0" applyNumberFormat="1" applyFont="1" applyBorder="1" applyAlignment="1">
      <alignment wrapText="1"/>
    </xf>
    <xf numFmtId="168" fontId="12" fillId="0" borderId="59" xfId="0" applyNumberFormat="1" applyFont="1" applyBorder="1" applyAlignment="1">
      <alignment wrapText="1"/>
    </xf>
    <xf numFmtId="183" fontId="12" fillId="0" borderId="60" xfId="0" applyNumberFormat="1" applyFont="1" applyBorder="1" applyAlignment="1">
      <alignment wrapText="1"/>
    </xf>
    <xf numFmtId="168" fontId="12" fillId="0" borderId="60" xfId="0" applyNumberFormat="1" applyFont="1" applyBorder="1" applyAlignment="1">
      <alignment wrapText="1"/>
    </xf>
    <xf numFmtId="170" fontId="12" fillId="0" borderId="59" xfId="0" applyNumberFormat="1" applyFont="1" applyBorder="1" applyAlignment="1">
      <alignment wrapText="1"/>
    </xf>
    <xf numFmtId="183" fontId="12" fillId="7" borderId="59" xfId="0" applyNumberFormat="1" applyFont="1" applyFill="1" applyBorder="1" applyAlignment="1">
      <alignment wrapText="1"/>
    </xf>
    <xf numFmtId="168" fontId="12" fillId="7" borderId="59" xfId="0" applyNumberFormat="1" applyFont="1" applyFill="1" applyBorder="1" applyAlignment="1">
      <alignment wrapText="1"/>
    </xf>
    <xf numFmtId="176" fontId="8" fillId="5" borderId="57" xfId="0" applyNumberFormat="1" applyFont="1" applyFill="1" applyBorder="1" applyAlignment="1">
      <alignment wrapText="1"/>
    </xf>
    <xf numFmtId="176" fontId="12" fillId="9" borderId="57" xfId="0" applyNumberFormat="1" applyFont="1" applyFill="1" applyBorder="1" applyAlignment="1">
      <alignment wrapText="1"/>
    </xf>
    <xf numFmtId="183" fontId="12" fillId="0" borderId="63" xfId="0" applyNumberFormat="1" applyFont="1" applyBorder="1" applyAlignment="1">
      <alignment wrapText="1"/>
    </xf>
    <xf numFmtId="183" fontId="12" fillId="0" borderId="26" xfId="0" applyNumberFormat="1" applyFont="1" applyBorder="1" applyAlignment="1">
      <alignment wrapText="1"/>
    </xf>
    <xf numFmtId="183" fontId="12" fillId="0" borderId="1" xfId="0" applyNumberFormat="1" applyFont="1" applyBorder="1" applyAlignment="1">
      <alignment wrapText="1"/>
    </xf>
    <xf numFmtId="182" fontId="12" fillId="0" borderId="26" xfId="0" applyNumberFormat="1" applyFont="1" applyBorder="1" applyAlignment="1">
      <alignment wrapText="1"/>
    </xf>
    <xf numFmtId="168" fontId="12" fillId="0" borderId="1" xfId="0" applyNumberFormat="1" applyFont="1" applyBorder="1" applyAlignment="1">
      <alignment wrapText="1"/>
    </xf>
    <xf numFmtId="0" fontId="20" fillId="0" borderId="11" xfId="0" applyFont="1" applyBorder="1" applyAlignment="1">
      <alignment wrapText="1"/>
    </xf>
    <xf numFmtId="0" fontId="24" fillId="0" borderId="16"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65" xfId="0" applyFont="1" applyBorder="1" applyAlignment="1">
      <alignment horizontal="center" vertical="center" wrapText="1"/>
    </xf>
    <xf numFmtId="0" fontId="24" fillId="0" borderId="66" xfId="0" applyFont="1" applyBorder="1" applyAlignment="1">
      <alignment horizontal="center" vertical="center" wrapText="1"/>
    </xf>
    <xf numFmtId="0" fontId="24" fillId="0" borderId="11" xfId="0" applyFont="1" applyBorder="1" applyAlignment="1">
      <alignment horizontal="center" vertical="center" wrapText="1"/>
    </xf>
    <xf numFmtId="0" fontId="25" fillId="0" borderId="0" xfId="0" applyFont="1" applyAlignment="1">
      <alignment horizontal="center" vertical="center"/>
    </xf>
    <xf numFmtId="0" fontId="1" fillId="0" borderId="0" xfId="6"/>
    <xf numFmtId="184" fontId="1" fillId="12" borderId="77" xfId="7" applyNumberFormat="1" applyFont="1" applyFill="1" applyBorder="1"/>
    <xf numFmtId="9" fontId="1" fillId="12" borderId="77" xfId="8" applyFont="1" applyFill="1" applyBorder="1"/>
    <xf numFmtId="0" fontId="1" fillId="12" borderId="78" xfId="6" applyFill="1" applyBorder="1" applyAlignment="1">
      <alignment wrapText="1"/>
    </xf>
    <xf numFmtId="184" fontId="1" fillId="0" borderId="79" xfId="7" applyNumberFormat="1" applyFont="1" applyFill="1" applyBorder="1"/>
    <xf numFmtId="9" fontId="1" fillId="0" borderId="79" xfId="8" applyFont="1" applyFill="1" applyBorder="1"/>
    <xf numFmtId="184" fontId="1" fillId="0" borderId="77" xfId="7" applyNumberFormat="1" applyFont="1" applyFill="1" applyBorder="1"/>
    <xf numFmtId="0" fontId="1" fillId="0" borderId="78" xfId="6" applyBorder="1" applyAlignment="1">
      <alignment wrapText="1"/>
    </xf>
    <xf numFmtId="184" fontId="1" fillId="13" borderId="77" xfId="7" applyNumberFormat="1" applyFont="1" applyFill="1" applyBorder="1"/>
    <xf numFmtId="9" fontId="1" fillId="13" borderId="77" xfId="8" applyFont="1" applyFill="1" applyBorder="1"/>
    <xf numFmtId="0" fontId="1" fillId="13" borderId="78" xfId="6" applyFill="1" applyBorder="1" applyAlignment="1">
      <alignment wrapText="1"/>
    </xf>
    <xf numFmtId="184" fontId="23" fillId="14" borderId="77" xfId="7" applyNumberFormat="1" applyFont="1" applyFill="1" applyBorder="1"/>
    <xf numFmtId="9" fontId="23" fillId="14" borderId="77" xfId="8" applyFont="1" applyFill="1" applyBorder="1"/>
    <xf numFmtId="0" fontId="23" fillId="14" borderId="78" xfId="6" applyFont="1" applyFill="1" applyBorder="1" applyAlignment="1">
      <alignment wrapText="1"/>
    </xf>
    <xf numFmtId="9" fontId="1" fillId="0" borderId="77" xfId="8" applyFont="1" applyFill="1" applyBorder="1"/>
    <xf numFmtId="184" fontId="23" fillId="15" borderId="77" xfId="7" applyNumberFormat="1" applyFont="1" applyFill="1" applyBorder="1"/>
    <xf numFmtId="9" fontId="23" fillId="15" borderId="77" xfId="8" applyFont="1" applyFill="1" applyBorder="1"/>
    <xf numFmtId="0" fontId="23" fillId="15" borderId="78" xfId="6" applyFont="1" applyFill="1" applyBorder="1" applyAlignment="1">
      <alignment wrapText="1"/>
    </xf>
    <xf numFmtId="184" fontId="26" fillId="0" borderId="80" xfId="7" applyNumberFormat="1" applyFont="1" applyFill="1" applyBorder="1" applyAlignment="1">
      <alignment horizontal="center" vertical="center" wrapText="1"/>
    </xf>
    <xf numFmtId="184" fontId="26" fillId="0" borderId="81" xfId="7" applyNumberFormat="1" applyFont="1" applyFill="1" applyBorder="1" applyAlignment="1">
      <alignment horizontal="center" vertical="center" wrapText="1"/>
    </xf>
    <xf numFmtId="9" fontId="26" fillId="0" borderId="81" xfId="8" applyFont="1" applyFill="1" applyBorder="1" applyAlignment="1">
      <alignment horizontal="center" vertical="center" textRotation="90" wrapText="1"/>
    </xf>
    <xf numFmtId="184" fontId="26" fillId="0" borderId="81" xfId="7" applyNumberFormat="1" applyFont="1" applyFill="1" applyBorder="1" applyAlignment="1">
      <alignment horizontal="center" vertical="center" textRotation="90" wrapText="1"/>
    </xf>
    <xf numFmtId="0" fontId="1" fillId="0" borderId="82" xfId="6" applyBorder="1" applyAlignment="1">
      <alignment wrapText="1"/>
    </xf>
    <xf numFmtId="0" fontId="0" fillId="16" borderId="0" xfId="0" applyFill="1"/>
    <xf numFmtId="183" fontId="28" fillId="0" borderId="0" xfId="0" applyNumberFormat="1" applyFont="1" applyAlignment="1">
      <alignment wrapText="1"/>
    </xf>
    <xf numFmtId="0" fontId="28" fillId="0" borderId="0" xfId="0" applyFont="1" applyAlignment="1">
      <alignment wrapText="1"/>
    </xf>
    <xf numFmtId="170" fontId="28" fillId="0" borderId="0" xfId="0" applyNumberFormat="1" applyFont="1" applyAlignment="1">
      <alignment wrapText="1"/>
    </xf>
    <xf numFmtId="176" fontId="28" fillId="0" borderId="0" xfId="0" applyNumberFormat="1" applyFont="1" applyAlignment="1">
      <alignment wrapText="1"/>
    </xf>
    <xf numFmtId="0" fontId="28" fillId="0" borderId="32" xfId="0" applyFont="1" applyBorder="1" applyAlignment="1">
      <alignment wrapText="1"/>
    </xf>
    <xf numFmtId="0" fontId="28" fillId="0" borderId="20" xfId="0" applyFont="1" applyBorder="1" applyAlignment="1">
      <alignment wrapText="1"/>
    </xf>
    <xf numFmtId="171" fontId="28" fillId="0" borderId="59" xfId="0" applyNumberFormat="1" applyFont="1" applyBorder="1" applyAlignment="1">
      <alignment wrapText="1"/>
    </xf>
    <xf numFmtId="172" fontId="28" fillId="0" borderId="59" xfId="0" applyNumberFormat="1" applyFont="1" applyBorder="1" applyAlignment="1">
      <alignment wrapText="1"/>
    </xf>
    <xf numFmtId="0" fontId="28" fillId="0" borderId="15" xfId="0" applyFont="1" applyBorder="1" applyAlignment="1">
      <alignment wrapText="1"/>
    </xf>
    <xf numFmtId="172" fontId="28" fillId="0" borderId="61" xfId="0" applyNumberFormat="1" applyFont="1" applyBorder="1" applyAlignment="1">
      <alignment wrapText="1"/>
    </xf>
    <xf numFmtId="0" fontId="28" fillId="0" borderId="88" xfId="0" applyFont="1" applyBorder="1" applyAlignment="1">
      <alignment wrapText="1"/>
    </xf>
    <xf numFmtId="1" fontId="28" fillId="0" borderId="89" xfId="0" applyNumberFormat="1" applyFont="1" applyBorder="1" applyAlignment="1">
      <alignment wrapText="1"/>
    </xf>
    <xf numFmtId="1" fontId="28" fillId="0" borderId="90" xfId="0" applyNumberFormat="1" applyFont="1" applyBorder="1" applyAlignment="1">
      <alignment wrapText="1"/>
    </xf>
    <xf numFmtId="1" fontId="28" fillId="0" borderId="42" xfId="0" applyNumberFormat="1" applyFont="1" applyBorder="1" applyAlignment="1">
      <alignment wrapText="1"/>
    </xf>
    <xf numFmtId="0" fontId="28" fillId="0" borderId="59" xfId="0" applyFont="1" applyBorder="1" applyAlignment="1">
      <alignment wrapText="1"/>
    </xf>
    <xf numFmtId="185" fontId="28" fillId="0" borderId="59" xfId="9" applyNumberFormat="1" applyFont="1" applyBorder="1" applyAlignment="1">
      <alignment wrapText="1"/>
    </xf>
    <xf numFmtId="9" fontId="28" fillId="0" borderId="59" xfId="10" applyFont="1" applyBorder="1" applyAlignment="1">
      <alignment wrapText="1"/>
    </xf>
    <xf numFmtId="186" fontId="28" fillId="0" borderId="71" xfId="9" applyNumberFormat="1" applyFont="1" applyBorder="1" applyAlignment="1">
      <alignment wrapText="1"/>
    </xf>
    <xf numFmtId="186" fontId="28" fillId="0" borderId="15" xfId="9" applyNumberFormat="1" applyFont="1" applyBorder="1" applyAlignment="1">
      <alignment wrapText="1"/>
    </xf>
    <xf numFmtId="186" fontId="28" fillId="0" borderId="59" xfId="9" applyNumberFormat="1" applyFont="1" applyBorder="1" applyAlignment="1">
      <alignment wrapText="1"/>
    </xf>
    <xf numFmtId="186" fontId="28" fillId="0" borderId="61" xfId="9" applyNumberFormat="1" applyFont="1" applyBorder="1" applyAlignment="1">
      <alignment wrapText="1"/>
    </xf>
    <xf numFmtId="9" fontId="28" fillId="0" borderId="91" xfId="10" applyFont="1" applyBorder="1" applyAlignment="1">
      <alignment wrapText="1"/>
    </xf>
    <xf numFmtId="1" fontId="28" fillId="0" borderId="59" xfId="0" applyNumberFormat="1" applyFont="1" applyBorder="1" applyAlignment="1">
      <alignment wrapText="1"/>
    </xf>
    <xf numFmtId="185" fontId="28" fillId="0" borderId="92" xfId="9" applyNumberFormat="1" applyFont="1" applyFill="1" applyBorder="1" applyAlignment="1">
      <alignment wrapText="1"/>
    </xf>
    <xf numFmtId="185" fontId="28" fillId="0" borderId="42" xfId="9" applyNumberFormat="1" applyFont="1" applyFill="1" applyBorder="1" applyAlignment="1">
      <alignment wrapText="1"/>
    </xf>
    <xf numFmtId="185" fontId="28" fillId="0" borderId="61" xfId="9" applyNumberFormat="1" applyFont="1" applyBorder="1" applyAlignment="1">
      <alignment wrapText="1"/>
    </xf>
    <xf numFmtId="185" fontId="28" fillId="0" borderId="77" xfId="9" applyNumberFormat="1" applyFont="1" applyFill="1" applyBorder="1" applyAlignment="1">
      <alignment wrapText="1"/>
    </xf>
    <xf numFmtId="185" fontId="28" fillId="0" borderId="77" xfId="9" applyNumberFormat="1" applyFont="1" applyBorder="1" applyAlignment="1">
      <alignment wrapText="1"/>
    </xf>
    <xf numFmtId="185" fontId="28" fillId="0" borderId="20" xfId="9" applyNumberFormat="1" applyFont="1" applyBorder="1" applyAlignment="1">
      <alignment wrapText="1"/>
    </xf>
    <xf numFmtId="185" fontId="28" fillId="0" borderId="59" xfId="9" applyNumberFormat="1" applyFont="1" applyFill="1" applyBorder="1" applyAlignment="1">
      <alignment wrapText="1"/>
    </xf>
    <xf numFmtId="0" fontId="28" fillId="0" borderId="58" xfId="0" applyFont="1" applyBorder="1" applyAlignment="1">
      <alignment wrapText="1"/>
    </xf>
    <xf numFmtId="185" fontId="28" fillId="7" borderId="59" xfId="9" applyNumberFormat="1" applyFont="1" applyFill="1" applyBorder="1" applyAlignment="1">
      <alignment wrapText="1"/>
    </xf>
    <xf numFmtId="168" fontId="28" fillId="9" borderId="59" xfId="0" applyNumberFormat="1" applyFont="1" applyFill="1" applyBorder="1" applyAlignment="1">
      <alignment wrapText="1"/>
    </xf>
    <xf numFmtId="9" fontId="28" fillId="9" borderId="59" xfId="10" applyFont="1" applyFill="1" applyBorder="1" applyAlignment="1">
      <alignment wrapText="1"/>
    </xf>
    <xf numFmtId="185" fontId="28" fillId="9" borderId="77" xfId="9" applyNumberFormat="1" applyFont="1" applyFill="1" applyBorder="1" applyAlignment="1">
      <alignment wrapText="1"/>
    </xf>
    <xf numFmtId="9" fontId="28" fillId="9" borderId="91" xfId="10" applyFont="1" applyFill="1" applyBorder="1" applyAlignment="1">
      <alignment wrapText="1"/>
    </xf>
    <xf numFmtId="168" fontId="28" fillId="9" borderId="92" xfId="0" applyNumberFormat="1" applyFont="1" applyFill="1" applyBorder="1" applyAlignment="1">
      <alignment wrapText="1"/>
    </xf>
    <xf numFmtId="168" fontId="28" fillId="9" borderId="42" xfId="0" applyNumberFormat="1" applyFont="1" applyFill="1" applyBorder="1" applyAlignment="1">
      <alignment wrapText="1"/>
    </xf>
    <xf numFmtId="185" fontId="28" fillId="9" borderId="59" xfId="9" applyNumberFormat="1" applyFont="1" applyFill="1" applyBorder="1" applyAlignment="1">
      <alignment wrapText="1"/>
    </xf>
    <xf numFmtId="0" fontId="28" fillId="9" borderId="58" xfId="0" applyFont="1" applyFill="1" applyBorder="1" applyAlignment="1">
      <alignment wrapText="1"/>
    </xf>
    <xf numFmtId="0" fontId="28" fillId="0" borderId="11" xfId="0" applyFont="1" applyBorder="1" applyAlignment="1">
      <alignment wrapText="1"/>
    </xf>
    <xf numFmtId="0" fontId="28" fillId="0" borderId="57" xfId="0" applyFont="1" applyBorder="1" applyAlignment="1">
      <alignment wrapText="1"/>
    </xf>
    <xf numFmtId="9" fontId="28" fillId="0" borderId="62" xfId="10" applyFont="1" applyBorder="1" applyAlignment="1">
      <alignment wrapText="1"/>
    </xf>
    <xf numFmtId="0" fontId="28" fillId="0" borderId="62" xfId="0" applyFont="1" applyBorder="1" applyAlignment="1">
      <alignment wrapText="1"/>
    </xf>
    <xf numFmtId="186" fontId="29" fillId="4" borderId="77" xfId="9" applyNumberFormat="1" applyFont="1" applyFill="1" applyBorder="1" applyAlignment="1">
      <alignment wrapText="1"/>
    </xf>
    <xf numFmtId="186" fontId="28" fillId="0" borderId="77" xfId="9" applyNumberFormat="1" applyFont="1" applyBorder="1" applyAlignment="1">
      <alignment wrapText="1"/>
    </xf>
    <xf numFmtId="186" fontId="28" fillId="0" borderId="20" xfId="9" applyNumberFormat="1" applyFont="1" applyBorder="1" applyAlignment="1">
      <alignment wrapText="1"/>
    </xf>
    <xf numFmtId="185" fontId="28" fillId="16" borderId="59" xfId="9" applyNumberFormat="1" applyFont="1" applyFill="1" applyBorder="1" applyAlignment="1">
      <alignment wrapText="1"/>
    </xf>
    <xf numFmtId="185" fontId="28" fillId="16" borderId="42" xfId="9" applyNumberFormat="1" applyFont="1" applyFill="1" applyBorder="1" applyAlignment="1">
      <alignment wrapText="1"/>
    </xf>
    <xf numFmtId="186" fontId="28" fillId="0" borderId="77" xfId="9" applyNumberFormat="1" applyFont="1" applyFill="1" applyBorder="1" applyAlignment="1">
      <alignment wrapText="1"/>
    </xf>
    <xf numFmtId="168" fontId="28" fillId="5" borderId="59" xfId="0" applyNumberFormat="1" applyFont="1" applyFill="1" applyBorder="1" applyAlignment="1">
      <alignment wrapText="1"/>
    </xf>
    <xf numFmtId="0" fontId="28" fillId="5" borderId="59" xfId="0" applyFont="1" applyFill="1" applyBorder="1" applyAlignment="1">
      <alignment wrapText="1"/>
    </xf>
    <xf numFmtId="9" fontId="28" fillId="5" borderId="59" xfId="10" applyFont="1" applyFill="1" applyBorder="1" applyAlignment="1">
      <alignment wrapText="1"/>
    </xf>
    <xf numFmtId="168" fontId="28" fillId="5" borderId="61" xfId="0" applyNumberFormat="1" applyFont="1" applyFill="1" applyBorder="1" applyAlignment="1">
      <alignment wrapText="1"/>
    </xf>
    <xf numFmtId="185" fontId="28" fillId="5" borderId="77" xfId="9" applyNumberFormat="1" applyFont="1" applyFill="1" applyBorder="1" applyAlignment="1">
      <alignment wrapText="1"/>
    </xf>
    <xf numFmtId="185" fontId="28" fillId="5" borderId="20" xfId="9" applyNumberFormat="1" applyFont="1" applyFill="1" applyBorder="1" applyAlignment="1">
      <alignment wrapText="1"/>
    </xf>
    <xf numFmtId="185" fontId="28" fillId="5" borderId="59" xfId="9" applyNumberFormat="1" applyFont="1" applyFill="1" applyBorder="1" applyAlignment="1">
      <alignment wrapText="1"/>
    </xf>
    <xf numFmtId="186" fontId="28" fillId="5" borderId="61" xfId="9" applyNumberFormat="1" applyFont="1" applyFill="1" applyBorder="1" applyAlignment="1">
      <alignment wrapText="1"/>
    </xf>
    <xf numFmtId="9" fontId="28" fillId="5" borderId="91" xfId="10" applyFont="1" applyFill="1" applyBorder="1" applyAlignment="1">
      <alignment wrapText="1"/>
    </xf>
    <xf numFmtId="168" fontId="28" fillId="5" borderId="92" xfId="0" applyNumberFormat="1" applyFont="1" applyFill="1" applyBorder="1" applyAlignment="1">
      <alignment wrapText="1"/>
    </xf>
    <xf numFmtId="168" fontId="28" fillId="5" borderId="42" xfId="0" applyNumberFormat="1" applyFont="1" applyFill="1" applyBorder="1" applyAlignment="1">
      <alignment wrapText="1"/>
    </xf>
    <xf numFmtId="0" fontId="28" fillId="5" borderId="58" xfId="0" applyFont="1" applyFill="1" applyBorder="1" applyAlignment="1">
      <alignment wrapText="1"/>
    </xf>
    <xf numFmtId="185" fontId="29" fillId="4" borderId="77" xfId="9" applyNumberFormat="1" applyFont="1" applyFill="1" applyBorder="1" applyAlignment="1">
      <alignment wrapText="1"/>
    </xf>
    <xf numFmtId="171" fontId="28" fillId="0" borderId="61" xfId="0" applyNumberFormat="1" applyFont="1" applyBorder="1" applyAlignment="1">
      <alignment wrapText="1"/>
    </xf>
    <xf numFmtId="0" fontId="29" fillId="0" borderId="20" xfId="0" applyFont="1" applyBorder="1" applyAlignment="1">
      <alignment wrapText="1"/>
    </xf>
    <xf numFmtId="168" fontId="29" fillId="6" borderId="59" xfId="0" applyNumberFormat="1" applyFont="1" applyFill="1" applyBorder="1" applyAlignment="1">
      <alignment wrapText="1"/>
    </xf>
    <xf numFmtId="0" fontId="29" fillId="6" borderId="59" xfId="0" applyFont="1" applyFill="1" applyBorder="1" applyAlignment="1">
      <alignment wrapText="1"/>
    </xf>
    <xf numFmtId="9" fontId="29" fillId="6" borderId="59" xfId="10" applyFont="1" applyFill="1" applyBorder="1" applyAlignment="1">
      <alignment wrapText="1"/>
    </xf>
    <xf numFmtId="168" fontId="29" fillId="6" borderId="61" xfId="0" applyNumberFormat="1" applyFont="1" applyFill="1" applyBorder="1" applyAlignment="1">
      <alignment wrapText="1"/>
    </xf>
    <xf numFmtId="185" fontId="29" fillId="6" borderId="77" xfId="9" applyNumberFormat="1" applyFont="1" applyFill="1" applyBorder="1" applyAlignment="1">
      <alignment wrapText="1"/>
    </xf>
    <xf numFmtId="185" fontId="29" fillId="0" borderId="20" xfId="9" applyNumberFormat="1" applyFont="1" applyBorder="1" applyAlignment="1">
      <alignment wrapText="1"/>
    </xf>
    <xf numFmtId="185" fontId="29" fillId="6" borderId="59" xfId="9" applyNumberFormat="1" applyFont="1" applyFill="1" applyBorder="1" applyAlignment="1">
      <alignment wrapText="1"/>
    </xf>
    <xf numFmtId="186" fontId="29" fillId="6" borderId="61" xfId="9" applyNumberFormat="1" applyFont="1" applyFill="1" applyBorder="1" applyAlignment="1">
      <alignment wrapText="1"/>
    </xf>
    <xf numFmtId="9" fontId="29" fillId="6" borderId="91" xfId="10" applyFont="1" applyFill="1" applyBorder="1" applyAlignment="1">
      <alignment wrapText="1"/>
    </xf>
    <xf numFmtId="168" fontId="29" fillId="6" borderId="92" xfId="0" applyNumberFormat="1" applyFont="1" applyFill="1" applyBorder="1" applyAlignment="1">
      <alignment wrapText="1"/>
    </xf>
    <xf numFmtId="168" fontId="29" fillId="6" borderId="42" xfId="0" applyNumberFormat="1" applyFont="1" applyFill="1" applyBorder="1" applyAlignment="1">
      <alignment wrapText="1"/>
    </xf>
    <xf numFmtId="0" fontId="29" fillId="6" borderId="58" xfId="0" applyFont="1" applyFill="1" applyBorder="1" applyAlignment="1">
      <alignment wrapText="1"/>
    </xf>
    <xf numFmtId="185" fontId="28" fillId="5" borderId="61" xfId="9" applyNumberFormat="1" applyFont="1" applyFill="1" applyBorder="1" applyAlignment="1">
      <alignment wrapText="1"/>
    </xf>
    <xf numFmtId="168" fontId="28" fillId="0" borderId="57" xfId="0" applyNumberFormat="1" applyFont="1" applyBorder="1" applyAlignment="1">
      <alignment wrapText="1"/>
    </xf>
    <xf numFmtId="168" fontId="28" fillId="0" borderId="60" xfId="0" applyNumberFormat="1" applyFont="1" applyBorder="1" applyAlignment="1">
      <alignment wrapText="1"/>
    </xf>
    <xf numFmtId="9" fontId="28" fillId="0" borderId="42" xfId="10" applyFont="1" applyBorder="1" applyAlignment="1">
      <alignment wrapText="1"/>
    </xf>
    <xf numFmtId="185" fontId="28" fillId="4" borderId="77" xfId="9" applyNumberFormat="1" applyFont="1" applyFill="1" applyBorder="1" applyAlignment="1">
      <alignment wrapText="1"/>
    </xf>
    <xf numFmtId="185" fontId="28" fillId="0" borderId="11" xfId="9" applyNumberFormat="1" applyFont="1" applyBorder="1" applyAlignment="1">
      <alignment wrapText="1"/>
    </xf>
    <xf numFmtId="185" fontId="28" fillId="0" borderId="57" xfId="9" applyNumberFormat="1" applyFont="1" applyBorder="1" applyAlignment="1">
      <alignment wrapText="1"/>
    </xf>
    <xf numFmtId="186" fontId="28" fillId="0" borderId="62" xfId="9" applyNumberFormat="1" applyFont="1" applyBorder="1" applyAlignment="1">
      <alignment wrapText="1"/>
    </xf>
    <xf numFmtId="171" fontId="28" fillId="5" borderId="59" xfId="0" applyNumberFormat="1" applyFont="1" applyFill="1" applyBorder="1" applyAlignment="1">
      <alignment wrapText="1"/>
    </xf>
    <xf numFmtId="185" fontId="28" fillId="0" borderId="62" xfId="9" applyNumberFormat="1" applyFont="1" applyBorder="1" applyAlignment="1">
      <alignment wrapText="1"/>
    </xf>
    <xf numFmtId="177" fontId="29" fillId="6" borderId="59" xfId="0" applyNumberFormat="1" applyFont="1" applyFill="1" applyBorder="1" applyAlignment="1">
      <alignment wrapText="1"/>
    </xf>
    <xf numFmtId="9" fontId="29" fillId="6" borderId="61" xfId="10" applyFont="1" applyFill="1" applyBorder="1" applyAlignment="1">
      <alignment wrapText="1"/>
    </xf>
    <xf numFmtId="185" fontId="29" fillId="6" borderId="61" xfId="9" applyNumberFormat="1" applyFont="1" applyFill="1" applyBorder="1" applyAlignment="1">
      <alignment wrapText="1"/>
    </xf>
    <xf numFmtId="185" fontId="29" fillId="6" borderId="68" xfId="9" applyNumberFormat="1" applyFont="1" applyFill="1" applyBorder="1" applyAlignment="1">
      <alignment wrapText="1"/>
    </xf>
    <xf numFmtId="187" fontId="28" fillId="0" borderId="59" xfId="9" applyNumberFormat="1" applyFont="1" applyBorder="1" applyAlignment="1">
      <alignment wrapText="1"/>
    </xf>
    <xf numFmtId="172" fontId="28" fillId="5" borderId="59" xfId="0" applyNumberFormat="1" applyFont="1" applyFill="1" applyBorder="1" applyAlignment="1">
      <alignment wrapText="1"/>
    </xf>
    <xf numFmtId="168" fontId="29" fillId="4" borderId="39" xfId="0" applyNumberFormat="1" applyFont="1" applyFill="1" applyBorder="1" applyAlignment="1">
      <alignment wrapText="1"/>
    </xf>
    <xf numFmtId="0" fontId="29" fillId="4" borderId="39" xfId="0" applyFont="1" applyFill="1" applyBorder="1" applyAlignment="1">
      <alignment wrapText="1"/>
    </xf>
    <xf numFmtId="9" fontId="29" fillId="4" borderId="56" xfId="10" applyFont="1" applyFill="1" applyBorder="1" applyAlignment="1">
      <alignment wrapText="1"/>
    </xf>
    <xf numFmtId="185" fontId="29" fillId="4" borderId="56" xfId="9" applyNumberFormat="1" applyFont="1" applyFill="1" applyBorder="1" applyAlignment="1">
      <alignment wrapText="1"/>
    </xf>
    <xf numFmtId="185" fontId="29" fillId="4" borderId="93" xfId="9" applyNumberFormat="1" applyFont="1" applyFill="1" applyBorder="1" applyAlignment="1">
      <alignment wrapText="1"/>
    </xf>
    <xf numFmtId="185" fontId="29" fillId="4" borderId="6" xfId="9" applyNumberFormat="1" applyFont="1" applyFill="1" applyBorder="1" applyAlignment="1">
      <alignment wrapText="1"/>
    </xf>
    <xf numFmtId="186" fontId="29" fillId="4" borderId="56" xfId="9" applyNumberFormat="1" applyFont="1" applyFill="1" applyBorder="1" applyAlignment="1">
      <alignment wrapText="1"/>
    </xf>
    <xf numFmtId="9" fontId="29" fillId="4" borderId="94" xfId="10" applyFont="1" applyFill="1" applyBorder="1" applyAlignment="1">
      <alignment wrapText="1"/>
    </xf>
    <xf numFmtId="168" fontId="29" fillId="4" borderId="95" xfId="0" applyNumberFormat="1" applyFont="1" applyFill="1" applyBorder="1" applyAlignment="1">
      <alignment wrapText="1"/>
    </xf>
    <xf numFmtId="168" fontId="29" fillId="4" borderId="53" xfId="0" applyNumberFormat="1" applyFont="1" applyFill="1" applyBorder="1" applyAlignment="1">
      <alignment wrapText="1"/>
    </xf>
    <xf numFmtId="185" fontId="29" fillId="4" borderId="39" xfId="9" applyNumberFormat="1" applyFont="1" applyFill="1" applyBorder="1" applyAlignment="1">
      <alignment wrapText="1"/>
    </xf>
    <xf numFmtId="0" fontId="29" fillId="4" borderId="58" xfId="0" applyFont="1" applyFill="1" applyBorder="1" applyAlignment="1">
      <alignment wrapText="1"/>
    </xf>
    <xf numFmtId="0" fontId="30" fillId="0" borderId="11" xfId="0" applyFont="1" applyBorder="1" applyAlignment="1">
      <alignment wrapText="1"/>
    </xf>
    <xf numFmtId="0" fontId="30" fillId="0" borderId="23" xfId="0" applyFont="1" applyBorder="1" applyAlignment="1">
      <alignment wrapText="1"/>
    </xf>
    <xf numFmtId="0" fontId="30" fillId="0" borderId="12" xfId="0" applyFont="1" applyBorder="1" applyAlignment="1">
      <alignment wrapText="1"/>
    </xf>
    <xf numFmtId="0" fontId="30" fillId="0" borderId="22" xfId="0" applyFont="1" applyBorder="1" applyAlignment="1">
      <alignment wrapText="1"/>
    </xf>
    <xf numFmtId="0" fontId="30" fillId="0" borderId="20" xfId="0" applyFont="1" applyBorder="1" applyAlignment="1">
      <alignment wrapText="1"/>
    </xf>
    <xf numFmtId="0" fontId="30" fillId="0" borderId="21" xfId="0" applyFont="1" applyBorder="1" applyAlignment="1">
      <alignment wrapText="1"/>
    </xf>
    <xf numFmtId="0" fontId="30" fillId="0" borderId="51" xfId="0" applyFont="1" applyBorder="1" applyAlignment="1">
      <alignment wrapText="1"/>
    </xf>
    <xf numFmtId="0" fontId="30" fillId="0" borderId="96" xfId="0" applyFont="1" applyBorder="1" applyAlignment="1">
      <alignment wrapText="1"/>
    </xf>
    <xf numFmtId="0" fontId="30" fillId="16" borderId="21" xfId="0" applyFont="1" applyFill="1" applyBorder="1" applyAlignment="1">
      <alignment wrapText="1"/>
    </xf>
    <xf numFmtId="0" fontId="30" fillId="11" borderId="21" xfId="0" applyFont="1" applyFill="1" applyBorder="1" applyAlignment="1">
      <alignment wrapText="1"/>
    </xf>
    <xf numFmtId="0" fontId="30" fillId="0" borderId="97" xfId="0" applyFont="1" applyBorder="1" applyAlignment="1">
      <alignment wrapText="1"/>
    </xf>
    <xf numFmtId="0" fontId="30" fillId="16" borderId="50" xfId="0" applyFont="1" applyFill="1" applyBorder="1" applyAlignment="1">
      <alignment wrapText="1"/>
    </xf>
    <xf numFmtId="0" fontId="30" fillId="0" borderId="52" xfId="0" applyFont="1" applyBorder="1" applyAlignment="1">
      <alignment wrapText="1"/>
    </xf>
    <xf numFmtId="0" fontId="30" fillId="0" borderId="76" xfId="0" applyFont="1" applyBorder="1" applyAlignment="1">
      <alignment wrapText="1"/>
    </xf>
    <xf numFmtId="0" fontId="24" fillId="0" borderId="4" xfId="0" applyFont="1" applyBorder="1" applyAlignment="1">
      <alignment horizontal="left" vertical="center" wrapText="1"/>
    </xf>
    <xf numFmtId="0" fontId="25" fillId="0" borderId="3" xfId="0" applyFont="1" applyBorder="1" applyAlignment="1">
      <alignment horizontal="left" vertical="center" wrapText="1"/>
    </xf>
    <xf numFmtId="0" fontId="24" fillId="0" borderId="45" xfId="0" applyFont="1" applyBorder="1" applyAlignment="1">
      <alignment horizontal="left" vertical="center" wrapText="1"/>
    </xf>
    <xf numFmtId="0" fontId="24" fillId="0" borderId="14" xfId="0" applyFont="1" applyBorder="1" applyAlignment="1">
      <alignment horizontal="left" vertical="center" wrapText="1"/>
    </xf>
    <xf numFmtId="0" fontId="28" fillId="0" borderId="14" xfId="0" applyFont="1" applyBorder="1" applyAlignment="1">
      <alignment wrapText="1"/>
    </xf>
    <xf numFmtId="0" fontId="24" fillId="0" borderId="98" xfId="0" applyFont="1" applyBorder="1" applyAlignment="1">
      <alignment horizontal="left" vertical="center" wrapText="1"/>
    </xf>
    <xf numFmtId="0" fontId="24" fillId="0" borderId="99" xfId="0" applyFont="1" applyBorder="1" applyAlignment="1">
      <alignment horizontal="center" vertical="center" wrapText="1"/>
    </xf>
    <xf numFmtId="0" fontId="24" fillId="0" borderId="14" xfId="0" applyFont="1" applyBorder="1" applyAlignment="1">
      <alignment vertical="center" wrapText="1"/>
    </xf>
    <xf numFmtId="0" fontId="24" fillId="0" borderId="100" xfId="0" applyFont="1" applyBorder="1" applyAlignment="1">
      <alignment horizontal="left" vertical="center" wrapText="1"/>
    </xf>
    <xf numFmtId="0" fontId="24" fillId="0" borderId="45" xfId="0" applyFont="1" applyBorder="1" applyAlignment="1">
      <alignment vertical="center" wrapText="1"/>
    </xf>
    <xf numFmtId="0" fontId="24" fillId="0" borderId="8" xfId="0" applyFont="1" applyBorder="1" applyAlignment="1">
      <alignment vertical="center" wrapText="1"/>
    </xf>
    <xf numFmtId="0" fontId="28" fillId="0" borderId="4" xfId="0" applyFont="1" applyBorder="1" applyAlignment="1">
      <alignment wrapText="1"/>
    </xf>
    <xf numFmtId="0" fontId="24" fillId="0" borderId="64" xfId="0" applyFont="1" applyBorder="1" applyAlignment="1">
      <alignment horizontal="center" vertical="center" wrapText="1"/>
    </xf>
    <xf numFmtId="0" fontId="28" fillId="0" borderId="51" xfId="0" applyFont="1" applyBorder="1" applyAlignment="1">
      <alignment wrapText="1"/>
    </xf>
    <xf numFmtId="188" fontId="13" fillId="6" borderId="58" xfId="0" applyNumberFormat="1" applyFont="1" applyFill="1" applyBorder="1" applyAlignment="1">
      <alignment wrapText="1"/>
    </xf>
    <xf numFmtId="188" fontId="15" fillId="5" borderId="58" xfId="0" applyNumberFormat="1" applyFont="1" applyFill="1" applyBorder="1" applyAlignment="1">
      <alignment wrapText="1"/>
    </xf>
    <xf numFmtId="188" fontId="15" fillId="2" borderId="58" xfId="0" applyNumberFormat="1" applyFont="1" applyFill="1" applyBorder="1" applyAlignment="1">
      <alignment wrapText="1"/>
    </xf>
    <xf numFmtId="188" fontId="15" fillId="0" borderId="58" xfId="0" applyNumberFormat="1" applyFont="1" applyBorder="1" applyAlignment="1">
      <alignment wrapText="1"/>
    </xf>
    <xf numFmtId="188" fontId="15" fillId="2" borderId="59" xfId="0" applyNumberFormat="1" applyFont="1" applyFill="1" applyBorder="1" applyAlignment="1">
      <alignment wrapText="1"/>
    </xf>
    <xf numFmtId="188" fontId="13" fillId="6" borderId="57" xfId="0" applyNumberFormat="1" applyFont="1" applyFill="1" applyBorder="1" applyAlignment="1">
      <alignment wrapText="1"/>
    </xf>
    <xf numFmtId="188" fontId="15" fillId="7" borderId="58" xfId="0" applyNumberFormat="1" applyFont="1" applyFill="1" applyBorder="1" applyAlignment="1">
      <alignment wrapText="1"/>
    </xf>
    <xf numFmtId="9" fontId="13" fillId="4" borderId="39" xfId="10" applyFont="1" applyFill="1" applyBorder="1" applyAlignment="1">
      <alignment vertical="center" wrapText="1"/>
    </xf>
    <xf numFmtId="9" fontId="13" fillId="6" borderId="59" xfId="10" applyFont="1" applyFill="1" applyBorder="1" applyAlignment="1">
      <alignment vertical="center" wrapText="1"/>
    </xf>
    <xf numFmtId="9" fontId="13" fillId="6" borderId="61" xfId="10" applyFont="1" applyFill="1" applyBorder="1" applyAlignment="1">
      <alignment vertical="center" wrapText="1"/>
    </xf>
    <xf numFmtId="165" fontId="12" fillId="2" borderId="104" xfId="0" applyNumberFormat="1" applyFont="1" applyFill="1" applyBorder="1" applyAlignment="1">
      <alignment wrapText="1"/>
    </xf>
    <xf numFmtId="165" fontId="12" fillId="2" borderId="105" xfId="0" applyNumberFormat="1" applyFont="1" applyFill="1" applyBorder="1" applyAlignment="1">
      <alignment wrapText="1"/>
    </xf>
    <xf numFmtId="167" fontId="12" fillId="0" borderId="16" xfId="0" applyNumberFormat="1" applyFont="1" applyBorder="1" applyAlignment="1">
      <alignment wrapText="1"/>
    </xf>
    <xf numFmtId="167" fontId="11" fillId="3" borderId="13" xfId="0" applyNumberFormat="1" applyFont="1" applyFill="1" applyBorder="1" applyAlignment="1">
      <alignment wrapText="1"/>
    </xf>
    <xf numFmtId="168" fontId="15" fillId="17" borderId="59" xfId="0" applyNumberFormat="1" applyFont="1" applyFill="1" applyBorder="1" applyAlignment="1">
      <alignment vertical="center" wrapText="1"/>
    </xf>
    <xf numFmtId="168" fontId="15" fillId="17" borderId="57" xfId="0" applyNumberFormat="1" applyFont="1" applyFill="1" applyBorder="1" applyAlignment="1">
      <alignment vertical="center" wrapText="1"/>
    </xf>
    <xf numFmtId="168" fontId="15" fillId="17" borderId="58" xfId="0" applyNumberFormat="1" applyFont="1" applyFill="1" applyBorder="1" applyAlignment="1">
      <alignment vertical="center" wrapText="1"/>
    </xf>
    <xf numFmtId="0" fontId="15" fillId="17" borderId="59" xfId="0" applyFont="1" applyFill="1" applyBorder="1" applyAlignment="1">
      <alignment vertical="center" wrapText="1"/>
    </xf>
    <xf numFmtId="0" fontId="15" fillId="17" borderId="61" xfId="0" applyFont="1" applyFill="1" applyBorder="1" applyAlignment="1">
      <alignment vertical="center" wrapText="1"/>
    </xf>
    <xf numFmtId="179" fontId="15" fillId="17" borderId="59" xfId="0" applyNumberFormat="1" applyFont="1" applyFill="1" applyBorder="1" applyAlignment="1">
      <alignment vertical="center" wrapText="1"/>
    </xf>
    <xf numFmtId="0" fontId="15" fillId="17" borderId="48" xfId="0" applyFont="1" applyFill="1" applyBorder="1" applyAlignment="1">
      <alignment vertical="center" wrapText="1"/>
    </xf>
    <xf numFmtId="0" fontId="15" fillId="17" borderId="60" xfId="0" applyFont="1" applyFill="1" applyBorder="1" applyAlignment="1">
      <alignment vertical="center" wrapText="1"/>
    </xf>
    <xf numFmtId="168" fontId="13" fillId="17" borderId="57" xfId="0" applyNumberFormat="1" applyFont="1" applyFill="1" applyBorder="1" applyAlignment="1">
      <alignment wrapText="1"/>
    </xf>
    <xf numFmtId="0" fontId="15" fillId="17" borderId="59" xfId="0" applyFont="1" applyFill="1" applyBorder="1" applyAlignment="1">
      <alignment horizontal="right" wrapText="1"/>
    </xf>
    <xf numFmtId="168" fontId="15" fillId="17" borderId="60" xfId="0" applyNumberFormat="1" applyFont="1" applyFill="1" applyBorder="1" applyAlignment="1">
      <alignment vertical="center" wrapText="1"/>
    </xf>
    <xf numFmtId="0" fontId="15" fillId="17" borderId="58" xfId="0" applyFont="1" applyFill="1" applyBorder="1" applyAlignment="1">
      <alignment horizontal="right" wrapText="1"/>
    </xf>
    <xf numFmtId="0" fontId="15" fillId="17" borderId="60" xfId="0" applyFont="1" applyFill="1" applyBorder="1" applyAlignment="1">
      <alignment horizontal="right" wrapText="1"/>
    </xf>
    <xf numFmtId="0" fontId="13" fillId="17" borderId="61" xfId="0" applyFont="1" applyFill="1" applyBorder="1" applyAlignment="1">
      <alignment vertical="center" wrapText="1"/>
    </xf>
    <xf numFmtId="0" fontId="13" fillId="17" borderId="59" xfId="0" applyFont="1" applyFill="1" applyBorder="1" applyAlignment="1">
      <alignment vertical="center" wrapText="1"/>
    </xf>
    <xf numFmtId="0" fontId="13" fillId="17" borderId="60" xfId="0" applyFont="1" applyFill="1" applyBorder="1" applyAlignment="1">
      <alignment vertical="center" wrapText="1"/>
    </xf>
    <xf numFmtId="0" fontId="15" fillId="17" borderId="58" xfId="0" applyFont="1" applyFill="1" applyBorder="1" applyAlignment="1">
      <alignment horizontal="right" vertical="center" wrapText="1"/>
    </xf>
    <xf numFmtId="0" fontId="15" fillId="17" borderId="59" xfId="0" applyFont="1" applyFill="1" applyBorder="1" applyAlignment="1">
      <alignment horizontal="right" vertical="center" wrapText="1"/>
    </xf>
    <xf numFmtId="0" fontId="15" fillId="17" borderId="60" xfId="0" applyFont="1" applyFill="1" applyBorder="1" applyAlignment="1">
      <alignment horizontal="right" vertical="center" wrapText="1"/>
    </xf>
    <xf numFmtId="0" fontId="15" fillId="17" borderId="59" xfId="0" applyFont="1" applyFill="1" applyBorder="1" applyAlignment="1">
      <alignment wrapText="1"/>
    </xf>
    <xf numFmtId="0" fontId="15" fillId="17" borderId="60" xfId="0" applyFont="1" applyFill="1" applyBorder="1" applyAlignment="1">
      <alignment wrapText="1"/>
    </xf>
    <xf numFmtId="168" fontId="15" fillId="17" borderId="63" xfId="0" applyNumberFormat="1" applyFont="1" applyFill="1" applyBorder="1" applyAlignment="1">
      <alignment vertical="center" wrapText="1"/>
    </xf>
    <xf numFmtId="168" fontId="15" fillId="17" borderId="1" xfId="0" applyNumberFormat="1" applyFont="1" applyFill="1" applyBorder="1" applyAlignment="1">
      <alignment vertical="center" wrapText="1"/>
    </xf>
    <xf numFmtId="168" fontId="15" fillId="17" borderId="26" xfId="0" applyNumberFormat="1" applyFont="1" applyFill="1" applyBorder="1" applyAlignment="1">
      <alignment vertical="center" wrapText="1"/>
    </xf>
    <xf numFmtId="168" fontId="31" fillId="2" borderId="59" xfId="0" applyNumberFormat="1" applyFont="1" applyFill="1" applyBorder="1" applyAlignment="1">
      <alignment wrapText="1"/>
    </xf>
    <xf numFmtId="0" fontId="28" fillId="2" borderId="57" xfId="0" applyFont="1" applyFill="1" applyBorder="1" applyAlignment="1">
      <alignment horizontal="left" wrapText="1" indent="3"/>
    </xf>
    <xf numFmtId="0" fontId="8" fillId="0" borderId="2"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68"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54" xfId="0" applyFont="1" applyBorder="1" applyAlignment="1">
      <alignment horizontal="center" vertical="center" wrapText="1"/>
    </xf>
    <xf numFmtId="0" fontId="13" fillId="0" borderId="55"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3" fillId="13" borderId="4" xfId="0" applyFont="1" applyFill="1" applyBorder="1" applyAlignment="1">
      <alignment horizontal="center" vertical="center" wrapText="1"/>
    </xf>
    <xf numFmtId="0" fontId="13" fillId="13" borderId="10" xfId="0" applyFont="1" applyFill="1" applyBorder="1" applyAlignment="1">
      <alignment horizontal="center" vertical="center" wrapText="1"/>
    </xf>
    <xf numFmtId="0" fontId="13" fillId="13" borderId="8" xfId="0" applyFont="1" applyFill="1" applyBorder="1" applyAlignment="1">
      <alignment horizontal="center" vertical="center" wrapText="1"/>
    </xf>
    <xf numFmtId="0" fontId="13" fillId="13" borderId="13" xfId="0" applyFont="1" applyFill="1" applyBorder="1" applyAlignment="1">
      <alignment horizontal="center" vertical="center" wrapText="1"/>
    </xf>
    <xf numFmtId="0" fontId="2" fillId="0" borderId="0" xfId="0" applyFont="1" applyAlignment="1">
      <alignment horizontal="left" vertical="center" wrapText="1"/>
    </xf>
    <xf numFmtId="0" fontId="0" fillId="0" borderId="0" xfId="0"/>
    <xf numFmtId="0" fontId="13" fillId="0" borderId="36" xfId="0" applyFont="1" applyBorder="1" applyAlignment="1">
      <alignment horizontal="center" vertical="center" wrapText="1"/>
    </xf>
    <xf numFmtId="0" fontId="13" fillId="0" borderId="39" xfId="0" applyFont="1" applyBorder="1" applyAlignment="1">
      <alignment horizontal="center" vertical="center" wrapText="1"/>
    </xf>
    <xf numFmtId="0" fontId="13" fillId="5" borderId="39" xfId="0" applyFont="1" applyFill="1" applyBorder="1" applyAlignment="1">
      <alignment horizontal="center" vertical="center" wrapText="1"/>
    </xf>
    <xf numFmtId="0" fontId="13" fillId="5" borderId="44" xfId="0" applyFont="1" applyFill="1" applyBorder="1" applyAlignment="1">
      <alignment horizontal="center" vertical="center" wrapText="1"/>
    </xf>
    <xf numFmtId="0" fontId="13" fillId="0" borderId="34"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66"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38" xfId="0" applyFont="1" applyBorder="1" applyAlignment="1">
      <alignment horizontal="center" vertical="center" wrapText="1"/>
    </xf>
    <xf numFmtId="0" fontId="13" fillId="5" borderId="40" xfId="0" applyFont="1" applyFill="1" applyBorder="1" applyAlignment="1">
      <alignment horizontal="center" vertical="center" wrapText="1"/>
    </xf>
    <xf numFmtId="0" fontId="13" fillId="4" borderId="37" xfId="0" applyFont="1" applyFill="1" applyBorder="1" applyAlignment="1">
      <alignment horizontal="center" vertical="center" wrapText="1"/>
    </xf>
    <xf numFmtId="0" fontId="13" fillId="4" borderId="69"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10" xfId="0" applyFont="1" applyBorder="1" applyAlignment="1">
      <alignment horizontal="center" vertical="center" wrapText="1"/>
    </xf>
    <xf numFmtId="0" fontId="13" fillId="4" borderId="4" xfId="0" applyFont="1" applyFill="1" applyBorder="1" applyAlignment="1">
      <alignment horizontal="center" vertical="center" wrapText="1"/>
    </xf>
    <xf numFmtId="0" fontId="13" fillId="4" borderId="10" xfId="0" applyFont="1" applyFill="1" applyBorder="1" applyAlignment="1">
      <alignment horizontal="center" vertical="center" wrapText="1"/>
    </xf>
    <xf numFmtId="0" fontId="13" fillId="0" borderId="64" xfId="0" applyFont="1" applyBorder="1" applyAlignment="1">
      <alignment horizontal="center" vertical="center" wrapText="1"/>
    </xf>
    <xf numFmtId="0" fontId="13" fillId="5" borderId="37" xfId="0" applyFont="1" applyFill="1" applyBorder="1" applyAlignment="1">
      <alignment horizontal="center" vertical="center" wrapText="1"/>
    </xf>
    <xf numFmtId="0" fontId="13" fillId="5" borderId="49" xfId="0" applyFont="1" applyFill="1" applyBorder="1" applyAlignment="1">
      <alignment horizontal="center" vertical="center" wrapText="1"/>
    </xf>
    <xf numFmtId="0" fontId="13" fillId="0" borderId="67" xfId="0" applyFont="1" applyBorder="1" applyAlignment="1">
      <alignment horizontal="center" vertical="center" wrapText="1"/>
    </xf>
    <xf numFmtId="0" fontId="13" fillId="5" borderId="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4" borderId="70" xfId="0" applyFont="1" applyFill="1" applyBorder="1" applyAlignment="1">
      <alignment horizontal="center" vertical="center" wrapText="1"/>
    </xf>
    <xf numFmtId="0" fontId="13" fillId="0" borderId="40" xfId="0" applyFont="1" applyBorder="1" applyAlignment="1">
      <alignment horizontal="center" vertical="center" wrapText="1"/>
    </xf>
    <xf numFmtId="0" fontId="13" fillId="5" borderId="69"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8" fillId="0" borderId="0" xfId="0" applyFont="1" applyAlignment="1">
      <alignment horizontal="left" vertical="center" wrapText="1"/>
    </xf>
    <xf numFmtId="0" fontId="19" fillId="0" borderId="25" xfId="0" applyFont="1" applyBorder="1" applyAlignment="1">
      <alignment horizontal="center" wrapText="1"/>
    </xf>
    <xf numFmtId="0" fontId="8" fillId="0" borderId="33" xfId="0" applyFont="1" applyBorder="1" applyAlignment="1">
      <alignment horizontal="center" wrapText="1"/>
    </xf>
    <xf numFmtId="0" fontId="8" fillId="0" borderId="38" xfId="0" applyFont="1" applyBorder="1" applyAlignment="1">
      <alignment horizontal="center" wrapText="1"/>
    </xf>
    <xf numFmtId="0" fontId="8" fillId="0" borderId="64" xfId="0" applyFont="1" applyBorder="1" applyAlignment="1">
      <alignment horizontal="center" wrapText="1"/>
    </xf>
    <xf numFmtId="0" fontId="24" fillId="0" borderId="33" xfId="0" applyFont="1" applyBorder="1" applyAlignment="1">
      <alignment horizontal="center" vertical="center" wrapText="1"/>
    </xf>
    <xf numFmtId="0" fontId="24" fillId="0" borderId="64"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103" xfId="0" applyFont="1" applyBorder="1" applyAlignment="1">
      <alignment horizontal="center" vertical="center" wrapText="1"/>
    </xf>
    <xf numFmtId="0" fontId="24" fillId="0" borderId="102" xfId="0" applyFont="1" applyBorder="1" applyAlignment="1">
      <alignment horizontal="center" vertical="center" wrapText="1"/>
    </xf>
    <xf numFmtId="0" fontId="24" fillId="0" borderId="101" xfId="0" applyFont="1" applyBorder="1" applyAlignment="1">
      <alignment horizontal="center" vertical="center" wrapText="1"/>
    </xf>
    <xf numFmtId="0" fontId="24" fillId="0" borderId="50" xfId="0" applyFont="1" applyBorder="1" applyAlignment="1">
      <alignment horizontal="center" vertical="center" wrapText="1"/>
    </xf>
    <xf numFmtId="184" fontId="26" fillId="0" borderId="87" xfId="7" applyNumberFormat="1" applyFont="1" applyFill="1" applyBorder="1" applyAlignment="1">
      <alignment horizontal="center" vertical="center" wrapText="1"/>
    </xf>
    <xf numFmtId="184" fontId="26" fillId="0" borderId="86" xfId="7" applyNumberFormat="1" applyFont="1" applyFill="1" applyBorder="1" applyAlignment="1">
      <alignment horizontal="center" vertical="center" wrapText="1"/>
    </xf>
    <xf numFmtId="184" fontId="26" fillId="0" borderId="85" xfId="7" applyNumberFormat="1" applyFont="1" applyFill="1" applyBorder="1" applyAlignment="1">
      <alignment horizontal="center" vertical="center" wrapText="1"/>
    </xf>
    <xf numFmtId="184" fontId="26" fillId="0" borderId="84" xfId="7" applyNumberFormat="1" applyFont="1" applyFill="1" applyBorder="1" applyAlignment="1">
      <alignment horizontal="center" vertical="center" wrapText="1"/>
    </xf>
    <xf numFmtId="184" fontId="26" fillId="0" borderId="83" xfId="7" applyNumberFormat="1" applyFont="1" applyFill="1" applyBorder="1" applyAlignment="1">
      <alignment horizontal="center" vertical="center" wrapText="1"/>
    </xf>
  </cellXfs>
  <cellStyles count="11">
    <cellStyle name="Comma" xfId="9" builtinId="3"/>
    <cellStyle name="Comma 2" xfId="7" xr:uid="{F583447B-AA32-4521-A209-C7602E7A1784}"/>
    <cellStyle name="Heading 1" xfId="3" xr:uid="{00000000-0005-0000-0000-000003000000}"/>
    <cellStyle name="Heading 2" xfId="4" xr:uid="{00000000-0005-0000-0000-000004000000}"/>
    <cellStyle name="Heading 3" xfId="5" xr:uid="{00000000-0005-0000-0000-000005000000}"/>
    <cellStyle name="Normal" xfId="0" builtinId="0"/>
    <cellStyle name="Normal 2" xfId="2" xr:uid="{00000000-0005-0000-0000-000002000000}"/>
    <cellStyle name="Normal 3" xfId="6" xr:uid="{ECE0878C-3438-41F1-9DA0-F1F09AB6E0A8}"/>
    <cellStyle name="Percent" xfId="10" builtinId="5"/>
    <cellStyle name="Percent 2" xfId="8" xr:uid="{226DC54A-BC89-4084-88FC-A9FB11E94F62}"/>
    <cellStyle name="Table (Normal)" xfId="1" xr:uid="{00000000-0005-0000-0000-000001000000}"/>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8841-B139-4F55-AA08-C089F7AC8933}">
  <dimension ref="A1:AJ57"/>
  <sheetViews>
    <sheetView tabSelected="1" zoomScale="60" zoomScaleNormal="60" workbookViewId="0">
      <pane xSplit="2" ySplit="3" topLeftCell="C4" activePane="bottomRight" state="frozen"/>
      <selection pane="topRight"/>
      <selection pane="bottomLeft"/>
      <selection pane="bottomRight"/>
    </sheetView>
  </sheetViews>
  <sheetFormatPr defaultColWidth="13.7265625" defaultRowHeight="12.5" outlineLevelCol="1" x14ac:dyDescent="0.25"/>
  <cols>
    <col min="1" max="1" width="27.54296875" customWidth="1"/>
    <col min="2" max="2" width="23.26953125" customWidth="1"/>
    <col min="3" max="3" width="25" customWidth="1"/>
    <col min="4" max="4" width="27.7265625" customWidth="1"/>
    <col min="5" max="5" width="18.81640625" customWidth="1"/>
    <col min="6" max="6" width="19.7265625" customWidth="1"/>
    <col min="7" max="7" width="15.81640625" customWidth="1"/>
    <col min="8" max="8" width="16.7265625" customWidth="1"/>
    <col min="9" max="9" width="14.81640625" hidden="1" customWidth="1"/>
    <col min="10" max="10" width="20.81640625" customWidth="1"/>
    <col min="11" max="11" width="27.453125" customWidth="1"/>
    <col min="12" max="12" width="15.1796875" hidden="1" customWidth="1" outlineLevel="1"/>
    <col min="13" max="13" width="16.453125" hidden="1" customWidth="1" outlineLevel="1"/>
    <col min="14" max="14" width="17.26953125" hidden="1" customWidth="1" outlineLevel="1"/>
    <col min="15" max="15" width="17.54296875" hidden="1" customWidth="1" outlineLevel="1"/>
    <col min="16" max="16" width="16.7265625" hidden="1" customWidth="1" outlineLevel="1"/>
    <col min="17" max="17" width="17.453125" hidden="1" customWidth="1" outlineLevel="1"/>
    <col min="18" max="19" width="18.1796875" hidden="1" customWidth="1" outlineLevel="1"/>
    <col min="20" max="20" width="16" hidden="1" customWidth="1" outlineLevel="1"/>
    <col min="21" max="21" width="18" hidden="1" customWidth="1" outlineLevel="1"/>
    <col min="22" max="22" width="18.54296875" hidden="1" customWidth="1" outlineLevel="1"/>
    <col min="23" max="23" width="20.453125" hidden="1" customWidth="1" outlineLevel="1"/>
    <col min="24" max="24" width="18.81640625" customWidth="1" collapsed="1"/>
    <col min="25" max="25" width="19.453125" customWidth="1"/>
    <col min="26" max="26" width="18.54296875" customWidth="1"/>
    <col min="27" max="27" width="18.81640625" customWidth="1"/>
    <col min="28" max="28" width="18.7265625" customWidth="1"/>
    <col min="29" max="29" width="18.81640625" customWidth="1"/>
    <col min="30" max="30" width="28.1796875" customWidth="1"/>
    <col min="31" max="31" width="26.1796875" customWidth="1"/>
    <col min="32" max="32" width="24.26953125" customWidth="1"/>
    <col min="33" max="33" width="28.7265625" customWidth="1"/>
    <col min="34" max="34" width="20" customWidth="1"/>
    <col min="35" max="35" width="18.81640625" customWidth="1"/>
  </cols>
  <sheetData>
    <row r="1" spans="1:36" ht="51.65" customHeight="1" thickBot="1" x14ac:dyDescent="0.3">
      <c r="A1" s="2"/>
      <c r="B1" s="78"/>
      <c r="C1" s="79"/>
      <c r="D1" s="631" t="s">
        <v>0</v>
      </c>
      <c r="E1" s="632"/>
      <c r="F1" s="632"/>
      <c r="G1" s="632"/>
      <c r="H1" s="632"/>
      <c r="I1" s="632"/>
      <c r="J1" s="633"/>
      <c r="K1" s="631" t="s">
        <v>1</v>
      </c>
      <c r="L1" s="632"/>
      <c r="M1" s="632"/>
      <c r="N1" s="632"/>
      <c r="O1" s="632"/>
      <c r="P1" s="632"/>
      <c r="Q1" s="632"/>
      <c r="R1" s="632"/>
      <c r="S1" s="632"/>
      <c r="T1" s="632"/>
      <c r="U1" s="632"/>
      <c r="V1" s="632"/>
      <c r="W1" s="633"/>
      <c r="X1" s="631" t="s">
        <v>2</v>
      </c>
      <c r="Y1" s="632"/>
      <c r="Z1" s="632"/>
      <c r="AA1" s="632"/>
      <c r="AB1" s="633"/>
      <c r="AC1" s="631" t="s">
        <v>3</v>
      </c>
      <c r="AD1" s="632"/>
      <c r="AE1" s="632"/>
      <c r="AF1" s="633"/>
      <c r="AG1" s="631" t="s">
        <v>4</v>
      </c>
      <c r="AH1" s="632"/>
      <c r="AI1" s="634"/>
      <c r="AJ1" s="80"/>
    </row>
    <row r="2" spans="1:36" ht="43.4" customHeight="1" thickBot="1" x14ac:dyDescent="0.3">
      <c r="A2" s="81"/>
      <c r="B2" s="3" t="s">
        <v>5</v>
      </c>
      <c r="C2" s="4" t="s">
        <v>6</v>
      </c>
      <c r="D2" s="5" t="s">
        <v>7</v>
      </c>
      <c r="E2" s="6" t="s">
        <v>8</v>
      </c>
      <c r="F2" s="6" t="s">
        <v>9</v>
      </c>
      <c r="G2" s="6" t="s">
        <v>10</v>
      </c>
      <c r="H2" s="6" t="s">
        <v>11</v>
      </c>
      <c r="I2" s="6" t="s">
        <v>12</v>
      </c>
      <c r="J2" s="7" t="s">
        <v>13</v>
      </c>
      <c r="K2" s="5" t="s">
        <v>14</v>
      </c>
      <c r="L2" s="6" t="s">
        <v>15</v>
      </c>
      <c r="M2" s="6" t="s">
        <v>16</v>
      </c>
      <c r="N2" s="6" t="s">
        <v>17</v>
      </c>
      <c r="O2" s="6" t="s">
        <v>18</v>
      </c>
      <c r="P2" s="6" t="s">
        <v>19</v>
      </c>
      <c r="Q2" s="6" t="s">
        <v>20</v>
      </c>
      <c r="R2" s="6" t="s">
        <v>21</v>
      </c>
      <c r="S2" s="6" t="s">
        <v>22</v>
      </c>
      <c r="T2" s="6" t="s">
        <v>23</v>
      </c>
      <c r="U2" s="6" t="s">
        <v>24</v>
      </c>
      <c r="V2" s="6" t="s">
        <v>25</v>
      </c>
      <c r="W2" s="7" t="s">
        <v>26</v>
      </c>
      <c r="X2" s="5" t="s">
        <v>2</v>
      </c>
      <c r="Y2" s="6" t="s">
        <v>27</v>
      </c>
      <c r="Z2" s="6" t="s">
        <v>28</v>
      </c>
      <c r="AA2" s="6" t="s">
        <v>29</v>
      </c>
      <c r="AB2" s="7" t="s">
        <v>30</v>
      </c>
      <c r="AC2" s="5" t="s">
        <v>31</v>
      </c>
      <c r="AD2" s="6" t="s">
        <v>32</v>
      </c>
      <c r="AE2" s="6" t="s">
        <v>33</v>
      </c>
      <c r="AF2" s="7" t="s">
        <v>34</v>
      </c>
      <c r="AG2" s="5" t="s">
        <v>35</v>
      </c>
      <c r="AH2" s="7" t="s">
        <v>36</v>
      </c>
      <c r="AI2" s="8" t="s">
        <v>37</v>
      </c>
      <c r="AJ2" s="80"/>
    </row>
    <row r="3" spans="1:36" ht="32.5" hidden="1" customHeight="1" x14ac:dyDescent="0.3">
      <c r="A3" s="82"/>
      <c r="B3" s="9" t="s">
        <v>38</v>
      </c>
      <c r="C3" s="10" t="s">
        <v>39</v>
      </c>
      <c r="D3" s="11" t="s">
        <v>40</v>
      </c>
      <c r="E3" s="12" t="s">
        <v>41</v>
      </c>
      <c r="F3" s="12" t="s">
        <v>42</v>
      </c>
      <c r="G3" s="12" t="s">
        <v>43</v>
      </c>
      <c r="H3" s="12" t="s">
        <v>44</v>
      </c>
      <c r="I3" s="12" t="s">
        <v>45</v>
      </c>
      <c r="J3" s="13" t="s">
        <v>46</v>
      </c>
      <c r="K3" s="11" t="s">
        <v>47</v>
      </c>
      <c r="L3" s="12" t="s">
        <v>48</v>
      </c>
      <c r="M3" s="12" t="s">
        <v>49</v>
      </c>
      <c r="N3" s="12" t="s">
        <v>50</v>
      </c>
      <c r="O3" s="12" t="s">
        <v>51</v>
      </c>
      <c r="P3" s="12" t="s">
        <v>52</v>
      </c>
      <c r="Q3" s="12" t="s">
        <v>53</v>
      </c>
      <c r="R3" s="12" t="s">
        <v>54</v>
      </c>
      <c r="S3" s="12" t="s">
        <v>55</v>
      </c>
      <c r="T3" s="12" t="s">
        <v>56</v>
      </c>
      <c r="U3" s="12" t="s">
        <v>57</v>
      </c>
      <c r="V3" s="12" t="s">
        <v>58</v>
      </c>
      <c r="W3" s="13" t="s">
        <v>59</v>
      </c>
      <c r="X3" s="11" t="s">
        <v>60</v>
      </c>
      <c r="Y3" s="12" t="s">
        <v>61</v>
      </c>
      <c r="Z3" s="12" t="s">
        <v>62</v>
      </c>
      <c r="AA3" s="12" t="s">
        <v>63</v>
      </c>
      <c r="AB3" s="13" t="s">
        <v>64</v>
      </c>
      <c r="AC3" s="11" t="s">
        <v>65</v>
      </c>
      <c r="AD3" s="12" t="s">
        <v>66</v>
      </c>
      <c r="AE3" s="12" t="s">
        <v>67</v>
      </c>
      <c r="AF3" s="13" t="s">
        <v>68</v>
      </c>
      <c r="AG3" s="11" t="s">
        <v>69</v>
      </c>
      <c r="AH3" s="13" t="s">
        <v>70</v>
      </c>
      <c r="AI3" s="14" t="s">
        <v>71</v>
      </c>
      <c r="AJ3" s="80"/>
    </row>
    <row r="4" spans="1:36" ht="14.15" customHeight="1" x14ac:dyDescent="0.3">
      <c r="A4" s="15" t="s">
        <v>72</v>
      </c>
      <c r="B4" s="16">
        <v>13548595751</v>
      </c>
      <c r="C4" s="17">
        <v>1952109601</v>
      </c>
      <c r="D4" s="18">
        <v>2819819802</v>
      </c>
      <c r="E4" s="19">
        <v>740428122</v>
      </c>
      <c r="F4" s="19">
        <v>392325755</v>
      </c>
      <c r="G4" s="19">
        <v>726188137</v>
      </c>
      <c r="H4" s="19">
        <v>742927101</v>
      </c>
      <c r="I4" s="19">
        <v>0</v>
      </c>
      <c r="J4" s="20">
        <v>217950688</v>
      </c>
      <c r="K4" s="18">
        <v>63055020</v>
      </c>
      <c r="L4" s="19">
        <v>42938296</v>
      </c>
      <c r="M4" s="19">
        <v>5535615</v>
      </c>
      <c r="N4" s="19">
        <v>9631425</v>
      </c>
      <c r="O4" s="19">
        <v>1819248</v>
      </c>
      <c r="P4" s="19">
        <v>1011182</v>
      </c>
      <c r="Q4" s="19">
        <v>10403759</v>
      </c>
      <c r="R4" s="19">
        <v>5585836</v>
      </c>
      <c r="S4" s="19">
        <v>1688026</v>
      </c>
      <c r="T4" s="19">
        <v>6330512</v>
      </c>
      <c r="U4" s="19">
        <v>1469400</v>
      </c>
      <c r="V4" s="19">
        <v>19230389</v>
      </c>
      <c r="W4" s="20">
        <v>349628</v>
      </c>
      <c r="X4" s="18">
        <v>8438699442</v>
      </c>
      <c r="Y4" s="19">
        <v>1774721387</v>
      </c>
      <c r="Z4" s="19">
        <v>612920303</v>
      </c>
      <c r="AA4" s="19">
        <v>4501609994</v>
      </c>
      <c r="AB4" s="20">
        <v>1549447758</v>
      </c>
      <c r="AC4" s="18">
        <v>1897925868</v>
      </c>
      <c r="AD4" s="19">
        <v>1681850000</v>
      </c>
      <c r="AE4" s="19">
        <v>205213969</v>
      </c>
      <c r="AF4" s="20">
        <v>10861898</v>
      </c>
      <c r="AG4" s="18">
        <v>15171609732</v>
      </c>
      <c r="AH4" s="20">
        <v>11940311974</v>
      </c>
      <c r="AI4" s="604">
        <v>3231297758</v>
      </c>
      <c r="AJ4" s="80"/>
    </row>
    <row r="5" spans="1:36" ht="14.15" customHeight="1" x14ac:dyDescent="0.3">
      <c r="A5" s="21" t="s">
        <v>73</v>
      </c>
      <c r="B5" s="22">
        <v>5281492451</v>
      </c>
      <c r="C5" s="23">
        <v>329822624</v>
      </c>
      <c r="D5" s="24">
        <v>1302945759</v>
      </c>
      <c r="E5" s="25">
        <v>182852692</v>
      </c>
      <c r="F5" s="25">
        <v>350618345</v>
      </c>
      <c r="G5" s="25">
        <v>164187810</v>
      </c>
      <c r="H5" s="25">
        <v>387336224</v>
      </c>
      <c r="I5" s="25">
        <v>0</v>
      </c>
      <c r="J5" s="26">
        <v>217950688</v>
      </c>
      <c r="K5" s="24">
        <v>29277048</v>
      </c>
      <c r="L5" s="25">
        <v>18687678</v>
      </c>
      <c r="M5" s="25">
        <v>1219283</v>
      </c>
      <c r="N5" s="25">
        <v>1652175</v>
      </c>
      <c r="O5" s="25">
        <v>656899</v>
      </c>
      <c r="P5" s="25">
        <v>546610</v>
      </c>
      <c r="Q5" s="25">
        <v>6914356</v>
      </c>
      <c r="R5" s="25">
        <v>5228193</v>
      </c>
      <c r="S5" s="25">
        <v>953017</v>
      </c>
      <c r="T5" s="25">
        <v>754617</v>
      </c>
      <c r="U5" s="25">
        <v>762527</v>
      </c>
      <c r="V5" s="25">
        <v>10500184</v>
      </c>
      <c r="W5" s="26">
        <v>89185</v>
      </c>
      <c r="X5" s="24">
        <v>3113387923</v>
      </c>
      <c r="Y5" s="25">
        <v>220644341</v>
      </c>
      <c r="Z5" s="25">
        <v>213061833</v>
      </c>
      <c r="AA5" s="25">
        <v>1735065013</v>
      </c>
      <c r="AB5" s="26">
        <v>944616736</v>
      </c>
      <c r="AC5" s="24">
        <v>222432621</v>
      </c>
      <c r="AD5" s="25">
        <v>179850000</v>
      </c>
      <c r="AE5" s="25">
        <v>31720723</v>
      </c>
      <c r="AF5" s="26">
        <v>10861898</v>
      </c>
      <c r="AG5" s="23">
        <v>4997865975</v>
      </c>
      <c r="AH5" s="24">
        <v>3873399239</v>
      </c>
      <c r="AI5" s="27"/>
      <c r="AJ5" s="80"/>
    </row>
    <row r="6" spans="1:36" ht="14.15" customHeight="1" x14ac:dyDescent="0.3">
      <c r="A6" s="28" t="s">
        <v>74</v>
      </c>
      <c r="B6" s="29">
        <v>1244762347</v>
      </c>
      <c r="C6" s="30">
        <v>59365929</v>
      </c>
      <c r="D6" s="31">
        <v>428872741</v>
      </c>
      <c r="E6" s="32">
        <v>51392703</v>
      </c>
      <c r="F6" s="32">
        <v>86820355</v>
      </c>
      <c r="G6" s="32">
        <v>46319680</v>
      </c>
      <c r="H6" s="32">
        <v>190556061</v>
      </c>
      <c r="I6" s="32">
        <v>0</v>
      </c>
      <c r="J6" s="33">
        <v>53783943</v>
      </c>
      <c r="K6" s="31">
        <v>2105281</v>
      </c>
      <c r="L6" s="32">
        <v>2074474</v>
      </c>
      <c r="M6" s="32">
        <v>112157</v>
      </c>
      <c r="N6" s="32">
        <v>320679</v>
      </c>
      <c r="O6" s="32">
        <v>125299</v>
      </c>
      <c r="P6" s="32">
        <v>2159</v>
      </c>
      <c r="Q6" s="32">
        <v>799257</v>
      </c>
      <c r="R6" s="32">
        <v>239270</v>
      </c>
      <c r="S6" s="32">
        <v>207490</v>
      </c>
      <c r="T6" s="32">
        <v>34569</v>
      </c>
      <c r="U6" s="32">
        <v>233596</v>
      </c>
      <c r="V6" s="32">
        <v>30807</v>
      </c>
      <c r="W6" s="33">
        <v>0</v>
      </c>
      <c r="X6" s="31">
        <v>751615115</v>
      </c>
      <c r="Y6" s="32">
        <v>4437249</v>
      </c>
      <c r="Z6" s="32">
        <v>10677111</v>
      </c>
      <c r="AA6" s="32">
        <v>536596268</v>
      </c>
      <c r="AB6" s="33">
        <v>199904487</v>
      </c>
      <c r="AC6" s="31">
        <v>26149969</v>
      </c>
      <c r="AD6" s="32">
        <v>0</v>
      </c>
      <c r="AE6" s="32">
        <v>24963491</v>
      </c>
      <c r="AF6" s="33">
        <v>1186478</v>
      </c>
      <c r="AG6" s="31">
        <v>1268109035</v>
      </c>
      <c r="AH6" s="33">
        <v>1068204548</v>
      </c>
      <c r="AI6" s="34"/>
      <c r="AJ6" s="80"/>
    </row>
    <row r="7" spans="1:36" ht="15.75" customHeight="1" x14ac:dyDescent="0.3">
      <c r="A7" s="35" t="s">
        <v>75</v>
      </c>
      <c r="B7" s="36">
        <v>1244762347</v>
      </c>
      <c r="C7" s="37">
        <v>59365929</v>
      </c>
      <c r="D7" s="38">
        <v>428872741</v>
      </c>
      <c r="E7" s="39">
        <v>51392703</v>
      </c>
      <c r="F7" s="39">
        <v>86820355</v>
      </c>
      <c r="G7" s="39">
        <v>46319680</v>
      </c>
      <c r="H7" s="39">
        <v>190556061</v>
      </c>
      <c r="I7" s="40"/>
      <c r="J7" s="41">
        <v>53783943</v>
      </c>
      <c r="K7" s="38">
        <v>2105281</v>
      </c>
      <c r="L7" s="39">
        <v>2074474</v>
      </c>
      <c r="M7" s="39">
        <v>112157</v>
      </c>
      <c r="N7" s="39">
        <v>320679</v>
      </c>
      <c r="O7" s="39">
        <v>125299</v>
      </c>
      <c r="P7" s="39">
        <v>2159</v>
      </c>
      <c r="Q7" s="39">
        <v>799257</v>
      </c>
      <c r="R7" s="39">
        <v>239270</v>
      </c>
      <c r="S7" s="39">
        <v>207490</v>
      </c>
      <c r="T7" s="39">
        <v>34569</v>
      </c>
      <c r="U7" s="39">
        <v>233596</v>
      </c>
      <c r="V7" s="39">
        <v>30807</v>
      </c>
      <c r="W7" s="41">
        <v>0</v>
      </c>
      <c r="X7" s="38">
        <v>751615115</v>
      </c>
      <c r="Y7" s="39">
        <v>4437249</v>
      </c>
      <c r="Z7" s="39">
        <v>10677111</v>
      </c>
      <c r="AA7" s="39">
        <v>536596268</v>
      </c>
      <c r="AB7" s="41">
        <v>199904487</v>
      </c>
      <c r="AC7" s="38">
        <v>26149969</v>
      </c>
      <c r="AD7" s="39">
        <v>0</v>
      </c>
      <c r="AE7" s="42">
        <v>24963491</v>
      </c>
      <c r="AF7" s="43">
        <v>1186478</v>
      </c>
      <c r="AG7" s="38">
        <v>1268109035</v>
      </c>
      <c r="AH7" s="41">
        <v>1068204548</v>
      </c>
      <c r="AI7" s="34"/>
      <c r="AJ7" s="80"/>
    </row>
    <row r="8" spans="1:36" ht="14.15" customHeight="1" x14ac:dyDescent="0.3">
      <c r="A8" s="28" t="s">
        <v>76</v>
      </c>
      <c r="B8" s="29">
        <v>398199514</v>
      </c>
      <c r="C8" s="30">
        <v>9033771</v>
      </c>
      <c r="D8" s="31">
        <v>39907544</v>
      </c>
      <c r="E8" s="32">
        <v>6951249</v>
      </c>
      <c r="F8" s="32">
        <v>12889367</v>
      </c>
      <c r="G8" s="32">
        <v>3290355</v>
      </c>
      <c r="H8" s="32">
        <v>14233555</v>
      </c>
      <c r="I8" s="32">
        <v>0</v>
      </c>
      <c r="J8" s="33">
        <v>2543018</v>
      </c>
      <c r="K8" s="31">
        <v>229079</v>
      </c>
      <c r="L8" s="32">
        <v>221047</v>
      </c>
      <c r="M8" s="32">
        <v>170150</v>
      </c>
      <c r="N8" s="32">
        <v>12483</v>
      </c>
      <c r="O8" s="32">
        <v>1522</v>
      </c>
      <c r="P8" s="32">
        <v>0</v>
      </c>
      <c r="Q8" s="32">
        <v>30388</v>
      </c>
      <c r="R8" s="32">
        <v>0</v>
      </c>
      <c r="S8" s="32">
        <v>5245</v>
      </c>
      <c r="T8" s="32">
        <v>1259</v>
      </c>
      <c r="U8" s="32">
        <v>0</v>
      </c>
      <c r="V8" s="32">
        <v>8031</v>
      </c>
      <c r="W8" s="33">
        <v>0</v>
      </c>
      <c r="X8" s="31">
        <v>268051098</v>
      </c>
      <c r="Y8" s="32">
        <v>1896337</v>
      </c>
      <c r="Z8" s="32">
        <v>46438661</v>
      </c>
      <c r="AA8" s="32">
        <v>162230751</v>
      </c>
      <c r="AB8" s="33">
        <v>57485349</v>
      </c>
      <c r="AC8" s="31">
        <v>0</v>
      </c>
      <c r="AD8" s="32">
        <v>0</v>
      </c>
      <c r="AE8" s="32">
        <v>0</v>
      </c>
      <c r="AF8" s="33">
        <v>0</v>
      </c>
      <c r="AG8" s="31">
        <v>317221492</v>
      </c>
      <c r="AH8" s="33">
        <v>259736143</v>
      </c>
      <c r="AI8" s="34"/>
      <c r="AJ8" s="80"/>
    </row>
    <row r="9" spans="1:36" ht="14.15" customHeight="1" x14ac:dyDescent="0.3">
      <c r="A9" s="44" t="s">
        <v>77</v>
      </c>
      <c r="B9" s="45">
        <v>398199514</v>
      </c>
      <c r="C9" s="46">
        <v>9033771</v>
      </c>
      <c r="D9" s="38">
        <v>39907544</v>
      </c>
      <c r="E9" s="42">
        <v>6951249</v>
      </c>
      <c r="F9" s="42">
        <v>12889367</v>
      </c>
      <c r="G9" s="42">
        <v>3290355</v>
      </c>
      <c r="H9" s="42">
        <v>14233555</v>
      </c>
      <c r="I9" s="47"/>
      <c r="J9" s="43">
        <v>2543018</v>
      </c>
      <c r="K9" s="38">
        <v>229079</v>
      </c>
      <c r="L9" s="39">
        <v>221047</v>
      </c>
      <c r="M9" s="48">
        <v>170150</v>
      </c>
      <c r="N9" s="48">
        <v>12483</v>
      </c>
      <c r="O9" s="48">
        <v>1522</v>
      </c>
      <c r="P9" s="48">
        <v>0</v>
      </c>
      <c r="Q9" s="48">
        <v>30388</v>
      </c>
      <c r="R9" s="48">
        <v>0</v>
      </c>
      <c r="S9" s="48">
        <v>5245</v>
      </c>
      <c r="T9" s="48">
        <v>1259</v>
      </c>
      <c r="U9" s="48">
        <v>0</v>
      </c>
      <c r="V9" s="48">
        <v>8031</v>
      </c>
      <c r="W9" s="43">
        <v>0</v>
      </c>
      <c r="X9" s="38">
        <v>268051098</v>
      </c>
      <c r="Y9" s="42">
        <v>1896337</v>
      </c>
      <c r="Z9" s="42">
        <v>46438661</v>
      </c>
      <c r="AA9" s="42">
        <v>162230751</v>
      </c>
      <c r="AB9" s="43">
        <v>57485349</v>
      </c>
      <c r="AC9" s="38">
        <v>0</v>
      </c>
      <c r="AD9" s="42">
        <v>0</v>
      </c>
      <c r="AE9" s="42">
        <v>0</v>
      </c>
      <c r="AF9" s="49">
        <v>0</v>
      </c>
      <c r="AG9" s="38">
        <v>317221492</v>
      </c>
      <c r="AH9" s="41">
        <v>259736143</v>
      </c>
      <c r="AI9" s="34"/>
      <c r="AJ9" s="80"/>
    </row>
    <row r="10" spans="1:36" ht="14.15" customHeight="1" x14ac:dyDescent="0.3">
      <c r="A10" s="28" t="s">
        <v>78</v>
      </c>
      <c r="B10" s="29">
        <v>1487379297</v>
      </c>
      <c r="C10" s="30">
        <v>95959876</v>
      </c>
      <c r="D10" s="31">
        <v>226000508</v>
      </c>
      <c r="E10" s="32">
        <v>48709603</v>
      </c>
      <c r="F10" s="32">
        <v>79448958</v>
      </c>
      <c r="G10" s="32">
        <v>54835832</v>
      </c>
      <c r="H10" s="32">
        <v>32206116</v>
      </c>
      <c r="I10" s="32">
        <v>0</v>
      </c>
      <c r="J10" s="33">
        <v>10800000</v>
      </c>
      <c r="K10" s="31">
        <v>13826091</v>
      </c>
      <c r="L10" s="32">
        <v>5432545</v>
      </c>
      <c r="M10" s="32">
        <v>81368</v>
      </c>
      <c r="N10" s="32">
        <v>76022</v>
      </c>
      <c r="O10" s="32">
        <v>102079</v>
      </c>
      <c r="P10" s="32">
        <v>522854</v>
      </c>
      <c r="Q10" s="32">
        <v>117063</v>
      </c>
      <c r="R10" s="32">
        <v>4147956</v>
      </c>
      <c r="S10" s="32">
        <v>22280</v>
      </c>
      <c r="T10" s="32">
        <v>109484</v>
      </c>
      <c r="U10" s="32">
        <v>253439</v>
      </c>
      <c r="V10" s="32">
        <v>8304481</v>
      </c>
      <c r="W10" s="33">
        <v>89066</v>
      </c>
      <c r="X10" s="31">
        <v>641034189</v>
      </c>
      <c r="Y10" s="32">
        <v>153071514</v>
      </c>
      <c r="Z10" s="32">
        <v>16950552</v>
      </c>
      <c r="AA10" s="32">
        <v>153664349</v>
      </c>
      <c r="AB10" s="33">
        <v>317347774</v>
      </c>
      <c r="AC10" s="31">
        <v>179850000</v>
      </c>
      <c r="AD10" s="32">
        <v>179850000</v>
      </c>
      <c r="AE10" s="32">
        <v>0</v>
      </c>
      <c r="AF10" s="33">
        <v>0</v>
      </c>
      <c r="AG10" s="31">
        <v>1156670665</v>
      </c>
      <c r="AH10" s="33">
        <v>659472891</v>
      </c>
      <c r="AI10" s="34"/>
      <c r="AJ10" s="80"/>
    </row>
    <row r="11" spans="1:36" ht="14.15" customHeight="1" x14ac:dyDescent="0.3">
      <c r="A11" s="44" t="s">
        <v>79</v>
      </c>
      <c r="B11" s="45">
        <v>1487379297</v>
      </c>
      <c r="C11" s="46">
        <v>95959876</v>
      </c>
      <c r="D11" s="38">
        <v>226000508</v>
      </c>
      <c r="E11" s="42">
        <v>48709603</v>
      </c>
      <c r="F11" s="42">
        <v>79448958</v>
      </c>
      <c r="G11" s="42">
        <v>54835832</v>
      </c>
      <c r="H11" s="42">
        <v>32206116</v>
      </c>
      <c r="I11" s="47"/>
      <c r="J11" s="43">
        <v>10800000</v>
      </c>
      <c r="K11" s="38">
        <v>13826091</v>
      </c>
      <c r="L11" s="39">
        <v>5432545</v>
      </c>
      <c r="M11" s="42">
        <v>81368</v>
      </c>
      <c r="N11" s="42">
        <v>76022</v>
      </c>
      <c r="O11" s="42">
        <v>102079</v>
      </c>
      <c r="P11" s="42">
        <v>522854</v>
      </c>
      <c r="Q11" s="42">
        <v>117063</v>
      </c>
      <c r="R11" s="42">
        <v>4147956</v>
      </c>
      <c r="S11" s="42">
        <v>22280</v>
      </c>
      <c r="T11" s="42">
        <v>109484</v>
      </c>
      <c r="U11" s="42">
        <v>253439</v>
      </c>
      <c r="V11" s="42">
        <v>8304481</v>
      </c>
      <c r="W11" s="43">
        <v>89066</v>
      </c>
      <c r="X11" s="38">
        <v>641034189</v>
      </c>
      <c r="Y11" s="42">
        <v>153071514</v>
      </c>
      <c r="Z11" s="42">
        <v>16950552</v>
      </c>
      <c r="AA11" s="42">
        <v>153664349</v>
      </c>
      <c r="AB11" s="41">
        <v>317347774</v>
      </c>
      <c r="AC11" s="38">
        <v>179850000</v>
      </c>
      <c r="AD11" s="42">
        <v>179850000</v>
      </c>
      <c r="AE11" s="42">
        <v>0</v>
      </c>
      <c r="AF11" s="43">
        <v>0</v>
      </c>
      <c r="AG11" s="38">
        <v>1156670665</v>
      </c>
      <c r="AH11" s="41">
        <v>659472891</v>
      </c>
      <c r="AI11" s="34"/>
      <c r="AJ11" s="80"/>
    </row>
    <row r="12" spans="1:36" ht="14.15" customHeight="1" x14ac:dyDescent="0.3">
      <c r="A12" s="28" t="s">
        <v>80</v>
      </c>
      <c r="B12" s="29">
        <v>503324646</v>
      </c>
      <c r="C12" s="30">
        <v>26759722</v>
      </c>
      <c r="D12" s="31">
        <v>173928075</v>
      </c>
      <c r="E12" s="32">
        <v>8460258</v>
      </c>
      <c r="F12" s="32">
        <v>33440980</v>
      </c>
      <c r="G12" s="32">
        <v>1924682</v>
      </c>
      <c r="H12" s="32">
        <v>37102155</v>
      </c>
      <c r="I12" s="32">
        <v>0</v>
      </c>
      <c r="J12" s="33">
        <v>93000000</v>
      </c>
      <c r="K12" s="31">
        <v>4292002</v>
      </c>
      <c r="L12" s="32">
        <v>4292002</v>
      </c>
      <c r="M12" s="32">
        <v>98000</v>
      </c>
      <c r="N12" s="32">
        <v>31000</v>
      </c>
      <c r="O12" s="32">
        <v>425000</v>
      </c>
      <c r="P12" s="32">
        <v>0</v>
      </c>
      <c r="Q12" s="32">
        <v>3638683</v>
      </c>
      <c r="R12" s="32">
        <v>0</v>
      </c>
      <c r="S12" s="32">
        <v>0</v>
      </c>
      <c r="T12" s="32">
        <v>99319</v>
      </c>
      <c r="U12" s="32">
        <v>0</v>
      </c>
      <c r="V12" s="32">
        <v>0</v>
      </c>
      <c r="W12" s="33">
        <v>0</v>
      </c>
      <c r="X12" s="31">
        <v>239291497</v>
      </c>
      <c r="Y12" s="32">
        <v>3729712</v>
      </c>
      <c r="Z12" s="32">
        <v>7799236</v>
      </c>
      <c r="AA12" s="32">
        <v>94262259</v>
      </c>
      <c r="AB12" s="33">
        <v>133500290</v>
      </c>
      <c r="AC12" s="31">
        <v>7679823</v>
      </c>
      <c r="AD12" s="32">
        <v>0</v>
      </c>
      <c r="AE12" s="32">
        <v>0</v>
      </c>
      <c r="AF12" s="33">
        <v>7679823</v>
      </c>
      <c r="AG12" s="31">
        <v>451951119</v>
      </c>
      <c r="AH12" s="33">
        <v>318450829</v>
      </c>
      <c r="AI12" s="34"/>
      <c r="AJ12" s="80"/>
    </row>
    <row r="13" spans="1:36" ht="14.15" customHeight="1" x14ac:dyDescent="0.3">
      <c r="A13" s="44" t="s">
        <v>81</v>
      </c>
      <c r="B13" s="45">
        <v>503324646</v>
      </c>
      <c r="C13" s="46">
        <v>26759722</v>
      </c>
      <c r="D13" s="38">
        <v>173928075</v>
      </c>
      <c r="E13" s="42">
        <v>8460258</v>
      </c>
      <c r="F13" s="42">
        <v>33440980</v>
      </c>
      <c r="G13" s="42">
        <v>1924682</v>
      </c>
      <c r="H13" s="42">
        <v>37102155</v>
      </c>
      <c r="I13" s="47"/>
      <c r="J13" s="43">
        <v>93000000</v>
      </c>
      <c r="K13" s="38">
        <v>4292002</v>
      </c>
      <c r="L13" s="39">
        <v>4292002</v>
      </c>
      <c r="M13" s="42">
        <v>98000</v>
      </c>
      <c r="N13" s="42">
        <v>31000</v>
      </c>
      <c r="O13" s="42">
        <v>425000</v>
      </c>
      <c r="P13" s="42">
        <v>0</v>
      </c>
      <c r="Q13" s="42">
        <v>3638683</v>
      </c>
      <c r="R13" s="42">
        <v>0</v>
      </c>
      <c r="S13" s="42">
        <v>0</v>
      </c>
      <c r="T13" s="42">
        <v>99319</v>
      </c>
      <c r="U13" s="42">
        <v>0</v>
      </c>
      <c r="V13" s="42">
        <v>0</v>
      </c>
      <c r="W13" s="43">
        <v>0</v>
      </c>
      <c r="X13" s="38">
        <v>239291497</v>
      </c>
      <c r="Y13" s="42">
        <v>3729712</v>
      </c>
      <c r="Z13" s="42">
        <v>7799236</v>
      </c>
      <c r="AA13" s="42">
        <v>94262259</v>
      </c>
      <c r="AB13" s="43">
        <v>133500290</v>
      </c>
      <c r="AC13" s="38">
        <v>7679823</v>
      </c>
      <c r="AD13" s="42">
        <v>0</v>
      </c>
      <c r="AE13" s="42">
        <v>0</v>
      </c>
      <c r="AF13" s="43">
        <v>7679823</v>
      </c>
      <c r="AG13" s="50">
        <v>451951119.19999999</v>
      </c>
      <c r="AH13" s="603">
        <v>318450829.19999999</v>
      </c>
      <c r="AI13" s="34"/>
      <c r="AJ13" s="80"/>
    </row>
    <row r="14" spans="1:36" ht="14.15" customHeight="1" x14ac:dyDescent="0.3">
      <c r="A14" s="28" t="s">
        <v>82</v>
      </c>
      <c r="B14" s="29">
        <v>1007444467</v>
      </c>
      <c r="C14" s="30">
        <v>81843853</v>
      </c>
      <c r="D14" s="31">
        <v>309317863</v>
      </c>
      <c r="E14" s="32">
        <v>41896241</v>
      </c>
      <c r="F14" s="32">
        <v>71610647</v>
      </c>
      <c r="G14" s="32">
        <v>38861645</v>
      </c>
      <c r="H14" s="32">
        <v>99125603</v>
      </c>
      <c r="I14" s="32">
        <v>0</v>
      </c>
      <c r="J14" s="33">
        <v>57823727</v>
      </c>
      <c r="K14" s="31">
        <v>6989366</v>
      </c>
      <c r="L14" s="32">
        <v>4832381</v>
      </c>
      <c r="M14" s="32">
        <v>742301</v>
      </c>
      <c r="N14" s="32">
        <v>1116658</v>
      </c>
      <c r="O14" s="32">
        <v>0</v>
      </c>
      <c r="P14" s="32">
        <v>21597</v>
      </c>
      <c r="Q14" s="32">
        <v>1318291</v>
      </c>
      <c r="R14" s="32">
        <v>334710</v>
      </c>
      <c r="S14" s="32">
        <v>679350</v>
      </c>
      <c r="T14" s="32">
        <v>398719</v>
      </c>
      <c r="U14" s="32">
        <v>220755</v>
      </c>
      <c r="V14" s="32">
        <v>2156865</v>
      </c>
      <c r="W14" s="33">
        <v>120</v>
      </c>
      <c r="X14" s="31">
        <v>646682726</v>
      </c>
      <c r="Y14" s="32">
        <v>48914721</v>
      </c>
      <c r="Z14" s="32">
        <v>122933141</v>
      </c>
      <c r="AA14" s="32">
        <v>380882956</v>
      </c>
      <c r="AB14" s="33">
        <v>93951908</v>
      </c>
      <c r="AC14" s="31">
        <v>7993134</v>
      </c>
      <c r="AD14" s="32">
        <v>0</v>
      </c>
      <c r="AE14" s="32">
        <v>5997537</v>
      </c>
      <c r="AF14" s="33">
        <v>1995597</v>
      </c>
      <c r="AG14" s="31">
        <v>1052826942</v>
      </c>
      <c r="AH14" s="33">
        <v>958875034</v>
      </c>
      <c r="AI14" s="34"/>
      <c r="AJ14" s="80"/>
    </row>
    <row r="15" spans="1:36" ht="14.15" customHeight="1" x14ac:dyDescent="0.3">
      <c r="A15" s="35" t="s">
        <v>83</v>
      </c>
      <c r="B15" s="36">
        <v>416823474</v>
      </c>
      <c r="C15" s="37">
        <v>46420202</v>
      </c>
      <c r="D15" s="38">
        <v>150274621</v>
      </c>
      <c r="E15" s="39">
        <v>16651785</v>
      </c>
      <c r="F15" s="42">
        <v>30276050</v>
      </c>
      <c r="G15" s="39">
        <v>12266807</v>
      </c>
      <c r="H15" s="39">
        <v>54806285</v>
      </c>
      <c r="I15" s="40"/>
      <c r="J15" s="41">
        <v>36273694</v>
      </c>
      <c r="K15" s="38">
        <v>1725292</v>
      </c>
      <c r="L15" s="39">
        <v>1723661</v>
      </c>
      <c r="M15" s="51">
        <v>469483</v>
      </c>
      <c r="N15" s="51">
        <v>652141</v>
      </c>
      <c r="O15" s="51">
        <v>0</v>
      </c>
      <c r="P15" s="51">
        <v>5323</v>
      </c>
      <c r="Q15" s="51">
        <v>197136</v>
      </c>
      <c r="R15" s="51">
        <v>171244</v>
      </c>
      <c r="S15" s="51">
        <v>0</v>
      </c>
      <c r="T15" s="51">
        <v>131554</v>
      </c>
      <c r="U15" s="51">
        <v>96779</v>
      </c>
      <c r="V15" s="39">
        <v>1511</v>
      </c>
      <c r="W15" s="41">
        <v>120</v>
      </c>
      <c r="X15" s="38">
        <v>250127710</v>
      </c>
      <c r="Y15" s="39">
        <v>12861337</v>
      </c>
      <c r="Z15" s="39">
        <v>50630434</v>
      </c>
      <c r="AA15" s="39">
        <v>136727033</v>
      </c>
      <c r="AB15" s="41">
        <v>49908906</v>
      </c>
      <c r="AC15" s="38">
        <v>0</v>
      </c>
      <c r="AD15" s="39">
        <v>0</v>
      </c>
      <c r="AE15" s="42">
        <v>0</v>
      </c>
      <c r="AF15" s="41">
        <v>0</v>
      </c>
      <c r="AG15" s="38">
        <v>448547825</v>
      </c>
      <c r="AH15" s="41">
        <v>398638919</v>
      </c>
      <c r="AI15" s="34"/>
      <c r="AJ15" s="80"/>
    </row>
    <row r="16" spans="1:36" ht="14.15" customHeight="1" x14ac:dyDescent="0.3">
      <c r="A16" s="44" t="s">
        <v>84</v>
      </c>
      <c r="B16" s="45">
        <v>0</v>
      </c>
      <c r="C16" s="46">
        <v>770232</v>
      </c>
      <c r="D16" s="38">
        <v>2525137</v>
      </c>
      <c r="E16" s="42">
        <v>956682</v>
      </c>
      <c r="F16" s="42">
        <v>0</v>
      </c>
      <c r="G16" s="42">
        <v>1568455</v>
      </c>
      <c r="H16" s="42">
        <v>0</v>
      </c>
      <c r="I16" s="47"/>
      <c r="J16" s="43">
        <v>0</v>
      </c>
      <c r="K16" s="38">
        <v>1607347</v>
      </c>
      <c r="L16" s="39">
        <v>1607347</v>
      </c>
      <c r="M16" s="42">
        <v>234114</v>
      </c>
      <c r="N16" s="42">
        <v>254402</v>
      </c>
      <c r="O16" s="42">
        <v>0</v>
      </c>
      <c r="P16" s="42">
        <v>0</v>
      </c>
      <c r="Q16" s="42">
        <v>948159</v>
      </c>
      <c r="R16" s="42">
        <v>163466</v>
      </c>
      <c r="S16" s="42">
        <v>0</v>
      </c>
      <c r="T16" s="42">
        <v>5371</v>
      </c>
      <c r="U16" s="42">
        <v>1835</v>
      </c>
      <c r="V16" s="42">
        <v>0</v>
      </c>
      <c r="W16" s="43">
        <v>0</v>
      </c>
      <c r="X16" s="38">
        <v>19067592</v>
      </c>
      <c r="Y16" s="42">
        <v>1021786</v>
      </c>
      <c r="Z16" s="42">
        <v>4543408</v>
      </c>
      <c r="AA16" s="42">
        <v>13126274</v>
      </c>
      <c r="AB16" s="43">
        <v>376124</v>
      </c>
      <c r="AC16" s="38">
        <v>0</v>
      </c>
      <c r="AD16" s="42">
        <v>0</v>
      </c>
      <c r="AE16" s="42">
        <v>0</v>
      </c>
      <c r="AF16" s="43">
        <v>0</v>
      </c>
      <c r="AG16" s="38">
        <v>23970309</v>
      </c>
      <c r="AH16" s="41">
        <v>23594185</v>
      </c>
      <c r="AI16" s="34"/>
      <c r="AJ16" s="80"/>
    </row>
    <row r="17" spans="1:36" ht="14.15" customHeight="1" x14ac:dyDescent="0.3">
      <c r="A17" s="44" t="s">
        <v>85</v>
      </c>
      <c r="B17" s="45">
        <v>590620993</v>
      </c>
      <c r="C17" s="46">
        <v>34653418</v>
      </c>
      <c r="D17" s="38">
        <v>156518105</v>
      </c>
      <c r="E17" s="42">
        <v>24287774</v>
      </c>
      <c r="F17" s="42">
        <v>41334597</v>
      </c>
      <c r="G17" s="42">
        <v>25026382</v>
      </c>
      <c r="H17" s="42">
        <v>44319318</v>
      </c>
      <c r="I17" s="47"/>
      <c r="J17" s="43">
        <v>21550033</v>
      </c>
      <c r="K17" s="38">
        <v>3656726</v>
      </c>
      <c r="L17" s="39">
        <v>1501372</v>
      </c>
      <c r="M17" s="48">
        <v>38704</v>
      </c>
      <c r="N17" s="48">
        <v>210114</v>
      </c>
      <c r="O17" s="48">
        <v>0</v>
      </c>
      <c r="P17" s="48">
        <v>16274</v>
      </c>
      <c r="Q17" s="48">
        <v>172995</v>
      </c>
      <c r="R17" s="48">
        <v>0</v>
      </c>
      <c r="S17" s="48">
        <v>679350</v>
      </c>
      <c r="T17" s="48">
        <v>261795</v>
      </c>
      <c r="U17" s="42">
        <v>122141</v>
      </c>
      <c r="V17" s="42">
        <v>2155354</v>
      </c>
      <c r="W17" s="43">
        <v>0</v>
      </c>
      <c r="X17" s="38">
        <v>377487424</v>
      </c>
      <c r="Y17" s="42">
        <v>35031598</v>
      </c>
      <c r="Z17" s="42">
        <v>67759299</v>
      </c>
      <c r="AA17" s="42">
        <v>231029649</v>
      </c>
      <c r="AB17" s="43">
        <v>43666878</v>
      </c>
      <c r="AC17" s="38">
        <v>7993134</v>
      </c>
      <c r="AD17" s="42">
        <v>0</v>
      </c>
      <c r="AE17" s="42">
        <v>5997537</v>
      </c>
      <c r="AF17" s="43">
        <v>1995597</v>
      </c>
      <c r="AG17" s="38">
        <v>580308808</v>
      </c>
      <c r="AH17" s="41">
        <v>536641930</v>
      </c>
      <c r="AI17" s="34"/>
      <c r="AJ17" s="80"/>
    </row>
    <row r="18" spans="1:36" ht="14.15" customHeight="1" x14ac:dyDescent="0.3">
      <c r="A18" s="28" t="s">
        <v>86</v>
      </c>
      <c r="B18" s="29">
        <v>640382180</v>
      </c>
      <c r="C18" s="30">
        <v>56859472</v>
      </c>
      <c r="D18" s="31">
        <v>124919027</v>
      </c>
      <c r="E18" s="32">
        <v>25442639</v>
      </c>
      <c r="F18" s="32">
        <v>66408037</v>
      </c>
      <c r="G18" s="32">
        <v>18955617</v>
      </c>
      <c r="H18" s="32">
        <v>14112734</v>
      </c>
      <c r="I18" s="32">
        <v>0</v>
      </c>
      <c r="J18" s="33">
        <v>0</v>
      </c>
      <c r="K18" s="31">
        <v>1835230</v>
      </c>
      <c r="L18" s="32">
        <v>1835230</v>
      </c>
      <c r="M18" s="32">
        <v>15308</v>
      </c>
      <c r="N18" s="32">
        <v>95333</v>
      </c>
      <c r="O18" s="32">
        <v>2999</v>
      </c>
      <c r="P18" s="32">
        <v>0</v>
      </c>
      <c r="Q18" s="32">
        <v>1010675</v>
      </c>
      <c r="R18" s="32">
        <v>506258</v>
      </c>
      <c r="S18" s="32">
        <v>38653</v>
      </c>
      <c r="T18" s="32">
        <v>111267</v>
      </c>
      <c r="U18" s="32">
        <v>54738</v>
      </c>
      <c r="V18" s="32">
        <v>0</v>
      </c>
      <c r="W18" s="33">
        <v>0</v>
      </c>
      <c r="X18" s="31">
        <v>566713298</v>
      </c>
      <c r="Y18" s="32">
        <v>8594808</v>
      </c>
      <c r="Z18" s="32">
        <v>8263132</v>
      </c>
      <c r="AA18" s="32">
        <v>407428430</v>
      </c>
      <c r="AB18" s="33">
        <v>142426928</v>
      </c>
      <c r="AC18" s="31">
        <v>759695</v>
      </c>
      <c r="AD18" s="32">
        <v>0</v>
      </c>
      <c r="AE18" s="32">
        <v>759695</v>
      </c>
      <c r="AF18" s="33">
        <v>0</v>
      </c>
      <c r="AG18" s="31">
        <v>751086722</v>
      </c>
      <c r="AH18" s="33">
        <v>608659794</v>
      </c>
      <c r="AI18" s="34"/>
      <c r="AJ18" s="80"/>
    </row>
    <row r="19" spans="1:36" ht="14.15" customHeight="1" x14ac:dyDescent="0.3">
      <c r="A19" s="35" t="s">
        <v>87</v>
      </c>
      <c r="B19" s="36">
        <v>640382180</v>
      </c>
      <c r="C19" s="37">
        <v>56859472</v>
      </c>
      <c r="D19" s="38">
        <v>124919027</v>
      </c>
      <c r="E19" s="39">
        <v>25442639</v>
      </c>
      <c r="F19" s="39">
        <v>66408037</v>
      </c>
      <c r="G19" s="39">
        <v>18955617</v>
      </c>
      <c r="H19" s="39">
        <v>14112734</v>
      </c>
      <c r="I19" s="40"/>
      <c r="J19" s="41">
        <v>0</v>
      </c>
      <c r="K19" s="38">
        <v>1835230</v>
      </c>
      <c r="L19" s="39">
        <v>1835230</v>
      </c>
      <c r="M19" s="48">
        <v>15308</v>
      </c>
      <c r="N19" s="48">
        <v>95333</v>
      </c>
      <c r="O19" s="48">
        <v>2999</v>
      </c>
      <c r="P19" s="48">
        <v>0</v>
      </c>
      <c r="Q19" s="48">
        <v>1010675</v>
      </c>
      <c r="R19" s="48">
        <v>506258</v>
      </c>
      <c r="S19" s="48">
        <v>38653</v>
      </c>
      <c r="T19" s="42">
        <v>111267</v>
      </c>
      <c r="U19" s="42">
        <v>54738</v>
      </c>
      <c r="V19" s="43">
        <v>0</v>
      </c>
      <c r="W19" s="37">
        <v>0</v>
      </c>
      <c r="X19" s="38">
        <v>566713298</v>
      </c>
      <c r="Y19" s="39">
        <v>8594808</v>
      </c>
      <c r="Z19" s="39">
        <v>8263132</v>
      </c>
      <c r="AA19" s="39">
        <v>407428430</v>
      </c>
      <c r="AB19" s="41">
        <v>142426928</v>
      </c>
      <c r="AC19" s="38">
        <v>759695</v>
      </c>
      <c r="AD19" s="39">
        <v>0</v>
      </c>
      <c r="AE19" s="42">
        <v>759695</v>
      </c>
      <c r="AF19" s="41">
        <v>0</v>
      </c>
      <c r="AG19" s="38">
        <v>751086722</v>
      </c>
      <c r="AH19" s="41">
        <v>608659794</v>
      </c>
      <c r="AI19" s="34"/>
      <c r="AJ19" s="80"/>
    </row>
    <row r="20" spans="1:36" ht="14.15" customHeight="1" x14ac:dyDescent="0.3">
      <c r="A20" s="21" t="s">
        <v>88</v>
      </c>
      <c r="B20" s="22">
        <v>1940698535</v>
      </c>
      <c r="C20" s="23">
        <v>295776623</v>
      </c>
      <c r="D20" s="23">
        <v>466580589</v>
      </c>
      <c r="E20" s="23">
        <v>128972747</v>
      </c>
      <c r="F20" s="23">
        <v>41707410</v>
      </c>
      <c r="G20" s="23">
        <v>148267476</v>
      </c>
      <c r="H20" s="23">
        <v>147632956</v>
      </c>
      <c r="I20" s="23">
        <v>0</v>
      </c>
      <c r="J20" s="23">
        <v>0</v>
      </c>
      <c r="K20" s="24">
        <v>14821487</v>
      </c>
      <c r="L20" s="25">
        <v>5294132</v>
      </c>
      <c r="M20" s="25">
        <v>499155</v>
      </c>
      <c r="N20" s="25">
        <v>913358</v>
      </c>
      <c r="O20" s="25">
        <v>337935</v>
      </c>
      <c r="P20" s="25">
        <v>123106</v>
      </c>
      <c r="Q20" s="25">
        <v>1186104</v>
      </c>
      <c r="R20" s="25">
        <v>355807</v>
      </c>
      <c r="S20" s="25">
        <v>735009</v>
      </c>
      <c r="T20" s="25">
        <v>1006724</v>
      </c>
      <c r="U20" s="25">
        <v>673642</v>
      </c>
      <c r="V20" s="25">
        <v>8730205</v>
      </c>
      <c r="W20" s="26">
        <v>260443</v>
      </c>
      <c r="X20" s="23">
        <v>1888191418</v>
      </c>
      <c r="Y20" s="23">
        <v>106141175</v>
      </c>
      <c r="Z20" s="23">
        <v>255360409</v>
      </c>
      <c r="AA20" s="23">
        <v>1046186804</v>
      </c>
      <c r="AB20" s="23">
        <v>480503030</v>
      </c>
      <c r="AC20" s="23">
        <v>47963737</v>
      </c>
      <c r="AD20" s="23">
        <v>48000000</v>
      </c>
      <c r="AE20" s="23">
        <v>-36263</v>
      </c>
      <c r="AF20" s="23">
        <v>0</v>
      </c>
      <c r="AG20" s="23">
        <v>2713333854</v>
      </c>
      <c r="AH20" s="23">
        <v>2184830824</v>
      </c>
      <c r="AI20" s="34"/>
      <c r="AJ20" s="80"/>
    </row>
    <row r="21" spans="1:36" ht="14.15" customHeight="1" x14ac:dyDescent="0.3">
      <c r="A21" s="28" t="s">
        <v>89</v>
      </c>
      <c r="B21" s="29">
        <v>784568439</v>
      </c>
      <c r="C21" s="30">
        <v>106968083</v>
      </c>
      <c r="D21" s="31">
        <v>253456186</v>
      </c>
      <c r="E21" s="32">
        <v>76072862</v>
      </c>
      <c r="F21" s="32">
        <v>36420282</v>
      </c>
      <c r="G21" s="32">
        <v>129088291</v>
      </c>
      <c r="H21" s="32">
        <v>11874751</v>
      </c>
      <c r="I21" s="32">
        <v>0</v>
      </c>
      <c r="J21" s="33">
        <v>0</v>
      </c>
      <c r="K21" s="52">
        <v>1740624.85</v>
      </c>
      <c r="L21" s="32">
        <v>1740625</v>
      </c>
      <c r="M21" s="32">
        <v>0</v>
      </c>
      <c r="N21" s="32">
        <v>56148</v>
      </c>
      <c r="O21" s="32">
        <v>110428</v>
      </c>
      <c r="P21" s="32">
        <v>92162</v>
      </c>
      <c r="Q21" s="32">
        <v>423955</v>
      </c>
      <c r="R21" s="32">
        <v>27134</v>
      </c>
      <c r="S21" s="32">
        <v>465055</v>
      </c>
      <c r="T21" s="32">
        <v>186733</v>
      </c>
      <c r="U21" s="32">
        <v>379010</v>
      </c>
      <c r="V21" s="32">
        <v>0</v>
      </c>
      <c r="W21" s="53">
        <v>0</v>
      </c>
      <c r="X21" s="31">
        <v>620312693</v>
      </c>
      <c r="Y21" s="32">
        <v>25137552</v>
      </c>
      <c r="Z21" s="32">
        <v>251024979</v>
      </c>
      <c r="AA21" s="32">
        <v>292874352</v>
      </c>
      <c r="AB21" s="33">
        <v>51275810</v>
      </c>
      <c r="AC21" s="31">
        <v>-36263</v>
      </c>
      <c r="AD21" s="32">
        <v>0</v>
      </c>
      <c r="AE21" s="32">
        <v>-36263</v>
      </c>
      <c r="AF21" s="33">
        <v>0</v>
      </c>
      <c r="AG21" s="31">
        <v>982441324</v>
      </c>
      <c r="AH21" s="33">
        <v>931165514</v>
      </c>
      <c r="AI21" s="34"/>
      <c r="AJ21" s="80"/>
    </row>
    <row r="22" spans="1:36" ht="14.15" customHeight="1" x14ac:dyDescent="0.3">
      <c r="A22" s="44" t="s">
        <v>90</v>
      </c>
      <c r="B22" s="45">
        <v>777658423</v>
      </c>
      <c r="C22" s="46">
        <v>103395156</v>
      </c>
      <c r="D22" s="38">
        <v>245055626</v>
      </c>
      <c r="E22" s="42">
        <v>73797492</v>
      </c>
      <c r="F22" s="42">
        <v>36420282</v>
      </c>
      <c r="G22" s="42">
        <v>124347581</v>
      </c>
      <c r="H22" s="42">
        <v>10490270</v>
      </c>
      <c r="I22" s="47"/>
      <c r="J22" s="43">
        <v>0</v>
      </c>
      <c r="K22" s="50">
        <v>1282630</v>
      </c>
      <c r="L22" s="39">
        <v>1282630</v>
      </c>
      <c r="M22" s="42">
        <v>0</v>
      </c>
      <c r="N22" s="42">
        <v>26706</v>
      </c>
      <c r="O22" s="42">
        <v>64331</v>
      </c>
      <c r="P22" s="42">
        <v>92162</v>
      </c>
      <c r="Q22" s="42">
        <v>165057</v>
      </c>
      <c r="R22" s="42">
        <v>27134</v>
      </c>
      <c r="S22" s="42">
        <v>362284</v>
      </c>
      <c r="T22" s="42">
        <v>185861</v>
      </c>
      <c r="U22" s="42">
        <v>359095</v>
      </c>
      <c r="V22" s="42">
        <v>0</v>
      </c>
      <c r="W22" s="54">
        <v>0</v>
      </c>
      <c r="X22" s="50">
        <v>600267569</v>
      </c>
      <c r="Y22" s="42">
        <v>24252629</v>
      </c>
      <c r="Z22" s="42">
        <v>238073939</v>
      </c>
      <c r="AA22" s="42">
        <v>287662382</v>
      </c>
      <c r="AB22" s="43">
        <v>50278619</v>
      </c>
      <c r="AC22" s="38">
        <v>0</v>
      </c>
      <c r="AD22" s="42">
        <v>0</v>
      </c>
      <c r="AE22" s="42">
        <v>0</v>
      </c>
      <c r="AF22" s="43">
        <v>0</v>
      </c>
      <c r="AG22" s="38">
        <v>950000981</v>
      </c>
      <c r="AH22" s="41">
        <v>899722362</v>
      </c>
      <c r="AI22" s="34"/>
      <c r="AJ22" s="80"/>
    </row>
    <row r="23" spans="1:36" ht="14.15" customHeight="1" x14ac:dyDescent="0.3">
      <c r="A23" s="44" t="s">
        <v>91</v>
      </c>
      <c r="B23" s="45">
        <v>6910016</v>
      </c>
      <c r="C23" s="46">
        <v>3572927</v>
      </c>
      <c r="D23" s="38">
        <v>8400560</v>
      </c>
      <c r="E23" s="42">
        <v>2275370</v>
      </c>
      <c r="F23" s="42">
        <v>0</v>
      </c>
      <c r="G23" s="42">
        <v>4740710</v>
      </c>
      <c r="H23" s="42">
        <v>1384480</v>
      </c>
      <c r="I23" s="47"/>
      <c r="J23" s="43">
        <v>0</v>
      </c>
      <c r="K23" s="50">
        <v>457994.85</v>
      </c>
      <c r="L23" s="39">
        <v>457995</v>
      </c>
      <c r="M23" s="42">
        <v>0</v>
      </c>
      <c r="N23" s="42">
        <v>29442</v>
      </c>
      <c r="O23" s="42">
        <v>46097</v>
      </c>
      <c r="P23" s="42">
        <v>0</v>
      </c>
      <c r="Q23" s="42">
        <v>258898</v>
      </c>
      <c r="R23" s="42">
        <v>0</v>
      </c>
      <c r="S23" s="42">
        <v>102771</v>
      </c>
      <c r="T23" s="42">
        <v>872</v>
      </c>
      <c r="U23" s="42">
        <v>19915</v>
      </c>
      <c r="V23" s="55">
        <v>0</v>
      </c>
      <c r="W23" s="54">
        <v>0</v>
      </c>
      <c r="X23" s="50">
        <v>20045124</v>
      </c>
      <c r="Y23" s="42">
        <v>884923</v>
      </c>
      <c r="Z23" s="42">
        <v>12951040</v>
      </c>
      <c r="AA23" s="42">
        <v>5211970</v>
      </c>
      <c r="AB23" s="43">
        <v>997191</v>
      </c>
      <c r="AC23" s="38">
        <v>-36263</v>
      </c>
      <c r="AD23" s="42">
        <v>0</v>
      </c>
      <c r="AE23" s="42">
        <v>-36263</v>
      </c>
      <c r="AF23" s="43">
        <v>0</v>
      </c>
      <c r="AG23" s="38">
        <v>32440343</v>
      </c>
      <c r="AH23" s="41">
        <v>31443152</v>
      </c>
      <c r="AI23" s="34"/>
      <c r="AJ23" s="80"/>
    </row>
    <row r="24" spans="1:36" ht="14.15" customHeight="1" x14ac:dyDescent="0.3">
      <c r="A24" s="28" t="s">
        <v>92</v>
      </c>
      <c r="B24" s="29">
        <v>17778525</v>
      </c>
      <c r="C24" s="30">
        <v>2716034</v>
      </c>
      <c r="D24" s="31">
        <v>4735051</v>
      </c>
      <c r="E24" s="32">
        <v>1096002</v>
      </c>
      <c r="F24" s="32">
        <v>0</v>
      </c>
      <c r="G24" s="32">
        <v>2050087</v>
      </c>
      <c r="H24" s="32">
        <v>1588962</v>
      </c>
      <c r="I24" s="32">
        <v>0</v>
      </c>
      <c r="J24" s="33">
        <v>0</v>
      </c>
      <c r="K24" s="52">
        <v>595326</v>
      </c>
      <c r="L24" s="32">
        <v>595326</v>
      </c>
      <c r="M24" s="32">
        <v>0</v>
      </c>
      <c r="N24" s="32">
        <v>0</v>
      </c>
      <c r="O24" s="32">
        <v>0</v>
      </c>
      <c r="P24" s="32">
        <v>0</v>
      </c>
      <c r="Q24" s="32">
        <v>595326</v>
      </c>
      <c r="R24" s="32">
        <v>0</v>
      </c>
      <c r="S24" s="32">
        <v>0</v>
      </c>
      <c r="T24" s="32">
        <v>0</v>
      </c>
      <c r="U24" s="32">
        <v>0</v>
      </c>
      <c r="V24" s="32">
        <v>0</v>
      </c>
      <c r="W24" s="53">
        <v>0</v>
      </c>
      <c r="X24" s="31">
        <v>37190337</v>
      </c>
      <c r="Y24" s="32">
        <v>14300542</v>
      </c>
      <c r="Z24" s="32">
        <v>1121553</v>
      </c>
      <c r="AA24" s="32">
        <v>21647861</v>
      </c>
      <c r="AB24" s="33">
        <v>120381</v>
      </c>
      <c r="AC24" s="31">
        <v>0</v>
      </c>
      <c r="AD24" s="32">
        <v>0</v>
      </c>
      <c r="AE24" s="32">
        <v>0</v>
      </c>
      <c r="AF24" s="33">
        <v>0</v>
      </c>
      <c r="AG24" s="31">
        <v>45236749</v>
      </c>
      <c r="AH24" s="33">
        <v>45116368</v>
      </c>
      <c r="AI24" s="34"/>
      <c r="AJ24" s="80"/>
    </row>
    <row r="25" spans="1:36" ht="14.15" customHeight="1" x14ac:dyDescent="0.3">
      <c r="A25" s="44" t="s">
        <v>93</v>
      </c>
      <c r="B25" s="45">
        <v>17778525</v>
      </c>
      <c r="C25" s="46">
        <v>2716034</v>
      </c>
      <c r="D25" s="38">
        <v>4735051</v>
      </c>
      <c r="E25" s="42">
        <v>1096002</v>
      </c>
      <c r="F25" s="42">
        <v>0</v>
      </c>
      <c r="G25" s="42">
        <v>2050087</v>
      </c>
      <c r="H25" s="42">
        <v>1588962</v>
      </c>
      <c r="I25" s="47"/>
      <c r="J25" s="43">
        <v>0</v>
      </c>
      <c r="K25" s="50">
        <v>595326</v>
      </c>
      <c r="L25" s="39">
        <v>595326</v>
      </c>
      <c r="M25" s="42">
        <v>0</v>
      </c>
      <c r="N25" s="42">
        <v>0</v>
      </c>
      <c r="O25" s="42">
        <v>0</v>
      </c>
      <c r="P25" s="42">
        <v>0</v>
      </c>
      <c r="Q25" s="42">
        <v>595326</v>
      </c>
      <c r="R25" s="42">
        <v>0</v>
      </c>
      <c r="S25" s="42">
        <v>0</v>
      </c>
      <c r="T25" s="42">
        <v>0</v>
      </c>
      <c r="U25" s="42">
        <v>0</v>
      </c>
      <c r="V25" s="55">
        <v>0</v>
      </c>
      <c r="W25" s="54">
        <v>0</v>
      </c>
      <c r="X25" s="38">
        <v>37190337</v>
      </c>
      <c r="Y25" s="42">
        <v>14300542</v>
      </c>
      <c r="Z25" s="42">
        <v>1121553</v>
      </c>
      <c r="AA25" s="42">
        <v>21647861</v>
      </c>
      <c r="AB25" s="43">
        <v>120381</v>
      </c>
      <c r="AC25" s="38">
        <v>0</v>
      </c>
      <c r="AD25" s="42">
        <v>0</v>
      </c>
      <c r="AE25" s="42">
        <v>0</v>
      </c>
      <c r="AF25" s="43">
        <v>0</v>
      </c>
      <c r="AG25" s="38">
        <v>45236749</v>
      </c>
      <c r="AH25" s="41">
        <v>45116368</v>
      </c>
      <c r="AI25" s="34"/>
      <c r="AJ25" s="80"/>
    </row>
    <row r="26" spans="1:36" ht="3.4" customHeight="1" x14ac:dyDescent="0.3">
      <c r="A26" s="44" t="s">
        <v>94</v>
      </c>
      <c r="B26" s="45">
        <v>0</v>
      </c>
      <c r="C26" s="46">
        <v>0</v>
      </c>
      <c r="D26" s="56">
        <v>0</v>
      </c>
      <c r="E26" s="42">
        <v>0</v>
      </c>
      <c r="F26" s="42">
        <v>0</v>
      </c>
      <c r="G26" s="47"/>
      <c r="H26" s="47"/>
      <c r="I26" s="47"/>
      <c r="J26" s="83"/>
      <c r="K26" s="57">
        <v>0</v>
      </c>
      <c r="L26" s="42">
        <v>0</v>
      </c>
      <c r="M26" s="42">
        <v>0</v>
      </c>
      <c r="N26" s="42">
        <v>0</v>
      </c>
      <c r="O26" s="42">
        <v>0</v>
      </c>
      <c r="P26" s="42">
        <v>0</v>
      </c>
      <c r="Q26" s="42">
        <v>0</v>
      </c>
      <c r="R26" s="42">
        <v>0</v>
      </c>
      <c r="S26" s="42">
        <v>0</v>
      </c>
      <c r="T26" s="42">
        <v>0</v>
      </c>
      <c r="U26" s="42">
        <v>0</v>
      </c>
      <c r="V26" s="55">
        <v>0</v>
      </c>
      <c r="W26" s="54">
        <v>0</v>
      </c>
      <c r="X26" s="57">
        <v>0</v>
      </c>
      <c r="Y26" s="42">
        <v>0</v>
      </c>
      <c r="Z26" s="42">
        <v>0</v>
      </c>
      <c r="AA26" s="42">
        <v>0</v>
      </c>
      <c r="AB26" s="43">
        <v>0</v>
      </c>
      <c r="AC26" s="56">
        <v>0</v>
      </c>
      <c r="AD26" s="47"/>
      <c r="AE26" s="47"/>
      <c r="AF26" s="83"/>
      <c r="AG26" s="56">
        <v>0</v>
      </c>
      <c r="AH26" s="43">
        <v>0</v>
      </c>
      <c r="AI26" s="34"/>
      <c r="AJ26" s="80"/>
    </row>
    <row r="27" spans="1:36" ht="14.15" customHeight="1" x14ac:dyDescent="0.3">
      <c r="A27" s="28" t="s">
        <v>95</v>
      </c>
      <c r="B27" s="29">
        <v>1126447247</v>
      </c>
      <c r="C27" s="30">
        <v>141573880</v>
      </c>
      <c r="D27" s="31">
        <v>126689614</v>
      </c>
      <c r="E27" s="32">
        <v>49853768</v>
      </c>
      <c r="F27" s="32">
        <v>0</v>
      </c>
      <c r="G27" s="32">
        <v>0</v>
      </c>
      <c r="H27" s="32">
        <v>76835846</v>
      </c>
      <c r="I27" s="32">
        <v>0</v>
      </c>
      <c r="J27" s="33">
        <v>0</v>
      </c>
      <c r="K27" s="52">
        <v>10176602.77</v>
      </c>
      <c r="L27" s="32">
        <v>2643117</v>
      </c>
      <c r="M27" s="32">
        <v>162133</v>
      </c>
      <c r="N27" s="32">
        <v>705959</v>
      </c>
      <c r="O27" s="32">
        <v>227506</v>
      </c>
      <c r="P27" s="32">
        <v>23743</v>
      </c>
      <c r="Q27" s="32">
        <v>136781</v>
      </c>
      <c r="R27" s="32">
        <v>310125</v>
      </c>
      <c r="S27" s="32">
        <v>170076</v>
      </c>
      <c r="T27" s="32">
        <v>799157</v>
      </c>
      <c r="U27" s="32">
        <v>107636</v>
      </c>
      <c r="V27" s="32">
        <v>7273044</v>
      </c>
      <c r="W27" s="33">
        <v>260443</v>
      </c>
      <c r="X27" s="31">
        <v>928027131</v>
      </c>
      <c r="Y27" s="32">
        <v>38467227</v>
      </c>
      <c r="Z27" s="32">
        <v>0</v>
      </c>
      <c r="AA27" s="32">
        <v>576037875</v>
      </c>
      <c r="AB27" s="33">
        <v>313522029</v>
      </c>
      <c r="AC27" s="31">
        <v>48000000</v>
      </c>
      <c r="AD27" s="32">
        <v>48000000</v>
      </c>
      <c r="AE27" s="32">
        <v>0</v>
      </c>
      <c r="AF27" s="33">
        <v>0</v>
      </c>
      <c r="AG27" s="31">
        <v>1254467228</v>
      </c>
      <c r="AH27" s="33">
        <v>892945199</v>
      </c>
      <c r="AI27" s="34"/>
      <c r="AJ27" s="80"/>
    </row>
    <row r="28" spans="1:36" ht="14.15" customHeight="1" x14ac:dyDescent="0.3">
      <c r="A28" s="35" t="s">
        <v>96</v>
      </c>
      <c r="B28" s="45">
        <v>1126447247</v>
      </c>
      <c r="C28" s="37">
        <v>141573880</v>
      </c>
      <c r="D28" s="38">
        <v>126689614</v>
      </c>
      <c r="E28" s="39">
        <v>49853768</v>
      </c>
      <c r="F28" s="39">
        <v>0</v>
      </c>
      <c r="G28" s="39">
        <v>0</v>
      </c>
      <c r="H28" s="39">
        <v>76835846</v>
      </c>
      <c r="I28" s="40"/>
      <c r="J28" s="41">
        <v>0</v>
      </c>
      <c r="K28" s="50">
        <v>10176602.77</v>
      </c>
      <c r="L28" s="39">
        <v>2643117</v>
      </c>
      <c r="M28" s="39">
        <v>162133</v>
      </c>
      <c r="N28" s="39">
        <v>705959</v>
      </c>
      <c r="O28" s="39">
        <v>227506</v>
      </c>
      <c r="P28" s="39">
        <v>23743</v>
      </c>
      <c r="Q28" s="39">
        <v>136781</v>
      </c>
      <c r="R28" s="39">
        <v>310125</v>
      </c>
      <c r="S28" s="39">
        <v>170076</v>
      </c>
      <c r="T28" s="39">
        <v>799157</v>
      </c>
      <c r="U28" s="39">
        <v>107636</v>
      </c>
      <c r="V28" s="39">
        <v>7273044</v>
      </c>
      <c r="W28" s="41">
        <v>260443</v>
      </c>
      <c r="X28" s="38">
        <v>928027131</v>
      </c>
      <c r="Y28" s="39">
        <v>38467227</v>
      </c>
      <c r="Z28" s="39">
        <v>0</v>
      </c>
      <c r="AA28" s="39">
        <v>576037875</v>
      </c>
      <c r="AB28" s="41">
        <v>313522029</v>
      </c>
      <c r="AC28" s="38">
        <v>48000000</v>
      </c>
      <c r="AD28" s="39">
        <v>48000000</v>
      </c>
      <c r="AE28" s="42">
        <v>0</v>
      </c>
      <c r="AF28" s="41">
        <v>0</v>
      </c>
      <c r="AG28" s="38">
        <v>1254467228</v>
      </c>
      <c r="AH28" s="41">
        <v>892945199</v>
      </c>
      <c r="AI28" s="34"/>
      <c r="AJ28" s="80"/>
    </row>
    <row r="29" spans="1:36" ht="14.15" customHeight="1" x14ac:dyDescent="0.3">
      <c r="A29" s="28" t="s">
        <v>97</v>
      </c>
      <c r="B29" s="29">
        <v>11904325</v>
      </c>
      <c r="C29" s="30">
        <v>14132957</v>
      </c>
      <c r="D29" s="31">
        <v>4577200</v>
      </c>
      <c r="E29" s="32">
        <v>1950115</v>
      </c>
      <c r="F29" s="32">
        <v>142481</v>
      </c>
      <c r="G29" s="32">
        <v>580294</v>
      </c>
      <c r="H29" s="32">
        <v>1904311</v>
      </c>
      <c r="I29" s="32">
        <v>0</v>
      </c>
      <c r="J29" s="33">
        <v>0</v>
      </c>
      <c r="K29" s="52">
        <v>307422.13</v>
      </c>
      <c r="L29" s="58">
        <v>307422.13</v>
      </c>
      <c r="M29" s="32">
        <v>808</v>
      </c>
      <c r="N29" s="32">
        <v>42499</v>
      </c>
      <c r="O29" s="32">
        <v>0</v>
      </c>
      <c r="P29" s="32">
        <v>7201</v>
      </c>
      <c r="Q29" s="32">
        <v>30042</v>
      </c>
      <c r="R29" s="32">
        <v>18547</v>
      </c>
      <c r="S29" s="32">
        <v>1247</v>
      </c>
      <c r="T29" s="32">
        <v>20834</v>
      </c>
      <c r="U29" s="32">
        <v>186243</v>
      </c>
      <c r="V29" s="32">
        <v>0</v>
      </c>
      <c r="W29" s="33">
        <v>0</v>
      </c>
      <c r="X29" s="31">
        <v>79595163</v>
      </c>
      <c r="Y29" s="32">
        <v>24716716</v>
      </c>
      <c r="Z29" s="32">
        <v>2475590</v>
      </c>
      <c r="AA29" s="32">
        <v>51410445</v>
      </c>
      <c r="AB29" s="33">
        <v>992412</v>
      </c>
      <c r="AC29" s="31">
        <v>0</v>
      </c>
      <c r="AD29" s="32">
        <v>0</v>
      </c>
      <c r="AE29" s="32">
        <v>0</v>
      </c>
      <c r="AF29" s="33">
        <v>0</v>
      </c>
      <c r="AG29" s="31">
        <v>98612743</v>
      </c>
      <c r="AH29" s="33">
        <v>97620331</v>
      </c>
      <c r="AI29" s="34"/>
      <c r="AJ29" s="80"/>
    </row>
    <row r="30" spans="1:36" ht="14.15" customHeight="1" x14ac:dyDescent="0.3">
      <c r="A30" s="44" t="s">
        <v>98</v>
      </c>
      <c r="B30" s="45">
        <v>11904325</v>
      </c>
      <c r="C30" s="46">
        <v>14132957</v>
      </c>
      <c r="D30" s="38">
        <v>4577200</v>
      </c>
      <c r="E30" s="42">
        <v>1950115</v>
      </c>
      <c r="F30" s="42">
        <v>142481</v>
      </c>
      <c r="G30" s="42">
        <v>580294</v>
      </c>
      <c r="H30" s="42">
        <v>1904311</v>
      </c>
      <c r="I30" s="47"/>
      <c r="J30" s="43">
        <v>0</v>
      </c>
      <c r="K30" s="50">
        <v>307422.13</v>
      </c>
      <c r="L30" s="39">
        <v>307422</v>
      </c>
      <c r="M30" s="42">
        <v>808</v>
      </c>
      <c r="N30" s="42">
        <v>42499</v>
      </c>
      <c r="O30" s="42">
        <v>0</v>
      </c>
      <c r="P30" s="42">
        <v>7201</v>
      </c>
      <c r="Q30" s="42">
        <v>30042</v>
      </c>
      <c r="R30" s="42">
        <v>18547</v>
      </c>
      <c r="S30" s="42">
        <v>1247</v>
      </c>
      <c r="T30" s="42">
        <v>20834</v>
      </c>
      <c r="U30" s="42">
        <v>186243</v>
      </c>
      <c r="V30" s="55">
        <v>0</v>
      </c>
      <c r="W30" s="54">
        <v>0</v>
      </c>
      <c r="X30" s="38">
        <v>79595163</v>
      </c>
      <c r="Y30" s="42">
        <v>24716716</v>
      </c>
      <c r="Z30" s="42">
        <v>2475590</v>
      </c>
      <c r="AA30" s="42">
        <v>51410445</v>
      </c>
      <c r="AB30" s="43">
        <v>992412</v>
      </c>
      <c r="AC30" s="56">
        <v>0</v>
      </c>
      <c r="AD30" s="42">
        <v>0</v>
      </c>
      <c r="AE30" s="42">
        <v>0</v>
      </c>
      <c r="AF30" s="43">
        <v>0</v>
      </c>
      <c r="AG30" s="38">
        <v>98612743</v>
      </c>
      <c r="AH30" s="41">
        <v>97620331</v>
      </c>
      <c r="AI30" s="34"/>
      <c r="AJ30" s="80"/>
    </row>
    <row r="31" spans="1:36" ht="14.15" customHeight="1" x14ac:dyDescent="0.3">
      <c r="A31" s="28" t="s">
        <v>99</v>
      </c>
      <c r="B31" s="29">
        <v>0</v>
      </c>
      <c r="C31" s="30">
        <v>30385668</v>
      </c>
      <c r="D31" s="31">
        <v>71977890</v>
      </c>
      <c r="E31" s="32">
        <v>0</v>
      </c>
      <c r="F31" s="32">
        <v>0</v>
      </c>
      <c r="G31" s="32">
        <v>16548804</v>
      </c>
      <c r="H31" s="32">
        <v>55429086</v>
      </c>
      <c r="I31" s="32">
        <v>0</v>
      </c>
      <c r="J31" s="33">
        <v>0</v>
      </c>
      <c r="K31" s="52">
        <v>1464804.39</v>
      </c>
      <c r="L31" s="58">
        <v>7643</v>
      </c>
      <c r="M31" s="32">
        <v>6890</v>
      </c>
      <c r="N31" s="32">
        <v>0</v>
      </c>
      <c r="O31" s="32">
        <v>0</v>
      </c>
      <c r="P31" s="32">
        <v>0</v>
      </c>
      <c r="Q31" s="32">
        <v>0</v>
      </c>
      <c r="R31" s="32">
        <v>0</v>
      </c>
      <c r="S31" s="32">
        <v>0</v>
      </c>
      <c r="T31" s="32">
        <v>0</v>
      </c>
      <c r="U31" s="32">
        <v>753</v>
      </c>
      <c r="V31" s="32">
        <v>1457161</v>
      </c>
      <c r="W31" s="33">
        <v>0</v>
      </c>
      <c r="X31" s="31">
        <v>188986173</v>
      </c>
      <c r="Y31" s="32">
        <v>3078586</v>
      </c>
      <c r="Z31" s="32">
        <v>83203</v>
      </c>
      <c r="AA31" s="32">
        <v>90171456</v>
      </c>
      <c r="AB31" s="33">
        <v>95652928</v>
      </c>
      <c r="AC31" s="31">
        <v>0</v>
      </c>
      <c r="AD31" s="32">
        <v>0</v>
      </c>
      <c r="AE31" s="32">
        <v>0</v>
      </c>
      <c r="AF31" s="33">
        <v>0</v>
      </c>
      <c r="AG31" s="31">
        <v>292814536</v>
      </c>
      <c r="AH31" s="33">
        <v>197161608</v>
      </c>
      <c r="AI31" s="34"/>
      <c r="AJ31" s="80"/>
    </row>
    <row r="32" spans="1:36" ht="14.15" customHeight="1" x14ac:dyDescent="0.3">
      <c r="A32" s="44" t="s">
        <v>100</v>
      </c>
      <c r="B32" s="45">
        <v>0</v>
      </c>
      <c r="C32" s="46">
        <v>30385668</v>
      </c>
      <c r="D32" s="38">
        <v>71977890</v>
      </c>
      <c r="E32" s="42">
        <v>0</v>
      </c>
      <c r="F32" s="42">
        <v>0</v>
      </c>
      <c r="G32" s="42">
        <v>16548804</v>
      </c>
      <c r="H32" s="42">
        <v>55429086</v>
      </c>
      <c r="I32" s="47"/>
      <c r="J32" s="43">
        <v>0</v>
      </c>
      <c r="K32" s="50">
        <v>1464804.39</v>
      </c>
      <c r="L32" s="39">
        <v>7643</v>
      </c>
      <c r="M32" s="42">
        <v>6890</v>
      </c>
      <c r="N32" s="42">
        <v>0</v>
      </c>
      <c r="O32" s="42">
        <v>0</v>
      </c>
      <c r="P32" s="42">
        <v>0</v>
      </c>
      <c r="Q32" s="42">
        <v>0</v>
      </c>
      <c r="R32" s="42">
        <v>0</v>
      </c>
      <c r="S32" s="42">
        <v>0</v>
      </c>
      <c r="T32" s="42">
        <v>0</v>
      </c>
      <c r="U32" s="42">
        <v>753</v>
      </c>
      <c r="V32" s="42">
        <v>1457161</v>
      </c>
      <c r="W32" s="54">
        <v>0</v>
      </c>
      <c r="X32" s="38">
        <v>188986173</v>
      </c>
      <c r="Y32" s="42">
        <v>3078586</v>
      </c>
      <c r="Z32" s="42">
        <v>83203</v>
      </c>
      <c r="AA32" s="42">
        <v>90171456</v>
      </c>
      <c r="AB32" s="43">
        <v>95652928</v>
      </c>
      <c r="AC32" s="38">
        <v>0</v>
      </c>
      <c r="AD32" s="42">
        <v>0</v>
      </c>
      <c r="AE32" s="42">
        <v>0</v>
      </c>
      <c r="AF32" s="43">
        <v>0</v>
      </c>
      <c r="AG32" s="38">
        <v>292814536</v>
      </c>
      <c r="AH32" s="41">
        <v>197161608</v>
      </c>
      <c r="AI32" s="34"/>
      <c r="AJ32" s="80"/>
    </row>
    <row r="33" spans="1:36" ht="14.15" customHeight="1" x14ac:dyDescent="0.3">
      <c r="A33" s="28" t="s">
        <v>101</v>
      </c>
      <c r="B33" s="29">
        <v>0</v>
      </c>
      <c r="C33" s="30">
        <v>0</v>
      </c>
      <c r="D33" s="31">
        <v>5144647</v>
      </c>
      <c r="E33" s="32">
        <v>0</v>
      </c>
      <c r="F33" s="32">
        <v>5144647</v>
      </c>
      <c r="G33" s="32">
        <v>0</v>
      </c>
      <c r="H33" s="32">
        <v>0</v>
      </c>
      <c r="I33" s="84"/>
      <c r="J33" s="33">
        <v>0</v>
      </c>
      <c r="K33" s="52">
        <v>536707</v>
      </c>
      <c r="L33" s="58">
        <v>536707</v>
      </c>
      <c r="M33" s="32">
        <v>329324</v>
      </c>
      <c r="N33" s="32">
        <v>108752</v>
      </c>
      <c r="O33" s="32">
        <v>0</v>
      </c>
      <c r="P33" s="32">
        <v>0</v>
      </c>
      <c r="Q33" s="32">
        <v>0</v>
      </c>
      <c r="R33" s="32">
        <v>0</v>
      </c>
      <c r="S33" s="32">
        <v>98631</v>
      </c>
      <c r="T33" s="32">
        <v>0</v>
      </c>
      <c r="U33" s="32">
        <v>0</v>
      </c>
      <c r="V33" s="32">
        <v>0</v>
      </c>
      <c r="W33" s="33">
        <v>0</v>
      </c>
      <c r="X33" s="31">
        <v>34079921</v>
      </c>
      <c r="Y33" s="32">
        <v>440552</v>
      </c>
      <c r="Z33" s="32">
        <v>655084</v>
      </c>
      <c r="AA33" s="32">
        <v>14044815</v>
      </c>
      <c r="AB33" s="33">
        <v>18939470</v>
      </c>
      <c r="AC33" s="31">
        <v>0</v>
      </c>
      <c r="AD33" s="32">
        <v>0</v>
      </c>
      <c r="AE33" s="32">
        <v>0</v>
      </c>
      <c r="AF33" s="33">
        <v>0</v>
      </c>
      <c r="AG33" s="31">
        <v>39761275</v>
      </c>
      <c r="AH33" s="33">
        <v>20821805</v>
      </c>
      <c r="AI33" s="34"/>
      <c r="AJ33" s="80"/>
    </row>
    <row r="34" spans="1:36" ht="14.15" customHeight="1" x14ac:dyDescent="0.3">
      <c r="A34" s="44" t="s">
        <v>102</v>
      </c>
      <c r="B34" s="45">
        <v>0</v>
      </c>
      <c r="C34" s="46">
        <v>0</v>
      </c>
      <c r="D34" s="38">
        <v>5144647</v>
      </c>
      <c r="E34" s="42">
        <v>0</v>
      </c>
      <c r="F34" s="42">
        <v>5144647</v>
      </c>
      <c r="G34" s="47"/>
      <c r="H34" s="42">
        <v>0</v>
      </c>
      <c r="I34" s="42">
        <v>0</v>
      </c>
      <c r="J34" s="43">
        <v>0</v>
      </c>
      <c r="K34" s="50">
        <v>536707</v>
      </c>
      <c r="L34" s="39">
        <v>536707</v>
      </c>
      <c r="M34" s="42">
        <v>329324</v>
      </c>
      <c r="N34" s="42">
        <v>108752</v>
      </c>
      <c r="O34" s="42">
        <v>0</v>
      </c>
      <c r="P34" s="42">
        <v>0</v>
      </c>
      <c r="Q34" s="42">
        <v>0</v>
      </c>
      <c r="R34" s="42">
        <v>0</v>
      </c>
      <c r="S34" s="42">
        <v>98631</v>
      </c>
      <c r="T34" s="42">
        <v>0</v>
      </c>
      <c r="U34" s="42">
        <v>0</v>
      </c>
      <c r="V34" s="42">
        <v>0</v>
      </c>
      <c r="W34" s="54">
        <v>0</v>
      </c>
      <c r="X34" s="38">
        <v>34079921</v>
      </c>
      <c r="Y34" s="42">
        <v>440552</v>
      </c>
      <c r="Z34" s="42">
        <v>655084</v>
      </c>
      <c r="AA34" s="42">
        <v>14044815</v>
      </c>
      <c r="AB34" s="43">
        <v>18939470</v>
      </c>
      <c r="AC34" s="38">
        <v>0</v>
      </c>
      <c r="AD34" s="42">
        <v>0</v>
      </c>
      <c r="AE34" s="42">
        <v>0</v>
      </c>
      <c r="AF34" s="43">
        <v>0</v>
      </c>
      <c r="AG34" s="38">
        <v>39761275</v>
      </c>
      <c r="AH34" s="41">
        <v>20821805</v>
      </c>
      <c r="AI34" s="34"/>
      <c r="AJ34" s="80"/>
    </row>
    <row r="35" spans="1:36" ht="14.15" customHeight="1" x14ac:dyDescent="0.3">
      <c r="A35" s="21" t="s">
        <v>103</v>
      </c>
      <c r="B35" s="22">
        <v>6326404764</v>
      </c>
      <c r="C35" s="23">
        <v>1326510354</v>
      </c>
      <c r="D35" s="24">
        <v>1050293455</v>
      </c>
      <c r="E35" s="25">
        <v>428602683</v>
      </c>
      <c r="F35" s="25">
        <v>0</v>
      </c>
      <c r="G35" s="25">
        <v>413732851</v>
      </c>
      <c r="H35" s="25">
        <v>207957921</v>
      </c>
      <c r="I35" s="25">
        <v>0</v>
      </c>
      <c r="J35" s="26">
        <v>0</v>
      </c>
      <c r="K35" s="59">
        <v>18956485.07</v>
      </c>
      <c r="L35" s="60">
        <v>18956485.07</v>
      </c>
      <c r="M35" s="25">
        <v>3817176</v>
      </c>
      <c r="N35" s="25">
        <v>7065892</v>
      </c>
      <c r="O35" s="25">
        <v>824415</v>
      </c>
      <c r="P35" s="25">
        <v>341465</v>
      </c>
      <c r="Q35" s="25">
        <v>2303299</v>
      </c>
      <c r="R35" s="25">
        <v>1836</v>
      </c>
      <c r="S35" s="25">
        <v>0</v>
      </c>
      <c r="T35" s="25">
        <v>4569172</v>
      </c>
      <c r="U35" s="25">
        <v>33231</v>
      </c>
      <c r="V35" s="25">
        <v>0</v>
      </c>
      <c r="W35" s="26">
        <v>0</v>
      </c>
      <c r="X35" s="24">
        <v>3437120101</v>
      </c>
      <c r="Y35" s="25">
        <v>1447935871</v>
      </c>
      <c r="Z35" s="25">
        <v>144498061</v>
      </c>
      <c r="AA35" s="25">
        <v>1720358177</v>
      </c>
      <c r="AB35" s="26">
        <v>124327992</v>
      </c>
      <c r="AC35" s="24">
        <v>1627529509</v>
      </c>
      <c r="AD35" s="25">
        <v>1454000000</v>
      </c>
      <c r="AE35" s="25">
        <v>173529509</v>
      </c>
      <c r="AF35" s="26">
        <v>0</v>
      </c>
      <c r="AG35" s="24">
        <v>7460409904</v>
      </c>
      <c r="AH35" s="26">
        <v>5882081912</v>
      </c>
      <c r="AI35" s="34"/>
      <c r="AJ35" s="80"/>
    </row>
    <row r="36" spans="1:36" ht="14.15" customHeight="1" x14ac:dyDescent="0.3">
      <c r="A36" s="28" t="s">
        <v>104</v>
      </c>
      <c r="B36" s="29">
        <v>275870450</v>
      </c>
      <c r="C36" s="30">
        <v>120641822</v>
      </c>
      <c r="D36" s="30">
        <v>53485735</v>
      </c>
      <c r="E36" s="30">
        <v>0</v>
      </c>
      <c r="F36" s="30">
        <v>0</v>
      </c>
      <c r="G36" s="30">
        <v>53485735</v>
      </c>
      <c r="H36" s="30">
        <v>0</v>
      </c>
      <c r="I36" s="30">
        <v>0</v>
      </c>
      <c r="J36" s="30">
        <v>0</v>
      </c>
      <c r="K36" s="52">
        <v>79877.23</v>
      </c>
      <c r="L36" s="58">
        <v>79877.23</v>
      </c>
      <c r="M36" s="32">
        <v>8092</v>
      </c>
      <c r="N36" s="32">
        <v>12552</v>
      </c>
      <c r="O36" s="32">
        <v>18090</v>
      </c>
      <c r="P36" s="32">
        <v>0</v>
      </c>
      <c r="Q36" s="32">
        <v>3717</v>
      </c>
      <c r="R36" s="32">
        <v>1836</v>
      </c>
      <c r="S36" s="32">
        <v>0</v>
      </c>
      <c r="T36" s="32">
        <v>20454</v>
      </c>
      <c r="U36" s="32">
        <v>15137</v>
      </c>
      <c r="V36" s="32">
        <v>0</v>
      </c>
      <c r="W36" s="33">
        <v>0</v>
      </c>
      <c r="X36" s="30">
        <v>197002892</v>
      </c>
      <c r="Y36" s="30">
        <v>45655837</v>
      </c>
      <c r="Z36" s="30">
        <v>35638595</v>
      </c>
      <c r="AA36" s="30">
        <v>108215035</v>
      </c>
      <c r="AB36" s="30">
        <v>7493425</v>
      </c>
      <c r="AC36" s="31">
        <v>1026635802</v>
      </c>
      <c r="AD36" s="32">
        <v>1000000000</v>
      </c>
      <c r="AE36" s="32">
        <v>26635802</v>
      </c>
      <c r="AF36" s="33">
        <v>0</v>
      </c>
      <c r="AG36" s="30">
        <v>1397846128</v>
      </c>
      <c r="AH36" s="31">
        <v>390352703</v>
      </c>
      <c r="AI36" s="27"/>
      <c r="AJ36" s="80"/>
    </row>
    <row r="37" spans="1:36" ht="14.15" customHeight="1" x14ac:dyDescent="0.3">
      <c r="A37" s="44" t="s">
        <v>105</v>
      </c>
      <c r="B37" s="45">
        <v>272876207</v>
      </c>
      <c r="C37" s="46">
        <v>31869272</v>
      </c>
      <c r="D37" s="38">
        <v>5005377</v>
      </c>
      <c r="E37" s="42">
        <v>0</v>
      </c>
      <c r="F37" s="42">
        <v>0</v>
      </c>
      <c r="G37" s="42">
        <v>5005377</v>
      </c>
      <c r="H37" s="42">
        <v>0</v>
      </c>
      <c r="I37" s="42">
        <v>0</v>
      </c>
      <c r="J37" s="43">
        <v>0</v>
      </c>
      <c r="K37" s="50">
        <v>79877.23</v>
      </c>
      <c r="L37" s="39">
        <v>79877</v>
      </c>
      <c r="M37" s="42">
        <v>8092</v>
      </c>
      <c r="N37" s="42">
        <v>12552</v>
      </c>
      <c r="O37" s="42">
        <v>18090</v>
      </c>
      <c r="P37" s="42">
        <v>0</v>
      </c>
      <c r="Q37" s="42">
        <v>3717</v>
      </c>
      <c r="R37" s="42">
        <v>1836</v>
      </c>
      <c r="S37" s="42">
        <v>0</v>
      </c>
      <c r="T37" s="42">
        <v>20454</v>
      </c>
      <c r="U37" s="42">
        <v>15137</v>
      </c>
      <c r="V37" s="55">
        <v>0</v>
      </c>
      <c r="W37" s="54">
        <v>0</v>
      </c>
      <c r="X37" s="38">
        <v>197002892</v>
      </c>
      <c r="Y37" s="39">
        <v>45655837</v>
      </c>
      <c r="Z37" s="39">
        <v>35638595</v>
      </c>
      <c r="AA37" s="39">
        <v>108215035</v>
      </c>
      <c r="AB37" s="41">
        <v>7493425</v>
      </c>
      <c r="AC37" s="38">
        <v>26635802</v>
      </c>
      <c r="AD37" s="42">
        <v>0</v>
      </c>
      <c r="AE37" s="42">
        <v>26635802</v>
      </c>
      <c r="AF37" s="43">
        <v>0</v>
      </c>
      <c r="AG37" s="38">
        <v>260593220</v>
      </c>
      <c r="AH37" s="41">
        <v>253099795</v>
      </c>
      <c r="AI37" s="34"/>
      <c r="AJ37" s="80"/>
    </row>
    <row r="38" spans="1:36" ht="14.15" customHeight="1" x14ac:dyDescent="0.3">
      <c r="A38" s="44" t="s">
        <v>106</v>
      </c>
      <c r="B38" s="61">
        <v>2994243</v>
      </c>
      <c r="C38" s="46">
        <v>83914020</v>
      </c>
      <c r="D38" s="38">
        <v>48480358</v>
      </c>
      <c r="E38" s="42">
        <v>0</v>
      </c>
      <c r="F38" s="42">
        <v>0</v>
      </c>
      <c r="G38" s="602">
        <v>48480358</v>
      </c>
      <c r="H38" s="601">
        <v>0</v>
      </c>
      <c r="I38" s="42">
        <v>0</v>
      </c>
      <c r="J38" s="43">
        <v>0</v>
      </c>
      <c r="K38" s="50">
        <v>0</v>
      </c>
      <c r="L38" s="39">
        <v>0</v>
      </c>
      <c r="M38" s="42">
        <v>0</v>
      </c>
      <c r="N38" s="42">
        <v>0</v>
      </c>
      <c r="O38" s="42">
        <v>0</v>
      </c>
      <c r="P38" s="42">
        <v>0</v>
      </c>
      <c r="Q38" s="42">
        <v>0</v>
      </c>
      <c r="R38" s="42">
        <v>0</v>
      </c>
      <c r="S38" s="42">
        <v>0</v>
      </c>
      <c r="T38" s="42">
        <v>0</v>
      </c>
      <c r="U38" s="42">
        <v>0</v>
      </c>
      <c r="V38" s="55">
        <v>0</v>
      </c>
      <c r="W38" s="54">
        <v>0</v>
      </c>
      <c r="X38" s="38">
        <v>0</v>
      </c>
      <c r="Y38" s="39">
        <v>0</v>
      </c>
      <c r="Z38" s="39">
        <v>0</v>
      </c>
      <c r="AA38" s="39">
        <v>0</v>
      </c>
      <c r="AB38" s="41">
        <v>0</v>
      </c>
      <c r="AC38" s="38">
        <v>1000000000</v>
      </c>
      <c r="AD38" s="42">
        <v>1000000000</v>
      </c>
      <c r="AE38" s="42">
        <v>0</v>
      </c>
      <c r="AF38" s="43">
        <v>0</v>
      </c>
      <c r="AG38" s="38">
        <v>1132394378</v>
      </c>
      <c r="AH38" s="41">
        <v>132394378</v>
      </c>
      <c r="AI38" s="34"/>
      <c r="AJ38" s="80"/>
    </row>
    <row r="39" spans="1:36" ht="14.15" customHeight="1" x14ac:dyDescent="0.3">
      <c r="A39" s="44" t="s">
        <v>107</v>
      </c>
      <c r="B39" s="62">
        <v>0</v>
      </c>
      <c r="C39" s="46">
        <v>1029094</v>
      </c>
      <c r="D39" s="38">
        <v>0</v>
      </c>
      <c r="E39" s="42">
        <v>0</v>
      </c>
      <c r="F39" s="42">
        <v>0</v>
      </c>
      <c r="G39" s="42">
        <v>0</v>
      </c>
      <c r="H39" s="42">
        <v>0</v>
      </c>
      <c r="I39" s="42">
        <v>0</v>
      </c>
      <c r="J39" s="43">
        <v>0</v>
      </c>
      <c r="K39" s="50">
        <v>0</v>
      </c>
      <c r="L39" s="39">
        <v>0</v>
      </c>
      <c r="M39" s="42">
        <v>0</v>
      </c>
      <c r="N39" s="42">
        <v>0</v>
      </c>
      <c r="O39" s="42">
        <v>0</v>
      </c>
      <c r="P39" s="42">
        <v>0</v>
      </c>
      <c r="Q39" s="42">
        <v>0</v>
      </c>
      <c r="R39" s="42">
        <v>0</v>
      </c>
      <c r="S39" s="42">
        <v>0</v>
      </c>
      <c r="T39" s="42">
        <v>0</v>
      </c>
      <c r="U39" s="42">
        <v>0</v>
      </c>
      <c r="V39" s="55">
        <v>0</v>
      </c>
      <c r="W39" s="54">
        <v>0</v>
      </c>
      <c r="X39" s="38">
        <v>0</v>
      </c>
      <c r="Y39" s="39">
        <v>0</v>
      </c>
      <c r="Z39" s="39">
        <v>0</v>
      </c>
      <c r="AA39" s="39">
        <v>0</v>
      </c>
      <c r="AB39" s="41">
        <v>0</v>
      </c>
      <c r="AC39" s="38">
        <v>0</v>
      </c>
      <c r="AD39" s="42">
        <v>0</v>
      </c>
      <c r="AE39" s="42">
        <v>0</v>
      </c>
      <c r="AF39" s="43">
        <v>0</v>
      </c>
      <c r="AG39" s="38">
        <v>1029094</v>
      </c>
      <c r="AH39" s="41">
        <v>1029094</v>
      </c>
      <c r="AI39" s="34"/>
      <c r="AJ39" s="80"/>
    </row>
    <row r="40" spans="1:36" ht="14.15" customHeight="1" x14ac:dyDescent="0.3">
      <c r="A40" s="44" t="s">
        <v>108</v>
      </c>
      <c r="B40" s="45">
        <v>0</v>
      </c>
      <c r="C40" s="46">
        <v>3829436</v>
      </c>
      <c r="D40" s="38">
        <v>0</v>
      </c>
      <c r="E40" s="42">
        <v>0</v>
      </c>
      <c r="F40" s="42">
        <v>0</v>
      </c>
      <c r="G40" s="42">
        <v>0</v>
      </c>
      <c r="H40" s="42">
        <v>0</v>
      </c>
      <c r="I40" s="42">
        <v>0</v>
      </c>
      <c r="J40" s="43">
        <v>0</v>
      </c>
      <c r="K40" s="50">
        <v>0</v>
      </c>
      <c r="L40" s="39">
        <v>0</v>
      </c>
      <c r="M40" s="42">
        <v>0</v>
      </c>
      <c r="N40" s="42">
        <v>0</v>
      </c>
      <c r="O40" s="42">
        <v>0</v>
      </c>
      <c r="P40" s="42">
        <v>0</v>
      </c>
      <c r="Q40" s="42">
        <v>0</v>
      </c>
      <c r="R40" s="42">
        <v>0</v>
      </c>
      <c r="S40" s="42">
        <v>0</v>
      </c>
      <c r="T40" s="42">
        <v>0</v>
      </c>
      <c r="U40" s="42">
        <v>0</v>
      </c>
      <c r="V40" s="55">
        <v>0</v>
      </c>
      <c r="W40" s="54">
        <v>0</v>
      </c>
      <c r="X40" s="38">
        <v>0</v>
      </c>
      <c r="Y40" s="39">
        <v>0</v>
      </c>
      <c r="Z40" s="39">
        <v>0</v>
      </c>
      <c r="AA40" s="39">
        <v>0</v>
      </c>
      <c r="AB40" s="41">
        <v>0</v>
      </c>
      <c r="AC40" s="38">
        <v>0</v>
      </c>
      <c r="AD40" s="42">
        <v>0</v>
      </c>
      <c r="AE40" s="42">
        <v>0</v>
      </c>
      <c r="AF40" s="43">
        <v>0</v>
      </c>
      <c r="AG40" s="38">
        <v>3829436</v>
      </c>
      <c r="AH40" s="41">
        <v>3829436</v>
      </c>
      <c r="AI40" s="34"/>
      <c r="AJ40" s="80"/>
    </row>
    <row r="41" spans="1:36" ht="14.15" customHeight="1" x14ac:dyDescent="0.3">
      <c r="A41" s="28" t="s">
        <v>109</v>
      </c>
      <c r="B41" s="29">
        <v>6050534314</v>
      </c>
      <c r="C41" s="31">
        <v>1205868532</v>
      </c>
      <c r="D41" s="32">
        <v>996807720</v>
      </c>
      <c r="E41" s="32">
        <v>428602683</v>
      </c>
      <c r="F41" s="32">
        <v>0</v>
      </c>
      <c r="G41" s="32">
        <v>360247116</v>
      </c>
      <c r="H41" s="32">
        <v>207957921</v>
      </c>
      <c r="I41" s="32">
        <v>0</v>
      </c>
      <c r="J41" s="32">
        <v>0</v>
      </c>
      <c r="K41" s="32">
        <v>18876608</v>
      </c>
      <c r="L41" s="32">
        <v>18876608</v>
      </c>
      <c r="M41" s="32">
        <v>3809084</v>
      </c>
      <c r="N41" s="32">
        <v>7053340</v>
      </c>
      <c r="O41" s="32">
        <v>806325</v>
      </c>
      <c r="P41" s="32">
        <v>341465</v>
      </c>
      <c r="Q41" s="32">
        <v>2299582</v>
      </c>
      <c r="R41" s="32">
        <v>0</v>
      </c>
      <c r="S41" s="32">
        <v>0</v>
      </c>
      <c r="T41" s="32">
        <v>4548718</v>
      </c>
      <c r="U41" s="32">
        <v>18094</v>
      </c>
      <c r="V41" s="32">
        <v>0</v>
      </c>
      <c r="W41" s="33">
        <v>0</v>
      </c>
      <c r="X41" s="31">
        <v>3240117209</v>
      </c>
      <c r="Y41" s="32">
        <v>1402280034</v>
      </c>
      <c r="Z41" s="32">
        <v>108859466</v>
      </c>
      <c r="AA41" s="32">
        <v>1612143142</v>
      </c>
      <c r="AB41" s="33">
        <v>116834567</v>
      </c>
      <c r="AC41" s="31">
        <v>600893708</v>
      </c>
      <c r="AD41" s="32">
        <v>454000000</v>
      </c>
      <c r="AE41" s="32">
        <v>146893708</v>
      </c>
      <c r="AF41" s="33">
        <v>0</v>
      </c>
      <c r="AG41" s="31">
        <v>6062563776</v>
      </c>
      <c r="AH41" s="32">
        <v>5491729209</v>
      </c>
      <c r="AI41" s="27"/>
      <c r="AJ41" s="80"/>
    </row>
    <row r="42" spans="1:36" ht="15.75" customHeight="1" x14ac:dyDescent="0.3">
      <c r="A42" s="44" t="s">
        <v>110</v>
      </c>
      <c r="B42" s="45">
        <v>0</v>
      </c>
      <c r="C42" s="63">
        <v>6156919</v>
      </c>
      <c r="D42" s="64">
        <v>0</v>
      </c>
      <c r="E42" s="42">
        <v>0</v>
      </c>
      <c r="F42" s="42">
        <v>0</v>
      </c>
      <c r="G42" s="42">
        <v>0</v>
      </c>
      <c r="H42" s="42">
        <v>0</v>
      </c>
      <c r="I42" s="47"/>
      <c r="J42" s="42">
        <v>0</v>
      </c>
      <c r="K42" s="65">
        <v>34894</v>
      </c>
      <c r="L42" s="39">
        <v>34894</v>
      </c>
      <c r="M42" s="42">
        <v>0</v>
      </c>
      <c r="N42" s="42">
        <v>5300</v>
      </c>
      <c r="O42" s="42">
        <v>1500</v>
      </c>
      <c r="P42" s="42">
        <v>10000</v>
      </c>
      <c r="Q42" s="42">
        <v>0</v>
      </c>
      <c r="R42" s="42">
        <v>0</v>
      </c>
      <c r="S42" s="42">
        <v>0</v>
      </c>
      <c r="T42" s="42">
        <v>0</v>
      </c>
      <c r="U42" s="42">
        <v>18094</v>
      </c>
      <c r="V42" s="42">
        <v>0</v>
      </c>
      <c r="W42" s="43">
        <v>0</v>
      </c>
      <c r="X42" s="38">
        <v>16680133</v>
      </c>
      <c r="Y42" s="42">
        <v>49548</v>
      </c>
      <c r="Z42" s="42">
        <v>6627942</v>
      </c>
      <c r="AA42" s="42">
        <v>5335508</v>
      </c>
      <c r="AB42" s="43">
        <v>4667135</v>
      </c>
      <c r="AC42" s="38">
        <v>0</v>
      </c>
      <c r="AD42" s="42">
        <v>0</v>
      </c>
      <c r="AE42" s="42">
        <v>0</v>
      </c>
      <c r="AF42" s="43">
        <v>0</v>
      </c>
      <c r="AG42" s="38">
        <v>22871946</v>
      </c>
      <c r="AH42" s="41">
        <v>18204811</v>
      </c>
      <c r="AI42" s="34"/>
      <c r="AJ42" s="80"/>
    </row>
    <row r="43" spans="1:36" ht="15" customHeight="1" x14ac:dyDescent="0.3">
      <c r="A43" s="44" t="s">
        <v>111</v>
      </c>
      <c r="B43" s="45">
        <v>6050534314</v>
      </c>
      <c r="C43" s="46">
        <v>1154830492</v>
      </c>
      <c r="D43" s="38">
        <v>593030387</v>
      </c>
      <c r="E43" s="42">
        <v>192132611</v>
      </c>
      <c r="F43" s="42">
        <v>0</v>
      </c>
      <c r="G43" s="42">
        <v>292689473</v>
      </c>
      <c r="H43" s="42">
        <v>108208303</v>
      </c>
      <c r="I43" s="47"/>
      <c r="J43" s="43">
        <v>0</v>
      </c>
      <c r="K43" s="50">
        <v>18841713.84</v>
      </c>
      <c r="L43" s="39">
        <v>18841714</v>
      </c>
      <c r="M43" s="42">
        <v>3809084</v>
      </c>
      <c r="N43" s="42">
        <v>7048040</v>
      </c>
      <c r="O43" s="42">
        <v>804825</v>
      </c>
      <c r="P43" s="42">
        <v>331465</v>
      </c>
      <c r="Q43" s="42">
        <v>2299582</v>
      </c>
      <c r="R43" s="42">
        <v>0</v>
      </c>
      <c r="S43" s="42">
        <v>0</v>
      </c>
      <c r="T43" s="42">
        <v>4548718</v>
      </c>
      <c r="U43" s="42">
        <v>0</v>
      </c>
      <c r="V43" s="55">
        <v>0</v>
      </c>
      <c r="W43" s="54">
        <v>0</v>
      </c>
      <c r="X43" s="38">
        <v>3223437076</v>
      </c>
      <c r="Y43" s="39">
        <v>1402230486</v>
      </c>
      <c r="Z43" s="39">
        <v>102231524</v>
      </c>
      <c r="AA43" s="39">
        <v>1606807634</v>
      </c>
      <c r="AB43" s="41">
        <v>112167432</v>
      </c>
      <c r="AC43" s="38">
        <v>600893708</v>
      </c>
      <c r="AD43" s="42">
        <v>454000000</v>
      </c>
      <c r="AE43" s="42">
        <v>146893708</v>
      </c>
      <c r="AF43" s="43">
        <v>0</v>
      </c>
      <c r="AG43" s="38">
        <v>5591033377</v>
      </c>
      <c r="AH43" s="41">
        <v>5024865945</v>
      </c>
      <c r="AI43" s="34"/>
      <c r="AJ43" s="80"/>
    </row>
    <row r="44" spans="1:36" ht="15" customHeight="1" x14ac:dyDescent="0.3">
      <c r="A44" s="44" t="s">
        <v>112</v>
      </c>
      <c r="B44" s="45">
        <v>0</v>
      </c>
      <c r="C44" s="46">
        <v>3909486</v>
      </c>
      <c r="D44" s="38">
        <v>0</v>
      </c>
      <c r="E44" s="42">
        <v>0</v>
      </c>
      <c r="F44" s="42">
        <v>0</v>
      </c>
      <c r="G44" s="42">
        <v>0</v>
      </c>
      <c r="H44" s="42">
        <v>0</v>
      </c>
      <c r="I44" s="47"/>
      <c r="J44" s="43">
        <v>0</v>
      </c>
      <c r="K44" s="50">
        <v>0</v>
      </c>
      <c r="L44" s="39">
        <v>0</v>
      </c>
      <c r="M44" s="42">
        <v>0</v>
      </c>
      <c r="N44" s="42">
        <v>0</v>
      </c>
      <c r="O44" s="42">
        <v>0</v>
      </c>
      <c r="P44" s="42">
        <v>0</v>
      </c>
      <c r="Q44" s="42">
        <v>0</v>
      </c>
      <c r="R44" s="42">
        <v>0</v>
      </c>
      <c r="S44" s="42">
        <v>0</v>
      </c>
      <c r="T44" s="42">
        <v>0</v>
      </c>
      <c r="U44" s="42">
        <v>0</v>
      </c>
      <c r="V44" s="55">
        <v>0</v>
      </c>
      <c r="W44" s="54">
        <v>0</v>
      </c>
      <c r="X44" s="38">
        <v>0</v>
      </c>
      <c r="Y44" s="39">
        <v>0</v>
      </c>
      <c r="Z44" s="39">
        <v>0</v>
      </c>
      <c r="AA44" s="39">
        <v>0</v>
      </c>
      <c r="AB44" s="41">
        <v>0</v>
      </c>
      <c r="AC44" s="38">
        <v>0</v>
      </c>
      <c r="AD44" s="42">
        <v>0</v>
      </c>
      <c r="AE44" s="42">
        <v>0</v>
      </c>
      <c r="AF44" s="43">
        <v>0</v>
      </c>
      <c r="AG44" s="38">
        <v>3909486</v>
      </c>
      <c r="AH44" s="41">
        <v>3909486</v>
      </c>
      <c r="AI44" s="34"/>
      <c r="AJ44" s="80"/>
    </row>
    <row r="45" spans="1:36" ht="15" customHeight="1" x14ac:dyDescent="0.3">
      <c r="A45" s="44" t="s">
        <v>113</v>
      </c>
      <c r="B45" s="45">
        <v>0</v>
      </c>
      <c r="C45" s="46">
        <v>32963845</v>
      </c>
      <c r="D45" s="38">
        <v>403777333</v>
      </c>
      <c r="E45" s="42">
        <v>236470072</v>
      </c>
      <c r="F45" s="42">
        <v>0</v>
      </c>
      <c r="G45" s="42">
        <v>67557643</v>
      </c>
      <c r="H45" s="42">
        <v>99749618</v>
      </c>
      <c r="I45" s="47"/>
      <c r="J45" s="43">
        <v>0</v>
      </c>
      <c r="K45" s="50">
        <v>0</v>
      </c>
      <c r="L45" s="39">
        <v>0</v>
      </c>
      <c r="M45" s="42">
        <v>0</v>
      </c>
      <c r="N45" s="42">
        <v>0</v>
      </c>
      <c r="O45" s="42">
        <v>0</v>
      </c>
      <c r="P45" s="42">
        <v>0</v>
      </c>
      <c r="Q45" s="42">
        <v>0</v>
      </c>
      <c r="R45" s="42">
        <v>0</v>
      </c>
      <c r="S45" s="42">
        <v>0</v>
      </c>
      <c r="T45" s="42">
        <v>0</v>
      </c>
      <c r="U45" s="42">
        <v>0</v>
      </c>
      <c r="V45" s="55">
        <v>0</v>
      </c>
      <c r="W45" s="54">
        <v>0</v>
      </c>
      <c r="X45" s="38">
        <v>0</v>
      </c>
      <c r="Y45" s="39">
        <v>0</v>
      </c>
      <c r="Z45" s="39">
        <v>0</v>
      </c>
      <c r="AA45" s="39">
        <v>0</v>
      </c>
      <c r="AB45" s="41">
        <v>0</v>
      </c>
      <c r="AC45" s="38">
        <v>0</v>
      </c>
      <c r="AD45" s="47"/>
      <c r="AE45" s="42">
        <v>0</v>
      </c>
      <c r="AF45" s="43">
        <v>0</v>
      </c>
      <c r="AG45" s="38">
        <v>436741178</v>
      </c>
      <c r="AH45" s="41">
        <v>436741178</v>
      </c>
      <c r="AI45" s="34"/>
      <c r="AJ45" s="80"/>
    </row>
    <row r="46" spans="1:36" ht="15" customHeight="1" thickBot="1" x14ac:dyDescent="0.35">
      <c r="A46" s="66" t="s">
        <v>114</v>
      </c>
      <c r="B46" s="67">
        <v>0</v>
      </c>
      <c r="C46" s="68">
        <v>8007789</v>
      </c>
      <c r="D46" s="69">
        <v>0</v>
      </c>
      <c r="E46" s="70">
        <v>0</v>
      </c>
      <c r="F46" s="70">
        <v>0</v>
      </c>
      <c r="G46" s="70">
        <v>0</v>
      </c>
      <c r="H46" s="70">
        <v>0</v>
      </c>
      <c r="I46" s="85"/>
      <c r="J46" s="71">
        <v>0</v>
      </c>
      <c r="K46" s="72">
        <v>0</v>
      </c>
      <c r="L46" s="73">
        <v>0</v>
      </c>
      <c r="M46" s="70">
        <v>0</v>
      </c>
      <c r="N46" s="70">
        <v>0</v>
      </c>
      <c r="O46" s="70">
        <v>0</v>
      </c>
      <c r="P46" s="70">
        <v>0</v>
      </c>
      <c r="Q46" s="70">
        <v>0</v>
      </c>
      <c r="R46" s="70">
        <v>0</v>
      </c>
      <c r="S46" s="70">
        <v>0</v>
      </c>
      <c r="T46" s="70">
        <v>0</v>
      </c>
      <c r="U46" s="70">
        <v>0</v>
      </c>
      <c r="V46" s="74">
        <v>0</v>
      </c>
      <c r="W46" s="75">
        <v>0</v>
      </c>
      <c r="X46" s="69">
        <v>0</v>
      </c>
      <c r="Y46" s="73">
        <v>0</v>
      </c>
      <c r="Z46" s="73">
        <v>0</v>
      </c>
      <c r="AA46" s="73">
        <v>0</v>
      </c>
      <c r="AB46" s="76">
        <v>0</v>
      </c>
      <c r="AC46" s="69">
        <v>0</v>
      </c>
      <c r="AD46" s="70">
        <v>0</v>
      </c>
      <c r="AE46" s="70">
        <v>0</v>
      </c>
      <c r="AF46" s="71">
        <v>0</v>
      </c>
      <c r="AG46" s="69">
        <v>8007789</v>
      </c>
      <c r="AH46" s="76">
        <v>8007789</v>
      </c>
      <c r="AI46" s="86"/>
      <c r="AJ46" s="80"/>
    </row>
    <row r="47" spans="1:36" ht="15" customHeight="1" x14ac:dyDescent="0.25">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8"/>
    </row>
    <row r="48" spans="1:36" ht="15" customHeight="1" x14ac:dyDescent="0.25">
      <c r="AC48" s="1"/>
    </row>
    <row r="49" spans="2:30" ht="15" customHeight="1" x14ac:dyDescent="0.25">
      <c r="AB49" s="1"/>
      <c r="AC49" s="77"/>
      <c r="AD49" s="1"/>
    </row>
    <row r="50" spans="2:30" ht="15" customHeight="1" x14ac:dyDescent="0.25">
      <c r="B50" s="1"/>
      <c r="AC50" s="77"/>
      <c r="AD50" s="1"/>
    </row>
    <row r="51" spans="2:30" ht="15" customHeight="1" x14ac:dyDescent="0.25">
      <c r="AC51" s="77"/>
      <c r="AD51" s="1"/>
    </row>
    <row r="52" spans="2:30" ht="15" customHeight="1" x14ac:dyDescent="0.25">
      <c r="AC52" s="77"/>
      <c r="AD52" s="1"/>
    </row>
    <row r="53" spans="2:30" ht="15" customHeight="1" x14ac:dyDescent="0.25">
      <c r="AC53" s="77"/>
      <c r="AD53" s="1"/>
    </row>
    <row r="54" spans="2:30" ht="15" customHeight="1" x14ac:dyDescent="0.25">
      <c r="AC54" s="77"/>
      <c r="AD54" s="1"/>
    </row>
    <row r="55" spans="2:30" ht="15" customHeight="1" x14ac:dyDescent="0.25"/>
    <row r="56" spans="2:30" ht="15" customHeight="1" x14ac:dyDescent="0.25"/>
    <row r="57" spans="2:30" ht="15" customHeight="1" x14ac:dyDescent="0.25"/>
  </sheetData>
  <mergeCells count="5">
    <mergeCell ref="D1:J1"/>
    <mergeCell ref="K1:W1"/>
    <mergeCell ref="X1:AB1"/>
    <mergeCell ref="AC1:AF1"/>
    <mergeCell ref="AG1:A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H65"/>
  <sheetViews>
    <sheetView zoomScale="60" zoomScaleNormal="60" workbookViewId="0">
      <pane xSplit="9" ySplit="4" topLeftCell="AL5" activePane="bottomRight" state="frozen"/>
      <selection pane="topRight"/>
      <selection pane="bottomLeft"/>
      <selection pane="bottomRight" activeCell="A53" sqref="A53"/>
    </sheetView>
  </sheetViews>
  <sheetFormatPr defaultColWidth="13.1796875" defaultRowHeight="12.5" x14ac:dyDescent="0.25"/>
  <cols>
    <col min="1" max="1" width="35.1796875" customWidth="1"/>
    <col min="2" max="2" width="25.54296875" hidden="1" customWidth="1"/>
    <col min="3" max="3" width="18.7265625" hidden="1" customWidth="1"/>
    <col min="4" max="4" width="31.453125" hidden="1" customWidth="1"/>
    <col min="5" max="5" width="20" hidden="1" customWidth="1"/>
    <col min="6" max="6" width="11.54296875" hidden="1" customWidth="1"/>
    <col min="7" max="7" width="12.453125" hidden="1" customWidth="1"/>
    <col min="8" max="8" width="9.81640625" hidden="1" customWidth="1"/>
    <col min="9" max="9" width="13.1796875" hidden="1" customWidth="1"/>
    <col min="10" max="12" width="21.453125" customWidth="1"/>
    <col min="13" max="13" width="18.26953125" customWidth="1"/>
    <col min="14" max="14" width="18.7265625" hidden="1" customWidth="1"/>
    <col min="15" max="15" width="31.453125" hidden="1" customWidth="1"/>
    <col min="16" max="16" width="20" hidden="1" customWidth="1"/>
    <col min="17" max="17" width="11" hidden="1" customWidth="1"/>
    <col min="18" max="18" width="12.453125" hidden="1" customWidth="1"/>
    <col min="19" max="19" width="11.81640625" hidden="1" customWidth="1"/>
    <col min="20" max="20" width="9.81640625" hidden="1" customWidth="1"/>
    <col min="21" max="21" width="13.1796875" hidden="1" customWidth="1"/>
    <col min="22" max="22" width="20.81640625" customWidth="1"/>
    <col min="23" max="24" width="20.1796875" customWidth="1"/>
    <col min="25" max="25" width="18.26953125" customWidth="1"/>
    <col min="26" max="28" width="21.81640625" customWidth="1"/>
    <col min="29" max="29" width="21.81640625" hidden="1" customWidth="1"/>
    <col min="30" max="34" width="0" hidden="1"/>
    <col min="35" max="35" width="5.26953125" customWidth="1"/>
    <col min="36" max="37" width="21.81640625" customWidth="1"/>
    <col min="38" max="38" width="20.81640625" customWidth="1"/>
    <col min="39" max="39" width="21.453125" customWidth="1"/>
    <col min="40" max="40" width="21.81640625" customWidth="1"/>
    <col min="41" max="44" width="0" hidden="1"/>
    <col min="45" max="45" width="7.54296875" hidden="1" customWidth="1"/>
    <col min="46" max="47" width="21.26953125" customWidth="1"/>
    <col min="48" max="52" width="21.81640625" customWidth="1"/>
    <col min="53" max="57" width="21.81640625" hidden="1" customWidth="1"/>
    <col min="58" max="58" width="2.1796875" hidden="1" customWidth="1"/>
    <col min="59" max="59" width="1.81640625" hidden="1" customWidth="1"/>
    <col min="60" max="60" width="21.81640625" customWidth="1"/>
    <col min="61" max="62" width="27.453125" customWidth="1"/>
    <col min="63" max="70" width="21.81640625" customWidth="1"/>
    <col min="71" max="71" width="32.81640625" customWidth="1"/>
    <col min="72" max="72" width="60" customWidth="1"/>
    <col min="73" max="73" width="27.81640625" customWidth="1"/>
    <col min="74" max="74" width="21.81640625" customWidth="1"/>
    <col min="75" max="75" width="24.1796875" customWidth="1"/>
    <col min="76" max="76" width="20.1796875" customWidth="1"/>
    <col min="77" max="77" width="29.81640625" customWidth="1"/>
    <col min="78" max="78" width="20.26953125" customWidth="1"/>
    <col min="79" max="81" width="11.81640625" customWidth="1"/>
    <col min="82" max="82" width="17.81640625" customWidth="1"/>
    <col min="83" max="83" width="12.54296875" customWidth="1"/>
    <col min="84" max="84" width="32.26953125" customWidth="1"/>
    <col min="85" max="86" width="11.81640625" customWidth="1"/>
  </cols>
  <sheetData>
    <row r="1" spans="1:86" ht="17.5" customHeight="1" x14ac:dyDescent="0.25">
      <c r="A1" s="224"/>
      <c r="B1" s="661" t="s">
        <v>115</v>
      </c>
      <c r="C1" s="670"/>
      <c r="D1" s="670"/>
      <c r="E1" s="670"/>
      <c r="F1" s="670"/>
      <c r="G1" s="670"/>
      <c r="H1" s="670"/>
      <c r="I1" s="670"/>
      <c r="J1" s="670"/>
      <c r="K1" s="670"/>
      <c r="L1" s="670"/>
      <c r="M1" s="670"/>
      <c r="N1" s="670"/>
      <c r="O1" s="670"/>
      <c r="P1" s="670"/>
      <c r="Q1" s="670"/>
      <c r="R1" s="670"/>
      <c r="S1" s="670"/>
      <c r="T1" s="670"/>
      <c r="U1" s="670"/>
      <c r="V1" s="670"/>
      <c r="W1" s="670"/>
      <c r="X1" s="670"/>
      <c r="Y1" s="670"/>
      <c r="Z1" s="670"/>
      <c r="AA1" s="662"/>
      <c r="AB1" s="666" t="s">
        <v>116</v>
      </c>
      <c r="AC1" s="666" t="s">
        <v>117</v>
      </c>
      <c r="AD1" s="661" t="s">
        <v>118</v>
      </c>
      <c r="AE1" s="670"/>
      <c r="AF1" s="670"/>
      <c r="AG1" s="670"/>
      <c r="AH1" s="670"/>
      <c r="AI1" s="670"/>
      <c r="AJ1" s="670"/>
      <c r="AK1" s="670"/>
      <c r="AL1" s="670"/>
      <c r="AM1" s="670"/>
      <c r="AN1" s="670"/>
      <c r="AO1" s="670"/>
      <c r="AP1" s="670"/>
      <c r="AQ1" s="670"/>
      <c r="AR1" s="670"/>
      <c r="AS1" s="670"/>
      <c r="AT1" s="670"/>
      <c r="AU1" s="670"/>
      <c r="AV1" s="670"/>
      <c r="AW1" s="662"/>
      <c r="AX1" s="658" t="s">
        <v>119</v>
      </c>
      <c r="AY1" s="659"/>
      <c r="AZ1" s="659"/>
      <c r="BA1" s="659"/>
      <c r="BB1" s="659"/>
      <c r="BC1" s="659"/>
      <c r="BD1" s="659"/>
      <c r="BE1" s="659"/>
      <c r="BF1" s="659"/>
      <c r="BG1" s="659"/>
      <c r="BH1" s="660"/>
      <c r="BI1" s="648" t="s">
        <v>120</v>
      </c>
      <c r="BJ1" s="648" t="s">
        <v>121</v>
      </c>
      <c r="BK1" s="650" t="s">
        <v>122</v>
      </c>
      <c r="BL1" s="643" t="s">
        <v>123</v>
      </c>
      <c r="BM1" s="643" t="s">
        <v>124</v>
      </c>
      <c r="BN1" s="643" t="s">
        <v>125</v>
      </c>
      <c r="BO1" s="645" t="s">
        <v>126</v>
      </c>
      <c r="BP1" s="647" t="s">
        <v>484</v>
      </c>
      <c r="BQ1" s="644" t="s">
        <v>485</v>
      </c>
      <c r="BR1" s="646" t="s">
        <v>486</v>
      </c>
      <c r="BS1" s="639" t="s">
        <v>130</v>
      </c>
      <c r="BT1" s="640"/>
      <c r="BU1" s="640"/>
      <c r="BV1" s="640"/>
      <c r="BW1" s="640"/>
      <c r="BX1" s="640"/>
      <c r="BY1" s="640"/>
      <c r="BZ1" s="640"/>
      <c r="CA1" s="640"/>
      <c r="CB1" s="640"/>
      <c r="CC1" s="640"/>
      <c r="CD1" s="640"/>
      <c r="CE1" s="640"/>
      <c r="CF1" s="641"/>
      <c r="CG1" s="225"/>
    </row>
    <row r="2" spans="1:86" ht="17.5" customHeight="1" x14ac:dyDescent="0.25">
      <c r="A2" s="226"/>
      <c r="B2" s="654" t="s">
        <v>131</v>
      </c>
      <c r="C2" s="655"/>
      <c r="D2" s="655"/>
      <c r="E2" s="655"/>
      <c r="F2" s="655"/>
      <c r="G2" s="655"/>
      <c r="H2" s="655"/>
      <c r="I2" s="677"/>
      <c r="J2" s="661" t="s">
        <v>132</v>
      </c>
      <c r="K2" s="670"/>
      <c r="L2" s="662"/>
      <c r="M2" s="671" t="s">
        <v>133</v>
      </c>
      <c r="N2" s="654" t="s">
        <v>134</v>
      </c>
      <c r="O2" s="655"/>
      <c r="P2" s="655"/>
      <c r="Q2" s="655"/>
      <c r="R2" s="655"/>
      <c r="S2" s="655"/>
      <c r="T2" s="655"/>
      <c r="U2" s="677"/>
      <c r="V2" s="661" t="s">
        <v>132</v>
      </c>
      <c r="W2" s="670"/>
      <c r="X2" s="662"/>
      <c r="Y2" s="679" t="s">
        <v>135</v>
      </c>
      <c r="Z2" s="679" t="s">
        <v>136</v>
      </c>
      <c r="AA2" s="668" t="s">
        <v>137</v>
      </c>
      <c r="AB2" s="667"/>
      <c r="AC2" s="667"/>
      <c r="AD2" s="639"/>
      <c r="AE2" s="640"/>
      <c r="AF2" s="640"/>
      <c r="AG2" s="640"/>
      <c r="AH2" s="640"/>
      <c r="AI2" s="640"/>
      <c r="AJ2" s="640"/>
      <c r="AK2" s="227"/>
      <c r="AL2" s="661" t="s">
        <v>131</v>
      </c>
      <c r="AM2" s="662"/>
      <c r="AN2" s="671" t="s">
        <v>133</v>
      </c>
      <c r="AO2" s="639" t="s">
        <v>134</v>
      </c>
      <c r="AP2" s="640"/>
      <c r="AQ2" s="640"/>
      <c r="AR2" s="640"/>
      <c r="AS2" s="640"/>
      <c r="AT2" s="670"/>
      <c r="AU2" s="673"/>
      <c r="AV2" s="674" t="s">
        <v>135</v>
      </c>
      <c r="AW2" s="664" t="s">
        <v>138</v>
      </c>
      <c r="AX2" s="654"/>
      <c r="AY2" s="655"/>
      <c r="AZ2" s="655"/>
      <c r="BA2" s="656" t="s">
        <v>139</v>
      </c>
      <c r="BB2" s="655" t="s">
        <v>134</v>
      </c>
      <c r="BC2" s="655"/>
      <c r="BD2" s="655"/>
      <c r="BE2" s="663" t="s">
        <v>140</v>
      </c>
      <c r="BF2" s="661" t="s">
        <v>141</v>
      </c>
      <c r="BG2" s="662"/>
      <c r="BH2" s="664" t="s">
        <v>119</v>
      </c>
      <c r="BI2" s="649"/>
      <c r="BJ2" s="649"/>
      <c r="BK2" s="651"/>
      <c r="BL2" s="644"/>
      <c r="BM2" s="644"/>
      <c r="BN2" s="644"/>
      <c r="BO2" s="646"/>
      <c r="BP2" s="647"/>
      <c r="BQ2" s="644"/>
      <c r="BR2" s="646"/>
      <c r="BS2" s="635" t="s">
        <v>142</v>
      </c>
      <c r="BT2" s="636"/>
      <c r="BU2" s="636"/>
      <c r="BV2" s="636"/>
      <c r="BW2" s="637"/>
      <c r="BX2" s="638" t="s">
        <v>143</v>
      </c>
      <c r="BY2" s="636"/>
      <c r="BZ2" s="637"/>
      <c r="CA2" s="638" t="s">
        <v>144</v>
      </c>
      <c r="CB2" s="636"/>
      <c r="CC2" s="636"/>
      <c r="CD2" s="637"/>
      <c r="CE2" s="638" t="s">
        <v>145</v>
      </c>
      <c r="CF2" s="642"/>
      <c r="CG2" s="225"/>
    </row>
    <row r="3" spans="1:86" ht="50.9" customHeight="1" x14ac:dyDescent="0.25">
      <c r="A3" s="89" t="s">
        <v>146</v>
      </c>
      <c r="B3" s="91" t="s">
        <v>147</v>
      </c>
      <c r="C3" s="92" t="s">
        <v>148</v>
      </c>
      <c r="D3" s="92" t="s">
        <v>149</v>
      </c>
      <c r="E3" s="92" t="s">
        <v>150</v>
      </c>
      <c r="F3" s="92" t="s">
        <v>151</v>
      </c>
      <c r="G3" s="92" t="s">
        <v>152</v>
      </c>
      <c r="H3" s="92" t="s">
        <v>153</v>
      </c>
      <c r="I3" s="92" t="s">
        <v>154</v>
      </c>
      <c r="J3" s="90" t="s">
        <v>155</v>
      </c>
      <c r="K3" s="90" t="s">
        <v>156</v>
      </c>
      <c r="L3" s="90" t="s">
        <v>157</v>
      </c>
      <c r="M3" s="678"/>
      <c r="N3" s="91" t="s">
        <v>148</v>
      </c>
      <c r="O3" s="92" t="s">
        <v>149</v>
      </c>
      <c r="P3" s="92" t="s">
        <v>150</v>
      </c>
      <c r="Q3" s="92" t="s">
        <v>158</v>
      </c>
      <c r="R3" s="92" t="s">
        <v>152</v>
      </c>
      <c r="S3" s="92" t="s">
        <v>159</v>
      </c>
      <c r="T3" s="92" t="s">
        <v>153</v>
      </c>
      <c r="U3" s="92" t="s">
        <v>154</v>
      </c>
      <c r="V3" s="93" t="s">
        <v>160</v>
      </c>
      <c r="W3" s="94" t="s">
        <v>161</v>
      </c>
      <c r="X3" s="95" t="s">
        <v>162</v>
      </c>
      <c r="Y3" s="675"/>
      <c r="Z3" s="680"/>
      <c r="AA3" s="669"/>
      <c r="AB3" s="667"/>
      <c r="AC3" s="667"/>
      <c r="AD3" s="91" t="s">
        <v>163</v>
      </c>
      <c r="AE3" s="92" t="s">
        <v>164</v>
      </c>
      <c r="AF3" s="92" t="s">
        <v>165</v>
      </c>
      <c r="AG3" s="92" t="s">
        <v>166</v>
      </c>
      <c r="AH3" s="92" t="s">
        <v>167</v>
      </c>
      <c r="AI3" s="92" t="s">
        <v>168</v>
      </c>
      <c r="AJ3" s="96" t="s">
        <v>169</v>
      </c>
      <c r="AK3" s="97" t="s">
        <v>170</v>
      </c>
      <c r="AL3" s="98" t="s">
        <v>171</v>
      </c>
      <c r="AM3" s="98" t="s">
        <v>172</v>
      </c>
      <c r="AN3" s="672"/>
      <c r="AO3" s="91" t="s">
        <v>163</v>
      </c>
      <c r="AP3" s="92" t="s">
        <v>164</v>
      </c>
      <c r="AQ3" s="92" t="s">
        <v>165</v>
      </c>
      <c r="AR3" s="92" t="s">
        <v>166</v>
      </c>
      <c r="AS3" s="99" t="s">
        <v>167</v>
      </c>
      <c r="AT3" s="98" t="s">
        <v>173</v>
      </c>
      <c r="AU3" s="98" t="s">
        <v>174</v>
      </c>
      <c r="AV3" s="675"/>
      <c r="AW3" s="676"/>
      <c r="AX3" s="100" t="s">
        <v>175</v>
      </c>
      <c r="AY3" s="101" t="s">
        <v>152</v>
      </c>
      <c r="AZ3" s="101" t="s">
        <v>24</v>
      </c>
      <c r="BA3" s="657"/>
      <c r="BB3" s="101" t="s">
        <v>175</v>
      </c>
      <c r="BC3" s="101" t="s">
        <v>152</v>
      </c>
      <c r="BD3" s="101" t="s">
        <v>24</v>
      </c>
      <c r="BE3" s="657"/>
      <c r="BF3" s="93" t="s">
        <v>176</v>
      </c>
      <c r="BG3" s="93" t="s">
        <v>177</v>
      </c>
      <c r="BH3" s="665"/>
      <c r="BI3" s="649"/>
      <c r="BJ3" s="649"/>
      <c r="BK3" s="651"/>
      <c r="BL3" s="644"/>
      <c r="BM3" s="644"/>
      <c r="BN3" s="644"/>
      <c r="BO3" s="646"/>
      <c r="BP3" s="647"/>
      <c r="BQ3" s="644"/>
      <c r="BR3" s="646"/>
      <c r="BS3" s="102" t="s">
        <v>178</v>
      </c>
      <c r="BT3" s="103" t="s">
        <v>179</v>
      </c>
      <c r="BU3" s="103" t="s">
        <v>180</v>
      </c>
      <c r="BV3" s="103"/>
      <c r="BW3" s="104"/>
      <c r="BX3" s="99" t="s">
        <v>181</v>
      </c>
      <c r="BY3" s="103" t="s">
        <v>182</v>
      </c>
      <c r="BZ3" s="104" t="s">
        <v>183</v>
      </c>
      <c r="CA3" s="99" t="s">
        <v>184</v>
      </c>
      <c r="CB3" s="103" t="s">
        <v>185</v>
      </c>
      <c r="CC3" s="103" t="s">
        <v>182</v>
      </c>
      <c r="CD3" s="104" t="s">
        <v>183</v>
      </c>
      <c r="CE3" s="99" t="s">
        <v>186</v>
      </c>
      <c r="CF3" s="105" t="s">
        <v>182</v>
      </c>
      <c r="CG3" s="228"/>
    </row>
    <row r="4" spans="1:86" ht="15.75" hidden="1" customHeight="1" x14ac:dyDescent="0.35">
      <c r="A4" s="108"/>
      <c r="B4" s="114"/>
      <c r="C4" s="106"/>
      <c r="D4" s="106"/>
      <c r="E4" s="106"/>
      <c r="F4" s="106"/>
      <c r="G4" s="106"/>
      <c r="H4" s="106"/>
      <c r="I4" s="106"/>
      <c r="J4" s="106" t="s">
        <v>187</v>
      </c>
      <c r="K4" s="107" t="s">
        <v>188</v>
      </c>
      <c r="L4" s="108" t="s">
        <v>189</v>
      </c>
      <c r="M4" s="108" t="s">
        <v>190</v>
      </c>
      <c r="N4" s="114"/>
      <c r="O4" s="106"/>
      <c r="P4" s="106"/>
      <c r="Q4" s="106"/>
      <c r="R4" s="106"/>
      <c r="S4" s="106"/>
      <c r="T4" s="106"/>
      <c r="U4" s="106"/>
      <c r="V4" s="106" t="s">
        <v>191</v>
      </c>
      <c r="W4" s="109" t="s">
        <v>192</v>
      </c>
      <c r="X4" s="110" t="s">
        <v>193</v>
      </c>
      <c r="Y4" s="111" t="s">
        <v>194</v>
      </c>
      <c r="Z4" s="108" t="s">
        <v>195</v>
      </c>
      <c r="AA4" s="108" t="s">
        <v>196</v>
      </c>
      <c r="AB4" s="108" t="s">
        <v>197</v>
      </c>
      <c r="AC4" s="108"/>
      <c r="AD4" s="114"/>
      <c r="AE4" s="106"/>
      <c r="AF4" s="106"/>
      <c r="AG4" s="106"/>
      <c r="AH4" s="106"/>
      <c r="AI4" s="106"/>
      <c r="AJ4" s="106" t="s">
        <v>198</v>
      </c>
      <c r="AK4" s="109" t="s">
        <v>199</v>
      </c>
      <c r="AL4" s="112" t="s">
        <v>200</v>
      </c>
      <c r="AM4" s="113" t="s">
        <v>201</v>
      </c>
      <c r="AN4" s="107"/>
      <c r="AO4" s="114"/>
      <c r="AP4" s="106"/>
      <c r="AQ4" s="106"/>
      <c r="AR4" s="106"/>
      <c r="AS4" s="106"/>
      <c r="AT4" s="113" t="s">
        <v>202</v>
      </c>
      <c r="AU4" s="113" t="s">
        <v>203</v>
      </c>
      <c r="AV4" s="107"/>
      <c r="AW4" s="108"/>
      <c r="AX4" s="114" t="s">
        <v>204</v>
      </c>
      <c r="AY4" s="106" t="s">
        <v>205</v>
      </c>
      <c r="AZ4" s="106" t="s">
        <v>206</v>
      </c>
      <c r="BA4" s="106" t="s">
        <v>207</v>
      </c>
      <c r="BB4" s="106" t="s">
        <v>208</v>
      </c>
      <c r="BC4" s="106" t="s">
        <v>208</v>
      </c>
      <c r="BD4" s="106" t="s">
        <v>208</v>
      </c>
      <c r="BE4" s="106" t="s">
        <v>209</v>
      </c>
      <c r="BF4" s="106"/>
      <c r="BG4" s="106"/>
      <c r="BH4" s="107" t="s">
        <v>210</v>
      </c>
      <c r="BI4" s="108" t="s">
        <v>211</v>
      </c>
      <c r="BJ4" s="108" t="s">
        <v>212</v>
      </c>
      <c r="BK4" s="114" t="s">
        <v>213</v>
      </c>
      <c r="BL4" s="115" t="s">
        <v>214</v>
      </c>
      <c r="BM4" s="115" t="s">
        <v>215</v>
      </c>
      <c r="BN4" s="115" t="s">
        <v>216</v>
      </c>
      <c r="BO4" s="116" t="s">
        <v>217</v>
      </c>
      <c r="BP4" s="114"/>
      <c r="BQ4" s="106"/>
      <c r="BR4" s="107"/>
      <c r="BS4" s="229"/>
      <c r="BT4" s="230"/>
      <c r="BU4" s="230"/>
      <c r="BV4" s="230"/>
      <c r="BW4" s="230"/>
      <c r="BX4" s="230"/>
      <c r="BY4" s="230"/>
      <c r="BZ4" s="230"/>
      <c r="CA4" s="230"/>
      <c r="CB4" s="230"/>
      <c r="CC4" s="230"/>
      <c r="CD4" s="230"/>
      <c r="CE4" s="230"/>
      <c r="CF4" s="231"/>
      <c r="CG4" s="232"/>
      <c r="CH4" s="233"/>
    </row>
    <row r="5" spans="1:86" ht="15.75" customHeight="1" x14ac:dyDescent="0.35">
      <c r="A5" s="117" t="s">
        <v>72</v>
      </c>
      <c r="B5" s="118">
        <v>25958657</v>
      </c>
      <c r="C5" s="119">
        <v>0</v>
      </c>
      <c r="D5" s="119">
        <v>0</v>
      </c>
      <c r="E5" s="119">
        <v>301795</v>
      </c>
      <c r="F5" s="119">
        <v>0</v>
      </c>
      <c r="G5" s="119">
        <v>0</v>
      </c>
      <c r="H5" s="119">
        <v>0</v>
      </c>
      <c r="I5" s="119">
        <v>0</v>
      </c>
      <c r="J5" s="119">
        <v>85199</v>
      </c>
      <c r="K5" s="120">
        <v>41948.36</v>
      </c>
      <c r="L5" s="121">
        <v>1134</v>
      </c>
      <c r="M5" s="122">
        <v>128281</v>
      </c>
      <c r="N5" s="118">
        <v>35</v>
      </c>
      <c r="O5" s="119">
        <v>0</v>
      </c>
      <c r="P5" s="119">
        <v>0</v>
      </c>
      <c r="Q5" s="119">
        <v>0</v>
      </c>
      <c r="R5" s="119">
        <v>0</v>
      </c>
      <c r="S5" s="119">
        <v>0</v>
      </c>
      <c r="T5" s="119">
        <v>0</v>
      </c>
      <c r="U5" s="119">
        <v>0</v>
      </c>
      <c r="V5" s="119">
        <v>36212</v>
      </c>
      <c r="W5" s="123" t="s">
        <v>218</v>
      </c>
      <c r="X5" s="124" t="s">
        <v>219</v>
      </c>
      <c r="Y5" s="125">
        <v>42613</v>
      </c>
      <c r="Z5" s="126">
        <v>102</v>
      </c>
      <c r="AA5" s="126">
        <v>170996</v>
      </c>
      <c r="AB5" s="126">
        <v>10058</v>
      </c>
      <c r="AC5" s="126">
        <v>0</v>
      </c>
      <c r="AD5" s="118">
        <v>191</v>
      </c>
      <c r="AE5" s="119">
        <v>0</v>
      </c>
      <c r="AF5" s="119">
        <v>0</v>
      </c>
      <c r="AG5" s="119">
        <v>0</v>
      </c>
      <c r="AH5" s="119">
        <v>0</v>
      </c>
      <c r="AI5" s="119">
        <v>0</v>
      </c>
      <c r="AJ5" s="119">
        <v>4916</v>
      </c>
      <c r="AK5" s="127">
        <v>0</v>
      </c>
      <c r="AL5" s="128">
        <v>48293</v>
      </c>
      <c r="AM5" s="119">
        <v>4106</v>
      </c>
      <c r="AN5" s="122">
        <v>57315</v>
      </c>
      <c r="AO5" s="118">
        <v>0</v>
      </c>
      <c r="AP5" s="119">
        <v>0</v>
      </c>
      <c r="AQ5" s="119">
        <v>0</v>
      </c>
      <c r="AR5" s="119">
        <v>0</v>
      </c>
      <c r="AS5" s="119">
        <v>0</v>
      </c>
      <c r="AT5" s="119">
        <v>46240</v>
      </c>
      <c r="AU5" s="119">
        <v>479</v>
      </c>
      <c r="AV5" s="122">
        <v>46719</v>
      </c>
      <c r="AW5" s="126">
        <v>104034</v>
      </c>
      <c r="AX5" s="118">
        <v>39685</v>
      </c>
      <c r="AY5" s="119">
        <v>20486</v>
      </c>
      <c r="AZ5" s="119">
        <v>21729</v>
      </c>
      <c r="BA5" s="119">
        <v>81900</v>
      </c>
      <c r="BB5" s="119">
        <v>0</v>
      </c>
      <c r="BC5" s="119">
        <v>0</v>
      </c>
      <c r="BD5" s="119">
        <v>0</v>
      </c>
      <c r="BE5" s="119">
        <v>0</v>
      </c>
      <c r="BF5" s="119">
        <v>81900</v>
      </c>
      <c r="BG5" s="129" t="s">
        <v>220</v>
      </c>
      <c r="BH5" s="122">
        <f>BA5</f>
        <v>81900</v>
      </c>
      <c r="BI5" s="126">
        <v>726588</v>
      </c>
      <c r="BJ5" s="126">
        <v>613107</v>
      </c>
      <c r="BK5" s="130">
        <v>0.84400000000000008</v>
      </c>
      <c r="BL5" s="131">
        <v>22.01</v>
      </c>
      <c r="BM5" s="131">
        <v>1.17</v>
      </c>
      <c r="BN5" s="131">
        <v>13.02</v>
      </c>
      <c r="BO5" s="132">
        <v>0.54</v>
      </c>
      <c r="BP5" s="118">
        <v>6007</v>
      </c>
      <c r="BQ5" s="119">
        <v>443028</v>
      </c>
      <c r="BR5" s="122">
        <v>146770</v>
      </c>
      <c r="BS5" s="234"/>
      <c r="BT5" s="235"/>
      <c r="BU5" s="235"/>
      <c r="BV5" s="235"/>
      <c r="BW5" s="235"/>
      <c r="BX5" s="235"/>
      <c r="BY5" s="235"/>
      <c r="BZ5" s="235"/>
      <c r="CA5" s="235"/>
      <c r="CB5" s="235"/>
      <c r="CC5" s="235"/>
      <c r="CD5" s="235"/>
      <c r="CE5" s="235"/>
      <c r="CF5" s="236"/>
      <c r="CG5" s="237"/>
    </row>
    <row r="6" spans="1:86" ht="15.75" customHeight="1" x14ac:dyDescent="0.35">
      <c r="A6" s="133" t="s">
        <v>221</v>
      </c>
      <c r="B6" s="134">
        <v>25958657</v>
      </c>
      <c r="C6" s="135">
        <v>0</v>
      </c>
      <c r="D6" s="135">
        <v>0</v>
      </c>
      <c r="E6" s="135">
        <v>301795</v>
      </c>
      <c r="F6" s="135">
        <v>0</v>
      </c>
      <c r="G6" s="135">
        <v>0</v>
      </c>
      <c r="H6" s="135">
        <v>0</v>
      </c>
      <c r="I6" s="135">
        <v>0</v>
      </c>
      <c r="J6" s="135">
        <v>85199</v>
      </c>
      <c r="K6" s="136">
        <v>41948.36</v>
      </c>
      <c r="L6" s="137">
        <v>1134</v>
      </c>
      <c r="M6" s="138">
        <v>128281</v>
      </c>
      <c r="N6" s="134">
        <v>35</v>
      </c>
      <c r="O6" s="135">
        <v>0</v>
      </c>
      <c r="P6" s="135">
        <v>0</v>
      </c>
      <c r="Q6" s="135">
        <v>0</v>
      </c>
      <c r="R6" s="135">
        <v>0</v>
      </c>
      <c r="S6" s="135">
        <v>0</v>
      </c>
      <c r="T6" s="135">
        <v>0</v>
      </c>
      <c r="U6" s="135">
        <v>0</v>
      </c>
      <c r="V6" s="135">
        <v>36212</v>
      </c>
      <c r="W6" s="135">
        <v>5092</v>
      </c>
      <c r="X6" s="135">
        <v>1308</v>
      </c>
      <c r="Y6" s="138">
        <v>42613</v>
      </c>
      <c r="Z6" s="139">
        <v>102</v>
      </c>
      <c r="AA6" s="140">
        <v>170996</v>
      </c>
      <c r="AB6" s="140">
        <v>10058</v>
      </c>
      <c r="AC6" s="140">
        <v>0</v>
      </c>
      <c r="AD6" s="134">
        <v>191</v>
      </c>
      <c r="AE6" s="135">
        <v>0</v>
      </c>
      <c r="AF6" s="135">
        <v>0</v>
      </c>
      <c r="AG6" s="135">
        <v>0</v>
      </c>
      <c r="AH6" s="135">
        <v>0</v>
      </c>
      <c r="AI6" s="135">
        <v>0</v>
      </c>
      <c r="AJ6" s="135">
        <v>4916</v>
      </c>
      <c r="AK6" s="141">
        <v>0</v>
      </c>
      <c r="AL6" s="142">
        <v>48293</v>
      </c>
      <c r="AM6" s="135">
        <v>4106</v>
      </c>
      <c r="AN6" s="138">
        <v>57315</v>
      </c>
      <c r="AO6" s="134">
        <v>0</v>
      </c>
      <c r="AP6" s="135">
        <v>0</v>
      </c>
      <c r="AQ6" s="135">
        <v>0</v>
      </c>
      <c r="AR6" s="135">
        <v>0</v>
      </c>
      <c r="AS6" s="135">
        <v>0</v>
      </c>
      <c r="AT6" s="135">
        <v>46240</v>
      </c>
      <c r="AU6" s="135">
        <v>479</v>
      </c>
      <c r="AV6" s="138">
        <v>46719</v>
      </c>
      <c r="AW6" s="139">
        <v>104034</v>
      </c>
      <c r="AX6" s="134">
        <v>39685</v>
      </c>
      <c r="AY6" s="135">
        <v>20486</v>
      </c>
      <c r="AZ6" s="135">
        <v>21729</v>
      </c>
      <c r="BA6" s="135">
        <v>81900</v>
      </c>
      <c r="BB6" s="135">
        <v>0</v>
      </c>
      <c r="BC6" s="135">
        <v>0</v>
      </c>
      <c r="BD6" s="135">
        <v>0</v>
      </c>
      <c r="BE6" s="135">
        <v>0</v>
      </c>
      <c r="BF6" s="135">
        <v>81900</v>
      </c>
      <c r="BG6" s="143" t="s">
        <v>220</v>
      </c>
      <c r="BH6" s="138">
        <f>BA6</f>
        <v>81900</v>
      </c>
      <c r="BI6" s="139">
        <v>726588</v>
      </c>
      <c r="BJ6" s="139">
        <v>613107</v>
      </c>
      <c r="BK6" s="593">
        <v>0.84382000000000001</v>
      </c>
      <c r="BL6" s="145">
        <v>22.01</v>
      </c>
      <c r="BM6" s="145">
        <v>1.17</v>
      </c>
      <c r="BN6" s="145">
        <v>13.02</v>
      </c>
      <c r="BO6" s="146">
        <v>0.54</v>
      </c>
      <c r="BP6" s="134">
        <v>6007</v>
      </c>
      <c r="BQ6" s="135">
        <v>443028</v>
      </c>
      <c r="BR6" s="138">
        <v>146770</v>
      </c>
      <c r="BS6" s="180"/>
      <c r="BT6" s="143"/>
      <c r="BU6" s="143"/>
      <c r="BV6" s="143"/>
      <c r="BW6" s="143"/>
      <c r="BX6" s="143"/>
      <c r="BY6" s="143"/>
      <c r="BZ6" s="143"/>
      <c r="CA6" s="143"/>
      <c r="CB6" s="143"/>
      <c r="CC6" s="143"/>
      <c r="CD6" s="143"/>
      <c r="CE6" s="143"/>
      <c r="CF6" s="181"/>
      <c r="CG6" s="238"/>
      <c r="CH6" s="239"/>
    </row>
    <row r="7" spans="1:86" ht="15.75" customHeight="1" x14ac:dyDescent="0.35">
      <c r="A7" s="133" t="s">
        <v>222</v>
      </c>
      <c r="B7" s="139">
        <v>0</v>
      </c>
      <c r="C7" s="139">
        <v>0</v>
      </c>
      <c r="D7" s="139">
        <v>0</v>
      </c>
      <c r="E7" s="139">
        <v>2170</v>
      </c>
      <c r="F7" s="139">
        <v>0</v>
      </c>
      <c r="G7" s="139">
        <v>0</v>
      </c>
      <c r="H7" s="139">
        <v>0</v>
      </c>
      <c r="I7" s="139">
        <v>0</v>
      </c>
      <c r="J7" s="139">
        <v>28243</v>
      </c>
      <c r="K7" s="147">
        <v>39554.589999999997</v>
      </c>
      <c r="L7" s="148">
        <v>107</v>
      </c>
      <c r="M7" s="139">
        <v>67905</v>
      </c>
      <c r="N7" s="139">
        <v>0</v>
      </c>
      <c r="O7" s="139">
        <v>0</v>
      </c>
      <c r="P7" s="139">
        <v>0</v>
      </c>
      <c r="Q7" s="139">
        <v>0</v>
      </c>
      <c r="R7" s="139">
        <v>0</v>
      </c>
      <c r="S7" s="139">
        <v>0</v>
      </c>
      <c r="T7" s="139">
        <v>0</v>
      </c>
      <c r="U7" s="139">
        <v>0</v>
      </c>
      <c r="V7" s="139">
        <v>0</v>
      </c>
      <c r="W7" s="139">
        <v>4326</v>
      </c>
      <c r="X7" s="139">
        <v>1308</v>
      </c>
      <c r="Y7" s="139">
        <v>5634</v>
      </c>
      <c r="Z7" s="139">
        <v>0</v>
      </c>
      <c r="AA7" s="139">
        <v>73539</v>
      </c>
      <c r="AB7" s="139">
        <v>14038</v>
      </c>
      <c r="AC7" s="139">
        <v>0</v>
      </c>
      <c r="AD7" s="139">
        <v>191</v>
      </c>
      <c r="AE7" s="139">
        <v>0</v>
      </c>
      <c r="AF7" s="139">
        <v>0</v>
      </c>
      <c r="AG7" s="139">
        <v>0</v>
      </c>
      <c r="AH7" s="139">
        <v>0</v>
      </c>
      <c r="AI7" s="139">
        <v>0</v>
      </c>
      <c r="AJ7" s="139">
        <v>3348</v>
      </c>
      <c r="AK7" s="149">
        <v>0</v>
      </c>
      <c r="AL7" s="150">
        <v>23943</v>
      </c>
      <c r="AM7" s="139">
        <v>3336</v>
      </c>
      <c r="AN7" s="139">
        <v>30628</v>
      </c>
      <c r="AO7" s="139">
        <v>0</v>
      </c>
      <c r="AP7" s="139">
        <v>0</v>
      </c>
      <c r="AQ7" s="139">
        <v>0</v>
      </c>
      <c r="AR7" s="139">
        <v>0</v>
      </c>
      <c r="AS7" s="139">
        <v>0</v>
      </c>
      <c r="AT7" s="139">
        <v>0</v>
      </c>
      <c r="AU7" s="139">
        <v>0</v>
      </c>
      <c r="AV7" s="139">
        <v>0</v>
      </c>
      <c r="AW7" s="139">
        <v>30628</v>
      </c>
      <c r="AX7" s="139">
        <v>31256</v>
      </c>
      <c r="AY7" s="139">
        <v>12851</v>
      </c>
      <c r="AZ7" s="139">
        <v>4118</v>
      </c>
      <c r="BA7" s="139">
        <v>45811</v>
      </c>
      <c r="BB7" s="139">
        <v>0</v>
      </c>
      <c r="BC7" s="139">
        <v>0</v>
      </c>
      <c r="BD7" s="139">
        <v>0</v>
      </c>
      <c r="BE7" s="139">
        <v>0</v>
      </c>
      <c r="BF7" s="139">
        <v>45811</v>
      </c>
      <c r="BG7" t="e">
        <f>#VALUE! + N("#VALUE!")</f>
        <v>#VALUE!</v>
      </c>
      <c r="BH7" s="139">
        <v>45811</v>
      </c>
      <c r="BI7" s="139">
        <v>471930</v>
      </c>
      <c r="BJ7" s="139">
        <v>400990</v>
      </c>
      <c r="BK7" s="593">
        <v>0.8496800000000001</v>
      </c>
      <c r="BL7" s="145">
        <v>17.63</v>
      </c>
      <c r="BM7" s="145">
        <v>0.99</v>
      </c>
      <c r="BN7" s="145">
        <v>10.98</v>
      </c>
      <c r="BO7" s="146">
        <v>0.62</v>
      </c>
      <c r="BP7" s="134">
        <v>4171</v>
      </c>
      <c r="BQ7" s="135">
        <v>177060</v>
      </c>
      <c r="BR7" s="138">
        <v>74473</v>
      </c>
      <c r="BS7" s="180"/>
      <c r="BT7" s="143"/>
      <c r="BU7" s="143"/>
      <c r="BV7" s="143"/>
      <c r="BW7" s="143"/>
      <c r="BX7" s="143"/>
      <c r="BY7" s="143"/>
      <c r="BZ7" s="143"/>
      <c r="CA7" s="143"/>
      <c r="CB7" s="143"/>
      <c r="CC7" s="143"/>
      <c r="CD7" s="143"/>
      <c r="CE7" s="143"/>
      <c r="CF7" s="181"/>
      <c r="CG7" s="238"/>
      <c r="CH7" s="239"/>
    </row>
    <row r="8" spans="1:86" ht="15.75" customHeight="1" x14ac:dyDescent="0.35">
      <c r="A8" s="151" t="s">
        <v>73</v>
      </c>
      <c r="B8" s="152">
        <v>0</v>
      </c>
      <c r="C8" s="153">
        <v>0</v>
      </c>
      <c r="D8" s="153">
        <v>0</v>
      </c>
      <c r="E8" s="153">
        <v>0</v>
      </c>
      <c r="F8" s="153">
        <v>0</v>
      </c>
      <c r="G8" s="153">
        <v>0</v>
      </c>
      <c r="H8" s="153">
        <v>0</v>
      </c>
      <c r="I8" s="153">
        <v>0</v>
      </c>
      <c r="J8" s="153">
        <v>47888</v>
      </c>
      <c r="K8" s="154">
        <v>4501.1400000000003</v>
      </c>
      <c r="L8" s="155">
        <v>1134</v>
      </c>
      <c r="M8" s="156">
        <v>53522</v>
      </c>
      <c r="N8" s="152">
        <v>0</v>
      </c>
      <c r="O8" s="153">
        <v>0</v>
      </c>
      <c r="P8" s="153">
        <v>0</v>
      </c>
      <c r="Q8" s="153">
        <v>0</v>
      </c>
      <c r="R8" s="153">
        <v>0</v>
      </c>
      <c r="S8" s="153">
        <v>0</v>
      </c>
      <c r="T8" s="153">
        <v>0</v>
      </c>
      <c r="U8" s="153">
        <v>0</v>
      </c>
      <c r="V8" s="153">
        <v>32619</v>
      </c>
      <c r="W8" s="153">
        <v>251</v>
      </c>
      <c r="X8" s="153">
        <v>1308</v>
      </c>
      <c r="Y8" s="156">
        <v>34179</v>
      </c>
      <c r="Z8" s="157">
        <v>102</v>
      </c>
      <c r="AA8" s="157">
        <v>87803</v>
      </c>
      <c r="AB8" s="157">
        <v>-121</v>
      </c>
      <c r="AC8" s="157">
        <v>0</v>
      </c>
      <c r="AD8" s="152">
        <v>0</v>
      </c>
      <c r="AE8" s="153">
        <v>0</v>
      </c>
      <c r="AF8" s="153">
        <v>0</v>
      </c>
      <c r="AG8" s="153">
        <v>0</v>
      </c>
      <c r="AH8" s="153">
        <v>0</v>
      </c>
      <c r="AI8" s="153">
        <v>0</v>
      </c>
      <c r="AJ8" s="153">
        <v>333</v>
      </c>
      <c r="AK8" s="158">
        <v>0</v>
      </c>
      <c r="AL8" s="159">
        <v>35729</v>
      </c>
      <c r="AM8" s="153">
        <v>3861</v>
      </c>
      <c r="AN8" s="156">
        <v>39923</v>
      </c>
      <c r="AO8" s="152">
        <v>0</v>
      </c>
      <c r="AP8" s="153">
        <v>0</v>
      </c>
      <c r="AQ8" s="153">
        <v>0</v>
      </c>
      <c r="AR8" s="153">
        <v>0</v>
      </c>
      <c r="AS8" s="153">
        <v>0</v>
      </c>
      <c r="AT8" s="153">
        <v>46240</v>
      </c>
      <c r="AU8" s="153">
        <v>167</v>
      </c>
      <c r="AV8" s="156">
        <v>46407</v>
      </c>
      <c r="AW8" s="157">
        <v>86331</v>
      </c>
      <c r="AX8" s="152">
        <v>11796</v>
      </c>
      <c r="AY8" s="153">
        <v>788</v>
      </c>
      <c r="AZ8" s="153">
        <v>3321</v>
      </c>
      <c r="BA8" s="153">
        <v>15905</v>
      </c>
      <c r="BB8" s="153">
        <v>0</v>
      </c>
      <c r="BC8" s="153">
        <v>0</v>
      </c>
      <c r="BD8" s="153">
        <v>0</v>
      </c>
      <c r="BE8" s="153">
        <v>0</v>
      </c>
      <c r="BF8" s="153">
        <v>15905</v>
      </c>
      <c r="BG8" s="160" t="s">
        <v>223</v>
      </c>
      <c r="BH8" s="156">
        <v>15905</v>
      </c>
      <c r="BI8" s="157">
        <v>125834</v>
      </c>
      <c r="BJ8" s="157">
        <v>101644</v>
      </c>
      <c r="BK8" s="591">
        <v>0.80776000000000003</v>
      </c>
      <c r="BL8" s="161">
        <v>26.6</v>
      </c>
      <c r="BM8" s="161">
        <v>1.71</v>
      </c>
      <c r="BN8" s="161">
        <v>7.94</v>
      </c>
      <c r="BO8" s="162">
        <v>0.31</v>
      </c>
      <c r="BP8" s="152">
        <v>1845</v>
      </c>
      <c r="BQ8" s="153">
        <v>407621</v>
      </c>
      <c r="BR8" s="156">
        <v>51356</v>
      </c>
      <c r="BS8" s="190"/>
      <c r="BT8" s="183"/>
      <c r="BU8" s="183"/>
      <c r="BV8" s="183"/>
      <c r="BW8" s="183"/>
      <c r="BX8" s="183"/>
      <c r="BY8" s="183"/>
      <c r="BZ8" s="183"/>
      <c r="CA8" s="183"/>
      <c r="CB8" s="183"/>
      <c r="CC8" s="183"/>
      <c r="CD8" s="183"/>
      <c r="CE8" s="183"/>
      <c r="CF8" s="184"/>
      <c r="CG8" s="240"/>
    </row>
    <row r="9" spans="1:86" ht="15.75" customHeight="1" x14ac:dyDescent="0.35">
      <c r="A9" s="163" t="s">
        <v>74</v>
      </c>
      <c r="B9" s="164">
        <v>0</v>
      </c>
      <c r="C9" s="165">
        <v>0</v>
      </c>
      <c r="D9" s="165">
        <v>0</v>
      </c>
      <c r="E9" s="165">
        <v>0</v>
      </c>
      <c r="F9" s="165">
        <v>0</v>
      </c>
      <c r="G9" s="165">
        <v>0</v>
      </c>
      <c r="H9" s="165">
        <v>0</v>
      </c>
      <c r="I9" s="165">
        <v>0</v>
      </c>
      <c r="J9" s="165">
        <v>3131</v>
      </c>
      <c r="K9" s="166">
        <v>3460.38</v>
      </c>
      <c r="L9" s="167">
        <v>0</v>
      </c>
      <c r="M9" s="168">
        <v>6591</v>
      </c>
      <c r="N9" s="164">
        <v>0</v>
      </c>
      <c r="O9" s="165">
        <v>0</v>
      </c>
      <c r="P9" s="165">
        <v>0</v>
      </c>
      <c r="Q9" s="165">
        <v>0</v>
      </c>
      <c r="R9" s="165">
        <v>0</v>
      </c>
      <c r="S9" s="165">
        <v>0</v>
      </c>
      <c r="T9" s="165">
        <v>0</v>
      </c>
      <c r="U9" s="165">
        <v>0</v>
      </c>
      <c r="V9" s="165">
        <v>0</v>
      </c>
      <c r="W9" s="165">
        <v>0</v>
      </c>
      <c r="X9" s="165">
        <v>0</v>
      </c>
      <c r="Y9" s="168">
        <v>0</v>
      </c>
      <c r="Z9" s="169">
        <v>0</v>
      </c>
      <c r="AA9" s="169">
        <v>6591</v>
      </c>
      <c r="AB9" s="169">
        <v>-3618</v>
      </c>
      <c r="AC9" s="169">
        <v>0</v>
      </c>
      <c r="AD9" s="164">
        <v>0</v>
      </c>
      <c r="AE9" s="165">
        <v>0</v>
      </c>
      <c r="AF9" s="165">
        <v>0</v>
      </c>
      <c r="AG9" s="165">
        <v>0</v>
      </c>
      <c r="AH9" s="165">
        <v>0</v>
      </c>
      <c r="AI9" s="165">
        <v>0</v>
      </c>
      <c r="AJ9" s="165">
        <v>238</v>
      </c>
      <c r="AK9" s="170">
        <v>0</v>
      </c>
      <c r="AL9" s="171">
        <v>376</v>
      </c>
      <c r="AM9" s="165">
        <v>1976</v>
      </c>
      <c r="AN9" s="168">
        <v>2590</v>
      </c>
      <c r="AO9" s="164">
        <v>0</v>
      </c>
      <c r="AP9" s="165">
        <v>0</v>
      </c>
      <c r="AQ9" s="165">
        <v>0</v>
      </c>
      <c r="AR9" s="165">
        <v>0</v>
      </c>
      <c r="AS9" s="165">
        <v>0</v>
      </c>
      <c r="AT9" s="165">
        <v>0</v>
      </c>
      <c r="AU9" s="165">
        <v>0</v>
      </c>
      <c r="AV9" s="168">
        <v>0</v>
      </c>
      <c r="AW9" s="169">
        <v>2590</v>
      </c>
      <c r="AX9" s="164">
        <v>4280</v>
      </c>
      <c r="AY9" s="165">
        <v>70</v>
      </c>
      <c r="AZ9" s="165">
        <v>803</v>
      </c>
      <c r="BA9" s="165">
        <v>5154</v>
      </c>
      <c r="BB9" s="165">
        <v>0</v>
      </c>
      <c r="BC9" s="165">
        <v>0</v>
      </c>
      <c r="BD9" s="165">
        <v>0</v>
      </c>
      <c r="BE9" s="165">
        <v>0</v>
      </c>
      <c r="BF9" s="165">
        <v>5154</v>
      </c>
      <c r="BG9" s="172" t="s">
        <v>223</v>
      </c>
      <c r="BH9" s="168">
        <v>5154</v>
      </c>
      <c r="BI9" s="169">
        <v>26665</v>
      </c>
      <c r="BJ9" s="169">
        <v>21561</v>
      </c>
      <c r="BK9" s="592">
        <v>0.80858000000000008</v>
      </c>
      <c r="BL9" s="173">
        <v>9.31</v>
      </c>
      <c r="BM9" s="173">
        <v>1.25</v>
      </c>
      <c r="BN9" s="173">
        <v>7.28</v>
      </c>
      <c r="BO9" s="174">
        <v>0.98</v>
      </c>
      <c r="BP9" s="175">
        <v>708</v>
      </c>
      <c r="BQ9" s="605">
        <v>0</v>
      </c>
      <c r="BR9" s="177">
        <v>5277</v>
      </c>
      <c r="BS9" s="190"/>
      <c r="BT9" s="183"/>
      <c r="BU9" s="183"/>
      <c r="BV9" s="183"/>
      <c r="BW9" s="183"/>
      <c r="BX9" s="183"/>
      <c r="BY9" s="183"/>
      <c r="BZ9" s="183"/>
      <c r="CA9" s="183"/>
      <c r="CB9" s="183"/>
      <c r="CC9" s="183"/>
      <c r="CD9" s="183"/>
      <c r="CE9" s="183"/>
      <c r="CF9" s="184"/>
      <c r="CG9" s="237"/>
    </row>
    <row r="10" spans="1:86" ht="15.75" customHeight="1" x14ac:dyDescent="0.35">
      <c r="A10" s="178" t="s">
        <v>75</v>
      </c>
      <c r="B10" s="134">
        <v>0</v>
      </c>
      <c r="C10" s="135">
        <v>0</v>
      </c>
      <c r="D10" s="135">
        <v>0</v>
      </c>
      <c r="E10" s="135">
        <v>0</v>
      </c>
      <c r="F10" s="135">
        <v>0</v>
      </c>
      <c r="G10" s="135">
        <v>0</v>
      </c>
      <c r="H10" s="135">
        <v>0</v>
      </c>
      <c r="I10" s="135">
        <v>0</v>
      </c>
      <c r="J10" s="135">
        <v>3131</v>
      </c>
      <c r="K10" s="136">
        <v>3460.38</v>
      </c>
      <c r="L10" s="137">
        <v>0</v>
      </c>
      <c r="M10" s="138">
        <v>6591</v>
      </c>
      <c r="N10" s="180"/>
      <c r="O10" s="143"/>
      <c r="P10" s="143"/>
      <c r="Q10" s="143"/>
      <c r="R10" s="143"/>
      <c r="S10" s="143"/>
      <c r="T10" s="143"/>
      <c r="U10" s="143"/>
      <c r="V10" s="135">
        <v>0</v>
      </c>
      <c r="W10" s="135">
        <v>0</v>
      </c>
      <c r="X10" s="135">
        <v>0</v>
      </c>
      <c r="Y10" s="138">
        <v>0</v>
      </c>
      <c r="Z10" s="139">
        <v>0</v>
      </c>
      <c r="AA10" s="134">
        <v>6591</v>
      </c>
      <c r="AB10" s="135">
        <v>-3618</v>
      </c>
      <c r="AC10" s="138">
        <v>0</v>
      </c>
      <c r="AD10" s="134">
        <v>0</v>
      </c>
      <c r="AE10" s="143"/>
      <c r="AF10" s="135">
        <v>0</v>
      </c>
      <c r="AG10" s="135">
        <v>0</v>
      </c>
      <c r="AH10" s="135">
        <v>0</v>
      </c>
      <c r="AI10" s="135">
        <v>0</v>
      </c>
      <c r="AJ10" s="135">
        <v>238</v>
      </c>
      <c r="AK10" s="141">
        <v>0</v>
      </c>
      <c r="AL10" s="142">
        <v>376</v>
      </c>
      <c r="AM10" s="135">
        <v>1976</v>
      </c>
      <c r="AN10" s="138">
        <v>2590</v>
      </c>
      <c r="AO10" s="139">
        <v>0</v>
      </c>
      <c r="AP10" s="139">
        <v>0</v>
      </c>
      <c r="AQ10" s="139">
        <v>0</v>
      </c>
      <c r="AR10" s="139">
        <v>0</v>
      </c>
      <c r="AS10" s="134">
        <v>0</v>
      </c>
      <c r="AT10" s="135">
        <v>0</v>
      </c>
      <c r="AU10" s="135">
        <v>0</v>
      </c>
      <c r="AV10" s="138">
        <v>0</v>
      </c>
      <c r="AW10" s="134">
        <v>2590</v>
      </c>
      <c r="AX10" s="135">
        <v>4280</v>
      </c>
      <c r="AY10" s="135">
        <v>70</v>
      </c>
      <c r="AZ10" s="138">
        <v>803</v>
      </c>
      <c r="BA10" s="134">
        <v>5154</v>
      </c>
      <c r="BB10" s="135">
        <v>0</v>
      </c>
      <c r="BC10" s="135">
        <v>0</v>
      </c>
      <c r="BD10" s="138">
        <v>0</v>
      </c>
      <c r="BE10" s="134">
        <v>0</v>
      </c>
      <c r="BF10" s="135">
        <v>5154</v>
      </c>
      <c r="BG10" s="143" t="s">
        <v>223</v>
      </c>
      <c r="BH10" s="135">
        <v>5154</v>
      </c>
      <c r="BI10" s="135">
        <v>26665</v>
      </c>
      <c r="BJ10" s="138">
        <v>21561</v>
      </c>
      <c r="BK10" s="593">
        <v>0.80858000000000008</v>
      </c>
      <c r="BL10" s="145">
        <v>9.31</v>
      </c>
      <c r="BM10" s="145">
        <v>1.25</v>
      </c>
      <c r="BN10" s="145">
        <v>7.28</v>
      </c>
      <c r="BO10" s="146">
        <v>0.98</v>
      </c>
      <c r="BP10" s="179">
        <v>708</v>
      </c>
      <c r="BQ10" s="606">
        <v>0</v>
      </c>
      <c r="BR10" s="179">
        <v>5277</v>
      </c>
      <c r="BS10" s="180" t="s">
        <v>224</v>
      </c>
      <c r="BT10" s="143" t="s">
        <v>225</v>
      </c>
      <c r="BU10" s="143" t="s">
        <v>226</v>
      </c>
      <c r="BV10" s="143" t="s">
        <v>227</v>
      </c>
      <c r="BW10" s="143" t="s">
        <v>228</v>
      </c>
      <c r="BX10" s="143" t="s">
        <v>229</v>
      </c>
      <c r="BY10" s="143" t="s">
        <v>230</v>
      </c>
      <c r="BZ10" s="143" t="s">
        <v>231</v>
      </c>
      <c r="CA10" s="143" t="s">
        <v>232</v>
      </c>
      <c r="CB10" s="143" t="s">
        <v>233</v>
      </c>
      <c r="CC10" s="143" t="s">
        <v>234</v>
      </c>
      <c r="CD10" s="143" t="s">
        <v>235</v>
      </c>
      <c r="CE10" s="143" t="s">
        <v>236</v>
      </c>
      <c r="CF10" s="181" t="s">
        <v>234</v>
      </c>
      <c r="CG10" s="238"/>
      <c r="CH10" s="239"/>
    </row>
    <row r="11" spans="1:86" ht="15" hidden="1" customHeight="1" x14ac:dyDescent="0.35">
      <c r="A11" s="182" t="s">
        <v>237</v>
      </c>
      <c r="B11" s="190"/>
      <c r="C11" s="183"/>
      <c r="D11" s="183"/>
      <c r="E11" s="183"/>
      <c r="F11" s="183"/>
      <c r="G11" s="183"/>
      <c r="H11" s="183"/>
      <c r="I11" s="183"/>
      <c r="J11" s="183"/>
      <c r="K11" s="183"/>
      <c r="L11" s="183"/>
      <c r="M11" s="184"/>
      <c r="N11" s="190"/>
      <c r="O11" s="183"/>
      <c r="P11" s="183"/>
      <c r="Q11" s="183"/>
      <c r="R11" s="183"/>
      <c r="S11" s="183"/>
      <c r="T11" s="183"/>
      <c r="U11" s="183"/>
      <c r="V11" s="183"/>
      <c r="W11" s="183"/>
      <c r="X11" s="183"/>
      <c r="Y11" s="184"/>
      <c r="Z11" s="185"/>
      <c r="AA11" s="190"/>
      <c r="AB11" s="183"/>
      <c r="AC11" s="184"/>
      <c r="AD11" s="190"/>
      <c r="AE11" s="183"/>
      <c r="AF11" s="183"/>
      <c r="AG11" s="183"/>
      <c r="AH11" s="183"/>
      <c r="AI11" s="183"/>
      <c r="AJ11" s="183"/>
      <c r="AK11" s="186"/>
      <c r="AL11" s="187"/>
      <c r="AM11" s="183"/>
      <c r="AN11" s="184"/>
      <c r="AO11" s="190"/>
      <c r="AP11" s="183"/>
      <c r="AQ11" s="183"/>
      <c r="AR11" s="183"/>
      <c r="AS11" s="183"/>
      <c r="AT11" s="183"/>
      <c r="AU11" s="183"/>
      <c r="AV11" s="184"/>
      <c r="AW11" s="190"/>
      <c r="AX11" s="183"/>
      <c r="AY11" s="183"/>
      <c r="AZ11" s="184"/>
      <c r="BA11" s="190"/>
      <c r="BB11" s="183"/>
      <c r="BC11" s="183"/>
      <c r="BD11" s="184"/>
      <c r="BE11" s="188">
        <v>0</v>
      </c>
      <c r="BF11" s="189">
        <v>0</v>
      </c>
      <c r="BG11" s="183" t="s">
        <v>223</v>
      </c>
      <c r="BH11" s="183"/>
      <c r="BI11" s="183"/>
      <c r="BJ11" s="184"/>
      <c r="BK11" s="594" t="s">
        <v>238</v>
      </c>
      <c r="BL11" s="183" t="s">
        <v>238</v>
      </c>
      <c r="BM11" s="183" t="s">
        <v>238</v>
      </c>
      <c r="BN11" s="183" t="s">
        <v>238</v>
      </c>
      <c r="BO11" s="184" t="s">
        <v>238</v>
      </c>
      <c r="BP11" s="191">
        <v>0</v>
      </c>
      <c r="BQ11" s="606">
        <v>0</v>
      </c>
      <c r="BR11" s="191">
        <v>0</v>
      </c>
      <c r="BS11" s="190" t="s">
        <v>239</v>
      </c>
      <c r="BT11" s="183" t="s">
        <v>240</v>
      </c>
      <c r="BU11" s="183" t="s">
        <v>241</v>
      </c>
      <c r="BV11" s="183" t="s">
        <v>242</v>
      </c>
      <c r="BW11" s="183"/>
      <c r="BX11" s="183" t="s">
        <v>229</v>
      </c>
      <c r="BY11" s="183" t="s">
        <v>230</v>
      </c>
      <c r="BZ11" s="183" t="s">
        <v>229</v>
      </c>
      <c r="CA11" s="183" t="s">
        <v>232</v>
      </c>
      <c r="CB11" s="183" t="s">
        <v>243</v>
      </c>
      <c r="CC11" s="183" t="s">
        <v>234</v>
      </c>
      <c r="CD11" s="183" t="s">
        <v>244</v>
      </c>
      <c r="CE11" s="183" t="s">
        <v>236</v>
      </c>
      <c r="CF11" s="184" t="s">
        <v>234</v>
      </c>
      <c r="CG11" s="237"/>
    </row>
    <row r="12" spans="1:86" ht="15.75" customHeight="1" x14ac:dyDescent="0.35">
      <c r="A12" s="163" t="s">
        <v>76</v>
      </c>
      <c r="B12" s="164">
        <v>0</v>
      </c>
      <c r="C12" s="165">
        <v>0</v>
      </c>
      <c r="D12" s="165">
        <v>0</v>
      </c>
      <c r="E12" s="165">
        <v>0</v>
      </c>
      <c r="F12" s="165">
        <v>0</v>
      </c>
      <c r="G12" s="165">
        <v>0</v>
      </c>
      <c r="H12" s="165">
        <v>0</v>
      </c>
      <c r="I12" s="165">
        <v>0</v>
      </c>
      <c r="J12" s="165">
        <v>4592</v>
      </c>
      <c r="K12" s="166">
        <v>218.25</v>
      </c>
      <c r="L12" s="167">
        <v>0</v>
      </c>
      <c r="M12" s="168">
        <v>4810</v>
      </c>
      <c r="N12" s="164">
        <v>0</v>
      </c>
      <c r="O12" s="165">
        <v>0</v>
      </c>
      <c r="P12" s="165">
        <v>0</v>
      </c>
      <c r="Q12" s="165">
        <v>0</v>
      </c>
      <c r="R12" s="165">
        <v>0</v>
      </c>
      <c r="S12" s="165">
        <v>0</v>
      </c>
      <c r="T12" s="165">
        <v>0</v>
      </c>
      <c r="U12" s="165">
        <v>0</v>
      </c>
      <c r="V12" s="165">
        <v>0</v>
      </c>
      <c r="W12" s="165">
        <v>0</v>
      </c>
      <c r="X12" s="165">
        <v>0</v>
      </c>
      <c r="Y12" s="168">
        <v>0</v>
      </c>
      <c r="Z12" s="169">
        <v>0</v>
      </c>
      <c r="AA12" s="164">
        <v>4810</v>
      </c>
      <c r="AB12" s="165">
        <v>2010</v>
      </c>
      <c r="AC12" s="168">
        <v>0</v>
      </c>
      <c r="AD12" s="164">
        <v>0</v>
      </c>
      <c r="AE12" s="165">
        <v>0</v>
      </c>
      <c r="AF12" s="165">
        <v>0</v>
      </c>
      <c r="AG12" s="165">
        <v>0</v>
      </c>
      <c r="AH12" s="165">
        <v>0</v>
      </c>
      <c r="AI12" s="165">
        <v>0</v>
      </c>
      <c r="AJ12" s="165">
        <v>95</v>
      </c>
      <c r="AK12" s="170">
        <v>0</v>
      </c>
      <c r="AL12" s="171">
        <v>101</v>
      </c>
      <c r="AM12" s="165">
        <v>754</v>
      </c>
      <c r="AN12" s="168">
        <v>951</v>
      </c>
      <c r="AO12" s="164">
        <v>0</v>
      </c>
      <c r="AP12" s="165">
        <v>0</v>
      </c>
      <c r="AQ12" s="165">
        <v>0</v>
      </c>
      <c r="AR12" s="165">
        <v>0</v>
      </c>
      <c r="AS12" s="165">
        <v>0</v>
      </c>
      <c r="AT12" s="165">
        <v>0</v>
      </c>
      <c r="AU12" s="165">
        <v>0</v>
      </c>
      <c r="AV12" s="168">
        <v>0</v>
      </c>
      <c r="AW12" s="164">
        <v>951</v>
      </c>
      <c r="AX12" s="165">
        <v>1467</v>
      </c>
      <c r="AY12" s="165">
        <v>58</v>
      </c>
      <c r="AZ12" s="168">
        <v>567</v>
      </c>
      <c r="BA12" s="164">
        <v>2091</v>
      </c>
      <c r="BB12" s="165">
        <v>0</v>
      </c>
      <c r="BC12" s="165">
        <v>0</v>
      </c>
      <c r="BD12" s="168">
        <v>0</v>
      </c>
      <c r="BE12" s="164">
        <v>0</v>
      </c>
      <c r="BF12" s="165">
        <v>2091</v>
      </c>
      <c r="BG12" s="172" t="s">
        <v>223</v>
      </c>
      <c r="BH12" s="165">
        <v>2091</v>
      </c>
      <c r="BI12" s="165">
        <v>6599</v>
      </c>
      <c r="BJ12" s="168">
        <v>4717</v>
      </c>
      <c r="BK12" s="592">
        <v>0.71486000000000005</v>
      </c>
      <c r="BL12" s="173">
        <v>23.55</v>
      </c>
      <c r="BM12" s="173">
        <v>1.25</v>
      </c>
      <c r="BN12" s="173">
        <v>10.24</v>
      </c>
      <c r="BO12" s="174">
        <v>0.54</v>
      </c>
      <c r="BP12" s="175">
        <v>204</v>
      </c>
      <c r="BQ12" s="605">
        <v>0</v>
      </c>
      <c r="BR12" s="177">
        <v>3843</v>
      </c>
      <c r="BS12" s="190"/>
      <c r="BT12" s="183"/>
      <c r="BU12" s="183"/>
      <c r="BV12" s="183"/>
      <c r="BW12" s="183"/>
      <c r="BX12" s="183"/>
      <c r="BY12" s="183"/>
      <c r="BZ12" s="183"/>
      <c r="CA12" s="183"/>
      <c r="CB12" s="183"/>
      <c r="CC12" s="183"/>
      <c r="CD12" s="183"/>
      <c r="CE12" s="183"/>
      <c r="CF12" s="184"/>
      <c r="CG12" s="237"/>
    </row>
    <row r="13" spans="1:86" ht="15.75" customHeight="1" x14ac:dyDescent="0.35">
      <c r="A13" s="178" t="s">
        <v>77</v>
      </c>
      <c r="B13" s="134">
        <v>0</v>
      </c>
      <c r="C13" s="135">
        <v>0</v>
      </c>
      <c r="D13" s="135">
        <v>0</v>
      </c>
      <c r="E13" s="135">
        <v>0</v>
      </c>
      <c r="F13" s="135">
        <v>0</v>
      </c>
      <c r="G13" s="135">
        <v>0</v>
      </c>
      <c r="H13" s="135">
        <v>0</v>
      </c>
      <c r="I13" s="135">
        <v>0</v>
      </c>
      <c r="J13" s="135">
        <v>4592</v>
      </c>
      <c r="K13" s="136">
        <v>218.25</v>
      </c>
      <c r="L13" s="137">
        <v>0</v>
      </c>
      <c r="M13" s="138">
        <v>4810</v>
      </c>
      <c r="N13" s="180"/>
      <c r="O13" s="143"/>
      <c r="P13" s="143"/>
      <c r="Q13" s="143"/>
      <c r="R13" s="143"/>
      <c r="S13" s="143"/>
      <c r="T13" s="143"/>
      <c r="U13" s="143"/>
      <c r="V13" s="135">
        <v>0</v>
      </c>
      <c r="W13" s="135">
        <v>0</v>
      </c>
      <c r="X13" s="135">
        <v>0</v>
      </c>
      <c r="Y13" s="138">
        <v>0</v>
      </c>
      <c r="Z13" s="139">
        <v>0</v>
      </c>
      <c r="AA13" s="134">
        <v>4810</v>
      </c>
      <c r="AB13" s="135">
        <v>2010</v>
      </c>
      <c r="AC13" s="138">
        <v>0</v>
      </c>
      <c r="AD13" s="134">
        <v>0</v>
      </c>
      <c r="AE13" s="135">
        <v>0</v>
      </c>
      <c r="AF13" s="135">
        <v>0</v>
      </c>
      <c r="AG13" s="143"/>
      <c r="AH13" s="143"/>
      <c r="AI13" s="143"/>
      <c r="AJ13" s="135">
        <v>95</v>
      </c>
      <c r="AK13" s="141">
        <v>0</v>
      </c>
      <c r="AL13" s="142">
        <v>101</v>
      </c>
      <c r="AM13" s="135">
        <v>754</v>
      </c>
      <c r="AN13" s="138">
        <v>951</v>
      </c>
      <c r="AO13" s="139">
        <v>0</v>
      </c>
      <c r="AP13" s="139">
        <v>0</v>
      </c>
      <c r="AQ13" s="139">
        <v>0</v>
      </c>
      <c r="AR13" s="139">
        <v>0</v>
      </c>
      <c r="AS13" s="134">
        <v>0</v>
      </c>
      <c r="AT13" s="135">
        <v>0</v>
      </c>
      <c r="AU13" s="135">
        <v>0</v>
      </c>
      <c r="AV13" s="138">
        <v>0</v>
      </c>
      <c r="AW13" s="134">
        <v>951</v>
      </c>
      <c r="AX13" s="135">
        <v>1467</v>
      </c>
      <c r="AY13" s="135">
        <v>58</v>
      </c>
      <c r="AZ13" s="138">
        <v>567</v>
      </c>
      <c r="BA13" s="134">
        <v>2091</v>
      </c>
      <c r="BB13" s="135">
        <v>0</v>
      </c>
      <c r="BC13" s="135">
        <v>0</v>
      </c>
      <c r="BD13" s="138">
        <v>0</v>
      </c>
      <c r="BE13" s="134">
        <v>0</v>
      </c>
      <c r="BF13" s="135">
        <v>2091</v>
      </c>
      <c r="BG13" s="143" t="s">
        <v>223</v>
      </c>
      <c r="BH13" s="135">
        <v>2091</v>
      </c>
      <c r="BI13" s="135">
        <v>6599</v>
      </c>
      <c r="BJ13" s="138">
        <v>4717</v>
      </c>
      <c r="BK13" s="593">
        <v>0.71486000000000005</v>
      </c>
      <c r="BL13" s="145">
        <v>23.55</v>
      </c>
      <c r="BM13" s="145">
        <v>1.25</v>
      </c>
      <c r="BN13" s="145">
        <v>10.24</v>
      </c>
      <c r="BO13" s="146">
        <v>0.54</v>
      </c>
      <c r="BP13" s="179">
        <v>204</v>
      </c>
      <c r="BQ13" s="606">
        <v>0</v>
      </c>
      <c r="BR13" s="179">
        <v>3843</v>
      </c>
      <c r="BS13" s="180" t="s">
        <v>245</v>
      </c>
      <c r="BT13" s="143" t="s">
        <v>246</v>
      </c>
      <c r="BU13" s="143" t="s">
        <v>247</v>
      </c>
      <c r="BV13" s="143" t="s">
        <v>242</v>
      </c>
      <c r="BW13" s="143" t="s">
        <v>248</v>
      </c>
      <c r="BX13" s="143" t="s">
        <v>229</v>
      </c>
      <c r="BY13" s="143" t="s">
        <v>230</v>
      </c>
      <c r="BZ13" s="143" t="s">
        <v>231</v>
      </c>
      <c r="CA13" s="143" t="s">
        <v>243</v>
      </c>
      <c r="CB13" s="143" t="s">
        <v>233</v>
      </c>
      <c r="CC13" s="143" t="s">
        <v>234</v>
      </c>
      <c r="CD13" s="143" t="s">
        <v>249</v>
      </c>
      <c r="CE13" s="143" t="s">
        <v>236</v>
      </c>
      <c r="CF13" s="181" t="s">
        <v>234</v>
      </c>
      <c r="CG13" s="238"/>
      <c r="CH13" s="239"/>
    </row>
    <row r="14" spans="1:86" ht="15.75" customHeight="1" x14ac:dyDescent="0.35">
      <c r="A14" s="163" t="s">
        <v>78</v>
      </c>
      <c r="B14" s="164">
        <v>0</v>
      </c>
      <c r="C14" s="165">
        <v>0</v>
      </c>
      <c r="D14" s="165">
        <v>0</v>
      </c>
      <c r="E14" s="165">
        <v>0</v>
      </c>
      <c r="F14" s="165">
        <v>0</v>
      </c>
      <c r="G14" s="165">
        <v>0</v>
      </c>
      <c r="H14" s="165">
        <v>0</v>
      </c>
      <c r="I14" s="165">
        <v>0</v>
      </c>
      <c r="J14" s="165">
        <v>20396</v>
      </c>
      <c r="K14" s="166">
        <v>341.29</v>
      </c>
      <c r="L14" s="167">
        <v>0</v>
      </c>
      <c r="M14" s="168">
        <v>20738</v>
      </c>
      <c r="N14" s="164">
        <v>0</v>
      </c>
      <c r="O14" s="165">
        <v>0</v>
      </c>
      <c r="P14" s="165">
        <v>0</v>
      </c>
      <c r="Q14" s="165">
        <v>0</v>
      </c>
      <c r="R14" s="165">
        <v>0</v>
      </c>
      <c r="S14" s="165">
        <v>0</v>
      </c>
      <c r="T14" s="165">
        <v>0</v>
      </c>
      <c r="U14" s="165">
        <v>0</v>
      </c>
      <c r="V14" s="165">
        <v>0</v>
      </c>
      <c r="W14" s="165">
        <v>0</v>
      </c>
      <c r="X14" s="165">
        <v>0</v>
      </c>
      <c r="Y14" s="168">
        <v>0</v>
      </c>
      <c r="Z14" s="169">
        <v>0</v>
      </c>
      <c r="AA14" s="164">
        <v>20738</v>
      </c>
      <c r="AB14" s="165">
        <v>6393</v>
      </c>
      <c r="AC14" s="168">
        <v>0</v>
      </c>
      <c r="AD14" s="164">
        <v>0</v>
      </c>
      <c r="AE14" s="165">
        <v>0</v>
      </c>
      <c r="AF14" s="165">
        <v>0</v>
      </c>
      <c r="AG14" s="165">
        <v>0</v>
      </c>
      <c r="AH14" s="165">
        <v>0</v>
      </c>
      <c r="AI14" s="165">
        <v>0</v>
      </c>
      <c r="AJ14" s="165">
        <v>0</v>
      </c>
      <c r="AK14" s="170">
        <v>0</v>
      </c>
      <c r="AL14" s="171">
        <v>23377</v>
      </c>
      <c r="AM14" s="165">
        <v>1115</v>
      </c>
      <c r="AN14" s="168">
        <v>24492</v>
      </c>
      <c r="AO14" s="164">
        <v>0</v>
      </c>
      <c r="AP14" s="165">
        <v>0</v>
      </c>
      <c r="AQ14" s="165">
        <v>0</v>
      </c>
      <c r="AR14" s="165">
        <v>0</v>
      </c>
      <c r="AS14" s="165">
        <v>0</v>
      </c>
      <c r="AT14" s="165">
        <v>0</v>
      </c>
      <c r="AU14" s="165">
        <v>0</v>
      </c>
      <c r="AV14" s="168">
        <v>0</v>
      </c>
      <c r="AW14" s="164">
        <v>24492</v>
      </c>
      <c r="AX14" s="165">
        <v>1615</v>
      </c>
      <c r="AY14" s="165">
        <v>119</v>
      </c>
      <c r="AZ14" s="168">
        <v>1033</v>
      </c>
      <c r="BA14" s="164">
        <v>2767</v>
      </c>
      <c r="BB14" s="165">
        <v>0</v>
      </c>
      <c r="BC14" s="165">
        <v>0</v>
      </c>
      <c r="BD14" s="168">
        <v>0</v>
      </c>
      <c r="BE14" s="164">
        <v>0</v>
      </c>
      <c r="BF14" s="165">
        <v>2767</v>
      </c>
      <c r="BG14" s="172" t="s">
        <v>223</v>
      </c>
      <c r="BH14" s="165">
        <v>2767</v>
      </c>
      <c r="BI14" s="165">
        <v>35677</v>
      </c>
      <c r="BJ14" s="168">
        <v>28520</v>
      </c>
      <c r="BK14" s="592">
        <v>0.79941000000000006</v>
      </c>
      <c r="BL14" s="173">
        <v>49.72</v>
      </c>
      <c r="BM14" s="173">
        <v>2.52</v>
      </c>
      <c r="BN14" s="173">
        <v>6.63</v>
      </c>
      <c r="BO14" s="174">
        <v>0.34</v>
      </c>
      <c r="BP14" s="175">
        <v>417</v>
      </c>
      <c r="BQ14" s="605">
        <v>0</v>
      </c>
      <c r="BR14" s="177">
        <v>8222</v>
      </c>
      <c r="BS14" s="190"/>
      <c r="BT14" s="183"/>
      <c r="BU14" s="183"/>
      <c r="BV14" s="183"/>
      <c r="BW14" s="183"/>
      <c r="BX14" s="183"/>
      <c r="BY14" s="183"/>
      <c r="BZ14" s="183"/>
      <c r="CA14" s="183"/>
      <c r="CB14" s="183"/>
      <c r="CC14" s="183"/>
      <c r="CD14" s="183"/>
      <c r="CE14" s="183"/>
      <c r="CF14" s="184"/>
      <c r="CG14" s="237"/>
    </row>
    <row r="15" spans="1:86" ht="15.75" customHeight="1" x14ac:dyDescent="0.35">
      <c r="A15" s="178" t="s">
        <v>79</v>
      </c>
      <c r="B15" s="134">
        <v>0</v>
      </c>
      <c r="C15" s="135">
        <v>0</v>
      </c>
      <c r="D15" s="135">
        <v>0</v>
      </c>
      <c r="E15" s="135">
        <v>0</v>
      </c>
      <c r="F15" s="135">
        <v>0</v>
      </c>
      <c r="G15" s="135">
        <v>0</v>
      </c>
      <c r="H15" s="135">
        <v>0</v>
      </c>
      <c r="I15" s="135">
        <v>0</v>
      </c>
      <c r="J15" s="135">
        <v>20396</v>
      </c>
      <c r="K15" s="136">
        <v>341.29</v>
      </c>
      <c r="L15" s="137">
        <v>0</v>
      </c>
      <c r="M15" s="138">
        <v>20738</v>
      </c>
      <c r="N15" s="180"/>
      <c r="O15" s="143"/>
      <c r="P15" s="143"/>
      <c r="Q15" s="143"/>
      <c r="R15" s="143"/>
      <c r="S15" s="143"/>
      <c r="T15" s="143"/>
      <c r="U15" s="143"/>
      <c r="V15" s="135">
        <v>0</v>
      </c>
      <c r="W15" s="135">
        <v>0</v>
      </c>
      <c r="X15" s="135">
        <v>0</v>
      </c>
      <c r="Y15" s="138">
        <v>0</v>
      </c>
      <c r="Z15" s="139">
        <v>0</v>
      </c>
      <c r="AA15" s="134">
        <v>20738</v>
      </c>
      <c r="AB15" s="135">
        <v>6393</v>
      </c>
      <c r="AC15" s="138">
        <v>0</v>
      </c>
      <c r="AD15" s="134">
        <v>0</v>
      </c>
      <c r="AE15" s="135">
        <v>0</v>
      </c>
      <c r="AF15" s="135">
        <v>0</v>
      </c>
      <c r="AG15" s="135">
        <v>0</v>
      </c>
      <c r="AH15" s="135">
        <v>0</v>
      </c>
      <c r="AI15" s="135">
        <v>0</v>
      </c>
      <c r="AJ15" s="135">
        <v>0</v>
      </c>
      <c r="AK15" s="141">
        <v>0</v>
      </c>
      <c r="AL15" s="142">
        <v>23377</v>
      </c>
      <c r="AM15" s="135">
        <v>1115</v>
      </c>
      <c r="AN15" s="138">
        <v>24492</v>
      </c>
      <c r="AO15" s="139">
        <v>0</v>
      </c>
      <c r="AP15" s="139">
        <v>0</v>
      </c>
      <c r="AQ15" s="139">
        <v>0</v>
      </c>
      <c r="AR15" s="139">
        <v>0</v>
      </c>
      <c r="AS15" s="134">
        <v>0</v>
      </c>
      <c r="AT15" s="135">
        <v>0</v>
      </c>
      <c r="AU15" s="135">
        <v>0</v>
      </c>
      <c r="AV15" s="138">
        <v>0</v>
      </c>
      <c r="AW15" s="134">
        <v>24492</v>
      </c>
      <c r="AX15" s="135">
        <v>1615</v>
      </c>
      <c r="AY15" s="135">
        <v>119</v>
      </c>
      <c r="AZ15" s="138">
        <v>1033</v>
      </c>
      <c r="BA15" s="134">
        <v>2767</v>
      </c>
      <c r="BB15" s="135">
        <v>0</v>
      </c>
      <c r="BC15" s="135">
        <v>0</v>
      </c>
      <c r="BD15" s="138">
        <v>0</v>
      </c>
      <c r="BE15" s="134">
        <v>0</v>
      </c>
      <c r="BF15" s="135">
        <v>2767</v>
      </c>
      <c r="BG15" s="143" t="s">
        <v>223</v>
      </c>
      <c r="BH15" s="135">
        <v>2767</v>
      </c>
      <c r="BI15" s="135">
        <v>35677</v>
      </c>
      <c r="BJ15" s="138">
        <v>28520</v>
      </c>
      <c r="BK15" s="593">
        <v>0.79941000000000006</v>
      </c>
      <c r="BL15" s="145">
        <v>49.72</v>
      </c>
      <c r="BM15" s="145">
        <v>2.52</v>
      </c>
      <c r="BN15" s="145">
        <v>6.63</v>
      </c>
      <c r="BO15" s="146">
        <v>0.34</v>
      </c>
      <c r="BP15" s="179">
        <v>417</v>
      </c>
      <c r="BQ15" s="606">
        <v>0</v>
      </c>
      <c r="BR15" s="179">
        <v>8222</v>
      </c>
      <c r="BS15" s="180" t="s">
        <v>250</v>
      </c>
      <c r="BT15" s="143" t="s">
        <v>251</v>
      </c>
      <c r="BU15" s="143" t="s">
        <v>252</v>
      </c>
      <c r="BV15" s="143" t="s">
        <v>227</v>
      </c>
      <c r="BW15" s="143"/>
      <c r="BX15" s="143" t="s">
        <v>253</v>
      </c>
      <c r="BY15" s="143" t="s">
        <v>230</v>
      </c>
      <c r="BZ15" s="143" t="s">
        <v>231</v>
      </c>
      <c r="CA15" s="143" t="s">
        <v>232</v>
      </c>
      <c r="CB15" s="143"/>
      <c r="CC15" s="143" t="s">
        <v>234</v>
      </c>
      <c r="CD15" s="143" t="s">
        <v>244</v>
      </c>
      <c r="CE15" s="143" t="s">
        <v>254</v>
      </c>
      <c r="CF15" s="181"/>
      <c r="CG15" s="238"/>
      <c r="CH15" s="239"/>
    </row>
    <row r="16" spans="1:86" ht="15.75" customHeight="1" x14ac:dyDescent="0.35">
      <c r="A16" s="163" t="s">
        <v>80</v>
      </c>
      <c r="B16" s="164">
        <v>0</v>
      </c>
      <c r="C16" s="165">
        <v>0</v>
      </c>
      <c r="D16" s="165">
        <v>0</v>
      </c>
      <c r="E16" s="165">
        <v>0</v>
      </c>
      <c r="F16" s="165">
        <v>0</v>
      </c>
      <c r="G16" s="165">
        <v>0</v>
      </c>
      <c r="H16" s="165">
        <v>0</v>
      </c>
      <c r="I16" s="165">
        <v>0</v>
      </c>
      <c r="J16" s="165">
        <v>0</v>
      </c>
      <c r="K16" s="166">
        <v>0</v>
      </c>
      <c r="L16" s="167">
        <v>107</v>
      </c>
      <c r="M16" s="168">
        <v>107</v>
      </c>
      <c r="N16" s="164">
        <v>0</v>
      </c>
      <c r="O16" s="165">
        <v>0</v>
      </c>
      <c r="P16" s="165">
        <v>0</v>
      </c>
      <c r="Q16" s="165">
        <v>0</v>
      </c>
      <c r="R16" s="165">
        <v>0</v>
      </c>
      <c r="S16" s="165">
        <v>0</v>
      </c>
      <c r="T16" s="165">
        <v>0</v>
      </c>
      <c r="U16" s="165">
        <v>0</v>
      </c>
      <c r="V16" s="165">
        <v>0</v>
      </c>
      <c r="W16" s="165">
        <v>0</v>
      </c>
      <c r="X16" s="165">
        <v>1308</v>
      </c>
      <c r="Y16" s="168">
        <v>1308</v>
      </c>
      <c r="Z16" s="169">
        <v>0</v>
      </c>
      <c r="AA16" s="164">
        <v>1416</v>
      </c>
      <c r="AB16" s="165">
        <v>226</v>
      </c>
      <c r="AC16" s="168">
        <v>0</v>
      </c>
      <c r="AD16" s="164">
        <v>0</v>
      </c>
      <c r="AE16" s="165">
        <v>0</v>
      </c>
      <c r="AF16" s="165">
        <v>0</v>
      </c>
      <c r="AG16" s="165">
        <v>0</v>
      </c>
      <c r="AH16" s="165">
        <v>0</v>
      </c>
      <c r="AI16" s="165">
        <v>0</v>
      </c>
      <c r="AJ16" s="165">
        <v>0</v>
      </c>
      <c r="AK16" s="170">
        <v>0</v>
      </c>
      <c r="AL16" s="171">
        <v>0</v>
      </c>
      <c r="AM16" s="165">
        <v>0</v>
      </c>
      <c r="AN16" s="168">
        <v>0</v>
      </c>
      <c r="AO16" s="164">
        <v>0</v>
      </c>
      <c r="AP16" s="165">
        <v>0</v>
      </c>
      <c r="AQ16" s="165">
        <v>0</v>
      </c>
      <c r="AR16" s="165">
        <v>0</v>
      </c>
      <c r="AS16" s="165">
        <v>0</v>
      </c>
      <c r="AT16" s="165">
        <v>0</v>
      </c>
      <c r="AU16" s="165">
        <v>0</v>
      </c>
      <c r="AV16" s="168">
        <v>0</v>
      </c>
      <c r="AW16" s="164">
        <v>0</v>
      </c>
      <c r="AX16" s="165">
        <v>97</v>
      </c>
      <c r="AY16" s="165">
        <v>97</v>
      </c>
      <c r="AZ16" s="168">
        <v>97</v>
      </c>
      <c r="BA16" s="164">
        <v>290</v>
      </c>
      <c r="BB16" s="165">
        <v>0</v>
      </c>
      <c r="BC16" s="165">
        <v>0</v>
      </c>
      <c r="BD16" s="168">
        <v>0</v>
      </c>
      <c r="BE16" s="164">
        <v>0</v>
      </c>
      <c r="BF16" s="165">
        <v>290</v>
      </c>
      <c r="BG16" s="172" t="s">
        <v>223</v>
      </c>
      <c r="BH16" s="165">
        <v>290</v>
      </c>
      <c r="BI16" s="165">
        <v>7419</v>
      </c>
      <c r="BJ16" s="168">
        <v>6160</v>
      </c>
      <c r="BK16" s="592">
        <v>0.83031999999999995</v>
      </c>
      <c r="BL16" s="192">
        <v>9.99</v>
      </c>
      <c r="BM16" s="173">
        <v>0.51</v>
      </c>
      <c r="BN16" s="192">
        <v>2.0499999999999998</v>
      </c>
      <c r="BO16" s="174">
        <v>0.1</v>
      </c>
      <c r="BP16" s="607">
        <v>0</v>
      </c>
      <c r="BQ16" s="176">
        <v>141654</v>
      </c>
      <c r="BR16" s="177">
        <v>2788</v>
      </c>
      <c r="BS16" s="190"/>
      <c r="BT16" s="183"/>
      <c r="BU16" s="183"/>
      <c r="BV16" s="183"/>
      <c r="BW16" s="183"/>
      <c r="BX16" s="183"/>
      <c r="BY16" s="183"/>
      <c r="BZ16" s="183"/>
      <c r="CA16" s="183"/>
      <c r="CB16" s="183"/>
      <c r="CC16" s="183"/>
      <c r="CD16" s="183"/>
      <c r="CE16" s="183"/>
      <c r="CF16" s="184"/>
      <c r="CG16" s="237"/>
    </row>
    <row r="17" spans="1:86" ht="15.75" customHeight="1" x14ac:dyDescent="0.35">
      <c r="A17" s="178" t="s">
        <v>81</v>
      </c>
      <c r="B17" s="134">
        <v>0</v>
      </c>
      <c r="C17" s="135">
        <v>0</v>
      </c>
      <c r="D17" s="135">
        <v>0</v>
      </c>
      <c r="E17" s="135">
        <v>0</v>
      </c>
      <c r="F17" s="135">
        <v>0</v>
      </c>
      <c r="G17" s="135">
        <v>0</v>
      </c>
      <c r="H17" s="135">
        <v>0</v>
      </c>
      <c r="I17" s="143"/>
      <c r="J17" s="135">
        <v>0</v>
      </c>
      <c r="K17" s="136">
        <v>0</v>
      </c>
      <c r="L17" s="137">
        <v>107</v>
      </c>
      <c r="M17" s="138">
        <v>107</v>
      </c>
      <c r="N17" s="134">
        <v>0</v>
      </c>
      <c r="O17" s="135">
        <v>0</v>
      </c>
      <c r="P17" s="135">
        <v>0</v>
      </c>
      <c r="Q17" s="135">
        <v>0</v>
      </c>
      <c r="R17" s="135">
        <v>0</v>
      </c>
      <c r="S17" s="135">
        <v>0</v>
      </c>
      <c r="T17" s="135">
        <v>0</v>
      </c>
      <c r="U17" s="135">
        <v>0</v>
      </c>
      <c r="V17" s="135">
        <v>0</v>
      </c>
      <c r="W17" s="135">
        <v>0</v>
      </c>
      <c r="X17" s="135">
        <v>1308</v>
      </c>
      <c r="Y17" s="138">
        <v>1308</v>
      </c>
      <c r="Z17" s="139">
        <v>0</v>
      </c>
      <c r="AA17" s="134">
        <v>1416</v>
      </c>
      <c r="AB17" s="135">
        <v>226</v>
      </c>
      <c r="AC17" s="138">
        <v>0</v>
      </c>
      <c r="AD17" s="180"/>
      <c r="AE17" s="143"/>
      <c r="AF17" s="143"/>
      <c r="AG17" s="143"/>
      <c r="AH17" s="143"/>
      <c r="AI17" s="143"/>
      <c r="AJ17" s="143"/>
      <c r="AK17" s="193"/>
      <c r="AL17" s="142">
        <v>0</v>
      </c>
      <c r="AM17" s="135">
        <v>0</v>
      </c>
      <c r="AN17" s="138">
        <v>0</v>
      </c>
      <c r="AO17" s="139">
        <v>0</v>
      </c>
      <c r="AP17" s="139">
        <v>0</v>
      </c>
      <c r="AQ17" s="139">
        <v>0</v>
      </c>
      <c r="AR17" s="139">
        <v>0</v>
      </c>
      <c r="AS17" s="134">
        <v>0</v>
      </c>
      <c r="AT17" s="135">
        <v>0</v>
      </c>
      <c r="AU17" s="135">
        <v>0</v>
      </c>
      <c r="AV17" s="138">
        <v>0</v>
      </c>
      <c r="AW17" s="134">
        <v>0</v>
      </c>
      <c r="AX17" s="135">
        <v>97</v>
      </c>
      <c r="AY17" s="135">
        <v>97</v>
      </c>
      <c r="AZ17" s="138">
        <v>97</v>
      </c>
      <c r="BA17" s="134">
        <v>290</v>
      </c>
      <c r="BB17" s="135">
        <v>0</v>
      </c>
      <c r="BC17" s="135">
        <v>0</v>
      </c>
      <c r="BD17" s="138">
        <v>0</v>
      </c>
      <c r="BE17" s="134">
        <v>0</v>
      </c>
      <c r="BF17" s="135">
        <v>290</v>
      </c>
      <c r="BG17" s="143" t="s">
        <v>223</v>
      </c>
      <c r="BH17" s="135">
        <v>290</v>
      </c>
      <c r="BI17" s="135">
        <v>7419</v>
      </c>
      <c r="BJ17" s="138">
        <v>6160</v>
      </c>
      <c r="BK17" s="593">
        <v>0.83031999999999995</v>
      </c>
      <c r="BL17" s="194">
        <v>9.99</v>
      </c>
      <c r="BM17" s="145">
        <v>0.51</v>
      </c>
      <c r="BN17" s="194">
        <v>2.0499999999999998</v>
      </c>
      <c r="BO17" s="146">
        <v>0.1</v>
      </c>
      <c r="BP17" s="606">
        <v>0</v>
      </c>
      <c r="BQ17" s="179">
        <v>141654</v>
      </c>
      <c r="BR17" s="179">
        <v>2788</v>
      </c>
      <c r="BS17" s="180" t="s">
        <v>255</v>
      </c>
      <c r="BT17" s="143" t="s">
        <v>256</v>
      </c>
      <c r="BU17" s="143" t="s">
        <v>226</v>
      </c>
      <c r="BV17" s="143" t="s">
        <v>257</v>
      </c>
      <c r="BW17" s="143" t="s">
        <v>248</v>
      </c>
      <c r="BX17" s="143" t="s">
        <v>258</v>
      </c>
      <c r="BY17" s="143" t="s">
        <v>230</v>
      </c>
      <c r="BZ17" s="143" t="s">
        <v>229</v>
      </c>
      <c r="CA17" s="143" t="s">
        <v>232</v>
      </c>
      <c r="CB17" s="143" t="s">
        <v>243</v>
      </c>
      <c r="CC17" s="143" t="s">
        <v>234</v>
      </c>
      <c r="CD17" s="143" t="s">
        <v>235</v>
      </c>
      <c r="CE17" s="143" t="s">
        <v>236</v>
      </c>
      <c r="CF17" s="181"/>
      <c r="CG17" s="238"/>
      <c r="CH17" s="239"/>
    </row>
    <row r="18" spans="1:86" ht="15.75" customHeight="1" x14ac:dyDescent="0.35">
      <c r="A18" s="163" t="s">
        <v>82</v>
      </c>
      <c r="B18" s="164">
        <v>0</v>
      </c>
      <c r="C18" s="165">
        <v>0</v>
      </c>
      <c r="D18" s="165">
        <v>0</v>
      </c>
      <c r="E18" s="165">
        <v>0</v>
      </c>
      <c r="F18" s="165">
        <v>0</v>
      </c>
      <c r="G18" s="165">
        <v>0</v>
      </c>
      <c r="H18" s="165">
        <v>0</v>
      </c>
      <c r="I18" s="165">
        <v>0</v>
      </c>
      <c r="J18" s="165">
        <v>14501</v>
      </c>
      <c r="K18" s="166">
        <v>478.82</v>
      </c>
      <c r="L18" s="167">
        <v>1026</v>
      </c>
      <c r="M18" s="168">
        <v>16006</v>
      </c>
      <c r="N18" s="164">
        <v>0</v>
      </c>
      <c r="O18" s="165">
        <v>0</v>
      </c>
      <c r="P18" s="165">
        <v>0</v>
      </c>
      <c r="Q18" s="165">
        <v>0</v>
      </c>
      <c r="R18" s="165">
        <v>0</v>
      </c>
      <c r="S18" s="165">
        <v>0</v>
      </c>
      <c r="T18" s="165">
        <v>0</v>
      </c>
      <c r="U18" s="165">
        <v>0</v>
      </c>
      <c r="V18" s="165">
        <v>559</v>
      </c>
      <c r="W18" s="165">
        <v>251</v>
      </c>
      <c r="X18" s="165">
        <v>0</v>
      </c>
      <c r="Y18" s="168">
        <v>810</v>
      </c>
      <c r="Z18" s="169">
        <v>102</v>
      </c>
      <c r="AA18" s="164">
        <v>16918</v>
      </c>
      <c r="AB18" s="165">
        <v>5200</v>
      </c>
      <c r="AC18" s="168">
        <v>0</v>
      </c>
      <c r="AD18" s="164">
        <v>0</v>
      </c>
      <c r="AE18" s="165">
        <v>0</v>
      </c>
      <c r="AF18" s="165">
        <v>0</v>
      </c>
      <c r="AG18" s="165">
        <v>0</v>
      </c>
      <c r="AH18" s="165">
        <v>0</v>
      </c>
      <c r="AI18" s="165">
        <v>0</v>
      </c>
      <c r="AJ18" s="165">
        <v>0</v>
      </c>
      <c r="AK18" s="170">
        <v>0</v>
      </c>
      <c r="AL18" s="171">
        <v>11875</v>
      </c>
      <c r="AM18" s="165">
        <v>16</v>
      </c>
      <c r="AN18" s="168">
        <v>11891</v>
      </c>
      <c r="AO18" s="164">
        <v>0</v>
      </c>
      <c r="AP18" s="165">
        <v>0</v>
      </c>
      <c r="AQ18" s="165">
        <v>0</v>
      </c>
      <c r="AR18" s="165">
        <v>0</v>
      </c>
      <c r="AS18" s="165">
        <v>0</v>
      </c>
      <c r="AT18" s="165">
        <v>0</v>
      </c>
      <c r="AU18" s="165">
        <v>167</v>
      </c>
      <c r="AV18" s="168">
        <v>167</v>
      </c>
      <c r="AW18" s="164">
        <v>12058</v>
      </c>
      <c r="AX18" s="165">
        <v>3409</v>
      </c>
      <c r="AY18" s="165">
        <v>401</v>
      </c>
      <c r="AZ18" s="168">
        <v>821</v>
      </c>
      <c r="BA18" s="164">
        <v>4630</v>
      </c>
      <c r="BB18" s="165">
        <v>0</v>
      </c>
      <c r="BC18" s="165">
        <v>0</v>
      </c>
      <c r="BD18" s="168">
        <v>0</v>
      </c>
      <c r="BE18" s="164">
        <v>0</v>
      </c>
      <c r="BF18" s="165">
        <v>4630</v>
      </c>
      <c r="BG18" s="172" t="s">
        <v>223</v>
      </c>
      <c r="BH18" s="165">
        <v>4630</v>
      </c>
      <c r="BI18" s="165">
        <v>12614</v>
      </c>
      <c r="BJ18" s="168">
        <v>9023</v>
      </c>
      <c r="BK18" s="592">
        <v>0.71531999999999996</v>
      </c>
      <c r="BL18" s="173">
        <v>32.840000000000003</v>
      </c>
      <c r="BM18" s="173">
        <v>3.82</v>
      </c>
      <c r="BN18" s="173">
        <v>8.99</v>
      </c>
      <c r="BO18" s="174">
        <v>1.05</v>
      </c>
      <c r="BP18" s="175">
        <v>515</v>
      </c>
      <c r="BQ18" s="176">
        <v>5822</v>
      </c>
      <c r="BR18" s="177">
        <v>4430</v>
      </c>
      <c r="BS18" s="190"/>
      <c r="BT18" s="183"/>
      <c r="BU18" s="183"/>
      <c r="BV18" s="183"/>
      <c r="BW18" s="183"/>
      <c r="BX18" s="183"/>
      <c r="BY18" s="183"/>
      <c r="BZ18" s="183"/>
      <c r="CA18" s="183"/>
      <c r="CB18" s="183"/>
      <c r="CC18" s="183"/>
      <c r="CD18" s="183"/>
      <c r="CE18" s="183"/>
      <c r="CF18" s="184"/>
      <c r="CG18" s="237"/>
    </row>
    <row r="19" spans="1:86" ht="15.75" customHeight="1" x14ac:dyDescent="0.35">
      <c r="A19" s="178" t="s">
        <v>83</v>
      </c>
      <c r="B19" s="134">
        <v>0</v>
      </c>
      <c r="C19" s="135">
        <v>0</v>
      </c>
      <c r="D19" s="135">
        <v>0</v>
      </c>
      <c r="E19" s="135">
        <v>0</v>
      </c>
      <c r="F19" s="135">
        <v>0</v>
      </c>
      <c r="G19" s="135">
        <v>0</v>
      </c>
      <c r="H19" s="135">
        <v>0</v>
      </c>
      <c r="I19" s="135">
        <v>0</v>
      </c>
      <c r="J19" s="135">
        <v>1854</v>
      </c>
      <c r="K19" s="136">
        <v>211.95</v>
      </c>
      <c r="L19" s="137">
        <v>1026</v>
      </c>
      <c r="M19" s="138">
        <v>3092</v>
      </c>
      <c r="N19" s="134">
        <v>0</v>
      </c>
      <c r="O19" s="135">
        <v>0</v>
      </c>
      <c r="P19" s="135">
        <v>0</v>
      </c>
      <c r="Q19" s="135">
        <v>0</v>
      </c>
      <c r="R19" s="135">
        <v>0</v>
      </c>
      <c r="S19" s="135">
        <v>0</v>
      </c>
      <c r="T19" s="135">
        <v>0</v>
      </c>
      <c r="U19" s="135">
        <v>0</v>
      </c>
      <c r="V19" s="135">
        <v>559</v>
      </c>
      <c r="W19" s="135">
        <v>251</v>
      </c>
      <c r="X19" s="135">
        <v>0</v>
      </c>
      <c r="Y19" s="138">
        <v>810</v>
      </c>
      <c r="Z19" s="139">
        <v>102</v>
      </c>
      <c r="AA19" s="134">
        <v>4004</v>
      </c>
      <c r="AB19" s="135">
        <v>1739</v>
      </c>
      <c r="AC19" s="138">
        <v>0</v>
      </c>
      <c r="AD19" s="134">
        <v>0</v>
      </c>
      <c r="AE19" s="135">
        <v>0</v>
      </c>
      <c r="AF19" s="135">
        <v>0</v>
      </c>
      <c r="AG19" s="135">
        <v>0</v>
      </c>
      <c r="AH19" s="135">
        <v>0</v>
      </c>
      <c r="AI19" s="135">
        <v>0</v>
      </c>
      <c r="AJ19" s="135">
        <v>0</v>
      </c>
      <c r="AK19" s="141">
        <v>0</v>
      </c>
      <c r="AL19" s="142">
        <v>391</v>
      </c>
      <c r="AM19" s="135">
        <v>16</v>
      </c>
      <c r="AN19" s="138">
        <v>407</v>
      </c>
      <c r="AO19" s="139">
        <v>0</v>
      </c>
      <c r="AP19" s="139">
        <v>0</v>
      </c>
      <c r="AQ19" s="139">
        <v>0</v>
      </c>
      <c r="AR19" s="139">
        <v>0</v>
      </c>
      <c r="AS19" s="134">
        <v>0</v>
      </c>
      <c r="AT19" s="135">
        <v>0</v>
      </c>
      <c r="AU19" s="135">
        <v>167</v>
      </c>
      <c r="AV19" s="138">
        <v>167</v>
      </c>
      <c r="AW19" s="134">
        <v>574</v>
      </c>
      <c r="AX19" s="135">
        <v>414</v>
      </c>
      <c r="AY19" s="135">
        <v>376</v>
      </c>
      <c r="AZ19" s="138">
        <v>56</v>
      </c>
      <c r="BA19" s="134">
        <v>846</v>
      </c>
      <c r="BB19" s="135">
        <v>0</v>
      </c>
      <c r="BC19" s="135">
        <v>0</v>
      </c>
      <c r="BD19" s="138">
        <v>0</v>
      </c>
      <c r="BE19" s="134">
        <v>0</v>
      </c>
      <c r="BF19" s="135">
        <v>846</v>
      </c>
      <c r="BG19" s="143" t="s">
        <v>223</v>
      </c>
      <c r="BH19" s="135">
        <v>846</v>
      </c>
      <c r="BI19" s="135">
        <v>5561</v>
      </c>
      <c r="BJ19" s="138">
        <v>4096</v>
      </c>
      <c r="BK19" s="593">
        <v>0.73647000000000007</v>
      </c>
      <c r="BL19" s="145">
        <v>18.75</v>
      </c>
      <c r="BM19" s="145">
        <v>3.82</v>
      </c>
      <c r="BN19" s="145">
        <v>3.96</v>
      </c>
      <c r="BO19" s="146">
        <v>0.81</v>
      </c>
      <c r="BP19" s="179">
        <v>214</v>
      </c>
      <c r="BQ19" s="179">
        <v>5822</v>
      </c>
      <c r="BR19" s="179">
        <v>1048</v>
      </c>
      <c r="BS19" s="180" t="s">
        <v>259</v>
      </c>
      <c r="BT19" s="143" t="s">
        <v>260</v>
      </c>
      <c r="BU19" s="143" t="s">
        <v>248</v>
      </c>
      <c r="BV19" s="143" t="s">
        <v>242</v>
      </c>
      <c r="BW19" s="143"/>
      <c r="BX19" s="143" t="s">
        <v>253</v>
      </c>
      <c r="BY19" s="143" t="s">
        <v>230</v>
      </c>
      <c r="BZ19" s="143" t="s">
        <v>229</v>
      </c>
      <c r="CA19" s="143" t="s">
        <v>233</v>
      </c>
      <c r="CB19" s="143" t="s">
        <v>243</v>
      </c>
      <c r="CC19" s="143" t="s">
        <v>234</v>
      </c>
      <c r="CD19" s="143" t="s">
        <v>249</v>
      </c>
      <c r="CE19" s="143" t="s">
        <v>236</v>
      </c>
      <c r="CF19" s="181" t="s">
        <v>234</v>
      </c>
      <c r="CG19" s="238"/>
      <c r="CH19" s="239"/>
    </row>
    <row r="20" spans="1:86" ht="15.75" customHeight="1" x14ac:dyDescent="0.35">
      <c r="A20" s="178" t="s">
        <v>84</v>
      </c>
      <c r="B20" s="134">
        <v>0</v>
      </c>
      <c r="C20" s="135">
        <v>0</v>
      </c>
      <c r="D20" s="135">
        <v>0</v>
      </c>
      <c r="E20" s="135">
        <v>0</v>
      </c>
      <c r="F20" s="135">
        <v>0</v>
      </c>
      <c r="G20" s="135">
        <v>0</v>
      </c>
      <c r="H20" s="135">
        <v>0</v>
      </c>
      <c r="I20" s="135">
        <v>0</v>
      </c>
      <c r="J20" s="135">
        <v>4391</v>
      </c>
      <c r="K20" s="136">
        <v>77.8</v>
      </c>
      <c r="L20" s="137">
        <v>0</v>
      </c>
      <c r="M20" s="138">
        <v>4469</v>
      </c>
      <c r="N20" s="134">
        <v>0</v>
      </c>
      <c r="O20" s="135">
        <v>0</v>
      </c>
      <c r="P20" s="135">
        <v>0</v>
      </c>
      <c r="Q20" s="135">
        <v>0</v>
      </c>
      <c r="R20" s="135">
        <v>0</v>
      </c>
      <c r="S20" s="135">
        <v>0</v>
      </c>
      <c r="T20" s="135">
        <v>0</v>
      </c>
      <c r="U20" s="135">
        <v>0</v>
      </c>
      <c r="V20" s="135">
        <v>0</v>
      </c>
      <c r="W20" s="135">
        <v>0</v>
      </c>
      <c r="X20" s="135">
        <v>0</v>
      </c>
      <c r="Y20" s="138">
        <v>0</v>
      </c>
      <c r="Z20" s="139">
        <v>0</v>
      </c>
      <c r="AA20" s="134">
        <v>4469</v>
      </c>
      <c r="AB20" s="135">
        <v>0</v>
      </c>
      <c r="AC20" s="138">
        <v>0</v>
      </c>
      <c r="AD20" s="134">
        <v>0</v>
      </c>
      <c r="AE20" s="135">
        <v>0</v>
      </c>
      <c r="AF20" s="135">
        <v>0</v>
      </c>
      <c r="AG20" s="135">
        <v>0</v>
      </c>
      <c r="AH20" s="135">
        <v>0</v>
      </c>
      <c r="AI20" s="135">
        <v>0</v>
      </c>
      <c r="AJ20" s="135">
        <v>0</v>
      </c>
      <c r="AK20" s="141">
        <v>0</v>
      </c>
      <c r="AL20" s="142">
        <v>775</v>
      </c>
      <c r="AM20" s="135">
        <v>0</v>
      </c>
      <c r="AN20" s="138">
        <v>775</v>
      </c>
      <c r="AO20" s="139">
        <v>0</v>
      </c>
      <c r="AP20" s="139">
        <v>0</v>
      </c>
      <c r="AQ20" s="139">
        <v>0</v>
      </c>
      <c r="AR20" s="139">
        <v>0</v>
      </c>
      <c r="AS20" s="134">
        <v>0</v>
      </c>
      <c r="AT20" s="135">
        <v>0</v>
      </c>
      <c r="AU20" s="135">
        <v>0</v>
      </c>
      <c r="AV20" s="138">
        <v>0</v>
      </c>
      <c r="AW20" s="134">
        <v>775</v>
      </c>
      <c r="AX20" s="135">
        <v>1503</v>
      </c>
      <c r="AY20" s="135">
        <v>25</v>
      </c>
      <c r="AZ20" s="138">
        <v>56</v>
      </c>
      <c r="BA20" s="134">
        <v>1585</v>
      </c>
      <c r="BB20" s="135">
        <v>0</v>
      </c>
      <c r="BC20" s="135">
        <v>0</v>
      </c>
      <c r="BD20" s="138">
        <v>0</v>
      </c>
      <c r="BE20" s="134">
        <v>0</v>
      </c>
      <c r="BF20" s="135">
        <v>1585</v>
      </c>
      <c r="BG20" s="143" t="s">
        <v>223</v>
      </c>
      <c r="BH20" s="135">
        <v>1585</v>
      </c>
      <c r="BI20" s="135">
        <v>129</v>
      </c>
      <c r="BJ20" s="138">
        <v>54</v>
      </c>
      <c r="BK20" s="593">
        <v>0.41519</v>
      </c>
      <c r="BL20" s="624" t="s">
        <v>238</v>
      </c>
      <c r="BM20" s="624" t="s">
        <v>238</v>
      </c>
      <c r="BN20" s="624" t="s">
        <v>238</v>
      </c>
      <c r="BO20" s="625" t="s">
        <v>238</v>
      </c>
      <c r="BP20" s="606">
        <v>0</v>
      </c>
      <c r="BQ20" s="606">
        <v>0</v>
      </c>
      <c r="BR20" s="606">
        <v>0</v>
      </c>
      <c r="BS20" s="180" t="s">
        <v>259</v>
      </c>
      <c r="BT20" s="143" t="s">
        <v>260</v>
      </c>
      <c r="BU20" s="143" t="s">
        <v>226</v>
      </c>
      <c r="BV20" s="143"/>
      <c r="BW20" s="143"/>
      <c r="BX20" s="143" t="s">
        <v>253</v>
      </c>
      <c r="BY20" s="143" t="s">
        <v>230</v>
      </c>
      <c r="BZ20" s="143" t="s">
        <v>231</v>
      </c>
      <c r="CA20" s="143" t="s">
        <v>233</v>
      </c>
      <c r="CB20" s="143" t="s">
        <v>243</v>
      </c>
      <c r="CC20" s="143" t="s">
        <v>234</v>
      </c>
      <c r="CD20" s="143" t="s">
        <v>249</v>
      </c>
      <c r="CE20" s="143" t="s">
        <v>236</v>
      </c>
      <c r="CF20" s="181" t="s">
        <v>234</v>
      </c>
      <c r="CG20" s="238"/>
      <c r="CH20" s="239"/>
    </row>
    <row r="21" spans="1:86" ht="15.75" customHeight="1" x14ac:dyDescent="0.35">
      <c r="A21" s="178" t="s">
        <v>85</v>
      </c>
      <c r="B21" s="134">
        <v>0</v>
      </c>
      <c r="C21" s="135">
        <v>0</v>
      </c>
      <c r="D21" s="135">
        <v>0</v>
      </c>
      <c r="E21" s="135">
        <v>0</v>
      </c>
      <c r="F21" s="135">
        <v>0</v>
      </c>
      <c r="G21" s="135">
        <v>0</v>
      </c>
      <c r="H21" s="135">
        <v>0</v>
      </c>
      <c r="I21" s="135">
        <v>0</v>
      </c>
      <c r="J21" s="135">
        <v>8256</v>
      </c>
      <c r="K21" s="136">
        <v>189.07</v>
      </c>
      <c r="L21" s="137">
        <v>0</v>
      </c>
      <c r="M21" s="138">
        <v>8445</v>
      </c>
      <c r="N21" s="134">
        <v>0</v>
      </c>
      <c r="O21" s="135">
        <v>0</v>
      </c>
      <c r="P21" s="135">
        <v>0</v>
      </c>
      <c r="Q21" s="135">
        <v>0</v>
      </c>
      <c r="R21" s="135">
        <v>0</v>
      </c>
      <c r="S21" s="135">
        <v>0</v>
      </c>
      <c r="T21" s="135">
        <v>0</v>
      </c>
      <c r="U21" s="135">
        <v>0</v>
      </c>
      <c r="V21" s="135">
        <v>0</v>
      </c>
      <c r="W21" s="135">
        <v>0</v>
      </c>
      <c r="X21" s="135">
        <v>0</v>
      </c>
      <c r="Y21" s="138">
        <v>0</v>
      </c>
      <c r="Z21" s="139">
        <v>0</v>
      </c>
      <c r="AA21" s="134">
        <v>8445</v>
      </c>
      <c r="AB21" s="135">
        <v>3461</v>
      </c>
      <c r="AC21" s="138">
        <v>0</v>
      </c>
      <c r="AD21" s="134">
        <v>0</v>
      </c>
      <c r="AE21" s="135">
        <v>0</v>
      </c>
      <c r="AF21" s="135">
        <v>0</v>
      </c>
      <c r="AG21" s="135">
        <v>0</v>
      </c>
      <c r="AH21" s="135">
        <v>0</v>
      </c>
      <c r="AI21" s="135">
        <v>0</v>
      </c>
      <c r="AJ21" s="135">
        <v>0</v>
      </c>
      <c r="AK21" s="141">
        <v>0</v>
      </c>
      <c r="AL21" s="142">
        <v>10710</v>
      </c>
      <c r="AM21" s="135">
        <v>0</v>
      </c>
      <c r="AN21" s="138">
        <v>10710</v>
      </c>
      <c r="AO21" s="139">
        <v>0</v>
      </c>
      <c r="AP21" s="139">
        <v>0</v>
      </c>
      <c r="AQ21" s="139">
        <v>0</v>
      </c>
      <c r="AR21" s="139">
        <v>0</v>
      </c>
      <c r="AS21" s="134">
        <v>0</v>
      </c>
      <c r="AT21" s="135">
        <v>0</v>
      </c>
      <c r="AU21" s="135">
        <v>0</v>
      </c>
      <c r="AV21" s="138">
        <v>0</v>
      </c>
      <c r="AW21" s="134">
        <v>10710</v>
      </c>
      <c r="AX21" s="135">
        <v>1491</v>
      </c>
      <c r="AY21" s="135">
        <v>0</v>
      </c>
      <c r="AZ21" s="138">
        <v>708</v>
      </c>
      <c r="BA21" s="134">
        <v>2199</v>
      </c>
      <c r="BB21" s="135">
        <v>0</v>
      </c>
      <c r="BC21" s="135">
        <v>0</v>
      </c>
      <c r="BD21" s="138">
        <v>0</v>
      </c>
      <c r="BE21" s="134">
        <v>0</v>
      </c>
      <c r="BF21" s="135">
        <v>2199</v>
      </c>
      <c r="BG21" s="143" t="s">
        <v>223</v>
      </c>
      <c r="BH21" s="135">
        <v>2199</v>
      </c>
      <c r="BI21" s="135">
        <v>6924</v>
      </c>
      <c r="BJ21" s="138">
        <v>4874</v>
      </c>
      <c r="BK21" s="593">
        <v>0.70391000000000004</v>
      </c>
      <c r="BL21" s="145">
        <v>28</v>
      </c>
      <c r="BM21" s="145">
        <v>2.5</v>
      </c>
      <c r="BN21" s="145">
        <v>7.29</v>
      </c>
      <c r="BO21" s="146">
        <v>0.65</v>
      </c>
      <c r="BP21" s="179">
        <v>302</v>
      </c>
      <c r="BQ21" s="179">
        <v>0</v>
      </c>
      <c r="BR21" s="179">
        <v>3382</v>
      </c>
      <c r="BS21" s="180" t="s">
        <v>259</v>
      </c>
      <c r="BT21" s="143" t="s">
        <v>251</v>
      </c>
      <c r="BU21" s="143" t="s">
        <v>226</v>
      </c>
      <c r="BV21" s="143" t="s">
        <v>257</v>
      </c>
      <c r="BW21" s="143"/>
      <c r="BX21" s="143" t="s">
        <v>253</v>
      </c>
      <c r="BY21" s="143" t="s">
        <v>230</v>
      </c>
      <c r="BZ21" s="143" t="s">
        <v>258</v>
      </c>
      <c r="CA21" s="143" t="s">
        <v>232</v>
      </c>
      <c r="CB21" s="143"/>
      <c r="CC21" s="143" t="s">
        <v>234</v>
      </c>
      <c r="CD21" s="143" t="s">
        <v>235</v>
      </c>
      <c r="CE21" s="143" t="s">
        <v>236</v>
      </c>
      <c r="CF21" s="181" t="s">
        <v>234</v>
      </c>
      <c r="CG21" s="238"/>
      <c r="CH21" s="239"/>
    </row>
    <row r="22" spans="1:86" ht="15.75" customHeight="1" x14ac:dyDescent="0.35">
      <c r="A22" s="163" t="s">
        <v>86</v>
      </c>
      <c r="B22" s="164">
        <v>0</v>
      </c>
      <c r="C22" s="165">
        <v>0</v>
      </c>
      <c r="D22" s="165">
        <v>0</v>
      </c>
      <c r="E22" s="165">
        <v>0</v>
      </c>
      <c r="F22" s="165">
        <v>0</v>
      </c>
      <c r="G22" s="165">
        <v>0</v>
      </c>
      <c r="H22" s="165">
        <v>0</v>
      </c>
      <c r="I22" s="165">
        <v>0</v>
      </c>
      <c r="J22" s="165">
        <v>5268</v>
      </c>
      <c r="K22" s="166">
        <v>2.4</v>
      </c>
      <c r="L22" s="167">
        <v>0</v>
      </c>
      <c r="M22" s="168">
        <v>5270</v>
      </c>
      <c r="N22" s="164">
        <v>0</v>
      </c>
      <c r="O22" s="165">
        <v>0</v>
      </c>
      <c r="P22" s="165">
        <v>0</v>
      </c>
      <c r="Q22" s="165">
        <v>0</v>
      </c>
      <c r="R22" s="165">
        <v>0</v>
      </c>
      <c r="S22" s="165">
        <v>0</v>
      </c>
      <c r="T22" s="165">
        <v>0</v>
      </c>
      <c r="U22" s="165">
        <v>0</v>
      </c>
      <c r="V22" s="165">
        <v>32060</v>
      </c>
      <c r="W22" s="165">
        <v>0</v>
      </c>
      <c r="X22" s="165">
        <v>0</v>
      </c>
      <c r="Y22" s="168">
        <v>32060</v>
      </c>
      <c r="Z22" s="169">
        <v>0</v>
      </c>
      <c r="AA22" s="164">
        <v>37330</v>
      </c>
      <c r="AB22" s="165">
        <v>-10332</v>
      </c>
      <c r="AC22" s="168">
        <v>0</v>
      </c>
      <c r="AD22" s="164">
        <v>0</v>
      </c>
      <c r="AE22" s="165">
        <v>0</v>
      </c>
      <c r="AF22" s="165">
        <v>0</v>
      </c>
      <c r="AG22" s="165">
        <v>0</v>
      </c>
      <c r="AH22" s="165">
        <v>0</v>
      </c>
      <c r="AI22" s="165">
        <v>0</v>
      </c>
      <c r="AJ22" s="165">
        <v>0</v>
      </c>
      <c r="AK22" s="170">
        <v>0</v>
      </c>
      <c r="AL22" s="171">
        <v>0</v>
      </c>
      <c r="AM22" s="165">
        <v>0</v>
      </c>
      <c r="AN22" s="168">
        <v>0</v>
      </c>
      <c r="AO22" s="164">
        <v>0</v>
      </c>
      <c r="AP22" s="165">
        <v>0</v>
      </c>
      <c r="AQ22" s="165">
        <v>0</v>
      </c>
      <c r="AR22" s="165">
        <v>0</v>
      </c>
      <c r="AS22" s="165">
        <v>0</v>
      </c>
      <c r="AT22" s="165">
        <v>46240</v>
      </c>
      <c r="AU22" s="165">
        <v>0</v>
      </c>
      <c r="AV22" s="168">
        <v>46240</v>
      </c>
      <c r="AW22" s="164">
        <v>46240</v>
      </c>
      <c r="AX22" s="165">
        <v>929</v>
      </c>
      <c r="AY22" s="165">
        <v>44</v>
      </c>
      <c r="AZ22" s="168">
        <v>0</v>
      </c>
      <c r="BA22" s="164">
        <v>973</v>
      </c>
      <c r="BB22" s="165">
        <v>0</v>
      </c>
      <c r="BC22" s="165">
        <v>0</v>
      </c>
      <c r="BD22" s="168">
        <v>0</v>
      </c>
      <c r="BE22" s="164">
        <v>0</v>
      </c>
      <c r="BF22" s="165">
        <v>973</v>
      </c>
      <c r="BG22" s="172" t="s">
        <v>223</v>
      </c>
      <c r="BH22" s="165">
        <v>973</v>
      </c>
      <c r="BI22" s="165">
        <v>36860</v>
      </c>
      <c r="BJ22" s="168">
        <v>31662</v>
      </c>
      <c r="BK22" s="592">
        <v>0.85896000000000006</v>
      </c>
      <c r="BL22" s="192">
        <v>143.5</v>
      </c>
      <c r="BM22" s="173">
        <v>1.39</v>
      </c>
      <c r="BN22" s="192">
        <v>3.74</v>
      </c>
      <c r="BO22" s="174">
        <v>0.04</v>
      </c>
      <c r="BP22" s="175">
        <v>0</v>
      </c>
      <c r="BQ22" s="176">
        <v>260145</v>
      </c>
      <c r="BR22" s="177">
        <v>26797</v>
      </c>
      <c r="BS22" s="190"/>
      <c r="BT22" s="183"/>
      <c r="BU22" s="183"/>
      <c r="BV22" s="183"/>
      <c r="BW22" s="183"/>
      <c r="BX22" s="183"/>
      <c r="BY22" s="183"/>
      <c r="BZ22" s="183"/>
      <c r="CA22" s="183"/>
      <c r="CB22" s="183"/>
      <c r="CC22" s="183"/>
      <c r="CD22" s="183"/>
      <c r="CE22" s="183"/>
      <c r="CF22" s="184"/>
      <c r="CG22" s="237"/>
    </row>
    <row r="23" spans="1:86" ht="15.75" customHeight="1" x14ac:dyDescent="0.35">
      <c r="A23" s="178" t="s">
        <v>87</v>
      </c>
      <c r="B23" s="134">
        <v>0</v>
      </c>
      <c r="C23" s="135">
        <v>0</v>
      </c>
      <c r="D23" s="135">
        <v>0</v>
      </c>
      <c r="E23" s="135">
        <v>0</v>
      </c>
      <c r="F23" s="135">
        <v>0</v>
      </c>
      <c r="G23" s="135">
        <v>0</v>
      </c>
      <c r="H23" s="135">
        <v>0</v>
      </c>
      <c r="I23" s="135">
        <v>0</v>
      </c>
      <c r="J23" s="135">
        <v>5268</v>
      </c>
      <c r="K23" s="136">
        <v>2.4</v>
      </c>
      <c r="L23" s="137">
        <v>0</v>
      </c>
      <c r="M23" s="138">
        <v>5270</v>
      </c>
      <c r="N23" s="134">
        <v>0</v>
      </c>
      <c r="O23" s="135">
        <v>0</v>
      </c>
      <c r="P23" s="135">
        <v>0</v>
      </c>
      <c r="Q23" s="135">
        <v>0</v>
      </c>
      <c r="R23" s="135">
        <v>0</v>
      </c>
      <c r="S23" s="135">
        <v>0</v>
      </c>
      <c r="T23" s="135">
        <v>0</v>
      </c>
      <c r="U23" s="135">
        <v>0</v>
      </c>
      <c r="V23" s="135">
        <v>32060</v>
      </c>
      <c r="W23" s="135">
        <v>0</v>
      </c>
      <c r="X23" s="135">
        <v>0</v>
      </c>
      <c r="Y23" s="138">
        <v>32060</v>
      </c>
      <c r="Z23" s="139">
        <v>0</v>
      </c>
      <c r="AA23" s="134">
        <v>37330</v>
      </c>
      <c r="AB23" s="135">
        <v>-10332</v>
      </c>
      <c r="AC23" s="138">
        <v>0</v>
      </c>
      <c r="AD23" s="134">
        <v>0</v>
      </c>
      <c r="AE23" s="135">
        <v>0</v>
      </c>
      <c r="AF23" s="135">
        <v>0</v>
      </c>
      <c r="AG23" s="135">
        <v>0</v>
      </c>
      <c r="AH23" s="135">
        <v>0</v>
      </c>
      <c r="AI23" s="135">
        <v>0</v>
      </c>
      <c r="AJ23" s="135">
        <v>0</v>
      </c>
      <c r="AK23" s="141">
        <v>0</v>
      </c>
      <c r="AL23" s="142">
        <v>0</v>
      </c>
      <c r="AM23" s="135">
        <v>0</v>
      </c>
      <c r="AN23" s="138">
        <v>0</v>
      </c>
      <c r="AO23" s="139">
        <v>0</v>
      </c>
      <c r="AP23" s="139">
        <v>0</v>
      </c>
      <c r="AQ23" s="139">
        <v>0</v>
      </c>
      <c r="AR23" s="139">
        <v>0</v>
      </c>
      <c r="AS23" s="134">
        <v>0</v>
      </c>
      <c r="AT23" s="135">
        <v>46240</v>
      </c>
      <c r="AU23" s="135">
        <v>0</v>
      </c>
      <c r="AV23" s="138">
        <v>46240</v>
      </c>
      <c r="AW23" s="134">
        <v>46240</v>
      </c>
      <c r="AX23" s="135">
        <v>929</v>
      </c>
      <c r="AY23" s="135">
        <v>44</v>
      </c>
      <c r="AZ23" s="138">
        <v>0</v>
      </c>
      <c r="BA23" s="134">
        <v>973</v>
      </c>
      <c r="BB23" s="135">
        <v>0</v>
      </c>
      <c r="BC23" s="135">
        <v>0</v>
      </c>
      <c r="BD23" s="138">
        <v>0</v>
      </c>
      <c r="BE23" s="134">
        <v>0</v>
      </c>
      <c r="BF23" s="135">
        <v>973</v>
      </c>
      <c r="BG23" s="143" t="s">
        <v>223</v>
      </c>
      <c r="BH23" s="135">
        <v>973</v>
      </c>
      <c r="BI23" s="135">
        <v>36860</v>
      </c>
      <c r="BJ23" s="138">
        <v>31662</v>
      </c>
      <c r="BK23" s="593">
        <v>0.85896000000000006</v>
      </c>
      <c r="BL23" s="194">
        <v>143.5</v>
      </c>
      <c r="BM23" s="145">
        <v>1.39</v>
      </c>
      <c r="BN23" s="194">
        <v>3.74</v>
      </c>
      <c r="BO23" s="146">
        <v>0.04</v>
      </c>
      <c r="BP23" s="179">
        <v>0</v>
      </c>
      <c r="BQ23" s="179">
        <v>260145</v>
      </c>
      <c r="BR23" s="179">
        <v>26797</v>
      </c>
      <c r="BS23" s="180" t="s">
        <v>261</v>
      </c>
      <c r="BT23" s="143" t="s">
        <v>260</v>
      </c>
      <c r="BU23" s="143" t="s">
        <v>242</v>
      </c>
      <c r="BV23" s="143" t="s">
        <v>248</v>
      </c>
      <c r="BW23" s="143" t="s">
        <v>117</v>
      </c>
      <c r="BX23" s="143" t="s">
        <v>253</v>
      </c>
      <c r="BY23" s="143" t="s">
        <v>230</v>
      </c>
      <c r="BZ23" s="143" t="s">
        <v>262</v>
      </c>
      <c r="CA23" s="143" t="s">
        <v>232</v>
      </c>
      <c r="CB23" s="143" t="s">
        <v>243</v>
      </c>
      <c r="CC23" s="143" t="s">
        <v>234</v>
      </c>
      <c r="CD23" s="143" t="s">
        <v>244</v>
      </c>
      <c r="CE23" s="143" t="s">
        <v>221</v>
      </c>
      <c r="CF23" s="181" t="s">
        <v>263</v>
      </c>
      <c r="CG23" s="238"/>
      <c r="CH23" s="239"/>
    </row>
    <row r="24" spans="1:86" ht="15.75" customHeight="1" x14ac:dyDescent="0.35">
      <c r="A24" s="151" t="s">
        <v>88</v>
      </c>
      <c r="B24" s="157">
        <v>25958657</v>
      </c>
      <c r="C24" s="157">
        <v>0</v>
      </c>
      <c r="D24" s="157">
        <v>0</v>
      </c>
      <c r="E24" s="157">
        <v>299625</v>
      </c>
      <c r="F24" s="157">
        <v>0</v>
      </c>
      <c r="G24" s="157">
        <v>0</v>
      </c>
      <c r="H24" s="157">
        <v>0</v>
      </c>
      <c r="I24" s="157">
        <v>0</v>
      </c>
      <c r="J24" s="157">
        <v>33123</v>
      </c>
      <c r="K24" s="152">
        <v>771</v>
      </c>
      <c r="L24" s="153">
        <v>0</v>
      </c>
      <c r="M24" s="156">
        <v>33894</v>
      </c>
      <c r="N24" s="157">
        <v>0</v>
      </c>
      <c r="O24" s="157">
        <v>0</v>
      </c>
      <c r="P24" s="157">
        <v>0</v>
      </c>
      <c r="Q24" s="157">
        <v>0</v>
      </c>
      <c r="R24" s="157">
        <v>0</v>
      </c>
      <c r="S24" s="157">
        <v>0</v>
      </c>
      <c r="T24" s="157">
        <v>0</v>
      </c>
      <c r="U24" s="157">
        <v>0</v>
      </c>
      <c r="V24" s="157">
        <v>3593</v>
      </c>
      <c r="W24" s="157">
        <v>66</v>
      </c>
      <c r="X24" s="157">
        <v>0</v>
      </c>
      <c r="Y24" s="157">
        <v>3659</v>
      </c>
      <c r="Z24" s="157">
        <v>0</v>
      </c>
      <c r="AA24" s="157">
        <v>37554</v>
      </c>
      <c r="AB24" s="157">
        <v>-433</v>
      </c>
      <c r="AC24" s="157">
        <v>0</v>
      </c>
      <c r="AD24" s="157">
        <v>191</v>
      </c>
      <c r="AE24" s="157">
        <v>0</v>
      </c>
      <c r="AF24" s="157">
        <v>0</v>
      </c>
      <c r="AG24" s="157">
        <v>0</v>
      </c>
      <c r="AH24" s="157">
        <v>0</v>
      </c>
      <c r="AI24" s="157">
        <v>0</v>
      </c>
      <c r="AJ24" s="157">
        <v>4583</v>
      </c>
      <c r="AK24" s="195">
        <v>0</v>
      </c>
      <c r="AL24" s="196">
        <v>10419</v>
      </c>
      <c r="AM24" s="157">
        <v>0</v>
      </c>
      <c r="AN24" s="157">
        <v>15002</v>
      </c>
      <c r="AO24" s="157">
        <v>0</v>
      </c>
      <c r="AP24" s="157">
        <v>0</v>
      </c>
      <c r="AQ24" s="157">
        <v>0</v>
      </c>
      <c r="AR24" s="157">
        <v>0</v>
      </c>
      <c r="AS24" s="157">
        <v>0</v>
      </c>
      <c r="AT24" s="157">
        <v>0</v>
      </c>
      <c r="AU24" s="157">
        <v>237</v>
      </c>
      <c r="AV24" s="157">
        <v>237</v>
      </c>
      <c r="AW24" s="157">
        <v>15239</v>
      </c>
      <c r="AX24" s="157">
        <v>814</v>
      </c>
      <c r="AY24" s="157">
        <v>6917</v>
      </c>
      <c r="AZ24" s="157">
        <v>16185</v>
      </c>
      <c r="BA24" s="157">
        <v>23916</v>
      </c>
      <c r="BB24" s="157">
        <v>0</v>
      </c>
      <c r="BC24" s="157">
        <v>0</v>
      </c>
      <c r="BD24" s="157">
        <v>0</v>
      </c>
      <c r="BE24" s="157">
        <v>0</v>
      </c>
      <c r="BF24" s="157">
        <v>23916</v>
      </c>
      <c r="BG24" s="197" t="s">
        <v>223</v>
      </c>
      <c r="BH24" s="156">
        <v>23916</v>
      </c>
      <c r="BI24" s="157">
        <v>196565</v>
      </c>
      <c r="BJ24" s="157">
        <v>162148</v>
      </c>
      <c r="BK24" s="596">
        <v>0.82491000000000003</v>
      </c>
      <c r="BL24" s="198">
        <v>38.49</v>
      </c>
      <c r="BM24" s="198">
        <v>1.04</v>
      </c>
      <c r="BN24" s="198">
        <v>24.51</v>
      </c>
      <c r="BO24" s="198">
        <v>0.67</v>
      </c>
      <c r="BP24" s="157">
        <v>976</v>
      </c>
      <c r="BQ24" s="613">
        <v>0</v>
      </c>
      <c r="BR24" s="157">
        <v>35961</v>
      </c>
      <c r="BS24" s="190"/>
      <c r="BT24" s="183"/>
      <c r="BU24" s="183"/>
      <c r="BV24" s="183"/>
      <c r="BW24" s="183"/>
      <c r="BX24" s="183"/>
      <c r="BY24" s="183"/>
      <c r="BZ24" s="183"/>
      <c r="CA24" s="183"/>
      <c r="CB24" s="183"/>
      <c r="CC24" s="183"/>
      <c r="CD24" s="183"/>
      <c r="CE24" s="183"/>
      <c r="CF24" s="184"/>
      <c r="CG24" s="240"/>
    </row>
    <row r="25" spans="1:86" ht="15.75" customHeight="1" x14ac:dyDescent="0.35">
      <c r="A25" s="163" t="s">
        <v>89</v>
      </c>
      <c r="B25" s="164">
        <v>0</v>
      </c>
      <c r="C25" s="165">
        <v>0</v>
      </c>
      <c r="D25" s="165">
        <v>0</v>
      </c>
      <c r="E25" s="165">
        <v>299625</v>
      </c>
      <c r="F25" s="165">
        <v>0</v>
      </c>
      <c r="G25" s="165">
        <v>0</v>
      </c>
      <c r="H25" s="165">
        <v>0</v>
      </c>
      <c r="I25" s="165">
        <v>0</v>
      </c>
      <c r="J25" s="165">
        <v>183</v>
      </c>
      <c r="K25" s="166">
        <v>116.65</v>
      </c>
      <c r="L25" s="167">
        <v>0</v>
      </c>
      <c r="M25" s="168">
        <v>300</v>
      </c>
      <c r="N25" s="164">
        <v>0</v>
      </c>
      <c r="O25" s="165">
        <v>0</v>
      </c>
      <c r="P25" s="165">
        <v>0</v>
      </c>
      <c r="Q25" s="165">
        <v>0</v>
      </c>
      <c r="R25" s="165">
        <v>0</v>
      </c>
      <c r="S25" s="165">
        <v>0</v>
      </c>
      <c r="T25" s="165">
        <v>0</v>
      </c>
      <c r="U25" s="165">
        <v>0</v>
      </c>
      <c r="V25" s="165">
        <v>1453</v>
      </c>
      <c r="W25" s="165">
        <v>0</v>
      </c>
      <c r="X25" s="165">
        <v>0</v>
      </c>
      <c r="Y25" s="168">
        <v>1453</v>
      </c>
      <c r="Z25" s="169">
        <v>0</v>
      </c>
      <c r="AA25" s="164">
        <v>1753</v>
      </c>
      <c r="AB25" s="165">
        <v>0</v>
      </c>
      <c r="AC25" s="168">
        <v>0</v>
      </c>
      <c r="AD25" s="164">
        <v>0</v>
      </c>
      <c r="AE25" s="165">
        <v>0</v>
      </c>
      <c r="AF25" s="165">
        <v>0</v>
      </c>
      <c r="AG25" s="165">
        <v>0</v>
      </c>
      <c r="AH25" s="165">
        <v>0</v>
      </c>
      <c r="AI25" s="165">
        <v>0</v>
      </c>
      <c r="AJ25" s="165">
        <v>0</v>
      </c>
      <c r="AK25" s="170">
        <v>0</v>
      </c>
      <c r="AL25" s="171">
        <v>0</v>
      </c>
      <c r="AM25" s="165">
        <v>0</v>
      </c>
      <c r="AN25" s="168">
        <v>0</v>
      </c>
      <c r="AO25" s="164">
        <v>0</v>
      </c>
      <c r="AP25" s="165">
        <v>0</v>
      </c>
      <c r="AQ25" s="165">
        <v>0</v>
      </c>
      <c r="AR25" s="165">
        <v>0</v>
      </c>
      <c r="AS25" s="165">
        <v>0</v>
      </c>
      <c r="AT25" s="165">
        <v>0</v>
      </c>
      <c r="AU25" s="165">
        <v>237</v>
      </c>
      <c r="AV25" s="168">
        <v>237</v>
      </c>
      <c r="AW25" s="164">
        <v>237</v>
      </c>
      <c r="AX25" s="165">
        <v>271</v>
      </c>
      <c r="AY25" s="165">
        <v>1246</v>
      </c>
      <c r="AZ25" s="168">
        <v>0</v>
      </c>
      <c r="BA25" s="164">
        <v>1517</v>
      </c>
      <c r="BB25" s="165">
        <v>0</v>
      </c>
      <c r="BC25" s="165">
        <v>0</v>
      </c>
      <c r="BD25" s="168">
        <v>0</v>
      </c>
      <c r="BE25" s="164">
        <v>0</v>
      </c>
      <c r="BF25" s="165">
        <v>1517</v>
      </c>
      <c r="BG25" s="172" t="s">
        <v>223</v>
      </c>
      <c r="BH25" s="165">
        <v>1517</v>
      </c>
      <c r="BI25" s="165">
        <v>46146</v>
      </c>
      <c r="BJ25" s="168">
        <v>44393</v>
      </c>
      <c r="BK25" s="592">
        <v>0.96200999999999992</v>
      </c>
      <c r="BL25" s="173">
        <v>4.2300000000000004</v>
      </c>
      <c r="BM25" s="173">
        <v>0.06</v>
      </c>
      <c r="BN25" s="173">
        <v>3.66</v>
      </c>
      <c r="BO25" s="174">
        <v>0.06</v>
      </c>
      <c r="BP25" s="175">
        <v>414</v>
      </c>
      <c r="BQ25" s="605">
        <v>0</v>
      </c>
      <c r="BR25" s="177">
        <v>27075</v>
      </c>
      <c r="BS25" s="190"/>
      <c r="BT25" s="183"/>
      <c r="BU25" s="183"/>
      <c r="BV25" s="183"/>
      <c r="BW25" s="183"/>
      <c r="BX25" s="183"/>
      <c r="BY25" s="183"/>
      <c r="BZ25" s="183"/>
      <c r="CA25" s="183"/>
      <c r="CB25" s="183"/>
      <c r="CC25" s="183"/>
      <c r="CD25" s="183"/>
      <c r="CE25" s="183"/>
      <c r="CF25" s="184"/>
      <c r="CG25" s="237"/>
    </row>
    <row r="26" spans="1:86" ht="15.75" customHeight="1" x14ac:dyDescent="0.35">
      <c r="A26" s="178" t="s">
        <v>90</v>
      </c>
      <c r="B26" s="134">
        <v>0</v>
      </c>
      <c r="C26" s="135">
        <v>0</v>
      </c>
      <c r="D26" s="135">
        <v>0</v>
      </c>
      <c r="E26" s="135">
        <v>299625</v>
      </c>
      <c r="F26" s="135">
        <v>0</v>
      </c>
      <c r="G26" s="135">
        <v>0</v>
      </c>
      <c r="H26" s="135">
        <v>0</v>
      </c>
      <c r="I26" s="135">
        <v>0</v>
      </c>
      <c r="J26" s="135">
        <v>183</v>
      </c>
      <c r="K26" s="136">
        <v>116.65</v>
      </c>
      <c r="L26" s="137">
        <v>0</v>
      </c>
      <c r="M26" s="138">
        <v>300</v>
      </c>
      <c r="N26" s="134">
        <v>0</v>
      </c>
      <c r="O26" s="135">
        <v>0</v>
      </c>
      <c r="P26" s="135">
        <v>0</v>
      </c>
      <c r="Q26" s="135">
        <v>0</v>
      </c>
      <c r="R26" s="135">
        <v>0</v>
      </c>
      <c r="S26" s="135">
        <v>0</v>
      </c>
      <c r="T26" s="135">
        <v>0</v>
      </c>
      <c r="U26" s="135">
        <v>0</v>
      </c>
      <c r="V26" s="135">
        <v>1453</v>
      </c>
      <c r="W26" s="135">
        <v>0</v>
      </c>
      <c r="X26" s="135">
        <v>0</v>
      </c>
      <c r="Y26" s="138">
        <v>1453</v>
      </c>
      <c r="Z26" s="139">
        <v>0</v>
      </c>
      <c r="AA26" s="134">
        <v>1753</v>
      </c>
      <c r="AB26" s="135">
        <v>0</v>
      </c>
      <c r="AC26" s="138">
        <v>0</v>
      </c>
      <c r="AD26" s="134">
        <v>0</v>
      </c>
      <c r="AE26" s="135">
        <v>0</v>
      </c>
      <c r="AF26" s="135">
        <v>0</v>
      </c>
      <c r="AG26" s="135">
        <v>0</v>
      </c>
      <c r="AH26" s="135">
        <v>0</v>
      </c>
      <c r="AI26" s="135">
        <v>0</v>
      </c>
      <c r="AJ26" s="135">
        <v>0</v>
      </c>
      <c r="AK26" s="141">
        <v>0</v>
      </c>
      <c r="AL26" s="142">
        <v>0</v>
      </c>
      <c r="AM26" s="135">
        <v>0</v>
      </c>
      <c r="AN26" s="138">
        <v>0</v>
      </c>
      <c r="AO26" s="139">
        <v>0</v>
      </c>
      <c r="AP26" s="139">
        <v>0</v>
      </c>
      <c r="AQ26" s="139">
        <v>0</v>
      </c>
      <c r="AR26" s="139">
        <v>0</v>
      </c>
      <c r="AS26" s="134">
        <v>0</v>
      </c>
      <c r="AT26" s="135">
        <v>0</v>
      </c>
      <c r="AU26" s="135">
        <v>237</v>
      </c>
      <c r="AV26" s="138">
        <v>237</v>
      </c>
      <c r="AW26" s="134">
        <v>237</v>
      </c>
      <c r="AX26" s="135">
        <v>271</v>
      </c>
      <c r="AY26" s="135">
        <v>1246</v>
      </c>
      <c r="AZ26" s="138">
        <v>0</v>
      </c>
      <c r="BA26" s="134">
        <v>1517</v>
      </c>
      <c r="BB26" s="135">
        <v>0</v>
      </c>
      <c r="BC26" s="135">
        <v>0</v>
      </c>
      <c r="BD26" s="138">
        <v>0</v>
      </c>
      <c r="BE26" s="134">
        <v>0</v>
      </c>
      <c r="BF26" s="135">
        <v>1517</v>
      </c>
      <c r="BG26" s="143" t="s">
        <v>223</v>
      </c>
      <c r="BH26" s="135">
        <v>1517</v>
      </c>
      <c r="BI26" s="135">
        <v>46146</v>
      </c>
      <c r="BJ26" s="138">
        <v>44393</v>
      </c>
      <c r="BK26" s="593">
        <v>0.96200999999999992</v>
      </c>
      <c r="BL26" s="145">
        <v>4.2300000000000004</v>
      </c>
      <c r="BM26" s="145">
        <v>0.06</v>
      </c>
      <c r="BN26" s="145">
        <v>3.66</v>
      </c>
      <c r="BO26" s="146">
        <v>0.06</v>
      </c>
      <c r="BP26" s="179">
        <v>414</v>
      </c>
      <c r="BQ26" s="606">
        <v>0</v>
      </c>
      <c r="BR26" s="179">
        <v>27075</v>
      </c>
      <c r="BS26" s="180" t="s">
        <v>264</v>
      </c>
      <c r="BT26" s="143" t="s">
        <v>265</v>
      </c>
      <c r="BU26" s="143" t="s">
        <v>266</v>
      </c>
      <c r="BV26" s="143" t="s">
        <v>242</v>
      </c>
      <c r="BW26" s="143" t="s">
        <v>267</v>
      </c>
      <c r="BX26" s="143" t="s">
        <v>231</v>
      </c>
      <c r="BY26" s="143" t="s">
        <v>230</v>
      </c>
      <c r="BZ26" s="143" t="s">
        <v>268</v>
      </c>
      <c r="CA26" s="143" t="s">
        <v>233</v>
      </c>
      <c r="CB26" s="143" t="s">
        <v>243</v>
      </c>
      <c r="CC26" s="143" t="s">
        <v>269</v>
      </c>
      <c r="CD26" s="143" t="s">
        <v>262</v>
      </c>
      <c r="CE26" s="143" t="s">
        <v>221</v>
      </c>
      <c r="CF26" s="181" t="s">
        <v>269</v>
      </c>
      <c r="CG26" s="238"/>
      <c r="CH26" s="239"/>
    </row>
    <row r="27" spans="1:86" ht="15.75" customHeight="1" x14ac:dyDescent="0.35">
      <c r="A27" s="163" t="s">
        <v>95</v>
      </c>
      <c r="B27" s="164">
        <v>25958657</v>
      </c>
      <c r="C27" s="165">
        <v>0</v>
      </c>
      <c r="D27" s="165">
        <v>0</v>
      </c>
      <c r="E27" s="165">
        <v>0</v>
      </c>
      <c r="F27" s="165">
        <v>0</v>
      </c>
      <c r="G27" s="165">
        <v>0</v>
      </c>
      <c r="H27" s="165">
        <v>0</v>
      </c>
      <c r="I27" s="165">
        <v>0</v>
      </c>
      <c r="J27" s="165">
        <v>25739</v>
      </c>
      <c r="K27" s="166">
        <v>219.93</v>
      </c>
      <c r="L27" s="167">
        <v>0</v>
      </c>
      <c r="M27" s="168">
        <v>25959</v>
      </c>
      <c r="N27" s="164">
        <v>0</v>
      </c>
      <c r="O27" s="165">
        <v>0</v>
      </c>
      <c r="P27" s="165">
        <v>0</v>
      </c>
      <c r="Q27" s="165">
        <v>0</v>
      </c>
      <c r="R27" s="165">
        <v>0</v>
      </c>
      <c r="S27" s="165">
        <v>0</v>
      </c>
      <c r="T27" s="165">
        <v>0</v>
      </c>
      <c r="U27" s="165">
        <v>0</v>
      </c>
      <c r="V27" s="165">
        <v>1927</v>
      </c>
      <c r="W27" s="165">
        <v>0</v>
      </c>
      <c r="X27" s="165">
        <v>0</v>
      </c>
      <c r="Y27" s="168">
        <v>1927</v>
      </c>
      <c r="Z27" s="169">
        <v>0</v>
      </c>
      <c r="AA27" s="164">
        <v>27886</v>
      </c>
      <c r="AB27" s="165">
        <v>-477</v>
      </c>
      <c r="AC27" s="168">
        <v>0</v>
      </c>
      <c r="AD27" s="164">
        <v>0</v>
      </c>
      <c r="AE27" s="165">
        <v>0</v>
      </c>
      <c r="AF27" s="165">
        <v>0</v>
      </c>
      <c r="AG27" s="165">
        <v>0</v>
      </c>
      <c r="AH27" s="165">
        <v>0</v>
      </c>
      <c r="AI27" s="165">
        <v>0</v>
      </c>
      <c r="AJ27" s="165">
        <v>0</v>
      </c>
      <c r="AK27" s="170">
        <v>0</v>
      </c>
      <c r="AL27" s="171">
        <v>7705</v>
      </c>
      <c r="AM27" s="165">
        <v>0</v>
      </c>
      <c r="AN27" s="168">
        <v>7705</v>
      </c>
      <c r="AO27" s="164">
        <v>0</v>
      </c>
      <c r="AP27" s="165">
        <v>0</v>
      </c>
      <c r="AQ27" s="165">
        <v>0</v>
      </c>
      <c r="AR27" s="165">
        <v>0</v>
      </c>
      <c r="AS27" s="165">
        <v>0</v>
      </c>
      <c r="AT27" s="165">
        <v>0</v>
      </c>
      <c r="AU27" s="165">
        <v>0</v>
      </c>
      <c r="AV27" s="168">
        <v>0</v>
      </c>
      <c r="AW27" s="164">
        <v>7705</v>
      </c>
      <c r="AX27" s="165">
        <v>240</v>
      </c>
      <c r="AY27" s="165">
        <v>5428</v>
      </c>
      <c r="AZ27" s="168">
        <v>16136</v>
      </c>
      <c r="BA27" s="164">
        <v>21805</v>
      </c>
      <c r="BB27" s="165">
        <v>0</v>
      </c>
      <c r="BC27" s="165">
        <v>0</v>
      </c>
      <c r="BD27" s="168">
        <v>0</v>
      </c>
      <c r="BE27" s="164">
        <v>0</v>
      </c>
      <c r="BF27" s="165">
        <v>21805</v>
      </c>
      <c r="BG27" s="172" t="s">
        <v>223</v>
      </c>
      <c r="BH27" s="165">
        <v>21805</v>
      </c>
      <c r="BI27" s="165">
        <v>140769</v>
      </c>
      <c r="BJ27" s="168">
        <v>112899</v>
      </c>
      <c r="BK27" s="592">
        <v>0.80201</v>
      </c>
      <c r="BL27" s="173">
        <v>49.87</v>
      </c>
      <c r="BM27" s="173">
        <v>3.14</v>
      </c>
      <c r="BN27" s="173">
        <v>39</v>
      </c>
      <c r="BO27" s="174">
        <v>2.4500000000000002</v>
      </c>
      <c r="BP27" s="175">
        <v>559</v>
      </c>
      <c r="BQ27" s="605">
        <v>0</v>
      </c>
      <c r="BR27" s="177">
        <v>8886</v>
      </c>
      <c r="BS27" s="190"/>
      <c r="BT27" s="183"/>
      <c r="BU27" s="183"/>
      <c r="BV27" s="183"/>
      <c r="BW27" s="183"/>
      <c r="BX27" s="183"/>
      <c r="BY27" s="183"/>
      <c r="BZ27" s="183"/>
      <c r="CA27" s="183"/>
      <c r="CB27" s="183"/>
      <c r="CC27" s="183"/>
      <c r="CD27" s="183"/>
      <c r="CE27" s="183"/>
      <c r="CF27" s="184"/>
      <c r="CG27" s="237"/>
    </row>
    <row r="28" spans="1:86" ht="15.75" customHeight="1" x14ac:dyDescent="0.35">
      <c r="A28" s="178" t="s">
        <v>96</v>
      </c>
      <c r="B28" s="134">
        <v>25958657</v>
      </c>
      <c r="C28" s="135">
        <v>0</v>
      </c>
      <c r="D28" s="135">
        <v>0</v>
      </c>
      <c r="E28" s="135">
        <v>0</v>
      </c>
      <c r="F28" s="135">
        <v>0</v>
      </c>
      <c r="G28" s="135">
        <v>0</v>
      </c>
      <c r="H28" s="135">
        <v>0</v>
      </c>
      <c r="I28" s="135">
        <v>0</v>
      </c>
      <c r="J28" s="135">
        <v>25739</v>
      </c>
      <c r="K28" s="136">
        <v>219.93</v>
      </c>
      <c r="L28" s="137">
        <v>0</v>
      </c>
      <c r="M28" s="138">
        <v>25959</v>
      </c>
      <c r="N28" s="134">
        <v>0</v>
      </c>
      <c r="O28" s="135">
        <v>0</v>
      </c>
      <c r="P28" s="135">
        <v>0</v>
      </c>
      <c r="Q28" s="135">
        <v>0</v>
      </c>
      <c r="R28" s="135">
        <v>0</v>
      </c>
      <c r="S28" s="135">
        <v>0</v>
      </c>
      <c r="T28" s="135">
        <v>0</v>
      </c>
      <c r="U28" s="135">
        <v>0</v>
      </c>
      <c r="V28" s="135">
        <v>1927</v>
      </c>
      <c r="W28" s="135">
        <v>0</v>
      </c>
      <c r="X28" s="135">
        <v>0</v>
      </c>
      <c r="Y28" s="138">
        <v>1927</v>
      </c>
      <c r="Z28" s="139">
        <v>0</v>
      </c>
      <c r="AA28" s="134">
        <v>27886</v>
      </c>
      <c r="AB28" s="135">
        <v>-477</v>
      </c>
      <c r="AC28" s="138">
        <v>0</v>
      </c>
      <c r="AD28" s="134">
        <v>0</v>
      </c>
      <c r="AE28" s="135">
        <v>0</v>
      </c>
      <c r="AF28" s="135">
        <v>0</v>
      </c>
      <c r="AG28" s="135">
        <v>0</v>
      </c>
      <c r="AH28" s="135">
        <v>0</v>
      </c>
      <c r="AI28" s="135">
        <v>0</v>
      </c>
      <c r="AJ28" s="135">
        <v>0</v>
      </c>
      <c r="AK28" s="141">
        <v>0</v>
      </c>
      <c r="AL28" s="142">
        <v>7705</v>
      </c>
      <c r="AM28" s="135">
        <v>0</v>
      </c>
      <c r="AN28" s="138">
        <v>7705</v>
      </c>
      <c r="AO28" s="139">
        <v>0</v>
      </c>
      <c r="AP28" s="139">
        <v>0</v>
      </c>
      <c r="AQ28" s="139">
        <v>0</v>
      </c>
      <c r="AR28" s="139">
        <v>0</v>
      </c>
      <c r="AS28" s="134">
        <v>0</v>
      </c>
      <c r="AT28" s="135">
        <v>0</v>
      </c>
      <c r="AU28" s="135">
        <v>0</v>
      </c>
      <c r="AV28" s="138">
        <v>0</v>
      </c>
      <c r="AW28" s="134">
        <v>7705</v>
      </c>
      <c r="AX28" s="135">
        <v>240</v>
      </c>
      <c r="AY28" s="135">
        <v>5428</v>
      </c>
      <c r="AZ28" s="138">
        <v>16136</v>
      </c>
      <c r="BA28" s="134">
        <v>21805</v>
      </c>
      <c r="BB28" s="135">
        <v>0</v>
      </c>
      <c r="BC28" s="135">
        <v>0</v>
      </c>
      <c r="BD28" s="138">
        <v>0</v>
      </c>
      <c r="BE28" s="134">
        <v>0</v>
      </c>
      <c r="BF28" s="135">
        <v>21805</v>
      </c>
      <c r="BG28" s="143" t="s">
        <v>223</v>
      </c>
      <c r="BH28" s="135">
        <v>21805</v>
      </c>
      <c r="BI28" s="135">
        <v>140769</v>
      </c>
      <c r="BJ28" s="138">
        <v>112899</v>
      </c>
      <c r="BK28" s="593">
        <v>0.80201</v>
      </c>
      <c r="BL28" s="145">
        <v>49.87</v>
      </c>
      <c r="BM28" s="145">
        <v>3.14</v>
      </c>
      <c r="BN28" s="145">
        <v>39</v>
      </c>
      <c r="BO28" s="146">
        <v>2.4500000000000002</v>
      </c>
      <c r="BP28" s="179">
        <v>559</v>
      </c>
      <c r="BQ28" s="606">
        <v>0</v>
      </c>
      <c r="BR28" s="179">
        <v>8886</v>
      </c>
      <c r="BS28" s="180" t="s">
        <v>270</v>
      </c>
      <c r="BT28" s="143" t="s">
        <v>260</v>
      </c>
      <c r="BU28" s="143" t="s">
        <v>242</v>
      </c>
      <c r="BV28" s="143" t="s">
        <v>271</v>
      </c>
      <c r="BW28" s="143" t="s">
        <v>248</v>
      </c>
      <c r="BX28" s="143" t="s">
        <v>229</v>
      </c>
      <c r="BY28" s="143" t="s">
        <v>230</v>
      </c>
      <c r="BZ28" s="143" t="s">
        <v>229</v>
      </c>
      <c r="CA28" s="143" t="s">
        <v>232</v>
      </c>
      <c r="CB28" s="143" t="s">
        <v>243</v>
      </c>
      <c r="CC28" s="143" t="s">
        <v>234</v>
      </c>
      <c r="CD28" s="143" t="s">
        <v>235</v>
      </c>
      <c r="CE28" s="143" t="s">
        <v>221</v>
      </c>
      <c r="CF28" s="181" t="s">
        <v>263</v>
      </c>
      <c r="CG28" s="238"/>
      <c r="CH28" s="239"/>
    </row>
    <row r="29" spans="1:86" ht="15.75" customHeight="1" x14ac:dyDescent="0.35">
      <c r="A29" s="163" t="s">
        <v>97</v>
      </c>
      <c r="B29" s="164">
        <v>0</v>
      </c>
      <c r="C29" s="165">
        <v>0</v>
      </c>
      <c r="D29" s="165">
        <v>0</v>
      </c>
      <c r="E29" s="165">
        <v>0</v>
      </c>
      <c r="F29" s="165">
        <v>0</v>
      </c>
      <c r="G29" s="165">
        <v>0</v>
      </c>
      <c r="H29" s="165">
        <v>0</v>
      </c>
      <c r="I29" s="165">
        <v>0</v>
      </c>
      <c r="J29" s="165">
        <v>3969</v>
      </c>
      <c r="K29" s="166">
        <v>434.63</v>
      </c>
      <c r="L29" s="167">
        <v>0</v>
      </c>
      <c r="M29" s="168">
        <v>4403</v>
      </c>
      <c r="N29" s="164">
        <v>0</v>
      </c>
      <c r="O29" s="165">
        <v>0</v>
      </c>
      <c r="P29" s="165">
        <v>0</v>
      </c>
      <c r="Q29" s="165">
        <v>0</v>
      </c>
      <c r="R29" s="165">
        <v>0</v>
      </c>
      <c r="S29" s="165">
        <v>0</v>
      </c>
      <c r="T29" s="165">
        <v>0</v>
      </c>
      <c r="U29" s="165">
        <v>0</v>
      </c>
      <c r="V29" s="165">
        <v>212</v>
      </c>
      <c r="W29" s="165">
        <v>66</v>
      </c>
      <c r="X29" s="165">
        <v>0</v>
      </c>
      <c r="Y29" s="168">
        <v>278</v>
      </c>
      <c r="Z29" s="169">
        <v>0</v>
      </c>
      <c r="AA29" s="164">
        <v>4682</v>
      </c>
      <c r="AB29" s="165">
        <v>91</v>
      </c>
      <c r="AC29" s="168">
        <v>0</v>
      </c>
      <c r="AD29" s="164">
        <v>0</v>
      </c>
      <c r="AE29" s="165">
        <v>0</v>
      </c>
      <c r="AF29" s="165">
        <v>0</v>
      </c>
      <c r="AG29" s="165">
        <v>0</v>
      </c>
      <c r="AH29" s="165">
        <v>0</v>
      </c>
      <c r="AI29" s="165">
        <v>0</v>
      </c>
      <c r="AJ29" s="165">
        <v>1472</v>
      </c>
      <c r="AK29" s="170">
        <v>0</v>
      </c>
      <c r="AL29" s="171">
        <v>2524</v>
      </c>
      <c r="AM29" s="165">
        <v>0</v>
      </c>
      <c r="AN29" s="168">
        <v>3996</v>
      </c>
      <c r="AO29" s="164">
        <v>0</v>
      </c>
      <c r="AP29" s="165">
        <v>0</v>
      </c>
      <c r="AQ29" s="165">
        <v>0</v>
      </c>
      <c r="AR29" s="165">
        <v>0</v>
      </c>
      <c r="AS29" s="165">
        <v>0</v>
      </c>
      <c r="AT29" s="165">
        <v>0</v>
      </c>
      <c r="AU29" s="165">
        <v>0</v>
      </c>
      <c r="AV29" s="168">
        <v>0</v>
      </c>
      <c r="AW29" s="164">
        <v>3996</v>
      </c>
      <c r="AX29" s="165">
        <v>303</v>
      </c>
      <c r="AY29" s="165">
        <v>243</v>
      </c>
      <c r="AZ29" s="168">
        <v>49</v>
      </c>
      <c r="BA29" s="164">
        <v>595</v>
      </c>
      <c r="BB29" s="165">
        <v>0</v>
      </c>
      <c r="BC29" s="165">
        <v>0</v>
      </c>
      <c r="BD29" s="168">
        <v>0</v>
      </c>
      <c r="BE29" s="164">
        <v>0</v>
      </c>
      <c r="BF29" s="165">
        <v>595</v>
      </c>
      <c r="BG29" s="172" t="s">
        <v>223</v>
      </c>
      <c r="BH29" s="165">
        <v>595</v>
      </c>
      <c r="BI29" s="165">
        <v>6420</v>
      </c>
      <c r="BJ29" s="168">
        <v>4856</v>
      </c>
      <c r="BK29" s="592">
        <v>0.75634000000000001</v>
      </c>
      <c r="BL29" s="174">
        <v>2089.7800000000002</v>
      </c>
      <c r="BM29" s="199" t="s">
        <v>272</v>
      </c>
      <c r="BN29" s="174">
        <v>265.52999999999997</v>
      </c>
      <c r="BO29" s="200" t="s">
        <v>272</v>
      </c>
      <c r="BP29" s="175">
        <v>2</v>
      </c>
      <c r="BQ29" s="605">
        <v>0</v>
      </c>
      <c r="BR29" s="615">
        <v>0</v>
      </c>
      <c r="BS29" s="190"/>
      <c r="BT29" s="183"/>
      <c r="BU29" s="183"/>
      <c r="BV29" s="183"/>
      <c r="BW29" s="183"/>
      <c r="BX29" s="183"/>
      <c r="BY29" s="183"/>
      <c r="BZ29" s="183"/>
      <c r="CA29" s="183"/>
      <c r="CB29" s="183"/>
      <c r="CC29" s="183"/>
      <c r="CD29" s="183"/>
      <c r="CE29" s="183"/>
      <c r="CF29" s="184"/>
      <c r="CG29" s="237"/>
    </row>
    <row r="30" spans="1:86" ht="15" hidden="1" customHeight="1" x14ac:dyDescent="0.35">
      <c r="A30" s="182" t="s">
        <v>273</v>
      </c>
      <c r="B30" s="188">
        <v>0</v>
      </c>
      <c r="C30" s="189">
        <v>0</v>
      </c>
      <c r="D30" s="189">
        <v>0</v>
      </c>
      <c r="E30" s="189">
        <v>0</v>
      </c>
      <c r="F30" s="189">
        <v>0</v>
      </c>
      <c r="G30" s="189">
        <v>0</v>
      </c>
      <c r="H30" s="189">
        <v>0</v>
      </c>
      <c r="I30" s="189">
        <v>0</v>
      </c>
      <c r="J30" s="189">
        <v>0</v>
      </c>
      <c r="K30" s="201">
        <v>0</v>
      </c>
      <c r="L30" s="202">
        <v>0</v>
      </c>
      <c r="M30" s="203">
        <v>0</v>
      </c>
      <c r="N30" s="190"/>
      <c r="O30" s="189">
        <v>0</v>
      </c>
      <c r="P30" s="189">
        <v>0</v>
      </c>
      <c r="Q30" s="189">
        <v>0</v>
      </c>
      <c r="R30" s="189">
        <v>0</v>
      </c>
      <c r="S30" s="189">
        <v>0</v>
      </c>
      <c r="T30" s="189">
        <v>0</v>
      </c>
      <c r="U30" s="189">
        <v>0</v>
      </c>
      <c r="V30" s="189">
        <v>0</v>
      </c>
      <c r="W30" s="189">
        <v>0</v>
      </c>
      <c r="X30" s="189">
        <v>0</v>
      </c>
      <c r="Y30" s="203">
        <v>0</v>
      </c>
      <c r="Z30" s="204">
        <v>0</v>
      </c>
      <c r="AA30" s="205">
        <v>0</v>
      </c>
      <c r="AB30" s="189">
        <v>0</v>
      </c>
      <c r="AC30" s="203">
        <v>0</v>
      </c>
      <c r="AD30" s="188">
        <v>0</v>
      </c>
      <c r="AE30" s="189">
        <v>0</v>
      </c>
      <c r="AF30" s="189">
        <v>0</v>
      </c>
      <c r="AG30" s="189">
        <v>0</v>
      </c>
      <c r="AH30" s="189">
        <v>0</v>
      </c>
      <c r="AI30" s="189">
        <v>0</v>
      </c>
      <c r="AJ30" s="189">
        <v>0</v>
      </c>
      <c r="AK30" s="206">
        <v>0</v>
      </c>
      <c r="AL30" s="207">
        <v>0</v>
      </c>
      <c r="AM30" s="189">
        <v>0</v>
      </c>
      <c r="AN30" s="203">
        <v>0</v>
      </c>
      <c r="AO30" s="204">
        <v>0</v>
      </c>
      <c r="AP30" s="204">
        <v>0</v>
      </c>
      <c r="AQ30" s="204">
        <v>0</v>
      </c>
      <c r="AR30" s="204">
        <v>0</v>
      </c>
      <c r="AS30" s="188">
        <v>0</v>
      </c>
      <c r="AT30" s="189">
        <v>0</v>
      </c>
      <c r="AU30" s="189">
        <v>0</v>
      </c>
      <c r="AV30" s="203">
        <v>0</v>
      </c>
      <c r="AW30" s="205">
        <v>0</v>
      </c>
      <c r="AX30" s="189">
        <v>0</v>
      </c>
      <c r="AY30" s="189">
        <v>0</v>
      </c>
      <c r="AZ30" s="203">
        <v>0</v>
      </c>
      <c r="BA30" s="205">
        <v>0</v>
      </c>
      <c r="BB30" s="189">
        <v>0</v>
      </c>
      <c r="BC30" s="189">
        <v>0</v>
      </c>
      <c r="BD30" s="203">
        <v>0</v>
      </c>
      <c r="BE30" s="205">
        <v>0</v>
      </c>
      <c r="BF30" s="208">
        <v>0</v>
      </c>
      <c r="BG30" s="209" t="s">
        <v>223</v>
      </c>
      <c r="BH30" s="208">
        <v>0</v>
      </c>
      <c r="BI30" s="189">
        <v>0</v>
      </c>
      <c r="BJ30" s="203">
        <v>0</v>
      </c>
      <c r="BK30" s="597" t="s">
        <v>238</v>
      </c>
      <c r="BL30" s="209" t="s">
        <v>238</v>
      </c>
      <c r="BM30" s="209" t="s">
        <v>272</v>
      </c>
      <c r="BN30" s="209" t="s">
        <v>238</v>
      </c>
      <c r="BO30" s="210" t="s">
        <v>272</v>
      </c>
      <c r="BP30" s="211">
        <v>0</v>
      </c>
      <c r="BQ30" s="606">
        <v>0</v>
      </c>
      <c r="BR30" s="606">
        <v>0</v>
      </c>
      <c r="BS30" s="190" t="s">
        <v>274</v>
      </c>
      <c r="BT30" s="183" t="s">
        <v>260</v>
      </c>
      <c r="BU30" s="183" t="s">
        <v>242</v>
      </c>
      <c r="BV30" s="183" t="s">
        <v>271</v>
      </c>
      <c r="BW30" s="183" t="s">
        <v>247</v>
      </c>
      <c r="BX30" s="183" t="s">
        <v>231</v>
      </c>
      <c r="BY30" s="183" t="s">
        <v>230</v>
      </c>
      <c r="BZ30" s="183" t="s">
        <v>229</v>
      </c>
      <c r="CA30" s="183" t="s">
        <v>233</v>
      </c>
      <c r="CB30" s="183" t="s">
        <v>232</v>
      </c>
      <c r="CC30" s="183" t="s">
        <v>234</v>
      </c>
      <c r="CD30" s="183" t="s">
        <v>249</v>
      </c>
      <c r="CE30" s="183" t="s">
        <v>221</v>
      </c>
      <c r="CF30" s="184" t="s">
        <v>263</v>
      </c>
      <c r="CG30" s="237"/>
    </row>
    <row r="31" spans="1:86" ht="15.75" customHeight="1" x14ac:dyDescent="0.35">
      <c r="A31" s="178" t="s">
        <v>98</v>
      </c>
      <c r="B31" s="134">
        <v>0</v>
      </c>
      <c r="C31" s="135">
        <v>0</v>
      </c>
      <c r="D31" s="135">
        <v>0</v>
      </c>
      <c r="E31" s="135">
        <v>0</v>
      </c>
      <c r="F31" s="135">
        <v>0</v>
      </c>
      <c r="G31" s="135">
        <v>0</v>
      </c>
      <c r="H31" s="135">
        <v>0</v>
      </c>
      <c r="I31" s="135">
        <v>0</v>
      </c>
      <c r="J31" s="135">
        <v>3969</v>
      </c>
      <c r="K31" s="136">
        <v>434.63</v>
      </c>
      <c r="L31" s="137">
        <v>0</v>
      </c>
      <c r="M31" s="138">
        <v>4403</v>
      </c>
      <c r="N31" s="134">
        <v>0</v>
      </c>
      <c r="O31" s="135">
        <v>0</v>
      </c>
      <c r="P31" s="135">
        <v>0</v>
      </c>
      <c r="Q31" s="135">
        <v>0</v>
      </c>
      <c r="R31" s="135">
        <v>0</v>
      </c>
      <c r="S31" s="135">
        <v>0</v>
      </c>
      <c r="T31" s="135">
        <v>0</v>
      </c>
      <c r="U31" s="135">
        <v>0</v>
      </c>
      <c r="V31" s="135">
        <v>212</v>
      </c>
      <c r="W31" s="135">
        <v>66</v>
      </c>
      <c r="X31" s="135">
        <v>0</v>
      </c>
      <c r="Y31" s="138">
        <v>278</v>
      </c>
      <c r="Z31" s="139">
        <v>0</v>
      </c>
      <c r="AA31" s="134">
        <v>4682</v>
      </c>
      <c r="AB31" s="135">
        <v>91</v>
      </c>
      <c r="AC31" s="138">
        <v>0</v>
      </c>
      <c r="AD31" s="134">
        <v>0</v>
      </c>
      <c r="AE31" s="135">
        <v>0</v>
      </c>
      <c r="AF31" s="135">
        <v>0</v>
      </c>
      <c r="AG31" s="135">
        <v>0</v>
      </c>
      <c r="AH31" s="135">
        <v>0</v>
      </c>
      <c r="AI31" s="135">
        <v>0</v>
      </c>
      <c r="AJ31" s="135">
        <v>1472</v>
      </c>
      <c r="AK31" s="141">
        <v>0</v>
      </c>
      <c r="AL31" s="142">
        <v>2524</v>
      </c>
      <c r="AM31" s="135">
        <v>0</v>
      </c>
      <c r="AN31" s="138">
        <v>3996</v>
      </c>
      <c r="AO31" s="139">
        <v>0</v>
      </c>
      <c r="AP31" s="139">
        <v>0</v>
      </c>
      <c r="AQ31" s="139">
        <v>0</v>
      </c>
      <c r="AR31" s="139">
        <v>0</v>
      </c>
      <c r="AS31" s="134">
        <v>0</v>
      </c>
      <c r="AT31" s="135">
        <v>0</v>
      </c>
      <c r="AU31" s="135">
        <v>0</v>
      </c>
      <c r="AV31" s="138">
        <v>0</v>
      </c>
      <c r="AW31" s="134">
        <v>3996</v>
      </c>
      <c r="AX31" s="135">
        <v>303</v>
      </c>
      <c r="AY31" s="135">
        <v>243</v>
      </c>
      <c r="AZ31" s="138">
        <v>49</v>
      </c>
      <c r="BA31" s="134">
        <v>595</v>
      </c>
      <c r="BB31" s="135">
        <v>0</v>
      </c>
      <c r="BC31" s="135">
        <v>0</v>
      </c>
      <c r="BD31" s="138">
        <v>0</v>
      </c>
      <c r="BE31" s="134">
        <v>0</v>
      </c>
      <c r="BF31" s="135">
        <v>595</v>
      </c>
      <c r="BG31" s="143" t="s">
        <v>223</v>
      </c>
      <c r="BH31" s="135">
        <v>595</v>
      </c>
      <c r="BI31" s="135">
        <v>6420</v>
      </c>
      <c r="BJ31" s="138">
        <v>4856</v>
      </c>
      <c r="BK31" s="593">
        <v>0.75634000000000001</v>
      </c>
      <c r="BL31" s="145">
        <v>2089.7800000000002</v>
      </c>
      <c r="BM31" s="143" t="s">
        <v>272</v>
      </c>
      <c r="BN31" s="145">
        <v>265.52999999999997</v>
      </c>
      <c r="BO31" s="181" t="s">
        <v>272</v>
      </c>
      <c r="BP31" s="179">
        <v>2</v>
      </c>
      <c r="BQ31" s="606">
        <v>0</v>
      </c>
      <c r="BR31" s="606">
        <v>0</v>
      </c>
      <c r="BS31" s="180" t="s">
        <v>275</v>
      </c>
      <c r="BT31" s="143" t="s">
        <v>260</v>
      </c>
      <c r="BU31" s="143" t="s">
        <v>242</v>
      </c>
      <c r="BV31" s="143" t="s">
        <v>271</v>
      </c>
      <c r="BW31" s="143" t="s">
        <v>247</v>
      </c>
      <c r="BX31" s="143" t="s">
        <v>276</v>
      </c>
      <c r="BY31" s="143" t="s">
        <v>230</v>
      </c>
      <c r="BZ31" s="143" t="s">
        <v>231</v>
      </c>
      <c r="CA31" s="143" t="s">
        <v>232</v>
      </c>
      <c r="CB31" s="143" t="s">
        <v>243</v>
      </c>
      <c r="CC31" s="143" t="s">
        <v>234</v>
      </c>
      <c r="CD31" s="143" t="s">
        <v>235</v>
      </c>
      <c r="CE31" s="143" t="s">
        <v>221</v>
      </c>
      <c r="CF31" s="181" t="s">
        <v>263</v>
      </c>
      <c r="CG31" s="238"/>
      <c r="CH31" s="239"/>
    </row>
    <row r="32" spans="1:86" ht="15.75" customHeight="1" x14ac:dyDescent="0.35">
      <c r="A32" s="163" t="s">
        <v>99</v>
      </c>
      <c r="B32" s="164">
        <v>0</v>
      </c>
      <c r="C32" s="165">
        <v>0</v>
      </c>
      <c r="D32" s="165">
        <v>0</v>
      </c>
      <c r="E32" s="165">
        <v>0</v>
      </c>
      <c r="F32" s="165">
        <v>0</v>
      </c>
      <c r="G32" s="165">
        <v>0</v>
      </c>
      <c r="H32" s="165">
        <v>0</v>
      </c>
      <c r="I32" s="165">
        <v>0</v>
      </c>
      <c r="J32" s="165">
        <v>3232</v>
      </c>
      <c r="K32" s="166">
        <v>0</v>
      </c>
      <c r="L32" s="167">
        <v>0</v>
      </c>
      <c r="M32" s="168">
        <v>3232</v>
      </c>
      <c r="N32" s="164">
        <v>0</v>
      </c>
      <c r="O32" s="165">
        <v>0</v>
      </c>
      <c r="P32" s="165">
        <v>0</v>
      </c>
      <c r="Q32" s="165">
        <v>0</v>
      </c>
      <c r="R32" s="165">
        <v>0</v>
      </c>
      <c r="S32" s="165">
        <v>0</v>
      </c>
      <c r="T32" s="165">
        <v>0</v>
      </c>
      <c r="U32" s="165">
        <v>0</v>
      </c>
      <c r="V32" s="165">
        <v>0</v>
      </c>
      <c r="W32" s="165">
        <v>0</v>
      </c>
      <c r="X32" s="165">
        <v>0</v>
      </c>
      <c r="Y32" s="168">
        <v>0</v>
      </c>
      <c r="Z32" s="169">
        <v>0</v>
      </c>
      <c r="AA32" s="164">
        <v>3232</v>
      </c>
      <c r="AB32" s="165">
        <v>-47</v>
      </c>
      <c r="AC32" s="168">
        <v>0</v>
      </c>
      <c r="AD32" s="164">
        <v>191</v>
      </c>
      <c r="AE32" s="165">
        <v>0</v>
      </c>
      <c r="AF32" s="165">
        <v>0</v>
      </c>
      <c r="AG32" s="165">
        <v>0</v>
      </c>
      <c r="AH32" s="165">
        <v>0</v>
      </c>
      <c r="AI32" s="165">
        <v>0</v>
      </c>
      <c r="AJ32" s="165">
        <v>3110</v>
      </c>
      <c r="AK32" s="170">
        <v>0</v>
      </c>
      <c r="AL32" s="171">
        <v>191</v>
      </c>
      <c r="AM32" s="165">
        <v>0</v>
      </c>
      <c r="AN32" s="168">
        <v>3301</v>
      </c>
      <c r="AO32" s="164">
        <v>0</v>
      </c>
      <c r="AP32" s="165">
        <v>0</v>
      </c>
      <c r="AQ32" s="165">
        <v>0</v>
      </c>
      <c r="AR32" s="165">
        <v>0</v>
      </c>
      <c r="AS32" s="165">
        <v>0</v>
      </c>
      <c r="AT32" s="165">
        <v>0</v>
      </c>
      <c r="AU32" s="165">
        <v>0</v>
      </c>
      <c r="AV32" s="168">
        <v>0</v>
      </c>
      <c r="AW32" s="164">
        <v>3301</v>
      </c>
      <c r="AX32" s="165">
        <v>0</v>
      </c>
      <c r="AY32" s="165">
        <v>0</v>
      </c>
      <c r="AZ32" s="168">
        <v>0</v>
      </c>
      <c r="BA32" s="164">
        <v>0</v>
      </c>
      <c r="BB32" s="165">
        <v>0</v>
      </c>
      <c r="BC32" s="165">
        <v>0</v>
      </c>
      <c r="BD32" s="168">
        <v>0</v>
      </c>
      <c r="BE32" s="164">
        <v>0</v>
      </c>
      <c r="BF32" s="165">
        <v>0</v>
      </c>
      <c r="BG32" s="172" t="s">
        <v>223</v>
      </c>
      <c r="BH32" s="165">
        <v>0</v>
      </c>
      <c r="BI32" s="165">
        <v>3230</v>
      </c>
      <c r="BJ32" s="168">
        <v>0</v>
      </c>
      <c r="BK32" s="212">
        <v>0</v>
      </c>
      <c r="BL32" s="200" t="s">
        <v>272</v>
      </c>
      <c r="BM32" s="200" t="s">
        <v>272</v>
      </c>
      <c r="BN32" s="200" t="s">
        <v>272</v>
      </c>
      <c r="BO32" s="200" t="s">
        <v>272</v>
      </c>
      <c r="BP32" s="175">
        <v>0</v>
      </c>
      <c r="BQ32" s="605">
        <v>0</v>
      </c>
      <c r="BR32" s="615">
        <v>0</v>
      </c>
      <c r="BS32" s="190"/>
      <c r="BT32" s="183"/>
      <c r="BU32" s="183"/>
      <c r="BV32" s="183"/>
      <c r="BW32" s="183"/>
      <c r="BX32" s="183"/>
      <c r="BY32" s="183"/>
      <c r="BZ32" s="183"/>
      <c r="CA32" s="183"/>
      <c r="CB32" s="183"/>
      <c r="CC32" s="183"/>
      <c r="CD32" s="183"/>
      <c r="CE32" s="183"/>
      <c r="CF32" s="184"/>
      <c r="CG32" s="237"/>
    </row>
    <row r="33" spans="1:86" ht="15.75" customHeight="1" x14ac:dyDescent="0.35">
      <c r="A33" s="178" t="s">
        <v>100</v>
      </c>
      <c r="B33" s="134">
        <v>0</v>
      </c>
      <c r="C33" s="135">
        <v>0</v>
      </c>
      <c r="D33" s="135">
        <v>0</v>
      </c>
      <c r="E33" s="135">
        <v>0</v>
      </c>
      <c r="F33" s="135">
        <v>0</v>
      </c>
      <c r="G33" s="135">
        <v>0</v>
      </c>
      <c r="H33" s="135">
        <v>0</v>
      </c>
      <c r="I33" s="135">
        <v>0</v>
      </c>
      <c r="J33" s="135">
        <v>3232</v>
      </c>
      <c r="K33" s="136">
        <v>0</v>
      </c>
      <c r="L33" s="137">
        <v>0</v>
      </c>
      <c r="M33" s="138">
        <v>3232</v>
      </c>
      <c r="N33" s="180"/>
      <c r="O33" s="135">
        <v>0</v>
      </c>
      <c r="P33" s="135">
        <v>0</v>
      </c>
      <c r="Q33" s="135">
        <v>0</v>
      </c>
      <c r="R33" s="135">
        <v>0</v>
      </c>
      <c r="S33" s="135">
        <v>0</v>
      </c>
      <c r="T33" s="135">
        <v>0</v>
      </c>
      <c r="U33" s="135">
        <v>0</v>
      </c>
      <c r="V33" s="135">
        <v>0</v>
      </c>
      <c r="W33" s="135">
        <v>0</v>
      </c>
      <c r="X33" s="135">
        <v>0</v>
      </c>
      <c r="Y33" s="138">
        <v>0</v>
      </c>
      <c r="Z33" s="139">
        <v>0</v>
      </c>
      <c r="AA33" s="134">
        <v>3232</v>
      </c>
      <c r="AB33" s="135">
        <v>-47</v>
      </c>
      <c r="AC33" s="138">
        <v>0</v>
      </c>
      <c r="AD33" s="134">
        <v>191</v>
      </c>
      <c r="AE33" s="135">
        <v>0</v>
      </c>
      <c r="AF33" s="135">
        <v>0</v>
      </c>
      <c r="AG33" s="135">
        <v>0</v>
      </c>
      <c r="AH33" s="135">
        <v>0</v>
      </c>
      <c r="AI33" s="135">
        <v>0</v>
      </c>
      <c r="AJ33" s="135">
        <v>3110</v>
      </c>
      <c r="AK33" s="141">
        <v>0</v>
      </c>
      <c r="AL33" s="142">
        <v>191</v>
      </c>
      <c r="AM33" s="135">
        <v>0</v>
      </c>
      <c r="AN33" s="138">
        <v>3301</v>
      </c>
      <c r="AO33" s="139">
        <v>0</v>
      </c>
      <c r="AP33" s="139">
        <v>0</v>
      </c>
      <c r="AQ33" s="139">
        <v>0</v>
      </c>
      <c r="AR33" s="139">
        <v>0</v>
      </c>
      <c r="AS33" s="134">
        <v>0</v>
      </c>
      <c r="AT33" s="135">
        <v>0</v>
      </c>
      <c r="AU33" s="135">
        <v>0</v>
      </c>
      <c r="AV33" s="138">
        <v>0</v>
      </c>
      <c r="AW33" s="134">
        <v>3301</v>
      </c>
      <c r="AX33" s="135">
        <v>0</v>
      </c>
      <c r="AY33" s="135">
        <v>0</v>
      </c>
      <c r="AZ33" s="138">
        <v>0</v>
      </c>
      <c r="BA33" s="134">
        <v>0</v>
      </c>
      <c r="BB33" s="135">
        <v>0</v>
      </c>
      <c r="BC33" s="135">
        <v>0</v>
      </c>
      <c r="BD33" s="138">
        <v>0</v>
      </c>
      <c r="BE33" s="134">
        <v>0</v>
      </c>
      <c r="BF33" s="135">
        <v>0</v>
      </c>
      <c r="BG33" s="143" t="s">
        <v>223</v>
      </c>
      <c r="BH33" s="135">
        <v>0</v>
      </c>
      <c r="BI33" s="135">
        <v>3230</v>
      </c>
      <c r="BJ33" s="138">
        <v>0</v>
      </c>
      <c r="BK33" s="144">
        <v>0</v>
      </c>
      <c r="BL33" s="624" t="s">
        <v>272</v>
      </c>
      <c r="BM33" s="624" t="s">
        <v>272</v>
      </c>
      <c r="BN33" s="624" t="s">
        <v>272</v>
      </c>
      <c r="BO33" s="625" t="s">
        <v>272</v>
      </c>
      <c r="BP33" s="606">
        <v>0</v>
      </c>
      <c r="BQ33" s="606">
        <v>0</v>
      </c>
      <c r="BR33" s="606">
        <v>0</v>
      </c>
      <c r="BS33" s="180" t="s">
        <v>277</v>
      </c>
      <c r="BT33" s="143" t="s">
        <v>251</v>
      </c>
      <c r="BU33" s="143" t="s">
        <v>278</v>
      </c>
      <c r="BV33" s="143" t="s">
        <v>227</v>
      </c>
      <c r="BW33" s="143" t="s">
        <v>247</v>
      </c>
      <c r="BX33" s="143" t="s">
        <v>253</v>
      </c>
      <c r="BY33" s="143" t="s">
        <v>230</v>
      </c>
      <c r="BZ33" s="143" t="s">
        <v>229</v>
      </c>
      <c r="CA33" s="143" t="s">
        <v>233</v>
      </c>
      <c r="CB33" s="143" t="s">
        <v>232</v>
      </c>
      <c r="CC33" s="143" t="s">
        <v>234</v>
      </c>
      <c r="CD33" s="143" t="s">
        <v>235</v>
      </c>
      <c r="CE33" s="143" t="s">
        <v>236</v>
      </c>
      <c r="CF33" s="181" t="s">
        <v>279</v>
      </c>
      <c r="CG33" s="238"/>
      <c r="CH33" s="239"/>
    </row>
    <row r="34" spans="1:86" ht="15.75" customHeight="1" x14ac:dyDescent="0.35">
      <c r="A34" s="151" t="s">
        <v>103</v>
      </c>
      <c r="B34" s="152">
        <v>0</v>
      </c>
      <c r="C34" s="153">
        <v>0</v>
      </c>
      <c r="D34" s="153">
        <v>0</v>
      </c>
      <c r="E34" s="153">
        <v>2170</v>
      </c>
      <c r="F34" s="153">
        <v>0</v>
      </c>
      <c r="G34" s="153">
        <v>0</v>
      </c>
      <c r="H34" s="153">
        <v>0</v>
      </c>
      <c r="I34" s="153">
        <v>0</v>
      </c>
      <c r="J34" s="153">
        <v>4188</v>
      </c>
      <c r="K34" s="154">
        <v>36676.01</v>
      </c>
      <c r="L34" s="155">
        <v>0</v>
      </c>
      <c r="M34" s="156">
        <v>40864</v>
      </c>
      <c r="N34" s="152">
        <v>35</v>
      </c>
      <c r="O34" s="153">
        <v>0</v>
      </c>
      <c r="P34" s="153">
        <v>0</v>
      </c>
      <c r="Q34" s="153">
        <v>0</v>
      </c>
      <c r="R34" s="153">
        <v>0</v>
      </c>
      <c r="S34" s="153">
        <v>0</v>
      </c>
      <c r="T34" s="153">
        <v>0</v>
      </c>
      <c r="U34" s="153">
        <v>0</v>
      </c>
      <c r="V34" s="153">
        <v>0</v>
      </c>
      <c r="W34" s="153">
        <v>4774</v>
      </c>
      <c r="X34" s="153">
        <v>0</v>
      </c>
      <c r="Y34" s="156">
        <v>4774</v>
      </c>
      <c r="Z34" s="157">
        <v>0</v>
      </c>
      <c r="AA34" s="152">
        <v>45639</v>
      </c>
      <c r="AB34" s="153">
        <v>10612</v>
      </c>
      <c r="AC34" s="156">
        <v>0</v>
      </c>
      <c r="AD34" s="152">
        <v>0</v>
      </c>
      <c r="AE34" s="153">
        <v>0</v>
      </c>
      <c r="AF34" s="153">
        <v>0</v>
      </c>
      <c r="AG34" s="153">
        <v>0</v>
      </c>
      <c r="AH34" s="153">
        <v>0</v>
      </c>
      <c r="AI34" s="153">
        <v>0</v>
      </c>
      <c r="AJ34" s="153">
        <v>0</v>
      </c>
      <c r="AK34" s="158">
        <v>0</v>
      </c>
      <c r="AL34" s="159">
        <v>2145</v>
      </c>
      <c r="AM34" s="153">
        <v>245</v>
      </c>
      <c r="AN34" s="156">
        <v>2389</v>
      </c>
      <c r="AO34" s="152">
        <v>0</v>
      </c>
      <c r="AP34" s="153">
        <v>0</v>
      </c>
      <c r="AQ34" s="153">
        <v>0</v>
      </c>
      <c r="AR34" s="153">
        <v>0</v>
      </c>
      <c r="AS34" s="153">
        <v>0</v>
      </c>
      <c r="AT34" s="153">
        <v>0</v>
      </c>
      <c r="AU34" s="153">
        <v>76</v>
      </c>
      <c r="AV34" s="156">
        <v>76</v>
      </c>
      <c r="AW34" s="152">
        <v>2465</v>
      </c>
      <c r="AX34" s="153">
        <v>27074</v>
      </c>
      <c r="AY34" s="153">
        <v>12781</v>
      </c>
      <c r="AZ34" s="156">
        <v>2223</v>
      </c>
      <c r="BA34" s="152">
        <v>39664</v>
      </c>
      <c r="BB34" s="153">
        <v>0</v>
      </c>
      <c r="BC34" s="153">
        <v>0</v>
      </c>
      <c r="BD34" s="156">
        <v>0</v>
      </c>
      <c r="BE34" s="152">
        <v>0</v>
      </c>
      <c r="BF34" s="153">
        <v>39664</v>
      </c>
      <c r="BG34" s="160" t="s">
        <v>223</v>
      </c>
      <c r="BH34" s="153">
        <v>39664</v>
      </c>
      <c r="BI34" s="153">
        <v>404188</v>
      </c>
      <c r="BJ34" s="156">
        <v>349316</v>
      </c>
      <c r="BK34" s="591">
        <v>0.86424000000000012</v>
      </c>
      <c r="BL34" s="161">
        <v>14.32</v>
      </c>
      <c r="BM34" s="161">
        <v>0.77</v>
      </c>
      <c r="BN34" s="161">
        <v>12.45</v>
      </c>
      <c r="BO34" s="162">
        <v>0.67</v>
      </c>
      <c r="BP34" s="152">
        <v>3187</v>
      </c>
      <c r="BQ34" s="153">
        <v>35407</v>
      </c>
      <c r="BR34" s="156">
        <v>59452</v>
      </c>
      <c r="BS34" s="190"/>
      <c r="BT34" s="183"/>
      <c r="BU34" s="183"/>
      <c r="BV34" s="183"/>
      <c r="BW34" s="183"/>
      <c r="BX34" s="183"/>
      <c r="BY34" s="183"/>
      <c r="BZ34" s="183"/>
      <c r="CA34" s="183"/>
      <c r="CB34" s="183"/>
      <c r="CC34" s="183"/>
      <c r="CD34" s="183"/>
      <c r="CE34" s="183"/>
      <c r="CF34" s="184"/>
      <c r="CG34" s="240"/>
    </row>
    <row r="35" spans="1:86" ht="15.75" customHeight="1" x14ac:dyDescent="0.35">
      <c r="A35" s="163" t="s">
        <v>104</v>
      </c>
      <c r="B35" s="164">
        <v>0</v>
      </c>
      <c r="C35" s="165">
        <v>0</v>
      </c>
      <c r="D35" s="165">
        <v>0</v>
      </c>
      <c r="E35" s="165">
        <v>0</v>
      </c>
      <c r="F35" s="165">
        <v>0</v>
      </c>
      <c r="G35" s="165">
        <v>0</v>
      </c>
      <c r="H35" s="165">
        <v>0</v>
      </c>
      <c r="I35" s="165">
        <v>0</v>
      </c>
      <c r="J35" s="165">
        <v>2383</v>
      </c>
      <c r="K35" s="166">
        <v>923.09</v>
      </c>
      <c r="L35" s="167">
        <v>0</v>
      </c>
      <c r="M35" s="168">
        <v>3306</v>
      </c>
      <c r="N35" s="164">
        <v>35</v>
      </c>
      <c r="O35" s="165">
        <v>0</v>
      </c>
      <c r="P35" s="165">
        <v>0</v>
      </c>
      <c r="Q35" s="165">
        <v>0</v>
      </c>
      <c r="R35" s="165">
        <v>0</v>
      </c>
      <c r="S35" s="165">
        <v>0</v>
      </c>
      <c r="T35" s="165">
        <v>0</v>
      </c>
      <c r="U35" s="165">
        <v>0</v>
      </c>
      <c r="V35" s="165">
        <v>0</v>
      </c>
      <c r="W35" s="165">
        <v>37</v>
      </c>
      <c r="X35" s="165">
        <v>0</v>
      </c>
      <c r="Y35" s="168">
        <v>37</v>
      </c>
      <c r="Z35" s="169">
        <v>0</v>
      </c>
      <c r="AA35" s="164">
        <v>3343</v>
      </c>
      <c r="AB35" s="165">
        <v>-390</v>
      </c>
      <c r="AC35" s="168">
        <v>0</v>
      </c>
      <c r="AD35" s="164">
        <v>0</v>
      </c>
      <c r="AE35" s="165">
        <v>0</v>
      </c>
      <c r="AF35" s="165">
        <v>0</v>
      </c>
      <c r="AG35" s="165">
        <v>0</v>
      </c>
      <c r="AH35" s="165">
        <v>0</v>
      </c>
      <c r="AI35" s="165">
        <v>0</v>
      </c>
      <c r="AJ35" s="165">
        <v>0</v>
      </c>
      <c r="AK35" s="170">
        <v>0</v>
      </c>
      <c r="AL35" s="171">
        <v>2145</v>
      </c>
      <c r="AM35" s="165">
        <v>0</v>
      </c>
      <c r="AN35" s="168">
        <v>2145</v>
      </c>
      <c r="AO35" s="164">
        <v>0</v>
      </c>
      <c r="AP35" s="165">
        <v>0</v>
      </c>
      <c r="AQ35" s="165">
        <v>0</v>
      </c>
      <c r="AR35" s="165">
        <v>0</v>
      </c>
      <c r="AS35" s="165">
        <v>0</v>
      </c>
      <c r="AT35" s="165">
        <v>0</v>
      </c>
      <c r="AU35" s="165">
        <v>0</v>
      </c>
      <c r="AV35" s="168">
        <v>0</v>
      </c>
      <c r="AW35" s="164">
        <v>2145</v>
      </c>
      <c r="AX35" s="165">
        <v>1040</v>
      </c>
      <c r="AY35" s="165">
        <v>0</v>
      </c>
      <c r="AZ35" s="168">
        <v>0</v>
      </c>
      <c r="BA35" s="164">
        <v>1040</v>
      </c>
      <c r="BB35" s="165">
        <v>0</v>
      </c>
      <c r="BC35" s="165">
        <v>0</v>
      </c>
      <c r="BD35" s="168">
        <v>0</v>
      </c>
      <c r="BE35" s="164">
        <v>0</v>
      </c>
      <c r="BF35" s="165">
        <v>1040</v>
      </c>
      <c r="BG35" s="172" t="s">
        <v>223</v>
      </c>
      <c r="BH35" s="165">
        <v>1040</v>
      </c>
      <c r="BI35" s="165">
        <v>4487</v>
      </c>
      <c r="BJ35" s="168">
        <v>4311</v>
      </c>
      <c r="BK35" s="592">
        <v>0.96086000000000005</v>
      </c>
      <c r="BL35" s="173">
        <v>23.7</v>
      </c>
      <c r="BM35" s="173">
        <v>2.64</v>
      </c>
      <c r="BN35" s="173">
        <v>7.37</v>
      </c>
      <c r="BO35" s="174">
        <v>0.82</v>
      </c>
      <c r="BP35" s="164">
        <v>141</v>
      </c>
      <c r="BQ35" s="165">
        <v>0</v>
      </c>
      <c r="BR35" s="168">
        <v>1266</v>
      </c>
      <c r="BS35" s="190"/>
      <c r="BT35" s="183"/>
      <c r="BU35" s="183"/>
      <c r="BV35" s="183"/>
      <c r="BW35" s="183"/>
      <c r="BX35" s="183"/>
      <c r="BY35" s="183"/>
      <c r="BZ35" s="183"/>
      <c r="CA35" s="183"/>
      <c r="CB35" s="183"/>
      <c r="CC35" s="183"/>
      <c r="CD35" s="183"/>
      <c r="CE35" s="183"/>
      <c r="CF35" s="184"/>
      <c r="CG35" s="237"/>
    </row>
    <row r="36" spans="1:86" ht="15.75" customHeight="1" x14ac:dyDescent="0.35">
      <c r="A36" s="178" t="s">
        <v>105</v>
      </c>
      <c r="B36" s="134">
        <v>0</v>
      </c>
      <c r="C36" s="135">
        <v>0</v>
      </c>
      <c r="D36" s="135">
        <v>0</v>
      </c>
      <c r="E36" s="135">
        <v>0</v>
      </c>
      <c r="F36" s="135">
        <v>0</v>
      </c>
      <c r="G36" s="135">
        <v>0</v>
      </c>
      <c r="H36" s="135">
        <v>0</v>
      </c>
      <c r="I36" s="135">
        <v>0</v>
      </c>
      <c r="J36" s="135">
        <v>2383</v>
      </c>
      <c r="K36" s="136">
        <v>923.09</v>
      </c>
      <c r="L36" s="137">
        <v>0</v>
      </c>
      <c r="M36" s="138">
        <v>3306</v>
      </c>
      <c r="N36" s="134">
        <v>35</v>
      </c>
      <c r="O36" s="135">
        <v>0</v>
      </c>
      <c r="P36" s="135">
        <v>0</v>
      </c>
      <c r="Q36" s="135">
        <v>0</v>
      </c>
      <c r="R36" s="135">
        <v>0</v>
      </c>
      <c r="S36" s="135">
        <v>0</v>
      </c>
      <c r="T36" s="135">
        <v>0</v>
      </c>
      <c r="U36" s="135">
        <v>0</v>
      </c>
      <c r="V36" s="135">
        <v>0</v>
      </c>
      <c r="W36" s="135">
        <v>37</v>
      </c>
      <c r="X36" s="135">
        <v>0</v>
      </c>
      <c r="Y36" s="138">
        <v>37</v>
      </c>
      <c r="Z36" s="139">
        <v>0</v>
      </c>
      <c r="AA36" s="134">
        <v>3343</v>
      </c>
      <c r="AB36" s="135">
        <v>-390</v>
      </c>
      <c r="AC36" s="138">
        <v>0</v>
      </c>
      <c r="AD36" s="134">
        <v>0</v>
      </c>
      <c r="AE36" s="135">
        <v>0</v>
      </c>
      <c r="AF36" s="135">
        <v>0</v>
      </c>
      <c r="AG36" s="135">
        <v>0</v>
      </c>
      <c r="AH36" s="135">
        <v>0</v>
      </c>
      <c r="AI36" s="135">
        <v>0</v>
      </c>
      <c r="AJ36" s="135">
        <v>0</v>
      </c>
      <c r="AK36" s="141">
        <v>0</v>
      </c>
      <c r="AL36" s="142">
        <v>2145</v>
      </c>
      <c r="AM36" s="135">
        <v>0</v>
      </c>
      <c r="AN36" s="138">
        <v>2145</v>
      </c>
      <c r="AO36" s="139">
        <v>0</v>
      </c>
      <c r="AP36" s="139">
        <v>0</v>
      </c>
      <c r="AQ36" s="139">
        <v>0</v>
      </c>
      <c r="AR36" s="139">
        <v>0</v>
      </c>
      <c r="AS36" s="134">
        <v>0</v>
      </c>
      <c r="AT36" s="135">
        <v>0</v>
      </c>
      <c r="AU36" s="135">
        <v>0</v>
      </c>
      <c r="AV36" s="138">
        <v>0</v>
      </c>
      <c r="AW36" s="134">
        <v>2145</v>
      </c>
      <c r="AX36" s="629">
        <v>1040</v>
      </c>
      <c r="AY36" s="135">
        <v>0</v>
      </c>
      <c r="AZ36" s="138">
        <v>0</v>
      </c>
      <c r="BA36" s="134">
        <v>1040</v>
      </c>
      <c r="BB36" s="135">
        <v>0</v>
      </c>
      <c r="BC36" s="135">
        <v>0</v>
      </c>
      <c r="BD36" s="138">
        <v>0</v>
      </c>
      <c r="BE36" s="134">
        <v>0</v>
      </c>
      <c r="BF36" s="135">
        <v>1040</v>
      </c>
      <c r="BG36" s="143" t="s">
        <v>223</v>
      </c>
      <c r="BH36" s="135">
        <v>1040</v>
      </c>
      <c r="BI36" s="135">
        <v>4487</v>
      </c>
      <c r="BJ36" s="138">
        <v>4311</v>
      </c>
      <c r="BK36" s="593">
        <v>0.96086000000000005</v>
      </c>
      <c r="BL36" s="145">
        <v>23.7</v>
      </c>
      <c r="BM36" s="145">
        <v>2.64</v>
      </c>
      <c r="BN36" s="145">
        <v>7.37</v>
      </c>
      <c r="BO36" s="146">
        <v>0.82</v>
      </c>
      <c r="BP36" s="179">
        <v>141</v>
      </c>
      <c r="BQ36" s="179">
        <v>0</v>
      </c>
      <c r="BR36" s="179">
        <v>1266</v>
      </c>
      <c r="BS36" s="180" t="s">
        <v>280</v>
      </c>
      <c r="BT36" s="143" t="s">
        <v>281</v>
      </c>
      <c r="BU36" s="143" t="s">
        <v>226</v>
      </c>
      <c r="BV36" s="143" t="s">
        <v>282</v>
      </c>
      <c r="BW36" s="143" t="s">
        <v>227</v>
      </c>
      <c r="BX36" s="143" t="s">
        <v>253</v>
      </c>
      <c r="BY36" s="143" t="s">
        <v>230</v>
      </c>
      <c r="BZ36" s="143" t="s">
        <v>231</v>
      </c>
      <c r="CA36" s="143" t="s">
        <v>233</v>
      </c>
      <c r="CB36" s="143" t="s">
        <v>232</v>
      </c>
      <c r="CC36" s="143" t="s">
        <v>234</v>
      </c>
      <c r="CD36" s="143" t="s">
        <v>244</v>
      </c>
      <c r="CE36" s="143" t="s">
        <v>236</v>
      </c>
      <c r="CF36" s="181" t="s">
        <v>234</v>
      </c>
      <c r="CG36" s="238"/>
      <c r="CH36" s="239"/>
    </row>
    <row r="37" spans="1:86" ht="15" hidden="1" customHeight="1" x14ac:dyDescent="0.35">
      <c r="A37" s="213" t="s">
        <v>94</v>
      </c>
      <c r="B37" s="190"/>
      <c r="C37" s="183"/>
      <c r="D37" s="183"/>
      <c r="E37" s="183"/>
      <c r="F37" s="183"/>
      <c r="G37" s="183"/>
      <c r="H37" s="183"/>
      <c r="I37" s="183"/>
      <c r="J37" s="189">
        <v>0</v>
      </c>
      <c r="K37" s="201">
        <v>0</v>
      </c>
      <c r="L37" s="202">
        <v>0</v>
      </c>
      <c r="M37" s="203">
        <v>0</v>
      </c>
      <c r="N37" s="190"/>
      <c r="O37" s="183"/>
      <c r="P37" s="183"/>
      <c r="Q37" s="183"/>
      <c r="R37" s="183"/>
      <c r="S37" s="183"/>
      <c r="T37" s="183"/>
      <c r="U37" s="183"/>
      <c r="V37" s="189">
        <v>0</v>
      </c>
      <c r="W37" s="189">
        <v>0</v>
      </c>
      <c r="X37" s="189">
        <v>0</v>
      </c>
      <c r="Y37" s="203">
        <v>0</v>
      </c>
      <c r="Z37" s="204">
        <v>0</v>
      </c>
      <c r="AA37" s="188">
        <v>0</v>
      </c>
      <c r="AB37" s="189">
        <v>0</v>
      </c>
      <c r="AC37" s="203">
        <v>0</v>
      </c>
      <c r="AD37" s="190"/>
      <c r="AE37" s="183"/>
      <c r="AF37" s="183"/>
      <c r="AG37" s="183"/>
      <c r="AH37" s="183"/>
      <c r="AI37" s="183"/>
      <c r="AJ37" s="189">
        <v>0</v>
      </c>
      <c r="AK37" s="206">
        <v>0</v>
      </c>
      <c r="AL37" s="207">
        <v>0</v>
      </c>
      <c r="AM37" s="189">
        <v>0</v>
      </c>
      <c r="AN37" s="203">
        <v>0</v>
      </c>
      <c r="AO37" s="190"/>
      <c r="AP37" s="183"/>
      <c r="AQ37" s="183"/>
      <c r="AR37" s="183"/>
      <c r="AS37" s="183"/>
      <c r="AT37" s="189">
        <v>0</v>
      </c>
      <c r="AU37" s="189">
        <v>0</v>
      </c>
      <c r="AV37" s="203">
        <v>0</v>
      </c>
      <c r="AW37" s="188">
        <v>0</v>
      </c>
      <c r="AX37" s="189">
        <v>0</v>
      </c>
      <c r="AY37" s="189">
        <v>0</v>
      </c>
      <c r="AZ37" s="203">
        <v>0</v>
      </c>
      <c r="BA37" s="188">
        <v>0</v>
      </c>
      <c r="BB37" s="189">
        <v>0</v>
      </c>
      <c r="BC37" s="189">
        <v>0</v>
      </c>
      <c r="BD37" s="203">
        <v>0</v>
      </c>
      <c r="BE37" s="188">
        <v>0</v>
      </c>
      <c r="BF37" s="189">
        <v>0</v>
      </c>
      <c r="BG37" s="183" t="s">
        <v>223</v>
      </c>
      <c r="BH37" s="189">
        <v>0</v>
      </c>
      <c r="BI37" s="189">
        <v>0</v>
      </c>
      <c r="BJ37" s="203">
        <v>0</v>
      </c>
      <c r="BK37" s="594" t="s">
        <v>238</v>
      </c>
      <c r="BL37" s="183" t="s">
        <v>238</v>
      </c>
      <c r="BM37" s="183" t="s">
        <v>238</v>
      </c>
      <c r="BN37" s="183" t="s">
        <v>238</v>
      </c>
      <c r="BO37" s="184" t="s">
        <v>238</v>
      </c>
      <c r="BP37" s="188">
        <v>0</v>
      </c>
      <c r="BQ37" s="189">
        <v>0</v>
      </c>
      <c r="BR37" s="203">
        <v>0</v>
      </c>
      <c r="BS37" s="190"/>
      <c r="BT37" s="183"/>
      <c r="BU37" s="183"/>
      <c r="BV37" s="183"/>
      <c r="BW37" s="183"/>
      <c r="BX37" s="183"/>
      <c r="BY37" s="183"/>
      <c r="BZ37" s="183"/>
      <c r="CA37" s="183"/>
      <c r="CB37" s="183"/>
      <c r="CC37" s="183"/>
      <c r="CD37" s="183"/>
      <c r="CE37" s="183"/>
      <c r="CF37" s="184"/>
      <c r="CG37" s="237"/>
    </row>
    <row r="38" spans="1:86" ht="15" hidden="1" customHeight="1" x14ac:dyDescent="0.35">
      <c r="A38" s="213" t="s">
        <v>283</v>
      </c>
      <c r="B38" s="190"/>
      <c r="C38" s="183"/>
      <c r="D38" s="183"/>
      <c r="E38" s="183"/>
      <c r="F38" s="183"/>
      <c r="G38" s="183"/>
      <c r="H38" s="183"/>
      <c r="I38" s="183"/>
      <c r="J38" s="189">
        <v>0</v>
      </c>
      <c r="K38" s="201">
        <v>0</v>
      </c>
      <c r="L38" s="202">
        <v>0</v>
      </c>
      <c r="M38" s="203">
        <v>0</v>
      </c>
      <c r="N38" s="190"/>
      <c r="O38" s="183"/>
      <c r="P38" s="183"/>
      <c r="Q38" s="183"/>
      <c r="R38" s="183"/>
      <c r="S38" s="183"/>
      <c r="T38" s="183"/>
      <c r="U38" s="183"/>
      <c r="V38" s="189">
        <v>0</v>
      </c>
      <c r="W38" s="189">
        <v>0</v>
      </c>
      <c r="X38" s="189">
        <v>0</v>
      </c>
      <c r="Y38" s="203">
        <v>0</v>
      </c>
      <c r="Z38" s="204">
        <v>0</v>
      </c>
      <c r="AA38" s="188">
        <v>0</v>
      </c>
      <c r="AB38" s="189">
        <v>0</v>
      </c>
      <c r="AC38" s="203">
        <v>0</v>
      </c>
      <c r="AD38" s="190"/>
      <c r="AE38" s="183"/>
      <c r="AF38" s="183"/>
      <c r="AG38" s="183"/>
      <c r="AH38" s="183"/>
      <c r="AI38" s="183"/>
      <c r="AJ38" s="189">
        <v>0</v>
      </c>
      <c r="AK38" s="206">
        <v>0</v>
      </c>
      <c r="AL38" s="207">
        <v>0</v>
      </c>
      <c r="AM38" s="189">
        <v>0</v>
      </c>
      <c r="AN38" s="203">
        <v>0</v>
      </c>
      <c r="AO38" s="190"/>
      <c r="AP38" s="183"/>
      <c r="AQ38" s="183"/>
      <c r="AR38" s="183"/>
      <c r="AS38" s="183"/>
      <c r="AT38" s="189">
        <v>0</v>
      </c>
      <c r="AU38" s="189">
        <v>0</v>
      </c>
      <c r="AV38" s="203">
        <v>0</v>
      </c>
      <c r="AW38" s="188">
        <v>0</v>
      </c>
      <c r="AX38" s="189">
        <v>0</v>
      </c>
      <c r="AY38" s="189">
        <v>0</v>
      </c>
      <c r="AZ38" s="203">
        <v>0</v>
      </c>
      <c r="BA38" s="188">
        <v>0</v>
      </c>
      <c r="BB38" s="189">
        <v>0</v>
      </c>
      <c r="BC38" s="189">
        <v>0</v>
      </c>
      <c r="BD38" s="203">
        <v>0</v>
      </c>
      <c r="BE38" s="188">
        <v>0</v>
      </c>
      <c r="BF38" s="189">
        <v>0</v>
      </c>
      <c r="BG38" s="183" t="s">
        <v>223</v>
      </c>
      <c r="BH38" s="189">
        <v>0</v>
      </c>
      <c r="BI38" s="189">
        <v>0</v>
      </c>
      <c r="BJ38" s="203">
        <v>0</v>
      </c>
      <c r="BK38" s="594" t="s">
        <v>238</v>
      </c>
      <c r="BL38" s="183" t="s">
        <v>238</v>
      </c>
      <c r="BM38" s="183" t="s">
        <v>238</v>
      </c>
      <c r="BN38" s="183" t="s">
        <v>238</v>
      </c>
      <c r="BO38" s="184" t="s">
        <v>238</v>
      </c>
      <c r="BP38" s="188">
        <v>0</v>
      </c>
      <c r="BQ38" s="189">
        <v>0</v>
      </c>
      <c r="BR38" s="203">
        <v>0</v>
      </c>
      <c r="BS38" s="190"/>
      <c r="BT38" s="183"/>
      <c r="BU38" s="183"/>
      <c r="BV38" s="183"/>
      <c r="BW38" s="183"/>
      <c r="BX38" s="183"/>
      <c r="BY38" s="183"/>
      <c r="BZ38" s="183"/>
      <c r="CA38" s="183"/>
      <c r="CB38" s="183"/>
      <c r="CC38" s="183"/>
      <c r="CD38" s="183"/>
      <c r="CE38" s="183"/>
      <c r="CF38" s="184"/>
      <c r="CG38" s="237"/>
    </row>
    <row r="39" spans="1:86" ht="15" hidden="1" customHeight="1" x14ac:dyDescent="0.35">
      <c r="A39" s="213" t="s">
        <v>284</v>
      </c>
      <c r="B39" s="190"/>
      <c r="C39" s="183"/>
      <c r="D39" s="183"/>
      <c r="E39" s="183"/>
      <c r="F39" s="183"/>
      <c r="G39" s="183"/>
      <c r="H39" s="183"/>
      <c r="I39" s="183"/>
      <c r="J39" s="189">
        <v>0</v>
      </c>
      <c r="K39" s="201">
        <v>0</v>
      </c>
      <c r="L39" s="202">
        <v>0</v>
      </c>
      <c r="M39" s="203">
        <v>0</v>
      </c>
      <c r="N39" s="190"/>
      <c r="O39" s="183"/>
      <c r="P39" s="183"/>
      <c r="Q39" s="183"/>
      <c r="R39" s="183"/>
      <c r="S39" s="183"/>
      <c r="T39" s="183"/>
      <c r="U39" s="183"/>
      <c r="V39" s="189">
        <v>0</v>
      </c>
      <c r="W39" s="189">
        <v>0</v>
      </c>
      <c r="X39" s="189">
        <v>0</v>
      </c>
      <c r="Y39" s="203">
        <v>0</v>
      </c>
      <c r="Z39" s="204">
        <v>0</v>
      </c>
      <c r="AA39" s="188">
        <v>0</v>
      </c>
      <c r="AB39" s="189">
        <v>0</v>
      </c>
      <c r="AC39" s="203">
        <v>0</v>
      </c>
      <c r="AD39" s="190"/>
      <c r="AE39" s="183"/>
      <c r="AF39" s="183"/>
      <c r="AG39" s="183"/>
      <c r="AH39" s="183"/>
      <c r="AI39" s="183"/>
      <c r="AJ39" s="189">
        <v>0</v>
      </c>
      <c r="AK39" s="206">
        <v>0</v>
      </c>
      <c r="AL39" s="207">
        <v>0</v>
      </c>
      <c r="AM39" s="189">
        <v>0</v>
      </c>
      <c r="AN39" s="203">
        <v>0</v>
      </c>
      <c r="AO39" s="190"/>
      <c r="AP39" s="183"/>
      <c r="AQ39" s="183"/>
      <c r="AR39" s="183"/>
      <c r="AS39" s="183"/>
      <c r="AT39" s="189">
        <v>0</v>
      </c>
      <c r="AU39" s="189">
        <v>0</v>
      </c>
      <c r="AV39" s="203">
        <v>0</v>
      </c>
      <c r="AW39" s="188">
        <v>0</v>
      </c>
      <c r="AX39" s="189">
        <v>0</v>
      </c>
      <c r="AY39" s="189">
        <v>0</v>
      </c>
      <c r="AZ39" s="203">
        <v>0</v>
      </c>
      <c r="BA39" s="188">
        <v>0</v>
      </c>
      <c r="BB39" s="189">
        <v>0</v>
      </c>
      <c r="BC39" s="189">
        <v>0</v>
      </c>
      <c r="BD39" s="203">
        <v>0</v>
      </c>
      <c r="BE39" s="188">
        <v>0</v>
      </c>
      <c r="BF39" s="189">
        <v>0</v>
      </c>
      <c r="BG39" s="183" t="s">
        <v>223</v>
      </c>
      <c r="BH39" s="189">
        <v>0</v>
      </c>
      <c r="BI39" s="189">
        <v>0</v>
      </c>
      <c r="BJ39" s="203">
        <v>0</v>
      </c>
      <c r="BK39" s="594" t="s">
        <v>238</v>
      </c>
      <c r="BL39" s="183" t="s">
        <v>238</v>
      </c>
      <c r="BM39" s="183" t="s">
        <v>238</v>
      </c>
      <c r="BN39" s="183" t="s">
        <v>238</v>
      </c>
      <c r="BO39" s="184" t="s">
        <v>238</v>
      </c>
      <c r="BP39" s="188">
        <v>0</v>
      </c>
      <c r="BQ39" s="189">
        <v>0</v>
      </c>
      <c r="BR39" s="203">
        <v>0</v>
      </c>
      <c r="BS39" s="190"/>
      <c r="BT39" s="183"/>
      <c r="BU39" s="183"/>
      <c r="BV39" s="183"/>
      <c r="BW39" s="183"/>
      <c r="BX39" s="183"/>
      <c r="BY39" s="183"/>
      <c r="BZ39" s="183"/>
      <c r="CA39" s="183"/>
      <c r="CB39" s="183"/>
      <c r="CC39" s="183"/>
      <c r="CD39" s="183"/>
      <c r="CE39" s="183"/>
      <c r="CF39" s="184"/>
      <c r="CG39" s="237"/>
    </row>
    <row r="40" spans="1:86" ht="15" hidden="1" customHeight="1" x14ac:dyDescent="0.35">
      <c r="A40" s="213" t="s">
        <v>285</v>
      </c>
      <c r="B40" s="190"/>
      <c r="C40" s="183"/>
      <c r="D40" s="183"/>
      <c r="E40" s="183"/>
      <c r="F40" s="183"/>
      <c r="G40" s="183"/>
      <c r="H40" s="183"/>
      <c r="I40" s="183"/>
      <c r="J40" s="189">
        <v>0</v>
      </c>
      <c r="K40" s="201">
        <v>0</v>
      </c>
      <c r="L40" s="202">
        <v>0</v>
      </c>
      <c r="M40" s="203">
        <v>0</v>
      </c>
      <c r="N40" s="190"/>
      <c r="O40" s="183"/>
      <c r="P40" s="183"/>
      <c r="Q40" s="183"/>
      <c r="R40" s="183"/>
      <c r="S40" s="183"/>
      <c r="T40" s="183"/>
      <c r="U40" s="183"/>
      <c r="V40" s="189">
        <v>0</v>
      </c>
      <c r="W40" s="189">
        <v>0</v>
      </c>
      <c r="X40" s="189">
        <v>0</v>
      </c>
      <c r="Y40" s="203">
        <v>0</v>
      </c>
      <c r="Z40" s="204">
        <v>0</v>
      </c>
      <c r="AA40" s="188">
        <v>0</v>
      </c>
      <c r="AB40" s="189">
        <v>0</v>
      </c>
      <c r="AC40" s="203">
        <v>0</v>
      </c>
      <c r="AD40" s="190"/>
      <c r="AE40" s="183"/>
      <c r="AF40" s="183"/>
      <c r="AG40" s="183"/>
      <c r="AH40" s="183"/>
      <c r="AI40" s="183"/>
      <c r="AJ40" s="189">
        <v>0</v>
      </c>
      <c r="AK40" s="206">
        <v>0</v>
      </c>
      <c r="AL40" s="207">
        <v>0</v>
      </c>
      <c r="AM40" s="189">
        <v>0</v>
      </c>
      <c r="AN40" s="203">
        <v>0</v>
      </c>
      <c r="AO40" s="190"/>
      <c r="AP40" s="183"/>
      <c r="AQ40" s="183"/>
      <c r="AR40" s="183"/>
      <c r="AS40" s="183"/>
      <c r="AT40" s="189">
        <v>0</v>
      </c>
      <c r="AU40" s="189">
        <v>0</v>
      </c>
      <c r="AV40" s="203">
        <v>0</v>
      </c>
      <c r="AW40" s="188">
        <v>0</v>
      </c>
      <c r="AX40" s="189">
        <v>0</v>
      </c>
      <c r="AY40" s="189">
        <v>0</v>
      </c>
      <c r="AZ40" s="203">
        <v>0</v>
      </c>
      <c r="BA40" s="188">
        <v>0</v>
      </c>
      <c r="BB40" s="189">
        <v>0</v>
      </c>
      <c r="BC40" s="189">
        <v>0</v>
      </c>
      <c r="BD40" s="203">
        <v>0</v>
      </c>
      <c r="BE40" s="188">
        <v>0</v>
      </c>
      <c r="BF40" s="189">
        <v>0</v>
      </c>
      <c r="BG40" s="183" t="s">
        <v>223</v>
      </c>
      <c r="BH40" s="189">
        <v>0</v>
      </c>
      <c r="BI40" s="189">
        <v>0</v>
      </c>
      <c r="BJ40" s="203">
        <v>0</v>
      </c>
      <c r="BK40" s="594" t="s">
        <v>238</v>
      </c>
      <c r="BL40" s="183" t="s">
        <v>238</v>
      </c>
      <c r="BM40" s="183" t="s">
        <v>238</v>
      </c>
      <c r="BN40" s="183" t="s">
        <v>238</v>
      </c>
      <c r="BO40" s="184" t="s">
        <v>238</v>
      </c>
      <c r="BP40" s="188">
        <v>0</v>
      </c>
      <c r="BQ40" s="189">
        <v>0</v>
      </c>
      <c r="BR40" s="203">
        <v>0</v>
      </c>
      <c r="BS40" s="190"/>
      <c r="BT40" s="183"/>
      <c r="BU40" s="183"/>
      <c r="BV40" s="183"/>
      <c r="BW40" s="183"/>
      <c r="BX40" s="183"/>
      <c r="BY40" s="183"/>
      <c r="BZ40" s="183"/>
      <c r="CA40" s="183"/>
      <c r="CB40" s="183"/>
      <c r="CC40" s="183"/>
      <c r="CD40" s="183"/>
      <c r="CE40" s="183"/>
      <c r="CF40" s="184"/>
      <c r="CG40" s="237"/>
    </row>
    <row r="41" spans="1:86" ht="14.15" customHeight="1" x14ac:dyDescent="0.35">
      <c r="A41" s="163" t="s">
        <v>109</v>
      </c>
      <c r="B41" s="164">
        <v>0</v>
      </c>
      <c r="C41" s="165">
        <v>0</v>
      </c>
      <c r="D41" s="165">
        <v>0</v>
      </c>
      <c r="E41" s="165">
        <v>2170</v>
      </c>
      <c r="F41" s="165">
        <v>0</v>
      </c>
      <c r="G41" s="165">
        <v>0</v>
      </c>
      <c r="H41" s="165">
        <v>0</v>
      </c>
      <c r="I41" s="165">
        <v>0</v>
      </c>
      <c r="J41" s="165">
        <v>1806</v>
      </c>
      <c r="K41" s="166">
        <v>35752.92</v>
      </c>
      <c r="L41" s="167">
        <v>0</v>
      </c>
      <c r="M41" s="168">
        <v>37559</v>
      </c>
      <c r="N41" s="164">
        <v>0</v>
      </c>
      <c r="O41" s="165">
        <v>0</v>
      </c>
      <c r="P41" s="165">
        <v>0</v>
      </c>
      <c r="Q41" s="165">
        <v>0</v>
      </c>
      <c r="R41" s="165">
        <v>0</v>
      </c>
      <c r="S41" s="165">
        <v>0</v>
      </c>
      <c r="T41" s="165">
        <v>0</v>
      </c>
      <c r="U41" s="165">
        <v>0</v>
      </c>
      <c r="V41" s="165">
        <v>0</v>
      </c>
      <c r="W41" s="165">
        <v>4737</v>
      </c>
      <c r="X41" s="165">
        <v>0</v>
      </c>
      <c r="Y41" s="168">
        <v>4737</v>
      </c>
      <c r="Z41" s="169">
        <v>0</v>
      </c>
      <c r="AA41" s="164">
        <v>42296</v>
      </c>
      <c r="AB41" s="165">
        <v>11001</v>
      </c>
      <c r="AC41" s="168">
        <v>0</v>
      </c>
      <c r="AD41" s="164">
        <v>0</v>
      </c>
      <c r="AE41" s="165">
        <v>0</v>
      </c>
      <c r="AF41" s="165">
        <v>0</v>
      </c>
      <c r="AG41" s="165">
        <v>0</v>
      </c>
      <c r="AH41" s="165">
        <v>0</v>
      </c>
      <c r="AI41" s="165">
        <v>0</v>
      </c>
      <c r="AJ41" s="165">
        <v>0</v>
      </c>
      <c r="AK41" s="170">
        <v>0</v>
      </c>
      <c r="AL41" s="171">
        <v>0</v>
      </c>
      <c r="AM41" s="165">
        <v>245</v>
      </c>
      <c r="AN41" s="168">
        <v>245</v>
      </c>
      <c r="AO41" s="164">
        <v>0</v>
      </c>
      <c r="AP41" s="165">
        <v>0</v>
      </c>
      <c r="AQ41" s="165">
        <v>0</v>
      </c>
      <c r="AR41" s="165">
        <v>0</v>
      </c>
      <c r="AS41" s="165">
        <v>0</v>
      </c>
      <c r="AT41" s="165">
        <v>0</v>
      </c>
      <c r="AU41" s="165">
        <v>76</v>
      </c>
      <c r="AV41" s="168">
        <v>76</v>
      </c>
      <c r="AW41" s="164">
        <v>320</v>
      </c>
      <c r="AX41" s="165">
        <v>26034</v>
      </c>
      <c r="AY41" s="165">
        <v>12781</v>
      </c>
      <c r="AZ41" s="168">
        <v>2223</v>
      </c>
      <c r="BA41" s="164">
        <v>38625</v>
      </c>
      <c r="BB41" s="165">
        <v>0</v>
      </c>
      <c r="BC41" s="165">
        <v>0</v>
      </c>
      <c r="BD41" s="168">
        <v>0</v>
      </c>
      <c r="BE41" s="164">
        <v>0</v>
      </c>
      <c r="BF41" s="165">
        <v>38625</v>
      </c>
      <c r="BG41" s="172" t="s">
        <v>223</v>
      </c>
      <c r="BH41" s="165">
        <v>38625</v>
      </c>
      <c r="BI41" s="165">
        <v>399702</v>
      </c>
      <c r="BJ41" s="168">
        <v>345004</v>
      </c>
      <c r="BK41" s="592">
        <v>0.86314999999999997</v>
      </c>
      <c r="BL41" s="173">
        <v>13.89</v>
      </c>
      <c r="BM41" s="173">
        <v>0.73</v>
      </c>
      <c r="BN41" s="173">
        <v>12.68</v>
      </c>
      <c r="BO41" s="174">
        <v>0.66</v>
      </c>
      <c r="BP41" s="164">
        <v>3046</v>
      </c>
      <c r="BQ41" s="165">
        <v>35407</v>
      </c>
      <c r="BR41" s="168">
        <v>58186</v>
      </c>
      <c r="BS41" s="190"/>
      <c r="BT41" s="183"/>
      <c r="BU41" s="183"/>
      <c r="BV41" s="183"/>
      <c r="BW41" s="183"/>
      <c r="BX41" s="183"/>
      <c r="BY41" s="183"/>
      <c r="BZ41" s="183"/>
      <c r="CA41" s="183"/>
      <c r="CB41" s="183"/>
      <c r="CC41" s="183"/>
      <c r="CD41" s="183"/>
      <c r="CE41" s="183"/>
      <c r="CF41" s="184"/>
      <c r="CG41" s="237"/>
    </row>
    <row r="42" spans="1:86" ht="15.75" customHeight="1" x14ac:dyDescent="0.35">
      <c r="A42" s="178" t="s">
        <v>110</v>
      </c>
      <c r="B42" s="134">
        <v>0</v>
      </c>
      <c r="C42" s="135">
        <v>0</v>
      </c>
      <c r="D42" s="135">
        <v>0</v>
      </c>
      <c r="E42" s="135">
        <v>0</v>
      </c>
      <c r="F42" s="135">
        <v>0</v>
      </c>
      <c r="G42" s="135">
        <v>0</v>
      </c>
      <c r="H42" s="135">
        <v>0</v>
      </c>
      <c r="I42" s="135">
        <v>0</v>
      </c>
      <c r="J42" s="135">
        <v>322</v>
      </c>
      <c r="K42" s="136">
        <v>0</v>
      </c>
      <c r="L42" s="137">
        <v>0</v>
      </c>
      <c r="M42" s="138">
        <v>322</v>
      </c>
      <c r="N42" s="134">
        <v>0</v>
      </c>
      <c r="O42" s="135">
        <v>0</v>
      </c>
      <c r="P42" s="135">
        <v>0</v>
      </c>
      <c r="Q42" s="135">
        <v>0</v>
      </c>
      <c r="R42" s="135">
        <v>0</v>
      </c>
      <c r="S42" s="135">
        <v>0</v>
      </c>
      <c r="T42" s="135">
        <v>0</v>
      </c>
      <c r="U42" s="135">
        <v>0</v>
      </c>
      <c r="V42" s="135">
        <v>0</v>
      </c>
      <c r="W42" s="135">
        <v>411</v>
      </c>
      <c r="X42" s="135">
        <v>0</v>
      </c>
      <c r="Y42" s="138">
        <v>411</v>
      </c>
      <c r="Z42" s="139">
        <v>0</v>
      </c>
      <c r="AA42" s="134">
        <v>734</v>
      </c>
      <c r="AB42" s="135">
        <v>-83</v>
      </c>
      <c r="AC42" s="138">
        <v>0</v>
      </c>
      <c r="AD42" s="134">
        <v>0</v>
      </c>
      <c r="AE42" s="135">
        <v>0</v>
      </c>
      <c r="AF42" s="135">
        <v>0</v>
      </c>
      <c r="AG42" s="135">
        <v>0</v>
      </c>
      <c r="AH42" s="135">
        <v>0</v>
      </c>
      <c r="AI42" s="135">
        <v>0</v>
      </c>
      <c r="AJ42" s="135">
        <v>0</v>
      </c>
      <c r="AK42" s="141">
        <v>0</v>
      </c>
      <c r="AL42" s="142">
        <v>0</v>
      </c>
      <c r="AM42" s="135">
        <v>0</v>
      </c>
      <c r="AN42" s="138">
        <v>0</v>
      </c>
      <c r="AO42" s="139">
        <v>0</v>
      </c>
      <c r="AP42" s="139">
        <v>0</v>
      </c>
      <c r="AQ42" s="139">
        <v>0</v>
      </c>
      <c r="AR42" s="139">
        <v>0</v>
      </c>
      <c r="AS42" s="134">
        <v>0</v>
      </c>
      <c r="AT42" s="135">
        <v>0</v>
      </c>
      <c r="AU42" s="135">
        <v>76</v>
      </c>
      <c r="AV42" s="138">
        <v>76</v>
      </c>
      <c r="AW42" s="134">
        <v>76</v>
      </c>
      <c r="AX42" s="135">
        <v>770</v>
      </c>
      <c r="AY42" s="135">
        <v>216</v>
      </c>
      <c r="AZ42" s="138">
        <v>38</v>
      </c>
      <c r="BA42" s="134">
        <v>1024</v>
      </c>
      <c r="BB42" s="135">
        <v>0</v>
      </c>
      <c r="BC42" s="135">
        <v>0</v>
      </c>
      <c r="BD42" s="138">
        <v>0</v>
      </c>
      <c r="BE42" s="134">
        <v>0</v>
      </c>
      <c r="BF42" s="135">
        <v>1024</v>
      </c>
      <c r="BG42" s="143" t="s">
        <v>223</v>
      </c>
      <c r="BH42" s="135">
        <v>1024</v>
      </c>
      <c r="BI42" s="135">
        <v>762</v>
      </c>
      <c r="BJ42" s="138">
        <v>255</v>
      </c>
      <c r="BK42" s="593">
        <v>0.33517000000000002</v>
      </c>
      <c r="BL42" s="143" t="s">
        <v>272</v>
      </c>
      <c r="BM42" s="143" t="s">
        <v>272</v>
      </c>
      <c r="BN42" s="143" t="s">
        <v>272</v>
      </c>
      <c r="BO42" s="143" t="s">
        <v>272</v>
      </c>
      <c r="BP42" s="241"/>
      <c r="BQ42" s="241"/>
      <c r="BR42" s="242"/>
      <c r="BS42" s="180" t="s">
        <v>286</v>
      </c>
      <c r="BT42" s="143" t="s">
        <v>225</v>
      </c>
      <c r="BU42" s="143" t="s">
        <v>247</v>
      </c>
      <c r="BV42" s="143" t="s">
        <v>252</v>
      </c>
      <c r="BW42" s="143"/>
      <c r="BX42" s="143" t="s">
        <v>229</v>
      </c>
      <c r="BY42" s="143" t="s">
        <v>230</v>
      </c>
      <c r="BZ42" s="143" t="s">
        <v>231</v>
      </c>
      <c r="CA42" s="143" t="s">
        <v>287</v>
      </c>
      <c r="CB42" s="143" t="s">
        <v>288</v>
      </c>
      <c r="CC42" s="143" t="s">
        <v>289</v>
      </c>
      <c r="CD42" s="143" t="s">
        <v>290</v>
      </c>
      <c r="CE42" s="143" t="s">
        <v>291</v>
      </c>
      <c r="CF42" s="181" t="s">
        <v>234</v>
      </c>
      <c r="CG42" s="238"/>
      <c r="CH42" s="239"/>
    </row>
    <row r="43" spans="1:86" ht="15" hidden="1" customHeight="1" x14ac:dyDescent="0.35">
      <c r="A43" s="213" t="s">
        <v>94</v>
      </c>
      <c r="B43" s="190"/>
      <c r="C43" s="183"/>
      <c r="D43" s="183"/>
      <c r="E43" s="183"/>
      <c r="F43" s="183"/>
      <c r="G43" s="183"/>
      <c r="H43" s="183"/>
      <c r="I43" s="183"/>
      <c r="J43" s="189">
        <v>0</v>
      </c>
      <c r="K43" s="201">
        <v>0</v>
      </c>
      <c r="L43" s="202">
        <v>0</v>
      </c>
      <c r="M43" s="203">
        <v>0</v>
      </c>
      <c r="N43" s="190"/>
      <c r="O43" s="183"/>
      <c r="P43" s="183"/>
      <c r="Q43" s="183"/>
      <c r="R43" s="183"/>
      <c r="S43" s="183"/>
      <c r="T43" s="183"/>
      <c r="U43" s="183"/>
      <c r="V43" s="189">
        <v>0</v>
      </c>
      <c r="W43" s="189">
        <v>0</v>
      </c>
      <c r="X43" s="189">
        <v>0</v>
      </c>
      <c r="Y43" s="203">
        <v>0</v>
      </c>
      <c r="Z43" s="204">
        <v>0</v>
      </c>
      <c r="AA43" s="188">
        <v>0</v>
      </c>
      <c r="AB43" s="189">
        <v>0</v>
      </c>
      <c r="AC43" s="203">
        <v>0</v>
      </c>
      <c r="AD43" s="190"/>
      <c r="AE43" s="183"/>
      <c r="AF43" s="183"/>
      <c r="AG43" s="183"/>
      <c r="AH43" s="183"/>
      <c r="AI43" s="183"/>
      <c r="AJ43" s="189">
        <v>0</v>
      </c>
      <c r="AK43" s="206">
        <v>0</v>
      </c>
      <c r="AL43" s="207">
        <v>0</v>
      </c>
      <c r="AM43" s="189">
        <v>0</v>
      </c>
      <c r="AN43" s="203">
        <v>0</v>
      </c>
      <c r="AO43" s="190"/>
      <c r="AP43" s="183"/>
      <c r="AQ43" s="183"/>
      <c r="AR43" s="183"/>
      <c r="AS43" s="183"/>
      <c r="AT43" s="189">
        <v>0</v>
      </c>
      <c r="AU43" s="189">
        <v>0</v>
      </c>
      <c r="AV43" s="203">
        <v>0</v>
      </c>
      <c r="AW43" s="188">
        <v>0</v>
      </c>
      <c r="AX43" s="189">
        <v>0</v>
      </c>
      <c r="AY43" s="189">
        <v>0</v>
      </c>
      <c r="AZ43" s="203">
        <v>0</v>
      </c>
      <c r="BA43" s="188">
        <v>0</v>
      </c>
      <c r="BB43" s="189">
        <v>0</v>
      </c>
      <c r="BC43" s="189">
        <v>0</v>
      </c>
      <c r="BD43" s="203">
        <v>0</v>
      </c>
      <c r="BE43" s="188">
        <v>0</v>
      </c>
      <c r="BF43" s="189">
        <v>0</v>
      </c>
      <c r="BG43" s="183" t="s">
        <v>223</v>
      </c>
      <c r="BH43" s="189">
        <v>0</v>
      </c>
      <c r="BI43" s="189">
        <v>0</v>
      </c>
      <c r="BJ43" s="203">
        <v>0</v>
      </c>
      <c r="BK43" s="594" t="s">
        <v>238</v>
      </c>
      <c r="BL43" s="183" t="s">
        <v>238</v>
      </c>
      <c r="BM43" s="183" t="s">
        <v>238</v>
      </c>
      <c r="BN43" s="183" t="s">
        <v>238</v>
      </c>
      <c r="BO43" s="184" t="s">
        <v>238</v>
      </c>
      <c r="BP43" s="188">
        <v>0</v>
      </c>
      <c r="BQ43" s="189">
        <v>0</v>
      </c>
      <c r="BR43" s="203">
        <v>0</v>
      </c>
      <c r="BS43" s="190"/>
      <c r="BT43" s="183"/>
      <c r="BU43" s="183"/>
      <c r="BV43" s="183"/>
      <c r="BW43" s="183"/>
      <c r="BX43" s="183"/>
      <c r="BY43" s="183"/>
      <c r="BZ43" s="183"/>
      <c r="CA43" s="183"/>
      <c r="CB43" s="183"/>
      <c r="CC43" s="183"/>
      <c r="CD43" s="183"/>
      <c r="CE43" s="183"/>
      <c r="CF43" s="184"/>
      <c r="CG43" s="237"/>
    </row>
    <row r="44" spans="1:86" ht="15" hidden="1" customHeight="1" x14ac:dyDescent="0.35">
      <c r="A44" s="213" t="s">
        <v>292</v>
      </c>
      <c r="B44" s="190"/>
      <c r="C44" s="183"/>
      <c r="D44" s="183"/>
      <c r="E44" s="183"/>
      <c r="F44" s="183"/>
      <c r="G44" s="183"/>
      <c r="H44" s="183"/>
      <c r="I44" s="183"/>
      <c r="J44" s="189">
        <v>0</v>
      </c>
      <c r="K44" s="201">
        <v>0</v>
      </c>
      <c r="L44" s="202">
        <v>0</v>
      </c>
      <c r="M44" s="203">
        <v>0</v>
      </c>
      <c r="N44" s="190"/>
      <c r="O44" s="183"/>
      <c r="P44" s="183"/>
      <c r="Q44" s="183"/>
      <c r="R44" s="183"/>
      <c r="S44" s="183"/>
      <c r="T44" s="183"/>
      <c r="U44" s="183"/>
      <c r="V44" s="189">
        <v>0</v>
      </c>
      <c r="W44" s="189">
        <v>0</v>
      </c>
      <c r="X44" s="189">
        <v>0</v>
      </c>
      <c r="Y44" s="203">
        <v>0</v>
      </c>
      <c r="Z44" s="204">
        <v>0</v>
      </c>
      <c r="AA44" s="188">
        <v>0</v>
      </c>
      <c r="AB44" s="189">
        <v>0</v>
      </c>
      <c r="AC44" s="203">
        <v>0</v>
      </c>
      <c r="AD44" s="190"/>
      <c r="AE44" s="183"/>
      <c r="AF44" s="183"/>
      <c r="AG44" s="183"/>
      <c r="AH44" s="183"/>
      <c r="AI44" s="183"/>
      <c r="AJ44" s="189">
        <v>0</v>
      </c>
      <c r="AK44" s="206">
        <v>0</v>
      </c>
      <c r="AL44" s="207">
        <v>0</v>
      </c>
      <c r="AM44" s="189">
        <v>0</v>
      </c>
      <c r="AN44" s="203">
        <v>0</v>
      </c>
      <c r="AO44" s="190"/>
      <c r="AP44" s="183"/>
      <c r="AQ44" s="183"/>
      <c r="AR44" s="183"/>
      <c r="AS44" s="183"/>
      <c r="AT44" s="189">
        <v>0</v>
      </c>
      <c r="AU44" s="189">
        <v>0</v>
      </c>
      <c r="AV44" s="203">
        <v>0</v>
      </c>
      <c r="AW44" s="188">
        <v>0</v>
      </c>
      <c r="AX44" s="189">
        <v>0</v>
      </c>
      <c r="AY44" s="189">
        <v>0</v>
      </c>
      <c r="AZ44" s="203">
        <v>0</v>
      </c>
      <c r="BA44" s="188">
        <v>0</v>
      </c>
      <c r="BB44" s="189">
        <v>0</v>
      </c>
      <c r="BC44" s="189">
        <v>0</v>
      </c>
      <c r="BD44" s="203">
        <v>0</v>
      </c>
      <c r="BE44" s="188">
        <v>0</v>
      </c>
      <c r="BF44" s="189">
        <v>0</v>
      </c>
      <c r="BG44" s="183" t="s">
        <v>223</v>
      </c>
      <c r="BH44" s="189">
        <v>0</v>
      </c>
      <c r="BI44" s="189">
        <v>0</v>
      </c>
      <c r="BJ44" s="203">
        <v>0</v>
      </c>
      <c r="BK44" s="594" t="s">
        <v>238</v>
      </c>
      <c r="BL44" s="183" t="s">
        <v>238</v>
      </c>
      <c r="BM44" s="183" t="s">
        <v>238</v>
      </c>
      <c r="BN44" s="183" t="s">
        <v>238</v>
      </c>
      <c r="BO44" s="184" t="s">
        <v>238</v>
      </c>
      <c r="BP44" s="188">
        <v>0</v>
      </c>
      <c r="BQ44" s="189">
        <v>0</v>
      </c>
      <c r="BR44" s="203">
        <v>0</v>
      </c>
      <c r="BS44" s="190"/>
      <c r="BT44" s="183"/>
      <c r="BU44" s="183"/>
      <c r="BV44" s="183"/>
      <c r="BW44" s="183"/>
      <c r="BX44" s="183"/>
      <c r="BY44" s="183"/>
      <c r="BZ44" s="183"/>
      <c r="CA44" s="183"/>
      <c r="CB44" s="183"/>
      <c r="CC44" s="183"/>
      <c r="CD44" s="183"/>
      <c r="CE44" s="183"/>
      <c r="CF44" s="184"/>
      <c r="CG44" s="237"/>
    </row>
    <row r="45" spans="1:86" ht="15" hidden="1" customHeight="1" x14ac:dyDescent="0.35">
      <c r="A45" s="213" t="s">
        <v>293</v>
      </c>
      <c r="B45" s="190"/>
      <c r="C45" s="183"/>
      <c r="D45" s="183"/>
      <c r="E45" s="183"/>
      <c r="F45" s="183"/>
      <c r="G45" s="183"/>
      <c r="H45" s="183"/>
      <c r="I45" s="183"/>
      <c r="J45" s="189">
        <v>0</v>
      </c>
      <c r="K45" s="201">
        <v>0</v>
      </c>
      <c r="L45" s="202">
        <v>0</v>
      </c>
      <c r="M45" s="203">
        <v>0</v>
      </c>
      <c r="N45" s="190"/>
      <c r="O45" s="183"/>
      <c r="P45" s="183"/>
      <c r="Q45" s="183"/>
      <c r="R45" s="183"/>
      <c r="S45" s="183"/>
      <c r="T45" s="183"/>
      <c r="U45" s="183"/>
      <c r="V45" s="189">
        <v>0</v>
      </c>
      <c r="W45" s="189">
        <v>0</v>
      </c>
      <c r="X45" s="189">
        <v>0</v>
      </c>
      <c r="Y45" s="203">
        <v>0</v>
      </c>
      <c r="Z45" s="204">
        <v>0</v>
      </c>
      <c r="AA45" s="188">
        <v>0</v>
      </c>
      <c r="AB45" s="189">
        <v>0</v>
      </c>
      <c r="AC45" s="203">
        <v>0</v>
      </c>
      <c r="AD45" s="190"/>
      <c r="AE45" s="183"/>
      <c r="AF45" s="183"/>
      <c r="AG45" s="183"/>
      <c r="AH45" s="183"/>
      <c r="AI45" s="183"/>
      <c r="AJ45" s="189">
        <v>0</v>
      </c>
      <c r="AK45" s="206">
        <v>0</v>
      </c>
      <c r="AL45" s="207">
        <v>0</v>
      </c>
      <c r="AM45" s="189">
        <v>0</v>
      </c>
      <c r="AN45" s="203">
        <v>0</v>
      </c>
      <c r="AO45" s="190"/>
      <c r="AP45" s="183"/>
      <c r="AQ45" s="183"/>
      <c r="AR45" s="183"/>
      <c r="AS45" s="183"/>
      <c r="AT45" s="189">
        <v>0</v>
      </c>
      <c r="AU45" s="189">
        <v>0</v>
      </c>
      <c r="AV45" s="203">
        <v>0</v>
      </c>
      <c r="AW45" s="188">
        <v>0</v>
      </c>
      <c r="AX45" s="189">
        <v>0</v>
      </c>
      <c r="AY45" s="189">
        <v>0</v>
      </c>
      <c r="AZ45" s="203">
        <v>0</v>
      </c>
      <c r="BA45" s="188">
        <v>0</v>
      </c>
      <c r="BB45" s="189">
        <v>0</v>
      </c>
      <c r="BC45" s="189">
        <v>0</v>
      </c>
      <c r="BD45" s="203">
        <v>0</v>
      </c>
      <c r="BE45" s="188">
        <v>0</v>
      </c>
      <c r="BF45" s="189">
        <v>0</v>
      </c>
      <c r="BG45" s="183" t="s">
        <v>223</v>
      </c>
      <c r="BH45" s="189">
        <v>0</v>
      </c>
      <c r="BI45" s="189">
        <v>0</v>
      </c>
      <c r="BJ45" s="203">
        <v>0</v>
      </c>
      <c r="BK45" s="594" t="s">
        <v>238</v>
      </c>
      <c r="BL45" s="183" t="s">
        <v>238</v>
      </c>
      <c r="BM45" s="183" t="s">
        <v>238</v>
      </c>
      <c r="BN45" s="183" t="s">
        <v>238</v>
      </c>
      <c r="BO45" s="184" t="s">
        <v>238</v>
      </c>
      <c r="BP45" s="188">
        <v>0</v>
      </c>
      <c r="BQ45" s="189">
        <v>0</v>
      </c>
      <c r="BR45" s="203">
        <v>0</v>
      </c>
      <c r="BS45" s="190"/>
      <c r="BT45" s="183"/>
      <c r="BU45" s="183"/>
      <c r="BV45" s="183"/>
      <c r="BW45" s="183"/>
      <c r="BX45" s="183"/>
      <c r="BY45" s="183"/>
      <c r="BZ45" s="183"/>
      <c r="CA45" s="183"/>
      <c r="CB45" s="183"/>
      <c r="CC45" s="183"/>
      <c r="CD45" s="183"/>
      <c r="CE45" s="183"/>
      <c r="CF45" s="184"/>
      <c r="CG45" s="237"/>
    </row>
    <row r="46" spans="1:86" ht="15" hidden="1" customHeight="1" x14ac:dyDescent="0.35">
      <c r="A46" s="213" t="s">
        <v>294</v>
      </c>
      <c r="B46" s="190"/>
      <c r="C46" s="183"/>
      <c r="D46" s="183"/>
      <c r="E46" s="183"/>
      <c r="F46" s="183"/>
      <c r="G46" s="183"/>
      <c r="H46" s="183"/>
      <c r="I46" s="183"/>
      <c r="J46" s="189">
        <v>0</v>
      </c>
      <c r="K46" s="201">
        <v>0</v>
      </c>
      <c r="L46" s="202">
        <v>0</v>
      </c>
      <c r="M46" s="203">
        <v>0</v>
      </c>
      <c r="N46" s="190"/>
      <c r="O46" s="183"/>
      <c r="P46" s="183"/>
      <c r="Q46" s="183"/>
      <c r="R46" s="183"/>
      <c r="S46" s="183"/>
      <c r="T46" s="183"/>
      <c r="U46" s="183"/>
      <c r="V46" s="189">
        <v>0</v>
      </c>
      <c r="W46" s="189">
        <v>0</v>
      </c>
      <c r="X46" s="189">
        <v>0</v>
      </c>
      <c r="Y46" s="203">
        <v>0</v>
      </c>
      <c r="Z46" s="204">
        <v>0</v>
      </c>
      <c r="AA46" s="188">
        <v>0</v>
      </c>
      <c r="AB46" s="189">
        <v>0</v>
      </c>
      <c r="AC46" s="203">
        <v>0</v>
      </c>
      <c r="AD46" s="190"/>
      <c r="AE46" s="183"/>
      <c r="AF46" s="183"/>
      <c r="AG46" s="183"/>
      <c r="AH46" s="183"/>
      <c r="AI46" s="183"/>
      <c r="AJ46" s="189">
        <v>0</v>
      </c>
      <c r="AK46" s="206">
        <v>0</v>
      </c>
      <c r="AL46" s="207">
        <v>0</v>
      </c>
      <c r="AM46" s="189">
        <v>0</v>
      </c>
      <c r="AN46" s="203">
        <v>0</v>
      </c>
      <c r="AO46" s="190"/>
      <c r="AP46" s="183"/>
      <c r="AQ46" s="183"/>
      <c r="AR46" s="183"/>
      <c r="AS46" s="183"/>
      <c r="AT46" s="189">
        <v>0</v>
      </c>
      <c r="AU46" s="189">
        <v>0</v>
      </c>
      <c r="AV46" s="203">
        <v>0</v>
      </c>
      <c r="AW46" s="188">
        <v>0</v>
      </c>
      <c r="AX46" s="189">
        <v>0</v>
      </c>
      <c r="AY46" s="189">
        <v>0</v>
      </c>
      <c r="AZ46" s="203">
        <v>0</v>
      </c>
      <c r="BA46" s="188">
        <v>0</v>
      </c>
      <c r="BB46" s="189">
        <v>0</v>
      </c>
      <c r="BC46" s="189">
        <v>0</v>
      </c>
      <c r="BD46" s="203">
        <v>0</v>
      </c>
      <c r="BE46" s="188">
        <v>0</v>
      </c>
      <c r="BF46" s="189">
        <v>0</v>
      </c>
      <c r="BG46" s="183" t="s">
        <v>223</v>
      </c>
      <c r="BH46" s="189">
        <v>0</v>
      </c>
      <c r="BI46" s="189">
        <v>0</v>
      </c>
      <c r="BJ46" s="203">
        <v>0</v>
      </c>
      <c r="BK46" s="594" t="s">
        <v>238</v>
      </c>
      <c r="BL46" s="183" t="s">
        <v>238</v>
      </c>
      <c r="BM46" s="183" t="s">
        <v>238</v>
      </c>
      <c r="BN46" s="183" t="s">
        <v>238</v>
      </c>
      <c r="BO46" s="184" t="s">
        <v>238</v>
      </c>
      <c r="BP46" s="188">
        <v>0</v>
      </c>
      <c r="BQ46" s="189">
        <v>0</v>
      </c>
      <c r="BR46" s="203">
        <v>0</v>
      </c>
      <c r="BS46" s="190"/>
      <c r="BT46" s="183"/>
      <c r="BU46" s="183"/>
      <c r="BV46" s="183"/>
      <c r="BW46" s="183"/>
      <c r="BX46" s="183"/>
      <c r="BY46" s="183"/>
      <c r="BZ46" s="183"/>
      <c r="CA46" s="183"/>
      <c r="CB46" s="183"/>
      <c r="CC46" s="183"/>
      <c r="CD46" s="183"/>
      <c r="CE46" s="183"/>
      <c r="CF46" s="184"/>
      <c r="CG46" s="237"/>
    </row>
    <row r="47" spans="1:86" ht="15" hidden="1" customHeight="1" x14ac:dyDescent="0.35">
      <c r="A47" s="213" t="s">
        <v>295</v>
      </c>
      <c r="B47" s="190"/>
      <c r="C47" s="183"/>
      <c r="D47" s="183"/>
      <c r="E47" s="183"/>
      <c r="F47" s="183"/>
      <c r="G47" s="183"/>
      <c r="H47" s="183"/>
      <c r="I47" s="183"/>
      <c r="J47" s="189">
        <v>0</v>
      </c>
      <c r="K47" s="201">
        <v>0</v>
      </c>
      <c r="L47" s="202">
        <v>0</v>
      </c>
      <c r="M47" s="203">
        <v>0</v>
      </c>
      <c r="N47" s="190"/>
      <c r="O47" s="183"/>
      <c r="P47" s="183"/>
      <c r="Q47" s="183"/>
      <c r="R47" s="183"/>
      <c r="S47" s="183"/>
      <c r="T47" s="183"/>
      <c r="U47" s="183"/>
      <c r="V47" s="189">
        <v>0</v>
      </c>
      <c r="W47" s="189">
        <v>0</v>
      </c>
      <c r="X47" s="189">
        <v>0</v>
      </c>
      <c r="Y47" s="203">
        <v>0</v>
      </c>
      <c r="Z47" s="204">
        <v>0</v>
      </c>
      <c r="AA47" s="188">
        <v>0</v>
      </c>
      <c r="AB47" s="189">
        <v>0</v>
      </c>
      <c r="AC47" s="203">
        <v>0</v>
      </c>
      <c r="AD47" s="190"/>
      <c r="AE47" s="183"/>
      <c r="AF47" s="183"/>
      <c r="AG47" s="183"/>
      <c r="AH47" s="183"/>
      <c r="AI47" s="183"/>
      <c r="AJ47" s="189">
        <v>0</v>
      </c>
      <c r="AK47" s="206">
        <v>0</v>
      </c>
      <c r="AL47" s="207">
        <v>0</v>
      </c>
      <c r="AM47" s="189">
        <v>0</v>
      </c>
      <c r="AN47" s="203">
        <v>0</v>
      </c>
      <c r="AO47" s="190"/>
      <c r="AP47" s="183"/>
      <c r="AQ47" s="183"/>
      <c r="AR47" s="183"/>
      <c r="AS47" s="183"/>
      <c r="AT47" s="189">
        <v>0</v>
      </c>
      <c r="AU47" s="189">
        <v>0</v>
      </c>
      <c r="AV47" s="203">
        <v>0</v>
      </c>
      <c r="AW47" s="188">
        <v>0</v>
      </c>
      <c r="AX47" s="189">
        <v>0</v>
      </c>
      <c r="AY47" s="189">
        <v>0</v>
      </c>
      <c r="AZ47" s="203">
        <v>0</v>
      </c>
      <c r="BA47" s="188">
        <v>0</v>
      </c>
      <c r="BB47" s="189">
        <v>0</v>
      </c>
      <c r="BC47" s="189">
        <v>0</v>
      </c>
      <c r="BD47" s="203">
        <v>0</v>
      </c>
      <c r="BE47" s="188">
        <v>0</v>
      </c>
      <c r="BF47" s="189">
        <v>0</v>
      </c>
      <c r="BG47" s="183" t="s">
        <v>223</v>
      </c>
      <c r="BH47" s="189">
        <v>0</v>
      </c>
      <c r="BI47" s="189">
        <v>0</v>
      </c>
      <c r="BJ47" s="203">
        <v>0</v>
      </c>
      <c r="BK47" s="594" t="s">
        <v>238</v>
      </c>
      <c r="BL47" s="183" t="s">
        <v>238</v>
      </c>
      <c r="BM47" s="183" t="s">
        <v>238</v>
      </c>
      <c r="BN47" s="183" t="s">
        <v>238</v>
      </c>
      <c r="BO47" s="184" t="s">
        <v>238</v>
      </c>
      <c r="BP47" s="188">
        <v>0</v>
      </c>
      <c r="BQ47" s="189">
        <v>0</v>
      </c>
      <c r="BR47" s="203">
        <v>0</v>
      </c>
      <c r="BS47" s="190"/>
      <c r="BT47" s="183"/>
      <c r="BU47" s="183"/>
      <c r="BV47" s="183"/>
      <c r="BW47" s="183"/>
      <c r="BX47" s="183"/>
      <c r="BY47" s="183"/>
      <c r="BZ47" s="183"/>
      <c r="CA47" s="183"/>
      <c r="CB47" s="183"/>
      <c r="CC47" s="183"/>
      <c r="CD47" s="183"/>
      <c r="CE47" s="183"/>
      <c r="CF47" s="184"/>
      <c r="CG47" s="237"/>
    </row>
    <row r="48" spans="1:86" ht="15" hidden="1" customHeight="1" x14ac:dyDescent="0.35">
      <c r="A48" s="213" t="s">
        <v>296</v>
      </c>
      <c r="B48" s="190"/>
      <c r="C48" s="183"/>
      <c r="D48" s="183"/>
      <c r="E48" s="183"/>
      <c r="F48" s="183"/>
      <c r="G48" s="183"/>
      <c r="H48" s="183"/>
      <c r="I48" s="183"/>
      <c r="J48" s="189">
        <v>0</v>
      </c>
      <c r="K48" s="201">
        <v>0</v>
      </c>
      <c r="L48" s="202">
        <v>0</v>
      </c>
      <c r="M48" s="203">
        <v>0</v>
      </c>
      <c r="N48" s="190"/>
      <c r="O48" s="183"/>
      <c r="P48" s="183"/>
      <c r="Q48" s="183"/>
      <c r="R48" s="183"/>
      <c r="S48" s="183"/>
      <c r="T48" s="183"/>
      <c r="U48" s="183"/>
      <c r="V48" s="189">
        <v>0</v>
      </c>
      <c r="W48" s="189">
        <v>0</v>
      </c>
      <c r="X48" s="189">
        <v>0</v>
      </c>
      <c r="Y48" s="203">
        <v>0</v>
      </c>
      <c r="Z48" s="204">
        <v>0</v>
      </c>
      <c r="AA48" s="188">
        <v>0</v>
      </c>
      <c r="AB48" s="189">
        <v>0</v>
      </c>
      <c r="AC48" s="203">
        <v>0</v>
      </c>
      <c r="AD48" s="190"/>
      <c r="AE48" s="183"/>
      <c r="AF48" s="183"/>
      <c r="AG48" s="183"/>
      <c r="AH48" s="183"/>
      <c r="AI48" s="183"/>
      <c r="AJ48" s="189">
        <v>0</v>
      </c>
      <c r="AK48" s="206">
        <v>0</v>
      </c>
      <c r="AL48" s="207">
        <v>0</v>
      </c>
      <c r="AM48" s="189">
        <v>0</v>
      </c>
      <c r="AN48" s="203">
        <v>0</v>
      </c>
      <c r="AO48" s="190"/>
      <c r="AP48" s="183"/>
      <c r="AQ48" s="183"/>
      <c r="AR48" s="183"/>
      <c r="AS48" s="183"/>
      <c r="AT48" s="189">
        <v>0</v>
      </c>
      <c r="AU48" s="189">
        <v>0</v>
      </c>
      <c r="AV48" s="203">
        <v>0</v>
      </c>
      <c r="AW48" s="188">
        <v>0</v>
      </c>
      <c r="AX48" s="189">
        <v>0</v>
      </c>
      <c r="AY48" s="189">
        <v>0</v>
      </c>
      <c r="AZ48" s="203">
        <v>0</v>
      </c>
      <c r="BA48" s="188">
        <v>0</v>
      </c>
      <c r="BB48" s="189">
        <v>0</v>
      </c>
      <c r="BC48" s="189">
        <v>0</v>
      </c>
      <c r="BD48" s="203">
        <v>0</v>
      </c>
      <c r="BE48" s="188">
        <v>0</v>
      </c>
      <c r="BF48" s="189">
        <v>0</v>
      </c>
      <c r="BG48" s="183" t="s">
        <v>223</v>
      </c>
      <c r="BH48" s="189">
        <v>0</v>
      </c>
      <c r="BI48" s="189">
        <v>0</v>
      </c>
      <c r="BJ48" s="203">
        <v>0</v>
      </c>
      <c r="BK48" s="594" t="s">
        <v>238</v>
      </c>
      <c r="BL48" s="183" t="s">
        <v>238</v>
      </c>
      <c r="BM48" s="183" t="s">
        <v>238</v>
      </c>
      <c r="BN48" s="183" t="s">
        <v>238</v>
      </c>
      <c r="BO48" s="184" t="s">
        <v>238</v>
      </c>
      <c r="BP48" s="188">
        <v>0</v>
      </c>
      <c r="BQ48" s="189">
        <v>0</v>
      </c>
      <c r="BR48" s="203">
        <v>0</v>
      </c>
      <c r="BS48" s="190"/>
      <c r="BT48" s="183"/>
      <c r="BU48" s="183"/>
      <c r="BV48" s="183"/>
      <c r="BW48" s="183"/>
      <c r="BX48" s="183"/>
      <c r="BY48" s="183"/>
      <c r="BZ48" s="183"/>
      <c r="CA48" s="183"/>
      <c r="CB48" s="183"/>
      <c r="CC48" s="183"/>
      <c r="CD48" s="183"/>
      <c r="CE48" s="183"/>
      <c r="CF48" s="184"/>
      <c r="CG48" s="237"/>
    </row>
    <row r="49" spans="1:86" ht="15" hidden="1" customHeight="1" x14ac:dyDescent="0.35">
      <c r="A49" s="213" t="s">
        <v>297</v>
      </c>
      <c r="B49" s="190"/>
      <c r="C49" s="183"/>
      <c r="D49" s="183"/>
      <c r="E49" s="183"/>
      <c r="F49" s="183"/>
      <c r="G49" s="183"/>
      <c r="H49" s="183"/>
      <c r="I49" s="183"/>
      <c r="J49" s="189">
        <v>0</v>
      </c>
      <c r="K49" s="201">
        <v>0</v>
      </c>
      <c r="L49" s="202">
        <v>0</v>
      </c>
      <c r="M49" s="203">
        <v>0</v>
      </c>
      <c r="N49" s="190"/>
      <c r="O49" s="183"/>
      <c r="P49" s="183"/>
      <c r="Q49" s="183"/>
      <c r="R49" s="183"/>
      <c r="S49" s="183"/>
      <c r="T49" s="183"/>
      <c r="U49" s="183"/>
      <c r="V49" s="189">
        <v>0</v>
      </c>
      <c r="W49" s="189">
        <v>0</v>
      </c>
      <c r="X49" s="189">
        <v>0</v>
      </c>
      <c r="Y49" s="203">
        <v>0</v>
      </c>
      <c r="Z49" s="204">
        <v>0</v>
      </c>
      <c r="AA49" s="188">
        <v>0</v>
      </c>
      <c r="AB49" s="189">
        <v>0</v>
      </c>
      <c r="AC49" s="203">
        <v>0</v>
      </c>
      <c r="AD49" s="190"/>
      <c r="AE49" s="183"/>
      <c r="AF49" s="183"/>
      <c r="AG49" s="183"/>
      <c r="AH49" s="183"/>
      <c r="AI49" s="183"/>
      <c r="AJ49" s="189">
        <v>0</v>
      </c>
      <c r="AK49" s="206">
        <v>0</v>
      </c>
      <c r="AL49" s="207">
        <v>0</v>
      </c>
      <c r="AM49" s="189">
        <v>0</v>
      </c>
      <c r="AN49" s="203">
        <v>0</v>
      </c>
      <c r="AO49" s="190"/>
      <c r="AP49" s="183"/>
      <c r="AQ49" s="183"/>
      <c r="AR49" s="183"/>
      <c r="AS49" s="183"/>
      <c r="AT49" s="189">
        <v>0</v>
      </c>
      <c r="AU49" s="189">
        <v>0</v>
      </c>
      <c r="AV49" s="203">
        <v>0</v>
      </c>
      <c r="AW49" s="188">
        <v>0</v>
      </c>
      <c r="AX49" s="189">
        <v>0</v>
      </c>
      <c r="AY49" s="189">
        <v>0</v>
      </c>
      <c r="AZ49" s="203">
        <v>0</v>
      </c>
      <c r="BA49" s="188">
        <v>0</v>
      </c>
      <c r="BB49" s="189">
        <v>0</v>
      </c>
      <c r="BC49" s="189">
        <v>0</v>
      </c>
      <c r="BD49" s="203">
        <v>0</v>
      </c>
      <c r="BE49" s="188">
        <v>0</v>
      </c>
      <c r="BF49" s="189">
        <v>0</v>
      </c>
      <c r="BG49" s="183" t="s">
        <v>223</v>
      </c>
      <c r="BH49" s="189">
        <v>0</v>
      </c>
      <c r="BI49" s="189">
        <v>0</v>
      </c>
      <c r="BJ49" s="203">
        <v>0</v>
      </c>
      <c r="BK49" s="594" t="s">
        <v>238</v>
      </c>
      <c r="BL49" s="183" t="s">
        <v>238</v>
      </c>
      <c r="BM49" s="183" t="s">
        <v>238</v>
      </c>
      <c r="BN49" s="183" t="s">
        <v>238</v>
      </c>
      <c r="BO49" s="184" t="s">
        <v>238</v>
      </c>
      <c r="BP49" s="188">
        <v>0</v>
      </c>
      <c r="BQ49" s="189">
        <v>0</v>
      </c>
      <c r="BR49" s="203">
        <v>0</v>
      </c>
      <c r="BS49" s="190"/>
      <c r="BT49" s="183"/>
      <c r="BU49" s="183"/>
      <c r="BV49" s="183"/>
      <c r="BW49" s="183"/>
      <c r="BX49" s="183"/>
      <c r="BY49" s="183"/>
      <c r="BZ49" s="183"/>
      <c r="CA49" s="183"/>
      <c r="CB49" s="183"/>
      <c r="CC49" s="183"/>
      <c r="CD49" s="183"/>
      <c r="CE49" s="183"/>
      <c r="CF49" s="184"/>
      <c r="CG49" s="237"/>
    </row>
    <row r="50" spans="1:86" ht="15" hidden="1" customHeight="1" x14ac:dyDescent="0.35">
      <c r="A50" s="213" t="s">
        <v>298</v>
      </c>
      <c r="B50" s="190"/>
      <c r="C50" s="183"/>
      <c r="D50" s="183"/>
      <c r="E50" s="183"/>
      <c r="F50" s="183"/>
      <c r="G50" s="183"/>
      <c r="H50" s="183"/>
      <c r="I50" s="183"/>
      <c r="J50" s="189">
        <v>0</v>
      </c>
      <c r="K50" s="201">
        <v>0</v>
      </c>
      <c r="L50" s="202">
        <v>0</v>
      </c>
      <c r="M50" s="203">
        <v>0</v>
      </c>
      <c r="N50" s="190"/>
      <c r="O50" s="183"/>
      <c r="P50" s="183"/>
      <c r="Q50" s="183"/>
      <c r="R50" s="183"/>
      <c r="S50" s="183"/>
      <c r="T50" s="183"/>
      <c r="U50" s="183"/>
      <c r="V50" s="189">
        <v>0</v>
      </c>
      <c r="W50" s="189">
        <v>0</v>
      </c>
      <c r="X50" s="189">
        <v>0</v>
      </c>
      <c r="Y50" s="203">
        <v>0</v>
      </c>
      <c r="Z50" s="204">
        <v>0</v>
      </c>
      <c r="AA50" s="188">
        <v>0</v>
      </c>
      <c r="AB50" s="189">
        <v>0</v>
      </c>
      <c r="AC50" s="203">
        <v>0</v>
      </c>
      <c r="AD50" s="190"/>
      <c r="AE50" s="183"/>
      <c r="AF50" s="183"/>
      <c r="AG50" s="183"/>
      <c r="AH50" s="183"/>
      <c r="AI50" s="183"/>
      <c r="AJ50" s="189">
        <v>0</v>
      </c>
      <c r="AK50" s="206">
        <v>0</v>
      </c>
      <c r="AL50" s="207">
        <v>0</v>
      </c>
      <c r="AM50" s="189">
        <v>0</v>
      </c>
      <c r="AN50" s="203">
        <v>0</v>
      </c>
      <c r="AO50" s="190"/>
      <c r="AP50" s="183"/>
      <c r="AQ50" s="183"/>
      <c r="AR50" s="183"/>
      <c r="AS50" s="183"/>
      <c r="AT50" s="189">
        <v>0</v>
      </c>
      <c r="AU50" s="189">
        <v>0</v>
      </c>
      <c r="AV50" s="203">
        <v>0</v>
      </c>
      <c r="AW50" s="188">
        <v>0</v>
      </c>
      <c r="AX50" s="189">
        <v>0</v>
      </c>
      <c r="AY50" s="189">
        <v>0</v>
      </c>
      <c r="AZ50" s="203">
        <v>0</v>
      </c>
      <c r="BA50" s="188">
        <v>0</v>
      </c>
      <c r="BB50" s="189">
        <v>0</v>
      </c>
      <c r="BC50" s="189">
        <v>0</v>
      </c>
      <c r="BD50" s="203">
        <v>0</v>
      </c>
      <c r="BE50" s="188">
        <v>0</v>
      </c>
      <c r="BF50" s="189">
        <v>0</v>
      </c>
      <c r="BG50" s="183" t="s">
        <v>223</v>
      </c>
      <c r="BH50" s="189">
        <v>0</v>
      </c>
      <c r="BI50" s="189">
        <v>0</v>
      </c>
      <c r="BJ50" s="203">
        <v>0</v>
      </c>
      <c r="BK50" s="594" t="s">
        <v>238</v>
      </c>
      <c r="BL50" s="183" t="s">
        <v>238</v>
      </c>
      <c r="BM50" s="183" t="s">
        <v>238</v>
      </c>
      <c r="BN50" s="183" t="s">
        <v>238</v>
      </c>
      <c r="BO50" s="184" t="s">
        <v>238</v>
      </c>
      <c r="BP50" s="188">
        <v>0</v>
      </c>
      <c r="BQ50" s="189">
        <v>0</v>
      </c>
      <c r="BR50" s="203">
        <v>0</v>
      </c>
      <c r="BS50" s="190"/>
      <c r="BT50" s="183"/>
      <c r="BU50" s="183"/>
      <c r="BV50" s="183"/>
      <c r="BW50" s="183"/>
      <c r="BX50" s="183"/>
      <c r="BY50" s="183"/>
      <c r="BZ50" s="183"/>
      <c r="CA50" s="183"/>
      <c r="CB50" s="183"/>
      <c r="CC50" s="183"/>
      <c r="CD50" s="183"/>
      <c r="CE50" s="183"/>
      <c r="CF50" s="184"/>
      <c r="CG50" s="237"/>
    </row>
    <row r="51" spans="1:86" ht="15.75" customHeight="1" x14ac:dyDescent="0.35">
      <c r="A51" s="214" t="s">
        <v>111</v>
      </c>
      <c r="B51" s="164">
        <v>0</v>
      </c>
      <c r="C51" s="165">
        <v>0</v>
      </c>
      <c r="D51" s="165">
        <v>0</v>
      </c>
      <c r="E51" s="165">
        <v>2170</v>
      </c>
      <c r="F51" s="165">
        <v>0</v>
      </c>
      <c r="G51" s="165">
        <v>0</v>
      </c>
      <c r="H51" s="165">
        <v>0</v>
      </c>
      <c r="I51" s="165">
        <v>0</v>
      </c>
      <c r="J51" s="165">
        <v>1483</v>
      </c>
      <c r="K51" s="166">
        <v>35752.92</v>
      </c>
      <c r="L51" s="167">
        <v>0</v>
      </c>
      <c r="M51" s="168">
        <v>37236</v>
      </c>
      <c r="N51" s="164">
        <v>0</v>
      </c>
      <c r="O51" s="165">
        <v>0</v>
      </c>
      <c r="P51" s="165">
        <v>0</v>
      </c>
      <c r="Q51" s="165">
        <v>0</v>
      </c>
      <c r="R51" s="165">
        <v>0</v>
      </c>
      <c r="S51" s="165">
        <v>0</v>
      </c>
      <c r="T51" s="165">
        <v>0</v>
      </c>
      <c r="U51" s="165">
        <v>0</v>
      </c>
      <c r="V51" s="165">
        <v>0</v>
      </c>
      <c r="W51" s="165">
        <v>4326</v>
      </c>
      <c r="X51" s="165">
        <v>0</v>
      </c>
      <c r="Y51" s="168">
        <v>4326</v>
      </c>
      <c r="Z51" s="169">
        <v>0</v>
      </c>
      <c r="AA51" s="164">
        <v>41562</v>
      </c>
      <c r="AB51" s="165">
        <v>11084</v>
      </c>
      <c r="AC51" s="168">
        <v>0</v>
      </c>
      <c r="AD51" s="164">
        <v>0</v>
      </c>
      <c r="AE51" s="165">
        <v>0</v>
      </c>
      <c r="AF51" s="165">
        <v>0</v>
      </c>
      <c r="AG51" s="165">
        <v>0</v>
      </c>
      <c r="AH51" s="165">
        <v>0</v>
      </c>
      <c r="AI51" s="165">
        <v>0</v>
      </c>
      <c r="AJ51" s="165">
        <v>0</v>
      </c>
      <c r="AK51" s="170">
        <v>0</v>
      </c>
      <c r="AL51" s="171">
        <v>0</v>
      </c>
      <c r="AM51" s="165">
        <v>245</v>
      </c>
      <c r="AN51" s="168">
        <v>245</v>
      </c>
      <c r="AO51" s="164">
        <v>0</v>
      </c>
      <c r="AP51" s="165">
        <v>0</v>
      </c>
      <c r="AQ51" s="165">
        <v>0</v>
      </c>
      <c r="AR51" s="165">
        <v>0</v>
      </c>
      <c r="AS51" s="165">
        <v>0</v>
      </c>
      <c r="AT51" s="165">
        <v>0</v>
      </c>
      <c r="AU51" s="165">
        <v>0</v>
      </c>
      <c r="AV51" s="168">
        <v>0</v>
      </c>
      <c r="AW51" s="164">
        <v>245</v>
      </c>
      <c r="AX51" s="165">
        <v>25265</v>
      </c>
      <c r="AY51" s="165">
        <v>12565</v>
      </c>
      <c r="AZ51" s="168">
        <v>2185</v>
      </c>
      <c r="BA51" s="164">
        <v>37601</v>
      </c>
      <c r="BB51" s="165">
        <v>0</v>
      </c>
      <c r="BC51" s="165">
        <v>0</v>
      </c>
      <c r="BD51" s="168">
        <v>0</v>
      </c>
      <c r="BE51" s="164">
        <v>0</v>
      </c>
      <c r="BF51" s="165">
        <v>37601</v>
      </c>
      <c r="BG51" s="172" t="s">
        <v>223</v>
      </c>
      <c r="BH51" s="165">
        <v>37601</v>
      </c>
      <c r="BI51" s="165">
        <v>398940</v>
      </c>
      <c r="BJ51" s="168">
        <v>344749</v>
      </c>
      <c r="BK51" s="592">
        <v>0.86416000000000004</v>
      </c>
      <c r="BL51" s="173">
        <v>13.64</v>
      </c>
      <c r="BM51" s="173">
        <v>0.71</v>
      </c>
      <c r="BN51" s="173">
        <v>12.34</v>
      </c>
      <c r="BO51" s="174">
        <v>0.65</v>
      </c>
      <c r="BP51" s="164">
        <v>3046</v>
      </c>
      <c r="BQ51" s="165">
        <v>35407</v>
      </c>
      <c r="BR51" s="168">
        <v>58186</v>
      </c>
      <c r="BS51" s="190"/>
      <c r="BT51" s="183"/>
      <c r="BU51" s="183"/>
      <c r="BV51" s="183"/>
      <c r="BW51" s="183"/>
      <c r="BX51" s="183"/>
      <c r="BY51" s="183"/>
      <c r="BZ51" s="183"/>
      <c r="CA51" s="183"/>
      <c r="CB51" s="183"/>
      <c r="CC51" s="183"/>
      <c r="CD51" s="183"/>
      <c r="CE51" s="183"/>
      <c r="CF51" s="184"/>
      <c r="CG51" s="237"/>
    </row>
    <row r="52" spans="1:86" ht="15.75" customHeight="1" x14ac:dyDescent="0.35">
      <c r="A52" s="630" t="s">
        <v>339</v>
      </c>
      <c r="B52" s="134">
        <v>0</v>
      </c>
      <c r="C52" s="135">
        <v>0</v>
      </c>
      <c r="D52" s="135">
        <v>0</v>
      </c>
      <c r="E52" s="135">
        <v>0</v>
      </c>
      <c r="F52" s="135">
        <v>0</v>
      </c>
      <c r="G52" s="135">
        <v>0</v>
      </c>
      <c r="H52" s="135">
        <v>0</v>
      </c>
      <c r="I52" s="135">
        <v>0</v>
      </c>
      <c r="J52" s="135">
        <v>0</v>
      </c>
      <c r="K52" s="136">
        <v>19025.240000000002</v>
      </c>
      <c r="L52" s="137">
        <v>0</v>
      </c>
      <c r="M52" s="138">
        <v>19025</v>
      </c>
      <c r="N52" s="134">
        <v>0</v>
      </c>
      <c r="O52" s="135">
        <v>0</v>
      </c>
      <c r="P52" s="135">
        <v>0</v>
      </c>
      <c r="Q52" s="135">
        <v>0</v>
      </c>
      <c r="R52" s="135">
        <v>0</v>
      </c>
      <c r="S52" s="135">
        <v>0</v>
      </c>
      <c r="T52" s="135">
        <v>0</v>
      </c>
      <c r="U52" s="135">
        <v>0</v>
      </c>
      <c r="V52" s="135">
        <v>0</v>
      </c>
      <c r="W52" s="135">
        <v>0</v>
      </c>
      <c r="X52" s="135">
        <v>0</v>
      </c>
      <c r="Y52" s="138">
        <v>0</v>
      </c>
      <c r="Z52" s="139">
        <v>0</v>
      </c>
      <c r="AA52" s="134">
        <v>19025</v>
      </c>
      <c r="AB52" s="135">
        <v>10046</v>
      </c>
      <c r="AC52" s="138">
        <v>0</v>
      </c>
      <c r="AD52" s="134">
        <v>0</v>
      </c>
      <c r="AE52" s="135">
        <v>0</v>
      </c>
      <c r="AF52" s="135">
        <v>0</v>
      </c>
      <c r="AG52" s="135">
        <v>0</v>
      </c>
      <c r="AH52" s="135">
        <v>0</v>
      </c>
      <c r="AI52" s="135">
        <v>0</v>
      </c>
      <c r="AJ52" s="135">
        <v>0</v>
      </c>
      <c r="AK52" s="141">
        <v>0</v>
      </c>
      <c r="AL52" s="142">
        <v>0</v>
      </c>
      <c r="AM52" s="135">
        <v>245</v>
      </c>
      <c r="AN52" s="138">
        <v>245</v>
      </c>
      <c r="AO52" s="139">
        <v>0</v>
      </c>
      <c r="AP52" s="139">
        <v>0</v>
      </c>
      <c r="AQ52" s="139">
        <v>0</v>
      </c>
      <c r="AR52" s="139">
        <v>0</v>
      </c>
      <c r="AS52" s="134">
        <v>0</v>
      </c>
      <c r="AT52" s="135">
        <v>0</v>
      </c>
      <c r="AU52" s="135">
        <v>0</v>
      </c>
      <c r="AV52" s="138">
        <v>0</v>
      </c>
      <c r="AW52" s="134">
        <v>245</v>
      </c>
      <c r="AX52" s="135">
        <v>9140</v>
      </c>
      <c r="AY52" s="135">
        <v>-405</v>
      </c>
      <c r="AZ52" s="138">
        <v>0</v>
      </c>
      <c r="BA52" s="134">
        <v>8735</v>
      </c>
      <c r="BB52" s="135">
        <v>0</v>
      </c>
      <c r="BC52" s="135">
        <v>0</v>
      </c>
      <c r="BD52" s="138">
        <v>0</v>
      </c>
      <c r="BE52" s="134">
        <v>0</v>
      </c>
      <c r="BF52" s="135">
        <v>8735</v>
      </c>
      <c r="BG52" s="143" t="s">
        <v>223</v>
      </c>
      <c r="BH52" s="135">
        <v>8735</v>
      </c>
      <c r="BI52" s="135">
        <v>189197</v>
      </c>
      <c r="BJ52" s="135">
        <v>151146</v>
      </c>
      <c r="BK52" s="595">
        <v>0.79888000000000003</v>
      </c>
      <c r="BL52" s="145">
        <v>11.49</v>
      </c>
      <c r="BM52" s="145">
        <v>1.45</v>
      </c>
      <c r="BN52" s="145">
        <v>5.27</v>
      </c>
      <c r="BO52" s="146">
        <v>0.67</v>
      </c>
      <c r="BP52" s="179">
        <v>1656</v>
      </c>
      <c r="BQ52" s="606">
        <v>0</v>
      </c>
      <c r="BR52" s="179">
        <v>13133</v>
      </c>
      <c r="BS52" s="180" t="s">
        <v>300</v>
      </c>
      <c r="BT52" s="143" t="s">
        <v>225</v>
      </c>
      <c r="BU52" s="143" t="s">
        <v>226</v>
      </c>
      <c r="BV52" s="143" t="s">
        <v>247</v>
      </c>
      <c r="BW52" s="143" t="s">
        <v>248</v>
      </c>
      <c r="BX52" s="143" t="s">
        <v>276</v>
      </c>
      <c r="BY52" s="143" t="s">
        <v>230</v>
      </c>
      <c r="BZ52" s="143" t="s">
        <v>231</v>
      </c>
      <c r="CA52" s="143" t="s">
        <v>233</v>
      </c>
      <c r="CB52" s="143" t="s">
        <v>232</v>
      </c>
      <c r="CC52" s="143" t="s">
        <v>289</v>
      </c>
      <c r="CD52" s="143" t="s">
        <v>249</v>
      </c>
      <c r="CE52" s="143" t="s">
        <v>221</v>
      </c>
      <c r="CF52" s="181" t="s">
        <v>234</v>
      </c>
      <c r="CG52" s="238"/>
      <c r="CH52" s="239"/>
    </row>
    <row r="53" spans="1:86" ht="15.75" customHeight="1" x14ac:dyDescent="0.35">
      <c r="A53" s="215" t="s">
        <v>301</v>
      </c>
      <c r="B53" s="134">
        <v>0</v>
      </c>
      <c r="C53" s="135">
        <v>0</v>
      </c>
      <c r="D53" s="135">
        <v>0</v>
      </c>
      <c r="E53" s="135">
        <v>0</v>
      </c>
      <c r="F53" s="135">
        <v>0</v>
      </c>
      <c r="G53" s="135">
        <v>0</v>
      </c>
      <c r="H53" s="135">
        <v>0</v>
      </c>
      <c r="I53" s="135">
        <v>0</v>
      </c>
      <c r="J53" s="135">
        <v>0</v>
      </c>
      <c r="K53" s="136">
        <v>4081.42</v>
      </c>
      <c r="L53" s="137">
        <v>0</v>
      </c>
      <c r="M53" s="138">
        <v>4081</v>
      </c>
      <c r="N53" s="134">
        <v>0</v>
      </c>
      <c r="O53" s="135">
        <v>0</v>
      </c>
      <c r="P53" s="135">
        <v>0</v>
      </c>
      <c r="Q53" s="135">
        <v>0</v>
      </c>
      <c r="R53" s="135">
        <v>0</v>
      </c>
      <c r="S53" s="135">
        <v>0</v>
      </c>
      <c r="T53" s="135">
        <v>0</v>
      </c>
      <c r="U53" s="135">
        <v>0</v>
      </c>
      <c r="V53" s="135">
        <v>0</v>
      </c>
      <c r="W53" s="135">
        <v>0</v>
      </c>
      <c r="X53" s="135">
        <v>0</v>
      </c>
      <c r="Y53" s="138">
        <v>0</v>
      </c>
      <c r="Z53" s="139">
        <v>0</v>
      </c>
      <c r="AA53" s="134">
        <v>4081</v>
      </c>
      <c r="AB53" s="135">
        <v>0</v>
      </c>
      <c r="AC53" s="138">
        <v>0</v>
      </c>
      <c r="AD53" s="134">
        <v>0</v>
      </c>
      <c r="AE53" s="135">
        <v>0</v>
      </c>
      <c r="AF53" s="135">
        <v>0</v>
      </c>
      <c r="AG53" s="135">
        <v>0</v>
      </c>
      <c r="AH53" s="135">
        <v>0</v>
      </c>
      <c r="AI53" s="135">
        <v>0</v>
      </c>
      <c r="AJ53" s="135">
        <v>0</v>
      </c>
      <c r="AK53" s="141">
        <v>0</v>
      </c>
      <c r="AL53" s="142">
        <v>0</v>
      </c>
      <c r="AM53" s="135">
        <v>0</v>
      </c>
      <c r="AN53" s="138">
        <v>0</v>
      </c>
      <c r="AO53" s="139">
        <v>0</v>
      </c>
      <c r="AP53" s="139">
        <v>0</v>
      </c>
      <c r="AQ53" s="139">
        <v>0</v>
      </c>
      <c r="AR53" s="139">
        <v>0</v>
      </c>
      <c r="AS53" s="134">
        <v>0</v>
      </c>
      <c r="AT53" s="135">
        <v>0</v>
      </c>
      <c r="AU53" s="135">
        <v>0</v>
      </c>
      <c r="AV53" s="138">
        <v>0</v>
      </c>
      <c r="AW53" s="134">
        <v>0</v>
      </c>
      <c r="AX53" s="135">
        <v>3264</v>
      </c>
      <c r="AY53" s="135">
        <v>1608</v>
      </c>
      <c r="AZ53" s="138">
        <v>0</v>
      </c>
      <c r="BA53" s="134">
        <v>4872</v>
      </c>
      <c r="BB53" s="135">
        <v>0</v>
      </c>
      <c r="BC53" s="135">
        <v>0</v>
      </c>
      <c r="BD53" s="138">
        <v>0</v>
      </c>
      <c r="BE53" s="134">
        <v>0</v>
      </c>
      <c r="BF53" s="135">
        <v>4872</v>
      </c>
      <c r="BG53" s="143" t="s">
        <v>223</v>
      </c>
      <c r="BH53" s="135">
        <v>4872</v>
      </c>
      <c r="BI53" s="135">
        <v>88657</v>
      </c>
      <c r="BJ53" s="138">
        <v>84576</v>
      </c>
      <c r="BK53" s="593">
        <v>0.95396000000000003</v>
      </c>
      <c r="BL53" s="145">
        <v>6.19</v>
      </c>
      <c r="BM53" s="145">
        <v>0.17</v>
      </c>
      <c r="BN53" s="145">
        <v>7.39</v>
      </c>
      <c r="BO53" s="146">
        <v>0.2</v>
      </c>
      <c r="BP53" s="179">
        <v>659</v>
      </c>
      <c r="BQ53" s="606">
        <v>0</v>
      </c>
      <c r="BR53" s="179">
        <v>24549</v>
      </c>
      <c r="BS53" s="180" t="s">
        <v>300</v>
      </c>
      <c r="BT53" s="143" t="s">
        <v>225</v>
      </c>
      <c r="BU53" s="143" t="s">
        <v>226</v>
      </c>
      <c r="BV53" s="143" t="s">
        <v>247</v>
      </c>
      <c r="BW53" s="143" t="s">
        <v>278</v>
      </c>
      <c r="BX53" s="143" t="s">
        <v>276</v>
      </c>
      <c r="BY53" s="143" t="s">
        <v>230</v>
      </c>
      <c r="BZ53" s="143" t="s">
        <v>229</v>
      </c>
      <c r="CA53" s="143" t="s">
        <v>232</v>
      </c>
      <c r="CB53" s="143" t="s">
        <v>233</v>
      </c>
      <c r="CC53" s="143" t="s">
        <v>289</v>
      </c>
      <c r="CD53" s="143" t="s">
        <v>249</v>
      </c>
      <c r="CE53" s="143" t="s">
        <v>221</v>
      </c>
      <c r="CF53" s="181" t="s">
        <v>234</v>
      </c>
      <c r="CG53" s="238"/>
      <c r="CH53" s="239"/>
    </row>
    <row r="54" spans="1:86" ht="15" hidden="1" customHeight="1" x14ac:dyDescent="0.35">
      <c r="A54" s="215" t="s">
        <v>302</v>
      </c>
      <c r="B54" s="134">
        <v>0</v>
      </c>
      <c r="C54" s="135">
        <v>0</v>
      </c>
      <c r="D54" s="135">
        <v>0</v>
      </c>
      <c r="E54" s="135">
        <v>0</v>
      </c>
      <c r="F54" s="135">
        <v>0</v>
      </c>
      <c r="G54" s="135">
        <v>0</v>
      </c>
      <c r="H54" s="135">
        <v>0</v>
      </c>
      <c r="I54" s="135">
        <v>0</v>
      </c>
      <c r="J54" s="135">
        <v>0</v>
      </c>
      <c r="K54" s="136">
        <v>0</v>
      </c>
      <c r="L54" s="137">
        <v>0</v>
      </c>
      <c r="M54" s="138">
        <v>0</v>
      </c>
      <c r="N54" s="134">
        <v>0</v>
      </c>
      <c r="O54" s="135">
        <v>0</v>
      </c>
      <c r="P54" s="135">
        <v>0</v>
      </c>
      <c r="Q54" s="135">
        <v>0</v>
      </c>
      <c r="R54" s="135">
        <v>0</v>
      </c>
      <c r="S54" s="135">
        <v>0</v>
      </c>
      <c r="T54" s="135">
        <v>0</v>
      </c>
      <c r="U54" s="135">
        <v>0</v>
      </c>
      <c r="V54" s="135">
        <v>0</v>
      </c>
      <c r="W54" s="135">
        <v>0</v>
      </c>
      <c r="X54" s="135">
        <v>0</v>
      </c>
      <c r="Y54" s="138">
        <v>0</v>
      </c>
      <c r="Z54" s="139">
        <v>0</v>
      </c>
      <c r="AA54" s="134">
        <v>0</v>
      </c>
      <c r="AB54" s="135">
        <v>0</v>
      </c>
      <c r="AC54" s="138">
        <v>0</v>
      </c>
      <c r="AD54" s="134">
        <v>0</v>
      </c>
      <c r="AE54" s="135">
        <v>0</v>
      </c>
      <c r="AF54" s="135">
        <v>0</v>
      </c>
      <c r="AG54" s="135">
        <v>0</v>
      </c>
      <c r="AH54" s="135">
        <v>0</v>
      </c>
      <c r="AI54" s="135">
        <v>0</v>
      </c>
      <c r="AJ54" s="135">
        <v>0</v>
      </c>
      <c r="AK54" s="141">
        <v>0</v>
      </c>
      <c r="AL54" s="142">
        <v>0</v>
      </c>
      <c r="AM54" s="135">
        <v>0</v>
      </c>
      <c r="AN54" s="138">
        <v>0</v>
      </c>
      <c r="AO54" s="139">
        <v>0</v>
      </c>
      <c r="AP54" s="139">
        <v>0</v>
      </c>
      <c r="AQ54" s="139">
        <v>0</v>
      </c>
      <c r="AR54" s="139">
        <v>0</v>
      </c>
      <c r="AS54" s="134">
        <v>0</v>
      </c>
      <c r="AT54" s="135">
        <v>0</v>
      </c>
      <c r="AU54" s="135">
        <v>0</v>
      </c>
      <c r="AV54" s="138">
        <v>0</v>
      </c>
      <c r="AW54" s="134">
        <v>0</v>
      </c>
      <c r="AX54" s="135">
        <v>0</v>
      </c>
      <c r="AY54" s="135">
        <v>0</v>
      </c>
      <c r="AZ54" s="138">
        <v>0</v>
      </c>
      <c r="BA54" s="134">
        <v>0</v>
      </c>
      <c r="BB54" s="135">
        <v>0</v>
      </c>
      <c r="BC54" s="135">
        <v>0</v>
      </c>
      <c r="BD54" s="138">
        <v>0</v>
      </c>
      <c r="BE54" s="134">
        <v>0</v>
      </c>
      <c r="BF54" s="135">
        <v>0</v>
      </c>
      <c r="BG54" s="143" t="s">
        <v>223</v>
      </c>
      <c r="BH54" s="135">
        <v>0</v>
      </c>
      <c r="BI54" s="135">
        <v>0</v>
      </c>
      <c r="BJ54" s="138">
        <v>0</v>
      </c>
      <c r="BK54" s="593" t="s">
        <v>238</v>
      </c>
      <c r="BL54" s="143" t="s">
        <v>238</v>
      </c>
      <c r="BM54" s="143" t="s">
        <v>272</v>
      </c>
      <c r="BN54" s="143" t="s">
        <v>238</v>
      </c>
      <c r="BO54" s="181" t="s">
        <v>272</v>
      </c>
      <c r="BP54" s="179">
        <v>0</v>
      </c>
      <c r="BQ54" s="606">
        <v>0</v>
      </c>
      <c r="BR54" s="179">
        <v>0</v>
      </c>
      <c r="BS54" s="180" t="s">
        <v>303</v>
      </c>
      <c r="BT54" s="143" t="s">
        <v>225</v>
      </c>
      <c r="BU54" s="143" t="s">
        <v>266</v>
      </c>
      <c r="BV54" s="143" t="s">
        <v>242</v>
      </c>
      <c r="BW54" s="143"/>
      <c r="BX54" s="143" t="s">
        <v>276</v>
      </c>
      <c r="BY54" s="143" t="s">
        <v>230</v>
      </c>
      <c r="BZ54" s="143" t="s">
        <v>229</v>
      </c>
      <c r="CA54" s="143" t="s">
        <v>233</v>
      </c>
      <c r="CB54" s="143" t="s">
        <v>232</v>
      </c>
      <c r="CC54" s="143" t="s">
        <v>289</v>
      </c>
      <c r="CD54" s="143" t="s">
        <v>249</v>
      </c>
      <c r="CE54" s="143" t="s">
        <v>221</v>
      </c>
      <c r="CF54" s="181" t="s">
        <v>234</v>
      </c>
      <c r="CG54" s="238"/>
      <c r="CH54" s="239"/>
    </row>
    <row r="55" spans="1:86" ht="15.75" customHeight="1" x14ac:dyDescent="0.35">
      <c r="A55" s="215" t="s">
        <v>304</v>
      </c>
      <c r="B55" s="134">
        <v>0</v>
      </c>
      <c r="C55" s="135">
        <v>0</v>
      </c>
      <c r="D55" s="135">
        <v>0</v>
      </c>
      <c r="E55" s="135">
        <v>2170</v>
      </c>
      <c r="F55" s="135">
        <v>0</v>
      </c>
      <c r="G55" s="135">
        <v>0</v>
      </c>
      <c r="H55" s="135">
        <v>0</v>
      </c>
      <c r="I55" s="135">
        <v>0</v>
      </c>
      <c r="J55" s="135">
        <v>2</v>
      </c>
      <c r="K55" s="136">
        <v>0</v>
      </c>
      <c r="L55" s="137">
        <v>0</v>
      </c>
      <c r="M55" s="138">
        <v>2</v>
      </c>
      <c r="N55" s="134">
        <v>0</v>
      </c>
      <c r="O55" s="135">
        <v>0</v>
      </c>
      <c r="P55" s="135">
        <v>0</v>
      </c>
      <c r="Q55" s="135">
        <v>0</v>
      </c>
      <c r="R55" s="135">
        <v>0</v>
      </c>
      <c r="S55" s="135">
        <v>0</v>
      </c>
      <c r="T55" s="135">
        <v>0</v>
      </c>
      <c r="U55" s="135">
        <v>0</v>
      </c>
      <c r="V55" s="135">
        <v>0</v>
      </c>
      <c r="W55" s="135">
        <v>0</v>
      </c>
      <c r="X55" s="135">
        <v>0</v>
      </c>
      <c r="Y55" s="138">
        <v>0</v>
      </c>
      <c r="Z55" s="139">
        <v>0</v>
      </c>
      <c r="AA55" s="134">
        <v>2</v>
      </c>
      <c r="AB55" s="135">
        <v>0</v>
      </c>
      <c r="AC55" s="138">
        <v>0</v>
      </c>
      <c r="AD55" s="134">
        <v>0</v>
      </c>
      <c r="AE55" s="135">
        <v>0</v>
      </c>
      <c r="AF55" s="135">
        <v>0</v>
      </c>
      <c r="AG55" s="135">
        <v>0</v>
      </c>
      <c r="AH55" s="135">
        <v>0</v>
      </c>
      <c r="AI55" s="135">
        <v>0</v>
      </c>
      <c r="AJ55" s="135">
        <v>0</v>
      </c>
      <c r="AK55" s="141">
        <v>0</v>
      </c>
      <c r="AL55" s="142">
        <v>0</v>
      </c>
      <c r="AM55" s="135">
        <v>0</v>
      </c>
      <c r="AN55" s="138">
        <v>0</v>
      </c>
      <c r="AO55" s="139">
        <v>0</v>
      </c>
      <c r="AP55" s="139">
        <v>0</v>
      </c>
      <c r="AQ55" s="139">
        <v>0</v>
      </c>
      <c r="AR55" s="139">
        <v>0</v>
      </c>
      <c r="AS55" s="134">
        <v>0</v>
      </c>
      <c r="AT55" s="135">
        <v>0</v>
      </c>
      <c r="AU55" s="135">
        <v>0</v>
      </c>
      <c r="AV55" s="138">
        <v>0</v>
      </c>
      <c r="AW55" s="134">
        <v>0</v>
      </c>
      <c r="AX55" s="135">
        <v>3165</v>
      </c>
      <c r="AY55" s="135">
        <v>3145</v>
      </c>
      <c r="AZ55" s="138">
        <v>0</v>
      </c>
      <c r="BA55" s="134">
        <v>6310</v>
      </c>
      <c r="BB55" s="135">
        <v>0</v>
      </c>
      <c r="BC55" s="135">
        <v>0</v>
      </c>
      <c r="BD55" s="138">
        <v>0</v>
      </c>
      <c r="BE55" s="134">
        <v>0</v>
      </c>
      <c r="BF55" s="135">
        <v>6310</v>
      </c>
      <c r="BG55" s="143" t="s">
        <v>223</v>
      </c>
      <c r="BH55" s="135">
        <v>6310</v>
      </c>
      <c r="BI55" s="135">
        <v>10072</v>
      </c>
      <c r="BJ55" s="138">
        <v>10069</v>
      </c>
      <c r="BK55" s="593">
        <v>0.99978</v>
      </c>
      <c r="BL55" s="145">
        <v>0.13</v>
      </c>
      <c r="BM55" s="143" t="s">
        <v>238</v>
      </c>
      <c r="BN55" s="145">
        <v>391.54</v>
      </c>
      <c r="BO55" s="181" t="s">
        <v>238</v>
      </c>
      <c r="BP55" s="179">
        <v>16</v>
      </c>
      <c r="BQ55" s="606">
        <v>0</v>
      </c>
      <c r="BR55" s="606">
        <v>0</v>
      </c>
      <c r="BS55" s="180" t="s">
        <v>303</v>
      </c>
      <c r="BT55" s="143" t="s">
        <v>225</v>
      </c>
      <c r="BU55" s="143" t="s">
        <v>266</v>
      </c>
      <c r="BV55" s="143" t="s">
        <v>242</v>
      </c>
      <c r="BW55" s="143"/>
      <c r="BX55" s="143" t="s">
        <v>276</v>
      </c>
      <c r="BY55" s="143" t="s">
        <v>230</v>
      </c>
      <c r="BZ55" s="143" t="s">
        <v>229</v>
      </c>
      <c r="CA55" s="143" t="s">
        <v>233</v>
      </c>
      <c r="CB55" s="143" t="s">
        <v>232</v>
      </c>
      <c r="CC55" s="143" t="s">
        <v>289</v>
      </c>
      <c r="CD55" s="143" t="s">
        <v>249</v>
      </c>
      <c r="CE55" s="143" t="s">
        <v>221</v>
      </c>
      <c r="CF55" s="181" t="s">
        <v>234</v>
      </c>
      <c r="CG55" s="238"/>
      <c r="CH55" s="239"/>
    </row>
    <row r="56" spans="1:86" ht="15.75" customHeight="1" x14ac:dyDescent="0.35">
      <c r="A56" s="215" t="s">
        <v>305</v>
      </c>
      <c r="B56" s="134">
        <v>0</v>
      </c>
      <c r="C56" s="135">
        <v>0</v>
      </c>
      <c r="D56" s="135">
        <v>0</v>
      </c>
      <c r="E56" s="135">
        <v>0</v>
      </c>
      <c r="F56" s="135">
        <v>0</v>
      </c>
      <c r="G56" s="135">
        <v>0</v>
      </c>
      <c r="H56" s="135">
        <v>0</v>
      </c>
      <c r="I56" s="135">
        <v>0</v>
      </c>
      <c r="J56" s="135">
        <v>1481</v>
      </c>
      <c r="K56" s="136">
        <v>3837.33</v>
      </c>
      <c r="L56" s="137">
        <v>0</v>
      </c>
      <c r="M56" s="138">
        <v>5318</v>
      </c>
      <c r="N56" s="134">
        <v>0</v>
      </c>
      <c r="O56" s="135">
        <v>0</v>
      </c>
      <c r="P56" s="135">
        <v>0</v>
      </c>
      <c r="Q56" s="135">
        <v>0</v>
      </c>
      <c r="R56" s="135">
        <v>0</v>
      </c>
      <c r="S56" s="135">
        <v>0</v>
      </c>
      <c r="T56" s="135">
        <v>0</v>
      </c>
      <c r="U56" s="135">
        <v>0</v>
      </c>
      <c r="V56" s="135">
        <v>0</v>
      </c>
      <c r="W56" s="135">
        <v>2547</v>
      </c>
      <c r="X56" s="135">
        <v>0</v>
      </c>
      <c r="Y56" s="138">
        <v>2547</v>
      </c>
      <c r="Z56" s="139">
        <v>0</v>
      </c>
      <c r="AA56" s="134">
        <v>7866</v>
      </c>
      <c r="AB56" s="135">
        <v>-1212</v>
      </c>
      <c r="AC56" s="138">
        <v>0</v>
      </c>
      <c r="AD56" s="134">
        <v>0</v>
      </c>
      <c r="AE56" s="135">
        <v>0</v>
      </c>
      <c r="AF56" s="135">
        <v>0</v>
      </c>
      <c r="AG56" s="135">
        <v>0</v>
      </c>
      <c r="AH56" s="135">
        <v>0</v>
      </c>
      <c r="AI56" s="135">
        <v>0</v>
      </c>
      <c r="AJ56" s="135">
        <v>0</v>
      </c>
      <c r="AK56" s="141">
        <v>0</v>
      </c>
      <c r="AL56" s="142">
        <v>0</v>
      </c>
      <c r="AM56" s="135">
        <v>0</v>
      </c>
      <c r="AN56" s="138">
        <v>0</v>
      </c>
      <c r="AO56" s="139">
        <v>0</v>
      </c>
      <c r="AP56" s="139">
        <v>0</v>
      </c>
      <c r="AQ56" s="139">
        <v>0</v>
      </c>
      <c r="AR56" s="139">
        <v>0</v>
      </c>
      <c r="AS56" s="134">
        <v>0</v>
      </c>
      <c r="AT56" s="135">
        <v>0</v>
      </c>
      <c r="AU56" s="135">
        <v>0</v>
      </c>
      <c r="AV56" s="138">
        <v>0</v>
      </c>
      <c r="AW56" s="134">
        <v>0</v>
      </c>
      <c r="AX56" s="135">
        <v>2470</v>
      </c>
      <c r="AY56" s="135">
        <v>4732</v>
      </c>
      <c r="AZ56" s="138">
        <v>745</v>
      </c>
      <c r="BA56" s="134">
        <v>7947</v>
      </c>
      <c r="BB56" s="135">
        <v>0</v>
      </c>
      <c r="BC56" s="135">
        <v>0</v>
      </c>
      <c r="BD56" s="138">
        <v>0</v>
      </c>
      <c r="BE56" s="134">
        <v>0</v>
      </c>
      <c r="BF56" s="135">
        <v>7947</v>
      </c>
      <c r="BG56" s="143" t="s">
        <v>223</v>
      </c>
      <c r="BH56" s="135">
        <v>7947</v>
      </c>
      <c r="BI56" s="135">
        <v>49622</v>
      </c>
      <c r="BJ56" s="138">
        <v>45308</v>
      </c>
      <c r="BK56" s="593">
        <v>0.91307000000000005</v>
      </c>
      <c r="BL56" s="145">
        <v>39.33</v>
      </c>
      <c r="BM56" s="145">
        <v>0.48</v>
      </c>
      <c r="BN56" s="145">
        <v>39.729999999999997</v>
      </c>
      <c r="BO56" s="146">
        <v>0.49</v>
      </c>
      <c r="BP56" s="179">
        <v>200</v>
      </c>
      <c r="BQ56" s="179">
        <v>35407</v>
      </c>
      <c r="BR56" s="179">
        <v>16237</v>
      </c>
      <c r="BS56" s="180" t="s">
        <v>306</v>
      </c>
      <c r="BT56" s="143" t="s">
        <v>225</v>
      </c>
      <c r="BU56" s="143" t="s">
        <v>226</v>
      </c>
      <c r="BV56" s="143" t="s">
        <v>247</v>
      </c>
      <c r="BW56" s="143" t="s">
        <v>248</v>
      </c>
      <c r="BX56" s="143" t="s">
        <v>276</v>
      </c>
      <c r="BY56" s="143" t="s">
        <v>230</v>
      </c>
      <c r="BZ56" s="143" t="s">
        <v>229</v>
      </c>
      <c r="CA56" s="143" t="s">
        <v>233</v>
      </c>
      <c r="CB56" s="143" t="s">
        <v>232</v>
      </c>
      <c r="CC56" s="143" t="s">
        <v>289</v>
      </c>
      <c r="CD56" s="143" t="s">
        <v>249</v>
      </c>
      <c r="CE56" s="143" t="s">
        <v>221</v>
      </c>
      <c r="CF56" s="181" t="s">
        <v>234</v>
      </c>
      <c r="CG56" s="238"/>
      <c r="CH56" s="239"/>
    </row>
    <row r="57" spans="1:86" ht="15.75" customHeight="1" x14ac:dyDescent="0.35">
      <c r="A57" s="215" t="s">
        <v>307</v>
      </c>
      <c r="B57" s="134">
        <v>0</v>
      </c>
      <c r="C57" s="135">
        <v>0</v>
      </c>
      <c r="D57" s="135">
        <v>0</v>
      </c>
      <c r="E57" s="135">
        <v>0</v>
      </c>
      <c r="F57" s="135">
        <v>0</v>
      </c>
      <c r="G57" s="135">
        <v>0</v>
      </c>
      <c r="H57" s="135">
        <v>0</v>
      </c>
      <c r="I57" s="135">
        <v>0</v>
      </c>
      <c r="J57" s="135">
        <v>0</v>
      </c>
      <c r="K57" s="136">
        <v>6416.36</v>
      </c>
      <c r="L57" s="137">
        <v>0</v>
      </c>
      <c r="M57" s="138">
        <v>6416</v>
      </c>
      <c r="N57" s="134">
        <v>0</v>
      </c>
      <c r="O57" s="135">
        <v>0</v>
      </c>
      <c r="P57" s="135">
        <v>0</v>
      </c>
      <c r="Q57" s="135">
        <v>0</v>
      </c>
      <c r="R57" s="135">
        <v>0</v>
      </c>
      <c r="S57" s="135">
        <v>0</v>
      </c>
      <c r="T57" s="135">
        <v>0</v>
      </c>
      <c r="U57" s="135">
        <v>0</v>
      </c>
      <c r="V57" s="135">
        <v>0</v>
      </c>
      <c r="W57" s="135">
        <v>1779</v>
      </c>
      <c r="X57" s="135">
        <v>0</v>
      </c>
      <c r="Y57" s="138">
        <v>1779</v>
      </c>
      <c r="Z57" s="139">
        <v>0</v>
      </c>
      <c r="AA57" s="134">
        <v>8195</v>
      </c>
      <c r="AB57" s="135">
        <v>2251</v>
      </c>
      <c r="AC57" s="138">
        <v>0</v>
      </c>
      <c r="AD57" s="134">
        <v>0</v>
      </c>
      <c r="AE57" s="135">
        <v>0</v>
      </c>
      <c r="AF57" s="135">
        <v>0</v>
      </c>
      <c r="AG57" s="135">
        <v>0</v>
      </c>
      <c r="AH57" s="135">
        <v>0</v>
      </c>
      <c r="AI57" s="135">
        <v>0</v>
      </c>
      <c r="AJ57" s="135">
        <v>0</v>
      </c>
      <c r="AK57" s="141">
        <v>0</v>
      </c>
      <c r="AL57" s="142">
        <v>0</v>
      </c>
      <c r="AM57" s="135">
        <v>0</v>
      </c>
      <c r="AN57" s="138">
        <v>0</v>
      </c>
      <c r="AO57" s="139">
        <v>0</v>
      </c>
      <c r="AP57" s="139">
        <v>0</v>
      </c>
      <c r="AQ57" s="139">
        <v>0</v>
      </c>
      <c r="AR57" s="139">
        <v>0</v>
      </c>
      <c r="AS57" s="134">
        <v>0</v>
      </c>
      <c r="AT57" s="135">
        <v>0</v>
      </c>
      <c r="AU57" s="135">
        <v>0</v>
      </c>
      <c r="AV57" s="138">
        <v>0</v>
      </c>
      <c r="AW57" s="134">
        <v>0</v>
      </c>
      <c r="AX57" s="135">
        <v>4813</v>
      </c>
      <c r="AY57" s="135">
        <v>3485</v>
      </c>
      <c r="AZ57" s="138">
        <v>1440</v>
      </c>
      <c r="BA57" s="134">
        <v>9738</v>
      </c>
      <c r="BB57" s="135">
        <v>0</v>
      </c>
      <c r="BC57" s="135">
        <v>0</v>
      </c>
      <c r="BD57" s="138">
        <v>0</v>
      </c>
      <c r="BE57" s="134">
        <v>0</v>
      </c>
      <c r="BF57" s="135">
        <v>9738</v>
      </c>
      <c r="BG57" s="143" t="s">
        <v>223</v>
      </c>
      <c r="BH57" s="135">
        <v>9738</v>
      </c>
      <c r="BI57" s="135">
        <v>61392</v>
      </c>
      <c r="BJ57" s="138">
        <v>53649</v>
      </c>
      <c r="BK57" s="593">
        <v>0.87387000000000004</v>
      </c>
      <c r="BL57" s="145">
        <v>15.91</v>
      </c>
      <c r="BM57" s="143" t="s">
        <v>272</v>
      </c>
      <c r="BN57" s="145">
        <v>18.91</v>
      </c>
      <c r="BO57" s="181" t="s">
        <v>272</v>
      </c>
      <c r="BP57" s="179">
        <v>515</v>
      </c>
      <c r="BQ57" s="606">
        <v>0</v>
      </c>
      <c r="BR57" s="179">
        <v>4267</v>
      </c>
      <c r="BS57" s="180" t="s">
        <v>300</v>
      </c>
      <c r="BT57" s="143" t="s">
        <v>225</v>
      </c>
      <c r="BU57" s="143" t="s">
        <v>226</v>
      </c>
      <c r="BV57" s="143" t="s">
        <v>247</v>
      </c>
      <c r="BW57" s="143" t="s">
        <v>248</v>
      </c>
      <c r="BX57" s="143" t="s">
        <v>276</v>
      </c>
      <c r="BY57" s="143" t="s">
        <v>230</v>
      </c>
      <c r="BZ57" s="143" t="s">
        <v>229</v>
      </c>
      <c r="CA57" s="143" t="s">
        <v>233</v>
      </c>
      <c r="CB57" s="143" t="s">
        <v>232</v>
      </c>
      <c r="CC57" s="143" t="s">
        <v>289</v>
      </c>
      <c r="CD57" s="143" t="s">
        <v>249</v>
      </c>
      <c r="CE57" s="143" t="s">
        <v>221</v>
      </c>
      <c r="CF57" s="181" t="s">
        <v>234</v>
      </c>
      <c r="CG57" s="238"/>
      <c r="CH57" s="239"/>
    </row>
    <row r="58" spans="1:86" ht="15.75" customHeight="1" x14ac:dyDescent="0.35">
      <c r="A58" s="215" t="s">
        <v>308</v>
      </c>
      <c r="B58" s="134">
        <v>0</v>
      </c>
      <c r="C58" s="135">
        <v>0</v>
      </c>
      <c r="D58" s="135">
        <v>0</v>
      </c>
      <c r="E58" s="135">
        <v>0</v>
      </c>
      <c r="F58" s="135">
        <v>0</v>
      </c>
      <c r="G58" s="135">
        <v>0</v>
      </c>
      <c r="H58" s="135">
        <v>0</v>
      </c>
      <c r="I58" s="135">
        <v>0</v>
      </c>
      <c r="J58" s="135">
        <v>0</v>
      </c>
      <c r="K58" s="136">
        <v>0.37</v>
      </c>
      <c r="L58" s="137">
        <v>0</v>
      </c>
      <c r="M58" s="138">
        <v>0</v>
      </c>
      <c r="N58" s="134">
        <v>0</v>
      </c>
      <c r="O58" s="135">
        <v>0</v>
      </c>
      <c r="P58" s="135">
        <v>0</v>
      </c>
      <c r="Q58" s="135">
        <v>0</v>
      </c>
      <c r="R58" s="135">
        <v>0</v>
      </c>
      <c r="S58" s="135">
        <v>0</v>
      </c>
      <c r="T58" s="135">
        <v>0</v>
      </c>
      <c r="U58" s="135">
        <v>0</v>
      </c>
      <c r="V58" s="135">
        <v>0</v>
      </c>
      <c r="W58" s="135">
        <v>0</v>
      </c>
      <c r="X58" s="135">
        <v>0</v>
      </c>
      <c r="Y58" s="138">
        <v>0</v>
      </c>
      <c r="Z58" s="139">
        <v>0</v>
      </c>
      <c r="AA58" s="134">
        <v>0</v>
      </c>
      <c r="AB58" s="135">
        <v>0</v>
      </c>
      <c r="AC58" s="138">
        <v>0</v>
      </c>
      <c r="AD58" s="134">
        <v>0</v>
      </c>
      <c r="AE58" s="135">
        <v>0</v>
      </c>
      <c r="AF58" s="135">
        <v>0</v>
      </c>
      <c r="AG58" s="135">
        <v>0</v>
      </c>
      <c r="AH58" s="135">
        <v>0</v>
      </c>
      <c r="AI58" s="135">
        <v>0</v>
      </c>
      <c r="AJ58" s="135">
        <v>0</v>
      </c>
      <c r="AK58" s="141">
        <v>0</v>
      </c>
      <c r="AL58" s="142">
        <v>0</v>
      </c>
      <c r="AM58" s="135">
        <v>0</v>
      </c>
      <c r="AN58" s="138">
        <v>0</v>
      </c>
      <c r="AO58" s="139">
        <v>0</v>
      </c>
      <c r="AP58" s="139">
        <v>0</v>
      </c>
      <c r="AQ58" s="139">
        <v>0</v>
      </c>
      <c r="AR58" s="139">
        <v>0</v>
      </c>
      <c r="AS58" s="134">
        <v>0</v>
      </c>
      <c r="AT58" s="135">
        <v>0</v>
      </c>
      <c r="AU58" s="135">
        <v>0</v>
      </c>
      <c r="AV58" s="138">
        <v>0</v>
      </c>
      <c r="AW58" s="134">
        <v>0</v>
      </c>
      <c r="AX58" s="135">
        <v>0</v>
      </c>
      <c r="AY58" s="135">
        <v>0</v>
      </c>
      <c r="AZ58" s="138">
        <v>0</v>
      </c>
      <c r="BA58" s="180"/>
      <c r="BB58" s="135">
        <v>0</v>
      </c>
      <c r="BC58" s="135">
        <v>0</v>
      </c>
      <c r="BD58" s="138">
        <v>0</v>
      </c>
      <c r="BE58" s="180"/>
      <c r="BF58" s="135">
        <v>0</v>
      </c>
      <c r="BG58" s="143" t="s">
        <v>223</v>
      </c>
      <c r="BH58" s="135">
        <v>0</v>
      </c>
      <c r="BI58" s="135">
        <v>0</v>
      </c>
      <c r="BJ58" s="138">
        <v>0</v>
      </c>
      <c r="BK58" s="180" t="s">
        <v>272</v>
      </c>
      <c r="BL58" s="143" t="s">
        <v>272</v>
      </c>
      <c r="BM58" s="143" t="s">
        <v>272</v>
      </c>
      <c r="BN58" s="143" t="s">
        <v>272</v>
      </c>
      <c r="BO58" s="181" t="s">
        <v>272</v>
      </c>
      <c r="BP58" s="607">
        <v>0</v>
      </c>
      <c r="BQ58" s="605">
        <v>0</v>
      </c>
      <c r="BR58" s="615">
        <v>0</v>
      </c>
      <c r="BS58" s="180"/>
      <c r="BT58" s="143"/>
      <c r="BU58" s="143"/>
      <c r="BV58" s="143"/>
      <c r="BW58" s="143"/>
      <c r="BX58" s="143"/>
      <c r="BY58" s="143"/>
      <c r="BZ58" s="143"/>
      <c r="CA58" s="143"/>
      <c r="CB58" s="143"/>
      <c r="CC58" s="143"/>
      <c r="CD58" s="143"/>
      <c r="CE58" s="143"/>
      <c r="CF58" s="181"/>
      <c r="CG58" s="238"/>
      <c r="CH58" s="239"/>
    </row>
    <row r="59" spans="1:86" ht="15.75" customHeight="1" x14ac:dyDescent="0.35">
      <c r="A59" s="216" t="s">
        <v>309</v>
      </c>
      <c r="B59" s="217">
        <v>0</v>
      </c>
      <c r="C59" s="218">
        <v>0</v>
      </c>
      <c r="D59" s="218">
        <v>0</v>
      </c>
      <c r="E59" s="218">
        <v>0</v>
      </c>
      <c r="F59" s="218">
        <v>0</v>
      </c>
      <c r="G59" s="218">
        <v>0</v>
      </c>
      <c r="H59" s="218">
        <v>0</v>
      </c>
      <c r="I59" s="218">
        <v>0</v>
      </c>
      <c r="J59" s="218">
        <v>0</v>
      </c>
      <c r="K59" s="219">
        <v>2392.1999999999998</v>
      </c>
      <c r="L59" s="220">
        <v>0</v>
      </c>
      <c r="M59" s="138">
        <v>2392</v>
      </c>
      <c r="N59" s="134">
        <v>0</v>
      </c>
      <c r="O59" s="135">
        <v>0</v>
      </c>
      <c r="P59" s="135">
        <v>0</v>
      </c>
      <c r="Q59" s="135">
        <v>0</v>
      </c>
      <c r="R59" s="135">
        <v>0</v>
      </c>
      <c r="S59" s="135">
        <v>0</v>
      </c>
      <c r="T59" s="135">
        <v>0</v>
      </c>
      <c r="U59" s="135">
        <v>0</v>
      </c>
      <c r="V59" s="135">
        <v>0</v>
      </c>
      <c r="W59" s="135">
        <v>0</v>
      </c>
      <c r="X59" s="135">
        <v>0</v>
      </c>
      <c r="Y59" s="138">
        <v>0</v>
      </c>
      <c r="Z59" s="139">
        <v>0</v>
      </c>
      <c r="AA59" s="217">
        <v>2392</v>
      </c>
      <c r="AB59" s="135">
        <v>0</v>
      </c>
      <c r="AC59" s="138">
        <v>0</v>
      </c>
      <c r="AD59" s="217">
        <v>0</v>
      </c>
      <c r="AE59" s="218">
        <v>0</v>
      </c>
      <c r="AF59" s="218">
        <v>0</v>
      </c>
      <c r="AG59" s="218">
        <v>0</v>
      </c>
      <c r="AH59" s="218">
        <v>0</v>
      </c>
      <c r="AI59" s="218">
        <v>0</v>
      </c>
      <c r="AJ59" s="135">
        <v>0</v>
      </c>
      <c r="AK59" s="141">
        <v>0</v>
      </c>
      <c r="AL59" s="221">
        <v>0</v>
      </c>
      <c r="AM59" s="218">
        <v>0</v>
      </c>
      <c r="AN59" s="138">
        <v>0</v>
      </c>
      <c r="AO59" s="139">
        <v>0</v>
      </c>
      <c r="AP59" s="139">
        <v>0</v>
      </c>
      <c r="AQ59" s="139">
        <v>0</v>
      </c>
      <c r="AR59" s="139">
        <v>0</v>
      </c>
      <c r="AS59" s="134">
        <v>0</v>
      </c>
      <c r="AT59" s="218">
        <v>0</v>
      </c>
      <c r="AU59" s="218">
        <v>0</v>
      </c>
      <c r="AV59" s="138">
        <v>0</v>
      </c>
      <c r="AW59" s="217">
        <v>0</v>
      </c>
      <c r="AX59" s="135">
        <v>2414</v>
      </c>
      <c r="AY59" s="135">
        <v>0</v>
      </c>
      <c r="AZ59" s="138">
        <v>0</v>
      </c>
      <c r="BA59" s="243"/>
      <c r="BB59" s="135">
        <v>0</v>
      </c>
      <c r="BC59" s="135">
        <v>0</v>
      </c>
      <c r="BD59" s="138">
        <v>0</v>
      </c>
      <c r="BE59" s="243"/>
      <c r="BF59" s="218">
        <v>0</v>
      </c>
      <c r="BG59" s="222" t="s">
        <v>223</v>
      </c>
      <c r="BH59" s="135">
        <v>0</v>
      </c>
      <c r="BI59" s="135">
        <v>0</v>
      </c>
      <c r="BJ59" s="138">
        <v>0</v>
      </c>
      <c r="BK59" s="180" t="s">
        <v>272</v>
      </c>
      <c r="BL59" s="143" t="s">
        <v>272</v>
      </c>
      <c r="BM59" s="143" t="s">
        <v>272</v>
      </c>
      <c r="BN59" s="143" t="s">
        <v>272</v>
      </c>
      <c r="BO59" s="181" t="s">
        <v>272</v>
      </c>
      <c r="BP59" s="626">
        <v>0</v>
      </c>
      <c r="BQ59" s="627">
        <v>0</v>
      </c>
      <c r="BR59" s="628">
        <v>0</v>
      </c>
      <c r="BS59" s="243"/>
      <c r="BT59" s="222"/>
      <c r="BU59" s="222"/>
      <c r="BV59" s="222"/>
      <c r="BW59" s="222"/>
      <c r="BX59" s="222"/>
      <c r="BY59" s="222"/>
      <c r="BZ59" s="222"/>
      <c r="CA59" s="222"/>
      <c r="CB59" s="222"/>
      <c r="CC59" s="222"/>
      <c r="CD59" s="222"/>
      <c r="CE59" s="222"/>
      <c r="CF59" s="244"/>
      <c r="CG59" s="238"/>
      <c r="CH59" s="239"/>
    </row>
    <row r="60" spans="1:86" ht="15.75" customHeight="1" x14ac:dyDescent="0.35">
      <c r="A60" s="245"/>
      <c r="B60" s="245"/>
      <c r="C60" s="245"/>
      <c r="D60" s="245"/>
      <c r="E60" s="245"/>
      <c r="F60" s="245"/>
      <c r="G60" s="245"/>
      <c r="H60" s="245"/>
      <c r="I60" s="245"/>
      <c r="J60" s="245"/>
      <c r="K60" s="245"/>
      <c r="L60" s="245"/>
      <c r="M60" s="246"/>
      <c r="N60" s="246"/>
      <c r="O60" s="246"/>
      <c r="P60" s="246"/>
      <c r="Q60" s="246"/>
      <c r="R60" s="246"/>
      <c r="S60" s="246"/>
      <c r="T60" s="246"/>
      <c r="U60" s="246"/>
      <c r="V60" s="246"/>
      <c r="W60" s="246"/>
      <c r="X60" s="246"/>
      <c r="Y60" s="246"/>
      <c r="Z60" s="246"/>
      <c r="AA60" s="245"/>
      <c r="AB60" s="246"/>
      <c r="AC60" s="246"/>
      <c r="AD60" s="245"/>
      <c r="AE60" s="245"/>
      <c r="AF60" s="245"/>
      <c r="AG60" s="245"/>
      <c r="AH60" s="245"/>
      <c r="AI60" s="245"/>
      <c r="AJ60" s="246"/>
      <c r="AK60" s="246"/>
      <c r="AL60" s="245"/>
      <c r="AM60" s="245"/>
      <c r="AN60" s="246"/>
      <c r="AO60" s="246"/>
      <c r="AP60" s="246"/>
      <c r="AQ60" s="246"/>
      <c r="AR60" s="246"/>
      <c r="AS60" s="246"/>
      <c r="AT60" s="245"/>
      <c r="AU60" s="245"/>
      <c r="AV60" s="246"/>
      <c r="AW60" s="245"/>
      <c r="AX60" s="246"/>
      <c r="AY60" s="246"/>
      <c r="AZ60" s="246"/>
      <c r="BA60" s="245"/>
      <c r="BB60" s="246"/>
      <c r="BC60" s="246"/>
      <c r="BD60" s="246"/>
      <c r="BE60" s="245"/>
      <c r="BF60" s="245"/>
      <c r="BG60" s="245"/>
      <c r="BH60" s="246"/>
      <c r="BI60" s="246"/>
      <c r="BJ60" s="246"/>
      <c r="BK60" s="246"/>
      <c r="BL60" s="246"/>
      <c r="BM60" s="246"/>
      <c r="BN60" s="246"/>
      <c r="BO60" s="246"/>
      <c r="BP60" s="245"/>
      <c r="BQ60" s="245"/>
      <c r="BR60" s="245"/>
      <c r="BS60" s="245"/>
      <c r="BT60" s="245"/>
      <c r="BU60" s="245"/>
      <c r="BV60" s="245"/>
      <c r="BW60" s="245"/>
      <c r="BX60" s="245"/>
      <c r="BY60" s="245"/>
      <c r="BZ60" s="245"/>
      <c r="CA60" s="245"/>
      <c r="CB60" s="245"/>
      <c r="CC60" s="245"/>
      <c r="CD60" s="245"/>
      <c r="CE60" s="245"/>
      <c r="CF60" s="245"/>
    </row>
    <row r="61" spans="1:86" ht="15.75" customHeight="1" x14ac:dyDescent="0.25"/>
    <row r="62" spans="1:86" ht="15.75" customHeight="1" x14ac:dyDescent="0.25"/>
    <row r="63" spans="1:86" ht="46.75" customHeight="1" x14ac:dyDescent="0.25">
      <c r="A63" s="223" t="s">
        <v>310</v>
      </c>
      <c r="B63" s="652" t="s">
        <v>311</v>
      </c>
      <c r="C63" s="653"/>
      <c r="D63" s="653"/>
      <c r="E63" s="653"/>
      <c r="F63" s="653"/>
      <c r="G63" s="653"/>
      <c r="H63" s="653"/>
    </row>
    <row r="64" spans="1:86" ht="15.75" customHeight="1" x14ac:dyDescent="0.25">
      <c r="B64" s="653"/>
      <c r="C64" s="653"/>
      <c r="D64" s="653"/>
      <c r="E64" s="653"/>
      <c r="F64" s="653"/>
      <c r="G64" s="653"/>
      <c r="H64" s="653"/>
    </row>
    <row r="65" spans="2:8" ht="15.75" customHeight="1" x14ac:dyDescent="0.25">
      <c r="B65" s="653"/>
      <c r="C65" s="653"/>
      <c r="D65" s="653"/>
      <c r="E65" s="653"/>
      <c r="F65" s="653"/>
      <c r="G65" s="653"/>
      <c r="H65" s="653"/>
    </row>
  </sheetData>
  <mergeCells count="41">
    <mergeCell ref="B2:I2"/>
    <mergeCell ref="J2:L2"/>
    <mergeCell ref="M2:M3"/>
    <mergeCell ref="B1:AA1"/>
    <mergeCell ref="N2:U2"/>
    <mergeCell ref="V2:X2"/>
    <mergeCell ref="Y2:Y3"/>
    <mergeCell ref="Z2:Z3"/>
    <mergeCell ref="AL2:AM2"/>
    <mergeCell ref="AD1:AW1"/>
    <mergeCell ref="AN2:AN3"/>
    <mergeCell ref="AO2:AU2"/>
    <mergeCell ref="AV2:AV3"/>
    <mergeCell ref="AW2:AW3"/>
    <mergeCell ref="BI1:BI3"/>
    <mergeCell ref="BJ1:BJ3"/>
    <mergeCell ref="BL1:BL3"/>
    <mergeCell ref="BK1:BK3"/>
    <mergeCell ref="B63:H65"/>
    <mergeCell ref="AX2:AZ2"/>
    <mergeCell ref="BA2:BA3"/>
    <mergeCell ref="AX1:BH1"/>
    <mergeCell ref="BB2:BD2"/>
    <mergeCell ref="BF2:BG2"/>
    <mergeCell ref="BE2:BE3"/>
    <mergeCell ref="BH2:BH3"/>
    <mergeCell ref="AB1:AB3"/>
    <mergeCell ref="AA2:AA3"/>
    <mergeCell ref="AC1:AC3"/>
    <mergeCell ref="AD2:AJ2"/>
    <mergeCell ref="BN1:BN3"/>
    <mergeCell ref="BM1:BM3"/>
    <mergeCell ref="BO1:BO3"/>
    <mergeCell ref="BP1:BP3"/>
    <mergeCell ref="BR1:BR3"/>
    <mergeCell ref="BQ1:BQ3"/>
    <mergeCell ref="BS2:BW2"/>
    <mergeCell ref="BX2:BZ2"/>
    <mergeCell ref="BS1:CF1"/>
    <mergeCell ref="CA2:CD2"/>
    <mergeCell ref="CE2:CF2"/>
  </mergeCells>
  <conditionalFormatting sqref="W3:X3 AL3:AM3 AT3:AU3">
    <cfRule type="cellIs" dxfId="2" priority="1" operator="equal">
      <formula>"FIX NEEDED"</formula>
    </cfRule>
  </conditionalFormatting>
  <conditionalFormatting sqref="BG1">
    <cfRule type="cellIs" dxfId="1" priority="3" operator="equal">
      <formula>"FIX NEEDED"</formula>
    </cfRule>
  </conditionalFormatting>
  <conditionalFormatting sqref="BG3">
    <cfRule type="cellIs" dxfId="0" priority="2" operator="equal">
      <formula>"FIX NEEDED"</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21"/>
  <sheetViews>
    <sheetView zoomScale="60" zoomScaleNormal="60" workbookViewId="0">
      <pane ySplit="2" topLeftCell="A11" activePane="bottomLeft" state="frozen"/>
      <selection pane="bottomLeft" activeCell="T4" sqref="N4:T4"/>
    </sheetView>
  </sheetViews>
  <sheetFormatPr defaultColWidth="13.1796875" defaultRowHeight="12.5" x14ac:dyDescent="0.25"/>
  <cols>
    <col min="1" max="1" width="52" customWidth="1"/>
    <col min="2" max="2" width="37.81640625" customWidth="1"/>
    <col min="3" max="5" width="21.81640625" customWidth="1"/>
    <col min="6" max="6" width="0" hidden="1"/>
    <col min="7" max="20" width="21.81640625" customWidth="1"/>
    <col min="21" max="21" width="15" customWidth="1"/>
    <col min="22" max="72" width="9.26953125" customWidth="1"/>
  </cols>
  <sheetData>
    <row r="1" spans="1:21" ht="17.5" customHeight="1" thickBot="1" x14ac:dyDescent="0.3">
      <c r="B1" s="661" t="s">
        <v>312</v>
      </c>
      <c r="C1" s="670"/>
      <c r="D1" s="670"/>
      <c r="E1" s="670"/>
      <c r="F1" s="670"/>
      <c r="G1" s="670"/>
      <c r="H1" s="662"/>
      <c r="I1" s="661" t="s">
        <v>313</v>
      </c>
      <c r="J1" s="670"/>
      <c r="K1" s="670"/>
      <c r="L1" s="670"/>
      <c r="M1" s="670"/>
      <c r="N1" s="670"/>
      <c r="O1" s="670"/>
      <c r="P1" s="670"/>
      <c r="Q1" s="662"/>
      <c r="R1" s="661" t="s">
        <v>314</v>
      </c>
      <c r="S1" s="670"/>
      <c r="T1" s="662"/>
      <c r="U1" s="225"/>
    </row>
    <row r="2" spans="1:21" ht="34.15" customHeight="1" thickBot="1" x14ac:dyDescent="0.3">
      <c r="A2" s="318"/>
      <c r="B2" s="247" t="s">
        <v>315</v>
      </c>
      <c r="C2" s="248" t="s">
        <v>316</v>
      </c>
      <c r="D2" s="248" t="s">
        <v>317</v>
      </c>
      <c r="E2" s="248" t="s">
        <v>318</v>
      </c>
      <c r="F2" s="248" t="s">
        <v>319</v>
      </c>
      <c r="G2" s="249" t="s">
        <v>320</v>
      </c>
      <c r="H2" s="250" t="s">
        <v>321</v>
      </c>
      <c r="I2" s="247" t="s">
        <v>322</v>
      </c>
      <c r="J2" s="248" t="s">
        <v>323</v>
      </c>
      <c r="K2" s="248" t="s">
        <v>324</v>
      </c>
      <c r="L2" s="248" t="s">
        <v>325</v>
      </c>
      <c r="M2" s="248" t="s">
        <v>326</v>
      </c>
      <c r="N2" s="248" t="s">
        <v>327</v>
      </c>
      <c r="O2" s="248" t="s">
        <v>328</v>
      </c>
      <c r="P2" s="248" t="s">
        <v>329</v>
      </c>
      <c r="Q2" s="251" t="s">
        <v>330</v>
      </c>
      <c r="R2" s="247" t="s">
        <v>127</v>
      </c>
      <c r="S2" s="248" t="s">
        <v>128</v>
      </c>
      <c r="T2" s="251" t="s">
        <v>129</v>
      </c>
      <c r="U2" s="225"/>
    </row>
    <row r="3" spans="1:21" ht="16.75" customHeight="1" x14ac:dyDescent="0.25">
      <c r="A3" s="252" t="s">
        <v>72</v>
      </c>
      <c r="B3" s="253">
        <v>5683000</v>
      </c>
      <c r="C3" s="254">
        <v>1265000</v>
      </c>
      <c r="D3" s="254">
        <v>676000</v>
      </c>
      <c r="E3" s="254">
        <v>6359000</v>
      </c>
      <c r="F3" s="254">
        <v>0</v>
      </c>
      <c r="G3" s="255">
        <v>0.99</v>
      </c>
      <c r="H3" s="256">
        <v>4.3299999999999998E-2</v>
      </c>
      <c r="I3" s="253">
        <v>4423000</v>
      </c>
      <c r="J3" s="254">
        <v>266000</v>
      </c>
      <c r="K3" s="254">
        <v>12980000</v>
      </c>
      <c r="L3" s="254">
        <v>70561000</v>
      </c>
      <c r="M3" s="254">
        <v>88232000</v>
      </c>
      <c r="N3" s="598">
        <f>I3/(I3+K3)</f>
        <v>0.25415158306039187</v>
      </c>
      <c r="O3" s="257">
        <v>5.3099999999999994E-2</v>
      </c>
      <c r="P3" s="258">
        <v>13.77</v>
      </c>
      <c r="Q3" s="259">
        <v>0.6</v>
      </c>
      <c r="R3" s="253">
        <v>6007000</v>
      </c>
      <c r="S3" s="254">
        <v>443028000</v>
      </c>
      <c r="T3" s="260">
        <v>146770000</v>
      </c>
      <c r="U3" s="225"/>
    </row>
    <row r="4" spans="1:21" ht="16.75" customHeight="1" x14ac:dyDescent="0.25">
      <c r="A4" s="261" t="s">
        <v>331</v>
      </c>
      <c r="B4" s="262">
        <v>4000</v>
      </c>
      <c r="C4" s="262">
        <v>0</v>
      </c>
      <c r="D4" s="263">
        <v>0</v>
      </c>
      <c r="E4" s="264">
        <v>4000</v>
      </c>
      <c r="F4" s="319"/>
      <c r="G4" s="320"/>
      <c r="H4" s="321"/>
      <c r="I4" s="262">
        <v>0</v>
      </c>
      <c r="J4" s="262">
        <v>0</v>
      </c>
      <c r="K4" s="262">
        <v>0</v>
      </c>
      <c r="L4" s="262">
        <v>34000</v>
      </c>
      <c r="M4" s="265">
        <v>34000</v>
      </c>
      <c r="N4" s="618"/>
      <c r="O4" s="619"/>
      <c r="P4" s="619"/>
      <c r="Q4" s="620"/>
      <c r="R4" s="621"/>
      <c r="S4" s="622"/>
      <c r="T4" s="623"/>
      <c r="U4" s="225"/>
    </row>
    <row r="5" spans="1:21" ht="16.75" customHeight="1" x14ac:dyDescent="0.35">
      <c r="A5" s="261" t="s">
        <v>73</v>
      </c>
      <c r="B5" s="263">
        <v>995000</v>
      </c>
      <c r="C5" s="264">
        <v>337000</v>
      </c>
      <c r="D5" s="264">
        <v>337000</v>
      </c>
      <c r="E5" s="264">
        <v>1332000</v>
      </c>
      <c r="F5" s="264">
        <v>0</v>
      </c>
      <c r="G5" s="266">
        <v>0.5</v>
      </c>
      <c r="H5" s="267">
        <v>2.5999999999999999E-2</v>
      </c>
      <c r="I5" s="263">
        <v>1253000</v>
      </c>
      <c r="J5" s="264">
        <v>26000</v>
      </c>
      <c r="K5" s="264">
        <v>3924000</v>
      </c>
      <c r="L5" s="264">
        <v>13915000</v>
      </c>
      <c r="M5" s="264">
        <v>19119000</v>
      </c>
      <c r="N5" s="599">
        <f>I5/(I5+K5)</f>
        <v>0.24203206490245316</v>
      </c>
      <c r="O5" s="268">
        <v>6.6900000000000001E-2</v>
      </c>
      <c r="P5" s="269">
        <v>7.36</v>
      </c>
      <c r="Q5" s="270">
        <v>0.37</v>
      </c>
      <c r="R5" s="152">
        <v>1845000</v>
      </c>
      <c r="S5" s="153">
        <v>407621000</v>
      </c>
      <c r="T5" s="156">
        <v>51357000</v>
      </c>
      <c r="U5" s="225"/>
    </row>
    <row r="6" spans="1:21" ht="16.75" customHeight="1" x14ac:dyDescent="0.25">
      <c r="A6" s="271" t="s">
        <v>74</v>
      </c>
      <c r="B6" s="175">
        <v>346000</v>
      </c>
      <c r="C6" s="176">
        <v>0</v>
      </c>
      <c r="D6" s="176">
        <v>0</v>
      </c>
      <c r="E6" s="176">
        <v>346000</v>
      </c>
      <c r="F6" s="176">
        <v>0</v>
      </c>
      <c r="G6" s="272">
        <v>0.48899999999999999</v>
      </c>
      <c r="H6" s="273">
        <v>6.6000000000000003E-2</v>
      </c>
      <c r="I6" s="175">
        <v>208000</v>
      </c>
      <c r="J6" s="176">
        <v>0</v>
      </c>
      <c r="K6" s="176">
        <v>0</v>
      </c>
      <c r="L6" s="176">
        <v>4719000</v>
      </c>
      <c r="M6" s="176">
        <v>4928000</v>
      </c>
      <c r="N6" s="608"/>
      <c r="O6" s="274">
        <v>4.2200000000000001E-2</v>
      </c>
      <c r="P6" s="275">
        <v>6.96</v>
      </c>
      <c r="Q6" s="276">
        <v>0.93</v>
      </c>
      <c r="R6" s="175">
        <v>708000</v>
      </c>
      <c r="S6" s="605">
        <v>0</v>
      </c>
      <c r="T6" s="177">
        <v>5277000</v>
      </c>
      <c r="U6" s="322"/>
    </row>
    <row r="7" spans="1:21" ht="16.75" customHeight="1" x14ac:dyDescent="0.25">
      <c r="A7" s="277" t="s">
        <v>75</v>
      </c>
      <c r="B7" s="191">
        <v>346000</v>
      </c>
      <c r="C7" s="191">
        <v>0</v>
      </c>
      <c r="D7" s="278">
        <v>0</v>
      </c>
      <c r="E7" s="279">
        <v>346000</v>
      </c>
      <c r="F7" s="279">
        <v>0</v>
      </c>
      <c r="G7" s="280">
        <v>0.48899999999999999</v>
      </c>
      <c r="H7" s="281">
        <v>6.6000000000000003E-2</v>
      </c>
      <c r="I7" s="191">
        <v>208000</v>
      </c>
      <c r="J7" s="191">
        <v>0</v>
      </c>
      <c r="K7" s="191">
        <v>0</v>
      </c>
      <c r="L7" s="191">
        <v>4719000</v>
      </c>
      <c r="M7" s="278">
        <v>4928000</v>
      </c>
      <c r="N7" s="608"/>
      <c r="O7" s="283">
        <v>4.2200000000000001E-2</v>
      </c>
      <c r="P7" s="284">
        <v>6.96</v>
      </c>
      <c r="Q7" s="285">
        <v>0.93</v>
      </c>
      <c r="R7" s="191">
        <v>708000</v>
      </c>
      <c r="S7" s="606">
        <v>0</v>
      </c>
      <c r="T7" s="278">
        <v>5277000</v>
      </c>
      <c r="U7" s="323"/>
    </row>
    <row r="8" spans="1:21" ht="15" hidden="1" customHeight="1" x14ac:dyDescent="0.25">
      <c r="A8" s="277" t="s">
        <v>237</v>
      </c>
      <c r="B8" s="191">
        <v>0</v>
      </c>
      <c r="C8" s="191">
        <v>0</v>
      </c>
      <c r="D8" s="278">
        <v>0</v>
      </c>
      <c r="E8" s="279">
        <v>0</v>
      </c>
      <c r="F8" s="279">
        <v>0</v>
      </c>
      <c r="G8" s="286" t="s">
        <v>238</v>
      </c>
      <c r="H8" s="287" t="s">
        <v>238</v>
      </c>
      <c r="I8" s="191">
        <v>0</v>
      </c>
      <c r="J8" s="191">
        <v>0</v>
      </c>
      <c r="K8" s="191">
        <v>0</v>
      </c>
      <c r="L8" s="191">
        <v>0</v>
      </c>
      <c r="M8" s="288">
        <v>0</v>
      </c>
      <c r="N8" s="609"/>
      <c r="O8" s="282" t="s">
        <v>238</v>
      </c>
      <c r="P8" s="282" t="s">
        <v>238</v>
      </c>
      <c r="Q8" s="289" t="s">
        <v>238</v>
      </c>
      <c r="R8" s="191">
        <v>0</v>
      </c>
      <c r="S8" s="606">
        <v>0</v>
      </c>
      <c r="T8" s="278">
        <v>0</v>
      </c>
      <c r="U8" s="323"/>
    </row>
    <row r="9" spans="1:21" ht="15" customHeight="1" x14ac:dyDescent="0.25">
      <c r="A9" s="271" t="s">
        <v>76</v>
      </c>
      <c r="B9" s="175">
        <v>94000</v>
      </c>
      <c r="C9" s="176">
        <v>69000</v>
      </c>
      <c r="D9" s="176">
        <v>69000</v>
      </c>
      <c r="E9" s="176">
        <v>163000</v>
      </c>
      <c r="F9" s="176">
        <v>0</v>
      </c>
      <c r="G9" s="272">
        <v>0.79900000000000004</v>
      </c>
      <c r="H9" s="273">
        <v>4.2000000000000003E-2</v>
      </c>
      <c r="I9" s="175">
        <v>0</v>
      </c>
      <c r="J9" s="176">
        <v>0</v>
      </c>
      <c r="K9" s="176">
        <v>788000</v>
      </c>
      <c r="L9" s="176">
        <v>1411000</v>
      </c>
      <c r="M9" s="176">
        <v>2199000</v>
      </c>
      <c r="N9" s="608"/>
      <c r="O9" s="274">
        <v>0</v>
      </c>
      <c r="P9" s="275">
        <v>10.78</v>
      </c>
      <c r="Q9" s="276">
        <v>0.56999999999999995</v>
      </c>
      <c r="R9" s="175">
        <v>204000</v>
      </c>
      <c r="S9" s="605">
        <v>0</v>
      </c>
      <c r="T9" s="177">
        <v>3843000</v>
      </c>
      <c r="U9" s="322"/>
    </row>
    <row r="10" spans="1:21" ht="16.75" customHeight="1" x14ac:dyDescent="0.25">
      <c r="A10" s="277" t="s">
        <v>77</v>
      </c>
      <c r="B10" s="191">
        <v>94000</v>
      </c>
      <c r="C10" s="191">
        <v>69000</v>
      </c>
      <c r="D10" s="278">
        <v>69000</v>
      </c>
      <c r="E10" s="279">
        <v>163000</v>
      </c>
      <c r="F10" s="279">
        <v>0</v>
      </c>
      <c r="G10" s="280">
        <v>0.79900000000000004</v>
      </c>
      <c r="H10" s="281">
        <v>4.2000000000000003E-2</v>
      </c>
      <c r="I10" s="191">
        <v>0</v>
      </c>
      <c r="J10" s="191">
        <v>0</v>
      </c>
      <c r="K10" s="191">
        <v>788000</v>
      </c>
      <c r="L10" s="191">
        <v>1411000</v>
      </c>
      <c r="M10" s="288">
        <v>2199000</v>
      </c>
      <c r="N10" s="609"/>
      <c r="O10" s="283">
        <v>0</v>
      </c>
      <c r="P10" s="284">
        <v>10.78</v>
      </c>
      <c r="Q10" s="285">
        <v>0.56999999999999995</v>
      </c>
      <c r="R10" s="191">
        <v>204000</v>
      </c>
      <c r="S10" s="606">
        <v>0</v>
      </c>
      <c r="T10" s="278">
        <v>3843000</v>
      </c>
      <c r="U10" s="323"/>
    </row>
    <row r="11" spans="1:21" ht="16.75" customHeight="1" x14ac:dyDescent="0.25">
      <c r="A11" s="271" t="s">
        <v>78</v>
      </c>
      <c r="B11" s="175">
        <v>148000</v>
      </c>
      <c r="C11" s="176">
        <v>0</v>
      </c>
      <c r="D11" s="176">
        <v>0</v>
      </c>
      <c r="E11" s="176">
        <v>148000</v>
      </c>
      <c r="F11" s="176">
        <v>0</v>
      </c>
      <c r="G11" s="272">
        <v>0.35499999999999998</v>
      </c>
      <c r="H11" s="273">
        <v>1.7999999999999999E-2</v>
      </c>
      <c r="I11" s="175">
        <v>1045000</v>
      </c>
      <c r="J11" s="176">
        <v>0</v>
      </c>
      <c r="K11" s="176">
        <v>0</v>
      </c>
      <c r="L11" s="176">
        <v>2088000</v>
      </c>
      <c r="M11" s="176">
        <v>3133000</v>
      </c>
      <c r="N11" s="608"/>
      <c r="O11" s="274">
        <v>0.33350000000000002</v>
      </c>
      <c r="P11" s="275">
        <v>7.51</v>
      </c>
      <c r="Q11" s="276">
        <v>0.38</v>
      </c>
      <c r="R11" s="175">
        <v>417000</v>
      </c>
      <c r="S11" s="605">
        <v>0</v>
      </c>
      <c r="T11" s="177">
        <v>8222000</v>
      </c>
      <c r="U11" s="322"/>
    </row>
    <row r="12" spans="1:21" ht="16.75" customHeight="1" x14ac:dyDescent="0.25">
      <c r="A12" s="277" t="s">
        <v>79</v>
      </c>
      <c r="B12" s="191">
        <v>148000</v>
      </c>
      <c r="C12" s="191">
        <v>0</v>
      </c>
      <c r="D12" s="278">
        <v>0</v>
      </c>
      <c r="E12" s="279">
        <v>148000</v>
      </c>
      <c r="F12" s="279">
        <v>0</v>
      </c>
      <c r="G12" s="280">
        <v>0.35499999999999998</v>
      </c>
      <c r="H12" s="281">
        <v>1.7999999999999999E-2</v>
      </c>
      <c r="I12" s="191">
        <v>1045000</v>
      </c>
      <c r="J12" s="191">
        <v>0</v>
      </c>
      <c r="K12" s="191">
        <v>0</v>
      </c>
      <c r="L12" s="191">
        <v>2088000</v>
      </c>
      <c r="M12" s="288">
        <v>3133000</v>
      </c>
      <c r="N12" s="609"/>
      <c r="O12" s="283">
        <v>0.33350000000000002</v>
      </c>
      <c r="P12" s="284">
        <v>7.51</v>
      </c>
      <c r="Q12" s="285">
        <v>0.38</v>
      </c>
      <c r="R12" s="191">
        <v>417000</v>
      </c>
      <c r="S12" s="606">
        <v>0</v>
      </c>
      <c r="T12" s="278">
        <v>8222000</v>
      </c>
      <c r="U12" s="323"/>
    </row>
    <row r="13" spans="1:21" ht="16.75" customHeight="1" x14ac:dyDescent="0.25">
      <c r="A13" s="271" t="s">
        <v>80</v>
      </c>
      <c r="B13" s="175">
        <v>19000</v>
      </c>
      <c r="C13" s="176">
        <v>93000</v>
      </c>
      <c r="D13" s="176">
        <v>93000</v>
      </c>
      <c r="E13" s="176">
        <v>112000</v>
      </c>
      <c r="F13" s="176">
        <v>0</v>
      </c>
      <c r="G13" s="290">
        <v>0.79069999999999996</v>
      </c>
      <c r="H13" s="273">
        <v>0.04</v>
      </c>
      <c r="I13" s="175">
        <v>0</v>
      </c>
      <c r="J13" s="176">
        <v>0</v>
      </c>
      <c r="K13" s="176">
        <v>550000</v>
      </c>
      <c r="L13" s="176">
        <v>273000</v>
      </c>
      <c r="M13" s="176">
        <v>823000</v>
      </c>
      <c r="N13" s="608"/>
      <c r="O13" s="274">
        <v>0</v>
      </c>
      <c r="P13" s="291">
        <v>5.81</v>
      </c>
      <c r="Q13" s="276">
        <v>0.3</v>
      </c>
      <c r="R13" s="607">
        <v>0</v>
      </c>
      <c r="S13" s="176">
        <v>141654000</v>
      </c>
      <c r="T13" s="177">
        <v>2788000</v>
      </c>
      <c r="U13" s="322"/>
    </row>
    <row r="14" spans="1:21" ht="16.75" customHeight="1" x14ac:dyDescent="0.25">
      <c r="A14" s="277" t="s">
        <v>81</v>
      </c>
      <c r="B14" s="191">
        <v>19000</v>
      </c>
      <c r="C14" s="191">
        <v>93000</v>
      </c>
      <c r="D14" s="278">
        <v>93000</v>
      </c>
      <c r="E14" s="279">
        <v>112000</v>
      </c>
      <c r="F14" s="279">
        <v>0</v>
      </c>
      <c r="G14" s="292">
        <v>0.79100000000000004</v>
      </c>
      <c r="H14" s="281">
        <v>0.04</v>
      </c>
      <c r="I14" s="191">
        <v>0</v>
      </c>
      <c r="J14" s="191">
        <v>0</v>
      </c>
      <c r="K14" s="191">
        <v>550000</v>
      </c>
      <c r="L14" s="191">
        <v>273000</v>
      </c>
      <c r="M14" s="288">
        <v>823000</v>
      </c>
      <c r="N14" s="609"/>
      <c r="O14" s="283">
        <v>0</v>
      </c>
      <c r="P14" s="293">
        <v>5.81</v>
      </c>
      <c r="Q14" s="285">
        <v>0.3</v>
      </c>
      <c r="R14" s="606">
        <v>0</v>
      </c>
      <c r="S14" s="191">
        <v>141654000</v>
      </c>
      <c r="T14" s="278">
        <v>2788000</v>
      </c>
      <c r="U14" s="323"/>
    </row>
    <row r="15" spans="1:21" ht="16.75" customHeight="1" x14ac:dyDescent="0.25">
      <c r="A15" s="271" t="s">
        <v>82</v>
      </c>
      <c r="B15" s="175">
        <v>150000</v>
      </c>
      <c r="C15" s="176">
        <v>115000</v>
      </c>
      <c r="D15" s="176">
        <v>115000</v>
      </c>
      <c r="E15" s="176">
        <v>265000</v>
      </c>
      <c r="F15" s="176">
        <v>0</v>
      </c>
      <c r="G15" s="272">
        <v>0.51400000000000001</v>
      </c>
      <c r="H15" s="273">
        <v>0.06</v>
      </c>
      <c r="I15" s="175">
        <v>0</v>
      </c>
      <c r="J15" s="176">
        <v>26000</v>
      </c>
      <c r="K15" s="176">
        <v>1237000</v>
      </c>
      <c r="L15" s="176">
        <v>2057000</v>
      </c>
      <c r="M15" s="176">
        <v>3320000</v>
      </c>
      <c r="N15" s="608"/>
      <c r="O15" s="274">
        <v>7.8000000000000005E-3</v>
      </c>
      <c r="P15" s="275">
        <v>6.43</v>
      </c>
      <c r="Q15" s="276">
        <v>0.75</v>
      </c>
      <c r="R15" s="175">
        <v>516000</v>
      </c>
      <c r="S15" s="176">
        <v>5822000</v>
      </c>
      <c r="T15" s="177">
        <v>4430000</v>
      </c>
      <c r="U15" s="322"/>
    </row>
    <row r="16" spans="1:21" ht="16.75" customHeight="1" x14ac:dyDescent="0.25">
      <c r="A16" s="277" t="s">
        <v>83</v>
      </c>
      <c r="B16" s="191">
        <v>32000</v>
      </c>
      <c r="C16" s="191">
        <v>69000</v>
      </c>
      <c r="D16" s="278">
        <v>69000</v>
      </c>
      <c r="E16" s="279">
        <v>101000</v>
      </c>
      <c r="F16" s="279">
        <v>0</v>
      </c>
      <c r="G16" s="280">
        <v>0.47199999999999998</v>
      </c>
      <c r="H16" s="281">
        <v>9.6000000000000002E-2</v>
      </c>
      <c r="I16" s="191">
        <v>0</v>
      </c>
      <c r="J16" s="191">
        <v>26000</v>
      </c>
      <c r="K16" s="191">
        <v>739000</v>
      </c>
      <c r="L16" s="191">
        <v>406000</v>
      </c>
      <c r="M16" s="288">
        <v>1171000</v>
      </c>
      <c r="N16" s="609"/>
      <c r="O16" s="283">
        <v>2.2200000000000001E-2</v>
      </c>
      <c r="P16" s="284">
        <v>5.47</v>
      </c>
      <c r="Q16" s="285">
        <v>1.1200000000000001</v>
      </c>
      <c r="R16" s="191">
        <v>214000</v>
      </c>
      <c r="S16" s="191">
        <v>5822000</v>
      </c>
      <c r="T16" s="278">
        <v>1048000</v>
      </c>
      <c r="U16" s="323"/>
    </row>
    <row r="17" spans="1:21" ht="16.75" customHeight="1" x14ac:dyDescent="0.25">
      <c r="A17" s="277" t="s">
        <v>84</v>
      </c>
      <c r="B17" s="191">
        <v>7000</v>
      </c>
      <c r="C17" s="191">
        <v>1000</v>
      </c>
      <c r="D17" s="278">
        <v>1000</v>
      </c>
      <c r="E17" s="279">
        <v>8000</v>
      </c>
      <c r="F17" s="279">
        <v>0</v>
      </c>
      <c r="G17" s="286" t="s">
        <v>238</v>
      </c>
      <c r="H17" s="287" t="s">
        <v>238</v>
      </c>
      <c r="I17" s="191">
        <v>0</v>
      </c>
      <c r="J17" s="191">
        <v>0</v>
      </c>
      <c r="K17" s="191">
        <v>11000</v>
      </c>
      <c r="L17" s="191">
        <v>104000</v>
      </c>
      <c r="M17" s="288">
        <v>115000</v>
      </c>
      <c r="N17" s="609"/>
      <c r="O17" s="283">
        <v>0</v>
      </c>
      <c r="P17" s="282" t="s">
        <v>238</v>
      </c>
      <c r="Q17" s="289" t="s">
        <v>238</v>
      </c>
      <c r="R17" s="606">
        <v>0</v>
      </c>
      <c r="S17" s="606">
        <v>0</v>
      </c>
      <c r="T17" s="607">
        <v>0</v>
      </c>
      <c r="U17" s="323"/>
    </row>
    <row r="18" spans="1:21" ht="16.75" customHeight="1" x14ac:dyDescent="0.25">
      <c r="A18" s="277" t="s">
        <v>85</v>
      </c>
      <c r="B18" s="191">
        <v>111000</v>
      </c>
      <c r="C18" s="191">
        <v>45000</v>
      </c>
      <c r="D18" s="278">
        <v>45000</v>
      </c>
      <c r="E18" s="279">
        <v>156000</v>
      </c>
      <c r="F18" s="279">
        <v>0</v>
      </c>
      <c r="G18" s="280">
        <v>0.51700000000000002</v>
      </c>
      <c r="H18" s="281">
        <v>4.5999999999999999E-2</v>
      </c>
      <c r="I18" s="191">
        <v>0</v>
      </c>
      <c r="J18" s="191">
        <v>0</v>
      </c>
      <c r="K18" s="191">
        <v>487000</v>
      </c>
      <c r="L18" s="191">
        <v>1547000</v>
      </c>
      <c r="M18" s="288">
        <v>2034000</v>
      </c>
      <c r="N18" s="609"/>
      <c r="O18" s="283">
        <v>0</v>
      </c>
      <c r="P18" s="284">
        <v>6.74</v>
      </c>
      <c r="Q18" s="285">
        <v>0.6</v>
      </c>
      <c r="R18" s="191">
        <v>302000</v>
      </c>
      <c r="S18" s="606">
        <v>0</v>
      </c>
      <c r="T18" s="278">
        <v>3382000</v>
      </c>
      <c r="U18" s="323"/>
    </row>
    <row r="19" spans="1:21" ht="16.75" customHeight="1" x14ac:dyDescent="0.25">
      <c r="A19" s="271" t="s">
        <v>86</v>
      </c>
      <c r="B19" s="175">
        <v>238000</v>
      </c>
      <c r="C19" s="176">
        <v>60000</v>
      </c>
      <c r="D19" s="176">
        <v>60000</v>
      </c>
      <c r="E19" s="176">
        <v>298000</v>
      </c>
      <c r="F19" s="176">
        <v>0</v>
      </c>
      <c r="G19" s="290">
        <v>1.1455</v>
      </c>
      <c r="H19" s="273">
        <v>1.0999999999999999E-2</v>
      </c>
      <c r="I19" s="175">
        <v>0</v>
      </c>
      <c r="J19" s="176">
        <v>0</v>
      </c>
      <c r="K19" s="176">
        <v>1349000</v>
      </c>
      <c r="L19" s="176">
        <v>3367000</v>
      </c>
      <c r="M19" s="176">
        <v>4716000</v>
      </c>
      <c r="N19" s="608"/>
      <c r="O19" s="274">
        <v>0</v>
      </c>
      <c r="P19" s="291">
        <v>18.13</v>
      </c>
      <c r="Q19" s="276">
        <v>0.18</v>
      </c>
      <c r="R19" s="175">
        <v>0</v>
      </c>
      <c r="S19" s="176">
        <v>260145000</v>
      </c>
      <c r="T19" s="177">
        <v>26797000</v>
      </c>
      <c r="U19" s="322"/>
    </row>
    <row r="20" spans="1:21" ht="16.75" customHeight="1" x14ac:dyDescent="0.25">
      <c r="A20" s="277" t="s">
        <v>87</v>
      </c>
      <c r="B20" s="191">
        <v>238000</v>
      </c>
      <c r="C20" s="191">
        <v>60000</v>
      </c>
      <c r="D20" s="278">
        <v>60000</v>
      </c>
      <c r="E20" s="279">
        <v>298000</v>
      </c>
      <c r="F20" s="279">
        <v>0</v>
      </c>
      <c r="G20" s="292">
        <v>1.1459999999999999</v>
      </c>
      <c r="H20" s="281">
        <v>1.0999999999999999E-2</v>
      </c>
      <c r="I20" s="191">
        <v>0</v>
      </c>
      <c r="J20" s="191">
        <v>0</v>
      </c>
      <c r="K20" s="191">
        <v>1349000</v>
      </c>
      <c r="L20" s="191">
        <v>3367000</v>
      </c>
      <c r="M20" s="288">
        <v>4716000</v>
      </c>
      <c r="N20" s="609"/>
      <c r="O20" s="283">
        <v>0</v>
      </c>
      <c r="P20" s="293">
        <v>18.13</v>
      </c>
      <c r="Q20" s="285">
        <v>0.18</v>
      </c>
      <c r="R20" s="191">
        <v>0</v>
      </c>
      <c r="S20" s="191">
        <v>260145000</v>
      </c>
      <c r="T20" s="278">
        <v>26797000</v>
      </c>
      <c r="U20" s="323"/>
    </row>
    <row r="21" spans="1:21" ht="16.75" customHeight="1" x14ac:dyDescent="0.35">
      <c r="A21" s="261" t="s">
        <v>88</v>
      </c>
      <c r="B21" s="262">
        <v>2078000</v>
      </c>
      <c r="C21" s="262">
        <v>131000</v>
      </c>
      <c r="D21" s="262">
        <v>131000</v>
      </c>
      <c r="E21" s="263">
        <v>2209000</v>
      </c>
      <c r="F21" s="264">
        <v>0</v>
      </c>
      <c r="G21" s="266">
        <v>2.266</v>
      </c>
      <c r="H21" s="267">
        <v>6.0999999999999999E-2</v>
      </c>
      <c r="I21" s="262">
        <v>7000</v>
      </c>
      <c r="J21" s="262">
        <v>210000</v>
      </c>
      <c r="K21" s="262">
        <v>674000</v>
      </c>
      <c r="L21" s="262">
        <v>21392000</v>
      </c>
      <c r="M21" s="265">
        <v>22284000</v>
      </c>
      <c r="N21" s="600">
        <f>I21/(I21+K21)</f>
        <v>1.0279001468428781E-2</v>
      </c>
      <c r="O21" s="268">
        <v>9.7000000000000003E-3</v>
      </c>
      <c r="P21" s="269">
        <v>22.86</v>
      </c>
      <c r="Q21" s="270">
        <v>0.62</v>
      </c>
      <c r="R21" s="157">
        <v>975000</v>
      </c>
      <c r="S21" s="613">
        <v>0</v>
      </c>
      <c r="T21" s="152">
        <v>35961000</v>
      </c>
      <c r="U21" s="324"/>
    </row>
    <row r="22" spans="1:21" ht="16.75" customHeight="1" x14ac:dyDescent="0.25">
      <c r="A22" s="271" t="s">
        <v>89</v>
      </c>
      <c r="B22" s="175">
        <v>222000</v>
      </c>
      <c r="C22" s="176">
        <v>40000</v>
      </c>
      <c r="D22" s="176">
        <v>40000</v>
      </c>
      <c r="E22" s="176">
        <v>262000</v>
      </c>
      <c r="F22" s="176">
        <v>0</v>
      </c>
      <c r="G22" s="272">
        <v>0.63300000000000001</v>
      </c>
      <c r="H22" s="273">
        <v>0.01</v>
      </c>
      <c r="I22" s="175">
        <v>7000</v>
      </c>
      <c r="J22" s="176">
        <v>0</v>
      </c>
      <c r="K22" s="176">
        <v>0</v>
      </c>
      <c r="L22" s="176">
        <v>3480000</v>
      </c>
      <c r="M22" s="176">
        <v>3487000</v>
      </c>
      <c r="N22" s="608"/>
      <c r="O22" s="274">
        <v>2E-3</v>
      </c>
      <c r="P22" s="275">
        <v>8.42</v>
      </c>
      <c r="Q22" s="276">
        <v>0.13</v>
      </c>
      <c r="R22" s="175">
        <v>414000</v>
      </c>
      <c r="S22" s="605">
        <v>0</v>
      </c>
      <c r="T22" s="177">
        <v>27075000</v>
      </c>
      <c r="U22" s="322"/>
    </row>
    <row r="23" spans="1:21" ht="16.75" customHeight="1" x14ac:dyDescent="0.25">
      <c r="A23" s="277" t="s">
        <v>90</v>
      </c>
      <c r="B23" s="191">
        <v>222000</v>
      </c>
      <c r="C23" s="191">
        <v>40000</v>
      </c>
      <c r="D23" s="278">
        <v>40000</v>
      </c>
      <c r="E23" s="279">
        <v>262000</v>
      </c>
      <c r="F23" s="279">
        <v>0</v>
      </c>
      <c r="G23" s="280">
        <v>0.63300000000000001</v>
      </c>
      <c r="H23" s="281">
        <v>0.01</v>
      </c>
      <c r="I23" s="191">
        <v>7000</v>
      </c>
      <c r="J23" s="191">
        <v>0</v>
      </c>
      <c r="K23" s="191">
        <v>0</v>
      </c>
      <c r="L23" s="191">
        <v>3480000</v>
      </c>
      <c r="M23" s="288">
        <v>3487000</v>
      </c>
      <c r="N23" s="609"/>
      <c r="O23" s="283">
        <v>2E-3</v>
      </c>
      <c r="P23" s="284">
        <v>8.42</v>
      </c>
      <c r="Q23" s="285">
        <v>0.13</v>
      </c>
      <c r="R23" s="191">
        <v>414000</v>
      </c>
      <c r="S23" s="606">
        <v>0</v>
      </c>
      <c r="T23" s="278">
        <v>27075000</v>
      </c>
      <c r="U23" s="323"/>
    </row>
    <row r="24" spans="1:21" ht="15" hidden="1" customHeight="1" x14ac:dyDescent="0.35">
      <c r="A24" s="294" t="s">
        <v>94</v>
      </c>
      <c r="B24" s="278">
        <v>0</v>
      </c>
      <c r="C24" s="279">
        <v>0</v>
      </c>
      <c r="D24" s="279">
        <v>0</v>
      </c>
      <c r="E24" s="279">
        <v>0</v>
      </c>
      <c r="F24" s="282"/>
      <c r="G24" s="286" t="s">
        <v>238</v>
      </c>
      <c r="H24" s="287" t="s">
        <v>238</v>
      </c>
      <c r="I24" s="278">
        <v>0</v>
      </c>
      <c r="J24" s="279">
        <v>0</v>
      </c>
      <c r="K24" s="279">
        <v>0</v>
      </c>
      <c r="L24" s="279">
        <v>0</v>
      </c>
      <c r="M24" s="279">
        <v>0</v>
      </c>
      <c r="N24" s="608"/>
      <c r="O24" s="282" t="s">
        <v>238</v>
      </c>
      <c r="P24" s="282" t="s">
        <v>238</v>
      </c>
      <c r="Q24" s="289" t="s">
        <v>238</v>
      </c>
      <c r="R24" s="325"/>
      <c r="S24" s="614"/>
      <c r="T24" s="326"/>
      <c r="U24" s="322"/>
    </row>
    <row r="25" spans="1:21" ht="16.75" customHeight="1" x14ac:dyDescent="0.25">
      <c r="A25" s="271" t="s">
        <v>95</v>
      </c>
      <c r="B25" s="175">
        <v>1787000</v>
      </c>
      <c r="C25" s="176">
        <v>87000</v>
      </c>
      <c r="D25" s="176">
        <v>87000</v>
      </c>
      <c r="E25" s="176">
        <v>1874000</v>
      </c>
      <c r="F25" s="176">
        <v>0</v>
      </c>
      <c r="G25" s="272">
        <v>3.3519999999999999</v>
      </c>
      <c r="H25" s="273">
        <v>0.21099999999999999</v>
      </c>
      <c r="I25" s="175">
        <v>0</v>
      </c>
      <c r="J25" s="176">
        <v>0</v>
      </c>
      <c r="K25" s="176">
        <v>585000</v>
      </c>
      <c r="L25" s="176">
        <v>17163000</v>
      </c>
      <c r="M25" s="176">
        <v>17748000</v>
      </c>
      <c r="N25" s="608"/>
      <c r="O25" s="274">
        <v>0</v>
      </c>
      <c r="P25" s="275">
        <v>31.75</v>
      </c>
      <c r="Q25" s="276">
        <v>2</v>
      </c>
      <c r="R25" s="175">
        <v>559000</v>
      </c>
      <c r="S25" s="605">
        <v>0</v>
      </c>
      <c r="T25" s="177">
        <v>8886000</v>
      </c>
      <c r="U25" s="322"/>
    </row>
    <row r="26" spans="1:21" ht="16.75" customHeight="1" x14ac:dyDescent="0.25">
      <c r="A26" s="277" t="s">
        <v>96</v>
      </c>
      <c r="B26" s="191">
        <v>1787000</v>
      </c>
      <c r="C26" s="191">
        <v>87000</v>
      </c>
      <c r="D26" s="278">
        <v>87000</v>
      </c>
      <c r="E26" s="279">
        <v>1874000</v>
      </c>
      <c r="F26" s="279">
        <v>0</v>
      </c>
      <c r="G26" s="280">
        <v>3.3519999999999999</v>
      </c>
      <c r="H26" s="281">
        <v>0.21099999999999999</v>
      </c>
      <c r="I26" s="191">
        <v>0</v>
      </c>
      <c r="J26" s="191">
        <v>0</v>
      </c>
      <c r="K26" s="191">
        <v>585000</v>
      </c>
      <c r="L26" s="191">
        <v>17163000</v>
      </c>
      <c r="M26" s="288">
        <v>17748000</v>
      </c>
      <c r="N26" s="609"/>
      <c r="O26" s="283">
        <v>0</v>
      </c>
      <c r="P26" s="284">
        <v>31.75</v>
      </c>
      <c r="Q26" s="285">
        <v>2</v>
      </c>
      <c r="R26" s="191">
        <v>559000</v>
      </c>
      <c r="S26" s="606">
        <v>0</v>
      </c>
      <c r="T26" s="278">
        <v>8886000</v>
      </c>
      <c r="U26" s="323"/>
    </row>
    <row r="27" spans="1:21" ht="16.75" customHeight="1" x14ac:dyDescent="0.25">
      <c r="A27" s="271" t="s">
        <v>97</v>
      </c>
      <c r="B27" s="175">
        <v>16000</v>
      </c>
      <c r="C27" s="176">
        <v>4000</v>
      </c>
      <c r="D27" s="176">
        <v>4000</v>
      </c>
      <c r="E27" s="176">
        <v>20000</v>
      </c>
      <c r="F27" s="176">
        <v>0</v>
      </c>
      <c r="G27" s="272">
        <v>10</v>
      </c>
      <c r="H27" s="295" t="s">
        <v>272</v>
      </c>
      <c r="I27" s="175">
        <v>0</v>
      </c>
      <c r="J27" s="176">
        <v>210000</v>
      </c>
      <c r="K27" s="176">
        <v>89000</v>
      </c>
      <c r="L27" s="176">
        <v>-3000</v>
      </c>
      <c r="M27" s="176">
        <v>297000</v>
      </c>
      <c r="N27" s="608"/>
      <c r="O27" s="274">
        <v>0.70709999999999995</v>
      </c>
      <c r="P27" s="275">
        <v>148.5</v>
      </c>
      <c r="Q27" s="296" t="s">
        <v>272</v>
      </c>
      <c r="R27" s="175">
        <v>2000</v>
      </c>
      <c r="S27" s="605">
        <v>0</v>
      </c>
      <c r="T27" s="615">
        <v>0</v>
      </c>
      <c r="U27" s="322"/>
    </row>
    <row r="28" spans="1:21" ht="16.75" hidden="1" customHeight="1" x14ac:dyDescent="0.25">
      <c r="A28" s="277" t="s">
        <v>273</v>
      </c>
      <c r="B28" s="191">
        <v>0</v>
      </c>
      <c r="C28" s="191">
        <v>0</v>
      </c>
      <c r="D28" s="278">
        <v>0</v>
      </c>
      <c r="E28" s="279">
        <v>0</v>
      </c>
      <c r="F28" s="279">
        <v>0</v>
      </c>
      <c r="G28" s="286" t="s">
        <v>238</v>
      </c>
      <c r="H28" s="287" t="s">
        <v>272</v>
      </c>
      <c r="I28" s="191">
        <v>0</v>
      </c>
      <c r="J28" s="191">
        <v>0</v>
      </c>
      <c r="K28" s="191">
        <v>0</v>
      </c>
      <c r="L28" s="191">
        <v>0</v>
      </c>
      <c r="M28" s="288">
        <v>0</v>
      </c>
      <c r="N28" s="609"/>
      <c r="O28" s="282" t="s">
        <v>238</v>
      </c>
      <c r="P28" s="282" t="s">
        <v>238</v>
      </c>
      <c r="Q28" s="289" t="s">
        <v>272</v>
      </c>
      <c r="R28" s="191">
        <v>0</v>
      </c>
      <c r="S28" s="606">
        <v>0</v>
      </c>
      <c r="T28" s="607">
        <v>0</v>
      </c>
      <c r="U28" s="323"/>
    </row>
    <row r="29" spans="1:21" ht="16.75" customHeight="1" x14ac:dyDescent="0.25">
      <c r="A29" s="277" t="s">
        <v>98</v>
      </c>
      <c r="B29" s="191">
        <v>16000</v>
      </c>
      <c r="C29" s="191">
        <v>4000</v>
      </c>
      <c r="D29" s="278">
        <v>4000</v>
      </c>
      <c r="E29" s="279">
        <v>20000</v>
      </c>
      <c r="F29" s="279">
        <v>0</v>
      </c>
      <c r="G29" s="280">
        <v>10</v>
      </c>
      <c r="H29" s="287" t="s">
        <v>272</v>
      </c>
      <c r="I29" s="191">
        <v>0</v>
      </c>
      <c r="J29" s="191">
        <v>210000</v>
      </c>
      <c r="K29" s="191">
        <v>89000</v>
      </c>
      <c r="L29" s="191">
        <v>-3000</v>
      </c>
      <c r="M29" s="288">
        <v>297000</v>
      </c>
      <c r="N29" s="609"/>
      <c r="O29" s="283">
        <v>0.70709999999999995</v>
      </c>
      <c r="P29" s="284">
        <v>148.5</v>
      </c>
      <c r="Q29" s="289" t="s">
        <v>272</v>
      </c>
      <c r="R29" s="191">
        <v>2000</v>
      </c>
      <c r="S29" s="606">
        <v>0</v>
      </c>
      <c r="T29" s="607">
        <v>0</v>
      </c>
      <c r="U29" s="323"/>
    </row>
    <row r="30" spans="1:21" ht="16.75" customHeight="1" x14ac:dyDescent="0.25">
      <c r="A30" s="271" t="s">
        <v>99</v>
      </c>
      <c r="B30" s="175">
        <v>53000</v>
      </c>
      <c r="C30" s="176">
        <v>0</v>
      </c>
      <c r="D30" s="176">
        <v>0</v>
      </c>
      <c r="E30" s="176">
        <v>53000</v>
      </c>
      <c r="F30" s="176">
        <v>0</v>
      </c>
      <c r="G30" s="297" t="s">
        <v>238</v>
      </c>
      <c r="H30" s="295" t="s">
        <v>238</v>
      </c>
      <c r="I30" s="175">
        <v>0</v>
      </c>
      <c r="J30" s="176">
        <v>0</v>
      </c>
      <c r="K30" s="176">
        <v>0</v>
      </c>
      <c r="L30" s="176">
        <v>752000</v>
      </c>
      <c r="M30" s="176">
        <v>752000</v>
      </c>
      <c r="N30" s="608"/>
      <c r="O30" s="274">
        <v>0</v>
      </c>
      <c r="P30" s="608" t="s">
        <v>238</v>
      </c>
      <c r="Q30" s="612" t="s">
        <v>238</v>
      </c>
      <c r="R30" s="607">
        <v>0</v>
      </c>
      <c r="S30" s="605">
        <v>0</v>
      </c>
      <c r="T30" s="615">
        <v>0</v>
      </c>
      <c r="U30" s="322"/>
    </row>
    <row r="31" spans="1:21" ht="16.75" customHeight="1" x14ac:dyDescent="0.25">
      <c r="A31" s="277" t="s">
        <v>100</v>
      </c>
      <c r="B31" s="191">
        <v>53000</v>
      </c>
      <c r="C31" s="191">
        <v>0</v>
      </c>
      <c r="D31" s="278">
        <v>0</v>
      </c>
      <c r="E31" s="279">
        <v>53000</v>
      </c>
      <c r="F31" s="279">
        <v>0</v>
      </c>
      <c r="G31" s="286" t="s">
        <v>238</v>
      </c>
      <c r="H31" s="287" t="s">
        <v>238</v>
      </c>
      <c r="I31" s="191">
        <v>0</v>
      </c>
      <c r="J31" s="191">
        <v>0</v>
      </c>
      <c r="K31" s="191">
        <v>0</v>
      </c>
      <c r="L31" s="191">
        <v>752000</v>
      </c>
      <c r="M31" s="288">
        <v>752000</v>
      </c>
      <c r="N31" s="609"/>
      <c r="O31" s="283">
        <v>0</v>
      </c>
      <c r="P31" s="608" t="s">
        <v>238</v>
      </c>
      <c r="Q31" s="612" t="s">
        <v>238</v>
      </c>
      <c r="R31" s="606">
        <v>0</v>
      </c>
      <c r="S31" s="606">
        <v>0</v>
      </c>
      <c r="T31" s="607">
        <v>0</v>
      </c>
      <c r="U31" s="323"/>
    </row>
    <row r="32" spans="1:21" ht="16.75" customHeight="1" x14ac:dyDescent="0.35">
      <c r="A32" s="261" t="s">
        <v>103</v>
      </c>
      <c r="B32" s="263">
        <v>2606000</v>
      </c>
      <c r="C32" s="264">
        <v>797000</v>
      </c>
      <c r="D32" s="264">
        <v>208000</v>
      </c>
      <c r="E32" s="264">
        <v>2814000</v>
      </c>
      <c r="F32" s="264">
        <v>0</v>
      </c>
      <c r="G32" s="266">
        <v>0.88300000000000001</v>
      </c>
      <c r="H32" s="267">
        <v>4.7E-2</v>
      </c>
      <c r="I32" s="263">
        <v>3163000</v>
      </c>
      <c r="J32" s="264">
        <v>30000</v>
      </c>
      <c r="K32" s="264">
        <v>8382000</v>
      </c>
      <c r="L32" s="264">
        <v>35220000</v>
      </c>
      <c r="M32" s="264">
        <v>46795000</v>
      </c>
      <c r="N32" s="599">
        <f>I32/(I32+K32)</f>
        <v>0.2739714161974881</v>
      </c>
      <c r="O32" s="268">
        <v>6.8200000000000011E-2</v>
      </c>
      <c r="P32" s="269">
        <v>14.68</v>
      </c>
      <c r="Q32" s="270">
        <v>0.79</v>
      </c>
      <c r="R32" s="152">
        <v>3187000</v>
      </c>
      <c r="S32" s="153">
        <v>35407000</v>
      </c>
      <c r="T32" s="156">
        <v>59452000</v>
      </c>
      <c r="U32" s="225"/>
    </row>
    <row r="33" spans="1:21" ht="16.75" customHeight="1" x14ac:dyDescent="0.35">
      <c r="A33" s="271" t="s">
        <v>104</v>
      </c>
      <c r="B33" s="175">
        <v>20000</v>
      </c>
      <c r="C33" s="176">
        <v>5000</v>
      </c>
      <c r="D33" s="176">
        <v>5000</v>
      </c>
      <c r="E33" s="176">
        <v>25000</v>
      </c>
      <c r="F33" s="176">
        <v>0</v>
      </c>
      <c r="G33" s="272">
        <v>0.17699999999999999</v>
      </c>
      <c r="H33" s="273">
        <v>0.02</v>
      </c>
      <c r="I33" s="175">
        <v>0</v>
      </c>
      <c r="J33" s="176">
        <v>0</v>
      </c>
      <c r="K33" s="176">
        <v>619000</v>
      </c>
      <c r="L33" s="176">
        <v>301000</v>
      </c>
      <c r="M33" s="176">
        <v>921000</v>
      </c>
      <c r="N33" s="608"/>
      <c r="O33" s="274">
        <v>0</v>
      </c>
      <c r="P33" s="275">
        <v>6.53</v>
      </c>
      <c r="Q33" s="276">
        <v>0.73</v>
      </c>
      <c r="R33" s="164">
        <v>141000</v>
      </c>
      <c r="S33" s="165">
        <v>0</v>
      </c>
      <c r="T33" s="168">
        <v>1266000</v>
      </c>
      <c r="U33" s="322"/>
    </row>
    <row r="34" spans="1:21" ht="16.75" customHeight="1" x14ac:dyDescent="0.25">
      <c r="A34" s="277" t="s">
        <v>105</v>
      </c>
      <c r="B34" s="191">
        <v>20000</v>
      </c>
      <c r="C34" s="191">
        <v>5000</v>
      </c>
      <c r="D34" s="278">
        <v>5000</v>
      </c>
      <c r="E34" s="279">
        <v>25000</v>
      </c>
      <c r="F34" s="279">
        <v>0</v>
      </c>
      <c r="G34" s="280">
        <v>0.17699999999999999</v>
      </c>
      <c r="H34" s="281">
        <v>0.02</v>
      </c>
      <c r="I34" s="191">
        <v>0</v>
      </c>
      <c r="J34" s="191">
        <v>0</v>
      </c>
      <c r="K34" s="191">
        <v>619000</v>
      </c>
      <c r="L34" s="191">
        <v>301000</v>
      </c>
      <c r="M34" s="288">
        <v>921000</v>
      </c>
      <c r="N34" s="609"/>
      <c r="O34" s="283">
        <v>0</v>
      </c>
      <c r="P34" s="284">
        <v>6.53</v>
      </c>
      <c r="Q34" s="285">
        <v>0.73</v>
      </c>
      <c r="R34" s="191">
        <v>141000</v>
      </c>
      <c r="S34" s="191">
        <v>0</v>
      </c>
      <c r="T34" s="278">
        <v>1266000</v>
      </c>
      <c r="U34" s="323"/>
    </row>
    <row r="35" spans="1:21" ht="15" hidden="1" customHeight="1" x14ac:dyDescent="0.35">
      <c r="A35" s="213" t="s">
        <v>94</v>
      </c>
      <c r="B35" s="278">
        <v>0</v>
      </c>
      <c r="C35" s="279">
        <v>0</v>
      </c>
      <c r="D35" s="279">
        <v>0</v>
      </c>
      <c r="E35" s="279">
        <v>0</v>
      </c>
      <c r="F35" s="279">
        <v>0</v>
      </c>
      <c r="G35" s="286" t="s">
        <v>238</v>
      </c>
      <c r="H35" s="287" t="s">
        <v>238</v>
      </c>
      <c r="I35" s="278">
        <v>0</v>
      </c>
      <c r="J35" s="279">
        <v>0</v>
      </c>
      <c r="K35" s="279">
        <v>0</v>
      </c>
      <c r="L35" s="279">
        <v>0</v>
      </c>
      <c r="M35" s="279">
        <v>0</v>
      </c>
      <c r="N35" s="608"/>
      <c r="O35" s="282" t="s">
        <v>238</v>
      </c>
      <c r="P35" s="282"/>
      <c r="Q35" s="289"/>
      <c r="R35" s="188">
        <v>0</v>
      </c>
      <c r="S35" s="189">
        <v>0</v>
      </c>
      <c r="T35" s="203">
        <v>0</v>
      </c>
      <c r="U35" s="322"/>
    </row>
    <row r="36" spans="1:21" ht="15" hidden="1" customHeight="1" x14ac:dyDescent="0.35">
      <c r="A36" s="213" t="s">
        <v>283</v>
      </c>
      <c r="B36" s="278">
        <v>0</v>
      </c>
      <c r="C36" s="279">
        <v>0</v>
      </c>
      <c r="D36" s="279">
        <v>0</v>
      </c>
      <c r="E36" s="279">
        <v>0</v>
      </c>
      <c r="F36" s="282"/>
      <c r="G36" s="286" t="s">
        <v>238</v>
      </c>
      <c r="H36" s="287" t="s">
        <v>238</v>
      </c>
      <c r="I36" s="278">
        <v>0</v>
      </c>
      <c r="J36" s="279">
        <v>0</v>
      </c>
      <c r="K36" s="279">
        <v>0</v>
      </c>
      <c r="L36" s="279">
        <v>0</v>
      </c>
      <c r="M36" s="279">
        <v>0</v>
      </c>
      <c r="N36" s="608"/>
      <c r="O36" s="282" t="s">
        <v>238</v>
      </c>
      <c r="P36" s="282" t="s">
        <v>238</v>
      </c>
      <c r="Q36" s="289" t="s">
        <v>238</v>
      </c>
      <c r="R36" s="188">
        <v>0</v>
      </c>
      <c r="S36" s="189">
        <v>0</v>
      </c>
      <c r="T36" s="203">
        <v>0</v>
      </c>
      <c r="U36" s="322"/>
    </row>
    <row r="37" spans="1:21" ht="15" hidden="1" customHeight="1" x14ac:dyDescent="0.35">
      <c r="A37" s="213" t="s">
        <v>284</v>
      </c>
      <c r="B37" s="278">
        <v>0</v>
      </c>
      <c r="C37" s="279">
        <v>0</v>
      </c>
      <c r="D37" s="279">
        <v>0</v>
      </c>
      <c r="E37" s="279">
        <v>0</v>
      </c>
      <c r="F37" s="282"/>
      <c r="G37" s="286" t="s">
        <v>238</v>
      </c>
      <c r="H37" s="287" t="s">
        <v>238</v>
      </c>
      <c r="I37" s="278">
        <v>0</v>
      </c>
      <c r="J37" s="279">
        <v>0</v>
      </c>
      <c r="K37" s="279">
        <v>0</v>
      </c>
      <c r="L37" s="279">
        <v>0</v>
      </c>
      <c r="M37" s="279">
        <v>0</v>
      </c>
      <c r="N37" s="608"/>
      <c r="O37" s="282" t="s">
        <v>238</v>
      </c>
      <c r="P37" s="282" t="s">
        <v>238</v>
      </c>
      <c r="Q37" s="289" t="s">
        <v>238</v>
      </c>
      <c r="R37" s="188">
        <v>0</v>
      </c>
      <c r="S37" s="189">
        <v>0</v>
      </c>
      <c r="T37" s="203">
        <v>0</v>
      </c>
      <c r="U37" s="322"/>
    </row>
    <row r="38" spans="1:21" ht="15" hidden="1" customHeight="1" x14ac:dyDescent="0.35">
      <c r="A38" s="213" t="s">
        <v>285</v>
      </c>
      <c r="B38" s="278">
        <v>0</v>
      </c>
      <c r="C38" s="279">
        <v>0</v>
      </c>
      <c r="D38" s="279">
        <v>0</v>
      </c>
      <c r="E38" s="279">
        <v>0</v>
      </c>
      <c r="F38" s="282"/>
      <c r="G38" s="286" t="s">
        <v>238</v>
      </c>
      <c r="H38" s="287" t="s">
        <v>238</v>
      </c>
      <c r="I38" s="278">
        <v>0</v>
      </c>
      <c r="J38" s="279">
        <v>0</v>
      </c>
      <c r="K38" s="279">
        <v>0</v>
      </c>
      <c r="L38" s="279">
        <v>0</v>
      </c>
      <c r="M38" s="279">
        <v>0</v>
      </c>
      <c r="N38" s="608"/>
      <c r="O38" s="282" t="s">
        <v>238</v>
      </c>
      <c r="P38" s="282" t="s">
        <v>238</v>
      </c>
      <c r="Q38" s="289" t="s">
        <v>238</v>
      </c>
      <c r="R38" s="188">
        <v>0</v>
      </c>
      <c r="S38" s="189">
        <v>0</v>
      </c>
      <c r="T38" s="203">
        <v>0</v>
      </c>
      <c r="U38" s="322"/>
    </row>
    <row r="39" spans="1:21" ht="16.75" customHeight="1" x14ac:dyDescent="0.35">
      <c r="A39" s="271" t="s">
        <v>109</v>
      </c>
      <c r="B39" s="175">
        <v>2586000</v>
      </c>
      <c r="C39" s="176">
        <v>792000</v>
      </c>
      <c r="D39" s="176">
        <v>203000</v>
      </c>
      <c r="E39" s="176">
        <v>2789000</v>
      </c>
      <c r="F39" s="176">
        <v>0</v>
      </c>
      <c r="G39" s="272">
        <v>0.91600000000000004</v>
      </c>
      <c r="H39" s="273">
        <v>4.8000000000000001E-2</v>
      </c>
      <c r="I39" s="175">
        <v>3163000</v>
      </c>
      <c r="J39" s="176">
        <v>30000</v>
      </c>
      <c r="K39" s="176">
        <v>7763000</v>
      </c>
      <c r="L39" s="176">
        <v>34919000</v>
      </c>
      <c r="M39" s="176">
        <v>45874000</v>
      </c>
      <c r="N39" s="608"/>
      <c r="O39" s="274">
        <v>6.9599999999999995E-2</v>
      </c>
      <c r="P39" s="275">
        <v>15.06</v>
      </c>
      <c r="Q39" s="276">
        <v>0.79</v>
      </c>
      <c r="R39" s="164">
        <v>3046000</v>
      </c>
      <c r="S39" s="165">
        <v>35407000</v>
      </c>
      <c r="T39" s="168">
        <v>58186000</v>
      </c>
      <c r="U39" s="322"/>
    </row>
    <row r="40" spans="1:21" ht="16.75" customHeight="1" x14ac:dyDescent="0.35">
      <c r="A40" s="182" t="s">
        <v>110</v>
      </c>
      <c r="B40" s="191">
        <v>4000</v>
      </c>
      <c r="C40" s="191">
        <v>6000</v>
      </c>
      <c r="D40" s="278">
        <v>6000</v>
      </c>
      <c r="E40" s="279">
        <v>10000</v>
      </c>
      <c r="F40" s="279">
        <v>0</v>
      </c>
      <c r="G40" s="286" t="s">
        <v>272</v>
      </c>
      <c r="H40" s="287" t="s">
        <v>272</v>
      </c>
      <c r="I40" s="191">
        <v>0</v>
      </c>
      <c r="J40" s="191">
        <v>0</v>
      </c>
      <c r="K40" s="191">
        <v>82000</v>
      </c>
      <c r="L40" s="191">
        <v>65000</v>
      </c>
      <c r="M40" s="288">
        <v>147000</v>
      </c>
      <c r="N40" s="609"/>
      <c r="O40" s="283">
        <v>0</v>
      </c>
      <c r="P40" s="282" t="s">
        <v>272</v>
      </c>
      <c r="Q40" s="289" t="s">
        <v>272</v>
      </c>
      <c r="R40" s="616"/>
      <c r="S40" s="614"/>
      <c r="T40" s="617"/>
      <c r="U40" s="322"/>
    </row>
    <row r="41" spans="1:21" ht="15" hidden="1" customHeight="1" x14ac:dyDescent="0.35">
      <c r="A41" s="213" t="s">
        <v>94</v>
      </c>
      <c r="B41" s="278">
        <v>0</v>
      </c>
      <c r="C41" s="279">
        <v>0</v>
      </c>
      <c r="D41" s="279">
        <v>0</v>
      </c>
      <c r="E41" s="279">
        <v>0</v>
      </c>
      <c r="F41" s="282"/>
      <c r="G41" s="286" t="s">
        <v>238</v>
      </c>
      <c r="H41" s="287" t="s">
        <v>238</v>
      </c>
      <c r="I41" s="278">
        <v>0</v>
      </c>
      <c r="J41" s="279">
        <v>0</v>
      </c>
      <c r="K41" s="279">
        <v>0</v>
      </c>
      <c r="L41" s="279">
        <v>0</v>
      </c>
      <c r="M41" s="279">
        <v>0</v>
      </c>
      <c r="N41" s="282"/>
      <c r="O41" s="282"/>
      <c r="P41" s="282" t="s">
        <v>238</v>
      </c>
      <c r="Q41" s="289" t="s">
        <v>238</v>
      </c>
      <c r="R41" s="188">
        <v>0</v>
      </c>
      <c r="S41" s="189">
        <v>0</v>
      </c>
      <c r="T41" s="203">
        <v>0</v>
      </c>
      <c r="U41" s="322"/>
    </row>
    <row r="42" spans="1:21" ht="15" hidden="1" customHeight="1" x14ac:dyDescent="0.35">
      <c r="A42" s="213" t="s">
        <v>292</v>
      </c>
      <c r="B42" s="278">
        <v>0</v>
      </c>
      <c r="C42" s="279">
        <v>0</v>
      </c>
      <c r="D42" s="279">
        <v>0</v>
      </c>
      <c r="E42" s="279">
        <v>0</v>
      </c>
      <c r="F42" s="282"/>
      <c r="G42" s="286" t="s">
        <v>238</v>
      </c>
      <c r="H42" s="287" t="s">
        <v>238</v>
      </c>
      <c r="I42" s="278">
        <v>0</v>
      </c>
      <c r="J42" s="279">
        <v>0</v>
      </c>
      <c r="K42" s="279">
        <v>0</v>
      </c>
      <c r="L42" s="279">
        <v>0</v>
      </c>
      <c r="M42" s="279">
        <v>0</v>
      </c>
      <c r="N42" s="282"/>
      <c r="O42" s="282" t="s">
        <v>238</v>
      </c>
      <c r="P42" s="282" t="s">
        <v>238</v>
      </c>
      <c r="Q42" s="289" t="s">
        <v>238</v>
      </c>
      <c r="R42" s="188">
        <v>0</v>
      </c>
      <c r="S42" s="189">
        <v>0</v>
      </c>
      <c r="T42" s="203">
        <v>0</v>
      </c>
      <c r="U42" s="322"/>
    </row>
    <row r="43" spans="1:21" ht="15" hidden="1" customHeight="1" x14ac:dyDescent="0.35">
      <c r="A43" s="213" t="s">
        <v>293</v>
      </c>
      <c r="B43" s="278">
        <v>0</v>
      </c>
      <c r="C43" s="279">
        <v>0</v>
      </c>
      <c r="D43" s="279">
        <v>0</v>
      </c>
      <c r="E43" s="279">
        <v>0</v>
      </c>
      <c r="F43" s="282"/>
      <c r="G43" s="286" t="s">
        <v>238</v>
      </c>
      <c r="H43" s="287" t="s">
        <v>238</v>
      </c>
      <c r="I43" s="278">
        <v>0</v>
      </c>
      <c r="J43" s="279">
        <v>0</v>
      </c>
      <c r="K43" s="279">
        <v>0</v>
      </c>
      <c r="L43" s="279">
        <v>0</v>
      </c>
      <c r="M43" s="279">
        <v>0</v>
      </c>
      <c r="N43" s="282"/>
      <c r="O43" s="282" t="s">
        <v>238</v>
      </c>
      <c r="P43" s="282" t="s">
        <v>238</v>
      </c>
      <c r="Q43" s="289" t="s">
        <v>238</v>
      </c>
      <c r="R43" s="188">
        <v>0</v>
      </c>
      <c r="S43" s="189">
        <v>0</v>
      </c>
      <c r="T43" s="203">
        <v>0</v>
      </c>
      <c r="U43" s="322"/>
    </row>
    <row r="44" spans="1:21" ht="15" hidden="1" customHeight="1" x14ac:dyDescent="0.35">
      <c r="A44" s="213" t="s">
        <v>294</v>
      </c>
      <c r="B44" s="278">
        <v>0</v>
      </c>
      <c r="C44" s="279">
        <v>0</v>
      </c>
      <c r="D44" s="279">
        <v>0</v>
      </c>
      <c r="E44" s="279">
        <v>0</v>
      </c>
      <c r="F44" s="282"/>
      <c r="G44" s="286" t="s">
        <v>238</v>
      </c>
      <c r="H44" s="287" t="s">
        <v>238</v>
      </c>
      <c r="I44" s="278">
        <v>0</v>
      </c>
      <c r="J44" s="279">
        <v>0</v>
      </c>
      <c r="K44" s="279">
        <v>0</v>
      </c>
      <c r="L44" s="279">
        <v>0</v>
      </c>
      <c r="M44" s="279">
        <v>0</v>
      </c>
      <c r="N44" s="282"/>
      <c r="O44" s="282" t="s">
        <v>238</v>
      </c>
      <c r="P44" s="282" t="s">
        <v>238</v>
      </c>
      <c r="Q44" s="289" t="s">
        <v>238</v>
      </c>
      <c r="R44" s="188">
        <v>0</v>
      </c>
      <c r="S44" s="189">
        <v>0</v>
      </c>
      <c r="T44" s="203">
        <v>0</v>
      </c>
      <c r="U44" s="322"/>
    </row>
    <row r="45" spans="1:21" ht="15" hidden="1" customHeight="1" x14ac:dyDescent="0.35">
      <c r="A45" s="213" t="s">
        <v>295</v>
      </c>
      <c r="B45" s="278">
        <v>0</v>
      </c>
      <c r="C45" s="279">
        <v>0</v>
      </c>
      <c r="D45" s="279">
        <v>0</v>
      </c>
      <c r="E45" s="279">
        <v>0</v>
      </c>
      <c r="F45" s="282"/>
      <c r="G45" s="286" t="s">
        <v>238</v>
      </c>
      <c r="H45" s="287" t="s">
        <v>238</v>
      </c>
      <c r="I45" s="278">
        <v>0</v>
      </c>
      <c r="J45" s="279">
        <v>0</v>
      </c>
      <c r="K45" s="279">
        <v>0</v>
      </c>
      <c r="L45" s="279">
        <v>0</v>
      </c>
      <c r="M45" s="279">
        <v>0</v>
      </c>
      <c r="N45" s="282"/>
      <c r="O45" s="282" t="s">
        <v>238</v>
      </c>
      <c r="P45" s="282" t="s">
        <v>238</v>
      </c>
      <c r="Q45" s="289" t="s">
        <v>238</v>
      </c>
      <c r="R45" s="188">
        <v>0</v>
      </c>
      <c r="S45" s="189">
        <v>0</v>
      </c>
      <c r="T45" s="203">
        <v>0</v>
      </c>
      <c r="U45" s="322"/>
    </row>
    <row r="46" spans="1:21" ht="15" hidden="1" customHeight="1" x14ac:dyDescent="0.35">
      <c r="A46" s="213" t="s">
        <v>296</v>
      </c>
      <c r="B46" s="278">
        <v>0</v>
      </c>
      <c r="C46" s="279">
        <v>0</v>
      </c>
      <c r="D46" s="279">
        <v>0</v>
      </c>
      <c r="E46" s="279">
        <v>0</v>
      </c>
      <c r="F46" s="282"/>
      <c r="G46" s="286" t="s">
        <v>238</v>
      </c>
      <c r="H46" s="287" t="s">
        <v>238</v>
      </c>
      <c r="I46" s="278">
        <v>0</v>
      </c>
      <c r="J46" s="279">
        <v>0</v>
      </c>
      <c r="K46" s="279">
        <v>0</v>
      </c>
      <c r="L46" s="279">
        <v>0</v>
      </c>
      <c r="M46" s="279">
        <v>0</v>
      </c>
      <c r="N46" s="282"/>
      <c r="O46" s="282" t="s">
        <v>238</v>
      </c>
      <c r="P46" s="282" t="s">
        <v>238</v>
      </c>
      <c r="Q46" s="289" t="s">
        <v>238</v>
      </c>
      <c r="R46" s="188">
        <v>0</v>
      </c>
      <c r="S46" s="189">
        <v>0</v>
      </c>
      <c r="T46" s="203">
        <v>0</v>
      </c>
      <c r="U46" s="322"/>
    </row>
    <row r="47" spans="1:21" ht="15" hidden="1" customHeight="1" x14ac:dyDescent="0.35">
      <c r="A47" s="213" t="s">
        <v>297</v>
      </c>
      <c r="B47" s="278">
        <v>0</v>
      </c>
      <c r="C47" s="279">
        <v>0</v>
      </c>
      <c r="D47" s="279">
        <v>0</v>
      </c>
      <c r="E47" s="279">
        <v>0</v>
      </c>
      <c r="F47" s="282"/>
      <c r="G47" s="286" t="s">
        <v>238</v>
      </c>
      <c r="H47" s="287" t="s">
        <v>238</v>
      </c>
      <c r="I47" s="278">
        <v>0</v>
      </c>
      <c r="J47" s="279">
        <v>0</v>
      </c>
      <c r="K47" s="279">
        <v>0</v>
      </c>
      <c r="L47" s="279">
        <v>0</v>
      </c>
      <c r="M47" s="279">
        <v>0</v>
      </c>
      <c r="N47" s="282"/>
      <c r="O47" s="282" t="s">
        <v>238</v>
      </c>
      <c r="P47" s="282" t="s">
        <v>238</v>
      </c>
      <c r="Q47" s="289" t="s">
        <v>238</v>
      </c>
      <c r="R47" s="188">
        <v>0</v>
      </c>
      <c r="S47" s="189">
        <v>0</v>
      </c>
      <c r="T47" s="203">
        <v>0</v>
      </c>
      <c r="U47" s="322"/>
    </row>
    <row r="48" spans="1:21" ht="15" hidden="1" customHeight="1" x14ac:dyDescent="0.35">
      <c r="A48" s="213" t="s">
        <v>298</v>
      </c>
      <c r="B48" s="278">
        <v>0</v>
      </c>
      <c r="C48" s="279">
        <v>0</v>
      </c>
      <c r="D48" s="279">
        <v>0</v>
      </c>
      <c r="E48" s="279">
        <v>0</v>
      </c>
      <c r="F48" s="282"/>
      <c r="G48" s="286" t="s">
        <v>238</v>
      </c>
      <c r="H48" s="287" t="s">
        <v>238</v>
      </c>
      <c r="I48" s="278">
        <v>0</v>
      </c>
      <c r="J48" s="279">
        <v>0</v>
      </c>
      <c r="K48" s="279">
        <v>0</v>
      </c>
      <c r="L48" s="279">
        <v>0</v>
      </c>
      <c r="M48" s="279">
        <v>0</v>
      </c>
      <c r="N48" s="282"/>
      <c r="O48" s="282" t="s">
        <v>238</v>
      </c>
      <c r="P48" s="282" t="s">
        <v>238</v>
      </c>
      <c r="Q48" s="289" t="s">
        <v>238</v>
      </c>
      <c r="R48" s="188">
        <v>0</v>
      </c>
      <c r="S48" s="189">
        <v>0</v>
      </c>
      <c r="T48" s="203">
        <v>0</v>
      </c>
      <c r="U48" s="322"/>
    </row>
    <row r="49" spans="1:21" ht="16.75" customHeight="1" x14ac:dyDescent="0.35">
      <c r="A49" s="299" t="s">
        <v>111</v>
      </c>
      <c r="B49" s="175">
        <v>2582000</v>
      </c>
      <c r="C49" s="176">
        <v>786000</v>
      </c>
      <c r="D49" s="176">
        <v>197000</v>
      </c>
      <c r="E49" s="176">
        <v>2779000</v>
      </c>
      <c r="F49" s="176">
        <v>0</v>
      </c>
      <c r="G49" s="272">
        <v>0.91200000000000003</v>
      </c>
      <c r="H49" s="273">
        <v>4.8000000000000001E-2</v>
      </c>
      <c r="I49" s="175">
        <v>3163000</v>
      </c>
      <c r="J49" s="176">
        <v>30000</v>
      </c>
      <c r="K49" s="176">
        <v>7681000</v>
      </c>
      <c r="L49" s="176">
        <v>34854000</v>
      </c>
      <c r="M49" s="176">
        <v>45727000</v>
      </c>
      <c r="N49" s="274">
        <v>0.29170000000000001</v>
      </c>
      <c r="O49" s="274">
        <v>6.9800000000000001E-2</v>
      </c>
      <c r="P49" s="275">
        <v>15.01</v>
      </c>
      <c r="Q49" s="276">
        <v>0.79</v>
      </c>
      <c r="R49" s="164">
        <v>3046000</v>
      </c>
      <c r="S49" s="165">
        <v>35407000</v>
      </c>
      <c r="T49" s="168">
        <v>58186000</v>
      </c>
      <c r="U49" s="322"/>
    </row>
    <row r="50" spans="1:21" ht="15.75" customHeight="1" x14ac:dyDescent="0.35">
      <c r="A50" s="300" t="s">
        <v>332</v>
      </c>
      <c r="B50" s="191">
        <v>832000</v>
      </c>
      <c r="C50" s="191">
        <v>433000</v>
      </c>
      <c r="D50" s="278">
        <v>96000</v>
      </c>
      <c r="E50" s="279">
        <v>928000</v>
      </c>
      <c r="F50" s="279">
        <v>0</v>
      </c>
      <c r="G50" s="301">
        <v>0.56000000000000005</v>
      </c>
      <c r="H50" s="302">
        <v>7.0999999999999994E-2</v>
      </c>
      <c r="I50" s="191">
        <v>2020000</v>
      </c>
      <c r="J50" s="191">
        <v>0</v>
      </c>
      <c r="K50" s="191">
        <v>3684000</v>
      </c>
      <c r="L50" s="191">
        <v>8076000</v>
      </c>
      <c r="M50" s="278">
        <v>13780000</v>
      </c>
      <c r="N50" s="610"/>
      <c r="O50" s="283">
        <v>0.14660000000000001</v>
      </c>
      <c r="P50" s="284">
        <v>8.32</v>
      </c>
      <c r="Q50" s="285">
        <v>1.05</v>
      </c>
      <c r="R50" s="191">
        <v>1656000</v>
      </c>
      <c r="S50" s="606">
        <v>0</v>
      </c>
      <c r="T50" s="278">
        <v>13133000</v>
      </c>
      <c r="U50" s="323"/>
    </row>
    <row r="51" spans="1:21" ht="15.75" customHeight="1" x14ac:dyDescent="0.35">
      <c r="A51" s="300" t="s">
        <v>301</v>
      </c>
      <c r="B51" s="191">
        <v>289000</v>
      </c>
      <c r="C51" s="191">
        <v>110000</v>
      </c>
      <c r="D51" s="278">
        <v>30000</v>
      </c>
      <c r="E51" s="279">
        <v>319000</v>
      </c>
      <c r="F51" s="279">
        <v>0</v>
      </c>
      <c r="G51" s="280">
        <v>0.48399999999999999</v>
      </c>
      <c r="H51" s="281">
        <v>1.2999999999999999E-2</v>
      </c>
      <c r="I51" s="191">
        <v>245000</v>
      </c>
      <c r="J51" s="191">
        <v>0</v>
      </c>
      <c r="K51" s="191">
        <v>1201000</v>
      </c>
      <c r="L51" s="191">
        <v>4083000</v>
      </c>
      <c r="M51" s="278">
        <v>5528000</v>
      </c>
      <c r="N51" s="610"/>
      <c r="O51" s="283">
        <v>4.4299999999999999E-2</v>
      </c>
      <c r="P51" s="284">
        <v>8.39</v>
      </c>
      <c r="Q51" s="285">
        <v>0.23</v>
      </c>
      <c r="R51" s="191">
        <v>659000</v>
      </c>
      <c r="S51" s="606">
        <v>0</v>
      </c>
      <c r="T51" s="278">
        <v>24549000</v>
      </c>
      <c r="U51" s="323"/>
    </row>
    <row r="52" spans="1:21" ht="16.75" hidden="1" customHeight="1" x14ac:dyDescent="0.35">
      <c r="A52" s="300" t="s">
        <v>333</v>
      </c>
      <c r="B52" s="191">
        <v>0</v>
      </c>
      <c r="C52" s="191">
        <v>0</v>
      </c>
      <c r="D52" s="278">
        <v>0</v>
      </c>
      <c r="E52" s="279">
        <v>0</v>
      </c>
      <c r="F52" s="279">
        <v>0</v>
      </c>
      <c r="G52" s="286" t="s">
        <v>238</v>
      </c>
      <c r="H52" s="287" t="s">
        <v>272</v>
      </c>
      <c r="I52" s="191">
        <v>0</v>
      </c>
      <c r="J52" s="191">
        <v>0</v>
      </c>
      <c r="K52" s="191">
        <v>0</v>
      </c>
      <c r="L52" s="191">
        <v>0</v>
      </c>
      <c r="M52" s="278">
        <v>0</v>
      </c>
      <c r="N52" s="608"/>
      <c r="O52" s="282" t="s">
        <v>238</v>
      </c>
      <c r="P52" s="282" t="s">
        <v>238</v>
      </c>
      <c r="Q52" s="289" t="s">
        <v>272</v>
      </c>
      <c r="R52" s="191">
        <v>0</v>
      </c>
      <c r="S52" s="606">
        <v>0</v>
      </c>
      <c r="T52" s="278">
        <v>0</v>
      </c>
      <c r="U52" s="323"/>
    </row>
    <row r="53" spans="1:21" ht="16.75" customHeight="1" x14ac:dyDescent="0.35">
      <c r="A53" s="300" t="s">
        <v>304</v>
      </c>
      <c r="B53" s="191">
        <v>1000</v>
      </c>
      <c r="C53" s="191">
        <v>1000</v>
      </c>
      <c r="D53" s="278">
        <v>0</v>
      </c>
      <c r="E53" s="279">
        <v>1000</v>
      </c>
      <c r="F53" s="279">
        <v>0</v>
      </c>
      <c r="G53" s="280">
        <v>6.3E-2</v>
      </c>
      <c r="H53" s="287" t="s">
        <v>238</v>
      </c>
      <c r="I53" s="191">
        <v>11000</v>
      </c>
      <c r="J53" s="191">
        <v>0</v>
      </c>
      <c r="K53" s="191">
        <v>0</v>
      </c>
      <c r="L53" s="191">
        <v>223000</v>
      </c>
      <c r="M53" s="278">
        <v>234000</v>
      </c>
      <c r="N53" s="610"/>
      <c r="O53" s="283">
        <v>4.7E-2</v>
      </c>
      <c r="P53" s="284">
        <v>14.63</v>
      </c>
      <c r="Q53" s="289" t="s">
        <v>238</v>
      </c>
      <c r="R53" s="191">
        <v>16000</v>
      </c>
      <c r="S53" s="606">
        <v>0</v>
      </c>
      <c r="T53" s="278">
        <v>0</v>
      </c>
      <c r="U53" s="323"/>
    </row>
    <row r="54" spans="1:21" ht="15" customHeight="1" x14ac:dyDescent="0.35">
      <c r="A54" s="300" t="s">
        <v>305</v>
      </c>
      <c r="B54" s="191">
        <v>90000</v>
      </c>
      <c r="C54" s="191">
        <v>91000</v>
      </c>
      <c r="D54" s="278">
        <v>27000</v>
      </c>
      <c r="E54" s="279">
        <v>117000</v>
      </c>
      <c r="F54" s="279">
        <v>0</v>
      </c>
      <c r="G54" s="280">
        <v>0.58499999999999996</v>
      </c>
      <c r="H54" s="281">
        <v>7.0000000000000001E-3</v>
      </c>
      <c r="I54" s="191">
        <v>146000</v>
      </c>
      <c r="J54" s="191">
        <v>30000</v>
      </c>
      <c r="K54" s="191">
        <v>1054000</v>
      </c>
      <c r="L54" s="191">
        <v>4029000</v>
      </c>
      <c r="M54" s="278">
        <v>5259000</v>
      </c>
      <c r="N54" s="610"/>
      <c r="O54" s="283">
        <v>3.3500000000000002E-2</v>
      </c>
      <c r="P54" s="284">
        <v>26.3</v>
      </c>
      <c r="Q54" s="285">
        <v>0.32</v>
      </c>
      <c r="R54" s="191">
        <v>200000</v>
      </c>
      <c r="S54" s="191">
        <v>35407000</v>
      </c>
      <c r="T54" s="278">
        <v>16237000</v>
      </c>
      <c r="U54" s="323"/>
    </row>
    <row r="55" spans="1:21" ht="15" hidden="1" customHeight="1" x14ac:dyDescent="0.35">
      <c r="A55" s="300" t="s">
        <v>334</v>
      </c>
      <c r="B55" s="191">
        <v>0</v>
      </c>
      <c r="C55" s="191">
        <v>0</v>
      </c>
      <c r="D55" s="278">
        <v>0</v>
      </c>
      <c r="E55" s="279">
        <v>0</v>
      </c>
      <c r="F55" s="279">
        <v>0</v>
      </c>
      <c r="G55" s="286" t="s">
        <v>238</v>
      </c>
      <c r="H55" s="287" t="s">
        <v>238</v>
      </c>
      <c r="I55" s="191">
        <v>0</v>
      </c>
      <c r="J55" s="191">
        <v>0</v>
      </c>
      <c r="K55" s="191">
        <v>0</v>
      </c>
      <c r="L55" s="191">
        <v>0</v>
      </c>
      <c r="M55" s="288">
        <v>0</v>
      </c>
      <c r="N55" s="609"/>
      <c r="O55" s="282" t="s">
        <v>238</v>
      </c>
      <c r="P55" s="282" t="s">
        <v>238</v>
      </c>
      <c r="Q55" s="289" t="s">
        <v>238</v>
      </c>
      <c r="R55" s="191">
        <v>0</v>
      </c>
      <c r="S55" s="191">
        <v>0</v>
      </c>
      <c r="T55" s="278">
        <v>0</v>
      </c>
      <c r="U55" s="323"/>
    </row>
    <row r="56" spans="1:21" ht="16.75" customHeight="1" x14ac:dyDescent="0.35">
      <c r="A56" s="300" t="s">
        <v>307</v>
      </c>
      <c r="B56" s="191">
        <v>80000</v>
      </c>
      <c r="C56" s="191">
        <v>150000</v>
      </c>
      <c r="D56" s="278">
        <v>43000</v>
      </c>
      <c r="E56" s="279">
        <v>123000</v>
      </c>
      <c r="F56" s="279">
        <v>0</v>
      </c>
      <c r="G56" s="280">
        <v>0.23899999999999999</v>
      </c>
      <c r="H56" s="287" t="s">
        <v>272</v>
      </c>
      <c r="I56" s="191">
        <v>246000</v>
      </c>
      <c r="J56" s="191">
        <v>0</v>
      </c>
      <c r="K56" s="191">
        <v>1733000</v>
      </c>
      <c r="L56" s="191">
        <v>1339000</v>
      </c>
      <c r="M56" s="278">
        <v>3318000</v>
      </c>
      <c r="N56" s="610"/>
      <c r="O56" s="283">
        <v>7.4099999999999999E-2</v>
      </c>
      <c r="P56" s="284">
        <v>6.44</v>
      </c>
      <c r="Q56" s="289" t="s">
        <v>272</v>
      </c>
      <c r="R56" s="191">
        <v>515000</v>
      </c>
      <c r="S56" s="606">
        <v>0</v>
      </c>
      <c r="T56" s="278">
        <v>4267000</v>
      </c>
      <c r="U56" s="323"/>
    </row>
    <row r="57" spans="1:21" ht="16.75" customHeight="1" x14ac:dyDescent="0.35">
      <c r="A57" s="300" t="s">
        <v>335</v>
      </c>
      <c r="B57" s="191">
        <v>232000</v>
      </c>
      <c r="C57" s="191">
        <v>0</v>
      </c>
      <c r="D57" s="278">
        <v>0</v>
      </c>
      <c r="E57" s="279">
        <v>232000</v>
      </c>
      <c r="F57" s="279">
        <v>0</v>
      </c>
      <c r="G57" s="287" t="s">
        <v>272</v>
      </c>
      <c r="H57" s="303" t="s">
        <v>272</v>
      </c>
      <c r="I57" s="191">
        <v>495000</v>
      </c>
      <c r="J57" s="191">
        <v>0</v>
      </c>
      <c r="K57" s="191">
        <v>0</v>
      </c>
      <c r="L57" s="191">
        <v>4614000</v>
      </c>
      <c r="M57" s="278">
        <v>5109000</v>
      </c>
      <c r="N57" s="608"/>
      <c r="O57" s="283">
        <v>9.69E-2</v>
      </c>
      <c r="P57" s="289" t="s">
        <v>272</v>
      </c>
      <c r="Q57" s="304" t="s">
        <v>272</v>
      </c>
      <c r="R57" s="606">
        <v>0</v>
      </c>
      <c r="S57" s="606">
        <v>0</v>
      </c>
      <c r="T57" s="607">
        <v>0</v>
      </c>
      <c r="U57" s="323"/>
    </row>
    <row r="58" spans="1:21" ht="17.5" customHeight="1" thickBot="1" x14ac:dyDescent="0.4">
      <c r="A58" s="305" t="s">
        <v>336</v>
      </c>
      <c r="B58" s="191">
        <v>1058000</v>
      </c>
      <c r="C58" s="191">
        <v>1000</v>
      </c>
      <c r="D58" s="278">
        <v>1000</v>
      </c>
      <c r="E58" s="306">
        <v>1059000</v>
      </c>
      <c r="F58" s="306">
        <v>0</v>
      </c>
      <c r="G58" s="287" t="s">
        <v>272</v>
      </c>
      <c r="H58" s="303" t="s">
        <v>272</v>
      </c>
      <c r="I58" s="191">
        <v>0</v>
      </c>
      <c r="J58" s="191">
        <v>0</v>
      </c>
      <c r="K58" s="191">
        <v>9000</v>
      </c>
      <c r="L58" s="191">
        <v>12490000</v>
      </c>
      <c r="M58" s="288">
        <v>12499000</v>
      </c>
      <c r="N58" s="611"/>
      <c r="O58" s="307">
        <v>0</v>
      </c>
      <c r="P58" s="289" t="s">
        <v>272</v>
      </c>
      <c r="Q58" s="304" t="s">
        <v>272</v>
      </c>
      <c r="R58" s="606">
        <v>0</v>
      </c>
      <c r="S58" s="606">
        <v>0</v>
      </c>
      <c r="T58" s="607">
        <v>0</v>
      </c>
      <c r="U58" s="323"/>
    </row>
    <row r="59" spans="1:21" ht="16.75" customHeight="1" x14ac:dyDescent="0.25">
      <c r="A59" s="327"/>
      <c r="B59" s="328"/>
      <c r="C59" s="328"/>
      <c r="D59" s="328"/>
      <c r="E59" s="327"/>
      <c r="F59" s="327"/>
      <c r="G59" s="329"/>
      <c r="H59" s="329"/>
      <c r="I59" s="328"/>
      <c r="J59" s="328"/>
      <c r="K59" s="328"/>
      <c r="L59" s="328"/>
      <c r="M59" s="328"/>
      <c r="O59" s="327"/>
      <c r="P59" s="328"/>
      <c r="Q59" s="328"/>
      <c r="R59" s="328"/>
      <c r="S59" s="328"/>
      <c r="T59" s="328"/>
    </row>
    <row r="60" spans="1:21" ht="15" hidden="1" customHeight="1" x14ac:dyDescent="0.25">
      <c r="A60" s="308" t="s">
        <v>73</v>
      </c>
      <c r="B60" s="264">
        <v>982581</v>
      </c>
      <c r="C60" s="264">
        <v>158850</v>
      </c>
      <c r="D60" s="264">
        <v>158850</v>
      </c>
      <c r="E60" s="264">
        <v>1141430</v>
      </c>
      <c r="F60" s="264">
        <v>0</v>
      </c>
      <c r="G60" s="320"/>
      <c r="H60" s="320"/>
      <c r="I60" s="264">
        <v>739204</v>
      </c>
      <c r="J60" s="264">
        <v>0</v>
      </c>
      <c r="K60" s="264">
        <v>2396535</v>
      </c>
      <c r="L60" s="264">
        <v>15045259</v>
      </c>
      <c r="M60" s="264">
        <v>18180999</v>
      </c>
      <c r="N60" s="319"/>
      <c r="O60" s="319"/>
      <c r="P60" s="319"/>
      <c r="Q60" s="319"/>
      <c r="R60" s="309">
        <v>2009000</v>
      </c>
      <c r="S60" s="309">
        <v>370000000</v>
      </c>
      <c r="T60" s="309">
        <v>51632000</v>
      </c>
      <c r="U60" s="324"/>
    </row>
    <row r="61" spans="1:21" ht="15" hidden="1" customHeight="1" x14ac:dyDescent="0.25">
      <c r="A61" s="310" t="s">
        <v>74</v>
      </c>
      <c r="B61" s="176">
        <v>458949</v>
      </c>
      <c r="C61" s="176">
        <v>0</v>
      </c>
      <c r="D61" s="176">
        <v>0</v>
      </c>
      <c r="E61" s="176">
        <v>458949</v>
      </c>
      <c r="F61" s="176">
        <v>0</v>
      </c>
      <c r="G61" s="297"/>
      <c r="H61" s="297"/>
      <c r="I61" s="176">
        <v>0</v>
      </c>
      <c r="J61" s="176">
        <v>0</v>
      </c>
      <c r="K61" s="176">
        <v>0</v>
      </c>
      <c r="L61" s="176">
        <v>6498549</v>
      </c>
      <c r="M61" s="176">
        <v>6498549</v>
      </c>
      <c r="N61" s="298"/>
      <c r="O61" s="298"/>
      <c r="P61" s="298"/>
      <c r="Q61" s="298"/>
      <c r="R61" s="176">
        <v>783000</v>
      </c>
      <c r="S61" s="176">
        <v>0</v>
      </c>
      <c r="T61" s="176">
        <v>10262000</v>
      </c>
      <c r="U61" s="323"/>
    </row>
    <row r="62" spans="1:21" ht="15" hidden="1" customHeight="1" x14ac:dyDescent="0.25">
      <c r="A62" s="311" t="s">
        <v>75</v>
      </c>
      <c r="B62" s="279">
        <v>382201</v>
      </c>
      <c r="C62" s="279">
        <v>0</v>
      </c>
      <c r="D62" s="279">
        <v>0</v>
      </c>
      <c r="E62" s="279">
        <v>382201</v>
      </c>
      <c r="F62" s="279">
        <v>0</v>
      </c>
      <c r="G62" s="286"/>
      <c r="H62" s="286"/>
      <c r="I62" s="279">
        <v>0</v>
      </c>
      <c r="J62" s="279">
        <v>0</v>
      </c>
      <c r="K62" s="279">
        <v>0</v>
      </c>
      <c r="L62" s="279">
        <v>5392938</v>
      </c>
      <c r="M62" s="279">
        <v>5392938</v>
      </c>
      <c r="N62" s="282"/>
      <c r="O62" s="282"/>
      <c r="P62" s="282"/>
      <c r="Q62" s="282"/>
      <c r="R62" s="279">
        <v>715000</v>
      </c>
      <c r="S62" s="279">
        <v>0</v>
      </c>
      <c r="T62" s="279">
        <v>4931000</v>
      </c>
      <c r="U62" s="323"/>
    </row>
    <row r="63" spans="1:21" ht="15" hidden="1" customHeight="1" x14ac:dyDescent="0.25">
      <c r="A63" s="311" t="s">
        <v>237</v>
      </c>
      <c r="B63" s="279">
        <v>76748</v>
      </c>
      <c r="C63" s="279">
        <v>0</v>
      </c>
      <c r="D63" s="279">
        <v>0</v>
      </c>
      <c r="E63" s="279">
        <v>76748</v>
      </c>
      <c r="F63" s="279">
        <v>0</v>
      </c>
      <c r="G63" s="286"/>
      <c r="H63" s="286"/>
      <c r="I63" s="279">
        <v>0</v>
      </c>
      <c r="J63" s="279">
        <v>0</v>
      </c>
      <c r="K63" s="279">
        <v>0</v>
      </c>
      <c r="L63" s="279">
        <v>1105611</v>
      </c>
      <c r="M63" s="279">
        <v>1105611</v>
      </c>
      <c r="N63" s="282"/>
      <c r="O63" s="282"/>
      <c r="P63" s="282"/>
      <c r="Q63" s="282"/>
      <c r="R63" s="279">
        <v>68000</v>
      </c>
      <c r="S63" s="279">
        <v>0</v>
      </c>
      <c r="T63" s="279">
        <v>5331000</v>
      </c>
      <c r="U63" s="323"/>
    </row>
    <row r="64" spans="1:21" ht="15" hidden="1" customHeight="1" x14ac:dyDescent="0.25">
      <c r="A64" s="310" t="s">
        <v>76</v>
      </c>
      <c r="B64" s="176">
        <v>93233</v>
      </c>
      <c r="C64" s="176">
        <v>86218</v>
      </c>
      <c r="D64" s="176">
        <v>86218</v>
      </c>
      <c r="E64" s="176">
        <v>179451</v>
      </c>
      <c r="F64" s="176">
        <v>0</v>
      </c>
      <c r="G64" s="297"/>
      <c r="H64" s="297"/>
      <c r="I64" s="176">
        <v>0</v>
      </c>
      <c r="J64" s="176">
        <v>0</v>
      </c>
      <c r="K64" s="176">
        <v>711564</v>
      </c>
      <c r="L64" s="176">
        <v>1326100</v>
      </c>
      <c r="M64" s="176">
        <v>2037665</v>
      </c>
      <c r="N64" s="298"/>
      <c r="O64" s="298"/>
      <c r="P64" s="298"/>
      <c r="Q64" s="298"/>
      <c r="R64" s="176">
        <v>273000</v>
      </c>
      <c r="S64" s="176">
        <v>0</v>
      </c>
      <c r="T64" s="176">
        <v>4198000</v>
      </c>
      <c r="U64" s="323"/>
    </row>
    <row r="65" spans="1:21" ht="15" hidden="1" customHeight="1" x14ac:dyDescent="0.25">
      <c r="A65" s="311" t="s">
        <v>77</v>
      </c>
      <c r="B65" s="279">
        <v>93233</v>
      </c>
      <c r="C65" s="279">
        <v>86218</v>
      </c>
      <c r="D65" s="279">
        <v>86218</v>
      </c>
      <c r="E65" s="279">
        <v>179451</v>
      </c>
      <c r="F65" s="279">
        <v>0</v>
      </c>
      <c r="G65" s="286"/>
      <c r="H65" s="286"/>
      <c r="I65" s="279">
        <v>0</v>
      </c>
      <c r="J65" s="279">
        <v>0</v>
      </c>
      <c r="K65" s="279">
        <v>711564</v>
      </c>
      <c r="L65" s="279">
        <v>1326100</v>
      </c>
      <c r="M65" s="279">
        <v>2037665</v>
      </c>
      <c r="N65" s="282"/>
      <c r="O65" s="282"/>
      <c r="P65" s="282"/>
      <c r="Q65" s="282"/>
      <c r="R65" s="279">
        <v>273000</v>
      </c>
      <c r="S65" s="279">
        <v>0</v>
      </c>
      <c r="T65" s="279">
        <v>4198000</v>
      </c>
      <c r="U65" s="323"/>
    </row>
    <row r="66" spans="1:21" ht="15" hidden="1" customHeight="1" x14ac:dyDescent="0.25">
      <c r="A66" s="310" t="s">
        <v>337</v>
      </c>
      <c r="B66" s="176">
        <v>139647</v>
      </c>
      <c r="C66" s="176">
        <v>0</v>
      </c>
      <c r="D66" s="176">
        <v>0</v>
      </c>
      <c r="E66" s="176">
        <v>139647</v>
      </c>
      <c r="F66" s="176">
        <v>0</v>
      </c>
      <c r="G66" s="297"/>
      <c r="H66" s="297"/>
      <c r="I66" s="176">
        <v>739204</v>
      </c>
      <c r="J66" s="176">
        <v>0</v>
      </c>
      <c r="K66" s="176">
        <v>0</v>
      </c>
      <c r="L66" s="176">
        <v>3157041</v>
      </c>
      <c r="M66" s="176">
        <v>3896245</v>
      </c>
      <c r="N66" s="298"/>
      <c r="O66" s="298"/>
      <c r="P66" s="298"/>
      <c r="Q66" s="298"/>
      <c r="R66" s="176">
        <v>813000</v>
      </c>
      <c r="S66" s="176">
        <v>0</v>
      </c>
      <c r="T66" s="176">
        <v>7513000</v>
      </c>
      <c r="U66" s="323"/>
    </row>
    <row r="67" spans="1:21" ht="15" hidden="1" customHeight="1" x14ac:dyDescent="0.25">
      <c r="A67" s="311" t="s">
        <v>79</v>
      </c>
      <c r="B67" s="279">
        <v>139647</v>
      </c>
      <c r="C67" s="279">
        <v>0</v>
      </c>
      <c r="D67" s="279">
        <v>0</v>
      </c>
      <c r="E67" s="279">
        <v>139647</v>
      </c>
      <c r="F67" s="279">
        <v>0</v>
      </c>
      <c r="G67" s="286"/>
      <c r="H67" s="286"/>
      <c r="I67" s="279">
        <v>739204</v>
      </c>
      <c r="J67" s="279">
        <v>0</v>
      </c>
      <c r="K67" s="279">
        <v>0</v>
      </c>
      <c r="L67" s="279">
        <v>3157041</v>
      </c>
      <c r="M67" s="279">
        <v>3896245</v>
      </c>
      <c r="N67" s="282"/>
      <c r="O67" s="282"/>
      <c r="P67" s="282"/>
      <c r="Q67" s="282"/>
      <c r="R67" s="279">
        <v>813000</v>
      </c>
      <c r="S67" s="279">
        <v>0</v>
      </c>
      <c r="T67" s="279">
        <v>7513000</v>
      </c>
      <c r="U67" s="323"/>
    </row>
    <row r="68" spans="1:21" ht="15" hidden="1" customHeight="1" x14ac:dyDescent="0.25">
      <c r="A68" s="310" t="s">
        <v>80</v>
      </c>
      <c r="B68" s="176">
        <v>61824</v>
      </c>
      <c r="C68" s="176">
        <v>36668</v>
      </c>
      <c r="D68" s="176">
        <v>36668</v>
      </c>
      <c r="E68" s="176">
        <v>98493</v>
      </c>
      <c r="F68" s="176">
        <v>0</v>
      </c>
      <c r="G68" s="297"/>
      <c r="H68" s="297"/>
      <c r="I68" s="176">
        <v>0</v>
      </c>
      <c r="J68" s="176">
        <v>0</v>
      </c>
      <c r="K68" s="176">
        <v>181826</v>
      </c>
      <c r="L68" s="176">
        <v>890628</v>
      </c>
      <c r="M68" s="176">
        <v>1072454</v>
      </c>
      <c r="N68" s="298"/>
      <c r="O68" s="298"/>
      <c r="P68" s="298"/>
      <c r="Q68" s="298"/>
      <c r="R68" s="176">
        <v>0</v>
      </c>
      <c r="S68" s="176">
        <v>132000000</v>
      </c>
      <c r="T68" s="176">
        <v>2284000</v>
      </c>
      <c r="U68" s="323"/>
    </row>
    <row r="69" spans="1:21" ht="15" hidden="1" customHeight="1" x14ac:dyDescent="0.25">
      <c r="A69" s="311" t="s">
        <v>81</v>
      </c>
      <c r="B69" s="279">
        <v>61824</v>
      </c>
      <c r="C69" s="279">
        <v>36668</v>
      </c>
      <c r="D69" s="279">
        <v>36668</v>
      </c>
      <c r="E69" s="279">
        <v>98493</v>
      </c>
      <c r="F69" s="279">
        <v>0</v>
      </c>
      <c r="G69" s="286"/>
      <c r="H69" s="286"/>
      <c r="I69" s="279">
        <v>0</v>
      </c>
      <c r="J69" s="279">
        <v>0</v>
      </c>
      <c r="K69" s="279">
        <v>181826</v>
      </c>
      <c r="L69" s="279">
        <v>890628</v>
      </c>
      <c r="M69" s="279">
        <v>1072454</v>
      </c>
      <c r="N69" s="282"/>
      <c r="O69" s="282"/>
      <c r="P69" s="282"/>
      <c r="Q69" s="282"/>
      <c r="R69" s="279">
        <v>0</v>
      </c>
      <c r="S69" s="279">
        <v>132000000</v>
      </c>
      <c r="T69" s="279">
        <v>2284000</v>
      </c>
      <c r="U69" s="323"/>
    </row>
    <row r="70" spans="1:21" ht="15" hidden="1" customHeight="1" x14ac:dyDescent="0.25">
      <c r="A70" s="310" t="s">
        <v>82</v>
      </c>
      <c r="B70" s="176">
        <v>30304</v>
      </c>
      <c r="C70" s="176">
        <v>28558</v>
      </c>
      <c r="D70" s="176">
        <v>28558</v>
      </c>
      <c r="E70" s="176">
        <v>58862</v>
      </c>
      <c r="F70" s="176">
        <v>0</v>
      </c>
      <c r="G70" s="297"/>
      <c r="H70" s="297"/>
      <c r="I70" s="176">
        <v>0</v>
      </c>
      <c r="J70" s="176">
        <v>0</v>
      </c>
      <c r="K70" s="176">
        <v>233658</v>
      </c>
      <c r="L70" s="176">
        <v>436603</v>
      </c>
      <c r="M70" s="176">
        <v>670261</v>
      </c>
      <c r="N70" s="298"/>
      <c r="O70" s="298"/>
      <c r="P70" s="298"/>
      <c r="Q70" s="298"/>
      <c r="R70" s="176">
        <v>140000</v>
      </c>
      <c r="S70" s="176">
        <v>0</v>
      </c>
      <c r="T70" s="176">
        <v>2439000</v>
      </c>
      <c r="U70" s="323"/>
    </row>
    <row r="71" spans="1:21" ht="15" hidden="1" customHeight="1" x14ac:dyDescent="0.25">
      <c r="A71" s="311" t="s">
        <v>83</v>
      </c>
      <c r="B71" s="279">
        <v>1386</v>
      </c>
      <c r="C71" s="279">
        <v>6388</v>
      </c>
      <c r="D71" s="279">
        <v>6388</v>
      </c>
      <c r="E71" s="279">
        <v>7774</v>
      </c>
      <c r="F71" s="279">
        <v>0</v>
      </c>
      <c r="G71" s="286"/>
      <c r="H71" s="286"/>
      <c r="I71" s="279">
        <v>0</v>
      </c>
      <c r="J71" s="279">
        <v>0</v>
      </c>
      <c r="K71" s="279">
        <v>52264</v>
      </c>
      <c r="L71" s="279">
        <v>19967</v>
      </c>
      <c r="M71" s="279">
        <v>72232</v>
      </c>
      <c r="N71" s="282"/>
      <c r="O71" s="282"/>
      <c r="P71" s="282"/>
      <c r="Q71" s="282"/>
      <c r="R71" s="312">
        <v>9000</v>
      </c>
      <c r="S71" s="279">
        <v>0</v>
      </c>
      <c r="T71" s="279">
        <v>518000</v>
      </c>
      <c r="U71" s="323"/>
    </row>
    <row r="72" spans="1:21" ht="15" hidden="1" customHeight="1" x14ac:dyDescent="0.25">
      <c r="A72" s="311" t="s">
        <v>84</v>
      </c>
      <c r="B72" s="279">
        <v>1867</v>
      </c>
      <c r="C72" s="279">
        <v>14394</v>
      </c>
      <c r="D72" s="279">
        <v>14394</v>
      </c>
      <c r="E72" s="279">
        <v>16261</v>
      </c>
      <c r="F72" s="279">
        <v>0</v>
      </c>
      <c r="G72" s="286"/>
      <c r="H72" s="286"/>
      <c r="I72" s="279">
        <v>0</v>
      </c>
      <c r="J72" s="279">
        <v>0</v>
      </c>
      <c r="K72" s="279">
        <v>117768</v>
      </c>
      <c r="L72" s="279">
        <v>26897</v>
      </c>
      <c r="M72" s="279">
        <v>144665</v>
      </c>
      <c r="N72" s="282"/>
      <c r="O72" s="282"/>
      <c r="P72" s="282"/>
      <c r="Q72" s="282"/>
      <c r="R72" s="312">
        <v>28000</v>
      </c>
      <c r="S72" s="279">
        <v>0</v>
      </c>
      <c r="T72" s="279">
        <v>1207000</v>
      </c>
      <c r="U72" s="323"/>
    </row>
    <row r="73" spans="1:21" ht="15" hidden="1" customHeight="1" x14ac:dyDescent="0.25">
      <c r="A73" s="311" t="s">
        <v>85</v>
      </c>
      <c r="B73" s="279">
        <v>27051</v>
      </c>
      <c r="C73" s="279">
        <v>7777</v>
      </c>
      <c r="D73" s="279">
        <v>7777</v>
      </c>
      <c r="E73" s="279">
        <v>34827</v>
      </c>
      <c r="F73" s="279">
        <v>0</v>
      </c>
      <c r="G73" s="286"/>
      <c r="H73" s="286"/>
      <c r="I73" s="279">
        <v>0</v>
      </c>
      <c r="J73" s="279">
        <v>0</v>
      </c>
      <c r="K73" s="279">
        <v>63626</v>
      </c>
      <c r="L73" s="279">
        <v>389738</v>
      </c>
      <c r="M73" s="279">
        <v>453364</v>
      </c>
      <c r="N73" s="282"/>
      <c r="O73" s="282"/>
      <c r="P73" s="282"/>
      <c r="Q73" s="282"/>
      <c r="R73" s="279">
        <v>103000</v>
      </c>
      <c r="S73" s="279">
        <v>0</v>
      </c>
      <c r="T73" s="279">
        <v>714000</v>
      </c>
      <c r="U73" s="323"/>
    </row>
    <row r="74" spans="1:21" ht="15" hidden="1" customHeight="1" x14ac:dyDescent="0.25">
      <c r="A74" s="310" t="s">
        <v>86</v>
      </c>
      <c r="B74" s="176">
        <v>198623</v>
      </c>
      <c r="C74" s="176">
        <v>7405</v>
      </c>
      <c r="D74" s="176">
        <v>7405</v>
      </c>
      <c r="E74" s="176">
        <v>206029</v>
      </c>
      <c r="F74" s="176">
        <v>0</v>
      </c>
      <c r="G74" s="297"/>
      <c r="H74" s="297"/>
      <c r="I74" s="176">
        <v>0</v>
      </c>
      <c r="J74" s="176">
        <v>0</v>
      </c>
      <c r="K74" s="176">
        <v>1269487</v>
      </c>
      <c r="L74" s="176">
        <v>2736338</v>
      </c>
      <c r="M74" s="176">
        <v>4005825</v>
      </c>
      <c r="N74" s="298"/>
      <c r="O74" s="298"/>
      <c r="P74" s="298"/>
      <c r="Q74" s="298"/>
      <c r="R74" s="176">
        <v>0</v>
      </c>
      <c r="S74" s="176">
        <v>238000000</v>
      </c>
      <c r="T74" s="176">
        <v>24936000</v>
      </c>
      <c r="U74" s="323"/>
    </row>
    <row r="75" spans="1:21" ht="15" hidden="1" customHeight="1" x14ac:dyDescent="0.25">
      <c r="A75" s="311" t="s">
        <v>87</v>
      </c>
      <c r="B75" s="279">
        <v>198623</v>
      </c>
      <c r="C75" s="279">
        <v>7405</v>
      </c>
      <c r="D75" s="279">
        <v>7405</v>
      </c>
      <c r="E75" s="279">
        <v>206029</v>
      </c>
      <c r="F75" s="279">
        <v>0</v>
      </c>
      <c r="G75" s="286"/>
      <c r="H75" s="286"/>
      <c r="I75" s="279">
        <v>0</v>
      </c>
      <c r="J75" s="279">
        <v>0</v>
      </c>
      <c r="K75" s="279">
        <v>1269487</v>
      </c>
      <c r="L75" s="279">
        <v>2736338</v>
      </c>
      <c r="M75" s="279">
        <v>4005825</v>
      </c>
      <c r="N75" s="282"/>
      <c r="O75" s="282"/>
      <c r="P75" s="282"/>
      <c r="Q75" s="282"/>
      <c r="R75" s="279">
        <v>0</v>
      </c>
      <c r="S75" s="279">
        <v>238000000</v>
      </c>
      <c r="T75" s="279">
        <v>24936000</v>
      </c>
      <c r="U75" s="323"/>
    </row>
    <row r="76" spans="1:21" ht="15" hidden="1" customHeight="1" x14ac:dyDescent="0.25">
      <c r="A76" s="308" t="s">
        <v>88</v>
      </c>
      <c r="B76" s="264">
        <v>2945644</v>
      </c>
      <c r="C76" s="264">
        <v>27585</v>
      </c>
      <c r="D76" s="264">
        <v>27585</v>
      </c>
      <c r="E76" s="264">
        <v>2973228</v>
      </c>
      <c r="F76" s="264">
        <v>0</v>
      </c>
      <c r="G76" s="320"/>
      <c r="H76" s="320"/>
      <c r="I76" s="264">
        <v>9072</v>
      </c>
      <c r="J76" s="264">
        <v>7033</v>
      </c>
      <c r="K76" s="264">
        <v>406990</v>
      </c>
      <c r="L76" s="264">
        <v>28826280</v>
      </c>
      <c r="M76" s="264">
        <v>29249375</v>
      </c>
      <c r="N76" s="319"/>
      <c r="O76" s="319"/>
      <c r="P76" s="319"/>
      <c r="Q76" s="319"/>
      <c r="R76" s="264">
        <v>2323000</v>
      </c>
      <c r="S76" s="264">
        <v>0</v>
      </c>
      <c r="T76" s="264">
        <v>46582000</v>
      </c>
      <c r="U76" s="324"/>
    </row>
    <row r="77" spans="1:21" ht="15" hidden="1" customHeight="1" x14ac:dyDescent="0.25">
      <c r="A77" s="310" t="s">
        <v>89</v>
      </c>
      <c r="B77" s="176">
        <v>262225</v>
      </c>
      <c r="C77" s="176">
        <v>0</v>
      </c>
      <c r="D77" s="176">
        <v>0</v>
      </c>
      <c r="E77" s="176">
        <v>262225</v>
      </c>
      <c r="F77" s="176">
        <v>0</v>
      </c>
      <c r="G77" s="297"/>
      <c r="H77" s="297"/>
      <c r="I77" s="176">
        <v>9072</v>
      </c>
      <c r="J77" s="176">
        <v>0</v>
      </c>
      <c r="K77" s="176">
        <v>0</v>
      </c>
      <c r="L77" s="176">
        <v>3812964</v>
      </c>
      <c r="M77" s="176">
        <v>3822037</v>
      </c>
      <c r="N77" s="298"/>
      <c r="O77" s="298"/>
      <c r="P77" s="298"/>
      <c r="Q77" s="298"/>
      <c r="R77" s="176">
        <v>548000</v>
      </c>
      <c r="S77" s="176">
        <v>0</v>
      </c>
      <c r="T77" s="176">
        <v>27174000</v>
      </c>
      <c r="U77" s="323"/>
    </row>
    <row r="78" spans="1:21" ht="15" hidden="1" customHeight="1" x14ac:dyDescent="0.25">
      <c r="A78" s="311" t="s">
        <v>90</v>
      </c>
      <c r="B78" s="279">
        <v>262225</v>
      </c>
      <c r="C78" s="279">
        <v>0</v>
      </c>
      <c r="D78" s="279">
        <v>0</v>
      </c>
      <c r="E78" s="279">
        <v>262225</v>
      </c>
      <c r="F78" s="279">
        <v>0</v>
      </c>
      <c r="G78" s="286"/>
      <c r="H78" s="286"/>
      <c r="I78" s="279">
        <v>9072</v>
      </c>
      <c r="J78" s="279">
        <v>0</v>
      </c>
      <c r="K78" s="279">
        <v>0</v>
      </c>
      <c r="L78" s="279">
        <v>3812964</v>
      </c>
      <c r="M78" s="279">
        <v>3822037</v>
      </c>
      <c r="N78" s="282"/>
      <c r="O78" s="282"/>
      <c r="P78" s="282"/>
      <c r="Q78" s="282"/>
      <c r="R78" s="279">
        <v>548000</v>
      </c>
      <c r="S78" s="279">
        <v>0</v>
      </c>
      <c r="T78" s="279">
        <v>27174000</v>
      </c>
      <c r="U78" s="323"/>
    </row>
    <row r="79" spans="1:21" ht="15" hidden="1" customHeight="1" x14ac:dyDescent="0.25">
      <c r="A79" s="311" t="s">
        <v>91</v>
      </c>
      <c r="B79" s="282"/>
      <c r="C79" s="282"/>
      <c r="D79" s="282"/>
      <c r="E79" s="282"/>
      <c r="F79" s="282"/>
      <c r="G79" s="286"/>
      <c r="H79" s="286"/>
      <c r="I79" s="282"/>
      <c r="J79" s="282"/>
      <c r="K79" s="282"/>
      <c r="L79" s="282"/>
      <c r="M79" s="282"/>
      <c r="N79" s="282"/>
      <c r="O79" s="282"/>
      <c r="P79" s="282"/>
      <c r="Q79" s="282"/>
      <c r="R79" s="282"/>
      <c r="S79" s="282"/>
      <c r="T79" s="282"/>
      <c r="U79" s="323"/>
    </row>
    <row r="80" spans="1:21" ht="15" hidden="1" customHeight="1" x14ac:dyDescent="0.25">
      <c r="A80" s="310" t="s">
        <v>92</v>
      </c>
      <c r="B80" s="298"/>
      <c r="C80" s="298"/>
      <c r="D80" s="298"/>
      <c r="E80" s="298"/>
      <c r="F80" s="298"/>
      <c r="G80" s="297"/>
      <c r="H80" s="297"/>
      <c r="I80" s="298"/>
      <c r="J80" s="298"/>
      <c r="K80" s="298"/>
      <c r="L80" s="298"/>
      <c r="M80" s="298"/>
      <c r="N80" s="298"/>
      <c r="O80" s="298"/>
      <c r="P80" s="298"/>
      <c r="Q80" s="298"/>
      <c r="R80" s="176">
        <v>0</v>
      </c>
      <c r="S80" s="176">
        <v>0</v>
      </c>
      <c r="T80" s="176">
        <v>0</v>
      </c>
      <c r="U80" s="323"/>
    </row>
    <row r="81" spans="1:21" ht="15" hidden="1" customHeight="1" x14ac:dyDescent="0.25">
      <c r="A81" s="311" t="s">
        <v>93</v>
      </c>
      <c r="B81" s="282"/>
      <c r="C81" s="282"/>
      <c r="D81" s="282"/>
      <c r="E81" s="282"/>
      <c r="F81" s="282"/>
      <c r="G81" s="286"/>
      <c r="H81" s="286"/>
      <c r="I81" s="282"/>
      <c r="J81" s="282"/>
      <c r="K81" s="282"/>
      <c r="L81" s="282"/>
      <c r="M81" s="282"/>
      <c r="N81" s="282"/>
      <c r="O81" s="282"/>
      <c r="P81" s="282"/>
      <c r="Q81" s="282"/>
      <c r="R81" s="279">
        <v>0</v>
      </c>
      <c r="S81" s="279">
        <v>0</v>
      </c>
      <c r="T81" s="279">
        <v>0</v>
      </c>
      <c r="U81" s="323"/>
    </row>
    <row r="82" spans="1:21" ht="15" hidden="1" customHeight="1" x14ac:dyDescent="0.25">
      <c r="A82" s="311" t="s">
        <v>94</v>
      </c>
      <c r="B82" s="282"/>
      <c r="C82" s="282"/>
      <c r="D82" s="282"/>
      <c r="E82" s="282"/>
      <c r="F82" s="282"/>
      <c r="G82" s="286"/>
      <c r="H82" s="286"/>
      <c r="I82" s="282"/>
      <c r="J82" s="282"/>
      <c r="K82" s="282"/>
      <c r="L82" s="282"/>
      <c r="M82" s="282"/>
      <c r="N82" s="282"/>
      <c r="O82" s="282"/>
      <c r="P82" s="282"/>
      <c r="Q82" s="282"/>
      <c r="R82" s="282"/>
      <c r="S82" s="282"/>
      <c r="T82" s="282"/>
      <c r="U82" s="323"/>
    </row>
    <row r="83" spans="1:21" ht="15" hidden="1" customHeight="1" x14ac:dyDescent="0.25">
      <c r="A83" s="310" t="s">
        <v>95</v>
      </c>
      <c r="B83" s="176">
        <v>2165898</v>
      </c>
      <c r="C83" s="176">
        <v>0</v>
      </c>
      <c r="D83" s="176">
        <v>0</v>
      </c>
      <c r="E83" s="176">
        <v>2165898</v>
      </c>
      <c r="F83" s="176">
        <v>0</v>
      </c>
      <c r="G83" s="297"/>
      <c r="H83" s="297"/>
      <c r="I83" s="176">
        <v>0</v>
      </c>
      <c r="J83" s="176">
        <v>0</v>
      </c>
      <c r="K83" s="176">
        <v>0</v>
      </c>
      <c r="L83" s="176">
        <v>15891004</v>
      </c>
      <c r="M83" s="176">
        <v>15891004</v>
      </c>
      <c r="N83" s="298"/>
      <c r="O83" s="298"/>
      <c r="P83" s="298"/>
      <c r="Q83" s="298"/>
      <c r="R83" s="176">
        <v>983000</v>
      </c>
      <c r="S83" s="176">
        <v>0</v>
      </c>
      <c r="T83" s="176">
        <v>8607000</v>
      </c>
      <c r="U83" s="323"/>
    </row>
    <row r="84" spans="1:21" ht="15" hidden="1" customHeight="1" x14ac:dyDescent="0.25">
      <c r="A84" s="311" t="s">
        <v>96</v>
      </c>
      <c r="B84" s="279">
        <v>2165898</v>
      </c>
      <c r="C84" s="279">
        <v>0</v>
      </c>
      <c r="D84" s="279">
        <v>0</v>
      </c>
      <c r="E84" s="279">
        <v>2165898</v>
      </c>
      <c r="F84" s="279">
        <v>0</v>
      </c>
      <c r="G84" s="286"/>
      <c r="H84" s="286"/>
      <c r="I84" s="279">
        <v>0</v>
      </c>
      <c r="J84" s="279">
        <v>0</v>
      </c>
      <c r="K84" s="279">
        <v>0</v>
      </c>
      <c r="L84" s="279">
        <v>15891004</v>
      </c>
      <c r="M84" s="279">
        <v>15891004</v>
      </c>
      <c r="N84" s="282"/>
      <c r="O84" s="282"/>
      <c r="P84" s="282"/>
      <c r="Q84" s="282"/>
      <c r="R84" s="279">
        <v>983000</v>
      </c>
      <c r="S84" s="279">
        <v>0</v>
      </c>
      <c r="T84" s="279">
        <v>8607000</v>
      </c>
      <c r="U84" s="323"/>
    </row>
    <row r="85" spans="1:21" ht="15" hidden="1" customHeight="1" x14ac:dyDescent="0.25">
      <c r="A85" s="310" t="s">
        <v>97</v>
      </c>
      <c r="B85" s="176">
        <v>51304</v>
      </c>
      <c r="C85" s="176">
        <v>27585</v>
      </c>
      <c r="D85" s="176">
        <v>27585</v>
      </c>
      <c r="E85" s="176">
        <v>78889</v>
      </c>
      <c r="F85" s="176">
        <v>0</v>
      </c>
      <c r="G85" s="297"/>
      <c r="H85" s="297"/>
      <c r="I85" s="176">
        <v>0</v>
      </c>
      <c r="J85" s="176">
        <v>7033</v>
      </c>
      <c r="K85" s="176">
        <v>406990</v>
      </c>
      <c r="L85" s="176">
        <v>926731</v>
      </c>
      <c r="M85" s="176">
        <v>1340754</v>
      </c>
      <c r="N85" s="298"/>
      <c r="O85" s="298"/>
      <c r="P85" s="298"/>
      <c r="Q85" s="298"/>
      <c r="R85" s="176">
        <v>195000</v>
      </c>
      <c r="S85" s="176">
        <v>0</v>
      </c>
      <c r="T85" s="176">
        <v>5243000</v>
      </c>
      <c r="U85" s="323"/>
    </row>
    <row r="86" spans="1:21" ht="15" hidden="1" customHeight="1" x14ac:dyDescent="0.25">
      <c r="A86" s="311" t="s">
        <v>273</v>
      </c>
      <c r="B86" s="279">
        <v>50154</v>
      </c>
      <c r="C86" s="279">
        <v>24361</v>
      </c>
      <c r="D86" s="279">
        <v>24361</v>
      </c>
      <c r="E86" s="279">
        <v>74515</v>
      </c>
      <c r="F86" s="279">
        <v>0</v>
      </c>
      <c r="G86" s="286"/>
      <c r="H86" s="286"/>
      <c r="I86" s="279">
        <v>0</v>
      </c>
      <c r="J86" s="279">
        <v>1</v>
      </c>
      <c r="K86" s="279">
        <v>359424</v>
      </c>
      <c r="L86" s="279">
        <v>904412</v>
      </c>
      <c r="M86" s="279">
        <v>1263837</v>
      </c>
      <c r="N86" s="282"/>
      <c r="O86" s="282"/>
      <c r="P86" s="282"/>
      <c r="Q86" s="282"/>
      <c r="R86" s="279">
        <v>129000</v>
      </c>
      <c r="S86" s="279">
        <v>0</v>
      </c>
      <c r="T86" s="279">
        <v>2969000</v>
      </c>
      <c r="U86" s="323"/>
    </row>
    <row r="87" spans="1:21" ht="15" hidden="1" customHeight="1" x14ac:dyDescent="0.25">
      <c r="A87" s="311" t="s">
        <v>98</v>
      </c>
      <c r="B87" s="279">
        <v>1150</v>
      </c>
      <c r="C87" s="279">
        <v>3224</v>
      </c>
      <c r="D87" s="279">
        <v>3224</v>
      </c>
      <c r="E87" s="279">
        <v>4374</v>
      </c>
      <c r="F87" s="279">
        <v>0</v>
      </c>
      <c r="G87" s="286"/>
      <c r="H87" s="286"/>
      <c r="I87" s="279">
        <v>0</v>
      </c>
      <c r="J87" s="279">
        <v>7033</v>
      </c>
      <c r="K87" s="279">
        <v>47566</v>
      </c>
      <c r="L87" s="279">
        <v>22319</v>
      </c>
      <c r="M87" s="279">
        <v>76917</v>
      </c>
      <c r="N87" s="282"/>
      <c r="O87" s="282"/>
      <c r="P87" s="282"/>
      <c r="Q87" s="282"/>
      <c r="R87" s="279">
        <v>66000</v>
      </c>
      <c r="S87" s="279">
        <v>0</v>
      </c>
      <c r="T87" s="279">
        <v>2274000</v>
      </c>
      <c r="U87" s="323"/>
    </row>
    <row r="88" spans="1:21" ht="15" hidden="1" customHeight="1" x14ac:dyDescent="0.25">
      <c r="A88" s="310" t="s">
        <v>99</v>
      </c>
      <c r="B88" s="176">
        <v>466216</v>
      </c>
      <c r="C88" s="176">
        <v>0</v>
      </c>
      <c r="D88" s="176">
        <v>0</v>
      </c>
      <c r="E88" s="176">
        <v>466216</v>
      </c>
      <c r="F88" s="176">
        <v>0</v>
      </c>
      <c r="G88" s="297"/>
      <c r="H88" s="297"/>
      <c r="I88" s="176">
        <v>0</v>
      </c>
      <c r="J88" s="176">
        <v>0</v>
      </c>
      <c r="K88" s="176">
        <v>0</v>
      </c>
      <c r="L88" s="176">
        <v>8195580</v>
      </c>
      <c r="M88" s="176">
        <v>8195580</v>
      </c>
      <c r="N88" s="298"/>
      <c r="O88" s="298"/>
      <c r="P88" s="298"/>
      <c r="Q88" s="298"/>
      <c r="R88" s="176">
        <v>597000</v>
      </c>
      <c r="S88" s="176">
        <v>0</v>
      </c>
      <c r="T88" s="176">
        <v>5558000</v>
      </c>
      <c r="U88" s="323"/>
    </row>
    <row r="89" spans="1:21" ht="15" hidden="1" customHeight="1" x14ac:dyDescent="0.25">
      <c r="A89" s="311" t="s">
        <v>100</v>
      </c>
      <c r="B89" s="279">
        <v>466216</v>
      </c>
      <c r="C89" s="279">
        <v>0</v>
      </c>
      <c r="D89" s="279">
        <v>0</v>
      </c>
      <c r="E89" s="279">
        <v>466216</v>
      </c>
      <c r="F89" s="279">
        <v>0</v>
      </c>
      <c r="G89" s="286"/>
      <c r="H89" s="286"/>
      <c r="I89" s="279">
        <v>0</v>
      </c>
      <c r="J89" s="279">
        <v>0</v>
      </c>
      <c r="K89" s="279">
        <v>0</v>
      </c>
      <c r="L89" s="279">
        <v>8195580</v>
      </c>
      <c r="M89" s="279">
        <v>8195580</v>
      </c>
      <c r="N89" s="282"/>
      <c r="O89" s="282"/>
      <c r="P89" s="282"/>
      <c r="Q89" s="282"/>
      <c r="R89" s="279">
        <v>597000</v>
      </c>
      <c r="S89" s="279">
        <v>0</v>
      </c>
      <c r="T89" s="279">
        <v>5558000</v>
      </c>
      <c r="U89" s="323"/>
    </row>
    <row r="90" spans="1:21" ht="15" hidden="1" customHeight="1" x14ac:dyDescent="0.25">
      <c r="A90" s="308" t="s">
        <v>103</v>
      </c>
      <c r="B90" s="264">
        <v>1956764</v>
      </c>
      <c r="C90" s="264">
        <v>676883</v>
      </c>
      <c r="D90" s="264">
        <v>534006</v>
      </c>
      <c r="E90" s="264">
        <v>2490769</v>
      </c>
      <c r="F90" s="264">
        <v>0</v>
      </c>
      <c r="G90" s="320"/>
      <c r="H90" s="320"/>
      <c r="I90" s="264">
        <v>1846761</v>
      </c>
      <c r="J90" s="264">
        <v>465332</v>
      </c>
      <c r="K90" s="264">
        <v>9173875</v>
      </c>
      <c r="L90" s="264">
        <v>23399988</v>
      </c>
      <c r="M90" s="264">
        <v>34885957</v>
      </c>
      <c r="N90" s="319"/>
      <c r="O90" s="319"/>
      <c r="P90" s="319"/>
      <c r="Q90" s="319"/>
      <c r="R90" s="264">
        <v>3194000</v>
      </c>
      <c r="S90" s="264">
        <v>0</v>
      </c>
      <c r="T90" s="264">
        <v>53595000</v>
      </c>
      <c r="U90" s="324"/>
    </row>
    <row r="91" spans="1:21" ht="15" hidden="1" customHeight="1" x14ac:dyDescent="0.25">
      <c r="A91" s="310" t="s">
        <v>104</v>
      </c>
      <c r="B91" s="176">
        <v>43825</v>
      </c>
      <c r="C91" s="176">
        <v>3651</v>
      </c>
      <c r="D91" s="176">
        <v>3651</v>
      </c>
      <c r="E91" s="176">
        <v>47477</v>
      </c>
      <c r="F91" s="176">
        <v>0</v>
      </c>
      <c r="G91" s="297"/>
      <c r="H91" s="297"/>
      <c r="I91" s="176">
        <v>0</v>
      </c>
      <c r="J91" s="176">
        <v>0</v>
      </c>
      <c r="K91" s="176">
        <v>773239</v>
      </c>
      <c r="L91" s="176">
        <v>653906</v>
      </c>
      <c r="M91" s="176">
        <v>1427144</v>
      </c>
      <c r="N91" s="298"/>
      <c r="O91" s="298"/>
      <c r="P91" s="298"/>
      <c r="Q91" s="298"/>
      <c r="R91" s="176">
        <v>213000</v>
      </c>
      <c r="S91" s="176">
        <v>0</v>
      </c>
      <c r="T91" s="176">
        <v>2914000</v>
      </c>
      <c r="U91" s="323"/>
    </row>
    <row r="92" spans="1:21" ht="15" hidden="1" customHeight="1" x14ac:dyDescent="0.25">
      <c r="A92" s="311" t="s">
        <v>105</v>
      </c>
      <c r="B92" s="279">
        <v>38248</v>
      </c>
      <c r="C92" s="279">
        <v>3651</v>
      </c>
      <c r="D92" s="279">
        <v>3651</v>
      </c>
      <c r="E92" s="279">
        <v>41900</v>
      </c>
      <c r="F92" s="279">
        <v>0</v>
      </c>
      <c r="G92" s="286"/>
      <c r="H92" s="286"/>
      <c r="I92" s="279">
        <v>0</v>
      </c>
      <c r="J92" s="279">
        <v>0</v>
      </c>
      <c r="K92" s="279">
        <v>773239</v>
      </c>
      <c r="L92" s="279">
        <v>574867</v>
      </c>
      <c r="M92" s="279">
        <v>1348106</v>
      </c>
      <c r="N92" s="282"/>
      <c r="O92" s="282"/>
      <c r="P92" s="282"/>
      <c r="Q92" s="282"/>
      <c r="R92" s="279">
        <v>213000</v>
      </c>
      <c r="S92" s="282"/>
      <c r="T92" s="279">
        <v>2914000</v>
      </c>
      <c r="U92" s="323"/>
    </row>
    <row r="93" spans="1:21" ht="15" hidden="1" customHeight="1" x14ac:dyDescent="0.25">
      <c r="A93" s="311" t="s">
        <v>338</v>
      </c>
      <c r="B93" s="279">
        <v>5577</v>
      </c>
      <c r="C93" s="279">
        <v>0</v>
      </c>
      <c r="D93" s="279">
        <v>0</v>
      </c>
      <c r="E93" s="279">
        <v>5577</v>
      </c>
      <c r="F93" s="279">
        <v>0</v>
      </c>
      <c r="G93" s="286"/>
      <c r="H93" s="286"/>
      <c r="I93" s="279">
        <v>0</v>
      </c>
      <c r="J93" s="279">
        <v>0</v>
      </c>
      <c r="K93" s="279">
        <v>0</v>
      </c>
      <c r="L93" s="279">
        <v>79038</v>
      </c>
      <c r="M93" s="279">
        <v>79038</v>
      </c>
      <c r="N93" s="282"/>
      <c r="O93" s="282"/>
      <c r="P93" s="282"/>
      <c r="Q93" s="282"/>
      <c r="R93" s="282"/>
      <c r="S93" s="282"/>
      <c r="T93" s="282"/>
      <c r="U93" s="323"/>
    </row>
    <row r="94" spans="1:21" ht="15" hidden="1" customHeight="1" x14ac:dyDescent="0.25">
      <c r="A94" s="311" t="s">
        <v>94</v>
      </c>
      <c r="B94" s="282"/>
      <c r="C94" s="282"/>
      <c r="D94" s="282"/>
      <c r="E94" s="282"/>
      <c r="F94" s="282"/>
      <c r="G94" s="286"/>
      <c r="H94" s="286"/>
      <c r="I94" s="282"/>
      <c r="J94" s="282"/>
      <c r="K94" s="282"/>
      <c r="L94" s="282"/>
      <c r="M94" s="282"/>
      <c r="N94" s="282"/>
      <c r="O94" s="282"/>
      <c r="P94" s="282"/>
      <c r="Q94" s="282"/>
      <c r="R94" s="279">
        <v>0</v>
      </c>
      <c r="S94" s="279">
        <v>0</v>
      </c>
      <c r="T94" s="279">
        <v>0</v>
      </c>
      <c r="U94" s="323"/>
    </row>
    <row r="95" spans="1:21" ht="15" hidden="1" customHeight="1" x14ac:dyDescent="0.25">
      <c r="A95" s="311" t="s">
        <v>283</v>
      </c>
      <c r="B95" s="282"/>
      <c r="C95" s="282"/>
      <c r="D95" s="282"/>
      <c r="E95" s="282"/>
      <c r="F95" s="282"/>
      <c r="G95" s="286"/>
      <c r="H95" s="286"/>
      <c r="I95" s="282"/>
      <c r="J95" s="282"/>
      <c r="K95" s="282"/>
      <c r="L95" s="282"/>
      <c r="M95" s="282"/>
      <c r="N95" s="282"/>
      <c r="O95" s="282"/>
      <c r="P95" s="282"/>
      <c r="Q95" s="282"/>
      <c r="R95" s="282"/>
      <c r="S95" s="282"/>
      <c r="T95" s="282"/>
      <c r="U95" s="323"/>
    </row>
    <row r="96" spans="1:21" ht="15" hidden="1" customHeight="1" x14ac:dyDescent="0.25">
      <c r="A96" s="311" t="s">
        <v>284</v>
      </c>
      <c r="B96" s="282"/>
      <c r="C96" s="282"/>
      <c r="D96" s="282"/>
      <c r="E96" s="282"/>
      <c r="F96" s="282"/>
      <c r="G96" s="286"/>
      <c r="H96" s="286"/>
      <c r="I96" s="282"/>
      <c r="J96" s="282"/>
      <c r="K96" s="282"/>
      <c r="L96" s="282"/>
      <c r="M96" s="282"/>
      <c r="N96" s="282"/>
      <c r="O96" s="282"/>
      <c r="P96" s="282"/>
      <c r="Q96" s="282"/>
      <c r="R96" s="282"/>
      <c r="S96" s="282"/>
      <c r="T96" s="282"/>
      <c r="U96" s="323"/>
    </row>
    <row r="97" spans="1:21" ht="15" hidden="1" customHeight="1" x14ac:dyDescent="0.25">
      <c r="A97" s="311" t="s">
        <v>285</v>
      </c>
      <c r="B97" s="282"/>
      <c r="C97" s="282"/>
      <c r="D97" s="282"/>
      <c r="E97" s="282"/>
      <c r="F97" s="282"/>
      <c r="G97" s="286"/>
      <c r="H97" s="286"/>
      <c r="I97" s="282"/>
      <c r="J97" s="282"/>
      <c r="K97" s="282"/>
      <c r="L97" s="282"/>
      <c r="M97" s="282"/>
      <c r="N97" s="282"/>
      <c r="O97" s="282"/>
      <c r="P97" s="282"/>
      <c r="Q97" s="282"/>
      <c r="R97" s="282"/>
      <c r="S97" s="282"/>
      <c r="T97" s="282"/>
      <c r="U97" s="323"/>
    </row>
    <row r="98" spans="1:21" ht="15" hidden="1" customHeight="1" x14ac:dyDescent="0.25">
      <c r="A98" s="310" t="s">
        <v>109</v>
      </c>
      <c r="B98" s="176">
        <v>1912938</v>
      </c>
      <c r="C98" s="176">
        <v>673231</v>
      </c>
      <c r="D98" s="176">
        <v>530354</v>
      </c>
      <c r="E98" s="176">
        <v>2443293</v>
      </c>
      <c r="F98" s="176">
        <v>0</v>
      </c>
      <c r="G98" s="297"/>
      <c r="H98" s="297"/>
      <c r="I98" s="176">
        <v>1846761</v>
      </c>
      <c r="J98" s="176">
        <v>465332</v>
      </c>
      <c r="K98" s="176">
        <v>8400636</v>
      </c>
      <c r="L98" s="176">
        <v>22746082</v>
      </c>
      <c r="M98" s="176">
        <v>33458812</v>
      </c>
      <c r="N98" s="298"/>
      <c r="O98" s="298"/>
      <c r="P98" s="298"/>
      <c r="Q98" s="298"/>
      <c r="R98" s="176">
        <v>2981000</v>
      </c>
      <c r="S98" s="176">
        <v>0</v>
      </c>
      <c r="T98" s="176">
        <v>50681000</v>
      </c>
      <c r="U98" s="323"/>
    </row>
    <row r="99" spans="1:21" ht="15" hidden="1" customHeight="1" x14ac:dyDescent="0.25">
      <c r="A99" s="311" t="s">
        <v>110</v>
      </c>
      <c r="B99" s="279">
        <v>4936</v>
      </c>
      <c r="C99" s="279">
        <v>7514</v>
      </c>
      <c r="D99" s="279">
        <v>7514</v>
      </c>
      <c r="E99" s="279">
        <v>12451</v>
      </c>
      <c r="F99" s="279">
        <v>0</v>
      </c>
      <c r="G99" s="286"/>
      <c r="H99" s="286"/>
      <c r="I99" s="279">
        <v>0</v>
      </c>
      <c r="J99" s="279">
        <v>0</v>
      </c>
      <c r="K99" s="279">
        <v>92719</v>
      </c>
      <c r="L99" s="279">
        <v>77174</v>
      </c>
      <c r="M99" s="279">
        <v>169892</v>
      </c>
      <c r="N99" s="282"/>
      <c r="O99" s="282"/>
      <c r="P99" s="282"/>
      <c r="Q99" s="282"/>
      <c r="R99" s="279">
        <v>14000</v>
      </c>
      <c r="S99" s="279">
        <v>0</v>
      </c>
      <c r="T99" s="279">
        <v>206000</v>
      </c>
      <c r="U99" s="323"/>
    </row>
    <row r="100" spans="1:21" ht="15" hidden="1" customHeight="1" x14ac:dyDescent="0.25">
      <c r="A100" s="311" t="s">
        <v>94</v>
      </c>
      <c r="B100" s="282"/>
      <c r="C100" s="282"/>
      <c r="D100" s="282"/>
      <c r="E100" s="282"/>
      <c r="F100" s="282"/>
      <c r="G100" s="286"/>
      <c r="H100" s="286"/>
      <c r="I100" s="282"/>
      <c r="J100" s="282"/>
      <c r="K100" s="282"/>
      <c r="L100" s="282"/>
      <c r="M100" s="282"/>
      <c r="N100" s="282"/>
      <c r="O100" s="282"/>
      <c r="P100" s="282"/>
      <c r="Q100" s="282"/>
      <c r="R100" s="279">
        <v>0</v>
      </c>
      <c r="S100" s="279">
        <v>0</v>
      </c>
      <c r="T100" s="279">
        <v>0</v>
      </c>
      <c r="U100" s="323"/>
    </row>
    <row r="101" spans="1:21" ht="15" hidden="1" customHeight="1" x14ac:dyDescent="0.25">
      <c r="A101" s="311" t="s">
        <v>292</v>
      </c>
      <c r="B101" s="282"/>
      <c r="C101" s="282"/>
      <c r="D101" s="282"/>
      <c r="E101" s="282"/>
      <c r="F101" s="282"/>
      <c r="G101" s="286"/>
      <c r="H101" s="286"/>
      <c r="I101" s="282"/>
      <c r="J101" s="282"/>
      <c r="K101" s="282"/>
      <c r="L101" s="282"/>
      <c r="M101" s="282"/>
      <c r="N101" s="282"/>
      <c r="O101" s="282"/>
      <c r="P101" s="282"/>
      <c r="Q101" s="282"/>
      <c r="R101" s="282"/>
      <c r="S101" s="282"/>
      <c r="T101" s="282"/>
      <c r="U101" s="323"/>
    </row>
    <row r="102" spans="1:21" ht="15" hidden="1" customHeight="1" x14ac:dyDescent="0.25">
      <c r="A102" s="311" t="s">
        <v>293</v>
      </c>
      <c r="B102" s="282"/>
      <c r="C102" s="282"/>
      <c r="D102" s="282"/>
      <c r="E102" s="282"/>
      <c r="F102" s="282"/>
      <c r="G102" s="286"/>
      <c r="H102" s="286"/>
      <c r="I102" s="282"/>
      <c r="J102" s="282"/>
      <c r="K102" s="282"/>
      <c r="L102" s="282"/>
      <c r="M102" s="282"/>
      <c r="N102" s="282"/>
      <c r="O102" s="282"/>
      <c r="P102" s="282"/>
      <c r="Q102" s="282"/>
      <c r="R102" s="282"/>
      <c r="S102" s="282"/>
      <c r="T102" s="282"/>
      <c r="U102" s="323"/>
    </row>
    <row r="103" spans="1:21" ht="15" hidden="1" customHeight="1" x14ac:dyDescent="0.25">
      <c r="A103" s="311" t="s">
        <v>294</v>
      </c>
      <c r="B103" s="282"/>
      <c r="C103" s="282"/>
      <c r="D103" s="282"/>
      <c r="E103" s="282"/>
      <c r="F103" s="282"/>
      <c r="G103" s="286"/>
      <c r="H103" s="286"/>
      <c r="I103" s="282"/>
      <c r="J103" s="282"/>
      <c r="K103" s="282"/>
      <c r="L103" s="282"/>
      <c r="M103" s="282"/>
      <c r="N103" s="282"/>
      <c r="O103" s="282"/>
      <c r="P103" s="282"/>
      <c r="Q103" s="282"/>
      <c r="R103" s="282"/>
      <c r="S103" s="282"/>
      <c r="T103" s="282"/>
      <c r="U103" s="323"/>
    </row>
    <row r="104" spans="1:21" ht="15" hidden="1" customHeight="1" x14ac:dyDescent="0.25">
      <c r="A104" s="311" t="s">
        <v>295</v>
      </c>
      <c r="B104" s="282"/>
      <c r="C104" s="282"/>
      <c r="D104" s="282"/>
      <c r="E104" s="282"/>
      <c r="F104" s="282"/>
      <c r="G104" s="286"/>
      <c r="H104" s="286"/>
      <c r="I104" s="282"/>
      <c r="J104" s="282"/>
      <c r="K104" s="282"/>
      <c r="L104" s="282"/>
      <c r="M104" s="282"/>
      <c r="N104" s="282"/>
      <c r="O104" s="282"/>
      <c r="P104" s="282"/>
      <c r="Q104" s="282"/>
      <c r="R104" s="282"/>
      <c r="S104" s="282"/>
      <c r="T104" s="282"/>
      <c r="U104" s="323"/>
    </row>
    <row r="105" spans="1:21" ht="15" hidden="1" customHeight="1" x14ac:dyDescent="0.25">
      <c r="A105" s="311" t="s">
        <v>296</v>
      </c>
      <c r="B105" s="282"/>
      <c r="C105" s="282"/>
      <c r="D105" s="282"/>
      <c r="E105" s="282"/>
      <c r="F105" s="282"/>
      <c r="G105" s="286"/>
      <c r="H105" s="286"/>
      <c r="I105" s="282"/>
      <c r="J105" s="282"/>
      <c r="K105" s="282"/>
      <c r="L105" s="282"/>
      <c r="M105" s="282"/>
      <c r="N105" s="282"/>
      <c r="O105" s="282"/>
      <c r="P105" s="282"/>
      <c r="Q105" s="282"/>
      <c r="R105" s="282"/>
      <c r="S105" s="282"/>
      <c r="T105" s="282"/>
      <c r="U105" s="323"/>
    </row>
    <row r="106" spans="1:21" ht="15" hidden="1" customHeight="1" x14ac:dyDescent="0.25">
      <c r="A106" s="311" t="s">
        <v>297</v>
      </c>
      <c r="B106" s="282"/>
      <c r="C106" s="282"/>
      <c r="D106" s="282"/>
      <c r="E106" s="282"/>
      <c r="F106" s="282"/>
      <c r="G106" s="286"/>
      <c r="H106" s="286"/>
      <c r="I106" s="282"/>
      <c r="J106" s="282"/>
      <c r="K106" s="282"/>
      <c r="L106" s="282"/>
      <c r="M106" s="282"/>
      <c r="N106" s="282"/>
      <c r="O106" s="282"/>
      <c r="P106" s="282"/>
      <c r="Q106" s="282"/>
      <c r="R106" s="282"/>
      <c r="S106" s="282"/>
      <c r="T106" s="282"/>
      <c r="U106" s="323"/>
    </row>
    <row r="107" spans="1:21" ht="15" hidden="1" customHeight="1" x14ac:dyDescent="0.25">
      <c r="A107" s="311" t="s">
        <v>298</v>
      </c>
      <c r="B107" s="282"/>
      <c r="C107" s="282"/>
      <c r="D107" s="282"/>
      <c r="E107" s="282"/>
      <c r="F107" s="282"/>
      <c r="G107" s="286"/>
      <c r="H107" s="286"/>
      <c r="I107" s="282"/>
      <c r="J107" s="282"/>
      <c r="K107" s="282"/>
      <c r="L107" s="282"/>
      <c r="M107" s="282"/>
      <c r="N107" s="282"/>
      <c r="O107" s="282"/>
      <c r="P107" s="282"/>
      <c r="Q107" s="282"/>
      <c r="R107" s="282"/>
      <c r="S107" s="282"/>
      <c r="T107" s="282"/>
      <c r="U107" s="323"/>
    </row>
    <row r="108" spans="1:21" ht="15" hidden="1" customHeight="1" x14ac:dyDescent="0.25">
      <c r="A108" s="313" t="s">
        <v>111</v>
      </c>
      <c r="B108" s="314">
        <v>1908002</v>
      </c>
      <c r="C108" s="314">
        <v>665717</v>
      </c>
      <c r="D108" s="314">
        <v>522840</v>
      </c>
      <c r="E108" s="314">
        <v>2430842</v>
      </c>
      <c r="F108" s="314">
        <v>0</v>
      </c>
      <c r="G108" s="330"/>
      <c r="H108" s="330"/>
      <c r="I108" s="314">
        <v>1846761</v>
      </c>
      <c r="J108" s="314">
        <v>465332</v>
      </c>
      <c r="K108" s="314">
        <v>8307918</v>
      </c>
      <c r="L108" s="314">
        <v>22668909</v>
      </c>
      <c r="M108" s="314">
        <v>33288920</v>
      </c>
      <c r="N108" s="331"/>
      <c r="O108" s="331"/>
      <c r="P108" s="331"/>
      <c r="Q108" s="331"/>
      <c r="R108" s="314">
        <v>2967000</v>
      </c>
      <c r="S108" s="314">
        <v>0</v>
      </c>
      <c r="T108" s="314">
        <v>50475000</v>
      </c>
      <c r="U108" s="323"/>
    </row>
    <row r="109" spans="1:21" ht="15" hidden="1" customHeight="1" x14ac:dyDescent="0.25">
      <c r="A109" s="311" t="s">
        <v>339</v>
      </c>
      <c r="B109" s="279">
        <v>763814</v>
      </c>
      <c r="C109" s="279">
        <v>418120</v>
      </c>
      <c r="D109" s="279">
        <v>301369</v>
      </c>
      <c r="E109" s="279">
        <v>1065183</v>
      </c>
      <c r="F109" s="282"/>
      <c r="G109" s="286"/>
      <c r="H109" s="286"/>
      <c r="I109" s="279">
        <v>1514676</v>
      </c>
      <c r="J109" s="279">
        <v>127013</v>
      </c>
      <c r="K109" s="279">
        <v>5568331</v>
      </c>
      <c r="L109" s="279">
        <v>7130106</v>
      </c>
      <c r="M109" s="279">
        <v>14340127</v>
      </c>
      <c r="N109" s="282"/>
      <c r="O109" s="282"/>
      <c r="P109" s="282"/>
      <c r="Q109" s="282"/>
      <c r="R109" s="279">
        <v>1315000</v>
      </c>
      <c r="S109" s="279">
        <v>0</v>
      </c>
      <c r="T109" s="279">
        <v>14438000</v>
      </c>
      <c r="U109" s="323"/>
    </row>
    <row r="110" spans="1:21" ht="15" hidden="1" customHeight="1" x14ac:dyDescent="0.25">
      <c r="A110" s="311" t="s">
        <v>301</v>
      </c>
      <c r="B110" s="279">
        <v>228048</v>
      </c>
      <c r="C110" s="279">
        <v>102547</v>
      </c>
      <c r="D110" s="279">
        <v>81863</v>
      </c>
      <c r="E110" s="279">
        <v>309911</v>
      </c>
      <c r="F110" s="282"/>
      <c r="G110" s="286"/>
      <c r="H110" s="286"/>
      <c r="I110" s="279">
        <v>255214</v>
      </c>
      <c r="J110" s="279">
        <v>130792</v>
      </c>
      <c r="K110" s="279">
        <v>1010116</v>
      </c>
      <c r="L110" s="279">
        <v>3261436</v>
      </c>
      <c r="M110" s="279">
        <v>4657558</v>
      </c>
      <c r="N110" s="282"/>
      <c r="O110" s="282"/>
      <c r="P110" s="282"/>
      <c r="Q110" s="282"/>
      <c r="R110" s="279">
        <v>963000</v>
      </c>
      <c r="S110" s="279">
        <v>0</v>
      </c>
      <c r="T110" s="279">
        <v>22025000</v>
      </c>
      <c r="U110" s="323"/>
    </row>
    <row r="111" spans="1:21" ht="15" hidden="1" customHeight="1" x14ac:dyDescent="0.25">
      <c r="A111" s="311" t="s">
        <v>304</v>
      </c>
      <c r="B111" s="279">
        <v>31558</v>
      </c>
      <c r="C111" s="279">
        <v>630</v>
      </c>
      <c r="D111" s="279">
        <v>48</v>
      </c>
      <c r="E111" s="279">
        <v>31606</v>
      </c>
      <c r="F111" s="282"/>
      <c r="G111" s="286"/>
      <c r="H111" s="286"/>
      <c r="I111" s="279">
        <v>7779</v>
      </c>
      <c r="J111" s="279">
        <v>0</v>
      </c>
      <c r="K111" s="279">
        <v>7779</v>
      </c>
      <c r="L111" s="279">
        <v>460260</v>
      </c>
      <c r="M111" s="279">
        <v>475818</v>
      </c>
      <c r="N111" s="282"/>
      <c r="O111" s="282"/>
      <c r="P111" s="282"/>
      <c r="Q111" s="282"/>
      <c r="R111" s="279">
        <v>94000</v>
      </c>
      <c r="S111" s="279">
        <v>0</v>
      </c>
      <c r="T111" s="279">
        <v>2080000</v>
      </c>
      <c r="U111" s="323"/>
    </row>
    <row r="112" spans="1:21" ht="15" hidden="1" customHeight="1" x14ac:dyDescent="0.25">
      <c r="A112" s="311" t="s">
        <v>305</v>
      </c>
      <c r="B112" s="279">
        <v>45108</v>
      </c>
      <c r="C112" s="279">
        <v>53026</v>
      </c>
      <c r="D112" s="279">
        <v>53038</v>
      </c>
      <c r="E112" s="279">
        <v>98147</v>
      </c>
      <c r="F112" s="282"/>
      <c r="G112" s="286"/>
      <c r="H112" s="286"/>
      <c r="I112" s="279">
        <v>0</v>
      </c>
      <c r="J112" s="279">
        <v>0</v>
      </c>
      <c r="K112" s="279">
        <v>654292</v>
      </c>
      <c r="L112" s="279">
        <v>669504</v>
      </c>
      <c r="M112" s="279">
        <v>1323796</v>
      </c>
      <c r="N112" s="282"/>
      <c r="O112" s="282"/>
      <c r="P112" s="282"/>
      <c r="Q112" s="282"/>
      <c r="R112" s="279">
        <v>91000</v>
      </c>
      <c r="S112" s="282"/>
      <c r="T112" s="279">
        <v>8446000</v>
      </c>
      <c r="U112" s="323"/>
    </row>
    <row r="113" spans="1:21" ht="15" hidden="1" customHeight="1" x14ac:dyDescent="0.25">
      <c r="A113" s="311" t="s">
        <v>340</v>
      </c>
      <c r="B113" s="279">
        <v>111350</v>
      </c>
      <c r="C113" s="279">
        <v>91392</v>
      </c>
      <c r="D113" s="279">
        <v>86521</v>
      </c>
      <c r="E113" s="279">
        <v>197871</v>
      </c>
      <c r="F113" s="282"/>
      <c r="G113" s="286"/>
      <c r="H113" s="286"/>
      <c r="I113" s="279">
        <v>60301</v>
      </c>
      <c r="J113" s="279">
        <v>207528</v>
      </c>
      <c r="K113" s="279">
        <v>1067394</v>
      </c>
      <c r="L113" s="279">
        <v>1565331</v>
      </c>
      <c r="M113" s="279">
        <v>2900553</v>
      </c>
      <c r="N113" s="282"/>
      <c r="O113" s="282"/>
      <c r="P113" s="282"/>
      <c r="Q113" s="282"/>
      <c r="R113" s="279">
        <v>504000</v>
      </c>
      <c r="S113" s="279">
        <v>0</v>
      </c>
      <c r="T113" s="279">
        <v>3486000</v>
      </c>
      <c r="U113" s="323"/>
    </row>
    <row r="114" spans="1:21" ht="15" hidden="1" customHeight="1" x14ac:dyDescent="0.25">
      <c r="A114" s="282" t="s">
        <v>308</v>
      </c>
      <c r="B114" s="279">
        <v>163177</v>
      </c>
      <c r="C114" s="279">
        <v>0</v>
      </c>
      <c r="D114" s="279">
        <v>0</v>
      </c>
      <c r="E114" s="279">
        <v>163177</v>
      </c>
      <c r="F114" s="279">
        <v>0</v>
      </c>
      <c r="G114" s="286"/>
      <c r="H114" s="286"/>
      <c r="I114" s="279">
        <v>8791</v>
      </c>
      <c r="J114" s="279">
        <v>0</v>
      </c>
      <c r="K114" s="279">
        <v>5</v>
      </c>
      <c r="L114" s="279">
        <v>2905847</v>
      </c>
      <c r="M114" s="279">
        <v>2914643</v>
      </c>
      <c r="N114" s="282"/>
      <c r="O114" s="282"/>
      <c r="P114" s="282"/>
      <c r="Q114" s="282"/>
      <c r="R114" s="282"/>
      <c r="S114" s="282"/>
      <c r="T114" s="282"/>
      <c r="U114" s="323"/>
    </row>
    <row r="115" spans="1:21" ht="15" hidden="1" customHeight="1" x14ac:dyDescent="0.25">
      <c r="A115" s="282" t="s">
        <v>309</v>
      </c>
      <c r="B115" s="279">
        <v>564947</v>
      </c>
      <c r="C115" s="282" t="s">
        <v>341</v>
      </c>
      <c r="D115" s="279">
        <v>0</v>
      </c>
      <c r="E115" s="279">
        <v>564947</v>
      </c>
      <c r="F115" s="279">
        <v>0</v>
      </c>
      <c r="G115" s="286"/>
      <c r="H115" s="286"/>
      <c r="I115" s="279">
        <v>0</v>
      </c>
      <c r="J115" s="279">
        <v>0</v>
      </c>
      <c r="K115" s="279">
        <v>0</v>
      </c>
      <c r="L115" s="279">
        <v>6676424</v>
      </c>
      <c r="M115" s="279">
        <v>6676424</v>
      </c>
      <c r="N115" s="282"/>
      <c r="O115" s="282"/>
      <c r="P115" s="282"/>
      <c r="Q115" s="282"/>
      <c r="R115" s="282"/>
      <c r="S115" s="282"/>
      <c r="T115" s="282"/>
      <c r="U115" s="323"/>
    </row>
    <row r="116" spans="1:21" ht="16.75" customHeight="1" x14ac:dyDescent="0.25">
      <c r="A116" s="332"/>
      <c r="B116" s="332"/>
      <c r="C116" s="332"/>
      <c r="D116" s="332"/>
      <c r="E116" s="332"/>
      <c r="F116" s="332"/>
      <c r="G116" s="333"/>
      <c r="H116" s="333"/>
      <c r="I116" s="332"/>
      <c r="J116" s="332"/>
      <c r="K116" s="332"/>
      <c r="L116" s="332"/>
      <c r="M116" s="315">
        <v>0</v>
      </c>
      <c r="N116" s="332"/>
      <c r="O116" s="332"/>
      <c r="P116" s="332"/>
      <c r="Q116" s="332"/>
      <c r="R116" s="332"/>
      <c r="S116" s="332"/>
      <c r="T116" s="332"/>
    </row>
    <row r="117" spans="1:21" ht="16.75" customHeight="1" x14ac:dyDescent="0.25">
      <c r="B117" s="316">
        <v>0</v>
      </c>
    </row>
    <row r="118" spans="1:21" ht="16.75" customHeight="1" x14ac:dyDescent="0.25"/>
    <row r="119" spans="1:21" ht="16.75" customHeight="1" x14ac:dyDescent="0.25">
      <c r="A119" s="317" t="s">
        <v>310</v>
      </c>
      <c r="B119" s="681" t="s">
        <v>342</v>
      </c>
      <c r="C119" s="653"/>
      <c r="D119" s="653"/>
      <c r="E119" s="653"/>
      <c r="F119" s="653"/>
      <c r="G119" s="653"/>
      <c r="H119" s="653"/>
    </row>
    <row r="120" spans="1:21" ht="16.75" customHeight="1" x14ac:dyDescent="0.25">
      <c r="B120" s="653"/>
      <c r="C120" s="653"/>
      <c r="D120" s="653"/>
      <c r="E120" s="653"/>
      <c r="F120" s="653"/>
      <c r="G120" s="653"/>
      <c r="H120" s="653"/>
    </row>
    <row r="121" spans="1:21" ht="16.75" customHeight="1" x14ac:dyDescent="0.25">
      <c r="B121" s="653"/>
      <c r="C121" s="653"/>
      <c r="D121" s="653"/>
      <c r="E121" s="653"/>
      <c r="F121" s="653"/>
      <c r="G121" s="653"/>
      <c r="H121" s="653"/>
    </row>
  </sheetData>
  <mergeCells count="4">
    <mergeCell ref="B1:H1"/>
    <mergeCell ref="I1:Q1"/>
    <mergeCell ref="R1:T1"/>
    <mergeCell ref="B119:H1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57"/>
  <sheetViews>
    <sheetView topLeftCell="A17" zoomScale="60" zoomScaleNormal="60" workbookViewId="0">
      <pane xSplit="1" topLeftCell="B1" activePane="topRight" state="frozen"/>
      <selection pane="topRight" activeCell="G4" sqref="G4"/>
    </sheetView>
  </sheetViews>
  <sheetFormatPr defaultColWidth="13.1796875" defaultRowHeight="12.5" x14ac:dyDescent="0.25"/>
  <cols>
    <col min="1" max="1" width="44.81640625" customWidth="1"/>
    <col min="2" max="2" width="16.453125" customWidth="1"/>
    <col min="3" max="3" width="21.1796875" customWidth="1"/>
    <col min="4" max="4" width="16.453125" customWidth="1"/>
    <col min="5" max="5" width="22.453125" customWidth="1"/>
    <col min="6" max="6" width="16.453125" customWidth="1"/>
    <col min="7" max="7" width="25.1796875" customWidth="1"/>
    <col min="8" max="8" width="16.453125" customWidth="1"/>
    <col min="9" max="9" width="23.54296875" customWidth="1"/>
    <col min="10" max="10" width="16.453125" customWidth="1"/>
    <col min="11" max="11" width="25" customWidth="1"/>
    <col min="12" max="13" width="16.453125" customWidth="1"/>
    <col min="14" max="16" width="9.26953125" customWidth="1"/>
    <col min="17" max="17" width="12.81640625" customWidth="1"/>
    <col min="18" max="23" width="9.26953125" customWidth="1"/>
    <col min="24" max="24" width="9.7265625" customWidth="1"/>
  </cols>
  <sheetData>
    <row r="1" spans="1:16" ht="15" customHeight="1" x14ac:dyDescent="0.3">
      <c r="B1" s="682" t="s">
        <v>343</v>
      </c>
      <c r="C1" s="653"/>
      <c r="D1" s="653"/>
      <c r="E1" s="653"/>
      <c r="F1" s="653"/>
      <c r="G1" s="653"/>
      <c r="H1" s="653"/>
      <c r="I1" s="653"/>
      <c r="J1" s="653"/>
      <c r="K1" s="653"/>
      <c r="L1" s="653"/>
      <c r="M1" s="653"/>
      <c r="N1" s="653"/>
      <c r="O1" s="653"/>
      <c r="P1" s="653"/>
    </row>
    <row r="2" spans="1:16" s="433" customFormat="1" ht="99.25" customHeight="1" x14ac:dyDescent="0.25">
      <c r="A2" s="428" t="s">
        <v>344</v>
      </c>
      <c r="B2" s="429" t="s">
        <v>345</v>
      </c>
      <c r="C2" s="430" t="s">
        <v>346</v>
      </c>
      <c r="D2" s="430" t="s">
        <v>347</v>
      </c>
      <c r="E2" s="430" t="s">
        <v>348</v>
      </c>
      <c r="F2" s="430" t="s">
        <v>349</v>
      </c>
      <c r="G2" s="430" t="s">
        <v>350</v>
      </c>
      <c r="H2" s="430" t="s">
        <v>351</v>
      </c>
      <c r="I2" s="430" t="s">
        <v>352</v>
      </c>
      <c r="J2" s="430" t="s">
        <v>353</v>
      </c>
      <c r="K2" s="430" t="s">
        <v>354</v>
      </c>
      <c r="L2" s="430" t="s">
        <v>355</v>
      </c>
      <c r="M2" s="431" t="s">
        <v>356</v>
      </c>
      <c r="N2" s="432"/>
    </row>
    <row r="3" spans="1:16" ht="22.5" hidden="1" customHeight="1" x14ac:dyDescent="0.25">
      <c r="A3" s="383"/>
      <c r="B3" s="334" t="s">
        <v>357</v>
      </c>
      <c r="C3" s="335" t="s">
        <v>358</v>
      </c>
      <c r="D3" s="335" t="s">
        <v>359</v>
      </c>
      <c r="E3" s="335" t="s">
        <v>360</v>
      </c>
      <c r="F3" s="335" t="s">
        <v>361</v>
      </c>
      <c r="G3" s="335" t="s">
        <v>360</v>
      </c>
      <c r="H3" s="335" t="s">
        <v>362</v>
      </c>
      <c r="I3" s="335" t="s">
        <v>360</v>
      </c>
      <c r="J3" s="335" t="s">
        <v>363</v>
      </c>
      <c r="K3" s="335" t="s">
        <v>360</v>
      </c>
      <c r="L3" s="335" t="s">
        <v>364</v>
      </c>
      <c r="M3" s="336" t="s">
        <v>365</v>
      </c>
      <c r="N3" s="384"/>
      <c r="O3" s="337"/>
    </row>
    <row r="4" spans="1:16" ht="14.15" customHeight="1" x14ac:dyDescent="0.3">
      <c r="A4" s="338" t="s">
        <v>72</v>
      </c>
      <c r="B4" s="339">
        <v>5</v>
      </c>
      <c r="C4" s="340">
        <v>0.04</v>
      </c>
      <c r="D4" s="339">
        <v>158</v>
      </c>
      <c r="E4" s="340">
        <v>1.1399999999999999</v>
      </c>
      <c r="F4" s="339">
        <v>32</v>
      </c>
      <c r="G4" s="340">
        <v>0.23</v>
      </c>
      <c r="H4" s="339">
        <v>40</v>
      </c>
      <c r="I4" s="340">
        <v>0.28999999999999998</v>
      </c>
      <c r="J4" s="339">
        <v>81</v>
      </c>
      <c r="K4" s="340">
        <v>0.59</v>
      </c>
      <c r="L4" s="341"/>
      <c r="M4" s="342">
        <v>138137912</v>
      </c>
      <c r="N4" s="385"/>
      <c r="O4" s="343"/>
    </row>
    <row r="5" spans="1:16" ht="14.15" customHeight="1" x14ac:dyDescent="0.3">
      <c r="A5" s="344" t="s">
        <v>73</v>
      </c>
      <c r="B5" s="345">
        <v>3</v>
      </c>
      <c r="C5" s="346">
        <v>0.04</v>
      </c>
      <c r="D5" s="345">
        <v>69</v>
      </c>
      <c r="E5" s="346">
        <v>0.88</v>
      </c>
      <c r="F5" s="345">
        <v>13</v>
      </c>
      <c r="G5" s="346">
        <v>0.17</v>
      </c>
      <c r="H5" s="345">
        <v>16</v>
      </c>
      <c r="I5" s="346">
        <v>0.2</v>
      </c>
      <c r="J5" s="345">
        <v>37</v>
      </c>
      <c r="K5" s="346">
        <v>0.47</v>
      </c>
      <c r="L5" s="347"/>
      <c r="M5" s="348">
        <v>78348297</v>
      </c>
      <c r="N5" s="385"/>
      <c r="O5" s="343"/>
    </row>
    <row r="6" spans="1:16" ht="14.15" customHeight="1" x14ac:dyDescent="0.3">
      <c r="A6" s="349" t="s">
        <v>366</v>
      </c>
      <c r="B6" s="350">
        <v>0</v>
      </c>
      <c r="C6" s="351">
        <v>0</v>
      </c>
      <c r="D6" s="350">
        <v>0</v>
      </c>
      <c r="E6" s="351">
        <v>0</v>
      </c>
      <c r="F6" s="350">
        <v>0</v>
      </c>
      <c r="G6" s="351">
        <v>0</v>
      </c>
      <c r="H6" s="350">
        <v>0</v>
      </c>
      <c r="I6" s="346">
        <v>0</v>
      </c>
      <c r="J6" s="352">
        <v>0</v>
      </c>
      <c r="K6" s="346">
        <v>0</v>
      </c>
      <c r="L6" s="353"/>
      <c r="M6" s="354">
        <v>756987</v>
      </c>
      <c r="N6" s="382"/>
      <c r="O6" s="355"/>
    </row>
    <row r="7" spans="1:16" ht="14.15" customHeight="1" x14ac:dyDescent="0.3">
      <c r="A7" s="356" t="s">
        <v>74</v>
      </c>
      <c r="B7" s="357">
        <v>1</v>
      </c>
      <c r="C7" s="358">
        <v>0.06</v>
      </c>
      <c r="D7" s="357">
        <v>8</v>
      </c>
      <c r="E7" s="358">
        <v>0.45</v>
      </c>
      <c r="F7" s="357">
        <v>1</v>
      </c>
      <c r="G7" s="358">
        <v>0.06</v>
      </c>
      <c r="H7" s="357">
        <v>2</v>
      </c>
      <c r="I7" s="346">
        <v>0.11</v>
      </c>
      <c r="J7" s="357">
        <v>4</v>
      </c>
      <c r="K7" s="346">
        <v>0.23</v>
      </c>
      <c r="L7" s="359"/>
      <c r="M7" s="360">
        <v>17722890</v>
      </c>
      <c r="N7" s="382"/>
      <c r="O7" s="355"/>
    </row>
    <row r="8" spans="1:16" ht="14.15" customHeight="1" x14ac:dyDescent="0.3">
      <c r="A8" s="349" t="s">
        <v>75</v>
      </c>
      <c r="B8" s="352">
        <v>1</v>
      </c>
      <c r="C8" s="361">
        <v>0.06</v>
      </c>
      <c r="D8" s="352">
        <v>8</v>
      </c>
      <c r="E8" s="351">
        <v>0.45</v>
      </c>
      <c r="F8" s="352">
        <v>1</v>
      </c>
      <c r="G8" s="351">
        <v>0.06</v>
      </c>
      <c r="H8" s="350">
        <v>2</v>
      </c>
      <c r="I8" s="346">
        <v>0.11</v>
      </c>
      <c r="J8" s="350">
        <v>4</v>
      </c>
      <c r="K8" s="346">
        <v>0.23</v>
      </c>
      <c r="L8" s="353"/>
      <c r="M8" s="362">
        <v>17722890</v>
      </c>
      <c r="N8" s="382"/>
      <c r="O8" s="355"/>
    </row>
    <row r="9" spans="1:16" ht="14.15" customHeight="1" x14ac:dyDescent="0.3">
      <c r="A9" s="356" t="s">
        <v>76</v>
      </c>
      <c r="B9" s="357">
        <v>0</v>
      </c>
      <c r="C9" s="358">
        <v>0</v>
      </c>
      <c r="D9" s="357">
        <v>1</v>
      </c>
      <c r="E9" s="358">
        <v>0.14000000000000001</v>
      </c>
      <c r="F9" s="357">
        <v>0</v>
      </c>
      <c r="G9" s="358">
        <v>0</v>
      </c>
      <c r="H9" s="357">
        <v>0</v>
      </c>
      <c r="I9" s="346">
        <v>0</v>
      </c>
      <c r="J9" s="357">
        <v>1</v>
      </c>
      <c r="K9" s="346">
        <v>0.14000000000000001</v>
      </c>
      <c r="L9" s="359"/>
      <c r="M9" s="360">
        <v>7311773</v>
      </c>
      <c r="N9" s="382"/>
      <c r="O9" s="355"/>
    </row>
    <row r="10" spans="1:16" ht="14.15" customHeight="1" x14ac:dyDescent="0.3">
      <c r="A10" s="349" t="s">
        <v>77</v>
      </c>
      <c r="B10" s="352">
        <v>0</v>
      </c>
      <c r="C10" s="351">
        <v>0</v>
      </c>
      <c r="D10" s="352">
        <v>1</v>
      </c>
      <c r="E10" s="351">
        <v>0.14000000000000001</v>
      </c>
      <c r="F10" s="350">
        <v>0</v>
      </c>
      <c r="G10" s="351">
        <v>0</v>
      </c>
      <c r="H10" s="350">
        <v>0</v>
      </c>
      <c r="I10" s="346">
        <v>0</v>
      </c>
      <c r="J10" s="352">
        <v>1</v>
      </c>
      <c r="K10" s="346">
        <v>0.14000000000000001</v>
      </c>
      <c r="L10" s="353"/>
      <c r="M10" s="354">
        <v>7311773</v>
      </c>
      <c r="N10" s="382"/>
    </row>
    <row r="11" spans="1:16" ht="14.15" customHeight="1" x14ac:dyDescent="0.3">
      <c r="A11" s="356" t="s">
        <v>78</v>
      </c>
      <c r="B11" s="363">
        <v>0</v>
      </c>
      <c r="C11" s="358">
        <v>0</v>
      </c>
      <c r="D11" s="357">
        <v>24</v>
      </c>
      <c r="E11" s="358">
        <v>1.39</v>
      </c>
      <c r="F11" s="357">
        <v>3</v>
      </c>
      <c r="G11" s="358">
        <v>0.17</v>
      </c>
      <c r="H11" s="357">
        <v>4</v>
      </c>
      <c r="I11" s="346">
        <v>0.23</v>
      </c>
      <c r="J11" s="357">
        <v>17</v>
      </c>
      <c r="K11" s="346">
        <v>0.98</v>
      </c>
      <c r="L11" s="359"/>
      <c r="M11" s="360">
        <v>17283747</v>
      </c>
      <c r="N11" s="382"/>
    </row>
    <row r="12" spans="1:16" ht="14.15" customHeight="1" x14ac:dyDescent="0.3">
      <c r="A12" s="349" t="s">
        <v>79</v>
      </c>
      <c r="B12" s="352">
        <v>0</v>
      </c>
      <c r="C12" s="351">
        <v>0</v>
      </c>
      <c r="D12" s="350">
        <v>24</v>
      </c>
      <c r="E12" s="351">
        <v>1.39</v>
      </c>
      <c r="F12" s="350">
        <v>3</v>
      </c>
      <c r="G12" s="351">
        <v>0.17</v>
      </c>
      <c r="H12" s="350">
        <v>4</v>
      </c>
      <c r="I12" s="346">
        <v>0.23</v>
      </c>
      <c r="J12" s="352">
        <v>17</v>
      </c>
      <c r="K12" s="346">
        <v>0.98</v>
      </c>
      <c r="L12" s="353"/>
      <c r="M12" s="354">
        <v>17283747</v>
      </c>
      <c r="N12" s="382"/>
    </row>
    <row r="13" spans="1:16" ht="14.15" customHeight="1" x14ac:dyDescent="0.3">
      <c r="A13" s="356" t="s">
        <v>80</v>
      </c>
      <c r="B13" s="357">
        <v>2</v>
      </c>
      <c r="C13" s="358">
        <v>0.54</v>
      </c>
      <c r="D13" s="357">
        <v>5</v>
      </c>
      <c r="E13" s="358">
        <v>1.34</v>
      </c>
      <c r="F13" s="357">
        <v>0</v>
      </c>
      <c r="G13" s="358">
        <v>0</v>
      </c>
      <c r="H13" s="357">
        <v>1</v>
      </c>
      <c r="I13" s="346">
        <v>0.27</v>
      </c>
      <c r="J13" s="357">
        <v>2</v>
      </c>
      <c r="K13" s="346">
        <v>0.54</v>
      </c>
      <c r="L13" s="359"/>
      <c r="M13" s="360">
        <v>3725794</v>
      </c>
      <c r="N13" s="382"/>
    </row>
    <row r="14" spans="1:16" ht="14.15" customHeight="1" x14ac:dyDescent="0.3">
      <c r="A14" s="349" t="s">
        <v>81</v>
      </c>
      <c r="B14" s="352">
        <v>2</v>
      </c>
      <c r="C14" s="351">
        <v>0.54</v>
      </c>
      <c r="D14" s="350">
        <v>5</v>
      </c>
      <c r="E14" s="351">
        <v>1.34</v>
      </c>
      <c r="F14" s="350">
        <v>0</v>
      </c>
      <c r="G14" s="351">
        <v>0</v>
      </c>
      <c r="H14" s="350">
        <v>1</v>
      </c>
      <c r="I14" s="346">
        <v>0.27</v>
      </c>
      <c r="J14" s="350">
        <v>2</v>
      </c>
      <c r="K14" s="346">
        <v>0.54</v>
      </c>
      <c r="L14" s="353"/>
      <c r="M14" s="354">
        <v>3725794</v>
      </c>
      <c r="N14" s="382"/>
    </row>
    <row r="15" spans="1:16" ht="14.15" customHeight="1" x14ac:dyDescent="0.3">
      <c r="A15" s="356" t="s">
        <v>82</v>
      </c>
      <c r="B15" s="357">
        <v>0</v>
      </c>
      <c r="C15" s="358">
        <v>0</v>
      </c>
      <c r="D15" s="357">
        <v>27</v>
      </c>
      <c r="E15" s="358">
        <v>1.45</v>
      </c>
      <c r="F15" s="357">
        <v>6</v>
      </c>
      <c r="G15" s="358">
        <v>0.32</v>
      </c>
      <c r="H15" s="357">
        <v>8</v>
      </c>
      <c r="I15" s="346">
        <v>0.43</v>
      </c>
      <c r="J15" s="357">
        <v>13</v>
      </c>
      <c r="K15" s="346">
        <v>0.7</v>
      </c>
      <c r="L15" s="359"/>
      <c r="M15" s="360">
        <v>18598884</v>
      </c>
      <c r="N15" s="382"/>
    </row>
    <row r="16" spans="1:16" ht="14.15" customHeight="1" x14ac:dyDescent="0.3">
      <c r="A16" s="349" t="s">
        <v>83</v>
      </c>
      <c r="B16" s="352">
        <v>0</v>
      </c>
      <c r="C16" s="351">
        <v>0</v>
      </c>
      <c r="D16" s="350">
        <v>17</v>
      </c>
      <c r="E16" s="351">
        <v>2.4900000000000002</v>
      </c>
      <c r="F16" s="350">
        <v>3</v>
      </c>
      <c r="G16" s="351">
        <v>0.44</v>
      </c>
      <c r="H16" s="350">
        <v>8</v>
      </c>
      <c r="I16" s="346">
        <v>1.17</v>
      </c>
      <c r="J16" s="352">
        <v>6</v>
      </c>
      <c r="K16" s="346">
        <v>0.88</v>
      </c>
      <c r="L16" s="353"/>
      <c r="M16" s="354">
        <v>6825251</v>
      </c>
      <c r="N16" s="382"/>
    </row>
    <row r="17" spans="1:24" ht="14.15" customHeight="1" x14ac:dyDescent="0.3">
      <c r="A17" s="349" t="s">
        <v>84</v>
      </c>
      <c r="B17" s="352">
        <v>0</v>
      </c>
      <c r="C17" s="351">
        <v>0</v>
      </c>
      <c r="D17" s="350">
        <v>0</v>
      </c>
      <c r="E17" s="351">
        <v>0</v>
      </c>
      <c r="F17" s="350">
        <v>0</v>
      </c>
      <c r="G17" s="351">
        <v>0</v>
      </c>
      <c r="H17" s="350">
        <v>0</v>
      </c>
      <c r="I17" s="346">
        <v>0</v>
      </c>
      <c r="J17" s="352">
        <v>0</v>
      </c>
      <c r="K17" s="346">
        <v>0</v>
      </c>
      <c r="L17" s="353"/>
      <c r="M17" s="354">
        <v>1481499</v>
      </c>
      <c r="N17" s="382"/>
    </row>
    <row r="18" spans="1:24" ht="14.15" customHeight="1" x14ac:dyDescent="0.3">
      <c r="A18" s="349" t="s">
        <v>85</v>
      </c>
      <c r="B18" s="352">
        <v>0</v>
      </c>
      <c r="C18" s="351">
        <v>0</v>
      </c>
      <c r="D18" s="350">
        <v>10</v>
      </c>
      <c r="E18" s="351">
        <v>0.97</v>
      </c>
      <c r="F18" s="350">
        <v>3</v>
      </c>
      <c r="G18" s="351">
        <v>0.28999999999999998</v>
      </c>
      <c r="H18" s="350">
        <v>0</v>
      </c>
      <c r="I18" s="346">
        <v>0</v>
      </c>
      <c r="J18" s="352">
        <v>7</v>
      </c>
      <c r="K18" s="346">
        <v>0.68</v>
      </c>
      <c r="L18" s="353"/>
      <c r="M18" s="354">
        <v>10292134</v>
      </c>
      <c r="N18" s="382"/>
    </row>
    <row r="19" spans="1:24" ht="14.15" customHeight="1" x14ac:dyDescent="0.3">
      <c r="A19" s="356" t="s">
        <v>86</v>
      </c>
      <c r="B19" s="357">
        <v>0</v>
      </c>
      <c r="C19" s="358">
        <v>0</v>
      </c>
      <c r="D19" s="357">
        <v>4</v>
      </c>
      <c r="E19" s="358">
        <v>0.31</v>
      </c>
      <c r="F19" s="357">
        <v>3</v>
      </c>
      <c r="G19" s="358">
        <v>0.23</v>
      </c>
      <c r="H19" s="357">
        <v>1</v>
      </c>
      <c r="I19" s="346">
        <v>0.08</v>
      </c>
      <c r="J19" s="357">
        <v>0</v>
      </c>
      <c r="K19" s="346">
        <v>0</v>
      </c>
      <c r="L19" s="359"/>
      <c r="M19" s="360">
        <v>12948222</v>
      </c>
      <c r="N19" s="382"/>
    </row>
    <row r="20" spans="1:24" ht="14.15" customHeight="1" x14ac:dyDescent="0.3">
      <c r="A20" s="349" t="s">
        <v>87</v>
      </c>
      <c r="B20" s="352">
        <v>0</v>
      </c>
      <c r="C20" s="351">
        <v>0</v>
      </c>
      <c r="D20" s="350">
        <v>4</v>
      </c>
      <c r="E20" s="351">
        <v>0.31</v>
      </c>
      <c r="F20" s="350">
        <v>3</v>
      </c>
      <c r="G20" s="351">
        <v>0.23</v>
      </c>
      <c r="H20" s="350">
        <v>1</v>
      </c>
      <c r="I20" s="346">
        <v>0.08</v>
      </c>
      <c r="J20" s="352">
        <v>0</v>
      </c>
      <c r="K20" s="346">
        <v>0</v>
      </c>
      <c r="L20" s="353"/>
      <c r="M20" s="364">
        <v>12948222</v>
      </c>
      <c r="N20" s="382"/>
    </row>
    <row r="21" spans="1:24" ht="14.15" customHeight="1" x14ac:dyDescent="0.3">
      <c r="A21" s="365" t="s">
        <v>88</v>
      </c>
      <c r="B21" s="366">
        <v>0</v>
      </c>
      <c r="C21" s="367">
        <v>0</v>
      </c>
      <c r="D21" s="366">
        <v>31</v>
      </c>
      <c r="E21" s="367">
        <v>0.8</v>
      </c>
      <c r="F21" s="366">
        <v>1</v>
      </c>
      <c r="G21" s="367">
        <v>0.03</v>
      </c>
      <c r="H21" s="366">
        <v>6</v>
      </c>
      <c r="I21" s="346">
        <v>0.15</v>
      </c>
      <c r="J21" s="366">
        <v>24</v>
      </c>
      <c r="K21" s="346">
        <v>0.62</v>
      </c>
      <c r="L21" s="368"/>
      <c r="M21" s="369">
        <v>38962535</v>
      </c>
      <c r="N21" s="385"/>
    </row>
    <row r="22" spans="1:24" ht="14.15" customHeight="1" x14ac:dyDescent="0.3">
      <c r="A22" s="349" t="s">
        <v>366</v>
      </c>
      <c r="B22" s="352">
        <v>0</v>
      </c>
      <c r="C22" s="361">
        <v>0</v>
      </c>
      <c r="D22" s="352">
        <v>0</v>
      </c>
      <c r="E22" s="361">
        <v>0</v>
      </c>
      <c r="F22" s="352">
        <v>0</v>
      </c>
      <c r="G22" s="361">
        <v>0</v>
      </c>
      <c r="H22" s="352">
        <v>0</v>
      </c>
      <c r="I22" s="346">
        <v>0</v>
      </c>
      <c r="J22" s="352">
        <v>0</v>
      </c>
      <c r="K22" s="346">
        <v>0</v>
      </c>
      <c r="L22" s="370">
        <v>0</v>
      </c>
      <c r="M22" s="362">
        <v>920189</v>
      </c>
      <c r="N22" s="386"/>
      <c r="O22" s="387"/>
      <c r="P22" s="387"/>
      <c r="Q22" s="387"/>
      <c r="R22" s="387"/>
      <c r="S22" s="387"/>
      <c r="T22" s="387"/>
      <c r="U22" s="387"/>
      <c r="V22" s="387"/>
      <c r="W22" s="387"/>
      <c r="X22" s="387"/>
    </row>
    <row r="23" spans="1:24" ht="14.15" customHeight="1" x14ac:dyDescent="0.3">
      <c r="A23" s="356" t="s">
        <v>89</v>
      </c>
      <c r="B23" s="357">
        <v>0</v>
      </c>
      <c r="C23" s="358">
        <v>0</v>
      </c>
      <c r="D23" s="357">
        <v>7</v>
      </c>
      <c r="E23" s="358">
        <v>0.62</v>
      </c>
      <c r="F23" s="357">
        <v>0</v>
      </c>
      <c r="G23" s="358">
        <v>0</v>
      </c>
      <c r="H23" s="357">
        <v>0</v>
      </c>
      <c r="I23" s="346">
        <v>0</v>
      </c>
      <c r="J23" s="357">
        <v>7</v>
      </c>
      <c r="K23" s="346">
        <v>0.62</v>
      </c>
      <c r="L23" s="359"/>
      <c r="M23" s="360">
        <v>11248750</v>
      </c>
      <c r="N23" s="382"/>
    </row>
    <row r="24" spans="1:24" ht="14.15" customHeight="1" x14ac:dyDescent="0.3">
      <c r="A24" s="349" t="s">
        <v>90</v>
      </c>
      <c r="B24" s="352">
        <v>0</v>
      </c>
      <c r="C24" s="351">
        <v>0</v>
      </c>
      <c r="D24" s="350">
        <v>7</v>
      </c>
      <c r="E24" s="351">
        <v>0.64</v>
      </c>
      <c r="F24" s="350">
        <v>0</v>
      </c>
      <c r="G24" s="351">
        <v>0</v>
      </c>
      <c r="H24" s="350">
        <v>0</v>
      </c>
      <c r="I24" s="346">
        <v>0</v>
      </c>
      <c r="J24" s="350">
        <v>7</v>
      </c>
      <c r="K24" s="346">
        <v>0.64</v>
      </c>
      <c r="L24" s="353"/>
      <c r="M24" s="354">
        <v>10967305</v>
      </c>
      <c r="N24" s="382"/>
    </row>
    <row r="25" spans="1:24" ht="14.15" customHeight="1" x14ac:dyDescent="0.3">
      <c r="A25" s="349" t="s">
        <v>91</v>
      </c>
      <c r="B25" s="352">
        <v>0</v>
      </c>
      <c r="C25" s="351">
        <v>0</v>
      </c>
      <c r="D25" s="350">
        <v>0</v>
      </c>
      <c r="E25" s="351">
        <v>0</v>
      </c>
      <c r="F25" s="350">
        <v>0</v>
      </c>
      <c r="G25" s="351">
        <v>0</v>
      </c>
      <c r="H25" s="350">
        <v>0</v>
      </c>
      <c r="I25" s="346">
        <v>0</v>
      </c>
      <c r="J25" s="350">
        <v>0</v>
      </c>
      <c r="K25" s="346">
        <v>0</v>
      </c>
      <c r="L25" s="353"/>
      <c r="M25" s="354">
        <v>246105</v>
      </c>
      <c r="N25" s="382"/>
    </row>
    <row r="26" spans="1:24" ht="15" hidden="1" customHeight="1" x14ac:dyDescent="0.3">
      <c r="A26" s="371" t="s">
        <v>366</v>
      </c>
      <c r="B26" s="350">
        <v>0</v>
      </c>
      <c r="C26" s="353" t="s">
        <v>238</v>
      </c>
      <c r="D26" s="350">
        <v>0</v>
      </c>
      <c r="E26" s="353" t="s">
        <v>238</v>
      </c>
      <c r="F26" s="350">
        <v>0</v>
      </c>
      <c r="G26" s="353" t="s">
        <v>238</v>
      </c>
      <c r="H26" s="350">
        <v>0</v>
      </c>
      <c r="I26" s="347" t="s">
        <v>238</v>
      </c>
      <c r="J26" s="350">
        <v>0</v>
      </c>
      <c r="K26" s="347" t="s">
        <v>238</v>
      </c>
      <c r="L26" s="353"/>
      <c r="M26" s="354">
        <v>0</v>
      </c>
      <c r="N26" s="382"/>
    </row>
    <row r="27" spans="1:24" ht="14.15" customHeight="1" x14ac:dyDescent="0.3">
      <c r="A27" s="372" t="s">
        <v>367</v>
      </c>
      <c r="B27" s="352">
        <v>0</v>
      </c>
      <c r="C27" s="351">
        <v>0</v>
      </c>
      <c r="D27" s="350">
        <v>0</v>
      </c>
      <c r="E27" s="351">
        <v>0</v>
      </c>
      <c r="F27" s="350">
        <v>0</v>
      </c>
      <c r="G27" s="351">
        <v>0</v>
      </c>
      <c r="H27" s="350">
        <v>0</v>
      </c>
      <c r="I27" s="346">
        <v>0</v>
      </c>
      <c r="J27" s="350">
        <v>0</v>
      </c>
      <c r="K27" s="346">
        <v>0</v>
      </c>
      <c r="L27" s="353"/>
      <c r="M27" s="354">
        <v>35340</v>
      </c>
      <c r="N27" s="382"/>
    </row>
    <row r="28" spans="1:24" ht="14.15" customHeight="1" x14ac:dyDescent="0.3">
      <c r="A28" s="356" t="s">
        <v>92</v>
      </c>
      <c r="B28" s="357">
        <v>0</v>
      </c>
      <c r="C28" s="358">
        <v>0</v>
      </c>
      <c r="D28" s="357">
        <v>0</v>
      </c>
      <c r="E28" s="358">
        <v>0</v>
      </c>
      <c r="F28" s="357">
        <v>0</v>
      </c>
      <c r="G28" s="358">
        <v>0</v>
      </c>
      <c r="H28" s="357">
        <v>0</v>
      </c>
      <c r="I28" s="346">
        <v>0</v>
      </c>
      <c r="J28" s="357">
        <v>0</v>
      </c>
      <c r="K28" s="346">
        <v>0</v>
      </c>
      <c r="L28" s="359"/>
      <c r="M28" s="360">
        <v>277476</v>
      </c>
      <c r="N28" s="382"/>
    </row>
    <row r="29" spans="1:24" ht="14.15" customHeight="1" x14ac:dyDescent="0.3">
      <c r="A29" s="349" t="s">
        <v>93</v>
      </c>
      <c r="B29" s="352">
        <v>0</v>
      </c>
      <c r="C29" s="351">
        <v>0</v>
      </c>
      <c r="D29" s="350">
        <v>0</v>
      </c>
      <c r="E29" s="351">
        <v>0</v>
      </c>
      <c r="F29" s="350">
        <v>0</v>
      </c>
      <c r="G29" s="351">
        <v>0</v>
      </c>
      <c r="H29" s="350">
        <v>0</v>
      </c>
      <c r="I29" s="346">
        <v>0</v>
      </c>
      <c r="J29" s="350">
        <v>0</v>
      </c>
      <c r="K29" s="346">
        <v>0</v>
      </c>
      <c r="L29" s="353"/>
      <c r="M29" s="354">
        <v>242094</v>
      </c>
      <c r="N29" s="382"/>
    </row>
    <row r="30" spans="1:24" ht="14.15" customHeight="1" x14ac:dyDescent="0.3">
      <c r="A30" s="372" t="s">
        <v>368</v>
      </c>
      <c r="B30" s="352">
        <v>0</v>
      </c>
      <c r="C30" s="351">
        <v>0</v>
      </c>
      <c r="D30" s="350">
        <v>0</v>
      </c>
      <c r="E30" s="351">
        <v>0</v>
      </c>
      <c r="F30" s="350">
        <v>0</v>
      </c>
      <c r="G30" s="351">
        <v>0</v>
      </c>
      <c r="H30" s="350">
        <v>0</v>
      </c>
      <c r="I30" s="346">
        <v>0</v>
      </c>
      <c r="J30" s="350">
        <v>0</v>
      </c>
      <c r="K30" s="346">
        <v>0</v>
      </c>
      <c r="L30" s="353"/>
      <c r="M30" s="354">
        <v>35382</v>
      </c>
      <c r="N30" s="382"/>
    </row>
    <row r="31" spans="1:24" ht="14.15" customHeight="1" x14ac:dyDescent="0.3">
      <c r="A31" s="356" t="s">
        <v>95</v>
      </c>
      <c r="B31" s="357">
        <v>0</v>
      </c>
      <c r="C31" s="358">
        <v>0</v>
      </c>
      <c r="D31" s="357">
        <v>15</v>
      </c>
      <c r="E31" s="358">
        <v>0.82</v>
      </c>
      <c r="F31" s="357">
        <v>0</v>
      </c>
      <c r="G31" s="358">
        <v>0</v>
      </c>
      <c r="H31" s="357">
        <v>5</v>
      </c>
      <c r="I31" s="346">
        <v>0.27</v>
      </c>
      <c r="J31" s="357">
        <v>10</v>
      </c>
      <c r="K31" s="346">
        <v>0.55000000000000004</v>
      </c>
      <c r="L31" s="359"/>
      <c r="M31" s="360">
        <v>18225592</v>
      </c>
      <c r="N31" s="382"/>
    </row>
    <row r="32" spans="1:24" ht="14.15" customHeight="1" x14ac:dyDescent="0.3">
      <c r="A32" s="349" t="s">
        <v>96</v>
      </c>
      <c r="B32" s="352">
        <v>0</v>
      </c>
      <c r="C32" s="351">
        <v>0</v>
      </c>
      <c r="D32" s="350">
        <v>15</v>
      </c>
      <c r="E32" s="351">
        <v>0.82</v>
      </c>
      <c r="F32" s="350">
        <v>0</v>
      </c>
      <c r="G32" s="351">
        <v>0</v>
      </c>
      <c r="H32" s="350">
        <v>5</v>
      </c>
      <c r="I32" s="346">
        <v>0.27</v>
      </c>
      <c r="J32" s="350">
        <v>10</v>
      </c>
      <c r="K32" s="346">
        <v>0.55000000000000004</v>
      </c>
      <c r="L32" s="353"/>
      <c r="M32" s="354">
        <v>18225592</v>
      </c>
      <c r="N32" s="382"/>
    </row>
    <row r="33" spans="1:14" ht="14.15" customHeight="1" x14ac:dyDescent="0.3">
      <c r="A33" s="356" t="s">
        <v>97</v>
      </c>
      <c r="B33" s="357">
        <v>0</v>
      </c>
      <c r="C33" s="358">
        <v>0</v>
      </c>
      <c r="D33" s="357">
        <v>2</v>
      </c>
      <c r="E33" s="358">
        <v>0.69</v>
      </c>
      <c r="F33" s="357">
        <v>0</v>
      </c>
      <c r="G33" s="358">
        <v>0</v>
      </c>
      <c r="H33" s="357">
        <v>0</v>
      </c>
      <c r="I33" s="346">
        <v>0</v>
      </c>
      <c r="J33" s="357">
        <v>2</v>
      </c>
      <c r="K33" s="346">
        <v>0.69</v>
      </c>
      <c r="L33" s="359"/>
      <c r="M33" s="360">
        <v>2888821</v>
      </c>
      <c r="N33" s="382"/>
    </row>
    <row r="34" spans="1:14" ht="15" hidden="1" customHeight="1" x14ac:dyDescent="0.3">
      <c r="A34" s="349" t="s">
        <v>273</v>
      </c>
      <c r="B34" s="350">
        <v>0</v>
      </c>
      <c r="C34" s="353" t="s">
        <v>238</v>
      </c>
      <c r="D34" s="350">
        <v>0</v>
      </c>
      <c r="E34" s="353" t="s">
        <v>238</v>
      </c>
      <c r="F34" s="350">
        <v>0</v>
      </c>
      <c r="G34" s="353" t="s">
        <v>238</v>
      </c>
      <c r="H34" s="350">
        <v>0</v>
      </c>
      <c r="I34" s="347" t="s">
        <v>238</v>
      </c>
      <c r="J34" s="350">
        <v>0</v>
      </c>
      <c r="K34" s="347" t="s">
        <v>238</v>
      </c>
      <c r="L34" s="353"/>
      <c r="M34" s="354">
        <v>0</v>
      </c>
      <c r="N34" s="382"/>
    </row>
    <row r="35" spans="1:14" ht="14.15" customHeight="1" x14ac:dyDescent="0.3">
      <c r="A35" s="349" t="s">
        <v>98</v>
      </c>
      <c r="B35" s="352">
        <v>0</v>
      </c>
      <c r="C35" s="351">
        <v>0</v>
      </c>
      <c r="D35" s="350">
        <v>2</v>
      </c>
      <c r="E35" s="351">
        <v>0.69</v>
      </c>
      <c r="F35" s="350">
        <v>0</v>
      </c>
      <c r="G35" s="351">
        <v>0</v>
      </c>
      <c r="H35" s="350">
        <v>0</v>
      </c>
      <c r="I35" s="346">
        <v>0</v>
      </c>
      <c r="J35" s="350">
        <v>2</v>
      </c>
      <c r="K35" s="346">
        <v>0.69</v>
      </c>
      <c r="L35" s="353"/>
      <c r="M35" s="354">
        <v>2888821</v>
      </c>
      <c r="N35" s="382"/>
    </row>
    <row r="36" spans="1:14" ht="15" hidden="1" customHeight="1" x14ac:dyDescent="0.3">
      <c r="A36" s="372" t="s">
        <v>366</v>
      </c>
      <c r="B36" s="352">
        <v>0</v>
      </c>
      <c r="C36" s="353" t="s">
        <v>238</v>
      </c>
      <c r="D36" s="350">
        <v>2</v>
      </c>
      <c r="E36" s="353" t="s">
        <v>238</v>
      </c>
      <c r="F36" s="350">
        <v>0</v>
      </c>
      <c r="G36" s="359" t="s">
        <v>238</v>
      </c>
      <c r="H36" s="350">
        <v>0</v>
      </c>
      <c r="I36" s="347" t="s">
        <v>238</v>
      </c>
      <c r="J36" s="350">
        <v>0</v>
      </c>
      <c r="K36" s="347" t="s">
        <v>238</v>
      </c>
      <c r="L36" s="353"/>
      <c r="M36" s="354">
        <v>0</v>
      </c>
      <c r="N36" s="382"/>
    </row>
    <row r="37" spans="1:14" ht="14.15" customHeight="1" x14ac:dyDescent="0.3">
      <c r="A37" s="373" t="s">
        <v>101</v>
      </c>
      <c r="B37" s="374">
        <v>0</v>
      </c>
      <c r="C37" s="375">
        <v>0</v>
      </c>
      <c r="D37" s="374">
        <v>0</v>
      </c>
      <c r="E37" s="375">
        <v>0</v>
      </c>
      <c r="F37" s="374">
        <v>0</v>
      </c>
      <c r="G37" s="351">
        <v>0</v>
      </c>
      <c r="H37" s="374">
        <v>0</v>
      </c>
      <c r="I37" s="346">
        <v>0</v>
      </c>
      <c r="J37" s="359"/>
      <c r="K37" s="346">
        <v>0</v>
      </c>
      <c r="L37" s="359"/>
      <c r="M37" s="357">
        <v>802886</v>
      </c>
      <c r="N37" s="80"/>
    </row>
    <row r="38" spans="1:14" ht="14.15" customHeight="1" x14ac:dyDescent="0.3">
      <c r="A38" s="376" t="s">
        <v>102</v>
      </c>
      <c r="B38" s="352">
        <v>0</v>
      </c>
      <c r="C38" s="351">
        <v>0</v>
      </c>
      <c r="D38" s="350">
        <v>0</v>
      </c>
      <c r="E38" s="351">
        <v>0</v>
      </c>
      <c r="F38" s="350">
        <v>0</v>
      </c>
      <c r="G38" s="351">
        <v>0</v>
      </c>
      <c r="H38" s="350">
        <v>0</v>
      </c>
      <c r="I38" s="346">
        <v>0</v>
      </c>
      <c r="J38" s="350">
        <v>0</v>
      </c>
      <c r="K38" s="346">
        <v>0</v>
      </c>
      <c r="L38" s="353"/>
      <c r="M38" s="350">
        <v>802886</v>
      </c>
      <c r="N38" s="80"/>
    </row>
    <row r="39" spans="1:14" ht="14.15" customHeight="1" x14ac:dyDescent="0.3">
      <c r="A39" s="356" t="s">
        <v>99</v>
      </c>
      <c r="B39" s="357">
        <v>0</v>
      </c>
      <c r="C39" s="357">
        <v>0</v>
      </c>
      <c r="D39" s="357">
        <v>7</v>
      </c>
      <c r="E39" s="358">
        <v>1.52</v>
      </c>
      <c r="F39" s="357">
        <v>1</v>
      </c>
      <c r="G39" s="358">
        <v>0.22</v>
      </c>
      <c r="H39" s="357">
        <v>1</v>
      </c>
      <c r="I39" s="346">
        <v>0.22</v>
      </c>
      <c r="J39" s="357">
        <v>5</v>
      </c>
      <c r="K39" s="346">
        <v>1.0900000000000001</v>
      </c>
      <c r="L39" s="359"/>
      <c r="M39" s="360">
        <v>4598821</v>
      </c>
      <c r="N39" s="382"/>
    </row>
    <row r="40" spans="1:14" ht="14.15" customHeight="1" x14ac:dyDescent="0.3">
      <c r="A40" s="349" t="s">
        <v>100</v>
      </c>
      <c r="B40" s="352">
        <v>0</v>
      </c>
      <c r="C40" s="351">
        <v>0</v>
      </c>
      <c r="D40" s="350">
        <v>7</v>
      </c>
      <c r="E40" s="351">
        <v>1.52</v>
      </c>
      <c r="F40" s="350">
        <v>1</v>
      </c>
      <c r="G40" s="351">
        <v>0.22</v>
      </c>
      <c r="H40" s="350">
        <v>1</v>
      </c>
      <c r="I40" s="346">
        <v>0.22</v>
      </c>
      <c r="J40" s="350">
        <v>5</v>
      </c>
      <c r="K40" s="346">
        <v>1.0900000000000001</v>
      </c>
      <c r="L40" s="353"/>
      <c r="M40" s="354">
        <v>4598821</v>
      </c>
      <c r="N40" s="382"/>
    </row>
    <row r="41" spans="1:14" ht="14.15" customHeight="1" x14ac:dyDescent="0.3">
      <c r="A41" s="365" t="s">
        <v>103</v>
      </c>
      <c r="B41" s="366">
        <v>2</v>
      </c>
      <c r="C41" s="367">
        <v>0.1</v>
      </c>
      <c r="D41" s="366">
        <v>58</v>
      </c>
      <c r="E41" s="367">
        <v>2.78</v>
      </c>
      <c r="F41" s="369">
        <v>18</v>
      </c>
      <c r="G41" s="377">
        <v>0.86</v>
      </c>
      <c r="H41" s="366">
        <v>18</v>
      </c>
      <c r="I41" s="346">
        <v>0.86</v>
      </c>
      <c r="J41" s="366">
        <v>20</v>
      </c>
      <c r="K41" s="346">
        <v>0.96</v>
      </c>
      <c r="L41" s="368"/>
      <c r="M41" s="369">
        <v>20827080</v>
      </c>
      <c r="N41" s="385"/>
    </row>
    <row r="42" spans="1:14" ht="14.15" customHeight="1" x14ac:dyDescent="0.3">
      <c r="A42" s="356" t="s">
        <v>104</v>
      </c>
      <c r="B42" s="357">
        <v>0</v>
      </c>
      <c r="C42" s="358">
        <v>0</v>
      </c>
      <c r="D42" s="357">
        <v>6</v>
      </c>
      <c r="E42" s="358">
        <v>4.41</v>
      </c>
      <c r="F42" s="357">
        <v>1</v>
      </c>
      <c r="G42" s="358">
        <v>0.74</v>
      </c>
      <c r="H42" s="357">
        <v>2</v>
      </c>
      <c r="I42" s="346">
        <v>1.47</v>
      </c>
      <c r="J42" s="357">
        <v>3</v>
      </c>
      <c r="K42" s="346">
        <v>2.21</v>
      </c>
      <c r="L42" s="359"/>
      <c r="M42" s="360">
        <v>1359698</v>
      </c>
      <c r="N42" s="382"/>
    </row>
    <row r="43" spans="1:14" ht="14.15" customHeight="1" x14ac:dyDescent="0.3">
      <c r="A43" s="349" t="s">
        <v>105</v>
      </c>
      <c r="B43" s="352">
        <v>0</v>
      </c>
      <c r="C43" s="351">
        <v>0</v>
      </c>
      <c r="D43" s="350">
        <v>6</v>
      </c>
      <c r="E43" s="351">
        <v>4.41</v>
      </c>
      <c r="F43" s="350">
        <v>1</v>
      </c>
      <c r="G43" s="351">
        <v>0.74</v>
      </c>
      <c r="H43" s="350">
        <v>2</v>
      </c>
      <c r="I43" s="346">
        <v>1.47</v>
      </c>
      <c r="J43" s="350">
        <v>3</v>
      </c>
      <c r="K43" s="346">
        <v>2.21</v>
      </c>
      <c r="L43" s="353"/>
      <c r="M43" s="354">
        <v>1359698</v>
      </c>
      <c r="N43" s="382"/>
    </row>
    <row r="44" spans="1:14" ht="15.75" customHeight="1" x14ac:dyDescent="0.3">
      <c r="A44" s="356" t="s">
        <v>109</v>
      </c>
      <c r="B44" s="357">
        <v>2</v>
      </c>
      <c r="C44" s="358">
        <v>0.1</v>
      </c>
      <c r="D44" s="357">
        <v>52</v>
      </c>
      <c r="E44" s="358">
        <v>2.67</v>
      </c>
      <c r="F44" s="357">
        <v>17</v>
      </c>
      <c r="G44" s="358">
        <v>0.87</v>
      </c>
      <c r="H44" s="357">
        <v>16</v>
      </c>
      <c r="I44" s="346">
        <v>0.82</v>
      </c>
      <c r="J44" s="357">
        <v>17</v>
      </c>
      <c r="K44" s="346">
        <v>0.87</v>
      </c>
      <c r="L44" s="359"/>
      <c r="M44" s="360">
        <v>19467382</v>
      </c>
      <c r="N44" s="382"/>
    </row>
    <row r="45" spans="1:14" ht="15" hidden="1" customHeight="1" x14ac:dyDescent="0.3">
      <c r="A45" s="371" t="s">
        <v>110</v>
      </c>
      <c r="B45" s="350">
        <v>0</v>
      </c>
      <c r="C45" s="353" t="s">
        <v>238</v>
      </c>
      <c r="D45" s="350">
        <v>0</v>
      </c>
      <c r="E45" s="353" t="s">
        <v>238</v>
      </c>
      <c r="F45" s="350">
        <v>0</v>
      </c>
      <c r="G45" s="353" t="s">
        <v>238</v>
      </c>
      <c r="H45" s="350">
        <v>0</v>
      </c>
      <c r="I45" s="347" t="s">
        <v>238</v>
      </c>
      <c r="J45" s="350">
        <v>0</v>
      </c>
      <c r="K45" s="347" t="s">
        <v>238</v>
      </c>
      <c r="L45" s="353"/>
      <c r="M45" s="354">
        <v>0</v>
      </c>
      <c r="N45" s="382"/>
    </row>
    <row r="46" spans="1:14" ht="14.15" customHeight="1" x14ac:dyDescent="0.3">
      <c r="A46" s="372" t="s">
        <v>366</v>
      </c>
      <c r="B46" s="352">
        <v>1</v>
      </c>
      <c r="C46" s="351">
        <v>2.76</v>
      </c>
      <c r="D46" s="350">
        <v>1</v>
      </c>
      <c r="E46" s="351">
        <v>2.76</v>
      </c>
      <c r="F46" s="350">
        <v>0</v>
      </c>
      <c r="G46" s="351">
        <v>0</v>
      </c>
      <c r="H46" s="350">
        <v>0</v>
      </c>
      <c r="I46" s="346">
        <v>0</v>
      </c>
      <c r="J46" s="350">
        <v>0</v>
      </c>
      <c r="K46" s="346">
        <v>0</v>
      </c>
      <c r="L46" s="353"/>
      <c r="M46" s="354">
        <v>362804</v>
      </c>
      <c r="N46" s="382"/>
    </row>
    <row r="47" spans="1:14" ht="14.15" customHeight="1" x14ac:dyDescent="0.3">
      <c r="A47" s="372" t="s">
        <v>110</v>
      </c>
      <c r="B47" s="352">
        <v>0</v>
      </c>
      <c r="C47" s="351">
        <v>0</v>
      </c>
      <c r="D47" s="350">
        <v>0</v>
      </c>
      <c r="E47" s="351">
        <v>0</v>
      </c>
      <c r="F47" s="350">
        <v>0</v>
      </c>
      <c r="G47" s="351">
        <v>0</v>
      </c>
      <c r="H47" s="378">
        <v>0</v>
      </c>
      <c r="I47" s="346">
        <v>0</v>
      </c>
      <c r="J47" s="350">
        <v>0</v>
      </c>
      <c r="K47" s="346">
        <v>0</v>
      </c>
      <c r="L47" s="353"/>
      <c r="M47" s="354">
        <v>127551</v>
      </c>
      <c r="N47" s="382"/>
    </row>
    <row r="48" spans="1:14" ht="14.15" customHeight="1" x14ac:dyDescent="0.3">
      <c r="A48" s="372" t="s">
        <v>94</v>
      </c>
      <c r="B48" s="352">
        <v>0</v>
      </c>
      <c r="C48" s="351">
        <v>0</v>
      </c>
      <c r="D48" s="350">
        <v>1</v>
      </c>
      <c r="E48" s="351">
        <v>8.36</v>
      </c>
      <c r="F48" s="350">
        <v>1</v>
      </c>
      <c r="G48" s="351">
        <v>8.36</v>
      </c>
      <c r="H48" s="350">
        <v>0</v>
      </c>
      <c r="I48" s="346">
        <v>0</v>
      </c>
      <c r="J48" s="350">
        <v>0</v>
      </c>
      <c r="K48" s="346">
        <v>0</v>
      </c>
      <c r="L48" s="353"/>
      <c r="M48" s="354">
        <v>119580</v>
      </c>
      <c r="N48" s="382"/>
    </row>
    <row r="49" spans="1:14" ht="14.15" customHeight="1" x14ac:dyDescent="0.3">
      <c r="A49" s="379" t="s">
        <v>111</v>
      </c>
      <c r="B49" s="357">
        <v>1</v>
      </c>
      <c r="C49" s="358">
        <v>0.05</v>
      </c>
      <c r="D49" s="357">
        <v>50</v>
      </c>
      <c r="E49" s="358">
        <v>2.65</v>
      </c>
      <c r="F49" s="357">
        <v>16</v>
      </c>
      <c r="G49" s="358">
        <v>0.85</v>
      </c>
      <c r="H49" s="357">
        <v>16</v>
      </c>
      <c r="I49" s="346">
        <v>0.85</v>
      </c>
      <c r="J49" s="357">
        <v>17</v>
      </c>
      <c r="K49" s="346">
        <v>0.9</v>
      </c>
      <c r="L49" s="359"/>
      <c r="M49" s="360">
        <v>18857447</v>
      </c>
      <c r="N49" s="382"/>
    </row>
    <row r="50" spans="1:14" ht="14.15" customHeight="1" x14ac:dyDescent="0.3">
      <c r="A50" s="380" t="s">
        <v>339</v>
      </c>
      <c r="B50" s="352">
        <v>1</v>
      </c>
      <c r="C50" s="351">
        <v>0.11</v>
      </c>
      <c r="D50" s="381">
        <v>19</v>
      </c>
      <c r="E50" s="351">
        <v>2.09</v>
      </c>
      <c r="F50" s="350">
        <v>7</v>
      </c>
      <c r="G50" s="351">
        <v>0.77</v>
      </c>
      <c r="H50" s="350">
        <v>5</v>
      </c>
      <c r="I50" s="346">
        <v>0.55000000000000004</v>
      </c>
      <c r="J50" s="350">
        <v>6</v>
      </c>
      <c r="K50" s="346">
        <v>0.66</v>
      </c>
      <c r="L50" s="353"/>
      <c r="M50" s="354">
        <v>9106069</v>
      </c>
      <c r="N50" s="382"/>
    </row>
    <row r="51" spans="1:14" ht="14.15" customHeight="1" x14ac:dyDescent="0.3">
      <c r="A51" s="380" t="s">
        <v>301</v>
      </c>
      <c r="B51" s="352">
        <v>0</v>
      </c>
      <c r="C51" s="351">
        <v>0</v>
      </c>
      <c r="D51" s="381">
        <v>7</v>
      </c>
      <c r="E51" s="351">
        <v>1.64</v>
      </c>
      <c r="F51" s="350">
        <v>3</v>
      </c>
      <c r="G51" s="351">
        <v>0.7</v>
      </c>
      <c r="H51" s="350">
        <v>3</v>
      </c>
      <c r="I51" s="346">
        <v>0.7</v>
      </c>
      <c r="J51" s="350">
        <v>1</v>
      </c>
      <c r="K51" s="346">
        <v>0.23</v>
      </c>
      <c r="L51" s="353"/>
      <c r="M51" s="354">
        <v>4273067</v>
      </c>
      <c r="N51" s="382"/>
    </row>
    <row r="52" spans="1:14" ht="14.15" customHeight="1" x14ac:dyDescent="0.3">
      <c r="A52" s="380" t="s">
        <v>304</v>
      </c>
      <c r="B52" s="352">
        <v>0</v>
      </c>
      <c r="C52" s="351">
        <v>0</v>
      </c>
      <c r="D52" s="381">
        <v>0</v>
      </c>
      <c r="E52" s="351">
        <v>0</v>
      </c>
      <c r="F52" s="350">
        <v>0</v>
      </c>
      <c r="G52" s="351">
        <v>0</v>
      </c>
      <c r="H52" s="350">
        <v>0</v>
      </c>
      <c r="I52" s="346">
        <v>0</v>
      </c>
      <c r="J52" s="350">
        <v>0</v>
      </c>
      <c r="K52" s="346">
        <v>0</v>
      </c>
      <c r="L52" s="353"/>
      <c r="M52" s="354">
        <v>29771</v>
      </c>
      <c r="N52" s="382"/>
    </row>
    <row r="53" spans="1:14" ht="14.15" customHeight="1" x14ac:dyDescent="0.3">
      <c r="A53" s="380" t="s">
        <v>305</v>
      </c>
      <c r="B53" s="352">
        <v>0</v>
      </c>
      <c r="C53" s="351">
        <v>0</v>
      </c>
      <c r="D53" s="381">
        <v>7</v>
      </c>
      <c r="E53" s="351">
        <v>6.53</v>
      </c>
      <c r="F53" s="350">
        <v>1</v>
      </c>
      <c r="G53" s="351">
        <v>0.93</v>
      </c>
      <c r="H53" s="350">
        <v>5</v>
      </c>
      <c r="I53" s="346">
        <v>4.67</v>
      </c>
      <c r="J53" s="350">
        <v>1</v>
      </c>
      <c r="K53" s="346">
        <v>0.93</v>
      </c>
      <c r="L53" s="353"/>
      <c r="M53" s="354">
        <v>1071735</v>
      </c>
      <c r="N53" s="382"/>
    </row>
    <row r="54" spans="1:14" ht="14.15" customHeight="1" x14ac:dyDescent="0.3">
      <c r="A54" s="380" t="s">
        <v>307</v>
      </c>
      <c r="B54" s="352">
        <v>0</v>
      </c>
      <c r="C54" s="351">
        <v>0</v>
      </c>
      <c r="D54" s="381">
        <v>10</v>
      </c>
      <c r="E54" s="351">
        <v>3.98</v>
      </c>
      <c r="F54" s="350">
        <v>5</v>
      </c>
      <c r="G54" s="351">
        <v>1.99</v>
      </c>
      <c r="H54" s="350">
        <v>1</v>
      </c>
      <c r="I54" s="346">
        <v>0.4</v>
      </c>
      <c r="J54" s="350">
        <v>4</v>
      </c>
      <c r="K54" s="346">
        <v>1.59</v>
      </c>
      <c r="L54" s="353"/>
      <c r="M54" s="354">
        <v>2513426</v>
      </c>
      <c r="N54" s="382"/>
    </row>
    <row r="55" spans="1:14" ht="14.15" customHeight="1" x14ac:dyDescent="0.3">
      <c r="A55" s="380" t="s">
        <v>369</v>
      </c>
      <c r="B55" s="352">
        <v>0</v>
      </c>
      <c r="C55" s="351">
        <v>0</v>
      </c>
      <c r="D55" s="381">
        <v>7</v>
      </c>
      <c r="E55" s="351">
        <v>5.2</v>
      </c>
      <c r="F55" s="350">
        <v>0</v>
      </c>
      <c r="G55" s="351">
        <v>0</v>
      </c>
      <c r="H55" s="350">
        <v>2</v>
      </c>
      <c r="I55" s="346">
        <v>1.49</v>
      </c>
      <c r="J55" s="350">
        <v>5</v>
      </c>
      <c r="K55" s="346">
        <v>3.71</v>
      </c>
      <c r="L55" s="353"/>
      <c r="M55" s="354">
        <v>1346244</v>
      </c>
      <c r="N55" s="382"/>
    </row>
    <row r="56" spans="1:14" ht="14.15" customHeight="1" x14ac:dyDescent="0.3">
      <c r="A56" s="349" t="s">
        <v>370</v>
      </c>
      <c r="B56" s="352">
        <v>0</v>
      </c>
      <c r="C56" s="351">
        <v>0</v>
      </c>
      <c r="D56" s="381">
        <v>0</v>
      </c>
      <c r="E56" s="351">
        <v>0</v>
      </c>
      <c r="F56" s="350">
        <v>0</v>
      </c>
      <c r="G56" s="351">
        <v>0</v>
      </c>
      <c r="H56" s="350">
        <v>0</v>
      </c>
      <c r="I56" s="346">
        <v>0</v>
      </c>
      <c r="J56" s="350">
        <v>0</v>
      </c>
      <c r="K56" s="346">
        <v>0</v>
      </c>
      <c r="L56" s="353"/>
      <c r="M56" s="354">
        <v>517135</v>
      </c>
      <c r="N56" s="382"/>
    </row>
    <row r="57" spans="1:14" x14ac:dyDescent="0.25">
      <c r="A57" s="88"/>
      <c r="B57" s="88"/>
      <c r="C57" s="88"/>
      <c r="D57" s="88"/>
      <c r="E57" s="88"/>
      <c r="F57" s="88"/>
      <c r="G57" s="88"/>
      <c r="H57" s="88"/>
      <c r="I57" s="88"/>
      <c r="J57" s="88"/>
      <c r="K57" s="88"/>
      <c r="L57" s="88"/>
      <c r="M57" s="88"/>
    </row>
  </sheetData>
  <mergeCells count="1">
    <mergeCell ref="B1:P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51"/>
  <sheetViews>
    <sheetView zoomScale="60" zoomScaleNormal="60" workbookViewId="0">
      <pane xSplit="1" topLeftCell="B1" activePane="topRight" state="frozen"/>
      <selection pane="topRight" activeCell="A3" sqref="A3:XFD3"/>
    </sheetView>
  </sheetViews>
  <sheetFormatPr defaultColWidth="13.1796875" defaultRowHeight="12.5" x14ac:dyDescent="0.25"/>
  <cols>
    <col min="1" max="1" width="29.1796875" customWidth="1"/>
    <col min="2" max="2" width="9" customWidth="1"/>
    <col min="3" max="3" width="15.1796875" customWidth="1"/>
    <col min="4" max="4" width="11.453125" customWidth="1"/>
    <col min="5" max="5" width="12.81640625" hidden="1" customWidth="1"/>
    <col min="6" max="11" width="9" customWidth="1"/>
    <col min="12" max="12" width="17" customWidth="1"/>
    <col min="13" max="13" width="18.453125" customWidth="1"/>
    <col min="14" max="14" width="13.1796875" customWidth="1"/>
    <col min="15" max="15" width="19.1796875" hidden="1" customWidth="1"/>
    <col min="16" max="16" width="19.1796875" customWidth="1"/>
    <col min="17" max="18" width="14" customWidth="1"/>
    <col min="19" max="19" width="16.453125" customWidth="1"/>
    <col min="20" max="20" width="19.54296875" customWidth="1"/>
  </cols>
  <sheetData>
    <row r="1" spans="1:21" ht="15" customHeight="1" x14ac:dyDescent="0.3">
      <c r="B1" s="683" t="s">
        <v>371</v>
      </c>
      <c r="C1" s="684"/>
      <c r="D1" s="683" t="s">
        <v>372</v>
      </c>
      <c r="E1" s="685"/>
      <c r="F1" s="685"/>
      <c r="G1" s="685"/>
      <c r="H1" s="685"/>
      <c r="I1" s="685"/>
      <c r="J1" s="685"/>
      <c r="K1" s="685"/>
      <c r="L1" s="685"/>
      <c r="M1" s="684"/>
      <c r="N1" s="683" t="s">
        <v>373</v>
      </c>
      <c r="O1" s="685"/>
      <c r="P1" s="685"/>
      <c r="Q1" s="685"/>
      <c r="R1" s="685"/>
      <c r="S1" s="685"/>
      <c r="T1" s="684"/>
      <c r="U1" s="382"/>
    </row>
    <row r="2" spans="1:21" ht="42.65" customHeight="1" x14ac:dyDescent="0.3">
      <c r="B2" s="388" t="s">
        <v>374</v>
      </c>
      <c r="C2" s="389" t="s">
        <v>375</v>
      </c>
      <c r="D2" s="388" t="s">
        <v>376</v>
      </c>
      <c r="E2" s="390" t="s">
        <v>377</v>
      </c>
      <c r="F2" s="390" t="s">
        <v>378</v>
      </c>
      <c r="G2" s="390" t="s">
        <v>379</v>
      </c>
      <c r="H2" s="390" t="s">
        <v>380</v>
      </c>
      <c r="I2" s="390" t="s">
        <v>381</v>
      </c>
      <c r="J2" s="390" t="s">
        <v>382</v>
      </c>
      <c r="K2" s="390" t="s">
        <v>24</v>
      </c>
      <c r="L2" s="390" t="s">
        <v>383</v>
      </c>
      <c r="M2" s="389" t="s">
        <v>384</v>
      </c>
      <c r="N2" s="388" t="s">
        <v>385</v>
      </c>
      <c r="O2" s="390" t="s">
        <v>386</v>
      </c>
      <c r="P2" s="390" t="s">
        <v>387</v>
      </c>
      <c r="Q2" s="390" t="s">
        <v>388</v>
      </c>
      <c r="R2" s="390" t="s">
        <v>389</v>
      </c>
      <c r="S2" s="390" t="s">
        <v>390</v>
      </c>
      <c r="T2" s="389" t="s">
        <v>391</v>
      </c>
      <c r="U2" s="382"/>
    </row>
    <row r="3" spans="1:21" ht="14.15" hidden="1" customHeight="1" x14ac:dyDescent="0.3">
      <c r="B3" s="391" t="s">
        <v>392</v>
      </c>
      <c r="C3" s="392" t="s">
        <v>393</v>
      </c>
      <c r="D3" s="391" t="s">
        <v>394</v>
      </c>
      <c r="E3" s="393" t="s">
        <v>395</v>
      </c>
      <c r="F3" s="393" t="s">
        <v>396</v>
      </c>
      <c r="G3" s="393" t="s">
        <v>397</v>
      </c>
      <c r="H3" s="393" t="s">
        <v>398</v>
      </c>
      <c r="I3" s="393" t="s">
        <v>399</v>
      </c>
      <c r="J3" s="393" t="s">
        <v>400</v>
      </c>
      <c r="K3" s="393" t="s">
        <v>401</v>
      </c>
      <c r="L3" s="393" t="s">
        <v>402</v>
      </c>
      <c r="M3" s="392" t="s">
        <v>403</v>
      </c>
      <c r="N3" s="391" t="s">
        <v>404</v>
      </c>
      <c r="O3" s="393" t="s">
        <v>405</v>
      </c>
      <c r="P3" s="393" t="s">
        <v>406</v>
      </c>
      <c r="Q3" s="393" t="s">
        <v>407</v>
      </c>
      <c r="R3" s="393" t="s">
        <v>408</v>
      </c>
      <c r="S3" s="393" t="s">
        <v>409</v>
      </c>
      <c r="T3" s="392" t="s">
        <v>410</v>
      </c>
      <c r="U3" s="427"/>
    </row>
    <row r="4" spans="1:21" ht="14.15" customHeight="1" x14ac:dyDescent="0.3">
      <c r="A4" s="394" t="s">
        <v>72</v>
      </c>
      <c r="B4" s="395">
        <v>0</v>
      </c>
      <c r="C4" s="396">
        <v>3</v>
      </c>
      <c r="D4" s="396">
        <v>13</v>
      </c>
      <c r="E4" s="396">
        <v>348</v>
      </c>
      <c r="F4" s="396">
        <v>31</v>
      </c>
      <c r="G4" s="396">
        <v>5</v>
      </c>
      <c r="H4" s="396">
        <v>68</v>
      </c>
      <c r="I4" s="396">
        <v>103</v>
      </c>
      <c r="J4" s="396">
        <v>0</v>
      </c>
      <c r="K4" s="396">
        <v>141</v>
      </c>
      <c r="L4" s="396">
        <v>1</v>
      </c>
      <c r="M4" s="397">
        <v>530</v>
      </c>
      <c r="N4" s="396">
        <v>372</v>
      </c>
      <c r="O4" s="398">
        <v>1642216</v>
      </c>
      <c r="P4" s="398">
        <v>14666</v>
      </c>
      <c r="Q4" s="398">
        <v>38835</v>
      </c>
      <c r="R4" s="398">
        <v>250000</v>
      </c>
      <c r="S4" s="398">
        <v>4204</v>
      </c>
      <c r="T4" s="398">
        <v>1334511</v>
      </c>
      <c r="U4" s="80"/>
    </row>
    <row r="5" spans="1:21" ht="14.15" customHeight="1" x14ac:dyDescent="0.3">
      <c r="A5" s="399" t="s">
        <v>73</v>
      </c>
      <c r="B5" s="400">
        <v>0</v>
      </c>
      <c r="C5" s="400">
        <v>0</v>
      </c>
      <c r="D5" s="400">
        <v>1</v>
      </c>
      <c r="E5" s="400">
        <v>339</v>
      </c>
      <c r="F5" s="400">
        <v>31</v>
      </c>
      <c r="G5" s="400">
        <v>3</v>
      </c>
      <c r="H5" s="400">
        <v>68</v>
      </c>
      <c r="I5" s="400">
        <v>103</v>
      </c>
      <c r="J5" s="400">
        <v>0</v>
      </c>
      <c r="K5" s="400">
        <v>134</v>
      </c>
      <c r="L5" s="400">
        <v>0</v>
      </c>
      <c r="M5" s="401">
        <v>0</v>
      </c>
      <c r="N5" s="400">
        <v>31</v>
      </c>
      <c r="O5" s="402">
        <v>303407</v>
      </c>
      <c r="P5" s="402">
        <v>2892</v>
      </c>
      <c r="Q5" s="402">
        <v>28135</v>
      </c>
      <c r="R5" s="402">
        <v>250000</v>
      </c>
      <c r="S5" s="402">
        <v>310</v>
      </c>
      <c r="T5" s="403">
        <v>22070</v>
      </c>
      <c r="U5" s="80"/>
    </row>
    <row r="6" spans="1:21" ht="14.15" customHeight="1" x14ac:dyDescent="0.3">
      <c r="A6" s="404" t="s">
        <v>74</v>
      </c>
      <c r="B6" s="405">
        <v>0</v>
      </c>
      <c r="C6" s="405">
        <v>0</v>
      </c>
      <c r="D6" s="405">
        <v>1</v>
      </c>
      <c r="E6" s="405">
        <v>1</v>
      </c>
      <c r="F6" s="405">
        <v>0</v>
      </c>
      <c r="G6" s="405">
        <v>1</v>
      </c>
      <c r="H6" s="405">
        <v>0</v>
      </c>
      <c r="I6" s="405">
        <v>0</v>
      </c>
      <c r="J6" s="405">
        <v>0</v>
      </c>
      <c r="K6" s="405">
        <v>0</v>
      </c>
      <c r="L6" s="405">
        <v>0</v>
      </c>
      <c r="M6" s="406">
        <v>0</v>
      </c>
      <c r="N6" s="405">
        <v>5</v>
      </c>
      <c r="O6" s="407">
        <v>250067</v>
      </c>
      <c r="P6" s="407">
        <v>22</v>
      </c>
      <c r="Q6" s="407">
        <v>45</v>
      </c>
      <c r="R6" s="407">
        <v>250000</v>
      </c>
      <c r="S6" s="407">
        <v>0</v>
      </c>
      <c r="T6" s="408">
        <v>0</v>
      </c>
      <c r="U6" s="80"/>
    </row>
    <row r="7" spans="1:21" ht="14.15" customHeight="1" x14ac:dyDescent="0.3">
      <c r="A7" s="409" t="s">
        <v>75</v>
      </c>
      <c r="B7" s="410">
        <v>0</v>
      </c>
      <c r="C7" s="410">
        <v>0</v>
      </c>
      <c r="D7" s="411">
        <v>1</v>
      </c>
      <c r="E7" s="412">
        <v>1</v>
      </c>
      <c r="F7" s="412">
        <v>0</v>
      </c>
      <c r="G7" s="412">
        <v>1</v>
      </c>
      <c r="H7" s="412">
        <v>0</v>
      </c>
      <c r="I7" s="412">
        <v>0</v>
      </c>
      <c r="J7" s="412">
        <v>0</v>
      </c>
      <c r="K7" s="412">
        <v>0</v>
      </c>
      <c r="L7" s="412">
        <v>0</v>
      </c>
      <c r="M7" s="413">
        <v>0</v>
      </c>
      <c r="N7" s="411">
        <v>5</v>
      </c>
      <c r="O7" s="414">
        <v>250067</v>
      </c>
      <c r="P7" s="414">
        <v>22</v>
      </c>
      <c r="Q7" s="414">
        <v>45</v>
      </c>
      <c r="R7" s="414">
        <v>250000</v>
      </c>
      <c r="S7" s="414">
        <v>0</v>
      </c>
      <c r="T7" s="414">
        <v>0</v>
      </c>
      <c r="U7" s="80"/>
    </row>
    <row r="8" spans="1:21" ht="14.15" customHeight="1" x14ac:dyDescent="0.3">
      <c r="A8" s="404" t="s">
        <v>76</v>
      </c>
      <c r="B8" s="405">
        <v>0</v>
      </c>
      <c r="C8" s="405">
        <v>0</v>
      </c>
      <c r="D8" s="405">
        <v>0</v>
      </c>
      <c r="E8" s="405">
        <v>0</v>
      </c>
      <c r="F8" s="405">
        <v>0</v>
      </c>
      <c r="G8" s="405">
        <v>0</v>
      </c>
      <c r="H8" s="405">
        <v>0</v>
      </c>
      <c r="I8" s="405">
        <v>0</v>
      </c>
      <c r="J8" s="405">
        <v>0</v>
      </c>
      <c r="K8" s="405">
        <v>0</v>
      </c>
      <c r="L8" s="405">
        <v>0</v>
      </c>
      <c r="M8" s="406">
        <v>0</v>
      </c>
      <c r="N8" s="405">
        <v>0</v>
      </c>
      <c r="O8" s="407">
        <v>0</v>
      </c>
      <c r="P8" s="407">
        <v>0</v>
      </c>
      <c r="Q8" s="407">
        <v>0</v>
      </c>
      <c r="R8" s="407">
        <v>0</v>
      </c>
      <c r="S8" s="407">
        <v>0</v>
      </c>
      <c r="T8" s="408">
        <v>0</v>
      </c>
      <c r="U8" s="80"/>
    </row>
    <row r="9" spans="1:21" ht="14.15" customHeight="1" x14ac:dyDescent="0.3">
      <c r="A9" s="409" t="s">
        <v>77</v>
      </c>
      <c r="B9" s="411">
        <v>0</v>
      </c>
      <c r="C9" s="415">
        <v>0</v>
      </c>
      <c r="D9" s="411">
        <v>0</v>
      </c>
      <c r="E9" s="412">
        <v>0</v>
      </c>
      <c r="F9" s="412">
        <v>0</v>
      </c>
      <c r="G9" s="412">
        <v>0</v>
      </c>
      <c r="H9" s="412">
        <v>0</v>
      </c>
      <c r="I9" s="412">
        <v>0</v>
      </c>
      <c r="J9" s="412">
        <v>0</v>
      </c>
      <c r="K9" s="412">
        <v>0</v>
      </c>
      <c r="L9" s="412">
        <v>0</v>
      </c>
      <c r="M9" s="413">
        <v>0</v>
      </c>
      <c r="N9" s="411">
        <v>0</v>
      </c>
      <c r="O9" s="414">
        <v>0</v>
      </c>
      <c r="P9" s="414">
        <v>0</v>
      </c>
      <c r="Q9" s="414">
        <v>0</v>
      </c>
      <c r="R9" s="414">
        <v>0</v>
      </c>
      <c r="S9" s="414">
        <v>0</v>
      </c>
      <c r="T9" s="416">
        <v>0</v>
      </c>
      <c r="U9" s="382"/>
    </row>
    <row r="10" spans="1:21" ht="14.15" customHeight="1" x14ac:dyDescent="0.3">
      <c r="A10" s="404" t="s">
        <v>78</v>
      </c>
      <c r="B10" s="405">
        <v>0</v>
      </c>
      <c r="C10" s="405">
        <v>0</v>
      </c>
      <c r="D10" s="405">
        <v>0</v>
      </c>
      <c r="E10" s="405">
        <v>0</v>
      </c>
      <c r="F10" s="405">
        <v>0</v>
      </c>
      <c r="G10" s="405">
        <v>0</v>
      </c>
      <c r="H10" s="405">
        <v>0</v>
      </c>
      <c r="I10" s="405">
        <v>0</v>
      </c>
      <c r="J10" s="405">
        <v>0</v>
      </c>
      <c r="K10" s="405">
        <v>0</v>
      </c>
      <c r="L10" s="405">
        <v>0</v>
      </c>
      <c r="M10" s="406">
        <v>0</v>
      </c>
      <c r="N10" s="405">
        <v>6</v>
      </c>
      <c r="O10" s="407">
        <v>380</v>
      </c>
      <c r="P10" s="407">
        <v>40</v>
      </c>
      <c r="Q10" s="407">
        <v>80</v>
      </c>
      <c r="R10" s="407">
        <v>0</v>
      </c>
      <c r="S10" s="407">
        <v>190</v>
      </c>
      <c r="T10" s="408">
        <v>70</v>
      </c>
      <c r="U10" s="80"/>
    </row>
    <row r="11" spans="1:21" ht="14.15" customHeight="1" x14ac:dyDescent="0.3">
      <c r="A11" s="409" t="s">
        <v>79</v>
      </c>
      <c r="B11" s="411">
        <v>0</v>
      </c>
      <c r="C11" s="415">
        <v>0</v>
      </c>
      <c r="D11" s="411">
        <v>0</v>
      </c>
      <c r="E11" s="412">
        <v>0</v>
      </c>
      <c r="F11" s="412">
        <v>0</v>
      </c>
      <c r="G11" s="412">
        <v>0</v>
      </c>
      <c r="H11" s="412">
        <v>0</v>
      </c>
      <c r="I11" s="412">
        <v>0</v>
      </c>
      <c r="J11" s="412">
        <v>0</v>
      </c>
      <c r="K11" s="412">
        <v>0</v>
      </c>
      <c r="L11" s="412">
        <v>0</v>
      </c>
      <c r="M11" s="413">
        <v>0</v>
      </c>
      <c r="N11" s="411">
        <v>6</v>
      </c>
      <c r="O11" s="414">
        <v>380</v>
      </c>
      <c r="P11" s="414">
        <v>40</v>
      </c>
      <c r="Q11" s="414">
        <v>80</v>
      </c>
      <c r="R11" s="414">
        <v>0</v>
      </c>
      <c r="S11" s="414">
        <v>190</v>
      </c>
      <c r="T11" s="416">
        <v>70</v>
      </c>
      <c r="U11" s="382"/>
    </row>
    <row r="12" spans="1:21" ht="14.15" customHeight="1" x14ac:dyDescent="0.3">
      <c r="A12" s="404" t="s">
        <v>80</v>
      </c>
      <c r="B12" s="405">
        <v>0</v>
      </c>
      <c r="C12" s="405">
        <v>0</v>
      </c>
      <c r="D12" s="405">
        <v>0</v>
      </c>
      <c r="E12" s="405">
        <v>252</v>
      </c>
      <c r="F12" s="405">
        <v>31</v>
      </c>
      <c r="G12" s="405">
        <v>2</v>
      </c>
      <c r="H12" s="405">
        <v>68</v>
      </c>
      <c r="I12" s="405">
        <v>103</v>
      </c>
      <c r="J12" s="405">
        <v>0</v>
      </c>
      <c r="K12" s="405">
        <v>48</v>
      </c>
      <c r="L12" s="405">
        <v>0</v>
      </c>
      <c r="M12" s="406">
        <v>0</v>
      </c>
      <c r="N12" s="405">
        <v>4</v>
      </c>
      <c r="O12" s="407">
        <v>16225</v>
      </c>
      <c r="P12" s="407">
        <v>225</v>
      </c>
      <c r="Q12" s="407">
        <v>0</v>
      </c>
      <c r="R12" s="407">
        <v>0</v>
      </c>
      <c r="S12" s="407">
        <v>0</v>
      </c>
      <c r="T12" s="408">
        <v>16000</v>
      </c>
      <c r="U12" s="80"/>
    </row>
    <row r="13" spans="1:21" ht="14.15" customHeight="1" x14ac:dyDescent="0.3">
      <c r="A13" s="409" t="s">
        <v>81</v>
      </c>
      <c r="B13" s="411">
        <v>0</v>
      </c>
      <c r="C13" s="415">
        <v>0</v>
      </c>
      <c r="D13" s="411">
        <v>0</v>
      </c>
      <c r="E13" s="412">
        <v>252</v>
      </c>
      <c r="F13" s="412">
        <v>31</v>
      </c>
      <c r="G13" s="412">
        <v>2</v>
      </c>
      <c r="H13" s="412">
        <v>68</v>
      </c>
      <c r="I13" s="412">
        <v>103</v>
      </c>
      <c r="J13" s="412">
        <v>0</v>
      </c>
      <c r="K13" s="412">
        <v>48</v>
      </c>
      <c r="L13" s="412">
        <v>0</v>
      </c>
      <c r="M13" s="413">
        <v>0</v>
      </c>
      <c r="N13" s="411">
        <v>4</v>
      </c>
      <c r="O13" s="414">
        <v>16225</v>
      </c>
      <c r="P13" s="414">
        <v>225</v>
      </c>
      <c r="Q13" s="414">
        <v>0</v>
      </c>
      <c r="R13" s="414">
        <v>0</v>
      </c>
      <c r="S13" s="414">
        <v>0</v>
      </c>
      <c r="T13" s="416">
        <v>16000</v>
      </c>
      <c r="U13" s="382"/>
    </row>
    <row r="14" spans="1:21" ht="14.15" customHeight="1" x14ac:dyDescent="0.3">
      <c r="A14" s="404" t="s">
        <v>82</v>
      </c>
      <c r="B14" s="405">
        <v>0</v>
      </c>
      <c r="C14" s="405">
        <v>0</v>
      </c>
      <c r="D14" s="405">
        <v>0</v>
      </c>
      <c r="E14" s="405">
        <v>86</v>
      </c>
      <c r="F14" s="405">
        <v>0</v>
      </c>
      <c r="G14" s="405">
        <v>0</v>
      </c>
      <c r="H14" s="405">
        <v>0</v>
      </c>
      <c r="I14" s="405">
        <v>0</v>
      </c>
      <c r="J14" s="405">
        <v>0</v>
      </c>
      <c r="K14" s="405">
        <v>86</v>
      </c>
      <c r="L14" s="405">
        <v>0</v>
      </c>
      <c r="M14" s="406">
        <v>0</v>
      </c>
      <c r="N14" s="405">
        <v>8</v>
      </c>
      <c r="O14" s="407">
        <v>6710</v>
      </c>
      <c r="P14" s="407">
        <v>540</v>
      </c>
      <c r="Q14" s="407">
        <v>50</v>
      </c>
      <c r="R14" s="407">
        <v>0</v>
      </c>
      <c r="S14" s="407">
        <v>120</v>
      </c>
      <c r="T14" s="408">
        <v>6000</v>
      </c>
      <c r="U14" s="80"/>
    </row>
    <row r="15" spans="1:21" ht="14.15" customHeight="1" x14ac:dyDescent="0.3">
      <c r="A15" s="409" t="s">
        <v>83</v>
      </c>
      <c r="B15" s="411">
        <v>0</v>
      </c>
      <c r="C15" s="415">
        <v>0</v>
      </c>
      <c r="D15" s="411">
        <v>0</v>
      </c>
      <c r="E15" s="412">
        <v>0</v>
      </c>
      <c r="F15" s="417">
        <v>0</v>
      </c>
      <c r="G15" s="412">
        <v>0</v>
      </c>
      <c r="H15" s="412">
        <v>0</v>
      </c>
      <c r="I15" s="412">
        <v>0</v>
      </c>
      <c r="J15" s="412">
        <v>0</v>
      </c>
      <c r="K15" s="412">
        <v>0</v>
      </c>
      <c r="L15" s="412">
        <v>0</v>
      </c>
      <c r="M15" s="413">
        <v>0</v>
      </c>
      <c r="N15" s="411">
        <v>5</v>
      </c>
      <c r="O15" s="414">
        <v>6190</v>
      </c>
      <c r="P15" s="414">
        <v>20</v>
      </c>
      <c r="Q15" s="414">
        <v>50</v>
      </c>
      <c r="R15" s="414">
        <v>0</v>
      </c>
      <c r="S15" s="414">
        <v>120</v>
      </c>
      <c r="T15" s="416">
        <v>6000</v>
      </c>
      <c r="U15" s="382"/>
    </row>
    <row r="16" spans="1:21" ht="14.15" customHeight="1" x14ac:dyDescent="0.3">
      <c r="A16" s="409" t="s">
        <v>84</v>
      </c>
      <c r="B16" s="411">
        <v>0</v>
      </c>
      <c r="C16" s="415">
        <v>0</v>
      </c>
      <c r="D16" s="411">
        <v>0</v>
      </c>
      <c r="E16" s="412">
        <v>0</v>
      </c>
      <c r="F16" s="412">
        <v>0</v>
      </c>
      <c r="G16" s="412">
        <v>0</v>
      </c>
      <c r="H16" s="412">
        <v>0</v>
      </c>
      <c r="I16" s="412">
        <v>0</v>
      </c>
      <c r="J16" s="412">
        <v>0</v>
      </c>
      <c r="K16" s="412">
        <v>0</v>
      </c>
      <c r="L16" s="412">
        <v>0</v>
      </c>
      <c r="M16" s="413">
        <v>0</v>
      </c>
      <c r="N16" s="411">
        <v>0</v>
      </c>
      <c r="O16" s="414">
        <v>0</v>
      </c>
      <c r="P16" s="414">
        <v>0</v>
      </c>
      <c r="Q16" s="414">
        <v>0</v>
      </c>
      <c r="R16" s="414">
        <v>0</v>
      </c>
      <c r="S16" s="414">
        <v>0</v>
      </c>
      <c r="T16" s="416">
        <v>0</v>
      </c>
      <c r="U16" s="382"/>
    </row>
    <row r="17" spans="1:21" ht="14.15" customHeight="1" x14ac:dyDescent="0.3">
      <c r="A17" s="409" t="s">
        <v>85</v>
      </c>
      <c r="B17" s="411">
        <v>0</v>
      </c>
      <c r="C17" s="415">
        <v>0</v>
      </c>
      <c r="D17" s="411">
        <v>0</v>
      </c>
      <c r="E17" s="412">
        <v>86</v>
      </c>
      <c r="F17" s="412">
        <v>0</v>
      </c>
      <c r="G17" s="412">
        <v>0</v>
      </c>
      <c r="H17" s="412">
        <v>0</v>
      </c>
      <c r="I17" s="412">
        <v>0</v>
      </c>
      <c r="J17" s="412">
        <v>0</v>
      </c>
      <c r="K17" s="412">
        <v>86</v>
      </c>
      <c r="L17" s="412">
        <v>0</v>
      </c>
      <c r="M17" s="413">
        <v>0</v>
      </c>
      <c r="N17" s="411">
        <v>3</v>
      </c>
      <c r="O17" s="414">
        <v>520</v>
      </c>
      <c r="P17" s="414">
        <v>520</v>
      </c>
      <c r="Q17" s="414">
        <v>0</v>
      </c>
      <c r="R17" s="414">
        <v>0</v>
      </c>
      <c r="S17" s="414">
        <v>0</v>
      </c>
      <c r="T17" s="416">
        <v>0</v>
      </c>
      <c r="U17" s="382"/>
    </row>
    <row r="18" spans="1:21" ht="14.15" customHeight="1" x14ac:dyDescent="0.3">
      <c r="A18" s="404" t="s">
        <v>86</v>
      </c>
      <c r="B18" s="405">
        <v>0</v>
      </c>
      <c r="C18" s="405">
        <v>0</v>
      </c>
      <c r="D18" s="405">
        <v>0</v>
      </c>
      <c r="E18" s="405">
        <v>0</v>
      </c>
      <c r="F18" s="405">
        <v>0</v>
      </c>
      <c r="G18" s="405">
        <v>0</v>
      </c>
      <c r="H18" s="405">
        <v>0</v>
      </c>
      <c r="I18" s="405">
        <v>0</v>
      </c>
      <c r="J18" s="405">
        <v>0</v>
      </c>
      <c r="K18" s="405">
        <v>0</v>
      </c>
      <c r="L18" s="405">
        <v>0</v>
      </c>
      <c r="M18" s="406">
        <v>0</v>
      </c>
      <c r="N18" s="405">
        <v>8</v>
      </c>
      <c r="O18" s="407">
        <v>30025</v>
      </c>
      <c r="P18" s="407">
        <v>2065</v>
      </c>
      <c r="Q18" s="407">
        <v>27960</v>
      </c>
      <c r="R18" s="407">
        <v>0</v>
      </c>
      <c r="S18" s="407">
        <v>0</v>
      </c>
      <c r="T18" s="408">
        <v>0</v>
      </c>
      <c r="U18" s="80"/>
    </row>
    <row r="19" spans="1:21" ht="14.15" customHeight="1" x14ac:dyDescent="0.3">
      <c r="A19" s="409" t="s">
        <v>87</v>
      </c>
      <c r="B19" s="411">
        <v>0</v>
      </c>
      <c r="C19" s="415">
        <v>0</v>
      </c>
      <c r="D19" s="411">
        <v>0</v>
      </c>
      <c r="E19" s="412">
        <v>0</v>
      </c>
      <c r="F19" s="412">
        <v>0</v>
      </c>
      <c r="G19" s="412">
        <v>0</v>
      </c>
      <c r="H19" s="412">
        <v>0</v>
      </c>
      <c r="I19" s="412">
        <v>0</v>
      </c>
      <c r="J19" s="412">
        <v>0</v>
      </c>
      <c r="K19" s="412">
        <v>0</v>
      </c>
      <c r="L19" s="412">
        <v>0</v>
      </c>
      <c r="M19" s="413">
        <v>0</v>
      </c>
      <c r="N19" s="411">
        <v>8</v>
      </c>
      <c r="O19" s="414">
        <v>30025</v>
      </c>
      <c r="P19" s="414">
        <v>2065</v>
      </c>
      <c r="Q19" s="414">
        <v>27960</v>
      </c>
      <c r="R19" s="414">
        <v>0</v>
      </c>
      <c r="S19" s="414">
        <v>0</v>
      </c>
      <c r="T19" s="416">
        <v>0</v>
      </c>
      <c r="U19" s="382"/>
    </row>
    <row r="20" spans="1:21" ht="14.15" customHeight="1" x14ac:dyDescent="0.3">
      <c r="A20" s="399" t="s">
        <v>88</v>
      </c>
      <c r="B20" s="400">
        <v>0</v>
      </c>
      <c r="C20" s="400">
        <v>1</v>
      </c>
      <c r="D20" s="400">
        <v>0</v>
      </c>
      <c r="E20" s="400">
        <v>4</v>
      </c>
      <c r="F20" s="400">
        <v>0</v>
      </c>
      <c r="G20" s="400">
        <v>1</v>
      </c>
      <c r="H20" s="400">
        <v>0</v>
      </c>
      <c r="I20" s="400">
        <v>0</v>
      </c>
      <c r="J20" s="400">
        <v>0</v>
      </c>
      <c r="K20" s="400">
        <v>3</v>
      </c>
      <c r="L20" s="400">
        <v>1</v>
      </c>
      <c r="M20" s="401">
        <v>530</v>
      </c>
      <c r="N20" s="400">
        <v>112</v>
      </c>
      <c r="O20" s="402">
        <v>203966</v>
      </c>
      <c r="P20" s="402">
        <v>1953</v>
      </c>
      <c r="Q20" s="402">
        <v>983</v>
      </c>
      <c r="R20" s="402">
        <v>0</v>
      </c>
      <c r="S20" s="402">
        <v>0</v>
      </c>
      <c r="T20" s="403">
        <v>201030</v>
      </c>
      <c r="U20" s="80"/>
    </row>
    <row r="21" spans="1:21" ht="14.15" customHeight="1" x14ac:dyDescent="0.3">
      <c r="A21" s="404" t="s">
        <v>89</v>
      </c>
      <c r="B21" s="405">
        <v>0</v>
      </c>
      <c r="C21" s="405">
        <v>0</v>
      </c>
      <c r="D21" s="405">
        <v>0</v>
      </c>
      <c r="E21" s="405">
        <v>0</v>
      </c>
      <c r="F21" s="405">
        <v>0</v>
      </c>
      <c r="G21" s="405">
        <v>0</v>
      </c>
      <c r="H21" s="405">
        <v>0</v>
      </c>
      <c r="I21" s="405">
        <v>0</v>
      </c>
      <c r="J21" s="405">
        <v>0</v>
      </c>
      <c r="K21" s="405">
        <v>0</v>
      </c>
      <c r="L21" s="405">
        <v>1</v>
      </c>
      <c r="M21" s="406">
        <v>530</v>
      </c>
      <c r="N21" s="405">
        <v>46</v>
      </c>
      <c r="O21" s="407">
        <v>1015</v>
      </c>
      <c r="P21" s="407">
        <v>914</v>
      </c>
      <c r="Q21" s="407">
        <v>102</v>
      </c>
      <c r="R21" s="407">
        <v>0</v>
      </c>
      <c r="S21" s="407">
        <v>0</v>
      </c>
      <c r="T21" s="408">
        <v>0</v>
      </c>
      <c r="U21" s="80"/>
    </row>
    <row r="22" spans="1:21" ht="14.15" customHeight="1" x14ac:dyDescent="0.3">
      <c r="A22" s="409" t="s">
        <v>90</v>
      </c>
      <c r="B22" s="411">
        <v>0</v>
      </c>
      <c r="C22" s="415">
        <v>0</v>
      </c>
      <c r="D22" s="411">
        <v>0</v>
      </c>
      <c r="E22" s="412">
        <v>0</v>
      </c>
      <c r="F22" s="412">
        <v>0</v>
      </c>
      <c r="G22" s="412">
        <v>0</v>
      </c>
      <c r="H22" s="412">
        <v>0</v>
      </c>
      <c r="I22" s="412">
        <v>0</v>
      </c>
      <c r="J22" s="412">
        <v>0</v>
      </c>
      <c r="K22" s="412">
        <v>0</v>
      </c>
      <c r="L22" s="412">
        <v>1</v>
      </c>
      <c r="M22" s="413">
        <v>530</v>
      </c>
      <c r="N22" s="411">
        <v>32</v>
      </c>
      <c r="O22" s="414">
        <v>902</v>
      </c>
      <c r="P22" s="414">
        <v>847</v>
      </c>
      <c r="Q22" s="414">
        <v>56</v>
      </c>
      <c r="R22" s="414">
        <v>0</v>
      </c>
      <c r="S22" s="414">
        <v>0</v>
      </c>
      <c r="T22" s="414">
        <v>0</v>
      </c>
      <c r="U22" s="80"/>
    </row>
    <row r="23" spans="1:21" ht="14.15" customHeight="1" x14ac:dyDescent="0.3">
      <c r="A23" s="409" t="s">
        <v>91</v>
      </c>
      <c r="B23" s="411">
        <v>0</v>
      </c>
      <c r="C23" s="415">
        <v>0</v>
      </c>
      <c r="D23" s="411">
        <v>0</v>
      </c>
      <c r="E23" s="412">
        <v>0</v>
      </c>
      <c r="F23" s="412">
        <v>0</v>
      </c>
      <c r="G23" s="412">
        <v>0</v>
      </c>
      <c r="H23" s="412">
        <v>0</v>
      </c>
      <c r="I23" s="412">
        <v>0</v>
      </c>
      <c r="J23" s="412">
        <v>0</v>
      </c>
      <c r="K23" s="412">
        <v>0</v>
      </c>
      <c r="L23" s="412">
        <v>0</v>
      </c>
      <c r="M23" s="413">
        <v>0</v>
      </c>
      <c r="N23" s="411">
        <v>14</v>
      </c>
      <c r="O23" s="414">
        <v>113</v>
      </c>
      <c r="P23" s="414">
        <v>67</v>
      </c>
      <c r="Q23" s="414">
        <v>46</v>
      </c>
      <c r="R23" s="414">
        <v>0</v>
      </c>
      <c r="S23" s="414">
        <v>0</v>
      </c>
      <c r="T23" s="414">
        <v>0</v>
      </c>
      <c r="U23" s="80"/>
    </row>
    <row r="24" spans="1:21" ht="14.15" customHeight="1" x14ac:dyDescent="0.3">
      <c r="A24" s="404" t="s">
        <v>92</v>
      </c>
      <c r="B24" s="405">
        <v>0</v>
      </c>
      <c r="C24" s="405">
        <v>0</v>
      </c>
      <c r="D24" s="405">
        <v>0</v>
      </c>
      <c r="E24" s="405">
        <v>1</v>
      </c>
      <c r="F24" s="405">
        <v>0</v>
      </c>
      <c r="G24" s="405">
        <v>1</v>
      </c>
      <c r="H24" s="405">
        <v>0</v>
      </c>
      <c r="I24" s="405">
        <v>0</v>
      </c>
      <c r="J24" s="405">
        <v>0</v>
      </c>
      <c r="K24" s="405">
        <v>0</v>
      </c>
      <c r="L24" s="405">
        <v>0</v>
      </c>
      <c r="M24" s="406">
        <v>0</v>
      </c>
      <c r="N24" s="405">
        <v>2</v>
      </c>
      <c r="O24" s="407">
        <v>50000</v>
      </c>
      <c r="P24" s="407">
        <v>0</v>
      </c>
      <c r="Q24" s="407">
        <v>0</v>
      </c>
      <c r="R24" s="407">
        <v>0</v>
      </c>
      <c r="S24" s="407">
        <v>0</v>
      </c>
      <c r="T24" s="408">
        <v>50000</v>
      </c>
      <c r="U24" s="80"/>
    </row>
    <row r="25" spans="1:21" ht="14.15" customHeight="1" x14ac:dyDescent="0.3">
      <c r="A25" s="409" t="s">
        <v>93</v>
      </c>
      <c r="B25" s="411">
        <v>0</v>
      </c>
      <c r="C25" s="415">
        <v>0</v>
      </c>
      <c r="D25" s="411">
        <v>0</v>
      </c>
      <c r="E25" s="412">
        <v>1</v>
      </c>
      <c r="F25" s="412">
        <v>0</v>
      </c>
      <c r="G25" s="412">
        <v>1</v>
      </c>
      <c r="H25" s="412">
        <v>0</v>
      </c>
      <c r="I25" s="412">
        <v>0</v>
      </c>
      <c r="J25" s="412">
        <v>0</v>
      </c>
      <c r="K25" s="412">
        <v>0</v>
      </c>
      <c r="L25" s="412">
        <v>0</v>
      </c>
      <c r="M25" s="413">
        <v>0</v>
      </c>
      <c r="N25" s="411">
        <v>2</v>
      </c>
      <c r="O25" s="414">
        <v>50000</v>
      </c>
      <c r="P25" s="414">
        <v>0</v>
      </c>
      <c r="Q25" s="414">
        <v>0</v>
      </c>
      <c r="R25" s="414">
        <v>0</v>
      </c>
      <c r="S25" s="414">
        <v>0</v>
      </c>
      <c r="T25" s="414">
        <v>50000</v>
      </c>
      <c r="U25" s="80"/>
    </row>
    <row r="26" spans="1:21" ht="14.15" customHeight="1" x14ac:dyDescent="0.3">
      <c r="A26" s="404" t="s">
        <v>95</v>
      </c>
      <c r="B26" s="405">
        <v>0</v>
      </c>
      <c r="C26" s="405">
        <v>1</v>
      </c>
      <c r="D26" s="405">
        <v>0</v>
      </c>
      <c r="E26" s="405">
        <v>3</v>
      </c>
      <c r="F26" s="405">
        <v>0</v>
      </c>
      <c r="G26" s="405">
        <v>0</v>
      </c>
      <c r="H26" s="405">
        <v>0</v>
      </c>
      <c r="I26" s="405">
        <v>0</v>
      </c>
      <c r="J26" s="405">
        <v>0</v>
      </c>
      <c r="K26" s="405">
        <v>3</v>
      </c>
      <c r="L26" s="405">
        <v>0</v>
      </c>
      <c r="M26" s="406">
        <v>0</v>
      </c>
      <c r="N26" s="405">
        <v>23</v>
      </c>
      <c r="O26" s="407">
        <v>151432</v>
      </c>
      <c r="P26" s="407">
        <v>660</v>
      </c>
      <c r="Q26" s="407">
        <v>772</v>
      </c>
      <c r="R26" s="407">
        <v>0</v>
      </c>
      <c r="S26" s="407">
        <v>0</v>
      </c>
      <c r="T26" s="408">
        <v>150000</v>
      </c>
      <c r="U26" s="80"/>
    </row>
    <row r="27" spans="1:21" ht="14.15" customHeight="1" x14ac:dyDescent="0.3">
      <c r="A27" s="409" t="s">
        <v>96</v>
      </c>
      <c r="B27" s="411">
        <v>0</v>
      </c>
      <c r="C27" s="415">
        <v>1</v>
      </c>
      <c r="D27" s="411">
        <v>0</v>
      </c>
      <c r="E27" s="412">
        <v>3</v>
      </c>
      <c r="F27" s="412">
        <v>0</v>
      </c>
      <c r="G27" s="412">
        <v>0</v>
      </c>
      <c r="H27" s="412">
        <v>0</v>
      </c>
      <c r="I27" s="412">
        <v>0</v>
      </c>
      <c r="J27" s="412">
        <v>0</v>
      </c>
      <c r="K27" s="412">
        <v>3</v>
      </c>
      <c r="L27" s="412">
        <v>0</v>
      </c>
      <c r="M27" s="413">
        <v>0</v>
      </c>
      <c r="N27" s="411">
        <v>23</v>
      </c>
      <c r="O27" s="414">
        <v>151432</v>
      </c>
      <c r="P27" s="414">
        <v>660</v>
      </c>
      <c r="Q27" s="414">
        <v>772</v>
      </c>
      <c r="R27" s="414">
        <v>0</v>
      </c>
      <c r="S27" s="414">
        <v>0</v>
      </c>
      <c r="T27" s="414">
        <v>150000</v>
      </c>
      <c r="U27" s="80"/>
    </row>
    <row r="28" spans="1:21" ht="14.15" customHeight="1" x14ac:dyDescent="0.3">
      <c r="A28" s="404" t="s">
        <v>97</v>
      </c>
      <c r="B28" s="405">
        <v>0</v>
      </c>
      <c r="C28" s="405">
        <v>0</v>
      </c>
      <c r="D28" s="405">
        <v>0</v>
      </c>
      <c r="E28" s="405">
        <v>0</v>
      </c>
      <c r="F28" s="405">
        <v>0</v>
      </c>
      <c r="G28" s="405">
        <v>0</v>
      </c>
      <c r="H28" s="405">
        <v>0</v>
      </c>
      <c r="I28" s="405">
        <v>0</v>
      </c>
      <c r="J28" s="405">
        <v>0</v>
      </c>
      <c r="K28" s="405">
        <v>0</v>
      </c>
      <c r="L28" s="405">
        <v>0</v>
      </c>
      <c r="M28" s="406">
        <v>0</v>
      </c>
      <c r="N28" s="405">
        <v>0</v>
      </c>
      <c r="O28" s="407">
        <v>0</v>
      </c>
      <c r="P28" s="407">
        <v>0</v>
      </c>
      <c r="Q28" s="407">
        <v>0</v>
      </c>
      <c r="R28" s="407">
        <v>0</v>
      </c>
      <c r="S28" s="407">
        <v>0</v>
      </c>
      <c r="T28" s="408">
        <v>0</v>
      </c>
      <c r="U28" s="80"/>
    </row>
    <row r="29" spans="1:21" ht="15" hidden="1" customHeight="1" x14ac:dyDescent="0.3">
      <c r="A29" s="409" t="s">
        <v>273</v>
      </c>
      <c r="B29" s="411">
        <v>0</v>
      </c>
      <c r="C29" s="415">
        <v>0</v>
      </c>
      <c r="D29" s="411">
        <v>0</v>
      </c>
      <c r="E29" s="418">
        <v>0</v>
      </c>
      <c r="F29" s="412">
        <v>0</v>
      </c>
      <c r="G29" s="412">
        <v>0</v>
      </c>
      <c r="H29" s="412">
        <v>0</v>
      </c>
      <c r="I29" s="412">
        <v>0</v>
      </c>
      <c r="J29" s="412">
        <v>0</v>
      </c>
      <c r="K29" s="412">
        <v>0</v>
      </c>
      <c r="L29" s="412">
        <v>0</v>
      </c>
      <c r="M29" s="413">
        <v>0</v>
      </c>
      <c r="N29" s="411">
        <v>0</v>
      </c>
      <c r="O29" s="419">
        <v>0</v>
      </c>
      <c r="P29" s="414">
        <v>0</v>
      </c>
      <c r="Q29" s="414">
        <v>0</v>
      </c>
      <c r="R29" s="414">
        <v>0</v>
      </c>
      <c r="S29" s="414">
        <v>0</v>
      </c>
      <c r="T29" s="416">
        <v>0</v>
      </c>
      <c r="U29" s="382"/>
    </row>
    <row r="30" spans="1:21" ht="14.15" customHeight="1" x14ac:dyDescent="0.3">
      <c r="A30" s="409" t="s">
        <v>98</v>
      </c>
      <c r="B30" s="411">
        <v>0</v>
      </c>
      <c r="C30" s="415">
        <v>0</v>
      </c>
      <c r="D30" s="411">
        <v>0</v>
      </c>
      <c r="E30" s="412">
        <v>0</v>
      </c>
      <c r="F30" s="412">
        <v>0</v>
      </c>
      <c r="G30" s="412">
        <v>0</v>
      </c>
      <c r="H30" s="412">
        <v>0</v>
      </c>
      <c r="I30" s="412">
        <v>0</v>
      </c>
      <c r="J30" s="412">
        <v>0</v>
      </c>
      <c r="K30" s="412">
        <v>0</v>
      </c>
      <c r="L30" s="412">
        <v>0</v>
      </c>
      <c r="M30" s="413">
        <v>0</v>
      </c>
      <c r="N30" s="411">
        <v>0</v>
      </c>
      <c r="O30" s="414">
        <v>0</v>
      </c>
      <c r="P30" s="414">
        <v>0</v>
      </c>
      <c r="Q30" s="414">
        <v>0</v>
      </c>
      <c r="R30" s="414">
        <v>0</v>
      </c>
      <c r="S30" s="414">
        <v>0</v>
      </c>
      <c r="T30" s="416">
        <v>0</v>
      </c>
      <c r="U30" s="382"/>
    </row>
    <row r="31" spans="1:21" ht="14.15" customHeight="1" x14ac:dyDescent="0.3">
      <c r="A31" s="404" t="s">
        <v>99</v>
      </c>
      <c r="B31" s="405">
        <v>0</v>
      </c>
      <c r="C31" s="405">
        <v>0</v>
      </c>
      <c r="D31" s="405">
        <v>0</v>
      </c>
      <c r="E31" s="405">
        <v>0</v>
      </c>
      <c r="F31" s="405">
        <v>0</v>
      </c>
      <c r="G31" s="405">
        <v>0</v>
      </c>
      <c r="H31" s="405">
        <v>0</v>
      </c>
      <c r="I31" s="405">
        <v>0</v>
      </c>
      <c r="J31" s="405">
        <v>0</v>
      </c>
      <c r="K31" s="405">
        <v>0</v>
      </c>
      <c r="L31" s="405">
        <v>0</v>
      </c>
      <c r="M31" s="406">
        <v>0</v>
      </c>
      <c r="N31" s="405">
        <v>41</v>
      </c>
      <c r="O31" s="407">
        <v>1520</v>
      </c>
      <c r="P31" s="407">
        <v>380</v>
      </c>
      <c r="Q31" s="407">
        <v>110</v>
      </c>
      <c r="R31" s="407">
        <v>0</v>
      </c>
      <c r="S31" s="407">
        <v>0</v>
      </c>
      <c r="T31" s="408">
        <v>1030</v>
      </c>
      <c r="U31" s="80"/>
    </row>
    <row r="32" spans="1:21" ht="14.15" customHeight="1" x14ac:dyDescent="0.3">
      <c r="A32" s="409" t="s">
        <v>100</v>
      </c>
      <c r="B32" s="411">
        <v>0</v>
      </c>
      <c r="C32" s="415">
        <v>0</v>
      </c>
      <c r="D32" s="411">
        <v>0</v>
      </c>
      <c r="E32" s="412">
        <v>0</v>
      </c>
      <c r="F32" s="412">
        <v>0</v>
      </c>
      <c r="G32" s="412">
        <v>0</v>
      </c>
      <c r="H32" s="412">
        <v>0</v>
      </c>
      <c r="I32" s="412">
        <v>0</v>
      </c>
      <c r="J32" s="412">
        <v>0</v>
      </c>
      <c r="K32" s="412">
        <v>0</v>
      </c>
      <c r="L32" s="412">
        <v>0</v>
      </c>
      <c r="M32" s="413">
        <v>0</v>
      </c>
      <c r="N32" s="411">
        <v>41</v>
      </c>
      <c r="O32" s="414">
        <v>1520</v>
      </c>
      <c r="P32" s="414">
        <v>380</v>
      </c>
      <c r="Q32" s="414">
        <v>110</v>
      </c>
      <c r="R32" s="414">
        <v>0</v>
      </c>
      <c r="S32" s="414">
        <v>0</v>
      </c>
      <c r="T32" s="416">
        <v>1030</v>
      </c>
      <c r="U32" s="382"/>
    </row>
    <row r="33" spans="1:21" ht="14.15" customHeight="1" x14ac:dyDescent="0.3">
      <c r="A33" s="399" t="s">
        <v>103</v>
      </c>
      <c r="B33" s="402">
        <v>0</v>
      </c>
      <c r="C33" s="402">
        <v>2</v>
      </c>
      <c r="D33" s="402">
        <v>12</v>
      </c>
      <c r="E33" s="402">
        <v>5</v>
      </c>
      <c r="F33" s="402">
        <v>0</v>
      </c>
      <c r="G33" s="402">
        <v>1</v>
      </c>
      <c r="H33" s="402">
        <v>0</v>
      </c>
      <c r="I33" s="402">
        <v>0</v>
      </c>
      <c r="J33" s="402">
        <v>0</v>
      </c>
      <c r="K33" s="402">
        <v>4</v>
      </c>
      <c r="L33" s="420">
        <v>0</v>
      </c>
      <c r="M33" s="401">
        <v>0</v>
      </c>
      <c r="N33" s="420">
        <v>229</v>
      </c>
      <c r="O33" s="402">
        <v>1134843</v>
      </c>
      <c r="P33" s="402">
        <v>9821</v>
      </c>
      <c r="Q33" s="402">
        <v>9716</v>
      </c>
      <c r="R33" s="402">
        <v>0</v>
      </c>
      <c r="S33" s="402">
        <v>3894</v>
      </c>
      <c r="T33" s="403">
        <v>1111411</v>
      </c>
      <c r="U33" s="80"/>
    </row>
    <row r="34" spans="1:21" ht="14.15" customHeight="1" x14ac:dyDescent="0.3">
      <c r="A34" s="404" t="s">
        <v>104</v>
      </c>
      <c r="B34" s="405">
        <v>0</v>
      </c>
      <c r="C34" s="405">
        <v>2</v>
      </c>
      <c r="D34" s="405">
        <v>0</v>
      </c>
      <c r="E34" s="405">
        <v>1</v>
      </c>
      <c r="F34" s="405">
        <v>0</v>
      </c>
      <c r="G34" s="405">
        <v>1</v>
      </c>
      <c r="H34" s="405">
        <v>0</v>
      </c>
      <c r="I34" s="405">
        <v>0</v>
      </c>
      <c r="J34" s="405">
        <v>0</v>
      </c>
      <c r="K34" s="405">
        <v>0</v>
      </c>
      <c r="L34" s="405">
        <v>0</v>
      </c>
      <c r="M34" s="406">
        <v>0</v>
      </c>
      <c r="N34" s="405">
        <v>18</v>
      </c>
      <c r="O34" s="407">
        <v>10236</v>
      </c>
      <c r="P34" s="407">
        <v>3144</v>
      </c>
      <c r="Q34" s="407">
        <v>31</v>
      </c>
      <c r="R34" s="407">
        <v>0</v>
      </c>
      <c r="S34" s="407">
        <v>1</v>
      </c>
      <c r="T34" s="408">
        <v>7060</v>
      </c>
      <c r="U34" s="80"/>
    </row>
    <row r="35" spans="1:21" ht="14.15" customHeight="1" x14ac:dyDescent="0.3">
      <c r="A35" s="409" t="s">
        <v>105</v>
      </c>
      <c r="B35" s="411">
        <v>0</v>
      </c>
      <c r="C35" s="415">
        <v>2</v>
      </c>
      <c r="D35" s="411">
        <v>0</v>
      </c>
      <c r="E35" s="412">
        <v>1</v>
      </c>
      <c r="F35" s="412">
        <v>0</v>
      </c>
      <c r="G35" s="412">
        <v>1</v>
      </c>
      <c r="H35" s="412">
        <v>0</v>
      </c>
      <c r="I35" s="412">
        <v>0</v>
      </c>
      <c r="J35" s="412">
        <v>0</v>
      </c>
      <c r="K35" s="412">
        <v>0</v>
      </c>
      <c r="L35" s="412">
        <v>0</v>
      </c>
      <c r="M35" s="413">
        <v>0</v>
      </c>
      <c r="N35" s="411">
        <v>18</v>
      </c>
      <c r="O35" s="414">
        <v>10236</v>
      </c>
      <c r="P35" s="414">
        <v>3144</v>
      </c>
      <c r="Q35" s="414">
        <v>31</v>
      </c>
      <c r="R35" s="414">
        <v>0</v>
      </c>
      <c r="S35" s="414">
        <v>1</v>
      </c>
      <c r="T35" s="416">
        <v>7060</v>
      </c>
      <c r="U35" s="382"/>
    </row>
    <row r="36" spans="1:21" ht="14.15" customHeight="1" x14ac:dyDescent="0.3">
      <c r="A36" s="404" t="s">
        <v>109</v>
      </c>
      <c r="B36" s="421">
        <v>0</v>
      </c>
      <c r="C36" s="407">
        <v>0</v>
      </c>
      <c r="D36" s="407">
        <v>12</v>
      </c>
      <c r="E36" s="407">
        <v>4</v>
      </c>
      <c r="F36" s="407">
        <v>0</v>
      </c>
      <c r="G36" s="407">
        <v>0</v>
      </c>
      <c r="H36" s="407">
        <v>0</v>
      </c>
      <c r="I36" s="407">
        <v>0</v>
      </c>
      <c r="J36" s="407">
        <v>0</v>
      </c>
      <c r="K36" s="407">
        <v>4</v>
      </c>
      <c r="L36" s="421">
        <v>0</v>
      </c>
      <c r="M36" s="406">
        <v>0</v>
      </c>
      <c r="N36" s="421">
        <v>211</v>
      </c>
      <c r="O36" s="407">
        <v>1124607</v>
      </c>
      <c r="P36" s="407">
        <v>6677</v>
      </c>
      <c r="Q36" s="407">
        <v>9685</v>
      </c>
      <c r="R36" s="407">
        <v>0</v>
      </c>
      <c r="S36" s="407">
        <v>3893</v>
      </c>
      <c r="T36" s="408">
        <v>1104351</v>
      </c>
      <c r="U36" s="80"/>
    </row>
    <row r="37" spans="1:21" ht="14.15" customHeight="1" x14ac:dyDescent="0.3">
      <c r="A37" s="409" t="s">
        <v>110</v>
      </c>
      <c r="B37" s="411">
        <v>0</v>
      </c>
      <c r="C37" s="415">
        <v>0</v>
      </c>
      <c r="D37" s="411">
        <v>0</v>
      </c>
      <c r="E37" s="412">
        <v>4</v>
      </c>
      <c r="F37" s="412">
        <v>0</v>
      </c>
      <c r="G37" s="412">
        <v>0</v>
      </c>
      <c r="H37" s="412">
        <v>0</v>
      </c>
      <c r="I37" s="412">
        <v>0</v>
      </c>
      <c r="J37" s="412">
        <v>0</v>
      </c>
      <c r="K37" s="412">
        <v>4</v>
      </c>
      <c r="L37" s="412">
        <v>0</v>
      </c>
      <c r="M37" s="413">
        <v>0</v>
      </c>
      <c r="N37" s="411">
        <v>6</v>
      </c>
      <c r="O37" s="414">
        <v>52385</v>
      </c>
      <c r="P37" s="414">
        <v>19</v>
      </c>
      <c r="Q37" s="414">
        <v>0</v>
      </c>
      <c r="R37" s="414">
        <v>0</v>
      </c>
      <c r="S37" s="414">
        <v>0</v>
      </c>
      <c r="T37" s="414">
        <v>52366</v>
      </c>
      <c r="U37" s="80"/>
    </row>
    <row r="38" spans="1:21" ht="15.75" customHeight="1" x14ac:dyDescent="0.3">
      <c r="A38" s="409" t="s">
        <v>332</v>
      </c>
      <c r="B38" s="410">
        <v>0</v>
      </c>
      <c r="C38" s="410">
        <v>0</v>
      </c>
      <c r="D38" s="411">
        <v>0</v>
      </c>
      <c r="E38" s="412">
        <v>0</v>
      </c>
      <c r="F38" s="412">
        <v>0</v>
      </c>
      <c r="G38" s="412">
        <v>0</v>
      </c>
      <c r="H38" s="412">
        <v>0</v>
      </c>
      <c r="I38" s="412">
        <v>0</v>
      </c>
      <c r="J38" s="412">
        <v>0</v>
      </c>
      <c r="K38" s="412">
        <v>0</v>
      </c>
      <c r="L38" s="412">
        <v>0</v>
      </c>
      <c r="M38" s="413">
        <v>0</v>
      </c>
      <c r="N38" s="411">
        <v>0</v>
      </c>
      <c r="O38" s="414">
        <v>0</v>
      </c>
      <c r="P38" s="414">
        <v>0</v>
      </c>
      <c r="Q38" s="414">
        <v>0</v>
      </c>
      <c r="R38" s="414">
        <v>0</v>
      </c>
      <c r="S38" s="414">
        <v>0</v>
      </c>
      <c r="T38" s="414">
        <v>0</v>
      </c>
      <c r="U38" s="80"/>
    </row>
    <row r="39" spans="1:21" ht="14.15" customHeight="1" x14ac:dyDescent="0.3">
      <c r="A39" s="409" t="s">
        <v>301</v>
      </c>
      <c r="B39" s="410">
        <v>0</v>
      </c>
      <c r="C39" s="410">
        <v>0</v>
      </c>
      <c r="D39" s="411">
        <v>1</v>
      </c>
      <c r="E39" s="412">
        <v>0</v>
      </c>
      <c r="F39" s="412">
        <v>0</v>
      </c>
      <c r="G39" s="412">
        <v>0</v>
      </c>
      <c r="H39" s="412">
        <v>0</v>
      </c>
      <c r="I39" s="412">
        <v>0</v>
      </c>
      <c r="J39" s="412">
        <v>0</v>
      </c>
      <c r="K39" s="412">
        <v>0</v>
      </c>
      <c r="L39" s="412">
        <v>0</v>
      </c>
      <c r="M39" s="413">
        <v>0</v>
      </c>
      <c r="N39" s="411">
        <v>120</v>
      </c>
      <c r="O39" s="414">
        <v>965433</v>
      </c>
      <c r="P39" s="414">
        <v>6241</v>
      </c>
      <c r="Q39" s="414">
        <v>9606</v>
      </c>
      <c r="R39" s="414">
        <v>0</v>
      </c>
      <c r="S39" s="414">
        <v>38</v>
      </c>
      <c r="T39" s="414">
        <v>949548</v>
      </c>
      <c r="U39" s="80"/>
    </row>
    <row r="40" spans="1:21" ht="15.75" customHeight="1" x14ac:dyDescent="0.3">
      <c r="A40" s="409" t="s">
        <v>304</v>
      </c>
      <c r="B40" s="411">
        <v>0</v>
      </c>
      <c r="C40" s="415">
        <v>0</v>
      </c>
      <c r="D40" s="411">
        <v>0</v>
      </c>
      <c r="E40" s="412">
        <v>0</v>
      </c>
      <c r="F40" s="412">
        <v>0</v>
      </c>
      <c r="G40" s="412">
        <v>0</v>
      </c>
      <c r="H40" s="412">
        <v>0</v>
      </c>
      <c r="I40" s="412">
        <v>0</v>
      </c>
      <c r="J40" s="412">
        <v>0</v>
      </c>
      <c r="K40" s="412">
        <v>0</v>
      </c>
      <c r="L40" s="412">
        <v>0</v>
      </c>
      <c r="M40" s="413">
        <v>0</v>
      </c>
      <c r="N40" s="411">
        <v>0</v>
      </c>
      <c r="O40" s="414">
        <v>0</v>
      </c>
      <c r="P40" s="414">
        <v>0</v>
      </c>
      <c r="Q40" s="414">
        <v>0</v>
      </c>
      <c r="R40" s="414">
        <v>0</v>
      </c>
      <c r="S40" s="414">
        <v>0</v>
      </c>
      <c r="T40" s="414">
        <v>0</v>
      </c>
      <c r="U40" s="80"/>
    </row>
    <row r="41" spans="1:21" ht="15.75" customHeight="1" x14ac:dyDescent="0.3">
      <c r="A41" s="409" t="s">
        <v>305</v>
      </c>
      <c r="B41" s="411">
        <v>0</v>
      </c>
      <c r="C41" s="415">
        <v>0</v>
      </c>
      <c r="D41" s="411">
        <v>11</v>
      </c>
      <c r="E41" s="412">
        <v>0</v>
      </c>
      <c r="F41" s="412">
        <v>0</v>
      </c>
      <c r="G41" s="412">
        <v>0</v>
      </c>
      <c r="H41" s="412">
        <v>0</v>
      </c>
      <c r="I41" s="412">
        <v>0</v>
      </c>
      <c r="J41" s="412">
        <v>0</v>
      </c>
      <c r="K41" s="412">
        <v>0</v>
      </c>
      <c r="L41" s="412">
        <v>0</v>
      </c>
      <c r="M41" s="413">
        <v>0</v>
      </c>
      <c r="N41" s="411">
        <v>41</v>
      </c>
      <c r="O41" s="414">
        <v>15308</v>
      </c>
      <c r="P41" s="414">
        <v>305</v>
      </c>
      <c r="Q41" s="414">
        <v>19</v>
      </c>
      <c r="R41" s="414">
        <v>0</v>
      </c>
      <c r="S41" s="414">
        <v>3821</v>
      </c>
      <c r="T41" s="414">
        <v>11163</v>
      </c>
      <c r="U41" s="80"/>
    </row>
    <row r="42" spans="1:21" ht="14.15" customHeight="1" x14ac:dyDescent="0.3">
      <c r="A42" s="409" t="s">
        <v>307</v>
      </c>
      <c r="B42" s="411">
        <v>0</v>
      </c>
      <c r="C42" s="415">
        <v>0</v>
      </c>
      <c r="D42" s="411">
        <v>0</v>
      </c>
      <c r="E42" s="412">
        <v>0</v>
      </c>
      <c r="F42" s="412">
        <v>0</v>
      </c>
      <c r="G42" s="412">
        <v>0</v>
      </c>
      <c r="H42" s="412">
        <v>0</v>
      </c>
      <c r="I42" s="412">
        <v>0</v>
      </c>
      <c r="J42" s="412">
        <v>0</v>
      </c>
      <c r="K42" s="412">
        <v>0</v>
      </c>
      <c r="L42" s="412">
        <v>0</v>
      </c>
      <c r="M42" s="413">
        <v>0</v>
      </c>
      <c r="N42" s="411">
        <v>43</v>
      </c>
      <c r="O42" s="414">
        <v>91436</v>
      </c>
      <c r="P42" s="414">
        <v>112</v>
      </c>
      <c r="Q42" s="414">
        <v>15</v>
      </c>
      <c r="R42" s="414">
        <v>0</v>
      </c>
      <c r="S42" s="414">
        <v>34</v>
      </c>
      <c r="T42" s="414">
        <v>91274</v>
      </c>
      <c r="U42" s="80"/>
    </row>
    <row r="43" spans="1:21" ht="14.15" customHeight="1" x14ac:dyDescent="0.3">
      <c r="A43" s="409" t="s">
        <v>308</v>
      </c>
      <c r="B43" s="411">
        <v>0</v>
      </c>
      <c r="C43" s="415">
        <v>0</v>
      </c>
      <c r="D43" s="411">
        <v>0</v>
      </c>
      <c r="E43" s="412">
        <v>0</v>
      </c>
      <c r="F43" s="412">
        <v>0</v>
      </c>
      <c r="G43" s="412">
        <v>0</v>
      </c>
      <c r="H43" s="412">
        <v>0</v>
      </c>
      <c r="I43" s="412">
        <v>0</v>
      </c>
      <c r="J43" s="412">
        <v>0</v>
      </c>
      <c r="K43" s="412">
        <v>0</v>
      </c>
      <c r="L43" s="412">
        <v>0</v>
      </c>
      <c r="M43" s="413">
        <v>0</v>
      </c>
      <c r="N43" s="411">
        <v>0</v>
      </c>
      <c r="O43" s="414">
        <v>0</v>
      </c>
      <c r="P43" s="414">
        <v>0</v>
      </c>
      <c r="Q43" s="414">
        <v>0</v>
      </c>
      <c r="R43" s="414">
        <v>0</v>
      </c>
      <c r="S43" s="414">
        <v>0</v>
      </c>
      <c r="T43" s="414">
        <v>0</v>
      </c>
      <c r="U43" s="80"/>
    </row>
    <row r="44" spans="1:21" ht="15" customHeight="1" x14ac:dyDescent="0.3">
      <c r="A44" s="409" t="s">
        <v>309</v>
      </c>
      <c r="B44" s="422">
        <v>0</v>
      </c>
      <c r="C44" s="423">
        <v>0</v>
      </c>
      <c r="D44" s="422">
        <v>0</v>
      </c>
      <c r="E44" s="424">
        <v>0</v>
      </c>
      <c r="F44" s="424">
        <v>0</v>
      </c>
      <c r="G44" s="424">
        <v>0</v>
      </c>
      <c r="H44" s="424">
        <v>0</v>
      </c>
      <c r="I44" s="424">
        <v>0</v>
      </c>
      <c r="J44" s="424">
        <v>0</v>
      </c>
      <c r="K44" s="424">
        <v>0</v>
      </c>
      <c r="L44" s="424">
        <v>0</v>
      </c>
      <c r="M44" s="425">
        <v>0</v>
      </c>
      <c r="N44" s="422">
        <v>1</v>
      </c>
      <c r="O44" s="426">
        <v>45</v>
      </c>
      <c r="P44" s="426">
        <v>0</v>
      </c>
      <c r="Q44" s="426">
        <v>45</v>
      </c>
      <c r="R44" s="426">
        <v>0</v>
      </c>
      <c r="S44" s="426">
        <v>0</v>
      </c>
      <c r="T44" s="426">
        <v>0</v>
      </c>
      <c r="U44" s="80"/>
    </row>
    <row r="45" spans="1:21" ht="15" customHeight="1" x14ac:dyDescent="0.25">
      <c r="A45" s="88"/>
      <c r="B45" s="87"/>
      <c r="C45" s="87"/>
      <c r="D45" s="87"/>
      <c r="E45" s="87"/>
      <c r="F45" s="87"/>
      <c r="G45" s="87"/>
      <c r="H45" s="87"/>
      <c r="I45" s="87"/>
      <c r="J45" s="87"/>
      <c r="K45" s="87"/>
      <c r="L45" s="87"/>
      <c r="M45" s="87"/>
      <c r="N45" s="87"/>
      <c r="O45" s="87"/>
      <c r="P45" s="87"/>
      <c r="Q45" s="87"/>
      <c r="R45" s="87"/>
      <c r="S45" s="87"/>
      <c r="T45" s="87"/>
    </row>
    <row r="46" spans="1:21" ht="15" customHeight="1" x14ac:dyDescent="0.25"/>
    <row r="47" spans="1:21" ht="15" customHeight="1" x14ac:dyDescent="0.25"/>
    <row r="48" spans="1:21" ht="15" customHeight="1" x14ac:dyDescent="0.25"/>
    <row r="49" ht="15" customHeight="1" x14ac:dyDescent="0.25"/>
    <row r="50" ht="15" customHeight="1" x14ac:dyDescent="0.25"/>
    <row r="51" ht="15" customHeight="1" x14ac:dyDescent="0.25"/>
  </sheetData>
  <mergeCells count="3">
    <mergeCell ref="B1:C1"/>
    <mergeCell ref="D1:M1"/>
    <mergeCell ref="N1:T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A00F0-65AB-400E-944A-2A3CE561F364}">
  <dimension ref="A1:Y1099"/>
  <sheetViews>
    <sheetView zoomScale="40" zoomScaleNormal="40" workbookViewId="0">
      <pane xSplit="3" ySplit="7" topLeftCell="D8" activePane="bottomRight" state="frozen"/>
      <selection pane="topRight" activeCell="D1" sqref="D1"/>
      <selection pane="bottomLeft" activeCell="A8" sqref="A8"/>
      <selection pane="bottomRight" activeCell="A23" sqref="A23:XFD23"/>
    </sheetView>
  </sheetViews>
  <sheetFormatPr defaultColWidth="13.1796875" defaultRowHeight="12.5" x14ac:dyDescent="0.25"/>
  <cols>
    <col min="1" max="1" width="52" customWidth="1"/>
    <col min="2" max="2" width="23" customWidth="1"/>
    <col min="3" max="3" width="19.1796875" customWidth="1"/>
    <col min="4" max="4" width="21.7265625" customWidth="1"/>
    <col min="5" max="5" width="21.7265625" style="457" customWidth="1"/>
    <col min="6" max="6" width="19.7265625" customWidth="1"/>
    <col min="7" max="7" width="19.7265625" style="457" customWidth="1"/>
    <col min="8" max="9" width="17.81640625" style="457" customWidth="1"/>
    <col min="10" max="10" width="19.7265625" customWidth="1"/>
    <col min="11" max="11" width="19.7265625" style="457" customWidth="1"/>
    <col min="12" max="12" width="21.7265625" customWidth="1"/>
    <col min="13" max="13" width="21.1796875" customWidth="1"/>
    <col min="14" max="14" width="21.7265625" customWidth="1"/>
    <col min="15" max="15" width="0" hidden="1" customWidth="1"/>
    <col min="16" max="17" width="18.453125" customWidth="1"/>
    <col min="18" max="18" width="18.54296875" customWidth="1"/>
    <col min="19" max="19" width="18.54296875" hidden="1" customWidth="1"/>
    <col min="20" max="22" width="11.453125" customWidth="1"/>
    <col min="23" max="24" width="20.453125" customWidth="1"/>
    <col min="25" max="72" width="9.26953125" customWidth="1"/>
  </cols>
  <sheetData>
    <row r="1" spans="1:25" ht="33.25" customHeight="1" thickBot="1" x14ac:dyDescent="0.4">
      <c r="B1" s="686" t="s">
        <v>411</v>
      </c>
      <c r="C1" s="687"/>
      <c r="D1" s="688"/>
      <c r="E1" s="589"/>
      <c r="F1" s="689" t="s">
        <v>412</v>
      </c>
      <c r="G1" s="690"/>
      <c r="H1" s="690"/>
      <c r="I1" s="690"/>
      <c r="J1" s="690"/>
      <c r="K1" s="690"/>
      <c r="L1" s="691"/>
      <c r="M1" s="590"/>
      <c r="N1" s="692" t="s">
        <v>413</v>
      </c>
      <c r="O1" s="653"/>
      <c r="P1" s="653"/>
      <c r="Q1" s="653"/>
      <c r="R1" s="653"/>
      <c r="T1" s="686" t="s">
        <v>414</v>
      </c>
      <c r="U1" s="687"/>
      <c r="V1" s="687"/>
      <c r="W1" s="687"/>
      <c r="X1" s="688"/>
      <c r="Y1" s="498"/>
    </row>
    <row r="2" spans="1:25" ht="57.65" customHeight="1" thickBot="1" x14ac:dyDescent="0.4">
      <c r="A2" s="588"/>
      <c r="B2" s="587" t="s">
        <v>127</v>
      </c>
      <c r="C2" s="584" t="s">
        <v>128</v>
      </c>
      <c r="D2" s="584" t="s">
        <v>129</v>
      </c>
      <c r="E2" s="586" t="s">
        <v>415</v>
      </c>
      <c r="F2" s="585" t="s">
        <v>416</v>
      </c>
      <c r="G2" s="580" t="s">
        <v>417</v>
      </c>
      <c r="H2" s="580" t="s">
        <v>418</v>
      </c>
      <c r="I2" s="580" t="s">
        <v>419</v>
      </c>
      <c r="J2" s="584" t="s">
        <v>420</v>
      </c>
      <c r="K2" s="584" t="s">
        <v>421</v>
      </c>
      <c r="L2" s="583" t="s">
        <v>422</v>
      </c>
      <c r="M2" s="582" t="s">
        <v>423</v>
      </c>
      <c r="N2" s="580" t="s">
        <v>424</v>
      </c>
      <c r="O2" s="581"/>
      <c r="P2" s="580" t="s">
        <v>425</v>
      </c>
      <c r="Q2" s="579" t="s">
        <v>426</v>
      </c>
      <c r="R2" s="578" t="s">
        <v>427</v>
      </c>
      <c r="S2" s="578" t="s">
        <v>428</v>
      </c>
      <c r="T2" s="577" t="s">
        <v>429</v>
      </c>
      <c r="U2" s="577" t="s">
        <v>430</v>
      </c>
      <c r="V2" s="577" t="s">
        <v>431</v>
      </c>
      <c r="W2" s="577" t="s">
        <v>432</v>
      </c>
      <c r="X2" s="577" t="s">
        <v>433</v>
      </c>
      <c r="Y2" s="498"/>
    </row>
    <row r="3" spans="1:25" ht="16.75" hidden="1" customHeight="1" thickBot="1" x14ac:dyDescent="0.4">
      <c r="A3" s="576"/>
      <c r="B3" s="575" t="s">
        <v>434</v>
      </c>
      <c r="C3" s="568" t="s">
        <v>435</v>
      </c>
      <c r="D3" s="568" t="s">
        <v>436</v>
      </c>
      <c r="E3" s="574"/>
      <c r="F3" s="573" t="s">
        <v>437</v>
      </c>
      <c r="G3" s="571"/>
      <c r="H3" s="571" t="s">
        <v>438</v>
      </c>
      <c r="I3" s="571" t="s">
        <v>439</v>
      </c>
      <c r="J3" s="572" t="s">
        <v>440</v>
      </c>
      <c r="K3" s="571" t="s">
        <v>441</v>
      </c>
      <c r="L3" s="570" t="s">
        <v>442</v>
      </c>
      <c r="M3" s="569" t="s">
        <v>443</v>
      </c>
      <c r="N3" s="568" t="s">
        <v>444</v>
      </c>
      <c r="O3" s="568"/>
      <c r="P3" s="568" t="s">
        <v>445</v>
      </c>
      <c r="Q3" s="567"/>
      <c r="R3" s="566" t="s">
        <v>446</v>
      </c>
      <c r="S3" s="565"/>
      <c r="T3" s="564" t="s">
        <v>447</v>
      </c>
      <c r="U3" s="564" t="s">
        <v>448</v>
      </c>
      <c r="V3" s="564" t="s">
        <v>449</v>
      </c>
      <c r="W3" s="564" t="s">
        <v>450</v>
      </c>
      <c r="X3" s="564" t="s">
        <v>450</v>
      </c>
      <c r="Y3" s="563"/>
    </row>
    <row r="4" spans="1:25" ht="16.75" customHeight="1" x14ac:dyDescent="0.35">
      <c r="A4" s="562" t="s">
        <v>72</v>
      </c>
      <c r="B4" s="561">
        <v>6007332</v>
      </c>
      <c r="C4" s="561">
        <v>443028117</v>
      </c>
      <c r="D4" s="561">
        <v>146769826</v>
      </c>
      <c r="E4" s="560">
        <f t="shared" ref="E4:K4" si="0">E5+E20+E34</f>
        <v>449054587</v>
      </c>
      <c r="F4" s="559">
        <f t="shared" si="0"/>
        <v>394522469</v>
      </c>
      <c r="G4" s="551">
        <f t="shared" si="0"/>
        <v>54532118</v>
      </c>
      <c r="H4" s="551">
        <f t="shared" si="0"/>
        <v>91683567.361899406</v>
      </c>
      <c r="I4" s="551">
        <f t="shared" si="0"/>
        <v>7733543.0099999998</v>
      </c>
      <c r="J4" s="551">
        <f t="shared" si="0"/>
        <v>532514220.35189939</v>
      </c>
      <c r="K4" s="551">
        <f t="shared" si="0"/>
        <v>85336294.936509207</v>
      </c>
      <c r="L4" s="558">
        <f t="shared" ref="L4:L15" si="1">K4/(E4+H4)</f>
        <v>0.1578144509466152</v>
      </c>
      <c r="M4" s="557">
        <f>M5+M20+M34</f>
        <v>179.05</v>
      </c>
      <c r="N4" s="554">
        <f>N5+N20+N34</f>
        <v>45938</v>
      </c>
      <c r="O4" s="554">
        <f>O5+O20+O34</f>
        <v>0</v>
      </c>
      <c r="P4" s="556">
        <f>P5+P20+P34</f>
        <v>70302</v>
      </c>
      <c r="Q4" s="555">
        <f t="shared" ref="Q4:Q35" si="2">P4+N4</f>
        <v>116240</v>
      </c>
      <c r="R4" s="554">
        <f>R5+R20+R34</f>
        <v>57719</v>
      </c>
      <c r="S4" s="553">
        <f t="shared" ref="S4:S25" si="3">R4/Q4</f>
        <v>0.49655024088093597</v>
      </c>
      <c r="T4" s="551">
        <v>3723</v>
      </c>
      <c r="U4" s="551">
        <v>1497</v>
      </c>
      <c r="V4" s="552"/>
      <c r="W4" s="551">
        <f>W5+W20</f>
        <v>31749.94</v>
      </c>
      <c r="X4" s="551">
        <f>X34</f>
        <v>74</v>
      </c>
      <c r="Y4" s="522"/>
    </row>
    <row r="5" spans="1:25" ht="16.75" customHeight="1" x14ac:dyDescent="0.35">
      <c r="A5" s="534" t="s">
        <v>73</v>
      </c>
      <c r="B5" s="529">
        <v>1844517</v>
      </c>
      <c r="C5" s="529">
        <v>407621404</v>
      </c>
      <c r="D5" s="529">
        <v>51356294</v>
      </c>
      <c r="E5" s="533">
        <f t="shared" ref="E5:K5" si="4">E6+E8+E10+E12+E14+E18</f>
        <v>167753028</v>
      </c>
      <c r="F5" s="532">
        <f t="shared" si="4"/>
        <v>129993761</v>
      </c>
      <c r="G5" s="523">
        <f t="shared" si="4"/>
        <v>37759267</v>
      </c>
      <c r="H5" s="523">
        <f t="shared" si="4"/>
        <v>48853891.096544102</v>
      </c>
      <c r="I5" s="523">
        <f t="shared" si="4"/>
        <v>5267568.01</v>
      </c>
      <c r="J5" s="523">
        <f t="shared" si="4"/>
        <v>211339351.0865441</v>
      </c>
      <c r="K5" s="523">
        <f t="shared" si="4"/>
        <v>23952618.273509201</v>
      </c>
      <c r="L5" s="531">
        <f t="shared" si="1"/>
        <v>0.1105810394857851</v>
      </c>
      <c r="M5" s="530">
        <f>M6+M8+M10+M12+M14+M18</f>
        <v>0</v>
      </c>
      <c r="N5" s="547">
        <f>N6+N8+N10+N12+N14+N18</f>
        <v>9248</v>
      </c>
      <c r="O5" s="548">
        <f>O6+O8+O10+O12+O14+O18</f>
        <v>0</v>
      </c>
      <c r="P5" s="527">
        <f>P6+P8+P10+P12+P14+P18</f>
        <v>26002</v>
      </c>
      <c r="Q5" s="527">
        <f t="shared" si="2"/>
        <v>35250</v>
      </c>
      <c r="R5" s="547">
        <f>R6+R8+R10+R12+R14+R18</f>
        <v>30506</v>
      </c>
      <c r="S5" s="546">
        <f t="shared" si="3"/>
        <v>0.86541843971631205</v>
      </c>
      <c r="T5" s="523">
        <f>T6+T8+T10+T12+T14+T18</f>
        <v>1593.6342497176702</v>
      </c>
      <c r="U5" s="523">
        <f>U6+U8+U10+U12+U14+U18</f>
        <v>104.733</v>
      </c>
      <c r="V5" s="523">
        <f>V6+V8+V10+V12+V14+V18</f>
        <v>0</v>
      </c>
      <c r="W5" s="523">
        <f>W6+W8+W10+W12+W14+W18</f>
        <v>31081</v>
      </c>
      <c r="X5" s="523"/>
      <c r="Y5" s="522"/>
    </row>
    <row r="6" spans="1:25" ht="16.75" customHeight="1" x14ac:dyDescent="0.35">
      <c r="A6" s="519" t="s">
        <v>74</v>
      </c>
      <c r="B6" s="514">
        <v>707998</v>
      </c>
      <c r="C6" s="514">
        <v>0</v>
      </c>
      <c r="D6" s="514">
        <v>5277045</v>
      </c>
      <c r="E6" s="518">
        <f t="shared" ref="E6:K6" si="5">E7</f>
        <v>31444309</v>
      </c>
      <c r="F6" s="517">
        <f t="shared" si="5"/>
        <v>17380563</v>
      </c>
      <c r="G6" s="508">
        <f t="shared" si="5"/>
        <v>14063746</v>
      </c>
      <c r="H6" s="508">
        <f t="shared" si="5"/>
        <v>3638293.8</v>
      </c>
      <c r="I6" s="508">
        <f t="shared" si="5"/>
        <v>1101618</v>
      </c>
      <c r="J6" s="508">
        <f t="shared" si="5"/>
        <v>33980984.799999997</v>
      </c>
      <c r="K6" s="508">
        <f t="shared" si="5"/>
        <v>0</v>
      </c>
      <c r="L6" s="516">
        <f t="shared" si="1"/>
        <v>0</v>
      </c>
      <c r="M6" s="515">
        <v>0</v>
      </c>
      <c r="N6" s="514">
        <v>3999</v>
      </c>
      <c r="O6" s="513"/>
      <c r="P6" s="512">
        <v>8339</v>
      </c>
      <c r="Q6" s="512">
        <f t="shared" si="2"/>
        <v>12338</v>
      </c>
      <c r="R6" s="535">
        <v>7377</v>
      </c>
      <c r="S6" s="510">
        <f t="shared" si="3"/>
        <v>0.5979088993353866</v>
      </c>
      <c r="T6" s="508">
        <v>0</v>
      </c>
      <c r="U6" s="508">
        <v>0</v>
      </c>
      <c r="V6" s="550">
        <v>0</v>
      </c>
      <c r="W6" s="508">
        <v>0</v>
      </c>
      <c r="X6" s="508">
        <v>0</v>
      </c>
      <c r="Y6" s="463"/>
    </row>
    <row r="7" spans="1:25" ht="16.75" customHeight="1" x14ac:dyDescent="0.35">
      <c r="A7" s="488" t="s">
        <v>75</v>
      </c>
      <c r="B7" s="473">
        <v>707998</v>
      </c>
      <c r="C7" s="473">
        <v>0</v>
      </c>
      <c r="D7" s="473">
        <v>5277045</v>
      </c>
      <c r="E7" s="482">
        <f>18264986+603917+12123915+451491</f>
        <v>31444309</v>
      </c>
      <c r="F7" s="481">
        <f>E7-G7</f>
        <v>17380563</v>
      </c>
      <c r="G7" s="487">
        <f>14063746</f>
        <v>14063746</v>
      </c>
      <c r="H7" s="487">
        <v>3638293.8</v>
      </c>
      <c r="I7" s="487">
        <v>1101618</v>
      </c>
      <c r="J7" s="487">
        <f>E7+(H7-I7)</f>
        <v>33980984.799999997</v>
      </c>
      <c r="K7" s="487">
        <v>0</v>
      </c>
      <c r="L7" s="479">
        <f t="shared" si="1"/>
        <v>0</v>
      </c>
      <c r="M7" s="478">
        <v>0</v>
      </c>
      <c r="N7" s="473">
        <v>3999.1860878000002</v>
      </c>
      <c r="O7" s="486"/>
      <c r="P7" s="485">
        <v>8339.4154149999995</v>
      </c>
      <c r="Q7" s="485">
        <f t="shared" si="2"/>
        <v>12338.6015028</v>
      </c>
      <c r="R7" s="483">
        <v>7376.5363349999998</v>
      </c>
      <c r="S7" s="474">
        <f t="shared" si="3"/>
        <v>0.59784217306361997</v>
      </c>
      <c r="T7" s="465">
        <v>0</v>
      </c>
      <c r="U7" s="465">
        <v>0</v>
      </c>
      <c r="V7" s="465">
        <v>0</v>
      </c>
      <c r="W7" s="465">
        <v>0</v>
      </c>
      <c r="X7" s="465"/>
      <c r="Y7" s="463"/>
    </row>
    <row r="8" spans="1:25" ht="16.75" customHeight="1" x14ac:dyDescent="0.35">
      <c r="A8" s="519" t="s">
        <v>76</v>
      </c>
      <c r="B8" s="514">
        <v>204245</v>
      </c>
      <c r="C8" s="514">
        <v>0</v>
      </c>
      <c r="D8" s="514">
        <v>3842826</v>
      </c>
      <c r="E8" s="518">
        <f t="shared" ref="E8:K8" si="6">E9</f>
        <v>38064939</v>
      </c>
      <c r="F8" s="517">
        <f t="shared" si="6"/>
        <v>14635358</v>
      </c>
      <c r="G8" s="508">
        <f t="shared" si="6"/>
        <v>23429581</v>
      </c>
      <c r="H8" s="508">
        <f t="shared" si="6"/>
        <v>3842826</v>
      </c>
      <c r="I8" s="508">
        <f t="shared" si="6"/>
        <v>0</v>
      </c>
      <c r="J8" s="508">
        <f t="shared" si="6"/>
        <v>41907765</v>
      </c>
      <c r="K8" s="508">
        <f t="shared" si="6"/>
        <v>0</v>
      </c>
      <c r="L8" s="516">
        <f t="shared" si="1"/>
        <v>0</v>
      </c>
      <c r="M8" s="515">
        <v>0</v>
      </c>
      <c r="N8" s="514">
        <v>910</v>
      </c>
      <c r="O8" s="513"/>
      <c r="P8" s="512">
        <v>832</v>
      </c>
      <c r="Q8" s="512">
        <f t="shared" si="2"/>
        <v>1742</v>
      </c>
      <c r="R8" s="535">
        <v>5597</v>
      </c>
      <c r="S8" s="510">
        <f t="shared" si="3"/>
        <v>3.2129735935706085</v>
      </c>
      <c r="T8" s="508">
        <v>0</v>
      </c>
      <c r="U8" s="508">
        <v>0</v>
      </c>
      <c r="V8" s="509"/>
      <c r="W8" s="508">
        <v>0</v>
      </c>
      <c r="X8" s="508"/>
      <c r="Y8" s="463"/>
    </row>
    <row r="9" spans="1:25" ht="16.75" customHeight="1" x14ac:dyDescent="0.35">
      <c r="A9" s="488" t="s">
        <v>77</v>
      </c>
      <c r="B9" s="473">
        <v>204245</v>
      </c>
      <c r="C9" s="473">
        <v>0</v>
      </c>
      <c r="D9" s="473">
        <v>3842826</v>
      </c>
      <c r="E9" s="482">
        <v>38064939</v>
      </c>
      <c r="F9" s="481">
        <f>E9-G9</f>
        <v>14635358</v>
      </c>
      <c r="G9" s="487">
        <v>23429581</v>
      </c>
      <c r="H9" s="487">
        <v>3842826</v>
      </c>
      <c r="I9" s="487">
        <v>0</v>
      </c>
      <c r="J9" s="487">
        <f>E9+(H9-I9)</f>
        <v>41907765</v>
      </c>
      <c r="K9" s="487">
        <v>0</v>
      </c>
      <c r="L9" s="479">
        <f t="shared" si="1"/>
        <v>0</v>
      </c>
      <c r="M9" s="478">
        <v>0</v>
      </c>
      <c r="N9" s="473">
        <v>909.69</v>
      </c>
      <c r="O9" s="486"/>
      <c r="P9" s="485">
        <v>832.33</v>
      </c>
      <c r="Q9" s="484">
        <f t="shared" si="2"/>
        <v>1742.02</v>
      </c>
      <c r="R9" s="483">
        <v>5596.6229999999996</v>
      </c>
      <c r="S9" s="474">
        <f t="shared" si="3"/>
        <v>3.2127202902377698</v>
      </c>
      <c r="T9" s="465">
        <v>0</v>
      </c>
      <c r="U9" s="465">
        <v>0</v>
      </c>
      <c r="V9" s="465">
        <v>0</v>
      </c>
      <c r="W9" s="465">
        <v>0</v>
      </c>
      <c r="X9" s="465"/>
      <c r="Y9" s="463"/>
    </row>
    <row r="10" spans="1:25" ht="16.75" customHeight="1" x14ac:dyDescent="0.35">
      <c r="A10" s="519" t="s">
        <v>78</v>
      </c>
      <c r="B10" s="514">
        <v>417069</v>
      </c>
      <c r="C10" s="514">
        <v>0</v>
      </c>
      <c r="D10" s="514">
        <v>8222324</v>
      </c>
      <c r="E10" s="518">
        <f t="shared" ref="E10:K10" si="7">E11</f>
        <v>29876388</v>
      </c>
      <c r="F10" s="517">
        <f t="shared" si="7"/>
        <v>29876388</v>
      </c>
      <c r="G10" s="508">
        <f t="shared" si="7"/>
        <v>0</v>
      </c>
      <c r="H10" s="508">
        <f t="shared" si="7"/>
        <v>8241352</v>
      </c>
      <c r="I10" s="508">
        <f t="shared" si="7"/>
        <v>2656280</v>
      </c>
      <c r="J10" s="508">
        <f t="shared" si="7"/>
        <v>35461460</v>
      </c>
      <c r="K10" s="508">
        <f t="shared" si="7"/>
        <v>0</v>
      </c>
      <c r="L10" s="516">
        <f t="shared" si="1"/>
        <v>0</v>
      </c>
      <c r="M10" s="515">
        <v>0</v>
      </c>
      <c r="N10" s="514">
        <v>736</v>
      </c>
      <c r="O10" s="513"/>
      <c r="P10" s="512">
        <v>3433</v>
      </c>
      <c r="Q10" s="512">
        <f t="shared" si="2"/>
        <v>4169</v>
      </c>
      <c r="R10" s="535">
        <v>2596</v>
      </c>
      <c r="S10" s="510">
        <f t="shared" si="3"/>
        <v>0.62269129287598945</v>
      </c>
      <c r="T10" s="508">
        <v>0</v>
      </c>
      <c r="U10" s="508">
        <v>0</v>
      </c>
      <c r="V10" s="509"/>
      <c r="W10" s="508">
        <v>0</v>
      </c>
      <c r="X10" s="508"/>
      <c r="Y10" s="463"/>
    </row>
    <row r="11" spans="1:25" ht="16.75" customHeight="1" x14ac:dyDescent="0.35">
      <c r="A11" s="488" t="s">
        <v>79</v>
      </c>
      <c r="B11" s="473">
        <v>417069</v>
      </c>
      <c r="C11" s="473">
        <v>0</v>
      </c>
      <c r="D11" s="473">
        <v>8222323.5</v>
      </c>
      <c r="E11" s="482">
        <f>29529065+347323</f>
        <v>29876388</v>
      </c>
      <c r="F11" s="481">
        <f>E11-G11</f>
        <v>29876388</v>
      </c>
      <c r="G11" s="487"/>
      <c r="H11" s="487">
        <v>8241352</v>
      </c>
      <c r="I11" s="487">
        <v>2656280</v>
      </c>
      <c r="J11" s="487">
        <f>E11+(H11-I11)</f>
        <v>35461460</v>
      </c>
      <c r="K11" s="487">
        <v>0</v>
      </c>
      <c r="L11" s="479">
        <f t="shared" si="1"/>
        <v>0</v>
      </c>
      <c r="M11" s="478">
        <v>0</v>
      </c>
      <c r="N11" s="473">
        <v>735.7</v>
      </c>
      <c r="O11" s="486"/>
      <c r="P11" s="485">
        <v>3432.6</v>
      </c>
      <c r="Q11" s="484">
        <f t="shared" si="2"/>
        <v>4168.3</v>
      </c>
      <c r="R11" s="483">
        <v>2596.3000000000002</v>
      </c>
      <c r="S11" s="474">
        <f t="shared" si="3"/>
        <v>0.62286783580836314</v>
      </c>
      <c r="T11" s="465">
        <v>0</v>
      </c>
      <c r="U11" s="465">
        <v>0</v>
      </c>
      <c r="V11" s="465">
        <v>0</v>
      </c>
      <c r="W11" s="465">
        <v>0</v>
      </c>
      <c r="X11" s="465"/>
      <c r="Y11" s="463"/>
    </row>
    <row r="12" spans="1:25" ht="16.75" customHeight="1" x14ac:dyDescent="0.35">
      <c r="A12" s="519" t="s">
        <v>80</v>
      </c>
      <c r="B12" s="514">
        <v>0</v>
      </c>
      <c r="C12" s="514">
        <v>141653728</v>
      </c>
      <c r="D12" s="514">
        <v>2787508</v>
      </c>
      <c r="E12" s="518">
        <f t="shared" ref="E12:K12" si="8">E13</f>
        <v>184411</v>
      </c>
      <c r="F12" s="517">
        <f t="shared" si="8"/>
        <v>77450</v>
      </c>
      <c r="G12" s="508">
        <f t="shared" si="8"/>
        <v>106961</v>
      </c>
      <c r="H12" s="508">
        <f t="shared" si="8"/>
        <v>2523317</v>
      </c>
      <c r="I12" s="508">
        <f t="shared" si="8"/>
        <v>820263</v>
      </c>
      <c r="J12" s="508">
        <f t="shared" si="8"/>
        <v>1887465</v>
      </c>
      <c r="K12" s="508">
        <f t="shared" si="8"/>
        <v>0</v>
      </c>
      <c r="L12" s="516">
        <f t="shared" si="1"/>
        <v>0</v>
      </c>
      <c r="M12" s="515">
        <v>0</v>
      </c>
      <c r="N12" s="514">
        <v>2063</v>
      </c>
      <c r="O12" s="513"/>
      <c r="P12" s="512">
        <v>2903</v>
      </c>
      <c r="Q12" s="512">
        <f t="shared" si="2"/>
        <v>4966</v>
      </c>
      <c r="R12" s="535">
        <v>2003</v>
      </c>
      <c r="S12" s="510">
        <f t="shared" si="3"/>
        <v>0.40334273056786146</v>
      </c>
      <c r="T12" s="508">
        <f>T13</f>
        <v>1592.6590000000001</v>
      </c>
      <c r="U12" s="508">
        <f>U13</f>
        <v>104.733</v>
      </c>
      <c r="V12" s="508">
        <f>V13</f>
        <v>0</v>
      </c>
      <c r="W12" s="508">
        <f>W13</f>
        <v>30774</v>
      </c>
      <c r="X12" s="508"/>
      <c r="Y12" s="463"/>
    </row>
    <row r="13" spans="1:25" ht="16.75" customHeight="1" x14ac:dyDescent="0.35">
      <c r="A13" s="488" t="s">
        <v>81</v>
      </c>
      <c r="B13" s="473">
        <v>0</v>
      </c>
      <c r="C13" s="473">
        <v>141653728</v>
      </c>
      <c r="D13" s="473">
        <v>2787508.41</v>
      </c>
      <c r="E13" s="482">
        <v>184411</v>
      </c>
      <c r="F13" s="481">
        <f>E13-G13</f>
        <v>77450</v>
      </c>
      <c r="G13" s="487">
        <v>106961</v>
      </c>
      <c r="H13" s="487">
        <v>2523317</v>
      </c>
      <c r="I13" s="487">
        <v>820263</v>
      </c>
      <c r="J13" s="487">
        <f>E13+(H13-I13)</f>
        <v>1887465</v>
      </c>
      <c r="K13" s="487">
        <v>0</v>
      </c>
      <c r="L13" s="479">
        <f t="shared" si="1"/>
        <v>0</v>
      </c>
      <c r="M13" s="478">
        <v>0</v>
      </c>
      <c r="N13" s="473">
        <v>2063.1098999999999</v>
      </c>
      <c r="O13" s="486"/>
      <c r="P13" s="485">
        <v>2903.319</v>
      </c>
      <c r="Q13" s="484">
        <f t="shared" si="2"/>
        <v>4966.4288999999999</v>
      </c>
      <c r="R13" s="483">
        <v>2002.982</v>
      </c>
      <c r="S13" s="474">
        <f t="shared" si="3"/>
        <v>0.40330427362002502</v>
      </c>
      <c r="T13" s="473">
        <v>1592.6590000000001</v>
      </c>
      <c r="U13" s="473">
        <v>104.733</v>
      </c>
      <c r="V13" s="473">
        <v>0</v>
      </c>
      <c r="W13" s="465">
        <f>6235+24539</f>
        <v>30774</v>
      </c>
      <c r="X13" s="465"/>
      <c r="Y13" s="463"/>
    </row>
    <row r="14" spans="1:25" ht="16.75" customHeight="1" x14ac:dyDescent="0.35">
      <c r="A14" s="519" t="s">
        <v>82</v>
      </c>
      <c r="B14" s="514">
        <v>515205</v>
      </c>
      <c r="C14" s="514">
        <v>5822336</v>
      </c>
      <c r="D14" s="514">
        <v>4430038</v>
      </c>
      <c r="E14" s="518">
        <f t="shared" ref="E14:K14" si="9">SUM(E15:E17)</f>
        <v>16801569</v>
      </c>
      <c r="F14" s="517">
        <f t="shared" si="9"/>
        <v>16773602</v>
      </c>
      <c r="G14" s="508">
        <f t="shared" si="9"/>
        <v>27967</v>
      </c>
      <c r="H14" s="508">
        <f t="shared" si="9"/>
        <v>4226482</v>
      </c>
      <c r="I14" s="508">
        <f t="shared" si="9"/>
        <v>689407.01</v>
      </c>
      <c r="J14" s="508">
        <f t="shared" si="9"/>
        <v>20338643.989999998</v>
      </c>
      <c r="K14" s="508">
        <f t="shared" si="9"/>
        <v>5198736</v>
      </c>
      <c r="L14" s="516">
        <f t="shared" si="1"/>
        <v>0.24722861857240122</v>
      </c>
      <c r="M14" s="515">
        <v>0</v>
      </c>
      <c r="N14" s="514">
        <v>965</v>
      </c>
      <c r="O14" s="513"/>
      <c r="P14" s="512">
        <v>4698</v>
      </c>
      <c r="Q14" s="512">
        <f t="shared" si="2"/>
        <v>5663</v>
      </c>
      <c r="R14" s="535">
        <v>5385</v>
      </c>
      <c r="S14" s="510">
        <f t="shared" si="3"/>
        <v>0.95090941197245271</v>
      </c>
      <c r="T14" s="508">
        <v>0</v>
      </c>
      <c r="U14" s="508">
        <v>0</v>
      </c>
      <c r="V14" s="509"/>
      <c r="W14" s="508">
        <v>307</v>
      </c>
      <c r="X14" s="508"/>
      <c r="Y14" s="463"/>
    </row>
    <row r="15" spans="1:25" ht="16.75" customHeight="1" x14ac:dyDescent="0.35">
      <c r="A15" s="488" t="s">
        <v>83</v>
      </c>
      <c r="B15" s="473">
        <v>213607</v>
      </c>
      <c r="C15" s="473">
        <v>5822335</v>
      </c>
      <c r="D15" s="473">
        <v>1048172</v>
      </c>
      <c r="E15" s="482">
        <f>23233+343801</f>
        <v>367034</v>
      </c>
      <c r="F15" s="481">
        <f>E15-G15</f>
        <v>367034</v>
      </c>
      <c r="G15" s="487"/>
      <c r="H15" s="487">
        <v>841473</v>
      </c>
      <c r="I15" s="487">
        <v>412504.01</v>
      </c>
      <c r="J15" s="487">
        <f>E15+(H15-I15)</f>
        <v>796002.99</v>
      </c>
      <c r="K15" s="487">
        <v>0</v>
      </c>
      <c r="L15" s="479">
        <f t="shared" si="1"/>
        <v>0</v>
      </c>
      <c r="M15" s="478">
        <v>0</v>
      </c>
      <c r="N15" s="473">
        <v>162.608</v>
      </c>
      <c r="O15" s="486"/>
      <c r="P15" s="485">
        <v>2655.16</v>
      </c>
      <c r="Q15" s="484">
        <f t="shared" si="2"/>
        <v>2817.768</v>
      </c>
      <c r="R15" s="483">
        <v>2115.0500000000002</v>
      </c>
      <c r="S15" s="474">
        <f t="shared" si="3"/>
        <v>0.75061183177607249</v>
      </c>
      <c r="T15" s="464">
        <v>2.9999999999999997E-4</v>
      </c>
      <c r="U15" s="464">
        <v>4.1999999999999997E-3</v>
      </c>
      <c r="V15" s="465">
        <v>0</v>
      </c>
      <c r="W15" s="465">
        <v>118</v>
      </c>
      <c r="X15" s="465"/>
      <c r="Y15" s="463"/>
    </row>
    <row r="16" spans="1:25" ht="16.75" customHeight="1" x14ac:dyDescent="0.35">
      <c r="A16" s="488" t="s">
        <v>84</v>
      </c>
      <c r="B16" s="473">
        <v>0</v>
      </c>
      <c r="C16" s="473">
        <v>0</v>
      </c>
      <c r="D16" s="473">
        <v>0</v>
      </c>
      <c r="E16" s="482"/>
      <c r="F16" s="481">
        <f>E16-G16</f>
        <v>0</v>
      </c>
      <c r="G16" s="487"/>
      <c r="H16" s="487">
        <v>0</v>
      </c>
      <c r="I16" s="487">
        <v>0</v>
      </c>
      <c r="J16" s="487">
        <f>E16+(H16-I16)</f>
        <v>0</v>
      </c>
      <c r="K16" s="487">
        <v>0</v>
      </c>
      <c r="L16" s="479" t="s">
        <v>272</v>
      </c>
      <c r="M16" s="478">
        <v>0</v>
      </c>
      <c r="N16" s="473">
        <v>200.98</v>
      </c>
      <c r="O16" s="486"/>
      <c r="P16" s="485">
        <v>59.26</v>
      </c>
      <c r="Q16" s="484">
        <f t="shared" si="2"/>
        <v>260.24</v>
      </c>
      <c r="R16" s="483">
        <v>82.18</v>
      </c>
      <c r="S16" s="474">
        <f t="shared" si="3"/>
        <v>0.31578542883492161</v>
      </c>
      <c r="T16" s="465">
        <v>0</v>
      </c>
      <c r="U16" s="465">
        <v>0</v>
      </c>
      <c r="V16" s="465">
        <v>0</v>
      </c>
      <c r="W16" s="465">
        <v>189</v>
      </c>
      <c r="X16" s="465"/>
      <c r="Y16" s="463"/>
    </row>
    <row r="17" spans="1:25" ht="16.75" customHeight="1" x14ac:dyDescent="0.35">
      <c r="A17" s="488" t="s">
        <v>85</v>
      </c>
      <c r="B17" s="473">
        <v>301598</v>
      </c>
      <c r="C17" s="473">
        <v>0</v>
      </c>
      <c r="D17" s="473">
        <v>3381866.1523000002</v>
      </c>
      <c r="E17" s="482">
        <f>16202560+231975</f>
        <v>16434535</v>
      </c>
      <c r="F17" s="481">
        <f>E17-G17</f>
        <v>16406568</v>
      </c>
      <c r="G17" s="487">
        <v>27967</v>
      </c>
      <c r="H17" s="487">
        <v>3385009</v>
      </c>
      <c r="I17" s="487">
        <v>276903</v>
      </c>
      <c r="J17" s="487">
        <f>E17+(H17-I17)</f>
        <v>19542641</v>
      </c>
      <c r="K17" s="487">
        <v>5198736</v>
      </c>
      <c r="L17" s="479">
        <f t="shared" ref="L17:L22" si="10">K17/(E17+H17)</f>
        <v>0.26230351212923969</v>
      </c>
      <c r="M17" s="478">
        <v>0</v>
      </c>
      <c r="N17" s="473">
        <v>601.47400000000005</v>
      </c>
      <c r="O17" s="486"/>
      <c r="P17" s="485">
        <v>1984.0059000000001</v>
      </c>
      <c r="Q17" s="484">
        <f t="shared" si="2"/>
        <v>2585.4799000000003</v>
      </c>
      <c r="R17" s="483">
        <v>3187.79</v>
      </c>
      <c r="S17" s="474">
        <f t="shared" si="3"/>
        <v>1.2329587246066001</v>
      </c>
      <c r="T17" s="465">
        <v>0</v>
      </c>
      <c r="U17" s="465">
        <v>0</v>
      </c>
      <c r="V17" s="465">
        <v>0</v>
      </c>
      <c r="W17" s="465">
        <v>0</v>
      </c>
      <c r="X17" s="465"/>
      <c r="Y17" s="463"/>
    </row>
    <row r="18" spans="1:25" ht="16.75" customHeight="1" x14ac:dyDescent="0.35">
      <c r="A18" s="519" t="s">
        <v>86</v>
      </c>
      <c r="B18" s="514">
        <v>0</v>
      </c>
      <c r="C18" s="514">
        <v>260145340</v>
      </c>
      <c r="D18" s="514">
        <v>26796553</v>
      </c>
      <c r="E18" s="518">
        <f t="shared" ref="E18:K18" si="11">E19</f>
        <v>51381412</v>
      </c>
      <c r="F18" s="517">
        <f t="shared" si="11"/>
        <v>51250400</v>
      </c>
      <c r="G18" s="508">
        <f t="shared" si="11"/>
        <v>131012</v>
      </c>
      <c r="H18" s="508">
        <f t="shared" si="11"/>
        <v>26381620.296544101</v>
      </c>
      <c r="I18" s="508">
        <f t="shared" si="11"/>
        <v>0</v>
      </c>
      <c r="J18" s="508">
        <f t="shared" si="11"/>
        <v>77763032.296544105</v>
      </c>
      <c r="K18" s="508">
        <f t="shared" si="11"/>
        <v>18753882.273509201</v>
      </c>
      <c r="L18" s="516">
        <f t="shared" si="10"/>
        <v>0.24116706511639785</v>
      </c>
      <c r="M18" s="515">
        <v>0</v>
      </c>
      <c r="N18" s="514">
        <v>575</v>
      </c>
      <c r="O18" s="513"/>
      <c r="P18" s="512">
        <v>5797</v>
      </c>
      <c r="Q18" s="512">
        <f t="shared" si="2"/>
        <v>6372</v>
      </c>
      <c r="R18" s="535">
        <v>7548</v>
      </c>
      <c r="S18" s="510">
        <f t="shared" si="3"/>
        <v>1.1845574387947269</v>
      </c>
      <c r="T18" s="508">
        <f>T19</f>
        <v>0.97524971767000002</v>
      </c>
      <c r="U18" s="508">
        <v>0</v>
      </c>
      <c r="V18" s="509"/>
      <c r="W18" s="508">
        <v>0</v>
      </c>
      <c r="X18" s="508"/>
      <c r="Y18" s="463"/>
    </row>
    <row r="19" spans="1:25" ht="16.75" customHeight="1" x14ac:dyDescent="0.35">
      <c r="A19" s="488" t="s">
        <v>87</v>
      </c>
      <c r="B19" s="473">
        <v>0</v>
      </c>
      <c r="C19" s="473">
        <v>260145340</v>
      </c>
      <c r="D19" s="473">
        <v>26796553.056400001</v>
      </c>
      <c r="E19" s="482">
        <f>51381412</f>
        <v>51381412</v>
      </c>
      <c r="F19" s="481">
        <f>E19-G19</f>
        <v>51250400</v>
      </c>
      <c r="G19" s="487">
        <v>131012</v>
      </c>
      <c r="H19" s="487">
        <v>26381620.296544101</v>
      </c>
      <c r="I19" s="487">
        <v>0</v>
      </c>
      <c r="J19" s="487">
        <f>E19+(H19-I19)</f>
        <v>77763032.296544105</v>
      </c>
      <c r="K19" s="487">
        <v>18753882.273509201</v>
      </c>
      <c r="L19" s="479">
        <f t="shared" si="10"/>
        <v>0.24116706511639785</v>
      </c>
      <c r="M19" s="478">
        <v>0</v>
      </c>
      <c r="N19" s="473">
        <v>575.1</v>
      </c>
      <c r="O19" s="486"/>
      <c r="P19" s="485">
        <v>5797.22</v>
      </c>
      <c r="Q19" s="484">
        <f t="shared" si="2"/>
        <v>6372.3200000000006</v>
      </c>
      <c r="R19" s="483">
        <v>7548.47</v>
      </c>
      <c r="S19" s="474">
        <f t="shared" si="3"/>
        <v>1.1845717101463831</v>
      </c>
      <c r="T19" s="549">
        <v>0.97524971767000002</v>
      </c>
      <c r="U19" s="465">
        <v>0</v>
      </c>
      <c r="V19" s="465">
        <v>0</v>
      </c>
      <c r="W19" s="465">
        <v>0</v>
      </c>
      <c r="X19" s="465"/>
      <c r="Y19" s="463"/>
    </row>
    <row r="20" spans="1:25" ht="16.75" customHeight="1" x14ac:dyDescent="0.35">
      <c r="A20" s="534" t="s">
        <v>88</v>
      </c>
      <c r="B20" s="529">
        <v>975655</v>
      </c>
      <c r="C20" s="529">
        <v>0</v>
      </c>
      <c r="D20" s="529">
        <v>35961406</v>
      </c>
      <c r="E20" s="533">
        <f t="shared" ref="E20:K20" si="12">E21+E24+E27+E29+E32</f>
        <v>60619639</v>
      </c>
      <c r="F20" s="532">
        <f t="shared" si="12"/>
        <v>60619639</v>
      </c>
      <c r="G20" s="523">
        <f t="shared" si="12"/>
        <v>0</v>
      </c>
      <c r="H20" s="523">
        <f t="shared" si="12"/>
        <v>12503535</v>
      </c>
      <c r="I20" s="523">
        <f t="shared" si="12"/>
        <v>0</v>
      </c>
      <c r="J20" s="523">
        <f t="shared" si="12"/>
        <v>73123174</v>
      </c>
      <c r="K20" s="523">
        <f t="shared" si="12"/>
        <v>17133298</v>
      </c>
      <c r="L20" s="531">
        <f t="shared" si="10"/>
        <v>0.23430736198622887</v>
      </c>
      <c r="M20" s="530">
        <f>M21+M24+M27+M29+M32</f>
        <v>72.05</v>
      </c>
      <c r="N20" s="547">
        <f>N21+N24+N27+N29+N32</f>
        <v>8928</v>
      </c>
      <c r="O20" s="548">
        <f>O21+O24+O27+O29+O32</f>
        <v>0</v>
      </c>
      <c r="P20" s="527">
        <f>P21+P24+P27+P29+P32</f>
        <v>22340</v>
      </c>
      <c r="Q20" s="527">
        <f t="shared" si="2"/>
        <v>31268</v>
      </c>
      <c r="R20" s="547">
        <f>R21+R24+R27+R29+R32</f>
        <v>9318</v>
      </c>
      <c r="S20" s="546">
        <f t="shared" si="3"/>
        <v>0.29800434949469107</v>
      </c>
      <c r="T20" s="523">
        <f>T21+T27</f>
        <v>1724</v>
      </c>
      <c r="U20" s="523">
        <f>U21+U27</f>
        <v>1272</v>
      </c>
      <c r="V20" s="545">
        <f>V21+V27</f>
        <v>6.9286E-2</v>
      </c>
      <c r="W20" s="523">
        <f>W21+W27</f>
        <v>668.94</v>
      </c>
      <c r="X20" s="523"/>
      <c r="Y20" s="522"/>
    </row>
    <row r="21" spans="1:25" ht="16.75" customHeight="1" x14ac:dyDescent="0.35">
      <c r="A21" s="519" t="s">
        <v>89</v>
      </c>
      <c r="B21" s="514">
        <v>414278</v>
      </c>
      <c r="C21" s="514">
        <v>0</v>
      </c>
      <c r="D21" s="514">
        <v>27075129</v>
      </c>
      <c r="E21" s="518">
        <f t="shared" ref="E21:K21" si="13">E22+E23</f>
        <v>41926062</v>
      </c>
      <c r="F21" s="517">
        <f t="shared" si="13"/>
        <v>41926062</v>
      </c>
      <c r="G21" s="508">
        <f t="shared" si="13"/>
        <v>0</v>
      </c>
      <c r="H21" s="508">
        <f t="shared" si="13"/>
        <v>0</v>
      </c>
      <c r="I21" s="508">
        <f t="shared" si="13"/>
        <v>0</v>
      </c>
      <c r="J21" s="508">
        <f t="shared" si="13"/>
        <v>41926062</v>
      </c>
      <c r="K21" s="508">
        <f t="shared" si="13"/>
        <v>0</v>
      </c>
      <c r="L21" s="516">
        <f t="shared" si="10"/>
        <v>0</v>
      </c>
      <c r="M21" s="515">
        <v>72</v>
      </c>
      <c r="N21" s="514">
        <v>4811</v>
      </c>
      <c r="O21" s="513"/>
      <c r="P21" s="512">
        <v>9752</v>
      </c>
      <c r="Q21" s="512">
        <f t="shared" si="2"/>
        <v>14563</v>
      </c>
      <c r="R21" s="535">
        <v>448</v>
      </c>
      <c r="S21" s="510">
        <f t="shared" si="3"/>
        <v>3.0762892261209915E-2</v>
      </c>
      <c r="T21" s="508">
        <v>0</v>
      </c>
      <c r="U21" s="508">
        <v>0</v>
      </c>
      <c r="V21" s="509"/>
      <c r="W21" s="508">
        <f>W23</f>
        <v>482.94</v>
      </c>
      <c r="X21" s="508"/>
      <c r="Y21" s="463"/>
    </row>
    <row r="22" spans="1:25" ht="16.75" customHeight="1" x14ac:dyDescent="0.35">
      <c r="A22" s="488" t="s">
        <v>90</v>
      </c>
      <c r="B22" s="473">
        <v>414278</v>
      </c>
      <c r="C22" s="473">
        <v>0</v>
      </c>
      <c r="D22" s="473">
        <v>27075129.158</v>
      </c>
      <c r="E22" s="482">
        <f>41926062</f>
        <v>41926062</v>
      </c>
      <c r="F22" s="481">
        <f>E22-G22</f>
        <v>41926062</v>
      </c>
      <c r="G22" s="487"/>
      <c r="H22" s="487">
        <v>0</v>
      </c>
      <c r="I22" s="487">
        <v>0</v>
      </c>
      <c r="J22" s="487">
        <f>E22+(H22-I22)</f>
        <v>41926062</v>
      </c>
      <c r="K22" s="487">
        <v>0</v>
      </c>
      <c r="L22" s="479">
        <f t="shared" si="10"/>
        <v>0</v>
      </c>
      <c r="M22" s="478">
        <v>72.328500000000005</v>
      </c>
      <c r="N22" s="473">
        <v>4289.54</v>
      </c>
      <c r="O22" s="486"/>
      <c r="P22" s="485">
        <v>3635.21</v>
      </c>
      <c r="Q22" s="484">
        <f t="shared" si="2"/>
        <v>7924.75</v>
      </c>
      <c r="R22" s="483">
        <v>336.77</v>
      </c>
      <c r="S22" s="474">
        <f t="shared" si="3"/>
        <v>4.2495977791097511E-2</v>
      </c>
      <c r="T22" s="465">
        <v>0</v>
      </c>
      <c r="U22" s="465">
        <v>0</v>
      </c>
      <c r="V22" s="465">
        <v>0</v>
      </c>
      <c r="W22" s="465">
        <v>0</v>
      </c>
      <c r="X22" s="465"/>
      <c r="Y22" s="463"/>
    </row>
    <row r="23" spans="1:25" ht="16.75" customHeight="1" x14ac:dyDescent="0.35">
      <c r="A23" s="488" t="s">
        <v>91</v>
      </c>
      <c r="B23" s="473">
        <v>0</v>
      </c>
      <c r="C23" s="473">
        <v>0</v>
      </c>
      <c r="D23" s="473">
        <v>0</v>
      </c>
      <c r="E23" s="482"/>
      <c r="F23" s="481">
        <v>0</v>
      </c>
      <c r="G23" s="487"/>
      <c r="H23" s="487">
        <v>0</v>
      </c>
      <c r="I23" s="487">
        <v>0</v>
      </c>
      <c r="J23" s="487">
        <v>0</v>
      </c>
      <c r="K23" s="487">
        <v>0</v>
      </c>
      <c r="L23" s="479" t="s">
        <v>272</v>
      </c>
      <c r="M23" s="478">
        <v>0</v>
      </c>
      <c r="N23" s="473">
        <v>521.32000000000005</v>
      </c>
      <c r="O23" s="486"/>
      <c r="P23" s="485">
        <v>6117</v>
      </c>
      <c r="Q23" s="484">
        <f t="shared" si="2"/>
        <v>6638.32</v>
      </c>
      <c r="R23" s="483">
        <v>111</v>
      </c>
      <c r="S23" s="474">
        <f t="shared" si="3"/>
        <v>1.672109810916015E-2</v>
      </c>
      <c r="T23" s="465">
        <v>0</v>
      </c>
      <c r="U23" s="465">
        <v>0</v>
      </c>
      <c r="V23" s="465">
        <v>0</v>
      </c>
      <c r="W23" s="473">
        <v>482.94</v>
      </c>
      <c r="X23" s="464"/>
      <c r="Y23" s="463"/>
    </row>
    <row r="24" spans="1:25" ht="16.5" customHeight="1" x14ac:dyDescent="0.35">
      <c r="A24" s="519" t="s">
        <v>92</v>
      </c>
      <c r="B24" s="514">
        <v>0</v>
      </c>
      <c r="C24" s="514">
        <v>0</v>
      </c>
      <c r="D24" s="514">
        <v>0</v>
      </c>
      <c r="E24" s="518">
        <f t="shared" ref="E24:K24" si="14">E25</f>
        <v>0</v>
      </c>
      <c r="F24" s="517">
        <f t="shared" si="14"/>
        <v>0</v>
      </c>
      <c r="G24" s="508">
        <f t="shared" si="14"/>
        <v>0</v>
      </c>
      <c r="H24" s="508">
        <f t="shared" si="14"/>
        <v>0</v>
      </c>
      <c r="I24" s="508">
        <f t="shared" si="14"/>
        <v>0</v>
      </c>
      <c r="J24" s="508">
        <f t="shared" si="14"/>
        <v>0</v>
      </c>
      <c r="K24" s="508">
        <f t="shared" si="14"/>
        <v>0</v>
      </c>
      <c r="L24" s="516" t="s">
        <v>272</v>
      </c>
      <c r="M24" s="515">
        <v>0</v>
      </c>
      <c r="N24" s="514">
        <v>178</v>
      </c>
      <c r="O24" s="513"/>
      <c r="P24" s="512">
        <v>962</v>
      </c>
      <c r="Q24" s="512">
        <f t="shared" si="2"/>
        <v>1140</v>
      </c>
      <c r="R24" s="535">
        <v>69</v>
      </c>
      <c r="S24" s="510">
        <f t="shared" si="3"/>
        <v>6.0526315789473685E-2</v>
      </c>
      <c r="T24" s="508">
        <v>0</v>
      </c>
      <c r="U24" s="508">
        <v>0</v>
      </c>
      <c r="V24" s="509"/>
      <c r="W24" s="508">
        <v>0</v>
      </c>
      <c r="X24" s="508"/>
      <c r="Y24" s="463"/>
    </row>
    <row r="25" spans="1:25" ht="16.75" customHeight="1" x14ac:dyDescent="0.35">
      <c r="A25" s="488" t="s">
        <v>93</v>
      </c>
      <c r="B25" s="473">
        <v>0</v>
      </c>
      <c r="C25" s="473">
        <v>0</v>
      </c>
      <c r="D25" s="473">
        <v>0</v>
      </c>
      <c r="E25" s="482"/>
      <c r="F25" s="481">
        <f>E25-G25</f>
        <v>0</v>
      </c>
      <c r="G25" s="487"/>
      <c r="H25" s="487">
        <v>0</v>
      </c>
      <c r="I25" s="487">
        <v>0</v>
      </c>
      <c r="J25" s="487">
        <f>E25+(H25-I25)</f>
        <v>0</v>
      </c>
      <c r="K25" s="487">
        <v>0</v>
      </c>
      <c r="L25" s="479" t="s">
        <v>272</v>
      </c>
      <c r="M25" s="478">
        <v>0</v>
      </c>
      <c r="N25" s="473">
        <v>177.58</v>
      </c>
      <c r="O25" s="486"/>
      <c r="P25" s="485">
        <v>962.18</v>
      </c>
      <c r="Q25" s="484">
        <f t="shared" si="2"/>
        <v>1139.76</v>
      </c>
      <c r="R25" s="483">
        <v>68.5</v>
      </c>
      <c r="S25" s="474">
        <f t="shared" si="3"/>
        <v>6.0100372008142063E-2</v>
      </c>
      <c r="T25" s="465">
        <v>0</v>
      </c>
      <c r="U25" s="465">
        <v>0</v>
      </c>
      <c r="V25" s="465">
        <v>0</v>
      </c>
      <c r="W25" s="465">
        <v>0</v>
      </c>
      <c r="X25" s="465"/>
      <c r="Y25" s="463"/>
    </row>
    <row r="26" spans="1:25" ht="15" hidden="1" customHeight="1" x14ac:dyDescent="0.35">
      <c r="A26" s="488" t="s">
        <v>94</v>
      </c>
      <c r="B26" s="473"/>
      <c r="C26" s="473"/>
      <c r="D26" s="473"/>
      <c r="E26" s="506"/>
      <c r="F26" s="481"/>
      <c r="G26" s="505"/>
      <c r="H26" s="505"/>
      <c r="I26" s="505"/>
      <c r="J26" s="473"/>
      <c r="K26" s="505"/>
      <c r="L26" s="479" t="s">
        <v>272</v>
      </c>
      <c r="M26" s="478"/>
      <c r="N26" s="473"/>
      <c r="O26" s="486"/>
      <c r="P26" s="485"/>
      <c r="Q26" s="539">
        <f t="shared" si="2"/>
        <v>0</v>
      </c>
      <c r="R26" s="544"/>
      <c r="S26" s="500"/>
      <c r="T26" s="499"/>
      <c r="U26" s="499"/>
      <c r="V26" s="499"/>
      <c r="W26" s="499"/>
      <c r="X26" s="499"/>
      <c r="Y26" s="498"/>
    </row>
    <row r="27" spans="1:25" ht="16.75" customHeight="1" x14ac:dyDescent="0.35">
      <c r="A27" s="519" t="s">
        <v>95</v>
      </c>
      <c r="B27" s="514">
        <v>559137</v>
      </c>
      <c r="C27" s="514">
        <v>0</v>
      </c>
      <c r="D27" s="514">
        <v>8886277</v>
      </c>
      <c r="E27" s="518">
        <f t="shared" ref="E27:K27" si="15">E28</f>
        <v>17133298</v>
      </c>
      <c r="F27" s="517">
        <f t="shared" si="15"/>
        <v>17133298</v>
      </c>
      <c r="G27" s="508">
        <f t="shared" si="15"/>
        <v>0</v>
      </c>
      <c r="H27" s="508">
        <f t="shared" si="15"/>
        <v>12503535</v>
      </c>
      <c r="I27" s="508">
        <f t="shared" si="15"/>
        <v>0</v>
      </c>
      <c r="J27" s="508">
        <f t="shared" si="15"/>
        <v>29636833</v>
      </c>
      <c r="K27" s="508">
        <f t="shared" si="15"/>
        <v>17133298</v>
      </c>
      <c r="L27" s="516">
        <f>K27/(E27+H27)</f>
        <v>0.57810826143265714</v>
      </c>
      <c r="M27" s="515">
        <v>0</v>
      </c>
      <c r="N27" s="514">
        <v>3801</v>
      </c>
      <c r="O27" s="513"/>
      <c r="P27" s="512">
        <v>10644</v>
      </c>
      <c r="Q27" s="512">
        <f t="shared" si="2"/>
        <v>14445</v>
      </c>
      <c r="R27" s="535">
        <v>5623</v>
      </c>
      <c r="S27" s="510">
        <f>R27/Q27</f>
        <v>0.38926964347525095</v>
      </c>
      <c r="T27" s="508">
        <v>1724</v>
      </c>
      <c r="U27" s="508">
        <v>1272</v>
      </c>
      <c r="V27" s="543">
        <f>V28</f>
        <v>6.9286E-2</v>
      </c>
      <c r="W27" s="508">
        <v>186</v>
      </c>
      <c r="X27" s="508"/>
      <c r="Y27" s="463"/>
    </row>
    <row r="28" spans="1:25" ht="16.75" customHeight="1" x14ac:dyDescent="0.35">
      <c r="A28" s="488" t="s">
        <v>96</v>
      </c>
      <c r="B28" s="473">
        <v>559137</v>
      </c>
      <c r="C28" s="473">
        <v>0</v>
      </c>
      <c r="D28" s="473">
        <v>8886276.9399999995</v>
      </c>
      <c r="E28" s="482">
        <v>17133298</v>
      </c>
      <c r="F28" s="481">
        <f>E28-G28</f>
        <v>17133298</v>
      </c>
      <c r="G28" s="487"/>
      <c r="H28" s="487">
        <v>12503535</v>
      </c>
      <c r="I28" s="487">
        <v>0</v>
      </c>
      <c r="J28" s="487">
        <f>E28+(H28-I28)</f>
        <v>29636833</v>
      </c>
      <c r="K28" s="487">
        <v>17133298</v>
      </c>
      <c r="L28" s="479">
        <f>K28/(E28+H28)</f>
        <v>0.57810826143265714</v>
      </c>
      <c r="M28" s="478">
        <v>0</v>
      </c>
      <c r="N28" s="473">
        <v>3801.2</v>
      </c>
      <c r="O28" s="486"/>
      <c r="P28" s="485">
        <v>10644.28</v>
      </c>
      <c r="Q28" s="484">
        <f t="shared" si="2"/>
        <v>14445.48</v>
      </c>
      <c r="R28" s="483">
        <v>5622.98</v>
      </c>
      <c r="S28" s="474">
        <f>R28/Q28</f>
        <v>0.38925532415676045</v>
      </c>
      <c r="T28" s="464">
        <v>1724.14</v>
      </c>
      <c r="U28" s="464">
        <v>1272.42</v>
      </c>
      <c r="V28" s="464">
        <v>6.9286E-2</v>
      </c>
      <c r="W28" s="473">
        <v>185.68592699999999</v>
      </c>
      <c r="X28" s="464"/>
      <c r="Y28" s="463"/>
    </row>
    <row r="29" spans="1:25" ht="16.75" customHeight="1" x14ac:dyDescent="0.35">
      <c r="A29" s="519" t="s">
        <v>97</v>
      </c>
      <c r="B29" s="514">
        <v>2240</v>
      </c>
      <c r="C29" s="514">
        <v>0</v>
      </c>
      <c r="D29" s="514">
        <v>0</v>
      </c>
      <c r="E29" s="518">
        <f t="shared" ref="E29:K29" si="16">E31</f>
        <v>0</v>
      </c>
      <c r="F29" s="517">
        <f t="shared" si="16"/>
        <v>0</v>
      </c>
      <c r="G29" s="508">
        <f t="shared" si="16"/>
        <v>0</v>
      </c>
      <c r="H29" s="508">
        <f t="shared" si="16"/>
        <v>0</v>
      </c>
      <c r="I29" s="508">
        <f t="shared" si="16"/>
        <v>0</v>
      </c>
      <c r="J29" s="508">
        <f t="shared" si="16"/>
        <v>0</v>
      </c>
      <c r="K29" s="508">
        <f t="shared" si="16"/>
        <v>0</v>
      </c>
      <c r="L29" s="516" t="s">
        <v>272</v>
      </c>
      <c r="M29" s="515">
        <v>0.05</v>
      </c>
      <c r="N29" s="514">
        <v>117</v>
      </c>
      <c r="O29" s="513"/>
      <c r="P29" s="512">
        <v>432</v>
      </c>
      <c r="Q29" s="512">
        <f t="shared" si="2"/>
        <v>549</v>
      </c>
      <c r="R29" s="535">
        <v>3178</v>
      </c>
      <c r="S29" s="510">
        <f>R29/Q29</f>
        <v>5.788706739526412</v>
      </c>
      <c r="T29" s="508">
        <v>0</v>
      </c>
      <c r="U29" s="508">
        <v>0</v>
      </c>
      <c r="V29" s="509"/>
      <c r="W29" s="508">
        <v>0</v>
      </c>
      <c r="X29" s="508">
        <v>0</v>
      </c>
      <c r="Y29" s="463"/>
    </row>
    <row r="30" spans="1:25" ht="15" hidden="1" customHeight="1" x14ac:dyDescent="0.35">
      <c r="A30" s="488" t="s">
        <v>273</v>
      </c>
      <c r="B30" s="489">
        <v>0</v>
      </c>
      <c r="C30" s="489">
        <v>0</v>
      </c>
      <c r="D30" s="489">
        <v>0</v>
      </c>
      <c r="E30" s="506"/>
      <c r="F30" s="481">
        <v>0</v>
      </c>
      <c r="G30" s="505"/>
      <c r="H30" s="505">
        <v>0</v>
      </c>
      <c r="I30" s="505"/>
      <c r="J30" s="473">
        <v>0</v>
      </c>
      <c r="K30" s="505">
        <v>0</v>
      </c>
      <c r="L30" s="479" t="s">
        <v>272</v>
      </c>
      <c r="M30" s="542">
        <v>0</v>
      </c>
      <c r="N30" s="541">
        <v>0</v>
      </c>
      <c r="O30" s="540"/>
      <c r="P30" s="485">
        <v>0</v>
      </c>
      <c r="Q30" s="539">
        <f t="shared" si="2"/>
        <v>0</v>
      </c>
      <c r="R30" s="483">
        <v>0</v>
      </c>
      <c r="S30" s="538"/>
      <c r="T30" s="537">
        <v>0</v>
      </c>
      <c r="U30" s="536">
        <v>0</v>
      </c>
      <c r="V30" s="499"/>
      <c r="W30" s="536">
        <v>0</v>
      </c>
      <c r="X30" s="536">
        <v>0</v>
      </c>
      <c r="Y30" s="498"/>
    </row>
    <row r="31" spans="1:25" ht="16.75" customHeight="1" x14ac:dyDescent="0.35">
      <c r="A31" s="488" t="s">
        <v>98</v>
      </c>
      <c r="B31" s="473">
        <v>2240</v>
      </c>
      <c r="C31" s="473">
        <v>0</v>
      </c>
      <c r="D31" s="473">
        <v>0</v>
      </c>
      <c r="E31" s="482"/>
      <c r="F31" s="481">
        <f>E31-G31</f>
        <v>0</v>
      </c>
      <c r="G31" s="487"/>
      <c r="H31" s="487">
        <v>0</v>
      </c>
      <c r="I31" s="487">
        <v>0</v>
      </c>
      <c r="J31" s="487">
        <f>E31+(H31-I31)</f>
        <v>0</v>
      </c>
      <c r="K31" s="487">
        <v>0</v>
      </c>
      <c r="L31" s="479" t="s">
        <v>272</v>
      </c>
      <c r="M31" s="478">
        <v>4.58E-2</v>
      </c>
      <c r="N31" s="473">
        <v>116.74408459999999</v>
      </c>
      <c r="O31" s="486"/>
      <c r="P31" s="485">
        <v>431.57569999999998</v>
      </c>
      <c r="Q31" s="484">
        <f t="shared" si="2"/>
        <v>548.31978459999993</v>
      </c>
      <c r="R31" s="483">
        <v>3177.6019999999999</v>
      </c>
      <c r="S31" s="474">
        <f t="shared" ref="S31:S36" si="17">R31/Q31</f>
        <v>5.7951620372736778</v>
      </c>
      <c r="T31" s="465">
        <v>0</v>
      </c>
      <c r="U31" s="465">
        <v>0</v>
      </c>
      <c r="V31" s="465">
        <v>0</v>
      </c>
      <c r="W31" s="465">
        <v>0</v>
      </c>
      <c r="X31" s="465">
        <v>0</v>
      </c>
      <c r="Y31" s="463"/>
    </row>
    <row r="32" spans="1:25" ht="16.75" customHeight="1" x14ac:dyDescent="0.35">
      <c r="A32" s="519" t="s">
        <v>99</v>
      </c>
      <c r="B32" s="514">
        <v>0</v>
      </c>
      <c r="C32" s="514">
        <v>0</v>
      </c>
      <c r="D32" s="514">
        <v>0</v>
      </c>
      <c r="E32" s="518">
        <f t="shared" ref="E32:K32" si="18">E33</f>
        <v>1560279</v>
      </c>
      <c r="F32" s="517">
        <f t="shared" si="18"/>
        <v>1560279</v>
      </c>
      <c r="G32" s="508">
        <f t="shared" si="18"/>
        <v>0</v>
      </c>
      <c r="H32" s="508">
        <f t="shared" si="18"/>
        <v>0</v>
      </c>
      <c r="I32" s="508">
        <f t="shared" si="18"/>
        <v>0</v>
      </c>
      <c r="J32" s="508">
        <f t="shared" si="18"/>
        <v>1560279</v>
      </c>
      <c r="K32" s="508">
        <f t="shared" si="18"/>
        <v>0</v>
      </c>
      <c r="L32" s="516">
        <f>K32/(E32+H32)</f>
        <v>0</v>
      </c>
      <c r="M32" s="515">
        <v>0</v>
      </c>
      <c r="N32" s="514">
        <v>21</v>
      </c>
      <c r="O32" s="513"/>
      <c r="P32" s="512">
        <v>550</v>
      </c>
      <c r="Q32" s="512">
        <f t="shared" si="2"/>
        <v>571</v>
      </c>
      <c r="R32" s="535">
        <v>0</v>
      </c>
      <c r="S32" s="510">
        <f t="shared" si="17"/>
        <v>0</v>
      </c>
      <c r="T32" s="508">
        <v>68</v>
      </c>
      <c r="U32" s="508">
        <v>0</v>
      </c>
      <c r="V32" s="509"/>
      <c r="W32" s="508">
        <v>0</v>
      </c>
      <c r="X32" s="508">
        <v>0</v>
      </c>
      <c r="Y32" s="463"/>
    </row>
    <row r="33" spans="1:25" ht="16.75" customHeight="1" x14ac:dyDescent="0.35">
      <c r="A33" s="488" t="s">
        <v>100</v>
      </c>
      <c r="B33" s="473">
        <v>0</v>
      </c>
      <c r="C33" s="473">
        <v>0</v>
      </c>
      <c r="D33" s="473">
        <v>0</v>
      </c>
      <c r="E33" s="482">
        <v>1560279</v>
      </c>
      <c r="F33" s="481">
        <f>E33-G33</f>
        <v>1560279</v>
      </c>
      <c r="G33" s="487"/>
      <c r="H33" s="487">
        <v>0</v>
      </c>
      <c r="I33" s="487">
        <v>0</v>
      </c>
      <c r="J33" s="487">
        <f>E33+(H33-I33)</f>
        <v>1560279</v>
      </c>
      <c r="K33" s="487">
        <v>0</v>
      </c>
      <c r="L33" s="479">
        <f>K33/(E33+H33)</f>
        <v>0</v>
      </c>
      <c r="M33" s="478">
        <v>0</v>
      </c>
      <c r="N33" s="473">
        <v>20.9</v>
      </c>
      <c r="O33" s="486"/>
      <c r="P33" s="485">
        <v>550</v>
      </c>
      <c r="Q33" s="484">
        <f t="shared" si="2"/>
        <v>570.9</v>
      </c>
      <c r="R33" s="483">
        <v>0</v>
      </c>
      <c r="S33" s="474">
        <f t="shared" si="17"/>
        <v>0</v>
      </c>
      <c r="T33" s="465">
        <v>68</v>
      </c>
      <c r="U33" s="465">
        <v>0</v>
      </c>
      <c r="V33" s="465">
        <v>0</v>
      </c>
      <c r="W33" s="465">
        <v>0</v>
      </c>
      <c r="X33" s="465">
        <v>0</v>
      </c>
      <c r="Y33" s="463"/>
    </row>
    <row r="34" spans="1:25" ht="16.75" customHeight="1" x14ac:dyDescent="0.35">
      <c r="A34" s="534" t="s">
        <v>103</v>
      </c>
      <c r="B34" s="529">
        <v>3187159</v>
      </c>
      <c r="C34" s="529">
        <v>35406714</v>
      </c>
      <c r="D34" s="529">
        <v>59452125</v>
      </c>
      <c r="E34" s="533">
        <f t="shared" ref="E34:K34" si="19">E35+E41</f>
        <v>220681920</v>
      </c>
      <c r="F34" s="532">
        <f t="shared" si="19"/>
        <v>203909069</v>
      </c>
      <c r="G34" s="523">
        <f t="shared" si="19"/>
        <v>16772851</v>
      </c>
      <c r="H34" s="523">
        <f t="shared" si="19"/>
        <v>30326141.2653553</v>
      </c>
      <c r="I34" s="523">
        <f t="shared" si="19"/>
        <v>2465975</v>
      </c>
      <c r="J34" s="523">
        <f t="shared" si="19"/>
        <v>248051695.26535529</v>
      </c>
      <c r="K34" s="523">
        <f t="shared" si="19"/>
        <v>44250378.663000003</v>
      </c>
      <c r="L34" s="531">
        <f>K34/(E34+H34)</f>
        <v>0.17629066747868444</v>
      </c>
      <c r="M34" s="530">
        <v>107</v>
      </c>
      <c r="N34" s="529">
        <v>27762</v>
      </c>
      <c r="O34" s="528"/>
      <c r="P34" s="527">
        <v>21960</v>
      </c>
      <c r="Q34" s="527">
        <f t="shared" si="2"/>
        <v>49722</v>
      </c>
      <c r="R34" s="526">
        <v>17895</v>
      </c>
      <c r="S34" s="525">
        <f t="shared" si="17"/>
        <v>0.35990104983709426</v>
      </c>
      <c r="T34" s="523">
        <v>337</v>
      </c>
      <c r="U34" s="523">
        <v>120</v>
      </c>
      <c r="V34" s="524"/>
      <c r="W34" s="523"/>
      <c r="X34" s="523">
        <v>74</v>
      </c>
      <c r="Y34" s="522"/>
    </row>
    <row r="35" spans="1:25" ht="16.75" customHeight="1" x14ac:dyDescent="0.35">
      <c r="A35" s="519" t="s">
        <v>104</v>
      </c>
      <c r="B35" s="514">
        <v>141045</v>
      </c>
      <c r="C35" s="514">
        <v>0</v>
      </c>
      <c r="D35" s="514">
        <v>1266009</v>
      </c>
      <c r="E35" s="518">
        <f t="shared" ref="E35:K35" si="20">E36</f>
        <v>1530006</v>
      </c>
      <c r="F35" s="517">
        <f t="shared" si="20"/>
        <v>1269085</v>
      </c>
      <c r="G35" s="508">
        <f t="shared" si="20"/>
        <v>260921</v>
      </c>
      <c r="H35" s="508">
        <f t="shared" si="20"/>
        <v>841714</v>
      </c>
      <c r="I35" s="508">
        <f t="shared" si="20"/>
        <v>392014</v>
      </c>
      <c r="J35" s="508">
        <f t="shared" si="20"/>
        <v>1979706</v>
      </c>
      <c r="K35" s="508">
        <f t="shared" si="20"/>
        <v>135757</v>
      </c>
      <c r="L35" s="516">
        <f>K35/(E35+H35)</f>
        <v>5.7239893410689288E-2</v>
      </c>
      <c r="M35" s="515">
        <v>0</v>
      </c>
      <c r="N35" s="514">
        <v>27140</v>
      </c>
      <c r="O35" s="513"/>
      <c r="P35" s="512">
        <v>2167</v>
      </c>
      <c r="Q35" s="512">
        <f t="shared" si="2"/>
        <v>29307</v>
      </c>
      <c r="R35" s="511">
        <v>49</v>
      </c>
      <c r="S35" s="510">
        <f t="shared" si="17"/>
        <v>1.6719555055106289E-3</v>
      </c>
      <c r="T35" s="508">
        <v>0</v>
      </c>
      <c r="U35" s="508">
        <v>0</v>
      </c>
      <c r="V35" s="509"/>
      <c r="W35" s="508">
        <v>0</v>
      </c>
      <c r="X35" s="508">
        <v>0</v>
      </c>
      <c r="Y35" s="463"/>
    </row>
    <row r="36" spans="1:25" ht="16.75" customHeight="1" x14ac:dyDescent="0.35">
      <c r="A36" s="488" t="s">
        <v>105</v>
      </c>
      <c r="B36" s="473">
        <v>141045</v>
      </c>
      <c r="C36" s="473">
        <v>0</v>
      </c>
      <c r="D36" s="473">
        <v>1266009</v>
      </c>
      <c r="E36" s="482">
        <f>1266210+263796</f>
        <v>1530006</v>
      </c>
      <c r="F36" s="481">
        <f>E36-G36</f>
        <v>1269085</v>
      </c>
      <c r="G36" s="487">
        <v>260921</v>
      </c>
      <c r="H36" s="487">
        <v>841714</v>
      </c>
      <c r="I36" s="487">
        <v>392014</v>
      </c>
      <c r="J36" s="487">
        <f>E36+(H36-I36)</f>
        <v>1979706</v>
      </c>
      <c r="K36" s="487">
        <v>135757</v>
      </c>
      <c r="L36" s="479">
        <f>K36/(E36+H36)</f>
        <v>5.7239893410689288E-2</v>
      </c>
      <c r="M36" s="478">
        <v>0</v>
      </c>
      <c r="N36" s="473">
        <v>27140.41</v>
      </c>
      <c r="O36" s="486"/>
      <c r="P36" s="485">
        <v>2167.1999999999998</v>
      </c>
      <c r="Q36" s="484">
        <f t="shared" ref="Q36:Q57" si="21">P36+N36</f>
        <v>29307.61</v>
      </c>
      <c r="R36" s="521">
        <v>49.09</v>
      </c>
      <c r="S36" s="474">
        <f t="shared" si="17"/>
        <v>1.6749915806850168E-3</v>
      </c>
      <c r="T36" s="465">
        <v>0</v>
      </c>
      <c r="U36" s="465">
        <v>0</v>
      </c>
      <c r="V36" s="465">
        <v>0</v>
      </c>
      <c r="W36" s="465">
        <v>0</v>
      </c>
      <c r="X36" s="465">
        <v>0</v>
      </c>
      <c r="Y36" s="463"/>
    </row>
    <row r="37" spans="1:25" ht="15" hidden="1" customHeight="1" x14ac:dyDescent="0.35">
      <c r="A37" s="488" t="s">
        <v>94</v>
      </c>
      <c r="B37" s="473">
        <v>0</v>
      </c>
      <c r="C37" s="473">
        <v>0</v>
      </c>
      <c r="D37" s="473">
        <v>0</v>
      </c>
      <c r="E37" s="506"/>
      <c r="F37" s="481">
        <v>0</v>
      </c>
      <c r="G37" s="505"/>
      <c r="H37" s="505">
        <v>0</v>
      </c>
      <c r="I37" s="505"/>
      <c r="J37" s="473">
        <v>0</v>
      </c>
      <c r="K37" s="505">
        <v>0</v>
      </c>
      <c r="L37" s="479" t="s">
        <v>272</v>
      </c>
      <c r="M37" s="478"/>
      <c r="N37" s="473"/>
      <c r="O37" s="486"/>
      <c r="P37" s="485"/>
      <c r="Q37" s="520">
        <f t="shared" si="21"/>
        <v>0</v>
      </c>
      <c r="R37" s="501"/>
      <c r="S37" s="500"/>
      <c r="T37" s="499"/>
      <c r="U37" s="499"/>
      <c r="V37" s="499"/>
      <c r="W37" s="499"/>
      <c r="X37" s="499"/>
      <c r="Y37" s="498"/>
    </row>
    <row r="38" spans="1:25" ht="15" hidden="1" customHeight="1" x14ac:dyDescent="0.35">
      <c r="A38" s="488" t="s">
        <v>283</v>
      </c>
      <c r="B38" s="473"/>
      <c r="C38" s="473"/>
      <c r="D38" s="473"/>
      <c r="E38" s="506"/>
      <c r="F38" s="481">
        <v>0</v>
      </c>
      <c r="G38" s="505"/>
      <c r="H38" s="505"/>
      <c r="I38" s="505"/>
      <c r="J38" s="473">
        <v>0</v>
      </c>
      <c r="K38" s="505"/>
      <c r="L38" s="479" t="s">
        <v>238</v>
      </c>
      <c r="M38" s="478"/>
      <c r="N38" s="473"/>
      <c r="O38" s="486"/>
      <c r="P38" s="485"/>
      <c r="Q38" s="520">
        <f t="shared" si="21"/>
        <v>0</v>
      </c>
      <c r="R38" s="501"/>
      <c r="S38" s="500"/>
      <c r="T38" s="499"/>
      <c r="U38" s="499"/>
      <c r="V38" s="499"/>
      <c r="W38" s="499"/>
      <c r="X38" s="499"/>
      <c r="Y38" s="498"/>
    </row>
    <row r="39" spans="1:25" ht="15" hidden="1" customHeight="1" x14ac:dyDescent="0.35">
      <c r="A39" s="488" t="s">
        <v>284</v>
      </c>
      <c r="B39" s="473"/>
      <c r="C39" s="473"/>
      <c r="D39" s="473"/>
      <c r="E39" s="506"/>
      <c r="F39" s="481">
        <v>0</v>
      </c>
      <c r="G39" s="505"/>
      <c r="H39" s="505"/>
      <c r="I39" s="505"/>
      <c r="J39" s="473">
        <v>0</v>
      </c>
      <c r="K39" s="505"/>
      <c r="L39" s="479" t="s">
        <v>238</v>
      </c>
      <c r="M39" s="478"/>
      <c r="N39" s="473"/>
      <c r="O39" s="486"/>
      <c r="P39" s="485"/>
      <c r="Q39" s="520">
        <f t="shared" si="21"/>
        <v>0</v>
      </c>
      <c r="R39" s="501"/>
      <c r="S39" s="500"/>
      <c r="T39" s="499"/>
      <c r="U39" s="499"/>
      <c r="V39" s="499"/>
      <c r="W39" s="499"/>
      <c r="X39" s="499"/>
      <c r="Y39" s="498"/>
    </row>
    <row r="40" spans="1:25" ht="15" hidden="1" customHeight="1" x14ac:dyDescent="0.35">
      <c r="A40" s="488" t="s">
        <v>285</v>
      </c>
      <c r="B40" s="473"/>
      <c r="C40" s="473"/>
      <c r="D40" s="473"/>
      <c r="E40" s="506"/>
      <c r="F40" s="481">
        <v>0</v>
      </c>
      <c r="G40" s="505"/>
      <c r="H40" s="505"/>
      <c r="I40" s="505"/>
      <c r="J40" s="473">
        <v>0</v>
      </c>
      <c r="K40" s="505"/>
      <c r="L40" s="479" t="s">
        <v>238</v>
      </c>
      <c r="M40" s="478"/>
      <c r="N40" s="473"/>
      <c r="O40" s="486"/>
      <c r="P40" s="485"/>
      <c r="Q40" s="520">
        <f t="shared" si="21"/>
        <v>0</v>
      </c>
      <c r="R40" s="501"/>
      <c r="S40" s="500"/>
      <c r="T40" s="499"/>
      <c r="U40" s="499"/>
      <c r="V40" s="499"/>
      <c r="W40" s="499"/>
      <c r="X40" s="499"/>
      <c r="Y40" s="498"/>
    </row>
    <row r="41" spans="1:25" ht="16.75" customHeight="1" x14ac:dyDescent="0.35">
      <c r="A41" s="519" t="s">
        <v>109</v>
      </c>
      <c r="B41" s="514">
        <v>3046114</v>
      </c>
      <c r="C41" s="514">
        <v>35406714</v>
      </c>
      <c r="D41" s="514">
        <v>58186116</v>
      </c>
      <c r="E41" s="518">
        <f t="shared" ref="E41:K41" si="22">E42+E51</f>
        <v>219151914</v>
      </c>
      <c r="F41" s="517">
        <f t="shared" si="22"/>
        <v>202639984</v>
      </c>
      <c r="G41" s="508">
        <f t="shared" si="22"/>
        <v>16511930</v>
      </c>
      <c r="H41" s="508">
        <f t="shared" si="22"/>
        <v>29484427.2653553</v>
      </c>
      <c r="I41" s="508">
        <f t="shared" si="22"/>
        <v>2073961</v>
      </c>
      <c r="J41" s="508">
        <f t="shared" si="22"/>
        <v>246071989.26535529</v>
      </c>
      <c r="K41" s="508">
        <f t="shared" si="22"/>
        <v>44114621.663000003</v>
      </c>
      <c r="L41" s="516">
        <f>K41/(E41+H41)</f>
        <v>0.177426282250184</v>
      </c>
      <c r="M41" s="515">
        <v>107</v>
      </c>
      <c r="N41" s="514">
        <v>622</v>
      </c>
      <c r="O41" s="513"/>
      <c r="P41" s="512">
        <v>19792</v>
      </c>
      <c r="Q41" s="512">
        <f t="shared" si="21"/>
        <v>20414</v>
      </c>
      <c r="R41" s="511">
        <v>17846</v>
      </c>
      <c r="S41" s="510">
        <f>R41/Q41</f>
        <v>0.87420397766238855</v>
      </c>
      <c r="T41" s="508">
        <v>337</v>
      </c>
      <c r="U41" s="508">
        <v>120</v>
      </c>
      <c r="V41" s="509"/>
      <c r="W41" s="508">
        <v>74</v>
      </c>
      <c r="X41" s="508">
        <v>74</v>
      </c>
      <c r="Y41" s="463"/>
    </row>
    <row r="42" spans="1:25" ht="16.75" customHeight="1" x14ac:dyDescent="0.35">
      <c r="A42" s="488" t="s">
        <v>110</v>
      </c>
      <c r="B42" s="473">
        <v>0</v>
      </c>
      <c r="C42" s="473">
        <v>0</v>
      </c>
      <c r="D42" s="473">
        <v>0</v>
      </c>
      <c r="E42" s="482"/>
      <c r="F42" s="481">
        <f>E42-G42</f>
        <v>0</v>
      </c>
      <c r="G42" s="487"/>
      <c r="H42" s="487">
        <v>490391</v>
      </c>
      <c r="I42" s="487">
        <f>H42</f>
        <v>490391</v>
      </c>
      <c r="J42" s="487">
        <f>-I42</f>
        <v>-490391</v>
      </c>
      <c r="K42" s="487">
        <v>0</v>
      </c>
      <c r="L42" s="479">
        <f>K42/(E42+H42)</f>
        <v>0</v>
      </c>
      <c r="M42" s="478">
        <v>0</v>
      </c>
      <c r="N42" s="477">
        <v>1.2</v>
      </c>
      <c r="O42" s="504"/>
      <c r="P42" s="503">
        <v>12</v>
      </c>
      <c r="Q42" s="507">
        <f t="shared" si="21"/>
        <v>13.2</v>
      </c>
      <c r="R42" s="467">
        <v>0</v>
      </c>
      <c r="S42" s="474">
        <f>R42/Q42</f>
        <v>0</v>
      </c>
      <c r="T42" s="465">
        <v>0</v>
      </c>
      <c r="U42" s="465">
        <v>0</v>
      </c>
      <c r="V42" s="465">
        <v>0</v>
      </c>
      <c r="W42" s="465">
        <v>0</v>
      </c>
      <c r="X42" s="465">
        <v>0</v>
      </c>
      <c r="Y42" s="463"/>
    </row>
    <row r="43" spans="1:25" ht="15" hidden="1" customHeight="1" x14ac:dyDescent="0.35">
      <c r="A43" s="488" t="s">
        <v>94</v>
      </c>
      <c r="B43" s="473">
        <v>0</v>
      </c>
      <c r="C43" s="473">
        <v>0</v>
      </c>
      <c r="D43" s="473">
        <v>0</v>
      </c>
      <c r="E43" s="506"/>
      <c r="F43" s="481">
        <v>0</v>
      </c>
      <c r="G43" s="505"/>
      <c r="H43" s="505">
        <v>0</v>
      </c>
      <c r="I43" s="505">
        <v>0</v>
      </c>
      <c r="J43" s="473">
        <v>0</v>
      </c>
      <c r="K43" s="505">
        <v>0</v>
      </c>
      <c r="L43" s="479" t="s">
        <v>238</v>
      </c>
      <c r="M43" s="478"/>
      <c r="N43" s="477">
        <v>0</v>
      </c>
      <c r="O43" s="504"/>
      <c r="P43" s="503">
        <v>51.75</v>
      </c>
      <c r="Q43" s="502">
        <f t="shared" si="21"/>
        <v>51.75</v>
      </c>
      <c r="R43" s="501"/>
      <c r="S43" s="500"/>
      <c r="T43" s="499"/>
      <c r="U43" s="499"/>
      <c r="V43" s="499"/>
      <c r="W43" s="499"/>
      <c r="X43" s="499"/>
      <c r="Y43" s="498"/>
    </row>
    <row r="44" spans="1:25" ht="15" hidden="1" customHeight="1" x14ac:dyDescent="0.35">
      <c r="A44" s="488" t="s">
        <v>292</v>
      </c>
      <c r="B44" s="473"/>
      <c r="C44" s="473"/>
      <c r="D44" s="473"/>
      <c r="E44" s="506"/>
      <c r="F44" s="481">
        <v>0</v>
      </c>
      <c r="G44" s="505"/>
      <c r="H44" s="505">
        <v>0</v>
      </c>
      <c r="I44" s="505">
        <v>0</v>
      </c>
      <c r="J44" s="473">
        <v>0</v>
      </c>
      <c r="K44" s="505">
        <v>0</v>
      </c>
      <c r="L44" s="479" t="s">
        <v>238</v>
      </c>
      <c r="M44" s="478"/>
      <c r="N44" s="477">
        <v>0</v>
      </c>
      <c r="O44" s="504"/>
      <c r="P44" s="503">
        <v>0</v>
      </c>
      <c r="Q44" s="502">
        <f t="shared" si="21"/>
        <v>0</v>
      </c>
      <c r="R44" s="501"/>
      <c r="S44" s="500"/>
      <c r="T44" s="499"/>
      <c r="U44" s="499"/>
      <c r="V44" s="499"/>
      <c r="W44" s="499"/>
      <c r="X44" s="499"/>
      <c r="Y44" s="498"/>
    </row>
    <row r="45" spans="1:25" ht="15" hidden="1" customHeight="1" x14ac:dyDescent="0.35">
      <c r="A45" s="488" t="s">
        <v>293</v>
      </c>
      <c r="B45" s="473"/>
      <c r="C45" s="473"/>
      <c r="D45" s="473"/>
      <c r="E45" s="506"/>
      <c r="F45" s="481">
        <v>0</v>
      </c>
      <c r="G45" s="505"/>
      <c r="H45" s="505">
        <v>0</v>
      </c>
      <c r="I45" s="505">
        <v>0</v>
      </c>
      <c r="J45" s="473">
        <v>0</v>
      </c>
      <c r="K45" s="505">
        <v>0</v>
      </c>
      <c r="L45" s="479" t="s">
        <v>238</v>
      </c>
      <c r="M45" s="478"/>
      <c r="N45" s="477">
        <v>0</v>
      </c>
      <c r="O45" s="504"/>
      <c r="P45" s="503">
        <v>0</v>
      </c>
      <c r="Q45" s="502">
        <f t="shared" si="21"/>
        <v>0</v>
      </c>
      <c r="R45" s="501"/>
      <c r="S45" s="500"/>
      <c r="T45" s="499"/>
      <c r="U45" s="499"/>
      <c r="V45" s="499"/>
      <c r="W45" s="499"/>
      <c r="X45" s="499"/>
      <c r="Y45" s="498"/>
    </row>
    <row r="46" spans="1:25" ht="15" hidden="1" customHeight="1" x14ac:dyDescent="0.35">
      <c r="A46" s="488" t="s">
        <v>294</v>
      </c>
      <c r="B46" s="473"/>
      <c r="C46" s="473"/>
      <c r="D46" s="473"/>
      <c r="E46" s="506"/>
      <c r="F46" s="481">
        <v>0</v>
      </c>
      <c r="G46" s="505"/>
      <c r="H46" s="505">
        <v>0</v>
      </c>
      <c r="I46" s="505">
        <v>0</v>
      </c>
      <c r="J46" s="473">
        <v>0</v>
      </c>
      <c r="K46" s="505">
        <v>0</v>
      </c>
      <c r="L46" s="479" t="s">
        <v>238</v>
      </c>
      <c r="M46" s="478"/>
      <c r="N46" s="477">
        <v>0</v>
      </c>
      <c r="O46" s="504"/>
      <c r="P46" s="503">
        <v>0</v>
      </c>
      <c r="Q46" s="502">
        <f t="shared" si="21"/>
        <v>0</v>
      </c>
      <c r="R46" s="501"/>
      <c r="S46" s="500"/>
      <c r="T46" s="499"/>
      <c r="U46" s="499"/>
      <c r="V46" s="499"/>
      <c r="W46" s="499"/>
      <c r="X46" s="499"/>
      <c r="Y46" s="498"/>
    </row>
    <row r="47" spans="1:25" ht="15" hidden="1" customHeight="1" x14ac:dyDescent="0.35">
      <c r="A47" s="488" t="s">
        <v>295</v>
      </c>
      <c r="B47" s="473"/>
      <c r="C47" s="473"/>
      <c r="D47" s="473"/>
      <c r="E47" s="506"/>
      <c r="F47" s="481">
        <v>0</v>
      </c>
      <c r="G47" s="505"/>
      <c r="H47" s="505">
        <v>0</v>
      </c>
      <c r="I47" s="505">
        <v>0</v>
      </c>
      <c r="J47" s="473">
        <v>0</v>
      </c>
      <c r="K47" s="505">
        <v>0</v>
      </c>
      <c r="L47" s="479" t="s">
        <v>238</v>
      </c>
      <c r="M47" s="478"/>
      <c r="N47" s="477">
        <v>0</v>
      </c>
      <c r="O47" s="504"/>
      <c r="P47" s="503">
        <v>0</v>
      </c>
      <c r="Q47" s="502">
        <f t="shared" si="21"/>
        <v>0</v>
      </c>
      <c r="R47" s="501"/>
      <c r="S47" s="500"/>
      <c r="T47" s="499"/>
      <c r="U47" s="499"/>
      <c r="V47" s="499"/>
      <c r="W47" s="499"/>
      <c r="X47" s="499"/>
      <c r="Y47" s="498"/>
    </row>
    <row r="48" spans="1:25" ht="15" hidden="1" customHeight="1" x14ac:dyDescent="0.35">
      <c r="A48" s="488" t="s">
        <v>296</v>
      </c>
      <c r="B48" s="473"/>
      <c r="C48" s="473"/>
      <c r="D48" s="473"/>
      <c r="E48" s="506"/>
      <c r="F48" s="481">
        <v>0</v>
      </c>
      <c r="G48" s="505"/>
      <c r="H48" s="505">
        <v>0</v>
      </c>
      <c r="I48" s="505">
        <v>0</v>
      </c>
      <c r="J48" s="473">
        <v>0</v>
      </c>
      <c r="K48" s="505">
        <v>0</v>
      </c>
      <c r="L48" s="479" t="s">
        <v>238</v>
      </c>
      <c r="M48" s="478"/>
      <c r="N48" s="477">
        <v>0</v>
      </c>
      <c r="O48" s="504"/>
      <c r="P48" s="503">
        <v>0</v>
      </c>
      <c r="Q48" s="502">
        <f t="shared" si="21"/>
        <v>0</v>
      </c>
      <c r="R48" s="501"/>
      <c r="S48" s="500"/>
      <c r="T48" s="499"/>
      <c r="U48" s="499"/>
      <c r="V48" s="499"/>
      <c r="W48" s="499"/>
      <c r="X48" s="499"/>
      <c r="Y48" s="498"/>
    </row>
    <row r="49" spans="1:25" ht="15" hidden="1" customHeight="1" x14ac:dyDescent="0.35">
      <c r="A49" s="488" t="s">
        <v>297</v>
      </c>
      <c r="B49" s="473"/>
      <c r="C49" s="473"/>
      <c r="D49" s="473"/>
      <c r="E49" s="506"/>
      <c r="F49" s="481">
        <v>0</v>
      </c>
      <c r="G49" s="505"/>
      <c r="H49" s="505">
        <v>0</v>
      </c>
      <c r="I49" s="505">
        <v>0</v>
      </c>
      <c r="J49" s="473">
        <v>0</v>
      </c>
      <c r="K49" s="505">
        <v>0</v>
      </c>
      <c r="L49" s="479" t="s">
        <v>238</v>
      </c>
      <c r="M49" s="478"/>
      <c r="N49" s="477">
        <v>0</v>
      </c>
      <c r="O49" s="504"/>
      <c r="P49" s="503">
        <v>0</v>
      </c>
      <c r="Q49" s="502">
        <f t="shared" si="21"/>
        <v>0</v>
      </c>
      <c r="R49" s="501"/>
      <c r="S49" s="500"/>
      <c r="T49" s="499"/>
      <c r="U49" s="499"/>
      <c r="V49" s="499"/>
      <c r="W49" s="499"/>
      <c r="X49" s="499"/>
      <c r="Y49" s="498"/>
    </row>
    <row r="50" spans="1:25" ht="15" hidden="1" customHeight="1" x14ac:dyDescent="0.35">
      <c r="A50" s="488" t="s">
        <v>298</v>
      </c>
      <c r="B50" s="473"/>
      <c r="C50" s="473"/>
      <c r="D50" s="473"/>
      <c r="E50" s="506"/>
      <c r="F50" s="481">
        <v>0</v>
      </c>
      <c r="G50" s="505"/>
      <c r="H50" s="505">
        <v>0</v>
      </c>
      <c r="I50" s="505">
        <v>0</v>
      </c>
      <c r="J50" s="473">
        <v>0</v>
      </c>
      <c r="K50" s="505">
        <v>0</v>
      </c>
      <c r="L50" s="479" t="s">
        <v>238</v>
      </c>
      <c r="M50" s="478"/>
      <c r="N50" s="477">
        <v>0</v>
      </c>
      <c r="O50" s="504"/>
      <c r="P50" s="503">
        <v>0</v>
      </c>
      <c r="Q50" s="502">
        <f t="shared" si="21"/>
        <v>0</v>
      </c>
      <c r="R50" s="501"/>
      <c r="S50" s="500"/>
      <c r="T50" s="499"/>
      <c r="U50" s="499"/>
      <c r="V50" s="499"/>
      <c r="W50" s="499"/>
      <c r="X50" s="499"/>
      <c r="Y50" s="498"/>
    </row>
    <row r="51" spans="1:25" ht="16.75" customHeight="1" x14ac:dyDescent="0.35">
      <c r="A51" s="497" t="s">
        <v>111</v>
      </c>
      <c r="B51" s="496">
        <v>3046114</v>
      </c>
      <c r="C51" s="496">
        <v>35406714</v>
      </c>
      <c r="D51" s="496">
        <v>58186116</v>
      </c>
      <c r="E51" s="495">
        <f t="shared" ref="E51:K51" si="23">SUM(E52:E57)</f>
        <v>219151914</v>
      </c>
      <c r="F51" s="494">
        <f t="shared" si="23"/>
        <v>202639984</v>
      </c>
      <c r="G51" s="490">
        <f t="shared" si="23"/>
        <v>16511930</v>
      </c>
      <c r="H51" s="490">
        <f t="shared" si="23"/>
        <v>28994036.2653553</v>
      </c>
      <c r="I51" s="490">
        <f t="shared" si="23"/>
        <v>1583570</v>
      </c>
      <c r="J51" s="490">
        <f t="shared" si="23"/>
        <v>246562380.26535529</v>
      </c>
      <c r="K51" s="490">
        <f t="shared" si="23"/>
        <v>44114621.663000003</v>
      </c>
      <c r="L51" s="493">
        <f>K51/(E51+H51)</f>
        <v>0.17777691562496167</v>
      </c>
      <c r="M51" s="490">
        <f>SUM(M52:M57)</f>
        <v>106.83500000000001</v>
      </c>
      <c r="N51" s="490">
        <f>SUM(N52:N57)</f>
        <v>620.35504000000003</v>
      </c>
      <c r="O51" s="490">
        <f>SUM(O52:O57)</f>
        <v>0</v>
      </c>
      <c r="P51" s="490">
        <f>SUM(P52:P57)</f>
        <v>19780.310449999997</v>
      </c>
      <c r="Q51" s="492">
        <f t="shared" si="21"/>
        <v>20400.665489999996</v>
      </c>
      <c r="R51" s="490">
        <f>SUM(R52:R57)</f>
        <v>17845.559999999998</v>
      </c>
      <c r="S51" s="491">
        <f t="shared" ref="S51:S57" si="24">R51/Q51</f>
        <v>0.87475381667071295</v>
      </c>
      <c r="T51" s="490">
        <v>337</v>
      </c>
      <c r="U51" s="490">
        <v>120</v>
      </c>
      <c r="V51" s="490">
        <v>0</v>
      </c>
      <c r="W51" s="490"/>
      <c r="X51" s="490">
        <v>74</v>
      </c>
      <c r="Y51" s="463"/>
    </row>
    <row r="52" spans="1:25" ht="16.75" customHeight="1" x14ac:dyDescent="0.35">
      <c r="A52" s="488" t="s">
        <v>299</v>
      </c>
      <c r="B52" s="473">
        <v>1655895</v>
      </c>
      <c r="C52" s="473">
        <v>0</v>
      </c>
      <c r="D52" s="473">
        <v>13132732</v>
      </c>
      <c r="E52" s="482">
        <f>103798652+1524232</f>
        <v>105322884</v>
      </c>
      <c r="F52" s="481">
        <f>E52-G52</f>
        <v>92966750</v>
      </c>
      <c r="G52" s="487">
        <v>12356134</v>
      </c>
      <c r="H52" s="487">
        <v>9934381</v>
      </c>
      <c r="I52" s="487">
        <v>1583570</v>
      </c>
      <c r="J52" s="487">
        <f>E52+(H52-I52)</f>
        <v>113673695</v>
      </c>
      <c r="K52" s="487">
        <v>12831909.09</v>
      </c>
      <c r="L52" s="479">
        <f>K52/(E52+H52)</f>
        <v>0.11133275711513717</v>
      </c>
      <c r="M52" s="478">
        <v>103.67</v>
      </c>
      <c r="N52" s="473">
        <v>476.36</v>
      </c>
      <c r="O52" s="486"/>
      <c r="P52" s="485">
        <v>19556.669999999998</v>
      </c>
      <c r="Q52" s="484">
        <f t="shared" si="21"/>
        <v>20033.03</v>
      </c>
      <c r="R52" s="483">
        <v>9604.85</v>
      </c>
      <c r="S52" s="474">
        <f t="shared" si="24"/>
        <v>0.47945068719010558</v>
      </c>
      <c r="T52" s="465">
        <v>0</v>
      </c>
      <c r="U52" s="465">
        <v>0</v>
      </c>
      <c r="V52" s="465">
        <v>0</v>
      </c>
      <c r="W52" s="465"/>
      <c r="X52" s="465">
        <v>0</v>
      </c>
      <c r="Y52" s="463"/>
    </row>
    <row r="53" spans="1:25" ht="16.75" customHeight="1" x14ac:dyDescent="0.35">
      <c r="A53" s="488" t="s">
        <v>301</v>
      </c>
      <c r="B53" s="473">
        <v>659092.71</v>
      </c>
      <c r="C53" s="473">
        <v>0</v>
      </c>
      <c r="D53" s="473">
        <v>24549226.670000002</v>
      </c>
      <c r="E53" s="482">
        <f>88021194+691843</f>
        <v>88713037</v>
      </c>
      <c r="F53" s="481">
        <f>E53-G53</f>
        <v>88713037</v>
      </c>
      <c r="G53" s="487"/>
      <c r="H53" s="487">
        <v>4071095.08</v>
      </c>
      <c r="I53" s="487">
        <v>0</v>
      </c>
      <c r="J53" s="487">
        <f>E53+(H53-I53)</f>
        <v>92784132.079999998</v>
      </c>
      <c r="K53" s="487">
        <v>0</v>
      </c>
      <c r="L53" s="479">
        <f>K53/(E53+H53)</f>
        <v>0</v>
      </c>
      <c r="M53" s="478">
        <v>0.88500000000000001</v>
      </c>
      <c r="N53" s="473">
        <v>102.37</v>
      </c>
      <c r="O53" s="486"/>
      <c r="P53" s="485">
        <v>28.87</v>
      </c>
      <c r="Q53" s="484">
        <f t="shared" si="21"/>
        <v>131.24</v>
      </c>
      <c r="R53" s="483">
        <v>2967.45</v>
      </c>
      <c r="S53" s="474">
        <f t="shared" si="24"/>
        <v>22.610865589759218</v>
      </c>
      <c r="T53" s="465">
        <v>0</v>
      </c>
      <c r="U53" s="465">
        <v>0</v>
      </c>
      <c r="V53" s="465">
        <v>0</v>
      </c>
      <c r="W53" s="465"/>
      <c r="X53" s="465">
        <v>0</v>
      </c>
      <c r="Y53" s="463"/>
    </row>
    <row r="54" spans="1:25" ht="15" hidden="1" customHeight="1" x14ac:dyDescent="0.35">
      <c r="A54" s="488" t="s">
        <v>333</v>
      </c>
      <c r="B54" s="489">
        <v>0</v>
      </c>
      <c r="C54" s="489">
        <v>0</v>
      </c>
      <c r="D54" s="489">
        <v>0</v>
      </c>
      <c r="E54" s="482"/>
      <c r="F54" s="481">
        <v>0</v>
      </c>
      <c r="G54" s="487"/>
      <c r="H54" s="487">
        <v>0</v>
      </c>
      <c r="I54" s="487">
        <v>0</v>
      </c>
      <c r="J54" s="487">
        <v>0</v>
      </c>
      <c r="K54" s="487">
        <v>0</v>
      </c>
      <c r="L54" s="479" t="s">
        <v>238</v>
      </c>
      <c r="M54" s="478">
        <v>0</v>
      </c>
      <c r="N54" s="473">
        <v>0</v>
      </c>
      <c r="O54" s="486"/>
      <c r="P54" s="485">
        <v>0</v>
      </c>
      <c r="Q54" s="484">
        <f t="shared" si="21"/>
        <v>0</v>
      </c>
      <c r="R54" s="483">
        <v>0</v>
      </c>
      <c r="S54" s="474" t="e">
        <f t="shared" si="24"/>
        <v>#DIV/0!</v>
      </c>
      <c r="T54" s="465">
        <v>0</v>
      </c>
      <c r="U54" s="465">
        <v>0</v>
      </c>
      <c r="V54" s="465">
        <v>0</v>
      </c>
      <c r="W54" s="465"/>
      <c r="X54" s="465">
        <v>0</v>
      </c>
      <c r="Y54" s="463"/>
    </row>
    <row r="55" spans="1:25" ht="16.75" customHeight="1" x14ac:dyDescent="0.35">
      <c r="A55" s="488" t="s">
        <v>304</v>
      </c>
      <c r="B55" s="473">
        <v>16116.14</v>
      </c>
      <c r="C55" s="473">
        <v>0</v>
      </c>
      <c r="D55" s="473">
        <v>0</v>
      </c>
      <c r="E55" s="482"/>
      <c r="F55" s="481">
        <f>E55-G55</f>
        <v>0</v>
      </c>
      <c r="G55" s="487"/>
      <c r="H55" s="487">
        <v>0</v>
      </c>
      <c r="I55" s="487">
        <v>0</v>
      </c>
      <c r="J55" s="487">
        <f>E55+(H55-I55)</f>
        <v>0</v>
      </c>
      <c r="K55" s="487">
        <v>0</v>
      </c>
      <c r="L55" s="479" t="s">
        <v>272</v>
      </c>
      <c r="M55" s="478">
        <v>0</v>
      </c>
      <c r="N55" s="473">
        <v>0</v>
      </c>
      <c r="O55" s="486"/>
      <c r="P55" s="485">
        <v>169.04</v>
      </c>
      <c r="Q55" s="484">
        <f t="shared" si="21"/>
        <v>169.04</v>
      </c>
      <c r="R55" s="483">
        <v>10.9</v>
      </c>
      <c r="S55" s="474">
        <f t="shared" si="24"/>
        <v>6.4481779460482724E-2</v>
      </c>
      <c r="T55" s="465">
        <v>0</v>
      </c>
      <c r="U55" s="465">
        <v>0</v>
      </c>
      <c r="V55" s="465">
        <v>0</v>
      </c>
      <c r="W55" s="465"/>
      <c r="X55" s="465">
        <v>0</v>
      </c>
      <c r="Y55" s="463"/>
    </row>
    <row r="56" spans="1:25" ht="16.75" customHeight="1" x14ac:dyDescent="0.35">
      <c r="A56" s="488" t="s">
        <v>305</v>
      </c>
      <c r="B56" s="473">
        <v>199993.56</v>
      </c>
      <c r="C56" s="473">
        <v>35406713.607853398</v>
      </c>
      <c r="D56" s="473">
        <v>16236744.602095</v>
      </c>
      <c r="E56" s="482">
        <f>23339527</f>
        <v>23339527</v>
      </c>
      <c r="F56" s="481">
        <f>E56-G56</f>
        <v>19183731</v>
      </c>
      <c r="G56" s="487">
        <v>4155796</v>
      </c>
      <c r="H56" s="487">
        <v>9931580.9859552998</v>
      </c>
      <c r="I56" s="487">
        <v>0</v>
      </c>
      <c r="J56" s="487">
        <f>E56+(H56-I56)</f>
        <v>33271107.985955298</v>
      </c>
      <c r="K56" s="487">
        <v>31282712.572999999</v>
      </c>
      <c r="L56" s="479">
        <f>K56/(E56+H56)</f>
        <v>0.94023657361231672</v>
      </c>
      <c r="M56" s="478">
        <v>0</v>
      </c>
      <c r="N56" s="473">
        <v>6.7650399999999999</v>
      </c>
      <c r="O56" s="486"/>
      <c r="P56" s="485">
        <v>12.070449999999999</v>
      </c>
      <c r="Q56" s="484">
        <f t="shared" si="21"/>
        <v>18.83549</v>
      </c>
      <c r="R56" s="483">
        <v>3752.19</v>
      </c>
      <c r="S56" s="474">
        <f t="shared" si="24"/>
        <v>199.20851541425256</v>
      </c>
      <c r="T56" s="464">
        <v>1.77</v>
      </c>
      <c r="U56" s="464">
        <v>0.02</v>
      </c>
      <c r="V56" s="465">
        <v>0</v>
      </c>
      <c r="W56" s="465"/>
      <c r="X56" s="465">
        <v>0</v>
      </c>
      <c r="Y56" s="463"/>
    </row>
    <row r="57" spans="1:25" ht="16.75" customHeight="1" x14ac:dyDescent="0.35">
      <c r="A57" s="472" t="s">
        <v>307</v>
      </c>
      <c r="B57" s="473">
        <v>515016.91</v>
      </c>
      <c r="C57" s="473">
        <v>0</v>
      </c>
      <c r="D57" s="473">
        <v>4267412.9867858496</v>
      </c>
      <c r="E57" s="482">
        <f>1483718+292748</f>
        <v>1776466</v>
      </c>
      <c r="F57" s="481">
        <f>E57-G57</f>
        <v>1776466</v>
      </c>
      <c r="G57" s="487"/>
      <c r="H57" s="487">
        <v>5056979.1994000003</v>
      </c>
      <c r="I57" s="487">
        <v>0</v>
      </c>
      <c r="J57" s="487">
        <f>E57+(H57-I57)</f>
        <v>6833445.1994000003</v>
      </c>
      <c r="K57" s="487">
        <v>0</v>
      </c>
      <c r="L57" s="479">
        <f>K57/(E57+H57)</f>
        <v>0</v>
      </c>
      <c r="M57" s="478">
        <v>2.2799999999999998</v>
      </c>
      <c r="N57" s="473">
        <v>34.86</v>
      </c>
      <c r="O57" s="486"/>
      <c r="P57" s="485">
        <v>13.66</v>
      </c>
      <c r="Q57" s="484">
        <f t="shared" si="21"/>
        <v>48.519999999999996</v>
      </c>
      <c r="R57" s="483">
        <v>1510.17</v>
      </c>
      <c r="S57" s="474">
        <f t="shared" si="24"/>
        <v>31.124690849134382</v>
      </c>
      <c r="T57" s="465">
        <v>0</v>
      </c>
      <c r="U57" s="465">
        <v>0</v>
      </c>
      <c r="V57" s="465">
        <v>0</v>
      </c>
      <c r="W57" s="465"/>
      <c r="X57" s="465">
        <v>0</v>
      </c>
      <c r="Y57" s="463"/>
    </row>
    <row r="58" spans="1:25" ht="16.75" customHeight="1" x14ac:dyDescent="0.35">
      <c r="A58" s="472" t="s">
        <v>309</v>
      </c>
      <c r="B58" s="465">
        <v>0</v>
      </c>
      <c r="C58" s="465">
        <v>0</v>
      </c>
      <c r="D58" s="465">
        <v>0</v>
      </c>
      <c r="E58" s="482"/>
      <c r="F58" s="481">
        <v>0</v>
      </c>
      <c r="G58" s="480"/>
      <c r="H58" s="480">
        <v>0</v>
      </c>
      <c r="I58" s="480">
        <v>0</v>
      </c>
      <c r="J58" s="480">
        <v>0</v>
      </c>
      <c r="K58" s="480">
        <v>0</v>
      </c>
      <c r="L58" s="479" t="s">
        <v>238</v>
      </c>
      <c r="M58" s="478">
        <v>0</v>
      </c>
      <c r="N58" s="477">
        <v>0</v>
      </c>
      <c r="O58" s="476"/>
      <c r="P58" s="475">
        <v>0</v>
      </c>
      <c r="Q58" s="475"/>
      <c r="R58" s="465">
        <v>0</v>
      </c>
      <c r="S58" s="474"/>
      <c r="T58" s="464">
        <v>309.19</v>
      </c>
      <c r="U58" s="464">
        <v>106.49</v>
      </c>
      <c r="V58" s="464">
        <v>3.6999999999999999E-4</v>
      </c>
      <c r="W58" s="464"/>
      <c r="X58" s="473">
        <v>66.211154100000002</v>
      </c>
      <c r="Y58" s="463"/>
    </row>
    <row r="59" spans="1:25" ht="16.75" customHeight="1" thickBot="1" x14ac:dyDescent="0.4">
      <c r="A59" s="472" t="s">
        <v>308</v>
      </c>
      <c r="B59" s="465">
        <v>0</v>
      </c>
      <c r="C59" s="465">
        <v>0</v>
      </c>
      <c r="D59" s="465">
        <v>0</v>
      </c>
      <c r="E59" s="471"/>
      <c r="F59" s="470">
        <v>0</v>
      </c>
      <c r="G59" s="469"/>
      <c r="H59" s="469">
        <v>0</v>
      </c>
      <c r="I59" s="469">
        <v>0</v>
      </c>
      <c r="J59" s="469">
        <v>0</v>
      </c>
      <c r="K59" s="469">
        <v>0</v>
      </c>
      <c r="L59" s="468" t="s">
        <v>238</v>
      </c>
      <c r="M59" s="467">
        <v>0</v>
      </c>
      <c r="N59" s="465">
        <v>0</v>
      </c>
      <c r="O59" s="466"/>
      <c r="P59" s="465">
        <v>0</v>
      </c>
      <c r="Q59" s="465"/>
      <c r="R59" s="465">
        <v>0</v>
      </c>
      <c r="S59" s="465"/>
      <c r="T59" s="464">
        <v>26.27</v>
      </c>
      <c r="U59" s="464">
        <v>13.54</v>
      </c>
      <c r="V59" s="465">
        <v>0</v>
      </c>
      <c r="W59" s="464"/>
      <c r="X59" s="464">
        <v>7.96</v>
      </c>
      <c r="Y59" s="463"/>
    </row>
    <row r="60" spans="1:25" ht="16.75" customHeight="1" x14ac:dyDescent="0.35">
      <c r="A60" s="462"/>
      <c r="B60" s="462"/>
      <c r="C60" s="462"/>
      <c r="D60" s="462"/>
      <c r="E60" s="462"/>
      <c r="F60" s="459"/>
      <c r="G60" s="459"/>
      <c r="H60" s="459"/>
      <c r="I60" s="459"/>
      <c r="J60" s="459"/>
      <c r="K60" s="459"/>
      <c r="L60" s="459"/>
      <c r="M60" s="462"/>
      <c r="N60" s="462"/>
      <c r="P60" s="462"/>
      <c r="Q60" s="462"/>
      <c r="R60" s="462"/>
      <c r="S60" s="462"/>
      <c r="T60" s="462"/>
      <c r="U60" s="462"/>
      <c r="V60" s="462"/>
      <c r="W60" s="462"/>
      <c r="X60" s="462"/>
    </row>
    <row r="61" spans="1:25" ht="16.75" customHeight="1" x14ac:dyDescent="0.25">
      <c r="E61"/>
      <c r="G61"/>
      <c r="H61"/>
      <c r="I61"/>
      <c r="K61"/>
    </row>
    <row r="62" spans="1:25" ht="16.75" customHeight="1" x14ac:dyDescent="0.25">
      <c r="E62"/>
      <c r="G62"/>
      <c r="H62"/>
      <c r="I62"/>
      <c r="K62"/>
    </row>
    <row r="63" spans="1:25" ht="15" hidden="1" customHeight="1" x14ac:dyDescent="0.35">
      <c r="E63"/>
      <c r="G63"/>
      <c r="H63"/>
      <c r="I63"/>
      <c r="J63" s="459" t="s">
        <v>451</v>
      </c>
      <c r="K63" s="461">
        <v>1378571.54</v>
      </c>
    </row>
    <row r="64" spans="1:25" ht="15" hidden="1" customHeight="1" x14ac:dyDescent="0.35">
      <c r="E64"/>
      <c r="G64"/>
      <c r="H64"/>
      <c r="I64"/>
      <c r="J64" s="459" t="s">
        <v>452</v>
      </c>
      <c r="K64" s="461">
        <v>5016731.6100000003</v>
      </c>
    </row>
    <row r="65" spans="5:11" ht="15" hidden="1" customHeight="1" x14ac:dyDescent="0.35">
      <c r="E65"/>
      <c r="G65"/>
      <c r="H65"/>
      <c r="I65"/>
      <c r="J65" s="459" t="s">
        <v>301</v>
      </c>
      <c r="K65" s="458">
        <v>0</v>
      </c>
    </row>
    <row r="66" spans="5:11" ht="15" hidden="1" customHeight="1" x14ac:dyDescent="0.35">
      <c r="E66"/>
      <c r="G66"/>
      <c r="H66"/>
      <c r="I66"/>
      <c r="J66" s="459" t="s">
        <v>453</v>
      </c>
      <c r="K66" s="458">
        <v>0</v>
      </c>
    </row>
    <row r="67" spans="5:11" ht="15" hidden="1" customHeight="1" x14ac:dyDescent="0.35">
      <c r="E67"/>
      <c r="G67"/>
      <c r="H67"/>
      <c r="I67"/>
      <c r="J67" s="459" t="s">
        <v>454</v>
      </c>
      <c r="K67" s="460">
        <v>13407684</v>
      </c>
    </row>
    <row r="68" spans="5:11" ht="15" hidden="1" customHeight="1" x14ac:dyDescent="0.35">
      <c r="E68"/>
      <c r="G68"/>
      <c r="H68"/>
      <c r="I68"/>
      <c r="J68" s="459" t="s">
        <v>304</v>
      </c>
      <c r="K68" s="458">
        <v>0</v>
      </c>
    </row>
    <row r="69" spans="5:11" x14ac:dyDescent="0.25">
      <c r="E69"/>
      <c r="G69"/>
      <c r="H69"/>
      <c r="I69"/>
      <c r="K69"/>
    </row>
    <row r="70" spans="5:11" x14ac:dyDescent="0.25">
      <c r="E70"/>
      <c r="G70"/>
      <c r="H70"/>
      <c r="I70"/>
      <c r="K70"/>
    </row>
    <row r="71" spans="5:11" x14ac:dyDescent="0.25">
      <c r="E71"/>
      <c r="G71"/>
      <c r="H71"/>
      <c r="I71"/>
      <c r="K71"/>
    </row>
    <row r="72" spans="5:11" x14ac:dyDescent="0.25">
      <c r="E72"/>
      <c r="G72"/>
      <c r="H72"/>
      <c r="I72"/>
      <c r="K72"/>
    </row>
    <row r="73" spans="5:11" x14ac:dyDescent="0.25">
      <c r="E73"/>
      <c r="G73"/>
      <c r="H73"/>
      <c r="I73"/>
      <c r="K73"/>
    </row>
    <row r="74" spans="5:11" x14ac:dyDescent="0.25">
      <c r="E74"/>
      <c r="G74"/>
      <c r="H74"/>
      <c r="I74"/>
      <c r="K74"/>
    </row>
    <row r="75" spans="5:11" x14ac:dyDescent="0.25">
      <c r="E75"/>
      <c r="G75"/>
      <c r="H75"/>
      <c r="I75"/>
      <c r="K75"/>
    </row>
    <row r="76" spans="5:11" x14ac:dyDescent="0.25">
      <c r="E76"/>
      <c r="G76"/>
      <c r="H76"/>
      <c r="I76"/>
      <c r="K76"/>
    </row>
    <row r="77" spans="5:11" x14ac:dyDescent="0.25">
      <c r="E77"/>
      <c r="G77"/>
      <c r="H77"/>
      <c r="I77"/>
      <c r="K77"/>
    </row>
    <row r="78" spans="5:11" x14ac:dyDescent="0.25">
      <c r="E78"/>
      <c r="G78"/>
      <c r="H78"/>
      <c r="I78"/>
      <c r="K78"/>
    </row>
    <row r="79" spans="5:11" x14ac:dyDescent="0.25">
      <c r="E79"/>
      <c r="G79"/>
      <c r="H79"/>
      <c r="I79"/>
      <c r="K79"/>
    </row>
    <row r="80" spans="5:11" x14ac:dyDescent="0.25">
      <c r="E80"/>
      <c r="G80"/>
      <c r="H80"/>
      <c r="I80"/>
      <c r="K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sheetData>
  <mergeCells count="4">
    <mergeCell ref="B1:D1"/>
    <mergeCell ref="F1:L1"/>
    <mergeCell ref="N1:R1"/>
    <mergeCell ref="T1:X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C04B5-43E4-4B11-96B0-BF77A1E40A2A}">
  <dimension ref="A1:AD36"/>
  <sheetViews>
    <sheetView zoomScale="70" zoomScaleNormal="70" workbookViewId="0">
      <pane xSplit="8" ySplit="4" topLeftCell="I5" activePane="bottomRight" state="frozen"/>
      <selection pane="topRight" activeCell="I1" sqref="I1"/>
      <selection pane="bottomLeft" activeCell="A5" sqref="A5"/>
      <selection pane="bottomRight" activeCell="AI10" sqref="AI10"/>
    </sheetView>
  </sheetViews>
  <sheetFormatPr defaultColWidth="8.7265625" defaultRowHeight="14.5" x14ac:dyDescent="0.35"/>
  <cols>
    <col min="1" max="1" width="26.26953125" style="434" customWidth="1"/>
    <col min="2" max="25" width="8.7265625" style="434"/>
    <col min="26" max="26" width="13.1796875" style="434" customWidth="1"/>
    <col min="27" max="27" width="11.1796875" style="434" customWidth="1"/>
    <col min="28" max="28" width="12.54296875" style="434" customWidth="1"/>
    <col min="29" max="29" width="11.7265625" style="434" customWidth="1"/>
    <col min="30" max="30" width="14.453125" style="434" customWidth="1"/>
    <col min="31" max="16384" width="8.7265625" style="434"/>
  </cols>
  <sheetData>
    <row r="1" spans="1:30" ht="15" thickBot="1" x14ac:dyDescent="0.4">
      <c r="B1" s="693" t="s">
        <v>455</v>
      </c>
      <c r="C1" s="694"/>
      <c r="D1" s="694"/>
      <c r="E1" s="694"/>
      <c r="F1" s="694"/>
      <c r="G1" s="694"/>
      <c r="H1" s="694"/>
      <c r="I1" s="694"/>
      <c r="J1" s="694"/>
      <c r="K1" s="694"/>
      <c r="L1" s="694"/>
      <c r="M1" s="694"/>
      <c r="N1" s="694"/>
      <c r="O1" s="694"/>
      <c r="P1" s="694"/>
      <c r="Q1" s="694"/>
      <c r="R1" s="694"/>
      <c r="S1" s="694"/>
      <c r="T1" s="694"/>
      <c r="U1" s="694"/>
      <c r="V1" s="694"/>
      <c r="W1" s="694"/>
      <c r="X1" s="694"/>
      <c r="Y1" s="695"/>
      <c r="Z1" s="696" t="s">
        <v>456</v>
      </c>
      <c r="AA1" s="697"/>
      <c r="AB1" s="697"/>
      <c r="AC1" s="697"/>
      <c r="AD1" s="697"/>
    </row>
    <row r="2" spans="1:30" ht="101.5" thickBot="1" x14ac:dyDescent="0.4">
      <c r="A2" s="456"/>
      <c r="B2" s="455" t="s">
        <v>457</v>
      </c>
      <c r="C2" s="455" t="s">
        <v>458</v>
      </c>
      <c r="D2" s="455" t="s">
        <v>459</v>
      </c>
      <c r="E2" s="455" t="s">
        <v>460</v>
      </c>
      <c r="F2" s="455" t="s">
        <v>461</v>
      </c>
      <c r="G2" s="455" t="s">
        <v>462</v>
      </c>
      <c r="H2" s="454" t="s">
        <v>463</v>
      </c>
      <c r="I2" s="455" t="s">
        <v>464</v>
      </c>
      <c r="J2" s="455" t="s">
        <v>465</v>
      </c>
      <c r="K2" s="454" t="s">
        <v>466</v>
      </c>
      <c r="L2" s="455" t="s">
        <v>467</v>
      </c>
      <c r="M2" s="455" t="s">
        <v>468</v>
      </c>
      <c r="N2" s="454" t="s">
        <v>469</v>
      </c>
      <c r="O2" s="454" t="s">
        <v>470</v>
      </c>
      <c r="P2" s="455" t="s">
        <v>471</v>
      </c>
      <c r="Q2" s="455" t="s">
        <v>472</v>
      </c>
      <c r="R2" s="454" t="s">
        <v>473</v>
      </c>
      <c r="S2" s="454" t="s">
        <v>373</v>
      </c>
      <c r="T2" s="455" t="s">
        <v>474</v>
      </c>
      <c r="U2" s="455" t="s">
        <v>475</v>
      </c>
      <c r="V2" s="454" t="s">
        <v>476</v>
      </c>
      <c r="W2" s="455" t="s">
        <v>477</v>
      </c>
      <c r="X2" s="455" t="s">
        <v>478</v>
      </c>
      <c r="Y2" s="454" t="s">
        <v>24</v>
      </c>
      <c r="Z2" s="453" t="s">
        <v>479</v>
      </c>
      <c r="AA2" s="453" t="s">
        <v>480</v>
      </c>
      <c r="AB2" s="452" t="s">
        <v>481</v>
      </c>
      <c r="AC2" s="452" t="s">
        <v>482</v>
      </c>
      <c r="AD2" s="452" t="s">
        <v>483</v>
      </c>
    </row>
    <row r="3" spans="1:30" x14ac:dyDescent="0.35">
      <c r="A3" s="451" t="s">
        <v>72</v>
      </c>
      <c r="B3" s="449">
        <f t="shared" ref="B3:B36" si="0">SUM(C3:Y3)</f>
        <v>508</v>
      </c>
      <c r="C3" s="449">
        <f t="shared" ref="C3:AB3" si="1">C4+C19+C31</f>
        <v>0</v>
      </c>
      <c r="D3" s="449">
        <f t="shared" si="1"/>
        <v>4</v>
      </c>
      <c r="E3" s="449">
        <f t="shared" si="1"/>
        <v>179</v>
      </c>
      <c r="F3" s="449">
        <f t="shared" si="1"/>
        <v>19</v>
      </c>
      <c r="G3" s="449">
        <f t="shared" si="1"/>
        <v>2</v>
      </c>
      <c r="H3" s="449">
        <f t="shared" si="1"/>
        <v>2</v>
      </c>
      <c r="I3" s="449">
        <f t="shared" si="1"/>
        <v>32</v>
      </c>
      <c r="J3" s="449">
        <f t="shared" si="1"/>
        <v>6</v>
      </c>
      <c r="K3" s="449">
        <f t="shared" si="1"/>
        <v>10</v>
      </c>
      <c r="L3" s="449">
        <f t="shared" si="1"/>
        <v>1</v>
      </c>
      <c r="M3" s="449">
        <f t="shared" si="1"/>
        <v>3</v>
      </c>
      <c r="N3" s="449">
        <f t="shared" si="1"/>
        <v>51</v>
      </c>
      <c r="O3" s="449">
        <f t="shared" si="1"/>
        <v>108</v>
      </c>
      <c r="P3" s="449">
        <f t="shared" si="1"/>
        <v>1</v>
      </c>
      <c r="Q3" s="449">
        <f t="shared" si="1"/>
        <v>3</v>
      </c>
      <c r="R3" s="449">
        <f t="shared" si="1"/>
        <v>14</v>
      </c>
      <c r="S3" s="449">
        <f t="shared" si="1"/>
        <v>2</v>
      </c>
      <c r="T3" s="449">
        <f t="shared" si="1"/>
        <v>15</v>
      </c>
      <c r="U3" s="449">
        <f t="shared" si="1"/>
        <v>15</v>
      </c>
      <c r="V3" s="449">
        <f t="shared" si="1"/>
        <v>0</v>
      </c>
      <c r="W3" s="449">
        <f t="shared" si="1"/>
        <v>2</v>
      </c>
      <c r="X3" s="449">
        <f t="shared" si="1"/>
        <v>3</v>
      </c>
      <c r="Y3" s="449">
        <f t="shared" si="1"/>
        <v>36</v>
      </c>
      <c r="Z3" s="449">
        <f t="shared" si="1"/>
        <v>34</v>
      </c>
      <c r="AA3" s="449">
        <f t="shared" si="1"/>
        <v>460</v>
      </c>
      <c r="AB3" s="449">
        <f t="shared" si="1"/>
        <v>205</v>
      </c>
      <c r="AC3" s="450">
        <f>AB3/B3</f>
        <v>0.40354330708661418</v>
      </c>
      <c r="AD3" s="449">
        <f>AD4+AD19+AD31</f>
        <v>82</v>
      </c>
    </row>
    <row r="4" spans="1:30" x14ac:dyDescent="0.35">
      <c r="A4" s="447" t="s">
        <v>73</v>
      </c>
      <c r="B4" s="445">
        <f t="shared" si="0"/>
        <v>287</v>
      </c>
      <c r="C4" s="445">
        <f t="shared" ref="C4:AB4" si="2">C5+C7+C9+C11+C13+C17</f>
        <v>0</v>
      </c>
      <c r="D4" s="445">
        <f t="shared" si="2"/>
        <v>0</v>
      </c>
      <c r="E4" s="445">
        <f t="shared" si="2"/>
        <v>178</v>
      </c>
      <c r="F4" s="445">
        <f t="shared" si="2"/>
        <v>17</v>
      </c>
      <c r="G4" s="445">
        <f t="shared" si="2"/>
        <v>2</v>
      </c>
      <c r="H4" s="445">
        <f t="shared" si="2"/>
        <v>1</v>
      </c>
      <c r="I4" s="445">
        <f t="shared" si="2"/>
        <v>18</v>
      </c>
      <c r="J4" s="445">
        <f t="shared" si="2"/>
        <v>5</v>
      </c>
      <c r="K4" s="445">
        <f t="shared" si="2"/>
        <v>4</v>
      </c>
      <c r="L4" s="445">
        <f t="shared" si="2"/>
        <v>0</v>
      </c>
      <c r="M4" s="445">
        <f t="shared" si="2"/>
        <v>0</v>
      </c>
      <c r="N4" s="445">
        <f t="shared" si="2"/>
        <v>14</v>
      </c>
      <c r="O4" s="445">
        <f t="shared" si="2"/>
        <v>12</v>
      </c>
      <c r="P4" s="445">
        <f t="shared" si="2"/>
        <v>0</v>
      </c>
      <c r="Q4" s="445">
        <f t="shared" si="2"/>
        <v>2</v>
      </c>
      <c r="R4" s="445">
        <f t="shared" si="2"/>
        <v>2</v>
      </c>
      <c r="S4" s="445">
        <f t="shared" si="2"/>
        <v>0</v>
      </c>
      <c r="T4" s="445">
        <f t="shared" si="2"/>
        <v>7</v>
      </c>
      <c r="U4" s="445">
        <f t="shared" si="2"/>
        <v>2</v>
      </c>
      <c r="V4" s="445">
        <f t="shared" si="2"/>
        <v>0</v>
      </c>
      <c r="W4" s="445">
        <f t="shared" si="2"/>
        <v>0</v>
      </c>
      <c r="X4" s="445">
        <f t="shared" si="2"/>
        <v>3</v>
      </c>
      <c r="Y4" s="445">
        <f t="shared" si="2"/>
        <v>20</v>
      </c>
      <c r="Z4" s="445">
        <f t="shared" si="2"/>
        <v>29</v>
      </c>
      <c r="AA4" s="445">
        <f t="shared" si="2"/>
        <v>293</v>
      </c>
      <c r="AB4" s="445">
        <f t="shared" si="2"/>
        <v>96</v>
      </c>
      <c r="AC4" s="446">
        <f>AB4/B4</f>
        <v>0.33449477351916379</v>
      </c>
      <c r="AD4" s="445">
        <f>AD5+AD7+AD9+AD11+AD13+AD17</f>
        <v>23</v>
      </c>
    </row>
    <row r="5" spans="1:30" x14ac:dyDescent="0.35">
      <c r="A5" s="444" t="s">
        <v>74</v>
      </c>
      <c r="B5" s="442">
        <f t="shared" si="0"/>
        <v>8</v>
      </c>
      <c r="C5" s="442">
        <f t="shared" ref="C5:AD5" si="3">C6</f>
        <v>0</v>
      </c>
      <c r="D5" s="442">
        <f t="shared" si="3"/>
        <v>0</v>
      </c>
      <c r="E5" s="442">
        <f t="shared" si="3"/>
        <v>0</v>
      </c>
      <c r="F5" s="442">
        <f t="shared" si="3"/>
        <v>7</v>
      </c>
      <c r="G5" s="442">
        <f t="shared" si="3"/>
        <v>0</v>
      </c>
      <c r="H5" s="442">
        <f t="shared" si="3"/>
        <v>0</v>
      </c>
      <c r="I5" s="442">
        <f t="shared" si="3"/>
        <v>0</v>
      </c>
      <c r="J5" s="442">
        <f t="shared" si="3"/>
        <v>0</v>
      </c>
      <c r="K5" s="442">
        <f t="shared" si="3"/>
        <v>0</v>
      </c>
      <c r="L5" s="442">
        <f t="shared" si="3"/>
        <v>0</v>
      </c>
      <c r="M5" s="442">
        <f t="shared" si="3"/>
        <v>0</v>
      </c>
      <c r="N5" s="442">
        <f t="shared" si="3"/>
        <v>0</v>
      </c>
      <c r="O5" s="442">
        <f t="shared" si="3"/>
        <v>0</v>
      </c>
      <c r="P5" s="442">
        <f t="shared" si="3"/>
        <v>0</v>
      </c>
      <c r="Q5" s="442">
        <f t="shared" si="3"/>
        <v>0</v>
      </c>
      <c r="R5" s="442">
        <f t="shared" si="3"/>
        <v>0</v>
      </c>
      <c r="S5" s="442">
        <f t="shared" si="3"/>
        <v>0</v>
      </c>
      <c r="T5" s="442">
        <f t="shared" si="3"/>
        <v>0</v>
      </c>
      <c r="U5" s="442">
        <f t="shared" si="3"/>
        <v>0</v>
      </c>
      <c r="V5" s="442">
        <f t="shared" si="3"/>
        <v>0</v>
      </c>
      <c r="W5" s="442">
        <f t="shared" si="3"/>
        <v>0</v>
      </c>
      <c r="X5" s="442">
        <f t="shared" si="3"/>
        <v>1</v>
      </c>
      <c r="Y5" s="442">
        <f t="shared" si="3"/>
        <v>0</v>
      </c>
      <c r="Z5" s="442">
        <f t="shared" si="3"/>
        <v>1</v>
      </c>
      <c r="AA5" s="442">
        <f t="shared" si="3"/>
        <v>9</v>
      </c>
      <c r="AB5" s="442">
        <f t="shared" si="3"/>
        <v>7</v>
      </c>
      <c r="AC5" s="443">
        <f t="shared" si="3"/>
        <v>0.875</v>
      </c>
      <c r="AD5" s="442">
        <f t="shared" si="3"/>
        <v>0</v>
      </c>
    </row>
    <row r="6" spans="1:30" x14ac:dyDescent="0.35">
      <c r="A6" s="441" t="s">
        <v>75</v>
      </c>
      <c r="B6" s="440">
        <f t="shared" si="0"/>
        <v>8</v>
      </c>
      <c r="C6" s="440"/>
      <c r="D6" s="440"/>
      <c r="E6" s="440"/>
      <c r="F6" s="440">
        <v>7</v>
      </c>
      <c r="G6" s="440"/>
      <c r="H6" s="440"/>
      <c r="I6" s="440"/>
      <c r="J6" s="440"/>
      <c r="K6" s="440"/>
      <c r="L6" s="440"/>
      <c r="M6" s="440"/>
      <c r="N6" s="440"/>
      <c r="O6" s="440"/>
      <c r="P6" s="440"/>
      <c r="Q6" s="440"/>
      <c r="R6" s="440"/>
      <c r="S6" s="440"/>
      <c r="T6" s="440"/>
      <c r="U6" s="440"/>
      <c r="V6" s="440"/>
      <c r="W6" s="440"/>
      <c r="X6" s="440">
        <v>1</v>
      </c>
      <c r="Y6" s="440"/>
      <c r="Z6" s="440">
        <v>1</v>
      </c>
      <c r="AA6" s="440">
        <v>9</v>
      </c>
      <c r="AB6" s="440">
        <v>7</v>
      </c>
      <c r="AC6" s="448">
        <f>AB6/B6</f>
        <v>0.875</v>
      </c>
      <c r="AD6" s="440">
        <f>Z6+B6-AA6</f>
        <v>0</v>
      </c>
    </row>
    <row r="7" spans="1:30" x14ac:dyDescent="0.35">
      <c r="A7" s="444" t="s">
        <v>76</v>
      </c>
      <c r="B7" s="442">
        <f t="shared" si="0"/>
        <v>1</v>
      </c>
      <c r="C7" s="442">
        <f t="shared" ref="C7:AD7" si="4">C8</f>
        <v>0</v>
      </c>
      <c r="D7" s="442">
        <f t="shared" si="4"/>
        <v>0</v>
      </c>
      <c r="E7" s="442">
        <f t="shared" si="4"/>
        <v>0</v>
      </c>
      <c r="F7" s="442">
        <f t="shared" si="4"/>
        <v>0</v>
      </c>
      <c r="G7" s="442">
        <f t="shared" si="4"/>
        <v>0</v>
      </c>
      <c r="H7" s="442">
        <f t="shared" si="4"/>
        <v>0</v>
      </c>
      <c r="I7" s="442">
        <f t="shared" si="4"/>
        <v>1</v>
      </c>
      <c r="J7" s="442">
        <f t="shared" si="4"/>
        <v>0</v>
      </c>
      <c r="K7" s="442">
        <f t="shared" si="4"/>
        <v>0</v>
      </c>
      <c r="L7" s="442">
        <f t="shared" si="4"/>
        <v>0</v>
      </c>
      <c r="M7" s="442">
        <f t="shared" si="4"/>
        <v>0</v>
      </c>
      <c r="N7" s="442">
        <f t="shared" si="4"/>
        <v>0</v>
      </c>
      <c r="O7" s="442">
        <f t="shared" si="4"/>
        <v>0</v>
      </c>
      <c r="P7" s="442">
        <f t="shared" si="4"/>
        <v>0</v>
      </c>
      <c r="Q7" s="442">
        <f t="shared" si="4"/>
        <v>0</v>
      </c>
      <c r="R7" s="442">
        <f t="shared" si="4"/>
        <v>0</v>
      </c>
      <c r="S7" s="442">
        <f t="shared" si="4"/>
        <v>0</v>
      </c>
      <c r="T7" s="442">
        <f t="shared" si="4"/>
        <v>0</v>
      </c>
      <c r="U7" s="442">
        <f t="shared" si="4"/>
        <v>0</v>
      </c>
      <c r="V7" s="442">
        <f t="shared" si="4"/>
        <v>0</v>
      </c>
      <c r="W7" s="442">
        <f t="shared" si="4"/>
        <v>0</v>
      </c>
      <c r="X7" s="442">
        <f t="shared" si="4"/>
        <v>0</v>
      </c>
      <c r="Y7" s="442">
        <f t="shared" si="4"/>
        <v>0</v>
      </c>
      <c r="Z7" s="442">
        <f t="shared" si="4"/>
        <v>0</v>
      </c>
      <c r="AA7" s="442">
        <f t="shared" si="4"/>
        <v>1</v>
      </c>
      <c r="AB7" s="442">
        <f t="shared" si="4"/>
        <v>1</v>
      </c>
      <c r="AC7" s="443">
        <f t="shared" si="4"/>
        <v>1</v>
      </c>
      <c r="AD7" s="442">
        <f t="shared" si="4"/>
        <v>0</v>
      </c>
    </row>
    <row r="8" spans="1:30" x14ac:dyDescent="0.35">
      <c r="A8" s="441" t="s">
        <v>77</v>
      </c>
      <c r="B8" s="440">
        <f t="shared" si="0"/>
        <v>1</v>
      </c>
      <c r="C8" s="440"/>
      <c r="D8" s="440"/>
      <c r="E8" s="440"/>
      <c r="F8" s="440"/>
      <c r="G8" s="440"/>
      <c r="H8" s="440"/>
      <c r="I8" s="440">
        <v>1</v>
      </c>
      <c r="J8" s="440"/>
      <c r="K8" s="440"/>
      <c r="L8" s="440"/>
      <c r="M8" s="440"/>
      <c r="N8" s="440"/>
      <c r="O8" s="440"/>
      <c r="P8" s="440"/>
      <c r="Q8" s="440"/>
      <c r="R8" s="440"/>
      <c r="S8" s="440"/>
      <c r="T8" s="440"/>
      <c r="U8" s="440"/>
      <c r="V8" s="440"/>
      <c r="W8" s="440"/>
      <c r="X8" s="440"/>
      <c r="Y8" s="440"/>
      <c r="Z8" s="440">
        <v>0</v>
      </c>
      <c r="AA8" s="440">
        <v>1</v>
      </c>
      <c r="AB8" s="440">
        <v>1</v>
      </c>
      <c r="AC8" s="448">
        <f>AB8/B8</f>
        <v>1</v>
      </c>
      <c r="AD8" s="440">
        <f>Z8+B8-AA8</f>
        <v>0</v>
      </c>
    </row>
    <row r="9" spans="1:30" x14ac:dyDescent="0.35">
      <c r="A9" s="444" t="s">
        <v>78</v>
      </c>
      <c r="B9" s="442">
        <f t="shared" si="0"/>
        <v>211</v>
      </c>
      <c r="C9" s="442">
        <f t="shared" ref="C9:AD9" si="5">C10</f>
        <v>0</v>
      </c>
      <c r="D9" s="442">
        <f t="shared" si="5"/>
        <v>0</v>
      </c>
      <c r="E9" s="442">
        <f t="shared" si="5"/>
        <v>177</v>
      </c>
      <c r="F9" s="442">
        <f t="shared" si="5"/>
        <v>7</v>
      </c>
      <c r="G9" s="442">
        <f t="shared" si="5"/>
        <v>0</v>
      </c>
      <c r="H9" s="442">
        <f t="shared" si="5"/>
        <v>0</v>
      </c>
      <c r="I9" s="442">
        <f t="shared" si="5"/>
        <v>9</v>
      </c>
      <c r="J9" s="442">
        <f t="shared" si="5"/>
        <v>5</v>
      </c>
      <c r="K9" s="442">
        <f t="shared" si="5"/>
        <v>4</v>
      </c>
      <c r="L9" s="442">
        <f t="shared" si="5"/>
        <v>0</v>
      </c>
      <c r="M9" s="442">
        <f t="shared" si="5"/>
        <v>0</v>
      </c>
      <c r="N9" s="442">
        <f t="shared" si="5"/>
        <v>1</v>
      </c>
      <c r="O9" s="442">
        <f t="shared" si="5"/>
        <v>2</v>
      </c>
      <c r="P9" s="442">
        <f t="shared" si="5"/>
        <v>0</v>
      </c>
      <c r="Q9" s="442">
        <f t="shared" si="5"/>
        <v>0</v>
      </c>
      <c r="R9" s="442">
        <f t="shared" si="5"/>
        <v>0</v>
      </c>
      <c r="S9" s="442">
        <f t="shared" si="5"/>
        <v>0</v>
      </c>
      <c r="T9" s="442">
        <f t="shared" si="5"/>
        <v>6</v>
      </c>
      <c r="U9" s="442">
        <f t="shared" si="5"/>
        <v>0</v>
      </c>
      <c r="V9" s="442">
        <f t="shared" si="5"/>
        <v>0</v>
      </c>
      <c r="W9" s="442">
        <f t="shared" si="5"/>
        <v>0</v>
      </c>
      <c r="X9" s="442">
        <f t="shared" si="5"/>
        <v>0</v>
      </c>
      <c r="Y9" s="442">
        <f t="shared" si="5"/>
        <v>0</v>
      </c>
      <c r="Z9" s="442">
        <f t="shared" si="5"/>
        <v>6</v>
      </c>
      <c r="AA9" s="442">
        <f t="shared" si="5"/>
        <v>208</v>
      </c>
      <c r="AB9" s="442">
        <f t="shared" si="5"/>
        <v>56</v>
      </c>
      <c r="AC9" s="443">
        <f t="shared" si="5"/>
        <v>0.26540284360189575</v>
      </c>
      <c r="AD9" s="442">
        <f t="shared" si="5"/>
        <v>9</v>
      </c>
    </row>
    <row r="10" spans="1:30" x14ac:dyDescent="0.35">
      <c r="A10" s="441" t="s">
        <v>79</v>
      </c>
      <c r="B10" s="440">
        <f t="shared" si="0"/>
        <v>211</v>
      </c>
      <c r="C10" s="440"/>
      <c r="D10" s="440"/>
      <c r="E10" s="440">
        <v>177</v>
      </c>
      <c r="F10" s="440">
        <v>7</v>
      </c>
      <c r="G10" s="440"/>
      <c r="H10" s="440"/>
      <c r="I10" s="440">
        <v>9</v>
      </c>
      <c r="J10" s="440">
        <v>5</v>
      </c>
      <c r="K10" s="440">
        <v>4</v>
      </c>
      <c r="L10" s="440"/>
      <c r="M10" s="440"/>
      <c r="N10" s="440">
        <v>1</v>
      </c>
      <c r="O10" s="440">
        <v>2</v>
      </c>
      <c r="P10" s="440"/>
      <c r="Q10" s="440"/>
      <c r="R10" s="440"/>
      <c r="S10" s="440"/>
      <c r="T10" s="440">
        <v>6</v>
      </c>
      <c r="U10" s="440"/>
      <c r="V10" s="440"/>
      <c r="W10" s="440"/>
      <c r="X10" s="440"/>
      <c r="Y10" s="440"/>
      <c r="Z10" s="440">
        <v>6</v>
      </c>
      <c r="AA10" s="440">
        <v>208</v>
      </c>
      <c r="AB10" s="440">
        <v>56</v>
      </c>
      <c r="AC10" s="448">
        <f>AB10/B10</f>
        <v>0.26540284360189575</v>
      </c>
      <c r="AD10" s="440">
        <f>Z10+B10-AA10</f>
        <v>9</v>
      </c>
    </row>
    <row r="11" spans="1:30" x14ac:dyDescent="0.35">
      <c r="A11" s="444" t="s">
        <v>80</v>
      </c>
      <c r="B11" s="442">
        <f t="shared" si="0"/>
        <v>0</v>
      </c>
      <c r="C11" s="442">
        <f t="shared" ref="C11:AB11" si="6">C12</f>
        <v>0</v>
      </c>
      <c r="D11" s="442">
        <f t="shared" si="6"/>
        <v>0</v>
      </c>
      <c r="E11" s="442">
        <f t="shared" si="6"/>
        <v>0</v>
      </c>
      <c r="F11" s="442">
        <f t="shared" si="6"/>
        <v>0</v>
      </c>
      <c r="G11" s="442">
        <f t="shared" si="6"/>
        <v>0</v>
      </c>
      <c r="H11" s="442">
        <f t="shared" si="6"/>
        <v>0</v>
      </c>
      <c r="I11" s="442">
        <f t="shared" si="6"/>
        <v>0</v>
      </c>
      <c r="J11" s="442">
        <f t="shared" si="6"/>
        <v>0</v>
      </c>
      <c r="K11" s="442">
        <f t="shared" si="6"/>
        <v>0</v>
      </c>
      <c r="L11" s="442">
        <f t="shared" si="6"/>
        <v>0</v>
      </c>
      <c r="M11" s="442">
        <f t="shared" si="6"/>
        <v>0</v>
      </c>
      <c r="N11" s="442">
        <f t="shared" si="6"/>
        <v>0</v>
      </c>
      <c r="O11" s="442">
        <f t="shared" si="6"/>
        <v>0</v>
      </c>
      <c r="P11" s="442">
        <f t="shared" si="6"/>
        <v>0</v>
      </c>
      <c r="Q11" s="442">
        <f t="shared" si="6"/>
        <v>0</v>
      </c>
      <c r="R11" s="442">
        <f t="shared" si="6"/>
        <v>0</v>
      </c>
      <c r="S11" s="442">
        <f t="shared" si="6"/>
        <v>0</v>
      </c>
      <c r="T11" s="442">
        <f t="shared" si="6"/>
        <v>0</v>
      </c>
      <c r="U11" s="442">
        <f t="shared" si="6"/>
        <v>0</v>
      </c>
      <c r="V11" s="442">
        <f t="shared" si="6"/>
        <v>0</v>
      </c>
      <c r="W11" s="442">
        <f t="shared" si="6"/>
        <v>0</v>
      </c>
      <c r="X11" s="442">
        <f t="shared" si="6"/>
        <v>0</v>
      </c>
      <c r="Y11" s="442">
        <f t="shared" si="6"/>
        <v>0</v>
      </c>
      <c r="Z11" s="442">
        <f t="shared" si="6"/>
        <v>0</v>
      </c>
      <c r="AA11" s="442">
        <f t="shared" si="6"/>
        <v>0</v>
      </c>
      <c r="AB11" s="442">
        <f t="shared" si="6"/>
        <v>0</v>
      </c>
      <c r="AC11" s="443" t="s">
        <v>272</v>
      </c>
      <c r="AD11" s="442">
        <f>AD12</f>
        <v>0</v>
      </c>
    </row>
    <row r="12" spans="1:30" x14ac:dyDescent="0.35">
      <c r="A12" s="441" t="s">
        <v>81</v>
      </c>
      <c r="B12" s="440">
        <f t="shared" si="0"/>
        <v>0</v>
      </c>
      <c r="C12" s="440">
        <v>0</v>
      </c>
      <c r="D12" s="440">
        <v>0</v>
      </c>
      <c r="E12" s="440">
        <v>0</v>
      </c>
      <c r="F12" s="440">
        <v>0</v>
      </c>
      <c r="G12" s="440">
        <v>0</v>
      </c>
      <c r="H12" s="440">
        <v>0</v>
      </c>
      <c r="I12" s="440">
        <v>0</v>
      </c>
      <c r="J12" s="440">
        <v>0</v>
      </c>
      <c r="K12" s="440">
        <v>0</v>
      </c>
      <c r="L12" s="440">
        <v>0</v>
      </c>
      <c r="M12" s="440">
        <v>0</v>
      </c>
      <c r="N12" s="440">
        <v>0</v>
      </c>
      <c r="O12" s="440">
        <v>0</v>
      </c>
      <c r="P12" s="440">
        <v>0</v>
      </c>
      <c r="Q12" s="440">
        <v>0</v>
      </c>
      <c r="R12" s="440">
        <v>0</v>
      </c>
      <c r="S12" s="440">
        <v>0</v>
      </c>
      <c r="T12" s="440">
        <v>0</v>
      </c>
      <c r="U12" s="440">
        <v>0</v>
      </c>
      <c r="V12" s="440">
        <v>0</v>
      </c>
      <c r="W12" s="440">
        <v>0</v>
      </c>
      <c r="X12" s="440">
        <v>0</v>
      </c>
      <c r="Y12" s="440">
        <v>0</v>
      </c>
      <c r="Z12" s="440">
        <v>0</v>
      </c>
      <c r="AA12" s="440">
        <v>0</v>
      </c>
      <c r="AB12" s="440">
        <v>0</v>
      </c>
      <c r="AC12" s="448" t="s">
        <v>272</v>
      </c>
      <c r="AD12" s="440">
        <f>Z12+B12-AA12</f>
        <v>0</v>
      </c>
    </row>
    <row r="13" spans="1:30" x14ac:dyDescent="0.35">
      <c r="A13" s="444" t="s">
        <v>82</v>
      </c>
      <c r="B13" s="442">
        <f t="shared" si="0"/>
        <v>60</v>
      </c>
      <c r="C13" s="442">
        <f t="shared" ref="C13:AB13" si="7">C14+C15+C16</f>
        <v>0</v>
      </c>
      <c r="D13" s="442">
        <f t="shared" si="7"/>
        <v>0</v>
      </c>
      <c r="E13" s="442">
        <f t="shared" si="7"/>
        <v>1</v>
      </c>
      <c r="F13" s="442">
        <f t="shared" si="7"/>
        <v>3</v>
      </c>
      <c r="G13" s="442">
        <f t="shared" si="7"/>
        <v>2</v>
      </c>
      <c r="H13" s="442">
        <f t="shared" si="7"/>
        <v>0</v>
      </c>
      <c r="I13" s="442">
        <f t="shared" si="7"/>
        <v>8</v>
      </c>
      <c r="J13" s="442">
        <f t="shared" si="7"/>
        <v>0</v>
      </c>
      <c r="K13" s="442">
        <f t="shared" si="7"/>
        <v>0</v>
      </c>
      <c r="L13" s="442">
        <f t="shared" si="7"/>
        <v>0</v>
      </c>
      <c r="M13" s="442">
        <f t="shared" si="7"/>
        <v>0</v>
      </c>
      <c r="N13" s="442">
        <f t="shared" si="7"/>
        <v>13</v>
      </c>
      <c r="O13" s="442">
        <f t="shared" si="7"/>
        <v>10</v>
      </c>
      <c r="P13" s="442">
        <f t="shared" si="7"/>
        <v>0</v>
      </c>
      <c r="Q13" s="442">
        <f t="shared" si="7"/>
        <v>0</v>
      </c>
      <c r="R13" s="442">
        <f t="shared" si="7"/>
        <v>0</v>
      </c>
      <c r="S13" s="442">
        <f t="shared" si="7"/>
        <v>0</v>
      </c>
      <c r="T13" s="442">
        <f t="shared" si="7"/>
        <v>0</v>
      </c>
      <c r="U13" s="442">
        <f t="shared" si="7"/>
        <v>2</v>
      </c>
      <c r="V13" s="442">
        <f t="shared" si="7"/>
        <v>0</v>
      </c>
      <c r="W13" s="442">
        <f t="shared" si="7"/>
        <v>0</v>
      </c>
      <c r="X13" s="442">
        <f t="shared" si="7"/>
        <v>2</v>
      </c>
      <c r="Y13" s="442">
        <f t="shared" si="7"/>
        <v>19</v>
      </c>
      <c r="Z13" s="442">
        <f t="shared" si="7"/>
        <v>22</v>
      </c>
      <c r="AA13" s="442">
        <f t="shared" si="7"/>
        <v>69</v>
      </c>
      <c r="AB13" s="442">
        <f t="shared" si="7"/>
        <v>27</v>
      </c>
      <c r="AC13" s="443">
        <f>AB13/B13</f>
        <v>0.45</v>
      </c>
      <c r="AD13" s="442">
        <f>AD14+AD15+AD16</f>
        <v>13</v>
      </c>
    </row>
    <row r="14" spans="1:30" x14ac:dyDescent="0.35">
      <c r="A14" s="441" t="s">
        <v>83</v>
      </c>
      <c r="B14" s="440">
        <f t="shared" si="0"/>
        <v>5</v>
      </c>
      <c r="C14" s="440"/>
      <c r="D14" s="440"/>
      <c r="E14" s="440"/>
      <c r="F14" s="440"/>
      <c r="G14" s="440"/>
      <c r="H14" s="440"/>
      <c r="I14" s="440"/>
      <c r="J14" s="440"/>
      <c r="K14" s="440"/>
      <c r="L14" s="440"/>
      <c r="M14" s="440"/>
      <c r="N14" s="440">
        <v>4</v>
      </c>
      <c r="O14" s="440">
        <v>1</v>
      </c>
      <c r="P14" s="440"/>
      <c r="Q14" s="440"/>
      <c r="R14" s="440"/>
      <c r="S14" s="440"/>
      <c r="T14" s="440"/>
      <c r="U14" s="440"/>
      <c r="V14" s="440"/>
      <c r="W14" s="440"/>
      <c r="X14" s="440"/>
      <c r="Y14" s="440"/>
      <c r="Z14" s="440">
        <v>0</v>
      </c>
      <c r="AA14" s="440">
        <v>5</v>
      </c>
      <c r="AB14" s="440">
        <v>4</v>
      </c>
      <c r="AC14" s="448">
        <f>AB14/B14</f>
        <v>0.8</v>
      </c>
      <c r="AD14" s="440">
        <f>Z14+B14-AA14</f>
        <v>0</v>
      </c>
    </row>
    <row r="15" spans="1:30" x14ac:dyDescent="0.35">
      <c r="A15" s="441" t="s">
        <v>84</v>
      </c>
      <c r="B15" s="440">
        <f t="shared" si="0"/>
        <v>0</v>
      </c>
      <c r="C15" s="440"/>
      <c r="D15" s="440"/>
      <c r="E15" s="440"/>
      <c r="F15" s="440"/>
      <c r="G15" s="440"/>
      <c r="H15" s="440"/>
      <c r="I15" s="440"/>
      <c r="J15" s="440"/>
      <c r="K15" s="440"/>
      <c r="L15" s="440"/>
      <c r="M15" s="440"/>
      <c r="N15" s="440"/>
      <c r="O15" s="440"/>
      <c r="P15" s="440"/>
      <c r="Q15" s="440"/>
      <c r="R15" s="440"/>
      <c r="S15" s="440"/>
      <c r="T15" s="440"/>
      <c r="U15" s="440"/>
      <c r="V15" s="440"/>
      <c r="W15" s="440"/>
      <c r="X15" s="440"/>
      <c r="Y15" s="440"/>
      <c r="Z15" s="440">
        <v>1</v>
      </c>
      <c r="AA15" s="440">
        <v>1</v>
      </c>
      <c r="AB15" s="440"/>
      <c r="AC15" s="448" t="s">
        <v>272</v>
      </c>
      <c r="AD15" s="440">
        <f>Z15+B15-AA15</f>
        <v>0</v>
      </c>
    </row>
    <row r="16" spans="1:30" x14ac:dyDescent="0.35">
      <c r="A16" s="441" t="s">
        <v>85</v>
      </c>
      <c r="B16" s="440">
        <f t="shared" si="0"/>
        <v>55</v>
      </c>
      <c r="C16" s="440"/>
      <c r="D16" s="440"/>
      <c r="E16" s="440">
        <v>1</v>
      </c>
      <c r="F16" s="440">
        <v>3</v>
      </c>
      <c r="G16" s="440">
        <v>2</v>
      </c>
      <c r="H16" s="440"/>
      <c r="I16" s="440">
        <v>8</v>
      </c>
      <c r="J16" s="440"/>
      <c r="K16" s="440"/>
      <c r="L16" s="440"/>
      <c r="M16" s="440"/>
      <c r="N16" s="440">
        <v>9</v>
      </c>
      <c r="O16" s="440">
        <v>9</v>
      </c>
      <c r="P16" s="440"/>
      <c r="Q16" s="440"/>
      <c r="R16" s="440"/>
      <c r="S16" s="440"/>
      <c r="T16" s="440"/>
      <c r="U16" s="440">
        <v>2</v>
      </c>
      <c r="V16" s="440"/>
      <c r="W16" s="440"/>
      <c r="X16" s="440">
        <v>2</v>
      </c>
      <c r="Y16" s="440">
        <v>19</v>
      </c>
      <c r="Z16" s="440">
        <v>21</v>
      </c>
      <c r="AA16" s="440">
        <v>63</v>
      </c>
      <c r="AB16" s="440">
        <v>23</v>
      </c>
      <c r="AC16" s="448">
        <f t="shared" ref="AC16:AC21" si="8">AB16/B16</f>
        <v>0.41818181818181815</v>
      </c>
      <c r="AD16" s="440">
        <f>Z16+B16-AA16</f>
        <v>13</v>
      </c>
    </row>
    <row r="17" spans="1:30" x14ac:dyDescent="0.35">
      <c r="A17" s="444" t="s">
        <v>86</v>
      </c>
      <c r="B17" s="442">
        <f t="shared" si="0"/>
        <v>7</v>
      </c>
      <c r="C17" s="442">
        <f t="shared" ref="C17:AB17" si="9">C18</f>
        <v>0</v>
      </c>
      <c r="D17" s="442">
        <f t="shared" si="9"/>
        <v>0</v>
      </c>
      <c r="E17" s="442">
        <f t="shared" si="9"/>
        <v>0</v>
      </c>
      <c r="F17" s="442">
        <f t="shared" si="9"/>
        <v>0</v>
      </c>
      <c r="G17" s="442">
        <f t="shared" si="9"/>
        <v>0</v>
      </c>
      <c r="H17" s="442">
        <f t="shared" si="9"/>
        <v>1</v>
      </c>
      <c r="I17" s="442">
        <f t="shared" si="9"/>
        <v>0</v>
      </c>
      <c r="J17" s="442">
        <f t="shared" si="9"/>
        <v>0</v>
      </c>
      <c r="K17" s="442">
        <f t="shared" si="9"/>
        <v>0</v>
      </c>
      <c r="L17" s="442">
        <f t="shared" si="9"/>
        <v>0</v>
      </c>
      <c r="M17" s="442">
        <f t="shared" si="9"/>
        <v>0</v>
      </c>
      <c r="N17" s="442">
        <f t="shared" si="9"/>
        <v>0</v>
      </c>
      <c r="O17" s="442">
        <f t="shared" si="9"/>
        <v>0</v>
      </c>
      <c r="P17" s="442">
        <f t="shared" si="9"/>
        <v>0</v>
      </c>
      <c r="Q17" s="442">
        <f t="shared" si="9"/>
        <v>2</v>
      </c>
      <c r="R17" s="442">
        <f t="shared" si="9"/>
        <v>2</v>
      </c>
      <c r="S17" s="442">
        <f t="shared" si="9"/>
        <v>0</v>
      </c>
      <c r="T17" s="442">
        <f t="shared" si="9"/>
        <v>1</v>
      </c>
      <c r="U17" s="442">
        <f t="shared" si="9"/>
        <v>0</v>
      </c>
      <c r="V17" s="442">
        <f t="shared" si="9"/>
        <v>0</v>
      </c>
      <c r="W17" s="442">
        <f t="shared" si="9"/>
        <v>0</v>
      </c>
      <c r="X17" s="442">
        <f t="shared" si="9"/>
        <v>0</v>
      </c>
      <c r="Y17" s="442">
        <f t="shared" si="9"/>
        <v>1</v>
      </c>
      <c r="Z17" s="442">
        <f t="shared" si="9"/>
        <v>0</v>
      </c>
      <c r="AA17" s="442">
        <f t="shared" si="9"/>
        <v>6</v>
      </c>
      <c r="AB17" s="442">
        <f t="shared" si="9"/>
        <v>5</v>
      </c>
      <c r="AC17" s="443">
        <f t="shared" si="8"/>
        <v>0.7142857142857143</v>
      </c>
      <c r="AD17" s="442">
        <f>AD18</f>
        <v>1</v>
      </c>
    </row>
    <row r="18" spans="1:30" x14ac:dyDescent="0.35">
      <c r="A18" s="441" t="s">
        <v>87</v>
      </c>
      <c r="B18" s="440">
        <f t="shared" si="0"/>
        <v>7</v>
      </c>
      <c r="C18" s="440"/>
      <c r="D18" s="440"/>
      <c r="E18" s="440"/>
      <c r="F18" s="440"/>
      <c r="G18" s="440"/>
      <c r="H18" s="440">
        <v>1</v>
      </c>
      <c r="I18" s="440"/>
      <c r="J18" s="440"/>
      <c r="K18" s="440"/>
      <c r="L18" s="440"/>
      <c r="M18" s="440"/>
      <c r="N18" s="440"/>
      <c r="O18" s="440"/>
      <c r="P18" s="440"/>
      <c r="Q18" s="440">
        <v>2</v>
      </c>
      <c r="R18" s="440">
        <v>2</v>
      </c>
      <c r="S18" s="440"/>
      <c r="T18" s="440">
        <v>1</v>
      </c>
      <c r="U18" s="440"/>
      <c r="V18" s="440"/>
      <c r="W18" s="440"/>
      <c r="X18" s="440"/>
      <c r="Y18" s="440">
        <v>1</v>
      </c>
      <c r="Z18" s="440">
        <v>0</v>
      </c>
      <c r="AA18" s="440">
        <v>6</v>
      </c>
      <c r="AB18" s="440">
        <v>5</v>
      </c>
      <c r="AC18" s="448">
        <f t="shared" si="8"/>
        <v>0.7142857142857143</v>
      </c>
      <c r="AD18" s="440">
        <f>Z18+B18-AA18</f>
        <v>1</v>
      </c>
    </row>
    <row r="19" spans="1:30" x14ac:dyDescent="0.35">
      <c r="A19" s="447" t="s">
        <v>88</v>
      </c>
      <c r="B19" s="445">
        <f t="shared" si="0"/>
        <v>209</v>
      </c>
      <c r="C19" s="445">
        <f t="shared" ref="C19:AB19" si="10">C20+C23+C25+C27+C29</f>
        <v>0</v>
      </c>
      <c r="D19" s="445">
        <f t="shared" si="10"/>
        <v>4</v>
      </c>
      <c r="E19" s="445">
        <f t="shared" si="10"/>
        <v>1</v>
      </c>
      <c r="F19" s="445">
        <f t="shared" si="10"/>
        <v>2</v>
      </c>
      <c r="G19" s="445">
        <f t="shared" si="10"/>
        <v>0</v>
      </c>
      <c r="H19" s="445">
        <f t="shared" si="10"/>
        <v>1</v>
      </c>
      <c r="I19" s="445">
        <f t="shared" si="10"/>
        <v>14</v>
      </c>
      <c r="J19" s="445">
        <f t="shared" si="10"/>
        <v>0</v>
      </c>
      <c r="K19" s="445">
        <f t="shared" si="10"/>
        <v>3</v>
      </c>
      <c r="L19" s="445">
        <f t="shared" si="10"/>
        <v>1</v>
      </c>
      <c r="M19" s="445">
        <f t="shared" si="10"/>
        <v>1</v>
      </c>
      <c r="N19" s="445">
        <f t="shared" si="10"/>
        <v>36</v>
      </c>
      <c r="O19" s="445">
        <f t="shared" si="10"/>
        <v>96</v>
      </c>
      <c r="P19" s="445">
        <f t="shared" si="10"/>
        <v>1</v>
      </c>
      <c r="Q19" s="445">
        <f t="shared" si="10"/>
        <v>1</v>
      </c>
      <c r="R19" s="445">
        <f t="shared" si="10"/>
        <v>12</v>
      </c>
      <c r="S19" s="445">
        <f t="shared" si="10"/>
        <v>2</v>
      </c>
      <c r="T19" s="445">
        <f t="shared" si="10"/>
        <v>7</v>
      </c>
      <c r="U19" s="445">
        <f t="shared" si="10"/>
        <v>10</v>
      </c>
      <c r="V19" s="445">
        <f t="shared" si="10"/>
        <v>0</v>
      </c>
      <c r="W19" s="445">
        <f t="shared" si="10"/>
        <v>2</v>
      </c>
      <c r="X19" s="445">
        <f t="shared" si="10"/>
        <v>0</v>
      </c>
      <c r="Y19" s="445">
        <f t="shared" si="10"/>
        <v>15</v>
      </c>
      <c r="Z19" s="445">
        <f t="shared" si="10"/>
        <v>5</v>
      </c>
      <c r="AA19" s="445">
        <f t="shared" si="10"/>
        <v>155</v>
      </c>
      <c r="AB19" s="445">
        <f t="shared" si="10"/>
        <v>98</v>
      </c>
      <c r="AC19" s="446">
        <f t="shared" si="8"/>
        <v>0.46889952153110048</v>
      </c>
      <c r="AD19" s="445">
        <f>AD20+AD23+AD25+AD27+AD29</f>
        <v>59</v>
      </c>
    </row>
    <row r="20" spans="1:30" x14ac:dyDescent="0.35">
      <c r="A20" s="444" t="s">
        <v>89</v>
      </c>
      <c r="B20" s="442">
        <f t="shared" si="0"/>
        <v>8</v>
      </c>
      <c r="C20" s="442">
        <f t="shared" ref="C20:AB20" si="11">C21+C22</f>
        <v>0</v>
      </c>
      <c r="D20" s="442">
        <f t="shared" si="11"/>
        <v>0</v>
      </c>
      <c r="E20" s="442">
        <f t="shared" si="11"/>
        <v>0</v>
      </c>
      <c r="F20" s="442">
        <f t="shared" si="11"/>
        <v>0</v>
      </c>
      <c r="G20" s="442">
        <f t="shared" si="11"/>
        <v>0</v>
      </c>
      <c r="H20" s="442">
        <f t="shared" si="11"/>
        <v>0</v>
      </c>
      <c r="I20" s="442">
        <f t="shared" si="11"/>
        <v>1</v>
      </c>
      <c r="J20" s="442">
        <f t="shared" si="11"/>
        <v>0</v>
      </c>
      <c r="K20" s="442">
        <f t="shared" si="11"/>
        <v>0</v>
      </c>
      <c r="L20" s="442">
        <f t="shared" si="11"/>
        <v>0</v>
      </c>
      <c r="M20" s="442">
        <f t="shared" si="11"/>
        <v>1</v>
      </c>
      <c r="N20" s="442">
        <f t="shared" si="11"/>
        <v>0</v>
      </c>
      <c r="O20" s="442">
        <f t="shared" si="11"/>
        <v>0</v>
      </c>
      <c r="P20" s="442">
        <f t="shared" si="11"/>
        <v>0</v>
      </c>
      <c r="Q20" s="442">
        <f t="shared" si="11"/>
        <v>0</v>
      </c>
      <c r="R20" s="442">
        <f t="shared" si="11"/>
        <v>6</v>
      </c>
      <c r="S20" s="442">
        <f t="shared" si="11"/>
        <v>0</v>
      </c>
      <c r="T20" s="442">
        <f t="shared" si="11"/>
        <v>0</v>
      </c>
      <c r="U20" s="442">
        <f t="shared" si="11"/>
        <v>0</v>
      </c>
      <c r="V20" s="442">
        <f t="shared" si="11"/>
        <v>0</v>
      </c>
      <c r="W20" s="442">
        <f t="shared" si="11"/>
        <v>0</v>
      </c>
      <c r="X20" s="442">
        <f t="shared" si="11"/>
        <v>0</v>
      </c>
      <c r="Y20" s="442">
        <f t="shared" si="11"/>
        <v>0</v>
      </c>
      <c r="Z20" s="442">
        <f t="shared" si="11"/>
        <v>0</v>
      </c>
      <c r="AA20" s="442">
        <f t="shared" si="11"/>
        <v>8</v>
      </c>
      <c r="AB20" s="442">
        <f t="shared" si="11"/>
        <v>6</v>
      </c>
      <c r="AC20" s="443">
        <f t="shared" si="8"/>
        <v>0.75</v>
      </c>
      <c r="AD20" s="442">
        <f>AD21+AD22</f>
        <v>0</v>
      </c>
    </row>
    <row r="21" spans="1:30" x14ac:dyDescent="0.35">
      <c r="A21" s="441" t="s">
        <v>90</v>
      </c>
      <c r="B21" s="440">
        <f t="shared" si="0"/>
        <v>8</v>
      </c>
      <c r="C21" s="440"/>
      <c r="D21" s="440"/>
      <c r="E21" s="440"/>
      <c r="F21" s="440"/>
      <c r="G21" s="440"/>
      <c r="H21" s="440"/>
      <c r="I21" s="440">
        <v>1</v>
      </c>
      <c r="J21" s="440"/>
      <c r="K21" s="440"/>
      <c r="L21" s="440"/>
      <c r="M21" s="440">
        <v>1</v>
      </c>
      <c r="N21" s="440"/>
      <c r="O21" s="440"/>
      <c r="P21" s="440"/>
      <c r="Q21" s="440"/>
      <c r="R21" s="440">
        <v>6</v>
      </c>
      <c r="S21" s="440"/>
      <c r="T21" s="440"/>
      <c r="U21" s="440"/>
      <c r="V21" s="440"/>
      <c r="W21" s="440"/>
      <c r="X21" s="440"/>
      <c r="Y21" s="440"/>
      <c r="Z21" s="440">
        <v>0</v>
      </c>
      <c r="AA21" s="440">
        <v>8</v>
      </c>
      <c r="AB21" s="440">
        <v>6</v>
      </c>
      <c r="AC21" s="448">
        <f t="shared" si="8"/>
        <v>0.75</v>
      </c>
      <c r="AD21" s="440">
        <f>Z21+B21-AA21</f>
        <v>0</v>
      </c>
    </row>
    <row r="22" spans="1:30" x14ac:dyDescent="0.35">
      <c r="A22" s="441" t="s">
        <v>91</v>
      </c>
      <c r="B22" s="440">
        <f t="shared" si="0"/>
        <v>0</v>
      </c>
      <c r="C22" s="440"/>
      <c r="D22" s="440"/>
      <c r="E22" s="440"/>
      <c r="F22" s="440"/>
      <c r="G22" s="440"/>
      <c r="H22" s="440"/>
      <c r="I22" s="440"/>
      <c r="J22" s="440"/>
      <c r="K22" s="440"/>
      <c r="L22" s="440"/>
      <c r="M22" s="440"/>
      <c r="N22" s="440"/>
      <c r="O22" s="440"/>
      <c r="P22" s="440"/>
      <c r="Q22" s="440"/>
      <c r="R22" s="440"/>
      <c r="S22" s="440"/>
      <c r="T22" s="440"/>
      <c r="U22" s="440"/>
      <c r="V22" s="440"/>
      <c r="W22" s="440"/>
      <c r="X22" s="440"/>
      <c r="Y22" s="440"/>
      <c r="Z22" s="440">
        <v>0</v>
      </c>
      <c r="AA22" s="440">
        <v>0</v>
      </c>
      <c r="AB22" s="440">
        <v>0</v>
      </c>
      <c r="AC22" s="448" t="s">
        <v>272</v>
      </c>
      <c r="AD22" s="440">
        <f>Z22+B22-AA22</f>
        <v>0</v>
      </c>
    </row>
    <row r="23" spans="1:30" x14ac:dyDescent="0.35">
      <c r="A23" s="444" t="s">
        <v>92</v>
      </c>
      <c r="B23" s="442">
        <f t="shared" si="0"/>
        <v>0</v>
      </c>
      <c r="C23" s="442">
        <f t="shared" ref="C23:AB23" si="12">C24</f>
        <v>0</v>
      </c>
      <c r="D23" s="442">
        <f t="shared" si="12"/>
        <v>0</v>
      </c>
      <c r="E23" s="442">
        <f t="shared" si="12"/>
        <v>0</v>
      </c>
      <c r="F23" s="442">
        <f t="shared" si="12"/>
        <v>0</v>
      </c>
      <c r="G23" s="442">
        <f t="shared" si="12"/>
        <v>0</v>
      </c>
      <c r="H23" s="442">
        <f t="shared" si="12"/>
        <v>0</v>
      </c>
      <c r="I23" s="442">
        <f t="shared" si="12"/>
        <v>0</v>
      </c>
      <c r="J23" s="442">
        <f t="shared" si="12"/>
        <v>0</v>
      </c>
      <c r="K23" s="442">
        <f t="shared" si="12"/>
        <v>0</v>
      </c>
      <c r="L23" s="442">
        <f t="shared" si="12"/>
        <v>0</v>
      </c>
      <c r="M23" s="442">
        <f t="shared" si="12"/>
        <v>0</v>
      </c>
      <c r="N23" s="442">
        <f t="shared" si="12"/>
        <v>0</v>
      </c>
      <c r="O23" s="442">
        <f t="shared" si="12"/>
        <v>0</v>
      </c>
      <c r="P23" s="442">
        <f t="shared" si="12"/>
        <v>0</v>
      </c>
      <c r="Q23" s="442">
        <f t="shared" si="12"/>
        <v>0</v>
      </c>
      <c r="R23" s="442">
        <f t="shared" si="12"/>
        <v>0</v>
      </c>
      <c r="S23" s="442">
        <f t="shared" si="12"/>
        <v>0</v>
      </c>
      <c r="T23" s="442">
        <f t="shared" si="12"/>
        <v>0</v>
      </c>
      <c r="U23" s="442">
        <f t="shared" si="12"/>
        <v>0</v>
      </c>
      <c r="V23" s="442">
        <f t="shared" si="12"/>
        <v>0</v>
      </c>
      <c r="W23" s="442">
        <f t="shared" si="12"/>
        <v>0</v>
      </c>
      <c r="X23" s="442">
        <f t="shared" si="12"/>
        <v>0</v>
      </c>
      <c r="Y23" s="442">
        <f t="shared" si="12"/>
        <v>0</v>
      </c>
      <c r="Z23" s="442">
        <f t="shared" si="12"/>
        <v>0</v>
      </c>
      <c r="AA23" s="442">
        <f t="shared" si="12"/>
        <v>0</v>
      </c>
      <c r="AB23" s="442">
        <f t="shared" si="12"/>
        <v>0</v>
      </c>
      <c r="AC23" s="442" t="s">
        <v>272</v>
      </c>
      <c r="AD23" s="442">
        <f>AD24</f>
        <v>0</v>
      </c>
    </row>
    <row r="24" spans="1:30" x14ac:dyDescent="0.35">
      <c r="A24" s="441" t="s">
        <v>93</v>
      </c>
      <c r="B24" s="440">
        <f t="shared" si="0"/>
        <v>0</v>
      </c>
      <c r="C24" s="440"/>
      <c r="D24" s="440"/>
      <c r="E24" s="440"/>
      <c r="F24" s="440"/>
      <c r="G24" s="440"/>
      <c r="H24" s="440"/>
      <c r="I24" s="440"/>
      <c r="J24" s="440"/>
      <c r="K24" s="440"/>
      <c r="L24" s="440"/>
      <c r="M24" s="440"/>
      <c r="N24" s="440"/>
      <c r="O24" s="440"/>
      <c r="P24" s="440"/>
      <c r="Q24" s="440"/>
      <c r="R24" s="440"/>
      <c r="S24" s="440"/>
      <c r="T24" s="440"/>
      <c r="U24" s="440"/>
      <c r="V24" s="440"/>
      <c r="W24" s="440"/>
      <c r="X24" s="440"/>
      <c r="Y24" s="440"/>
      <c r="Z24" s="438">
        <v>0</v>
      </c>
      <c r="AA24" s="438"/>
      <c r="AB24" s="438"/>
      <c r="AC24" s="448" t="s">
        <v>272</v>
      </c>
      <c r="AD24" s="438">
        <f>Z24+B24-AA24</f>
        <v>0</v>
      </c>
    </row>
    <row r="25" spans="1:30" x14ac:dyDescent="0.35">
      <c r="A25" s="444" t="s">
        <v>95</v>
      </c>
      <c r="B25" s="442">
        <f t="shared" si="0"/>
        <v>105</v>
      </c>
      <c r="C25" s="442">
        <f t="shared" ref="C25:AD25" si="13">C26</f>
        <v>0</v>
      </c>
      <c r="D25" s="442">
        <f t="shared" si="13"/>
        <v>1</v>
      </c>
      <c r="E25" s="442">
        <f t="shared" si="13"/>
        <v>0</v>
      </c>
      <c r="F25" s="442">
        <f t="shared" si="13"/>
        <v>0</v>
      </c>
      <c r="G25" s="442">
        <f t="shared" si="13"/>
        <v>0</v>
      </c>
      <c r="H25" s="442">
        <f t="shared" si="13"/>
        <v>0</v>
      </c>
      <c r="I25" s="442">
        <f t="shared" si="13"/>
        <v>12</v>
      </c>
      <c r="J25" s="442">
        <f t="shared" si="13"/>
        <v>0</v>
      </c>
      <c r="K25" s="442">
        <f t="shared" si="13"/>
        <v>3</v>
      </c>
      <c r="L25" s="442">
        <f t="shared" si="13"/>
        <v>0</v>
      </c>
      <c r="M25" s="442">
        <f t="shared" si="13"/>
        <v>0</v>
      </c>
      <c r="N25" s="442">
        <f t="shared" si="13"/>
        <v>14</v>
      </c>
      <c r="O25" s="442">
        <f t="shared" si="13"/>
        <v>60</v>
      </c>
      <c r="P25" s="442">
        <f t="shared" si="13"/>
        <v>0</v>
      </c>
      <c r="Q25" s="442">
        <f t="shared" si="13"/>
        <v>0</v>
      </c>
      <c r="R25" s="442">
        <f t="shared" si="13"/>
        <v>1</v>
      </c>
      <c r="S25" s="442">
        <f t="shared" si="13"/>
        <v>0</v>
      </c>
      <c r="T25" s="442">
        <f t="shared" si="13"/>
        <v>7</v>
      </c>
      <c r="U25" s="442">
        <f t="shared" si="13"/>
        <v>5</v>
      </c>
      <c r="V25" s="442">
        <f t="shared" si="13"/>
        <v>0</v>
      </c>
      <c r="W25" s="442">
        <f t="shared" si="13"/>
        <v>2</v>
      </c>
      <c r="X25" s="442">
        <f t="shared" si="13"/>
        <v>0</v>
      </c>
      <c r="Y25" s="442">
        <f t="shared" si="13"/>
        <v>0</v>
      </c>
      <c r="Z25" s="442">
        <f t="shared" si="13"/>
        <v>0</v>
      </c>
      <c r="AA25" s="442">
        <f t="shared" si="13"/>
        <v>54</v>
      </c>
      <c r="AB25" s="442">
        <f t="shared" si="13"/>
        <v>20</v>
      </c>
      <c r="AC25" s="443">
        <f t="shared" si="13"/>
        <v>0.19047619047619047</v>
      </c>
      <c r="AD25" s="442">
        <f t="shared" si="13"/>
        <v>51</v>
      </c>
    </row>
    <row r="26" spans="1:30" x14ac:dyDescent="0.35">
      <c r="A26" s="441" t="s">
        <v>96</v>
      </c>
      <c r="B26" s="440">
        <f t="shared" si="0"/>
        <v>105</v>
      </c>
      <c r="C26" s="440"/>
      <c r="D26" s="440">
        <v>1</v>
      </c>
      <c r="E26" s="440"/>
      <c r="F26" s="440"/>
      <c r="G26" s="440"/>
      <c r="H26" s="440"/>
      <c r="I26" s="440">
        <v>12</v>
      </c>
      <c r="J26" s="440"/>
      <c r="K26" s="440">
        <v>3</v>
      </c>
      <c r="L26" s="440"/>
      <c r="M26" s="440"/>
      <c r="N26" s="440">
        <v>14</v>
      </c>
      <c r="O26" s="440">
        <v>60</v>
      </c>
      <c r="P26" s="440"/>
      <c r="Q26" s="440"/>
      <c r="R26" s="440">
        <v>1</v>
      </c>
      <c r="S26" s="440"/>
      <c r="T26" s="440">
        <v>7</v>
      </c>
      <c r="U26" s="440">
        <v>5</v>
      </c>
      <c r="V26" s="440">
        <v>0</v>
      </c>
      <c r="W26" s="440">
        <v>2</v>
      </c>
      <c r="X26" s="440"/>
      <c r="Y26" s="440"/>
      <c r="Z26" s="438">
        <v>0</v>
      </c>
      <c r="AA26" s="438">
        <v>54</v>
      </c>
      <c r="AB26" s="438">
        <v>20</v>
      </c>
      <c r="AC26" s="439">
        <f>AB26/B26</f>
        <v>0.19047619047619047</v>
      </c>
      <c r="AD26" s="438">
        <f>Z26+B26-AA26</f>
        <v>51</v>
      </c>
    </row>
    <row r="27" spans="1:30" x14ac:dyDescent="0.35">
      <c r="A27" s="444" t="s">
        <v>97</v>
      </c>
      <c r="B27" s="442">
        <f t="shared" si="0"/>
        <v>65</v>
      </c>
      <c r="C27" s="442">
        <f t="shared" ref="C27:AD27" si="14">C28</f>
        <v>0</v>
      </c>
      <c r="D27" s="442">
        <f t="shared" si="14"/>
        <v>0</v>
      </c>
      <c r="E27" s="442">
        <f t="shared" si="14"/>
        <v>0</v>
      </c>
      <c r="F27" s="442">
        <f t="shared" si="14"/>
        <v>0</v>
      </c>
      <c r="G27" s="442">
        <f t="shared" si="14"/>
        <v>0</v>
      </c>
      <c r="H27" s="442">
        <f t="shared" si="14"/>
        <v>0</v>
      </c>
      <c r="I27" s="442">
        <f t="shared" si="14"/>
        <v>0</v>
      </c>
      <c r="J27" s="442">
        <f t="shared" si="14"/>
        <v>0</v>
      </c>
      <c r="K27" s="442">
        <f t="shared" si="14"/>
        <v>0</v>
      </c>
      <c r="L27" s="442">
        <f t="shared" si="14"/>
        <v>0</v>
      </c>
      <c r="M27" s="442">
        <f t="shared" si="14"/>
        <v>0</v>
      </c>
      <c r="N27" s="442">
        <f t="shared" si="14"/>
        <v>22</v>
      </c>
      <c r="O27" s="442">
        <f t="shared" si="14"/>
        <v>36</v>
      </c>
      <c r="P27" s="442">
        <f t="shared" si="14"/>
        <v>0</v>
      </c>
      <c r="Q27" s="442">
        <f t="shared" si="14"/>
        <v>0</v>
      </c>
      <c r="R27" s="442">
        <f t="shared" si="14"/>
        <v>0</v>
      </c>
      <c r="S27" s="442">
        <f t="shared" si="14"/>
        <v>0</v>
      </c>
      <c r="T27" s="442">
        <f t="shared" si="14"/>
        <v>0</v>
      </c>
      <c r="U27" s="442">
        <f t="shared" si="14"/>
        <v>5</v>
      </c>
      <c r="V27" s="442">
        <f t="shared" si="14"/>
        <v>0</v>
      </c>
      <c r="W27" s="442">
        <f t="shared" si="14"/>
        <v>0</v>
      </c>
      <c r="X27" s="442">
        <f t="shared" si="14"/>
        <v>0</v>
      </c>
      <c r="Y27" s="442">
        <f t="shared" si="14"/>
        <v>2</v>
      </c>
      <c r="Z27" s="442">
        <f t="shared" si="14"/>
        <v>5</v>
      </c>
      <c r="AA27" s="442">
        <f t="shared" si="14"/>
        <v>70</v>
      </c>
      <c r="AB27" s="442">
        <f t="shared" si="14"/>
        <v>65</v>
      </c>
      <c r="AC27" s="443">
        <f t="shared" si="14"/>
        <v>1</v>
      </c>
      <c r="AD27" s="442">
        <f t="shared" si="14"/>
        <v>0</v>
      </c>
    </row>
    <row r="28" spans="1:30" x14ac:dyDescent="0.35">
      <c r="A28" s="441" t="s">
        <v>98</v>
      </c>
      <c r="B28" s="440">
        <f t="shared" si="0"/>
        <v>65</v>
      </c>
      <c r="C28" s="440"/>
      <c r="D28" s="440"/>
      <c r="E28" s="440"/>
      <c r="F28" s="440"/>
      <c r="G28" s="440"/>
      <c r="H28" s="440"/>
      <c r="I28" s="440"/>
      <c r="J28" s="440"/>
      <c r="K28" s="440"/>
      <c r="L28" s="440"/>
      <c r="M28" s="440"/>
      <c r="N28" s="440">
        <v>22</v>
      </c>
      <c r="O28" s="440">
        <v>36</v>
      </c>
      <c r="P28" s="440"/>
      <c r="Q28" s="440"/>
      <c r="R28" s="440"/>
      <c r="S28" s="440"/>
      <c r="T28" s="440"/>
      <c r="U28" s="440">
        <v>5</v>
      </c>
      <c r="V28" s="440"/>
      <c r="W28" s="440"/>
      <c r="X28" s="440"/>
      <c r="Y28" s="440">
        <v>2</v>
      </c>
      <c r="Z28" s="438">
        <v>5</v>
      </c>
      <c r="AA28" s="438">
        <v>70</v>
      </c>
      <c r="AB28" s="438">
        <v>65</v>
      </c>
      <c r="AC28" s="439">
        <f>AB28/B28</f>
        <v>1</v>
      </c>
      <c r="AD28" s="438">
        <f>Z28+B28-AA28</f>
        <v>0</v>
      </c>
    </row>
    <row r="29" spans="1:30" x14ac:dyDescent="0.35">
      <c r="A29" s="444" t="s">
        <v>99</v>
      </c>
      <c r="B29" s="442">
        <f t="shared" si="0"/>
        <v>31</v>
      </c>
      <c r="C29" s="442">
        <f t="shared" ref="C29:AB29" si="15">C30</f>
        <v>0</v>
      </c>
      <c r="D29" s="442">
        <f t="shared" si="15"/>
        <v>3</v>
      </c>
      <c r="E29" s="442">
        <f t="shared" si="15"/>
        <v>1</v>
      </c>
      <c r="F29" s="442">
        <f t="shared" si="15"/>
        <v>2</v>
      </c>
      <c r="G29" s="442">
        <f t="shared" si="15"/>
        <v>0</v>
      </c>
      <c r="H29" s="442">
        <f t="shared" si="15"/>
        <v>1</v>
      </c>
      <c r="I29" s="442">
        <f t="shared" si="15"/>
        <v>1</v>
      </c>
      <c r="J29" s="442">
        <f t="shared" si="15"/>
        <v>0</v>
      </c>
      <c r="K29" s="442">
        <f t="shared" si="15"/>
        <v>0</v>
      </c>
      <c r="L29" s="442">
        <f t="shared" si="15"/>
        <v>1</v>
      </c>
      <c r="M29" s="442">
        <f t="shared" si="15"/>
        <v>0</v>
      </c>
      <c r="N29" s="442">
        <f t="shared" si="15"/>
        <v>0</v>
      </c>
      <c r="O29" s="442">
        <f t="shared" si="15"/>
        <v>0</v>
      </c>
      <c r="P29" s="442">
        <f t="shared" si="15"/>
        <v>1</v>
      </c>
      <c r="Q29" s="442">
        <f t="shared" si="15"/>
        <v>1</v>
      </c>
      <c r="R29" s="442">
        <f t="shared" si="15"/>
        <v>5</v>
      </c>
      <c r="S29" s="442">
        <f t="shared" si="15"/>
        <v>2</v>
      </c>
      <c r="T29" s="442">
        <f t="shared" si="15"/>
        <v>0</v>
      </c>
      <c r="U29" s="442">
        <f t="shared" si="15"/>
        <v>0</v>
      </c>
      <c r="V29" s="442">
        <f t="shared" si="15"/>
        <v>0</v>
      </c>
      <c r="W29" s="442">
        <f t="shared" si="15"/>
        <v>0</v>
      </c>
      <c r="X29" s="442">
        <f t="shared" si="15"/>
        <v>0</v>
      </c>
      <c r="Y29" s="442">
        <f t="shared" si="15"/>
        <v>13</v>
      </c>
      <c r="Z29" s="442">
        <f t="shared" si="15"/>
        <v>0</v>
      </c>
      <c r="AA29" s="442">
        <f t="shared" si="15"/>
        <v>23</v>
      </c>
      <c r="AB29" s="442">
        <f t="shared" si="15"/>
        <v>7</v>
      </c>
      <c r="AC29" s="443" t="s">
        <v>272</v>
      </c>
      <c r="AD29" s="442">
        <f>AD30</f>
        <v>8</v>
      </c>
    </row>
    <row r="30" spans="1:30" x14ac:dyDescent="0.35">
      <c r="A30" s="441" t="s">
        <v>100</v>
      </c>
      <c r="B30" s="440">
        <f t="shared" si="0"/>
        <v>31</v>
      </c>
      <c r="C30" s="440">
        <v>0</v>
      </c>
      <c r="D30" s="440">
        <v>3</v>
      </c>
      <c r="E30" s="440">
        <v>1</v>
      </c>
      <c r="F30" s="440">
        <v>2</v>
      </c>
      <c r="G30" s="440">
        <v>0</v>
      </c>
      <c r="H30" s="440">
        <v>1</v>
      </c>
      <c r="I30" s="440">
        <v>1</v>
      </c>
      <c r="J30" s="440">
        <v>0</v>
      </c>
      <c r="K30" s="440">
        <v>0</v>
      </c>
      <c r="L30" s="440">
        <v>1</v>
      </c>
      <c r="M30" s="440">
        <v>0</v>
      </c>
      <c r="N30" s="440">
        <v>0</v>
      </c>
      <c r="O30" s="440">
        <v>0</v>
      </c>
      <c r="P30" s="440">
        <v>1</v>
      </c>
      <c r="Q30" s="440">
        <v>1</v>
      </c>
      <c r="R30" s="440">
        <v>5</v>
      </c>
      <c r="S30" s="440">
        <v>2</v>
      </c>
      <c r="T30" s="440">
        <v>0</v>
      </c>
      <c r="U30" s="440">
        <v>0</v>
      </c>
      <c r="V30" s="440">
        <v>0</v>
      </c>
      <c r="W30" s="440">
        <v>0</v>
      </c>
      <c r="X30" s="440">
        <v>0</v>
      </c>
      <c r="Y30" s="440">
        <v>13</v>
      </c>
      <c r="Z30" s="438">
        <v>0</v>
      </c>
      <c r="AA30" s="438">
        <v>23</v>
      </c>
      <c r="AB30" s="438">
        <v>7</v>
      </c>
      <c r="AC30" s="439">
        <f>AB30/B30</f>
        <v>0.22580645161290322</v>
      </c>
      <c r="AD30" s="438">
        <f>Z30+B30-AA30</f>
        <v>8</v>
      </c>
    </row>
    <row r="31" spans="1:30" x14ac:dyDescent="0.35">
      <c r="A31" s="447" t="s">
        <v>103</v>
      </c>
      <c r="B31" s="445">
        <f t="shared" si="0"/>
        <v>12</v>
      </c>
      <c r="C31" s="445">
        <f t="shared" ref="C31:AB31" si="16">C32+C34</f>
        <v>0</v>
      </c>
      <c r="D31" s="445">
        <f t="shared" si="16"/>
        <v>0</v>
      </c>
      <c r="E31" s="445">
        <f t="shared" si="16"/>
        <v>0</v>
      </c>
      <c r="F31" s="445">
        <f t="shared" si="16"/>
        <v>0</v>
      </c>
      <c r="G31" s="445">
        <f t="shared" si="16"/>
        <v>0</v>
      </c>
      <c r="H31" s="445">
        <f t="shared" si="16"/>
        <v>0</v>
      </c>
      <c r="I31" s="445">
        <f t="shared" si="16"/>
        <v>0</v>
      </c>
      <c r="J31" s="445">
        <f t="shared" si="16"/>
        <v>1</v>
      </c>
      <c r="K31" s="445">
        <f t="shared" si="16"/>
        <v>3</v>
      </c>
      <c r="L31" s="445">
        <f t="shared" si="16"/>
        <v>0</v>
      </c>
      <c r="M31" s="445">
        <f t="shared" si="16"/>
        <v>2</v>
      </c>
      <c r="N31" s="445">
        <f t="shared" si="16"/>
        <v>1</v>
      </c>
      <c r="O31" s="445">
        <f t="shared" si="16"/>
        <v>0</v>
      </c>
      <c r="P31" s="445">
        <f t="shared" si="16"/>
        <v>0</v>
      </c>
      <c r="Q31" s="445">
        <f t="shared" si="16"/>
        <v>0</v>
      </c>
      <c r="R31" s="445">
        <f t="shared" si="16"/>
        <v>0</v>
      </c>
      <c r="S31" s="445">
        <f t="shared" si="16"/>
        <v>0</v>
      </c>
      <c r="T31" s="445">
        <f t="shared" si="16"/>
        <v>1</v>
      </c>
      <c r="U31" s="445">
        <f t="shared" si="16"/>
        <v>3</v>
      </c>
      <c r="V31" s="445">
        <f t="shared" si="16"/>
        <v>0</v>
      </c>
      <c r="W31" s="445">
        <f t="shared" si="16"/>
        <v>0</v>
      </c>
      <c r="X31" s="445">
        <f t="shared" si="16"/>
        <v>0</v>
      </c>
      <c r="Y31" s="445">
        <f t="shared" si="16"/>
        <v>1</v>
      </c>
      <c r="Z31" s="445">
        <f t="shared" si="16"/>
        <v>0</v>
      </c>
      <c r="AA31" s="445">
        <f t="shared" si="16"/>
        <v>12</v>
      </c>
      <c r="AB31" s="445">
        <f t="shared" si="16"/>
        <v>11</v>
      </c>
      <c r="AC31" s="446">
        <f>AB31/B31</f>
        <v>0.91666666666666663</v>
      </c>
      <c r="AD31" s="445">
        <f>AD32+AD34</f>
        <v>0</v>
      </c>
    </row>
    <row r="32" spans="1:30" x14ac:dyDescent="0.35">
      <c r="A32" s="444" t="s">
        <v>104</v>
      </c>
      <c r="B32" s="442">
        <f t="shared" si="0"/>
        <v>0</v>
      </c>
      <c r="C32" s="442">
        <f t="shared" ref="C32:AB32" si="17">C33</f>
        <v>0</v>
      </c>
      <c r="D32" s="442">
        <f t="shared" si="17"/>
        <v>0</v>
      </c>
      <c r="E32" s="442">
        <f t="shared" si="17"/>
        <v>0</v>
      </c>
      <c r="F32" s="442">
        <f t="shared" si="17"/>
        <v>0</v>
      </c>
      <c r="G32" s="442">
        <f t="shared" si="17"/>
        <v>0</v>
      </c>
      <c r="H32" s="442">
        <f t="shared" si="17"/>
        <v>0</v>
      </c>
      <c r="I32" s="442">
        <f t="shared" si="17"/>
        <v>0</v>
      </c>
      <c r="J32" s="442">
        <f t="shared" si="17"/>
        <v>0</v>
      </c>
      <c r="K32" s="442">
        <f t="shared" si="17"/>
        <v>0</v>
      </c>
      <c r="L32" s="442">
        <f t="shared" si="17"/>
        <v>0</v>
      </c>
      <c r="M32" s="442">
        <f t="shared" si="17"/>
        <v>0</v>
      </c>
      <c r="N32" s="442">
        <f t="shared" si="17"/>
        <v>0</v>
      </c>
      <c r="O32" s="442">
        <f t="shared" si="17"/>
        <v>0</v>
      </c>
      <c r="P32" s="442">
        <f t="shared" si="17"/>
        <v>0</v>
      </c>
      <c r="Q32" s="442">
        <f t="shared" si="17"/>
        <v>0</v>
      </c>
      <c r="R32" s="442">
        <f t="shared" si="17"/>
        <v>0</v>
      </c>
      <c r="S32" s="442">
        <f t="shared" si="17"/>
        <v>0</v>
      </c>
      <c r="T32" s="442">
        <f t="shared" si="17"/>
        <v>0</v>
      </c>
      <c r="U32" s="442">
        <f t="shared" si="17"/>
        <v>0</v>
      </c>
      <c r="V32" s="442">
        <f t="shared" si="17"/>
        <v>0</v>
      </c>
      <c r="W32" s="442">
        <f t="shared" si="17"/>
        <v>0</v>
      </c>
      <c r="X32" s="442">
        <f t="shared" si="17"/>
        <v>0</v>
      </c>
      <c r="Y32" s="442">
        <f t="shared" si="17"/>
        <v>0</v>
      </c>
      <c r="Z32" s="442">
        <f t="shared" si="17"/>
        <v>0</v>
      </c>
      <c r="AA32" s="442">
        <f t="shared" si="17"/>
        <v>0</v>
      </c>
      <c r="AB32" s="442">
        <f t="shared" si="17"/>
        <v>0</v>
      </c>
      <c r="AC32" s="443" t="s">
        <v>272</v>
      </c>
      <c r="AD32" s="442">
        <f>AD33</f>
        <v>0</v>
      </c>
    </row>
    <row r="33" spans="1:30" x14ac:dyDescent="0.35">
      <c r="A33" s="441" t="s">
        <v>105</v>
      </c>
      <c r="B33" s="440">
        <f t="shared" si="0"/>
        <v>0</v>
      </c>
      <c r="C33" s="440">
        <v>0</v>
      </c>
      <c r="D33" s="440">
        <v>0</v>
      </c>
      <c r="E33" s="440">
        <v>0</v>
      </c>
      <c r="F33" s="440">
        <v>0</v>
      </c>
      <c r="G33" s="440">
        <v>0</v>
      </c>
      <c r="H33" s="440">
        <v>0</v>
      </c>
      <c r="I33" s="440">
        <v>0</v>
      </c>
      <c r="J33" s="440">
        <v>0</v>
      </c>
      <c r="K33" s="440">
        <v>0</v>
      </c>
      <c r="L33" s="440">
        <v>0</v>
      </c>
      <c r="M33" s="440">
        <v>0</v>
      </c>
      <c r="N33" s="440">
        <v>0</v>
      </c>
      <c r="O33" s="440">
        <v>0</v>
      </c>
      <c r="P33" s="440">
        <v>0</v>
      </c>
      <c r="Q33" s="440">
        <v>0</v>
      </c>
      <c r="R33" s="440">
        <v>0</v>
      </c>
      <c r="S33" s="440">
        <v>0</v>
      </c>
      <c r="T33" s="440">
        <v>0</v>
      </c>
      <c r="U33" s="440">
        <v>0</v>
      </c>
      <c r="V33" s="440">
        <v>0</v>
      </c>
      <c r="W33" s="440">
        <v>0</v>
      </c>
      <c r="X33" s="440">
        <v>0</v>
      </c>
      <c r="Y33" s="440">
        <v>0</v>
      </c>
      <c r="Z33" s="440">
        <v>0</v>
      </c>
      <c r="AA33" s="440">
        <v>0</v>
      </c>
      <c r="AB33" s="438">
        <v>0</v>
      </c>
      <c r="AC33" s="439" t="s">
        <v>272</v>
      </c>
      <c r="AD33" s="438">
        <f>Z33+B33-AA33</f>
        <v>0</v>
      </c>
    </row>
    <row r="34" spans="1:30" x14ac:dyDescent="0.35">
      <c r="A34" s="444" t="s">
        <v>109</v>
      </c>
      <c r="B34" s="442">
        <f t="shared" si="0"/>
        <v>12</v>
      </c>
      <c r="C34" s="442">
        <f t="shared" ref="C34:AB34" si="18">C35+C36</f>
        <v>0</v>
      </c>
      <c r="D34" s="442">
        <f t="shared" si="18"/>
        <v>0</v>
      </c>
      <c r="E34" s="442">
        <f t="shared" si="18"/>
        <v>0</v>
      </c>
      <c r="F34" s="442">
        <f t="shared" si="18"/>
        <v>0</v>
      </c>
      <c r="G34" s="442">
        <f t="shared" si="18"/>
        <v>0</v>
      </c>
      <c r="H34" s="442">
        <f t="shared" si="18"/>
        <v>0</v>
      </c>
      <c r="I34" s="442">
        <f t="shared" si="18"/>
        <v>0</v>
      </c>
      <c r="J34" s="442">
        <f t="shared" si="18"/>
        <v>1</v>
      </c>
      <c r="K34" s="442">
        <f t="shared" si="18"/>
        <v>3</v>
      </c>
      <c r="L34" s="442">
        <f t="shared" si="18"/>
        <v>0</v>
      </c>
      <c r="M34" s="442">
        <f t="shared" si="18"/>
        <v>2</v>
      </c>
      <c r="N34" s="442">
        <f t="shared" si="18"/>
        <v>1</v>
      </c>
      <c r="O34" s="442">
        <f t="shared" si="18"/>
        <v>0</v>
      </c>
      <c r="P34" s="442">
        <f t="shared" si="18"/>
        <v>0</v>
      </c>
      <c r="Q34" s="442">
        <f t="shared" si="18"/>
        <v>0</v>
      </c>
      <c r="R34" s="442">
        <f t="shared" si="18"/>
        <v>0</v>
      </c>
      <c r="S34" s="442">
        <f t="shared" si="18"/>
        <v>0</v>
      </c>
      <c r="T34" s="442">
        <f t="shared" si="18"/>
        <v>1</v>
      </c>
      <c r="U34" s="442">
        <f t="shared" si="18"/>
        <v>3</v>
      </c>
      <c r="V34" s="442">
        <f t="shared" si="18"/>
        <v>0</v>
      </c>
      <c r="W34" s="442">
        <f t="shared" si="18"/>
        <v>0</v>
      </c>
      <c r="X34" s="442">
        <f t="shared" si="18"/>
        <v>0</v>
      </c>
      <c r="Y34" s="442">
        <f t="shared" si="18"/>
        <v>1</v>
      </c>
      <c r="Z34" s="442">
        <f t="shared" si="18"/>
        <v>0</v>
      </c>
      <c r="AA34" s="442">
        <f t="shared" si="18"/>
        <v>12</v>
      </c>
      <c r="AB34" s="442">
        <f t="shared" si="18"/>
        <v>11</v>
      </c>
      <c r="AC34" s="443">
        <f>AB34/B34</f>
        <v>0.91666666666666663</v>
      </c>
      <c r="AD34" s="442">
        <f>AD35+AD36</f>
        <v>0</v>
      </c>
    </row>
    <row r="35" spans="1:30" x14ac:dyDescent="0.35">
      <c r="A35" s="441" t="s">
        <v>110</v>
      </c>
      <c r="B35" s="440">
        <f t="shared" si="0"/>
        <v>0</v>
      </c>
      <c r="C35" s="440"/>
      <c r="D35" s="440"/>
      <c r="E35" s="440"/>
      <c r="F35" s="440"/>
      <c r="G35" s="440"/>
      <c r="H35" s="440"/>
      <c r="I35" s="440"/>
      <c r="J35" s="440"/>
      <c r="K35" s="440"/>
      <c r="L35" s="440"/>
      <c r="M35" s="440"/>
      <c r="N35" s="440"/>
      <c r="O35" s="440"/>
      <c r="P35" s="440"/>
      <c r="Q35" s="440"/>
      <c r="R35" s="440"/>
      <c r="S35" s="440"/>
      <c r="T35" s="440"/>
      <c r="U35" s="440"/>
      <c r="V35" s="440"/>
      <c r="W35" s="440"/>
      <c r="X35" s="440"/>
      <c r="Y35" s="440"/>
      <c r="Z35" s="440">
        <v>0</v>
      </c>
      <c r="AA35" s="440">
        <v>0</v>
      </c>
      <c r="AB35" s="438">
        <v>0</v>
      </c>
      <c r="AC35" s="439" t="s">
        <v>272</v>
      </c>
      <c r="AD35" s="438">
        <f>Z35+B35-AA35</f>
        <v>0</v>
      </c>
    </row>
    <row r="36" spans="1:30" x14ac:dyDescent="0.35">
      <c r="A36" s="437" t="s">
        <v>111</v>
      </c>
      <c r="B36" s="435">
        <f t="shared" si="0"/>
        <v>12</v>
      </c>
      <c r="C36" s="435"/>
      <c r="D36" s="435"/>
      <c r="E36" s="435"/>
      <c r="F36" s="435"/>
      <c r="G36" s="435"/>
      <c r="H36" s="435"/>
      <c r="I36" s="435"/>
      <c r="J36" s="435">
        <v>1</v>
      </c>
      <c r="K36" s="435">
        <v>3</v>
      </c>
      <c r="L36" s="435"/>
      <c r="M36" s="435">
        <v>2</v>
      </c>
      <c r="N36" s="435">
        <v>1</v>
      </c>
      <c r="O36" s="435"/>
      <c r="P36" s="435"/>
      <c r="Q36" s="435"/>
      <c r="R36" s="435"/>
      <c r="S36" s="435"/>
      <c r="T36" s="435">
        <v>1</v>
      </c>
      <c r="U36" s="435">
        <v>3</v>
      </c>
      <c r="V36" s="435"/>
      <c r="W36" s="435"/>
      <c r="X36" s="435"/>
      <c r="Y36" s="435">
        <v>1</v>
      </c>
      <c r="Z36" s="435"/>
      <c r="AA36" s="435">
        <v>12</v>
      </c>
      <c r="AB36" s="435">
        <v>11</v>
      </c>
      <c r="AC36" s="436">
        <f>AB36/B36</f>
        <v>0.91666666666666663</v>
      </c>
      <c r="AD36" s="435">
        <f>Z36+B36-AA36</f>
        <v>0</v>
      </c>
    </row>
  </sheetData>
  <mergeCells count="2">
    <mergeCell ref="B1:Y1"/>
    <mergeCell ref="Z1:AD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4CDF6F4168214A978DBD67DE9AF3DA" ma:contentTypeVersion="20" ma:contentTypeDescription="Create a new document." ma:contentTypeScope="" ma:versionID="2e66434068edbcccdfbeb78bdb54ca94">
  <xsd:schema xmlns:xsd="http://www.w3.org/2001/XMLSchema" xmlns:xs="http://www.w3.org/2001/XMLSchema" xmlns:p="http://schemas.microsoft.com/office/2006/metadata/properties" xmlns:ns2="9bff127a-7c4f-4618-b19b-8e8261cf3f49" xmlns:ns3="20047184-dd29-460f-9721-b19aac3cf60d" xmlns:ns4="2c9a543f-ffb2-4ba6-8547-cab586949fbd" targetNamespace="http://schemas.microsoft.com/office/2006/metadata/properties" ma:root="true" ma:fieldsID="b20b5e3da48acdac0ff6e114769afc02" ns2:_="" ns3:_="" ns4:_="">
    <xsd:import namespace="9bff127a-7c4f-4618-b19b-8e8261cf3f49"/>
    <xsd:import namespace="20047184-dd29-460f-9721-b19aac3cf60d"/>
    <xsd:import namespace="2c9a543f-ffb2-4ba6-8547-cab586949fb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picture" minOccurs="0"/>
                <xsd:element ref="ns2:image"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ff127a-7c4f-4618-b19b-8e8261cf3f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picture" ma:index="20" nillable="true" ma:displayName="picture" ma:format="Thumbnail" ma:internalName="picture">
      <xsd:simpleType>
        <xsd:restriction base="dms:Unknown"/>
      </xsd:simpleType>
    </xsd:element>
    <xsd:element name="image" ma:index="21" nillable="true" ma:displayName="image" ma:format="Thumbnail" ma:internalName="image">
      <xsd:simpleType>
        <xsd:restriction base="dms:Unknow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5e56d7ab-d198-46f0-a5ce-258f62fc132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047184-dd29-460f-9721-b19aac3cf60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9a543f-ffb2-4ba6-8547-cab586949fbd"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f73e613d-5ecd-43db-8e5f-492f16274a11}" ma:internalName="TaxCatchAll" ma:showField="CatchAllData" ma:web="20047184-dd29-460f-9721-b19aac3cf6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icture xmlns="9bff127a-7c4f-4618-b19b-8e8261cf3f49" xsi:nil="true"/>
    <TaxCatchAll xmlns="2c9a543f-ffb2-4ba6-8547-cab586949fbd" xsi:nil="true"/>
    <image xmlns="9bff127a-7c4f-4618-b19b-8e8261cf3f49" xsi:nil="true"/>
    <lcf76f155ced4ddcb4097134ff3c332f xmlns="9bff127a-7c4f-4618-b19b-8e8261cf3f4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E05E8B-8CC3-410D-A8FE-34A39DC76D39}">
  <ds:schemaRefs>
    <ds:schemaRef ds:uri="http://schemas.microsoft.com/sharepoint/v3/contenttype/forms"/>
  </ds:schemaRefs>
</ds:datastoreItem>
</file>

<file path=customXml/itemProps2.xml><?xml version="1.0" encoding="utf-8"?>
<ds:datastoreItem xmlns:ds="http://schemas.openxmlformats.org/officeDocument/2006/customXml" ds:itemID="{7D9A944A-8D07-4FDE-B3F4-FDA8698CF9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ff127a-7c4f-4618-b19b-8e8261cf3f49"/>
    <ds:schemaRef ds:uri="20047184-dd29-460f-9721-b19aac3cf60d"/>
    <ds:schemaRef ds:uri="2c9a543f-ffb2-4ba6-8547-cab586949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B056C22-2BC2-4C7A-BE49-E2700146B09E}">
  <ds:schemaRefs>
    <ds:schemaRef ds:uri="9bff127a-7c4f-4618-b19b-8e8261cf3f49"/>
    <ds:schemaRef ds:uri="http://schemas.microsoft.com/office/2006/metadata/properties"/>
    <ds:schemaRef ds:uri="http://schemas.microsoft.com/office/infopath/2007/PartnerControls"/>
    <ds:schemaRef ds:uri="http://purl.org/dc/elements/1.1/"/>
    <ds:schemaRef ds:uri="http://purl.org/dc/dcmitype/"/>
    <ds:schemaRef ds:uri="2c9a543f-ffb2-4ba6-8547-cab586949fbd"/>
    <ds:schemaRef ds:uri="http://purl.org/dc/terms/"/>
    <ds:schemaRef ds:uri="http://schemas.microsoft.com/office/2006/documentManagement/types"/>
    <ds:schemaRef ds:uri="http://schemas.openxmlformats.org/package/2006/metadata/core-properties"/>
    <ds:schemaRef ds:uri="20047184-dd29-460f-9721-b19aac3cf60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Economic Values</vt:lpstr>
      <vt:lpstr>Water</vt:lpstr>
      <vt:lpstr>GHG and Energy </vt:lpstr>
      <vt:lpstr>Safety</vt:lpstr>
      <vt:lpstr>Incidents and Spills</vt:lpstr>
      <vt:lpstr>Waste Effluent and Material</vt:lpstr>
      <vt:lpstr>Grievances</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John Gemmell</cp:lastModifiedBy>
  <cp:revision>2</cp:revision>
  <dcterms:created xsi:type="dcterms:W3CDTF">2024-04-09T14:56:30Z</dcterms:created>
  <dcterms:modified xsi:type="dcterms:W3CDTF">2024-05-14T01:26:09Z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0x010100364CDF6F4168214A978DBD67DE9AF3DA</vt:lpwstr>
  </property>
  <property fmtid="{D5CDD505-2E9C-101B-9397-08002B2CF9AE}" pid="3" name="MediaServiceImageTags">
    <vt:lpwstr/>
  </property>
</Properties>
</file>