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Newmont Corporation/"/>
    </mc:Choice>
  </mc:AlternateContent>
  <xr:revisionPtr revIDLastSave="6" documentId="8_{0B93E8B6-9D7A-4FA1-B879-A9CA72F37514}" xr6:coauthVersionLast="47" xr6:coauthVersionMax="47" xr10:uidLastSave="{39925314-D0BF-48C9-B07E-81EEC17C2042}"/>
  <bookViews>
    <workbookView xWindow="-108" yWindow="-108" windowWidth="23256" windowHeight="12456" tabRatio="500" firstSheet="8" activeTab="10" xr2:uid="{00000000-000D-0000-FFFF-FFFF00000000}"/>
  </bookViews>
  <sheets>
    <sheet name="ABOUT THE ESG DATA TABLES" sheetId="1" r:id="rId1"/>
    <sheet name="TABLE OF CONTENTS" sheetId="2" r:id="rId2"/>
    <sheet name="Compliance-Significant Events" sheetId="3" r:id="rId3"/>
    <sheet name="Integrity-Anti-Corruption" sheetId="4" r:id="rId4"/>
    <sheet name="Policy Influence" sheetId="5" r:id="rId5"/>
    <sheet name="Air Emissions" sheetId="6" r:id="rId6"/>
    <sheet name="Biodiversity" sheetId="7" r:id="rId7"/>
    <sheet name="Closure and Reclamation" sheetId="8" r:id="rId8"/>
    <sheet name="Cyanide Management" sheetId="9" r:id="rId9"/>
    <sheet name="Climate Change" sheetId="45" r:id="rId10"/>
    <sheet name="Pro forma Climate Change" sheetId="47" r:id="rId11"/>
    <sheet name="Significant Materials Consumpti" sheetId="10" r:id="rId12"/>
    <sheet name="Spills" sheetId="11" r:id="rId13"/>
    <sheet name="Tailings Management" sheetId="12" r:id="rId14"/>
    <sheet name="Waste" sheetId="13" r:id="rId15"/>
    <sheet name="Water Stewardship" sheetId="14" r:id="rId16"/>
    <sheet name="Emergency Preparedness" sheetId="15" r:id="rId17"/>
    <sheet name="Workforce Safety Stats" sheetId="16" r:id="rId18"/>
    <sheet name="ASM" sheetId="17" r:id="rId19"/>
    <sheet name="Community Impacts" sheetId="18" r:id="rId20"/>
    <sheet name="Complaints" sheetId="19" r:id="rId21"/>
    <sheet name="HumRts-Assessments" sheetId="20" r:id="rId22"/>
    <sheet name="HumRts-Supplier Screening" sheetId="21" r:id="rId23"/>
    <sheet name="HumRts-Training-Security Person" sheetId="22" r:id="rId24"/>
    <sheet name="HumRts-Training-Workforce" sheetId="23" r:id="rId25"/>
    <sheet name="Indigenous Peoples" sheetId="24" r:id="rId26"/>
    <sheet name="Land or Resource Use Disputes" sheetId="25" r:id="rId27"/>
    <sheet name="Resettlement" sheetId="26" r:id="rId28"/>
    <sheet name="SIA and Engagement" sheetId="27" r:id="rId29"/>
    <sheet name="COVID Global Community Support " sheetId="28" r:id="rId30"/>
    <sheet name="Community Investments" sheetId="29" r:id="rId31"/>
    <sheet name="Economic Value Gen-Distri" sheetId="30" r:id="rId32"/>
    <sheet name="Supply Chain Spending" sheetId="31" r:id="rId33"/>
    <sheet name="Tax Transparency" sheetId="32" r:id="rId34"/>
    <sheet name="Breakout of Total Workforce" sheetId="33" r:id="rId35"/>
    <sheet name="Compensation and Equal Remunera" sheetId="34" r:id="rId36"/>
    <sheet name="Diversity" sheetId="35" r:id="rId37"/>
    <sheet name="Labor-Mgmt Relations" sheetId="36" r:id="rId38"/>
    <sheet name="Talent Attraction and Retention" sheetId="37" r:id="rId39"/>
    <sheet name="Training and Professional Devel" sheetId="38" r:id="rId40"/>
    <sheet name="2023 Normalizing Denominators" sheetId="44" r:id="rId41"/>
    <sheet name="NEWCREST DATA" sheetId="39" r:id="rId42"/>
    <sheet name="403-9 Work-related injuries" sheetId="40" r:id="rId43"/>
    <sheet name="305 Scope 1 &amp; 2" sheetId="46" r:id="rId44"/>
    <sheet name="303-3 Water withdrawal" sheetId="41" r:id="rId45"/>
    <sheet name="2-7 Employees" sheetId="42" r:id="rId46"/>
    <sheet name="405-2 Ratio of basic salary" sheetId="43" r:id="rId4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31" l="1"/>
  <c r="H23" i="31"/>
  <c r="F31" i="31"/>
  <c r="F23" i="31"/>
</calcChain>
</file>

<file path=xl/sharedStrings.xml><?xml version="1.0" encoding="utf-8"?>
<sst xmlns="http://schemas.openxmlformats.org/spreadsheetml/2006/main" count="4730" uniqueCount="1539">
  <si>
    <t>2023 ESG Performance Data Tables</t>
  </si>
  <si>
    <t>Version control:
Version 1 - April 18, 2024 - Original version posted
Version 2 - May 16, 2024 - Addition of Energy and Climate data presented in Newmont's 2023 Climate Performance Update
Version 3 - October 31, 2024 - Addition of Pro forma Climate Change data (this dataset represents a consolidated data set for Newmont and Newcrest as a combined portfolio for 2023 and trailing years)
Version 4 - November 13, 2024 - Adjustment to the 2019 Scope 3 Category 1 and Total values within the Pro forma Climate Change tab due to error in publication on Version 3</t>
  </si>
  <si>
    <t>About the 2023 ESG performance data</t>
  </si>
  <si>
    <t>Performance data is for the period January 1– December 31, 2023, for Newmont sites before the acquisition of Newcrest on November 6, 2023 (wholly owned operations and joint ventures where Newmont is the operator), with the exception of the Pro forma Climate Change data set added on October 31, 2024. Select performance data for sites acquired as part of the Newcrest transaction for the period November 6–December 31, 2023, is available within the section titled "FORMER NEWCREST DATA" of this file, or beginning on page 80 of the 2023 Performance Data PDF. See Report Assurance section of the 2023 Sustainability Report on page 109 for more details. Unless otherwise noted, Newmont’s corporate office, regional offices, exploration sites and legacy sites are not included in the data. 
The methodology and basis of data preparation related to the selected performance metrics in scope for 2023 assurance are available on our website.
All financial figures are quoted in U.S. dollars unless otherwise noted. Some figures and percentages may not add up to the total figure or 100 percent due to rounding.
References to “Newmont,” “the Company,” “we” and “our” refer to Newmont Corporation and/or our affiliates, joint ventures and subsidiaries. References to “Newcrest”, "new-to-Newmont" or “former Newcrest” refer to Newcrest Mining Limited prior to its acquisition by Newmont on November 6, 2023. References to “Goldcorp” or “former Goldcorp” refer to Goldcorp, Inc. prior to its acquisition by Newmont in 2019. Data presented in this report covers our performance for the 2023 calendar year, which corresponds to our fiscal year.</t>
  </si>
  <si>
    <r>
      <rPr>
        <b/>
        <sz val="10"/>
        <color rgb="FF000000"/>
        <rFont val="Calibri"/>
        <family val="2"/>
      </rPr>
      <t xml:space="preserve">External assurance: </t>
    </r>
    <r>
      <rPr>
        <sz val="10"/>
        <color rgb="FF000000"/>
        <rFont val="Calibri"/>
        <family val="2"/>
      </rPr>
      <t>PricewaterhouseCoopers (PwC) is Newmont’s independent assurance provider for 2023 sustainability reporting. PwC's assurance scope over the publications in April and May 2024 involved reviewing disclosures at the enterprise level, which encompasses data from the 12 operating sites managed by Newmont before the Newcrest acquisition in November 2023. The scope also includes some disclosures that are only reported at the site level (e.g. local employment). PwC's assurance is reflected in the Report Assurance Statements found on our website. Ernst &amp; Young provided assurance over select publicly reported material data for sites acquired in the Newcrest transaction. EY's assurance is reflected in a separate Report Assurance Statement that can be found on our website. PwC also performed assurance over selected metrics within the Pro forma Climate data set published in October 2024. The scope of this data set, as mentioned in 2023 Pro Forma Climate Data Statement (found on Newmont’s website) covers Newmont and Newcrest as a combined portfolio for 2023, which includes data for periods in which we did not have operational control over the Newcrest assets. The assurance report for the Pro forma data can also be found on Newmont's website.</t>
    </r>
  </si>
  <si>
    <t>Newmont Independent Limted Assurance Reports</t>
  </si>
  <si>
    <r>
      <rPr>
        <b/>
        <sz val="10"/>
        <color rgb="FF000000"/>
        <rFont val="Calibri"/>
        <family val="2"/>
      </rPr>
      <t>Methodology:</t>
    </r>
    <r>
      <rPr>
        <sz val="10"/>
        <color rgb="FF000000"/>
        <rFont val="Calibri"/>
        <family val="2"/>
      </rPr>
      <t xml:space="preserve"> We have documented the methodology and basis of data preparation related to the selected sustainability performance metrics in scope for 2023 assurance for Newmont sites prior to the Newcrest acquisition.</t>
    </r>
  </si>
  <si>
    <t xml:space="preserve">Newmont's 2023 Sustainability Report Methodologies are available on our website. </t>
  </si>
  <si>
    <t>To review changes in definitions from prior year reporting, see our 2022 Sustainability Report Methodology.</t>
  </si>
  <si>
    <r>
      <rPr>
        <b/>
        <sz val="10"/>
        <color rgb="FF000000"/>
        <rFont val="Calibri"/>
        <family val="2"/>
      </rPr>
      <t xml:space="preserve">Reporting standards: </t>
    </r>
    <r>
      <rPr>
        <sz val="10"/>
        <color rgb="FF000000"/>
        <rFont val="Calibri"/>
        <family val="2"/>
      </rPr>
      <t xml:space="preserve">Data in the ESG data tables align with the requirements in the following sustainability standards:
	•Global Reporting Initiative (GRI) Standards, including the Mining and Metals Sector Supplement;
	•Sustainability Accounting Standards Board (SASB) Version 2023-12 of the SASB Metals &amp; Mining Industry Standard;
	•United Nations Guiding Principles (UNGP) on Business and Human Rights Reporting Framework and Guidance;
	•Extractive Industries Transparency Initiative (EITI) Expecations;
	•International Council on Mining and Metals (ICMM) Social and Economic Reporting Framework and Guidance;
	•ICMM Mining Principles;
	•World Gold Council (WGC) Responsible Gold Mining Principles; and
	•Task Force on Climate-related Financial Dislcosures (TCFD) (2017 version) and the TCFD supplemental disclsoures for the Materials and Buildings Group (which includes the metals and mining industry).
Our </t>
    </r>
    <r>
      <rPr>
        <u/>
        <sz val="10"/>
        <color rgb="FF0000FF"/>
        <rFont val="Calibri"/>
        <family val="2"/>
      </rPr>
      <t>Reporting Index</t>
    </r>
    <r>
      <rPr>
        <sz val="10"/>
        <color rgb="FF000000"/>
        <rFont val="Calibri"/>
        <family val="2"/>
      </rPr>
      <t xml:space="preserve"> complements this report, guiding readers to our disclosures under the respective reporting frameworks.</t>
    </r>
  </si>
  <si>
    <r>
      <rPr>
        <b/>
        <sz val="10"/>
        <color rgb="FF000000"/>
        <rFont val="Calibri"/>
        <family val="2"/>
      </rPr>
      <t>Intensity-based denominators:</t>
    </r>
    <r>
      <rPr>
        <sz val="10"/>
        <color rgb="FF000000"/>
        <rFont val="Calibri"/>
        <family val="2"/>
      </rPr>
      <t xml:space="preserve"> To ensure comparability with reporting boundaries, intensity-based denominators (gold equivalent ounces and other production-based figures) have been reviewed to ensure that the scope of the production figures used in the intensity-based denominators matches the sustainability metrics' reporting boundary. For this reason, some figures may vary from production figures produced in Newmont's financial or production disclosures. Intensity values used can be reviewed in the 2023 Intensity Denominators tab.</t>
    </r>
  </si>
  <si>
    <r>
      <rPr>
        <b/>
        <sz val="10"/>
        <color rgb="FF000000"/>
        <rFont val="Calibri"/>
        <family val="2"/>
      </rPr>
      <t>Restatements:</t>
    </r>
    <r>
      <rPr>
        <sz val="10"/>
        <color rgb="FF000000"/>
        <rFont val="Calibri"/>
        <family val="2"/>
      </rPr>
      <t xml:space="preserve"> Ongoing improvements to our data collection systems and measurement methodologies can result in restatements of previously reported data. Restatements of information will be provided when a change in measurement methodology or error in previously reported information results in the potential to influence a users’ decision-making. Restatements will also be provided if there are significant changes in reporting parameters (e.g., mergers, acquisitions, divestments). Such restatements are included as footnotes where applicable.</t>
    </r>
  </si>
  <si>
    <t>Finding additional information:</t>
  </si>
  <si>
    <r>
      <rPr>
        <b/>
        <sz val="10"/>
        <color rgb="FF000000"/>
        <rFont val="Calibri"/>
        <family val="2"/>
      </rPr>
      <t>Financial and Investor Relations:</t>
    </r>
    <r>
      <rPr>
        <sz val="10"/>
        <color rgb="FF000000"/>
        <rFont val="Calibri"/>
        <family val="2"/>
      </rPr>
      <t xml:space="preserve"> For additional information about Newmont's Investor Relations presentations, financial filings and news releases, visit Newmont's Investor Relations page.</t>
    </r>
  </si>
  <si>
    <t>Investors section</t>
  </si>
  <si>
    <r>
      <rPr>
        <b/>
        <sz val="10"/>
        <color rgb="FF000000"/>
        <rFont val="Calibri"/>
        <family val="2"/>
      </rPr>
      <t>Board, executive compensation, related details:</t>
    </r>
    <r>
      <rPr>
        <sz val="10"/>
        <color rgb="FF000000"/>
        <rFont val="Calibri"/>
        <family val="2"/>
      </rPr>
      <t xml:space="preserve"> More information on director and executive compensation and the process for communicating with the Board is reported in our 2024 Proxy Statement.</t>
    </r>
  </si>
  <si>
    <t>2024 Proxy Statement</t>
  </si>
  <si>
    <r>
      <rPr>
        <b/>
        <sz val="10"/>
        <color rgb="FF000000"/>
        <rFont val="Calibri"/>
        <family val="2"/>
      </rPr>
      <t xml:space="preserve">Governance and ethics: </t>
    </r>
    <r>
      <rPr>
        <sz val="10"/>
        <color rgb="FF000000"/>
        <rFont val="Calibri"/>
        <family val="2"/>
      </rPr>
      <t xml:space="preserve">Details of our Board's bylaws, committee charters, guidelines, Newmont Code of Conduct, Supplier Code of Conduct, Political Contributions, public Newmont policies and standards, lobbying reports and other governance practices are available at our website.				</t>
    </r>
  </si>
  <si>
    <t>Governance and Ethics</t>
  </si>
  <si>
    <r>
      <rPr>
        <b/>
        <sz val="10"/>
        <color rgb="FF000000"/>
        <rFont val="Calibri"/>
        <family val="2"/>
      </rPr>
      <t xml:space="preserve">Providing Feedback: </t>
    </r>
    <r>
      <rPr>
        <sz val="10"/>
        <color rgb="FF000000"/>
        <rFont val="Calibri"/>
        <family val="2"/>
      </rPr>
      <t>We welcome feedback on this report or any other aspect of our sustainability performance. For a full list of contacts at Newmont, please visit the Contact Us page on our website.</t>
    </r>
  </si>
  <si>
    <t>Contact Newmont</t>
  </si>
  <si>
    <t>Order of the 2023 ESG Performance Data Tables</t>
  </si>
  <si>
    <t>Newmont Performance Data</t>
  </si>
  <si>
    <t>Newcrest Performance Data</t>
  </si>
  <si>
    <t>Category and topic</t>
  </si>
  <si>
    <t>Data tables</t>
  </si>
  <si>
    <t xml:space="preserve">Business ethics and transparency: </t>
  </si>
  <si>
    <t>Health and safety</t>
  </si>
  <si>
    <t>Compliance and significant events</t>
  </si>
  <si>
    <t>Fines and sanctions for non-compliance with environmental, social or economic laws and regulations: Site level</t>
  </si>
  <si>
    <t>Workforce safety</t>
  </si>
  <si>
    <t>Employee-only safety data: Site level</t>
  </si>
  <si>
    <t>Significant environmental and/or social events: Site level</t>
  </si>
  <si>
    <t>Contractor-only safety data: Site level</t>
  </si>
  <si>
    <t>Integrity and anti-corruption measures</t>
  </si>
  <si>
    <t>Production in countries that have the 20 lowest rankings in the Transparency International Corruption Perception Index</t>
  </si>
  <si>
    <t>Combined employee and contractor safety data: Site level</t>
  </si>
  <si>
    <t>Total integrity matters addressed and substantiated: Trailing five year data</t>
  </si>
  <si>
    <t>Environment</t>
  </si>
  <si>
    <t>Number and outcomes of integrity cases opened, closed, substantiated and addressed: Trailing five year data</t>
  </si>
  <si>
    <t>Emissions</t>
  </si>
  <si>
    <t>Direct (Scope 1) GHG emissions by source (tCO2-e)</t>
  </si>
  <si>
    <t>Nature of matters (all matters) captured in the Integrity Helpline in 2023</t>
  </si>
  <si>
    <t>Indirect (Scope 2 location-based) GHG emissions (tCo2-e)</t>
  </si>
  <si>
    <t>Number and outcomes of substantiated escalated matters: Country level</t>
  </si>
  <si>
    <t>GHG emissions intensity by ore milled (kg CO2-e/t)</t>
  </si>
  <si>
    <t>Percentage of employees attending in-person and virtual integrity training: Trailing five year data</t>
  </si>
  <si>
    <t>Water stewardship</t>
  </si>
  <si>
    <t>Water withdrawal by category: Site level</t>
  </si>
  <si>
    <t>Employee online integrity training: Gender and employee category</t>
  </si>
  <si>
    <t>Workforce</t>
  </si>
  <si>
    <t>Employee online integrity training: Business unit level</t>
  </si>
  <si>
    <t>Workforce demographics overview</t>
  </si>
  <si>
    <t>Employee gender breakout by employment type: Site level</t>
  </si>
  <si>
    <t>Policy influence</t>
  </si>
  <si>
    <t>Political contributions</t>
  </si>
  <si>
    <t>Employee gender breakout by employee category: Site level</t>
  </si>
  <si>
    <t>Trade association dues: Amount and percentage attributable to political advocacy</t>
  </si>
  <si>
    <t>Compensation and equal remuneration</t>
  </si>
  <si>
    <t>Ratio of average female salary to average male salary: Site level</t>
  </si>
  <si>
    <t>U.S. lobbying activities</t>
  </si>
  <si>
    <t>Ratio of basic salary by gender and employee category</t>
  </si>
  <si>
    <t>NEWPAC contributions</t>
  </si>
  <si>
    <t>Largest individual contributions and main topics</t>
  </si>
  <si>
    <t>Total monetary contributions and expenditures: Trailing five year data</t>
  </si>
  <si>
    <t>Environment:</t>
  </si>
  <si>
    <t>Air emissions</t>
  </si>
  <si>
    <t>Site air emissions management plan data: Site level (tonnes)</t>
  </si>
  <si>
    <t>Biodiversity</t>
  </si>
  <si>
    <t>Total wildlife mortalities: Site level</t>
  </si>
  <si>
    <t>Number of wildlife mortalities: Trailing five year data</t>
  </si>
  <si>
    <t>Operations in relation to Key Biodiversity Areas (KBAs): Site level</t>
  </si>
  <si>
    <t>Status of acid rock drainage: Site level</t>
  </si>
  <si>
    <t>Closure and reclamation</t>
  </si>
  <si>
    <t>Amount of land disturbed and reclaimed: Site level (hectares)</t>
  </si>
  <si>
    <t>Total disturbance not yet reclaimed to agreed upon end use: Trailing five year data (thousand hectares)</t>
  </si>
  <si>
    <t>Mine lease area: Site level</t>
  </si>
  <si>
    <t>Cyanide Management</t>
  </si>
  <si>
    <t>Estimated cyanide use: Trailing five year data (thousand tonnes)</t>
  </si>
  <si>
    <t>Cyanide-related incidents: Site level (number of incidents)</t>
  </si>
  <si>
    <t>Climate Change</t>
  </si>
  <si>
    <t>Direct and indirect energy consumed by source: Site level (GJ)</t>
  </si>
  <si>
    <t>Direct and indirect energy consumed by source: Trailing six year data (million GJ)</t>
  </si>
  <si>
    <t>Energy intensity: Trailing six year data</t>
  </si>
  <si>
    <t>Direct (on-site) electricity generated and consumed by source: Site level (GJ)</t>
  </si>
  <si>
    <t>Direct (on-site) electricity generated and consumed by source: Trailing six year data (million GJ)</t>
  </si>
  <si>
    <t>Direct non-renewable energy consumed by source: Site level (percentage)</t>
  </si>
  <si>
    <t>Scope 1 and 2 greenhouse gas (GHG) emissions: Site level (tonnes CO2e)</t>
  </si>
  <si>
    <t>Scope 1 and 2 GHG emissions: Trailing six year data (million t CO2e)</t>
  </si>
  <si>
    <t>Scope 1 and 2 (market-based) GHG emissions intensity (t CO2e / GEO): Trailing six year site level</t>
  </si>
  <si>
    <t>Scope 1 and 2 GHG emissions intensity (t CO2e / GEO): Trailing six year data</t>
  </si>
  <si>
    <t>Direct CO2 emissions from the combustion of biomass: Site level (t CO2)</t>
  </si>
  <si>
    <t>Global Scope 1 emissions subject to emissions-limiting regulations: Site level</t>
  </si>
  <si>
    <t>Total Scope 3 GHG emissions: Site level</t>
  </si>
  <si>
    <t>Scope 3 GHG emissions by Category: Trailing five year data (Mt CO2e)</t>
  </si>
  <si>
    <t>Pro forma Climate Change</t>
  </si>
  <si>
    <t>Significant materials consumption</t>
  </si>
  <si>
    <t>Estimated materials usage: Site level</t>
  </si>
  <si>
    <t>Estimated materials usage: Trailing five year data</t>
  </si>
  <si>
    <t>Spills</t>
  </si>
  <si>
    <t>Environmental spills by number of incidents: Trailing five year data</t>
  </si>
  <si>
    <t>Environmental spills by estimated volume: Trailing five year data</t>
  </si>
  <si>
    <t>Tailings Management</t>
  </si>
  <si>
    <t>Tailings generated and managed: Site level (tonnes)</t>
  </si>
  <si>
    <t>Total waste rock/tailings generated: Trailing five year data (million tonnes)</t>
  </si>
  <si>
    <t>Tailings inventory and disclosures</t>
  </si>
  <si>
    <t>Waste</t>
  </si>
  <si>
    <t>Estimated waste rock generated: Site level (tonnes)</t>
  </si>
  <si>
    <t>Estimated mercury waste generated by type: Site level (kilograms)</t>
  </si>
  <si>
    <t>Estimated hazardous waste diverted from disposal: Site level (tonnes)</t>
  </si>
  <si>
    <t>Estimated non-hazardous waste diverted from disposal: Site level (tonnes)</t>
  </si>
  <si>
    <t>Estimated hazardous waste disposed: Site level (tonnes)</t>
  </si>
  <si>
    <t>Estimated non-hazardous waste disposed: Site level (tonnes)</t>
  </si>
  <si>
    <t>Estimated waste by type: Trailing five year data</t>
  </si>
  <si>
    <t>Water summary: Site level (megaliters (ML))</t>
  </si>
  <si>
    <t>Total water withdrawn and discharged by category: Site level (megaliters)</t>
  </si>
  <si>
    <t>Total water withdrawn: Site level (megaliters)</t>
  </si>
  <si>
    <t>Total water discharge by level of treatment: Site level (megaliters)</t>
  </si>
  <si>
    <t>Water summary: Trailing five year data (megaliters)</t>
  </si>
  <si>
    <t>Water consumed by water quality (megaliters)</t>
  </si>
  <si>
    <t>Water balance</t>
  </si>
  <si>
    <t>Water intensity: Trailing five year data</t>
  </si>
  <si>
    <t>Water-related risk: Site level</t>
  </si>
  <si>
    <t>Water consumed by water quality categories: Trailing five year data (megaliters)</t>
  </si>
  <si>
    <t>Water-stressed sites summary (megaliters)</t>
  </si>
  <si>
    <t>Water balance summary (megaliters)</t>
  </si>
  <si>
    <t>Health and Safety:</t>
  </si>
  <si>
    <t>Emergency preparedness</t>
  </si>
  <si>
    <t xml:space="preserve">Rapid Response performance data: Country level </t>
  </si>
  <si>
    <t>Workforce Safety Stats</t>
  </si>
  <si>
    <t>Employee-only safety rates: Trailing five year data</t>
  </si>
  <si>
    <t>Contractor-only safety rates: Trailing five year data</t>
  </si>
  <si>
    <t>Combined employee and contractor safety rates: Trailing five year data</t>
  </si>
  <si>
    <t>Combined employee and contractor safety rates: Site level</t>
  </si>
  <si>
    <t>Safety trainings: Site level</t>
  </si>
  <si>
    <t>Social:</t>
  </si>
  <si>
    <t>Artisanal and small-scale mining</t>
  </si>
  <si>
    <t>Artisanal and small-scale mining (ASM) activity: Site level</t>
  </si>
  <si>
    <t>Community impacts</t>
  </si>
  <si>
    <t>Community impacts- top three actual and/or potential: Site level</t>
  </si>
  <si>
    <t>Complaints</t>
  </si>
  <si>
    <t>Tier 1 complaints: Site level</t>
  </si>
  <si>
    <t>Tier 1 complaints by category: Top 10 categories</t>
  </si>
  <si>
    <t>Human rights assessments</t>
  </si>
  <si>
    <t>Human rights assessments or reviews conducted: Site level</t>
  </si>
  <si>
    <t>Human rights supplier screening</t>
  </si>
  <si>
    <t>Human rights supplier screening: Country level</t>
  </si>
  <si>
    <t>Human rights security personnel training</t>
  </si>
  <si>
    <t>Voluntary Principles on Security and Human Rights training: Site level</t>
  </si>
  <si>
    <t>Human rights workforce training</t>
  </si>
  <si>
    <t>In-person human rights workforce trainings: Site level</t>
  </si>
  <si>
    <t>Indigenous peoples</t>
  </si>
  <si>
    <t>Operating sites on/near Indigenous peoples' territories and formal agreements in place: Site level</t>
  </si>
  <si>
    <t>Land or resource use disputes</t>
  </si>
  <si>
    <t>Significant disputes related to land or resource use: Site level</t>
  </si>
  <si>
    <t>Resettlement and/or relocation activity</t>
  </si>
  <si>
    <t>Resettlement and/or relocation activity: Site level</t>
  </si>
  <si>
    <t>Social impact assessments and engagement</t>
  </si>
  <si>
    <t>Social impact assessments and engagement practices: Site level</t>
  </si>
  <si>
    <t>Value Sharing:</t>
  </si>
  <si>
    <t>COVID-19 Global Community Support Fund</t>
  </si>
  <si>
    <t>COVID-19 Global Community Support Fund: Site level (thousands)</t>
  </si>
  <si>
    <t>Community investments</t>
  </si>
  <si>
    <t>Community investments: Site level (thousands)</t>
  </si>
  <si>
    <t>Community investment programs related to training and education</t>
  </si>
  <si>
    <t>Economic value generated and distributed</t>
  </si>
  <si>
    <t>Economic value distributed: Country level (millions)</t>
  </si>
  <si>
    <t>Economic value generated: Country level (millions)</t>
  </si>
  <si>
    <t>Supply chain spending</t>
  </si>
  <si>
    <t>Number of suppliers</t>
  </si>
  <si>
    <t>Spending with local suppliers: Site level (thousands)</t>
  </si>
  <si>
    <t>Local/Indigenous procurement targets by site (thousands)</t>
  </si>
  <si>
    <t>Spending on Indigenous suppliers: Site level (thousands)</t>
  </si>
  <si>
    <t>Tax transparency</t>
  </si>
  <si>
    <t>Payments to governments: Country level (millions)</t>
  </si>
  <si>
    <t>Effective tax rates: Country level</t>
  </si>
  <si>
    <t>Workforce:</t>
  </si>
  <si>
    <t>Breakout of total workforce</t>
  </si>
  <si>
    <t>Total workforce by business unit: Trailing five year data</t>
  </si>
  <si>
    <t>Ratio of average female salary to average male salary: Employee category</t>
  </si>
  <si>
    <t>Ratio of average female salary to average male salary: Country level</t>
  </si>
  <si>
    <t>Diversity</t>
  </si>
  <si>
    <t>Employee gender breakout: Country level</t>
  </si>
  <si>
    <t>Employee gender breakout by employee category (number)</t>
  </si>
  <si>
    <t>Percentage of females by employee category: Trailing five year data</t>
  </si>
  <si>
    <t>Employee age distribution: Age range and category (number and percentage)</t>
  </si>
  <si>
    <t>Labor management relations</t>
  </si>
  <si>
    <t>Percentage of workforce represented by union or workplace agreement: Trailing five year data</t>
  </si>
  <si>
    <t>Minimum notice periods regarding operational changes: Site level</t>
  </si>
  <si>
    <t>Strikes and lockouts exceeding one week's duration: Site level</t>
  </si>
  <si>
    <t>Number and duration of non-technical delays: Site level</t>
  </si>
  <si>
    <t>Talent attraction and retention</t>
  </si>
  <si>
    <t>Employee turnover: Business unit level</t>
  </si>
  <si>
    <t>Employee turnover: Age group</t>
  </si>
  <si>
    <t>Employee turnover: Trailing five year data</t>
  </si>
  <si>
    <t>Employee turnover by gender and initiation: Trailing five year data</t>
  </si>
  <si>
    <t>New hires: Country, gender and age group</t>
  </si>
  <si>
    <t>Training and professional development</t>
  </si>
  <si>
    <t>Percentage of employees who received performance reviews by gender and employee category</t>
  </si>
  <si>
    <t>Training and development investment spending and hours</t>
  </si>
  <si>
    <t>Average hours of training per year, per employee by employee category: Trailing five year data</t>
  </si>
  <si>
    <t>Average hours of training per year by employee category: Trailing five year data</t>
  </si>
  <si>
    <t>Normalizing Denominators:</t>
  </si>
  <si>
    <t>Normalizing Denominators</t>
  </si>
  <si>
    <t>2023 Normalizing Denominators: Site level</t>
  </si>
  <si>
    <t xml:space="preserve">BUSINESS INTEGRITY AND TRANSPARENCY: COMPLIANCE AND SIGNIFICANT EVENTS </t>
  </si>
  <si>
    <r>
      <rPr>
        <b/>
        <sz val="10"/>
        <color rgb="FF000000"/>
        <rFont val="Calibri"/>
        <family val="2"/>
      </rPr>
      <t>Fines and sanctions for non-compliance with environmental, social or economic laws and regulations: Site level</t>
    </r>
  </si>
  <si>
    <t>Country/site</t>
  </si>
  <si>
    <t>Fine category</t>
  </si>
  <si>
    <t>Year instance of non-compliance occurred</t>
  </si>
  <si>
    <t xml:space="preserve">Authority </t>
  </si>
  <si>
    <t>Summary of issue</t>
  </si>
  <si>
    <t>Amount paid</t>
  </si>
  <si>
    <t>LATAC</t>
  </si>
  <si>
    <t>Mexico</t>
  </si>
  <si>
    <t>Peñasquito</t>
  </si>
  <si>
    <t>Environmental fine</t>
  </si>
  <si>
    <t>2022</t>
  </si>
  <si>
    <t>Procuraduria Federal de Protección al Ambiente (PROFEPA)</t>
  </si>
  <si>
    <t>On October 22, 2022, during normal operation in the washing process, a leak was detected in the pump casing, causing spillage of water containing tailings. This event was reported in Newmont's 2022 Annual Sustainability Report, though as of December 31, 2022, the fine remain unpaid while subject to dispute. The fine was paid in March of 2023.</t>
  </si>
  <si>
    <t>Pocuraduria Federal de 
Protección al Ambiente 
(PROFEPA)</t>
  </si>
  <si>
    <t>On August 21, 2022 the site experienced a spillage of water containing slurry outside of containment. This event was reported in Newmont's 2022 Annual Sustainability Report, though as of December 31, 2022, the fine remain unpaid while subject to dispute. The fine was paid in February of 2023.</t>
  </si>
  <si>
    <t>2020</t>
  </si>
  <si>
    <r>
      <rPr>
        <sz val="10"/>
        <color rgb="FF000000"/>
        <rFont val="Calibri"/>
        <family val="2"/>
      </rPr>
      <t>On December 13, 2020, a pump failure in the concentrate feed pit that pumps to the Pyrite Leaching Plant occured, resulting in a spill of 150m</t>
    </r>
    <r>
      <rPr>
        <vertAlign val="superscript"/>
        <sz val="10"/>
        <color rgb="FF000000"/>
        <rFont val="Calibri"/>
        <family val="2"/>
      </rPr>
      <t>3</t>
    </r>
    <r>
      <rPr>
        <sz val="10"/>
        <color rgb="FF000000"/>
        <rFont val="Calibri"/>
        <family val="2"/>
      </rPr>
      <t xml:space="preserve"> of tailings. The investigation of the case associated with this incident continued through 2023, and the final ruling and fine was given in November of 2023.</t>
    </r>
  </si>
  <si>
    <t>NORTH AMERICA</t>
  </si>
  <si>
    <t>Canada</t>
  </si>
  <si>
    <t>Éléonore</t>
  </si>
  <si>
    <t>2023</t>
  </si>
  <si>
    <t>Ministère de l'Environnement, de la Lutte contre les changements climatiques, de la Faune et des Parcs (MELCCFP)</t>
  </si>
  <si>
    <t>A notice of non-compliance was issued by MELCCFP in August 2023 for discharging contaminant into the environment beyond the allowable effluent toxicity levels for Daphnia (genus of small planktonic crustaceans) during the month of April 2023. The breach did not result in a monetary fine, but the site was required to take necessary measures to remedy the situation and send corrective action plan to MELCCFP to ensure compliance.</t>
  </si>
  <si>
    <t>Porcupine</t>
  </si>
  <si>
    <t>Ministry of the Environment Conservation and Parks (MECP)</t>
  </si>
  <si>
    <t>The site was issued two fines based on sample testing for regulatory compliance with Total Suspended Solids (TSS), pH and Turbidity limits at the Borden Mine final effluent discharge location.  In both analyses, exceedances over the daily maximum concentration limit for TSS was found. The total fine of $18,570 CAD was issued in December of 2023, with compliance to pay by February 2024. As of the end of December 2023, the fine was not yet paid by the site, but is planned to be paid in 2024.</t>
  </si>
  <si>
    <t>In August of 2022, the site notified the MECP of active seepage from Dome No. 6 Tailing Management Area (TMA), discharging seepage to an unnamed pond south of the facility. The site implemented a Spill Response Plan according to procedures at the time of the event. The spill material was sampled and tested for Rainbow Trout toxicity. In August 2023, the MECP received preliminary results indicating the sample had failed the Rainbow Trout Toxicity test, and the site was issued a  monetary fine, paying a fine of $32,400 CAD.</t>
  </si>
  <si>
    <t>PERU</t>
  </si>
  <si>
    <t>Peru</t>
  </si>
  <si>
    <t>Yanacocha</t>
  </si>
  <si>
    <t>Organismo de Evaluación y Fiscalización Ambiental (OEFA)</t>
  </si>
  <si>
    <t>The OEFA, the governing body responsible for environmental inspections and enforcement in Peru, performs regular oversight in the mining sector to enforce specific environmental obligations. In 2023, the OEFA delivered citations to Minera Yanacocha for environmental non-compliances that occured in 2020, mainly related to permitting and environmental impact studies, with associated fines to be paid.</t>
  </si>
  <si>
    <t>2019</t>
  </si>
  <si>
    <t>In January of 2023, the OEFA imposed three fines for non-compliance with corrective measures mandated by a previous Directorial Resolution for an event that occured at Minera Yanacocha in March of 2019. On March 16th, 2019, the surface drainage pipe for the La Quinua tailings storage facility broke along the haul road, resulting in material sliding from the pad to the perimeter access, non-contact water diversion channel and the Shillamayo Stream.</t>
  </si>
  <si>
    <t>Total fines paid in 2023</t>
  </si>
  <si>
    <r>
      <rPr>
        <b/>
        <sz val="10"/>
        <color rgb="FF000000"/>
        <rFont val="Calibri"/>
        <family val="2"/>
      </rPr>
      <t>Significant environmental and/or social events: Site level</t>
    </r>
    <r>
      <rPr>
        <b/>
        <vertAlign val="superscript"/>
        <sz val="10"/>
        <color rgb="FF000000"/>
        <rFont val="Calibri"/>
        <family val="2"/>
      </rPr>
      <t>1,2</t>
    </r>
  </si>
  <si>
    <t>Event</t>
  </si>
  <si>
    <t>Event level</t>
  </si>
  <si>
    <t>AFRICA</t>
  </si>
  <si>
    <t>Ghana</t>
  </si>
  <si>
    <t>Akyem</t>
  </si>
  <si>
    <t>Slurry spill within processing plant</t>
  </si>
  <si>
    <t>3 - Moderate</t>
  </si>
  <si>
    <t>On 10 February approximately 3,000L of slurry spilled outside of secondary containment during the transfer of slurry between carbon-in-leach (CIL) tanks. The slurry was contained within the process plant.</t>
  </si>
  <si>
    <t>AUSTRALIA</t>
  </si>
  <si>
    <t>Australia</t>
  </si>
  <si>
    <t>Boddington</t>
  </si>
  <si>
    <t>Cyanide spill</t>
  </si>
  <si>
    <t>On 15 October, an employee noticed what appeared to be seepage and tracked it back to the CIL containment pond and the Cyanide Destruction Return Line (DRL) piping. The  pipeline is located at the bottom of a hill near a 120-degree elbow. The polypipe had inadequate supports and  the weight and natural expansion and contraction due to temperature changes weakened the pipe joints and led to eventual failure. Approx 28,000L of treated process water (0.75ppm Weak Acid Dissociable (WAD) cyanide (CN))  was discharged over a 5-day period. Regulator notification and repairs have been completed.</t>
  </si>
  <si>
    <t>Tanami</t>
  </si>
  <si>
    <t>Hydrocarbon fuel spill</t>
  </si>
  <si>
    <t>On 16 April, an electrical fault was identified at the fuel farm and a bypass was initiated to manually transfer fuel from the the bulk storage tank to the transfer tanks.The bypass overrode the high level alarm and led to overfilling of the thank. Approximately 3,100L of diesel was spilled onto disturbed ground. No offsite impact occured.</t>
  </si>
  <si>
    <t>Water pond overflow (with low cyanide)</t>
  </si>
  <si>
    <t>On 4 May, personnel started the diesel pumps at the Tails Drying Pad Runoff Pond to transfer water to a containment pond. Valves were incorrectly positioned and flow was directed into a different pond which then filled and overflowed. Approximately 3,000m3 of process solution with low levels of cyanide (0.7g/m3 WAD CN) overflowed outside of containment. The event was externally reported but did not result in offsite impacts.  </t>
  </si>
  <si>
    <t>Slurry spill</t>
  </si>
  <si>
    <t>On 12 May, an interruption to the electrical supply caused an upset in the mill scats drain and the bund overflowed. Approximately 5m3 of 40ppm WAD cyanide slurry was spilled to disturbed ground. The area has been remediated. Insufficient bunding design &amp; equipment failure were identified as contributing factors. </t>
  </si>
  <si>
    <t>Hydrocarbon spill</t>
  </si>
  <si>
    <t>On 9 October, diesel flow rate had decreased during refueling. The maintenance team investigated and found a leak in a transfer pipe, associated with a pipework sump. An estimated 7000L of diesel was discharged before the leak location was identified and valves isolated. No offsite impact occured.</t>
  </si>
  <si>
    <t>Suriname</t>
  </si>
  <si>
    <t>Merian</t>
  </si>
  <si>
    <t>Hydraulic oil spill</t>
  </si>
  <si>
    <t>On 9 August, a loader operator smelled hydraulic oil and noticed that the dig face had caved in and damaged a valve on the hydraulic tank. Approximately 1,950L of hydraulic oil was spilled. The spill was immediately contained and cleaned. No offsite impact occured.</t>
  </si>
  <si>
    <t xml:space="preserve">Low volume concentrated cyanide spill </t>
  </si>
  <si>
    <t>On 8 May, a leak was detected on the pipeline between the last leach tank and the mill during an inspection.Most of the leak was contained but wind carried some of the process solution (100ppm WAD CN) outside of containment. Approximately 500L of process solution was spilled outside containment. The spill was subsequently contained, cleaned and reported to the Ministry of Environment.</t>
  </si>
  <si>
    <t>Process water spill</t>
  </si>
  <si>
    <t xml:space="preserve">On 11 January, during washdown activities of a planned crusher maintenance window, foam formed in the slime pump box and interfered with the sonic level sensor, indicating the tank was empty. The slime pump was stopped and the pumpbox overflowed. Approximately 7,600L of process water with WAD CN of 1.19 mg/L spilled outside of secondary containment. The process water did not leave the area of permitted disturbance and event was reported to the Ministry of Environment, Conservation and Parks (MECP).
</t>
  </si>
  <si>
    <t>Tailings Storage Facility – 
Seepage Toxicity Failure</t>
  </si>
  <si>
    <t>On 11 July, an exceedance of toxicity levels was identified from a seep which had been monitored since the implementation of a Seepage Action Plan in 2020. Regulators were notified and per the Seepage Action Plan, work commenced immediately on the installation and running of a pump-back system. Site is developing predictive models and has planned upgrades for the tailings facility to further mitigate the seepage risk.</t>
  </si>
  <si>
    <t>On 20 October, Carbon in Pulp (CIP) feed pumps failed and the pumpbox overfilled and splashed onto the hydrogen cyanide sensor which resulted in an evacuation alarm. 1000L of slurry with a source concentration of approximately 150 mg/L WAD CN exited the mill. Sampling results recorded WAD CN concentration of 6.125 mg/L due to mixing with rainwater. Site emergency response team was mobilized as a precautionary measure prior to manual re-start of pumps. Spill was contained on site and cleaned up. Spill was reported to the Ministry of Environment, Conservation and Parks (MECP).</t>
  </si>
  <si>
    <t>U.S.</t>
  </si>
  <si>
    <t>CC&amp;V</t>
  </si>
  <si>
    <t>On 16 October, approximately 2500L of hydraulic oil was spilled from a Komatsu shovel at the dig face caused by a failure of one of the hardline O-rings. Material was cleaned up. No offsite impact occured.</t>
  </si>
  <si>
    <t>On 20 December, during normal operation, a Komatsu shovel developed a hydraulic leak due to a threaded hose connection coming apart resulting in a hydrocarbon spill of approximately 2200L. Material was cleaned up. No offsite impact occured.</t>
  </si>
  <si>
    <t>Lime slurry spill</t>
  </si>
  <si>
    <t>On 11 June, scheduled maintenance had been initiated on a lime suction pump. The maintenance team had not properly isolated the pump resulting in a 200m3 spill of lime slurry outside of containment. Work was completed to minimize the impacted area outside of the containment structure. No offsite impact occured.</t>
  </si>
  <si>
    <t>TOTAL NUMBER OF EVENTS</t>
  </si>
  <si>
    <r>
      <rPr>
        <vertAlign val="superscript"/>
        <sz val="8"/>
        <color rgb="FF000000"/>
        <rFont val="Calibri"/>
        <family val="2"/>
      </rPr>
      <t xml:space="preserve">1 </t>
    </r>
    <r>
      <rPr>
        <sz val="8"/>
        <color rgb="FF000000"/>
        <rFont val="Calibri"/>
        <family val="2"/>
      </rPr>
      <t xml:space="preserve">Newmont assesses events on a scale of 1-5 with level 3 and above considered "significant". To drive consistency of reporting, Environmental and Social Performance Impact calculators have been implemented to assess the gravity, extent and vulnerability of the impact. 
</t>
    </r>
    <r>
      <rPr>
        <vertAlign val="superscript"/>
        <sz val="8"/>
        <color rgb="FF000000"/>
        <rFont val="Calibri"/>
        <family val="2"/>
      </rPr>
      <t>2</t>
    </r>
    <r>
      <rPr>
        <sz val="8"/>
        <color rgb="FF000000"/>
        <rFont val="Calibri"/>
        <family val="2"/>
      </rPr>
      <t xml:space="preserve"> A significant cyanide incident is defined in the Cyanide Code’s Definitions and Acronyms on the </t>
    </r>
    <r>
      <rPr>
        <sz val="8"/>
        <color rgb="FF000000"/>
        <rFont val="Calibri"/>
        <family val="2"/>
      </rPr>
      <t>Cyanide Code website</t>
    </r>
    <r>
      <rPr>
        <sz val="8"/>
        <color rgb="FF000000"/>
        <rFont val="Calibri"/>
        <family val="2"/>
      </rPr>
      <t>. None of the events recorded in 2023 met the criteria requiring notification to the International Cyanide Management Institute (ICMI) based on the Cyanide Code's definition of "Significant".</t>
    </r>
  </si>
  <si>
    <t>BUSINESS INTEGRITY AND TRANSPARENCY: INTEGRITY AND ANTI-CORRUPTION MEASURES</t>
  </si>
  <si>
    <r>
      <rPr>
        <b/>
        <sz val="10"/>
        <color rgb="FF000000"/>
        <rFont val="Calibri"/>
        <family val="2"/>
      </rPr>
      <t>Production in countries that have the 20 lowest rankings in Transparency International's Corruption Perception Index</t>
    </r>
    <r>
      <rPr>
        <b/>
        <vertAlign val="superscript"/>
        <sz val="10"/>
        <color rgb="FF000000"/>
        <rFont val="Calibri"/>
        <family val="2"/>
      </rPr>
      <t>1</t>
    </r>
  </si>
  <si>
    <t xml:space="preserve">Newmont does not operate in any of the countries designated among the 20 lowest rankings in the 2023 Transparency International Corruption Perception Index. </t>
  </si>
  <si>
    <r>
      <rPr>
        <vertAlign val="superscript"/>
        <sz val="8"/>
        <color rgb="FF000000"/>
        <rFont val="Calibri"/>
        <family val="2"/>
      </rPr>
      <t xml:space="preserve">1 </t>
    </r>
    <r>
      <rPr>
        <sz val="8"/>
        <color rgb="FF000000"/>
        <rFont val="Calibri"/>
        <family val="2"/>
      </rPr>
      <t>Transparency International's lowest 20 countries for 2023 in descending order are: Somalia, Venezuela, Syria, South Sudan, Yemen, North Korea, Nicaragua, Haiti, Equatorial Guinea, Turkmenistan, Libya, Tajikistan, Sudan, Myanmar, Democratic Republic of the Congo, Comoros, Chad, Burundi, Afghanistan, and Eritrea. Source: https://www.transparency.org/en/cpi/2023/index/cod</t>
    </r>
  </si>
  <si>
    <r>
      <rPr>
        <b/>
        <sz val="10"/>
        <color rgb="FF000000"/>
        <rFont val="Calibri"/>
        <family val="2"/>
      </rPr>
      <t xml:space="preserve">2023 </t>
    </r>
    <r>
      <rPr>
        <b/>
        <vertAlign val="superscript"/>
        <sz val="10"/>
        <color rgb="FF000000"/>
        <rFont val="Calibri"/>
        <family val="2"/>
      </rPr>
      <t>1,2</t>
    </r>
  </si>
  <si>
    <t>Total matters addressed (closed at year-end)</t>
  </si>
  <si>
    <t>Total substantiated escalated matters</t>
  </si>
  <si>
    <r>
      <rPr>
        <vertAlign val="superscript"/>
        <sz val="8"/>
        <color rgb="FF000000"/>
        <rFont val="Calibri"/>
        <family val="2"/>
      </rPr>
      <t>1</t>
    </r>
    <r>
      <rPr>
        <sz val="8"/>
        <color rgb="FF000000"/>
        <rFont val="Calibri"/>
        <family val="2"/>
      </rPr>
      <t xml:space="preserve"> Newmont's overall substantiation rate for 2023 was 49%. Of the 946 matters addressed in 2023, 375 were escalated cases.
</t>
    </r>
    <r>
      <rPr>
        <vertAlign val="superscript"/>
        <sz val="8"/>
        <color rgb="FF000000"/>
        <rFont val="Calibri"/>
        <family val="2"/>
      </rPr>
      <t xml:space="preserve">2 </t>
    </r>
    <r>
      <rPr>
        <sz val="8"/>
        <color rgb="FF000000"/>
        <rFont val="Calibri"/>
        <family val="2"/>
      </rPr>
      <t>The 2023 data includes matters received from former Newcrest locations resulting from the Newcrest acquisition for the period 11/06/2023 - 12/31/2023 only.</t>
    </r>
  </si>
  <si>
    <r>
      <rPr>
        <b/>
        <sz val="10"/>
        <color rgb="FF000000"/>
        <rFont val="Calibri"/>
        <family val="2"/>
      </rPr>
      <t xml:space="preserve">2023 </t>
    </r>
    <r>
      <rPr>
        <b/>
        <vertAlign val="superscript"/>
        <sz val="10"/>
        <color rgb="FF000000"/>
        <rFont val="Calibri"/>
        <family val="2"/>
      </rPr>
      <t>3, 4</t>
    </r>
  </si>
  <si>
    <t>Total new matters (all matters) captured in the Integrity Helpline</t>
  </si>
  <si>
    <t>Total matters (all matters) carried forward from the previous year</t>
  </si>
  <si>
    <t>Total matters (all matters) addressed (closed at year-end)</t>
  </si>
  <si>
    <t>Total matters (all matters) that remained open at year end</t>
  </si>
  <si>
    <t>Total escalated matters addressed (substantiated + unsubstantiated</t>
  </si>
  <si>
    <t>Total unsubstantiated escalated matters</t>
  </si>
  <si>
    <r>
      <rPr>
        <b/>
        <sz val="10"/>
        <color rgb="FF000000"/>
        <rFont val="Calibri"/>
        <family val="2"/>
      </rPr>
      <t>Total closed escalated matters resulting in process improvement opportunities</t>
    </r>
    <r>
      <rPr>
        <b/>
        <vertAlign val="superscript"/>
        <sz val="10"/>
        <color rgb="FF000000"/>
        <rFont val="Calibri"/>
        <family val="2"/>
      </rPr>
      <t>1</t>
    </r>
  </si>
  <si>
    <r>
      <rPr>
        <b/>
        <sz val="10"/>
        <color rgb="FF000000"/>
        <rFont val="Calibri"/>
        <family val="2"/>
      </rPr>
      <t>Total closed substantiated escalated matters resulting in Human Resources or Management action for Newmont employees</t>
    </r>
    <r>
      <rPr>
        <b/>
        <vertAlign val="superscript"/>
        <sz val="10"/>
        <color rgb="FF000000"/>
        <rFont val="Calibri"/>
        <family val="2"/>
      </rPr>
      <t>1</t>
    </r>
  </si>
  <si>
    <t>Number of escalated matters resulting in Newmont employees being counseled</t>
  </si>
  <si>
    <t>Number of escalated matters resulting in Newmont employees being disciplined</t>
  </si>
  <si>
    <t>Number of escalated matters resulting in employee being exited from the organization</t>
  </si>
  <si>
    <r>
      <rPr>
        <b/>
        <sz val="10"/>
        <color rgb="FF000000"/>
        <rFont val="Calibri"/>
        <family val="2"/>
      </rPr>
      <t>Average number of days to close a matter (all matters)</t>
    </r>
    <r>
      <rPr>
        <b/>
        <vertAlign val="superscript"/>
        <sz val="10"/>
        <color rgb="FF000000"/>
        <rFont val="Calibri"/>
        <family val="2"/>
      </rPr>
      <t>2</t>
    </r>
  </si>
  <si>
    <r>
      <rPr>
        <vertAlign val="superscript"/>
        <sz val="8"/>
        <color rgb="FF000000"/>
        <rFont val="Calibri"/>
        <family val="2"/>
      </rPr>
      <t xml:space="preserve">1 </t>
    </r>
    <r>
      <rPr>
        <sz val="8"/>
        <color rgb="FF000000"/>
        <rFont val="Calibri"/>
        <family val="2"/>
      </rPr>
      <t xml:space="preserve">A single case can have a combination of types of discipline and can result in more than one employee being counseled, disciplined or terminated. Similarly a single employee may be the subject of multiple cases/reports. The cases reported here do not include corrective measures linked to contractors. During 2023, 48 Escalated cases resulted in contractor corrective measures.
</t>
    </r>
    <r>
      <rPr>
        <vertAlign val="superscript"/>
        <sz val="8"/>
        <color rgb="FF000000"/>
        <rFont val="Calibri"/>
        <family val="2"/>
      </rPr>
      <t xml:space="preserve">2 </t>
    </r>
    <r>
      <rPr>
        <sz val="8"/>
        <color rgb="FF000000"/>
        <rFont val="Calibri"/>
        <family val="2"/>
      </rPr>
      <t>The average n</t>
    </r>
    <r>
      <rPr>
        <sz val="8"/>
        <color rgb="FF000000"/>
        <rFont val="Calibri"/>
        <family val="2"/>
      </rPr>
      <t xml:space="preserve">umber of days to close escalated cases was 149 days in 2023. 
</t>
    </r>
    <r>
      <rPr>
        <vertAlign val="superscript"/>
        <sz val="8"/>
        <color rgb="FF000000"/>
        <rFont val="Calibri"/>
        <family val="2"/>
      </rPr>
      <t xml:space="preserve">3 </t>
    </r>
    <r>
      <rPr>
        <sz val="8"/>
        <color rgb="FF000000"/>
        <rFont val="Calibri"/>
        <family val="2"/>
      </rPr>
      <t xml:space="preserve">The 2023 data includes matters received from former Newcrest locations resulting from the Newcrest acquisition for the period 11/06/2023 - 12/31/2023 only.
</t>
    </r>
    <r>
      <rPr>
        <vertAlign val="superscript"/>
        <sz val="8"/>
        <color rgb="FF000000"/>
        <rFont val="Calibri"/>
        <family val="2"/>
      </rPr>
      <t xml:space="preserve">4  </t>
    </r>
    <r>
      <rPr>
        <sz val="8"/>
        <color rgb="FF000000"/>
        <rFont val="Calibri"/>
        <family val="2"/>
      </rPr>
      <t>A total of 946 matters were closed during 2023. Of these, 375 corresponded to escalated cases, 247 non-escalated matters, and 324 proactive inquiries, compliance reviews and other matters.</t>
    </r>
  </si>
  <si>
    <r>
      <rPr>
        <b/>
        <sz val="10"/>
        <color rgb="FF000000"/>
        <rFont val="Calibri"/>
        <family val="2"/>
      </rPr>
      <t xml:space="preserve">Nature of matters (all matters) captured in the Integrity Helpline in 2023 </t>
    </r>
    <r>
      <rPr>
        <b/>
        <vertAlign val="superscript"/>
        <sz val="10"/>
        <color rgb="FF000000"/>
        <rFont val="Calibri"/>
        <family val="2"/>
      </rPr>
      <t>1, 2</t>
    </r>
  </si>
  <si>
    <t xml:space="preserve">Number </t>
  </si>
  <si>
    <t>Percentage</t>
  </si>
  <si>
    <t>Concerns about fraud / corruption</t>
  </si>
  <si>
    <t>Concerns pertaining to environmental health and/or safety regulations</t>
  </si>
  <si>
    <t>Conflicts of interest</t>
  </si>
  <si>
    <t>Incidents of discrimination</t>
  </si>
  <si>
    <t>Inquiries and compliance reviews</t>
  </si>
  <si>
    <t>Misconduct or inappropriate behavior</t>
  </si>
  <si>
    <t>Misuse of company assets</t>
  </si>
  <si>
    <t>Vendor / contractor issues</t>
  </si>
  <si>
    <t>Other types of matters</t>
  </si>
  <si>
    <t>Total</t>
  </si>
  <si>
    <r>
      <rPr>
        <vertAlign val="superscript"/>
        <sz val="8"/>
        <color rgb="FF000000"/>
        <rFont val="Calibri"/>
        <family val="2"/>
      </rPr>
      <t xml:space="preserve">1 </t>
    </r>
    <r>
      <rPr>
        <sz val="8"/>
        <color rgb="FF000000"/>
        <rFont val="Calibri"/>
        <family val="2"/>
      </rPr>
      <t xml:space="preserve">Data includes matters received from former Newcrest locations resulting from the Newcrest acquisition for the period 11/06/2023 - 12/31/2023 only.
</t>
    </r>
    <r>
      <rPr>
        <vertAlign val="superscript"/>
        <sz val="8"/>
        <color rgb="FF000000"/>
        <rFont val="Calibri"/>
        <family val="2"/>
      </rPr>
      <t xml:space="preserve">2 </t>
    </r>
    <r>
      <rPr>
        <sz val="8"/>
        <color rgb="FF000000"/>
        <rFont val="Calibri"/>
        <family val="2"/>
      </rPr>
      <t>Newmont's Code of Conduct and Business Integrity Policy, both available at Newmont.com, outline our approach to preventing and addressing matters related to conflicts of interests, gifts, and bribery/corruption.</t>
    </r>
  </si>
  <si>
    <r>
      <rPr>
        <b/>
        <sz val="10"/>
        <color rgb="FF000000"/>
        <rFont val="Calibri"/>
        <family val="2"/>
      </rPr>
      <t>Number and outcomes of substantiated escalated matters: Country level</t>
    </r>
    <r>
      <rPr>
        <b/>
        <vertAlign val="superscript"/>
        <sz val="10"/>
        <color rgb="FF000000"/>
        <rFont val="Calibri"/>
        <family val="2"/>
      </rPr>
      <t>1</t>
    </r>
  </si>
  <si>
    <t>Total escalated matters addressed (substantiated + unsubstantiated)</t>
  </si>
  <si>
    <r>
      <rPr>
        <b/>
        <sz val="10"/>
        <color rgb="FF000000"/>
        <rFont val="Calibri"/>
        <family val="2"/>
      </rPr>
      <t>Total substantiated escalated matters</t>
    </r>
    <r>
      <rPr>
        <b/>
        <vertAlign val="superscript"/>
        <sz val="10"/>
        <color rgb="FF000000"/>
        <rFont val="Calibri"/>
        <family val="2"/>
      </rPr>
      <t>2</t>
    </r>
  </si>
  <si>
    <t>Number of employees receiving corrective action for substantiated escalated matters, by type3</t>
  </si>
  <si>
    <t>Process improvement opportunities</t>
  </si>
  <si>
    <t>Employees counseled</t>
  </si>
  <si>
    <t>Employees disciplined</t>
  </si>
  <si>
    <t>Employees exited from the organization</t>
  </si>
  <si>
    <t>Argentina</t>
  </si>
  <si>
    <t>Chile</t>
  </si>
  <si>
    <t>French Guiana</t>
  </si>
  <si>
    <t>Guatemala</t>
  </si>
  <si>
    <t>Papua New Guinea</t>
  </si>
  <si>
    <r>
      <rPr>
        <vertAlign val="superscript"/>
        <sz val="8"/>
        <color rgb="FF000000"/>
        <rFont val="Calibri"/>
        <family val="2"/>
      </rPr>
      <t xml:space="preserve">1 </t>
    </r>
    <r>
      <rPr>
        <sz val="8"/>
        <color rgb="FF000000"/>
        <rFont val="Calibri"/>
        <family val="2"/>
      </rPr>
      <t xml:space="preserve">Data includes matters received from former Newcrest locations resulting from the Newcrest acquisition for the period 11/06/2023 - 12/31/2023 only.
</t>
    </r>
    <r>
      <rPr>
        <vertAlign val="superscript"/>
        <sz val="8"/>
        <color rgb="FF000000"/>
        <rFont val="Calibri"/>
        <family val="2"/>
      </rPr>
      <t xml:space="preserve">2 </t>
    </r>
    <r>
      <rPr>
        <sz val="8"/>
        <color rgb="FF000000"/>
        <rFont val="Calibri"/>
        <family val="2"/>
      </rPr>
      <t xml:space="preserve">Newmont's overall substantiation rate for 2023 was 49%.
</t>
    </r>
    <r>
      <rPr>
        <vertAlign val="superscript"/>
        <sz val="8"/>
        <color rgb="FF000000"/>
        <rFont val="Calibri"/>
        <family val="2"/>
      </rPr>
      <t xml:space="preserve">3  </t>
    </r>
    <r>
      <rPr>
        <sz val="8"/>
        <color rgb="FF000000"/>
        <rFont val="Calibri"/>
        <family val="2"/>
      </rPr>
      <t>A single case can have a combination of types of discipline and can result in more than one employee being counseled, disciplined or terminated. Similarly a single employee may be the subject of multiple cases/reports. Metric does not include corrective measures linked to contractors. During 2023, 48 Escalated cases resulted in contractor corrective measures.</t>
    </r>
  </si>
  <si>
    <t>Percentage of employees attending integrity training: Trailing five year data</t>
  </si>
  <si>
    <t>2023 1</t>
  </si>
  <si>
    <t>Employees who attended in-person or live integrity training</t>
  </si>
  <si>
    <r>
      <rPr>
        <sz val="10"/>
        <color rgb="FF000000"/>
        <rFont val="Calibri"/>
        <family val="2"/>
      </rPr>
      <t>Employees of computer-enabled employees who completed online training</t>
    </r>
    <r>
      <rPr>
        <vertAlign val="superscript"/>
        <sz val="10"/>
        <color rgb="FF000000"/>
        <rFont val="Calibri"/>
        <family val="2"/>
      </rPr>
      <t>2</t>
    </r>
  </si>
  <si>
    <r>
      <rPr>
        <vertAlign val="superscript"/>
        <sz val="8"/>
        <color rgb="FF000000"/>
        <rFont val="Calibri"/>
        <family val="2"/>
      </rPr>
      <t xml:space="preserve">1 </t>
    </r>
    <r>
      <rPr>
        <sz val="8"/>
        <color rgb="FF000000"/>
        <rFont val="Calibri"/>
        <family val="2"/>
      </rPr>
      <t xml:space="preserve">Online training is rolled out only to computer-enabled employees. Completion percentage is based on a total number of 5,806 computer-enabled employees.
</t>
    </r>
    <r>
      <rPr>
        <vertAlign val="superscript"/>
        <sz val="8"/>
        <color rgb="FF000000"/>
        <rFont val="Calibri"/>
        <family val="2"/>
      </rPr>
      <t xml:space="preserve">2 </t>
    </r>
    <r>
      <rPr>
        <sz val="8"/>
        <color rgb="FF000000"/>
        <rFont val="Calibri"/>
        <family val="2"/>
      </rPr>
      <t>2023 training reflects only the employees prior to the Newcrest acquisition on November 6, 2023. P</t>
    </r>
    <r>
      <rPr>
        <sz val="8"/>
        <color rgb="FF000000"/>
        <rFont val="Calibri"/>
        <family val="2"/>
      </rPr>
      <t>ercentages for 2023 are calculated based on total number of employees prior to the Newcrest acquisition (14,850).</t>
    </r>
  </si>
  <si>
    <r>
      <rPr>
        <b/>
        <sz val="10"/>
        <color rgb="FF000000"/>
        <rFont val="Calibri"/>
        <family val="2"/>
      </rPr>
      <t>Employee online integrity training: Gender and employee category</t>
    </r>
    <r>
      <rPr>
        <b/>
        <vertAlign val="superscript"/>
        <sz val="10"/>
        <color rgb="FF000000"/>
        <rFont val="Calibri"/>
        <family val="2"/>
      </rPr>
      <t>1</t>
    </r>
  </si>
  <si>
    <t>Number of female employees trained</t>
  </si>
  <si>
    <t>Number of male employees trained</t>
  </si>
  <si>
    <t>Total number of all employees trained</t>
  </si>
  <si>
    <t>Percentage of people trained</t>
  </si>
  <si>
    <t>Senior leadership</t>
  </si>
  <si>
    <t>People managers</t>
  </si>
  <si>
    <t>Individual contributors</t>
  </si>
  <si>
    <t>Operators &amp; maintainers</t>
  </si>
  <si>
    <r>
      <rPr>
        <vertAlign val="superscript"/>
        <sz val="8"/>
        <color rgb="FF000000"/>
        <rFont val="Calibri"/>
        <family val="2"/>
      </rPr>
      <t xml:space="preserve">1 </t>
    </r>
    <r>
      <rPr>
        <sz val="8"/>
        <color rgb="FF000000"/>
        <rFont val="Calibri"/>
        <family val="2"/>
      </rPr>
      <t xml:space="preserve">Trainings reported in this table only cover online training provided to computer-enabled employees only. We do not have the ability to disaggregate in-person anti-corruption training by employee category at this time.
</t>
    </r>
    <r>
      <rPr>
        <vertAlign val="superscript"/>
        <sz val="8"/>
        <color rgb="FF000000"/>
        <rFont val="Calibri"/>
        <family val="2"/>
      </rPr>
      <t xml:space="preserve">2 </t>
    </r>
    <r>
      <rPr>
        <sz val="8"/>
        <color rgb="FF000000"/>
        <rFont val="Calibri"/>
        <family val="2"/>
      </rPr>
      <t>The number of female and male employees in each employee category do not add to the overall total number of employees trained because four</t>
    </r>
    <r>
      <rPr>
        <sz val="8"/>
        <color rgb="FF000000"/>
        <rFont val="Calibri"/>
        <family val="2"/>
      </rPr>
      <t xml:space="preserve"> employees elected to not disclose their gender and, therefore, are not reflected in this data set.</t>
    </r>
  </si>
  <si>
    <t>Number of people trained</t>
  </si>
  <si>
    <t>Africa</t>
  </si>
  <si>
    <t>North America</t>
  </si>
  <si>
    <t>Global</t>
  </si>
  <si>
    <r>
      <rPr>
        <vertAlign val="superscript"/>
        <sz val="8"/>
        <color rgb="FF000000"/>
        <rFont val="Calibri"/>
        <family val="2"/>
      </rPr>
      <t xml:space="preserve">1 </t>
    </r>
    <r>
      <rPr>
        <sz val="8"/>
        <color rgb="FF000000"/>
        <rFont val="Calibri"/>
        <family val="2"/>
      </rPr>
      <t>Trainings reported in this table only cover online training provided to computer-enabled employees only. We do not have the ability to disaggregate in-person anti-corruption training by country at this time.</t>
    </r>
  </si>
  <si>
    <t xml:space="preserve">BUSINESS INTEGRITY AND TRANSPARENCY: POLICY INFLUENCE </t>
  </si>
  <si>
    <t>Political affiliation</t>
  </si>
  <si>
    <t xml:space="preserve">Amount  </t>
  </si>
  <si>
    <t>Democratic Attorneys General Association</t>
  </si>
  <si>
    <t>D</t>
  </si>
  <si>
    <t>Nevada Democratic Party</t>
  </si>
  <si>
    <t>Nevada Mining Association PAC</t>
  </si>
  <si>
    <t>Nonpartisan</t>
  </si>
  <si>
    <t xml:space="preserve">Total </t>
  </si>
  <si>
    <t>Annual dues</t>
  </si>
  <si>
    <t>Dues attributable to political advocacy</t>
  </si>
  <si>
    <t>Percentage attributable to political advocacy</t>
  </si>
  <si>
    <t>National Mining Association</t>
  </si>
  <si>
    <t>Nevada Mining Association</t>
  </si>
  <si>
    <t>Colorado Mining Association</t>
  </si>
  <si>
    <t>American Exploration and Mining Association</t>
  </si>
  <si>
    <r>
      <rPr>
        <b/>
        <sz val="10"/>
        <color rgb="FF000000"/>
        <rFont val="Calibri"/>
        <family val="2"/>
      </rPr>
      <t>U.S. lobbying activities</t>
    </r>
    <r>
      <rPr>
        <b/>
        <vertAlign val="superscript"/>
        <sz val="10"/>
        <color rgb="FF000000"/>
        <rFont val="Calibri"/>
        <family val="2"/>
      </rPr>
      <t>1</t>
    </r>
  </si>
  <si>
    <r>
      <rPr>
        <sz val="10"/>
        <color rgb="FF000000"/>
        <rFont val="Calibri"/>
        <family val="2"/>
      </rPr>
      <t>All 2023 federal reports filed by lobbyists representing Newmont (both internal government relations employees and external representatives) are available from the U.S. House of Representatives, using this link.</t>
    </r>
  </si>
  <si>
    <r>
      <rPr>
        <vertAlign val="superscript"/>
        <sz val="8"/>
        <color rgb="FF000000"/>
        <rFont val="Calibri"/>
        <family val="2"/>
      </rPr>
      <t xml:space="preserve">1 </t>
    </r>
    <r>
      <rPr>
        <sz val="8"/>
        <color rgb="FF000000"/>
        <rFont val="Calibri"/>
        <family val="2"/>
      </rPr>
      <t>Newmont only makes political contributions in the U.S. and only where appropriate and allowed by law. Newmont complies with the Lobbying Disclosure Act of 1995 (Section 5) and publishes LD-2 Disclosure Forms, which are publicly available from the U.S. Secretary of the Senate, Office of Public Records (lobbyingdisclosure.house.gov) and/or the U.S. Clerk of the House of Representatives: Legislative Resource Center (senate.gov/lobby) and also from Newmont.com.</t>
    </r>
  </si>
  <si>
    <r>
      <rPr>
        <b/>
        <sz val="10"/>
        <color rgb="FF000000"/>
        <rFont val="Calibri"/>
        <family val="2"/>
      </rPr>
      <t>NEWPAC contributions</t>
    </r>
    <r>
      <rPr>
        <b/>
        <vertAlign val="superscript"/>
        <sz val="10"/>
        <color rgb="FF000000"/>
        <rFont val="Calibri"/>
        <family val="2"/>
      </rPr>
      <t>1</t>
    </r>
  </si>
  <si>
    <t>Donors</t>
  </si>
  <si>
    <t>Amount
raised</t>
  </si>
  <si>
    <t>Contributions</t>
  </si>
  <si>
    <r>
      <rPr>
        <vertAlign val="superscript"/>
        <sz val="10"/>
        <color rgb="FF000000"/>
        <rFont val="Calibri"/>
        <family val="2"/>
      </rPr>
      <t xml:space="preserve">1 </t>
    </r>
    <r>
      <rPr>
        <sz val="8"/>
        <color rgb="FF000000"/>
        <rFont val="Calibri"/>
        <family val="2"/>
      </rPr>
      <t>Information publicly reported and searchable on the</t>
    </r>
    <r>
      <rPr>
        <sz val="8"/>
        <color rgb="FF546FF5"/>
        <rFont val="Calibri"/>
        <family val="2"/>
      </rPr>
      <t xml:space="preserve"> Federal Election Commission website</t>
    </r>
  </si>
  <si>
    <r>
      <t>Largest individual contributions and expenditures</t>
    </r>
    <r>
      <rPr>
        <vertAlign val="superscript"/>
        <sz val="10"/>
        <color rgb="FF000000"/>
        <rFont val="Calibri"/>
        <family val="2"/>
      </rPr>
      <t>1</t>
    </r>
  </si>
  <si>
    <t>Contributor</t>
  </si>
  <si>
    <t>Amount</t>
  </si>
  <si>
    <t>Cassidy &amp; Associates, Inc.</t>
  </si>
  <si>
    <t>Michael Pieper GPA</t>
  </si>
  <si>
    <t>Main political topics in 2023</t>
  </si>
  <si>
    <t>The following are the primary policy areas in which Newmont was involved in 2023:
• U.S.-Chile Tax Treaty
• Provisions of the U.S. Tax code that relate to mining
• Federal funding for mining schools
• H.R. 1 - Lower Energy Costs Act
• Good Samaritan and other abandoned mine reclamation and bonding legislation
• General Mining Law
• S. 1281/H.R. 2925 - Mining Regulatory Clarity Act of 2023
• Legislation relating to strategic and critical minerals
• Climate change and related reporting requirements
• Department of Interior Appropriations Bill
• Mining provisions of H.R. 3746 - Fiscal Responsibility Act of 2023</t>
  </si>
  <si>
    <r>
      <rPr>
        <vertAlign val="superscript"/>
        <sz val="8"/>
        <color rgb="FF000000"/>
        <rFont val="Calibri"/>
        <family val="2"/>
      </rPr>
      <t>1</t>
    </r>
    <r>
      <rPr>
        <sz val="8"/>
        <color rgb="FF000000"/>
        <rFont val="Calibri"/>
        <family val="2"/>
      </rPr>
      <t xml:space="preserve"> Newmont only makes political contributions in the U.S. and only where appropriate and allowed by law. Newmont complies with the Lobbying Disclosure Act of 1995 (Section 5) and publishes LD-2 Disclosure Forms, which are publicly available from the U.S. Secretary of the Senate, Office of Public Records (lobbyingdisclosure.house.gov) and/or the U.S. Clerk of the House of Representatives: Legislative Resource Center (senate.gov/lobby), and also from Newmont.com.</t>
    </r>
  </si>
  <si>
    <t>Institution/Activity</t>
  </si>
  <si>
    <t>2021</t>
  </si>
  <si>
    <t>Lobbying1</t>
  </si>
  <si>
    <t>Political contribution</t>
  </si>
  <si>
    <r>
      <rPr>
        <sz val="10"/>
        <color rgb="FF000000"/>
        <rFont val="Calibri"/>
        <family val="2"/>
      </rPr>
      <t>Trade associations</t>
    </r>
    <r>
      <rPr>
        <vertAlign val="superscript"/>
        <sz val="10"/>
        <color rgb="FF000000"/>
        <rFont val="Calibri"/>
        <family val="2"/>
      </rPr>
      <t>2</t>
    </r>
  </si>
  <si>
    <r>
      <rPr>
        <vertAlign val="superscript"/>
        <sz val="8"/>
        <color rgb="FF000000"/>
        <rFont val="Calibri"/>
        <family val="2"/>
      </rPr>
      <t>1</t>
    </r>
    <r>
      <rPr>
        <sz val="8"/>
        <color rgb="FF000000"/>
        <rFont val="Calibri"/>
        <family val="2"/>
      </rPr>
      <t xml:space="preserve"> Data includes state and federal lobbying expenses. 
</t>
    </r>
    <r>
      <rPr>
        <vertAlign val="superscript"/>
        <sz val="8"/>
        <color rgb="FF000000"/>
        <rFont val="Calibri"/>
        <family val="2"/>
      </rPr>
      <t>2</t>
    </r>
    <r>
      <rPr>
        <sz val="8"/>
        <color rgb="FF000000"/>
        <rFont val="Calibri"/>
        <family val="2"/>
      </rPr>
      <t xml:space="preserve"> Data includes full dues payments for US mining trade associations.</t>
    </r>
  </si>
  <si>
    <t>ENVIRONMENT: AIR EMISSIONS</t>
  </si>
  <si>
    <r>
      <rPr>
        <b/>
        <sz val="10"/>
        <color rgb="FF000000"/>
        <rFont val="Calibri"/>
        <family val="2"/>
      </rPr>
      <t>Site air emissions management plan emissions: Site level (tonnes)</t>
    </r>
    <r>
      <rPr>
        <b/>
        <vertAlign val="superscript"/>
        <sz val="10"/>
        <color rgb="FF000000"/>
        <rFont val="Calibri"/>
        <family val="2"/>
      </rPr>
      <t>1, 2, 3</t>
    </r>
    <r>
      <rPr>
        <b/>
        <vertAlign val="superscript"/>
        <sz val="10"/>
        <color rgb="FF000000"/>
        <rFont val="Calibri"/>
        <family val="2"/>
      </rPr>
      <t>, 4</t>
    </r>
  </si>
  <si>
    <t>Business unit/site</t>
  </si>
  <si>
    <r>
      <rPr>
        <b/>
        <sz val="10"/>
        <color rgb="FF000000"/>
        <rFont val="Calibri"/>
        <family val="2"/>
      </rPr>
      <t>Sulfur</t>
    </r>
    <r>
      <rPr>
        <b/>
        <sz val="10"/>
        <color rgb="FF000000"/>
        <rFont val="Calibri"/>
        <family val="2"/>
      </rPr>
      <t xml:space="preserve"> oxides (SO</t>
    </r>
    <r>
      <rPr>
        <b/>
        <vertAlign val="subscript"/>
        <sz val="10"/>
        <color rgb="FF000000"/>
        <rFont val="Calibri"/>
        <family val="2"/>
      </rPr>
      <t>x</t>
    </r>
    <r>
      <rPr>
        <b/>
        <sz val="10"/>
        <color rgb="FF000000"/>
        <rFont val="Calibri"/>
        <family val="2"/>
      </rPr>
      <t>)</t>
    </r>
  </si>
  <si>
    <r>
      <rPr>
        <b/>
        <sz val="10"/>
        <color rgb="FF000000"/>
        <rFont val="Calibri"/>
        <family val="2"/>
      </rPr>
      <t>Nitrogen oxides (NO</t>
    </r>
    <r>
      <rPr>
        <b/>
        <vertAlign val="subscript"/>
        <sz val="10"/>
        <color rgb="FF000000"/>
        <rFont val="Calibri"/>
        <family val="2"/>
      </rPr>
      <t>x</t>
    </r>
    <r>
      <rPr>
        <b/>
        <sz val="10"/>
        <color rgb="FF000000"/>
        <rFont val="Calibri"/>
        <family val="2"/>
      </rPr>
      <t>)</t>
    </r>
  </si>
  <si>
    <t>Particulate matter (PM10)</t>
  </si>
  <si>
    <t>Particulate Matter (PM2.5)</t>
  </si>
  <si>
    <t>Carbon monoxide (CO)</t>
  </si>
  <si>
    <t>Mercury (Hg)</t>
  </si>
  <si>
    <t>Arsenic (As)</t>
  </si>
  <si>
    <t>Lead (Pb)</t>
  </si>
  <si>
    <t>Selenium (Se)</t>
  </si>
  <si>
    <t>Persistent organic pollutants (POPs)</t>
  </si>
  <si>
    <t>Volatile organic compounds (VOCs)</t>
  </si>
  <si>
    <r>
      <rPr>
        <b/>
        <sz val="10"/>
        <color rgb="FF000000"/>
        <rFont val="Calibri"/>
        <family val="2"/>
      </rPr>
      <t>Hazardous air pollutants (HAPs)</t>
    </r>
    <r>
      <rPr>
        <b/>
        <vertAlign val="superscript"/>
        <sz val="10"/>
        <color rgb="FF000000"/>
        <rFont val="Calibri"/>
        <family val="2"/>
      </rPr>
      <t>7</t>
    </r>
  </si>
  <si>
    <t>Ahafo South - Total</t>
  </si>
  <si>
    <t>N/M</t>
  </si>
  <si>
    <t>TR</t>
  </si>
  <si>
    <t>N/A</t>
  </si>
  <si>
    <t>Ahafo South - point source</t>
  </si>
  <si>
    <t>Ahafo South - fugitive</t>
  </si>
  <si>
    <t>Akyem - Total</t>
  </si>
  <si>
    <t>INV</t>
  </si>
  <si>
    <t>Akyem - point source</t>
  </si>
  <si>
    <t>Akyem - fugitive</t>
  </si>
  <si>
    <r>
      <rPr>
        <b/>
        <sz val="10"/>
        <color rgb="FF000000"/>
        <rFont val="Calibri"/>
        <family val="2"/>
      </rPr>
      <t>AUSTRALIA</t>
    </r>
    <r>
      <rPr>
        <b/>
        <vertAlign val="superscript"/>
        <sz val="10"/>
        <color rgb="FF000000"/>
        <rFont val="Calibri"/>
        <family val="2"/>
      </rPr>
      <t>5</t>
    </r>
  </si>
  <si>
    <t>Boddington - Total</t>
  </si>
  <si>
    <t>Boddington - point source</t>
  </si>
  <si>
    <t>Boddington - fugitive</t>
  </si>
  <si>
    <t>Tanami - Total</t>
  </si>
  <si>
    <t>Tanami - point source</t>
  </si>
  <si>
    <t>Tanami - fugitive</t>
  </si>
  <si>
    <t>Cerro Negro - Total</t>
  </si>
  <si>
    <t>Cerro Negro - point source</t>
  </si>
  <si>
    <t>Cerro Negro - fugitive</t>
  </si>
  <si>
    <t>Peñasquito - Total</t>
  </si>
  <si>
    <t>Peñasquito - point source</t>
  </si>
  <si>
    <t>Peñasquito - fugitive</t>
  </si>
  <si>
    <t>Merian -Total</t>
  </si>
  <si>
    <t>Merian - point source</t>
  </si>
  <si>
    <t>Merian - fugitive</t>
  </si>
  <si>
    <t>Éléonore - Total</t>
  </si>
  <si>
    <t>Éléonore - point source</t>
  </si>
  <si>
    <t>Éléonore - fugitive</t>
  </si>
  <si>
    <t>Musselwhite - Total</t>
  </si>
  <si>
    <t>Musselwhite - point source</t>
  </si>
  <si>
    <t>Musselwhite - fugitive</t>
  </si>
  <si>
    <r>
      <rPr>
        <b/>
        <sz val="10"/>
        <color rgb="FF000000"/>
        <rFont val="Calibri"/>
        <family val="2"/>
      </rPr>
      <t>Porcupine - Total</t>
    </r>
    <r>
      <rPr>
        <b/>
        <vertAlign val="superscript"/>
        <sz val="10"/>
        <color rgb="FF000000"/>
        <rFont val="Calibri"/>
        <family val="2"/>
      </rPr>
      <t>6</t>
    </r>
  </si>
  <si>
    <t>Porcupine - point source</t>
  </si>
  <si>
    <t>Porcupine - fugitive</t>
  </si>
  <si>
    <t>CC&amp;V - Total</t>
  </si>
  <si>
    <t>CC&amp;V - point source</t>
  </si>
  <si>
    <t>CC&amp;V - fugitive</t>
  </si>
  <si>
    <t>Yanacocha - Total</t>
  </si>
  <si>
    <t>Yanacocha - point source</t>
  </si>
  <si>
    <t>Yanacocha - fugitive</t>
  </si>
  <si>
    <r>
      <rPr>
        <vertAlign val="superscript"/>
        <sz val="8"/>
        <color rgb="FF000000"/>
        <rFont val="Calibri"/>
        <family val="2"/>
      </rPr>
      <t>1</t>
    </r>
    <r>
      <rPr>
        <sz val="8"/>
        <color rgb="FF000000"/>
        <rFont val="Calibri"/>
        <family val="2"/>
      </rPr>
      <t xml:space="preserve"> Site level air emissions performance data is reported on a site-by-site basis in accordance with each site's air emissions management plan. Air emissions management plans for each site are developed and agreed upon based on local jurisdiction requirements. Therefore, the type and source of emissions reported for each site may vary and may not be comparable.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For emission sources or parameters that are not emitted from a site, values are reported as "N/A" (not applicable); for emission sources or parameters that do apply to a site but are not required to be monitored and reported under site-specific air quality management plans, values are reported as "N/M" (not measured); and values that are detected, but less than</t>
    </r>
    <r>
      <rPr>
        <sz val="8"/>
        <color rgb="FF000000"/>
        <rFont val="Calibri"/>
        <family val="2"/>
      </rPr>
      <t xml:space="preserve"> </t>
    </r>
    <r>
      <rPr>
        <sz val="8"/>
        <color rgb="FF000000"/>
        <rFont val="Calibri"/>
        <family val="2"/>
      </rPr>
      <t>0.00009 tonnes are reported as "TR" (trace).</t>
    </r>
    <r>
      <rPr>
        <sz val="8"/>
        <color rgb="FF000000"/>
        <rFont val="Calibri"/>
        <family val="2"/>
      </rPr>
      <t xml:space="preserve"> </t>
    </r>
    <r>
      <rPr>
        <sz val="8"/>
        <color rgb="FF000000"/>
        <rFont val="Calibri"/>
        <family val="2"/>
      </rPr>
      <t>I</t>
    </r>
    <r>
      <rPr>
        <sz val="8"/>
        <color rgb="FF000000"/>
        <rFont val="Calibri"/>
        <family val="2"/>
      </rPr>
      <t xml:space="preserve">f in the case </t>
    </r>
    <r>
      <rPr>
        <sz val="8"/>
        <color rgb="FF000000"/>
        <rFont val="Calibri"/>
        <family val="2"/>
      </rPr>
      <t>a</t>
    </r>
    <r>
      <rPr>
        <sz val="8"/>
        <color rgb="FF000000"/>
        <rFont val="Calibri"/>
        <family val="2"/>
      </rPr>
      <t xml:space="preserve"> </t>
    </r>
    <r>
      <rPr>
        <sz val="8"/>
        <color rgb="FF000000"/>
        <rFont val="Calibri"/>
        <family val="2"/>
      </rPr>
      <t>value is determined</t>
    </r>
    <r>
      <rPr>
        <sz val="8"/>
        <color rgb="FF000000"/>
        <rFont val="Calibri"/>
        <family val="2"/>
      </rPr>
      <t xml:space="preserve"> to be </t>
    </r>
    <r>
      <rPr>
        <sz val="8"/>
        <color rgb="FF000000"/>
        <rFont val="Calibri"/>
        <family val="2"/>
      </rPr>
      <t>invalidated due to sample</t>
    </r>
    <r>
      <rPr>
        <sz val="8"/>
        <color rgb="FF000000"/>
        <rFont val="Calibri"/>
        <family val="2"/>
      </rPr>
      <t xml:space="preserve"> or analytical error</t>
    </r>
    <r>
      <rPr>
        <sz val="8"/>
        <color rgb="FF000000"/>
        <rFont val="Calibri"/>
        <family val="2"/>
      </rPr>
      <t>s</t>
    </r>
    <r>
      <rPr>
        <sz val="8"/>
        <color rgb="FF000000"/>
        <rFont val="Calibri"/>
        <family val="2"/>
      </rPr>
      <t xml:space="preserve">, </t>
    </r>
    <r>
      <rPr>
        <sz val="8"/>
        <color rgb="FF000000"/>
        <rFont val="Calibri"/>
        <family val="2"/>
      </rPr>
      <t xml:space="preserve">values </t>
    </r>
    <r>
      <rPr>
        <sz val="8"/>
        <color rgb="FF000000"/>
        <rFont val="Calibri"/>
        <family val="2"/>
      </rPr>
      <t xml:space="preserve">are reported as "INV" (invalid).
</t>
    </r>
    <r>
      <rPr>
        <vertAlign val="superscript"/>
        <sz val="8"/>
        <color rgb="FF000000"/>
        <rFont val="Calibri"/>
        <family val="2"/>
      </rPr>
      <t>3</t>
    </r>
    <r>
      <rPr>
        <sz val="8"/>
        <color rgb="FF000000"/>
        <rFont val="Calibri"/>
        <family val="2"/>
      </rPr>
      <t xml:space="preserve"> Point source emissions are those that originate from a single identifiable source (e.g.,stack, chimney, pipe). Fugitive emissions are non-point source emissions (e.g., of dust) from facilities or activities (e.g., construction) that do not originate from a stack, chimney or other functionally equivalent opening.
</t>
    </r>
    <r>
      <rPr>
        <vertAlign val="superscript"/>
        <sz val="8"/>
        <color rgb="FF000000"/>
        <rFont val="Calibri"/>
        <family val="2"/>
      </rPr>
      <t>4</t>
    </r>
    <r>
      <rPr>
        <vertAlign val="superscript"/>
        <sz val="8"/>
        <color rgb="FF000000"/>
        <rFont val="Calibri"/>
        <family val="2"/>
      </rPr>
      <t xml:space="preserve"> </t>
    </r>
    <r>
      <rPr>
        <vertAlign val="superscript"/>
        <sz val="8"/>
        <color rgb="FF000000"/>
        <rFont val="Calibri"/>
        <family val="2"/>
      </rPr>
      <t xml:space="preserve"> </t>
    </r>
    <r>
      <rPr>
        <sz val="8"/>
        <color rgb="FF000000"/>
        <rFont val="Calibri"/>
        <family val="2"/>
      </rPr>
      <t>S</t>
    </r>
    <r>
      <rPr>
        <sz val="8"/>
        <color rgb="FF000000"/>
        <rFont val="Calibri"/>
        <family val="2"/>
      </rPr>
      <t>ome figures and percentages may not add</t>
    </r>
    <r>
      <rPr>
        <sz val="8"/>
        <color rgb="FF000000"/>
        <rFont val="Calibri"/>
        <family val="2"/>
      </rPr>
      <t xml:space="preserve"> </t>
    </r>
    <r>
      <rPr>
        <sz val="8"/>
        <color rgb="FF000000"/>
        <rFont val="Calibri"/>
        <family val="2"/>
      </rPr>
      <t>up to the total figure or 100</t>
    </r>
    <r>
      <rPr>
        <sz val="8"/>
        <color rgb="FF000000"/>
        <rFont val="Calibri"/>
        <family val="2"/>
      </rPr>
      <t xml:space="preserve"> </t>
    </r>
    <r>
      <rPr>
        <sz val="8"/>
        <color rgb="FF000000"/>
        <rFont val="Calibri"/>
        <family val="2"/>
      </rPr>
      <t xml:space="preserve">percent due to rounding.
</t>
    </r>
    <r>
      <rPr>
        <vertAlign val="superscript"/>
        <sz val="8"/>
        <color rgb="FF000000"/>
        <rFont val="Calibri"/>
        <family val="2"/>
      </rPr>
      <t xml:space="preserve">5 </t>
    </r>
    <r>
      <rPr>
        <sz val="8"/>
        <color rgb="FF000000"/>
        <rFont val="Calibri"/>
        <family val="2"/>
      </rPr>
      <t>Australian site data is based on a June-end regulatory reporting year (July 1, 202</t>
    </r>
    <r>
      <rPr>
        <sz val="8"/>
        <color rgb="FF000000"/>
        <rFont val="Calibri"/>
        <family val="2"/>
      </rPr>
      <t>2</t>
    </r>
    <r>
      <rPr>
        <sz val="8"/>
        <color rgb="FF000000"/>
        <rFont val="Calibri"/>
        <family val="2"/>
      </rPr>
      <t xml:space="preserve"> to June 30, 202</t>
    </r>
    <r>
      <rPr>
        <sz val="8"/>
        <color rgb="FF000000"/>
        <rFont val="Calibri"/>
        <family val="2"/>
      </rPr>
      <t>3</t>
    </r>
    <r>
      <rPr>
        <sz val="8"/>
        <color rgb="FF000000"/>
        <rFont val="Calibri"/>
        <family val="2"/>
      </rPr>
      <t xml:space="preserve">).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Porcupine data is full year 202</t>
    </r>
    <r>
      <rPr>
        <sz val="8"/>
        <color rgb="FF000000"/>
        <rFont val="Calibri"/>
        <family val="2"/>
      </rPr>
      <t>2</t>
    </r>
    <r>
      <rPr>
        <sz val="8"/>
        <color rgb="FF000000"/>
        <rFont val="Calibri"/>
        <family val="2"/>
      </rPr>
      <t xml:space="preserve"> due to limitations in aggregating 202</t>
    </r>
    <r>
      <rPr>
        <sz val="8"/>
        <color rgb="FF000000"/>
        <rFont val="Calibri"/>
        <family val="2"/>
      </rPr>
      <t>3</t>
    </r>
    <r>
      <rPr>
        <sz val="8"/>
        <color rgb="FF000000"/>
        <rFont val="Calibri"/>
        <family val="2"/>
      </rPr>
      <t xml:space="preserve"> data. 
</t>
    </r>
    <r>
      <rPr>
        <vertAlign val="superscript"/>
        <sz val="8"/>
        <color rgb="FF000000"/>
        <rFont val="Calibri"/>
        <family val="2"/>
      </rPr>
      <t>7</t>
    </r>
    <r>
      <rPr>
        <vertAlign val="superscript"/>
        <sz val="8"/>
        <color rgb="FF000000"/>
        <rFont val="Calibri"/>
        <family val="2"/>
      </rPr>
      <t xml:space="preserve"> </t>
    </r>
    <r>
      <rPr>
        <sz val="8"/>
        <color rgb="FF000000"/>
        <rFont val="Calibri"/>
        <family val="2"/>
      </rPr>
      <t>The majority of</t>
    </r>
    <r>
      <rPr>
        <sz val="8"/>
        <color rgb="FF000000"/>
        <rFont val="Calibri"/>
        <family val="2"/>
      </rPr>
      <t xml:space="preserve"> the</t>
    </r>
    <r>
      <rPr>
        <sz val="8"/>
        <color rgb="FF000000"/>
        <rFont val="Calibri"/>
        <family val="2"/>
      </rPr>
      <t xml:space="preserve"> hazardous air pollutants</t>
    </r>
    <r>
      <rPr>
        <sz val="8"/>
        <color rgb="FF000000"/>
        <rFont val="Calibri"/>
        <family val="2"/>
      </rPr>
      <t xml:space="preserve"> (HAP</t>
    </r>
    <r>
      <rPr>
        <sz val="8"/>
        <color rgb="FF000000"/>
        <rFont val="Calibri"/>
        <family val="2"/>
      </rPr>
      <t xml:space="preserve">s) </t>
    </r>
    <r>
      <rPr>
        <sz val="8"/>
        <color rgb="FF000000"/>
        <rFont val="Calibri"/>
        <family val="2"/>
      </rPr>
      <t xml:space="preserve">reported </t>
    </r>
    <r>
      <rPr>
        <sz val="8"/>
        <color rgb="FF000000"/>
        <rFont val="Calibri"/>
        <family val="2"/>
      </rPr>
      <t>is</t>
    </r>
    <r>
      <rPr>
        <sz val="8"/>
        <color rgb="FF000000"/>
        <rFont val="Calibri"/>
        <family val="2"/>
      </rPr>
      <t xml:space="preserve"> benzene</t>
    </r>
    <r>
      <rPr>
        <sz val="8"/>
        <color rgb="FF000000"/>
        <rFont val="Calibri"/>
        <family val="2"/>
      </rPr>
      <t xml:space="preserve"> from gasoline and diesel com</t>
    </r>
    <r>
      <rPr>
        <sz val="8"/>
        <color rgb="FF000000"/>
        <rFont val="Calibri"/>
        <family val="2"/>
      </rPr>
      <t>bustion</t>
    </r>
    <r>
      <rPr>
        <sz val="8"/>
        <color rgb="FF000000"/>
        <rFont val="Calibri"/>
        <family val="2"/>
      </rPr>
      <t>.</t>
    </r>
  </si>
  <si>
    <t>ENVIRONMENT: BIODIVERSITY</t>
  </si>
  <si>
    <t xml:space="preserve">Country/site </t>
  </si>
  <si>
    <t>Number of mortalities</t>
  </si>
  <si>
    <r>
      <rPr>
        <sz val="10"/>
        <color rgb="FF000000"/>
        <rFont val="Calibri"/>
        <family val="2"/>
      </rPr>
      <t>Ahafo South</t>
    </r>
    <r>
      <rPr>
        <vertAlign val="superscript"/>
        <sz val="10"/>
        <color rgb="FF000000"/>
        <rFont val="Calibri"/>
        <family val="2"/>
      </rPr>
      <t>1</t>
    </r>
  </si>
  <si>
    <t>Cerro Negro</t>
  </si>
  <si>
    <t>Musselwhite</t>
  </si>
  <si>
    <t>GLOBAL</t>
  </si>
  <si>
    <r>
      <rPr>
        <vertAlign val="superscript"/>
        <sz val="8"/>
        <color rgb="FF000000"/>
        <rFont val="Calibri"/>
        <family val="2"/>
      </rPr>
      <t xml:space="preserve">1 </t>
    </r>
    <r>
      <rPr>
        <sz val="8"/>
        <color rgb="FF000000"/>
        <rFont val="Calibri"/>
        <family val="2"/>
      </rPr>
      <t>The Ahafo South outlier is due to two events. One event resulting in 100 fish mortalities (Tilapia fingerlings) from the north pond that had naturally developed and received impacted water before the annual depopulation exercise, and one event of 50 fish mortalities (Tilapia fingerlings) in the process ponds attributed to low dissolved oxygen levels.</t>
    </r>
  </si>
  <si>
    <r>
      <rPr>
        <b/>
        <sz val="10"/>
        <color rgb="FF000000"/>
        <rFont val="Calibri"/>
        <family val="2"/>
      </rPr>
      <t>Number of wildlife mortalities: Trailing five year data</t>
    </r>
    <r>
      <rPr>
        <b/>
        <vertAlign val="superscript"/>
        <sz val="10"/>
        <color rgb="FF000000"/>
        <rFont val="Calibri"/>
        <family val="2"/>
      </rPr>
      <t>1</t>
    </r>
  </si>
  <si>
    <r>
      <rPr>
        <b/>
        <sz val="10"/>
        <color rgb="FF000000"/>
        <rFont val="Calibri"/>
        <family val="2"/>
      </rPr>
      <t xml:space="preserve">2022 </t>
    </r>
    <r>
      <rPr>
        <vertAlign val="superscript"/>
        <sz val="10"/>
        <color rgb="FF000000"/>
        <rFont val="Calibri"/>
        <family val="2"/>
      </rPr>
      <t>2</t>
    </r>
  </si>
  <si>
    <r>
      <rPr>
        <b/>
        <sz val="10"/>
        <color rgb="FF000000"/>
        <rFont val="Calibri"/>
        <family val="2"/>
      </rPr>
      <t xml:space="preserve">2023 </t>
    </r>
    <r>
      <rPr>
        <vertAlign val="superscript"/>
        <sz val="10"/>
        <color rgb="FF000000"/>
        <rFont val="Calibri"/>
        <family val="2"/>
      </rPr>
      <t>3</t>
    </r>
  </si>
  <si>
    <t>Critically endangered</t>
  </si>
  <si>
    <t>Endangered</t>
  </si>
  <si>
    <t>Vulnerable</t>
  </si>
  <si>
    <t>Near threatened</t>
  </si>
  <si>
    <t>Least concern</t>
  </si>
  <si>
    <r>
      <rPr>
        <vertAlign val="superscript"/>
        <sz val="8"/>
        <color rgb="FF000000"/>
        <rFont val="Calibri"/>
        <family val="2"/>
      </rPr>
      <t xml:space="preserve">1 </t>
    </r>
    <r>
      <rPr>
        <sz val="8"/>
        <color rgb="FF000000"/>
        <rFont val="Calibri"/>
        <family val="2"/>
      </rPr>
      <t xml:space="preserve">The wildlife mortality categories listed align to IUCN Red List of Threatened Species categories. </t>
    </r>
    <r>
      <rPr>
        <sz val="8"/>
        <color rgb="FF000000"/>
        <rFont val="Calibri"/>
        <family val="2"/>
      </rPr>
      <t xml:space="preserve">	
</t>
    </r>
    <r>
      <rPr>
        <vertAlign val="superscript"/>
        <sz val="8"/>
        <color rgb="FF000000"/>
        <rFont val="Calibri"/>
        <family val="2"/>
      </rPr>
      <t xml:space="preserve">2 </t>
    </r>
    <r>
      <rPr>
        <sz val="8"/>
        <color rgb="FF000000"/>
        <rFont val="Calibri"/>
        <family val="2"/>
      </rPr>
      <t>The number of least concern wildlife mortalities in 2022 has been updated from 304 to 311 following further review of reporting at our Pe</t>
    </r>
    <r>
      <rPr>
        <sz val="8"/>
        <color rgb="FF000000"/>
        <rFont val="Calibri"/>
        <family val="2"/>
      </rPr>
      <t>ñasquito</t>
    </r>
    <r>
      <rPr>
        <sz val="8"/>
        <color rgb="FF000000"/>
        <rFont val="Calibri"/>
        <family val="2"/>
      </rPr>
      <t xml:space="preserve">, Musselwhite and Cerro Negro operations.
</t>
    </r>
    <r>
      <rPr>
        <vertAlign val="superscript"/>
        <sz val="8"/>
        <color rgb="FF000000"/>
        <rFont val="Calibri"/>
        <family val="2"/>
      </rPr>
      <t xml:space="preserve">3 </t>
    </r>
    <r>
      <rPr>
        <sz val="8"/>
        <color rgb="FF000000"/>
        <rFont val="Calibri"/>
        <family val="2"/>
      </rPr>
      <t>There were three dingo mortalities at Tanami in 2023. Dingoes are currently not recognized as a sub-species on the IUCN Red List and their status is under assessment by the IUCN; however they were previously listed as Vulnerable on the IUCN Red List and are reported as vulnerable in this report.</t>
    </r>
  </si>
  <si>
    <r>
      <rPr>
        <b/>
        <sz val="10"/>
        <color rgb="FF000000"/>
        <rFont val="Calibri"/>
        <family val="2"/>
      </rPr>
      <t>Operations in relation to Key Biodiversity Areas (KBAs): Site level</t>
    </r>
    <r>
      <rPr>
        <b/>
        <vertAlign val="superscript"/>
        <sz val="10"/>
        <color rgb="FF000000"/>
        <rFont val="Calibri"/>
        <family val="2"/>
      </rPr>
      <t>1</t>
    </r>
  </si>
  <si>
    <r>
      <rPr>
        <b/>
        <sz val="10"/>
        <color rgb="FF000000"/>
        <rFont val="Calibri"/>
        <family val="2"/>
      </rPr>
      <t>Area of KBA impacted to date (</t>
    </r>
    <r>
      <rPr>
        <b/>
        <sz val="10"/>
        <color rgb="FF000000"/>
        <rFont val="Calibri"/>
        <family val="2"/>
      </rPr>
      <t>hectares</t>
    </r>
    <r>
      <rPr>
        <b/>
        <sz val="10"/>
        <color rgb="FF000000"/>
        <rFont val="Calibri"/>
        <family val="2"/>
      </rPr>
      <t>)</t>
    </r>
  </si>
  <si>
    <r>
      <rPr>
        <b/>
        <sz val="10"/>
        <color rgb="FF000000"/>
        <rFont val="Calibri"/>
        <family val="2"/>
      </rPr>
      <t>Position relative to KBA</t>
    </r>
    <r>
      <rPr>
        <b/>
        <vertAlign val="superscript"/>
        <sz val="10"/>
        <color rgb="FF000000"/>
        <rFont val="Calibri"/>
        <family val="2"/>
      </rPr>
      <t>4</t>
    </r>
  </si>
  <si>
    <t>Ecological sensitivity</t>
  </si>
  <si>
    <t>Management actions</t>
  </si>
  <si>
    <t>External partners/collaborators</t>
  </si>
  <si>
    <r>
      <rPr>
        <sz val="10"/>
        <color rgb="FF000000"/>
        <rFont val="Calibri"/>
        <family val="2"/>
      </rPr>
      <t>Akyem</t>
    </r>
    <r>
      <rPr>
        <vertAlign val="superscript"/>
        <sz val="10"/>
        <color rgb="FF000000"/>
        <rFont val="Calibri"/>
        <family val="2"/>
      </rPr>
      <t>2</t>
    </r>
  </si>
  <si>
    <t>Containing portions of</t>
  </si>
  <si>
    <t>The terrestrial habitat of Ajenjua Bepo Forest Reserve is a nationally designated protected area of 2,500 hectares</t>
  </si>
  <si>
    <t>• Enrichment planting activities over 50 hectares of land
• Completing feasibility studies for offset area</t>
  </si>
  <si>
    <t>1. Forestry Commission of Ghana (Regulatory and Technical collaboration)
2. Environmental Protection Agency, Ghana (Regulatory and Technical collaboration) 
3. Minerals Commission of Ghana (Regulatory and Technical collaboration) 
4. Conservation Alliance (Consultant)
5. Wychwood (Consultant)
6. The Biodiversity Consultant
7. International Union for Conservation of Nature (IUCN)
8. Traditional Authority
9. Local Government Authority
10. Green Moss Limited</t>
  </si>
  <si>
    <t>In the area</t>
  </si>
  <si>
    <t>The terrestrial habitat of Birdlife 
International’s Endemic Bird Area of 
Southwest Australia is an international 
high biodiversity value area</t>
  </si>
  <si>
    <t xml:space="preserve">• Established the 192-hectare Hotham Farm Conservation Covenant area over remnant Jarrah Forest
• Undertaking restoration works within the 470 hectares of Hotham Farm
• Founding partner of the South West Sustainability Partnership, which Newmont, South 32 and Alcoa formed in 
2021 to work collaboratively on identifying, prioritizing and supporting research opportunities and pest and land management
• Continued the Partnership with Peel Harvey Catchment Council on a River 
Action Plan to improve ecosystem health and function and initiated engagement with key stakeholders in the Hotham-Williams Catchment </t>
  </si>
  <si>
    <t xml:space="preserve">1. Tranen Revegetation Systems 
2. Peel Harvey Catchment Council 
3. Dendra Systems 
4. Cooperative Research Centre for Transformations in Mining Economy (CRC TiME)
5. Astron Environmental "
6. Western Australian Biodiversity Science Institute
7. South32 and Alcoa (Bauxite Miners)
</t>
  </si>
  <si>
    <t>The terrestrial habitat of the Southern 
Tanami Indigenous Protection Area 
(10 million hectares), the southwest Tanami Desert Site of Conservation Significance, and the Dead Bullock Soak Site of Botanical Significance are all national high biodiversity value areas.</t>
  </si>
  <si>
    <t>1. Rehabilitation
2. Site Disturbance Permit process and system in place to minimize impacts, such as through utilizing previously disturbed areas where possible
3. Tree health monitoring</t>
  </si>
  <si>
    <t>1. Central Land Council (various divisions)
2. Australian Government Department of Agriculture, Water and 
the Environment
3. Northern Territory Government Department of Environment, 
Parks and Water Security
4. Terrestrial Ecosystem Research Network (TERN)
5. Territory Natural Resources Management (NRM)
6. Charles Darwin University (CDU)
7. University of Sydney
8. Low Ecological Services
9. Prodigy Gold
10. Southern Tanami IPA and Warlpiri Rangers</t>
  </si>
  <si>
    <t>The terrestrial habitat of wetlands, while not protected under legislation, are considered by the site to be key biodiversity areas due to their high biodiversity value</t>
  </si>
  <si>
    <t>• Developing a wetlands management plan supported by detailed hydrological, hydrogeological and edaphic information</t>
  </si>
  <si>
    <t>No official partners</t>
  </si>
  <si>
    <t>In the Area</t>
  </si>
  <si>
    <t>The terrestrial habitat of Highland and Lowland Ever-humid Forest is a national high biodiversity value area</t>
  </si>
  <si>
    <t>• Implementing a process to avoid and minimize vegetation disturbance and unnecessary impacts to natural habitats
• Creating an offset to compensate for biodiversity impacts and completed a pilot for the reforestation of land impacted by artisanal small-scale mining within Merian’s right of exploitation</t>
  </si>
  <si>
    <t>1. Hardner &amp; Gullison Associates
2. Environmental Services &amp; Support N.V.(ESS)</t>
  </si>
  <si>
    <t>The terrestrial habitat of Boreal forest and wetlands are high biodiversity value areas</t>
  </si>
  <si>
    <t>• Avoidance through designing small footprint
• Closure and Rehabilitation Plan to reclaim disturbed areas
• A compensation plan for the loss of wetlands is in implementation</t>
  </si>
  <si>
    <t>1. Viridis Terra International (VTI)
2. Biodiversité Québec
3. Institut national de recherche scientifique (ADN environnemental)</t>
  </si>
  <si>
    <r>
      <rPr>
        <sz val="10"/>
        <color rgb="FF000000"/>
        <rFont val="Calibri"/>
        <family val="2"/>
      </rPr>
      <t>Musselwhite</t>
    </r>
    <r>
      <rPr>
        <vertAlign val="superscript"/>
        <sz val="10"/>
        <color rgb="FF000000"/>
        <rFont val="Calibri"/>
        <family val="2"/>
      </rPr>
      <t>3</t>
    </r>
  </si>
  <si>
    <t>Adjacent to</t>
  </si>
  <si>
    <t>The Pipestone River Provincial Park, a linear waterway park with boreal forests and glacial features is an IUCN Category II designated area of 97,375 hectares</t>
  </si>
  <si>
    <t>• Completing an Annual Fall Aquatic Study to understand impacts to fish health and population dynamics downstream of the mine site including on the Pipestone River. No impacts have been observed in the continuous dataset going back to 1997.</t>
  </si>
  <si>
    <r>
      <rPr>
        <sz val="10"/>
        <color rgb="FF000000"/>
        <rFont val="Calibri"/>
        <family val="2"/>
      </rPr>
      <t xml:space="preserve">1. Ontario Breeding Bird Atlas
</t>
    </r>
    <r>
      <rPr>
        <sz val="10"/>
        <color rgb="FF000000"/>
        <rFont val="Calibri"/>
        <family val="2"/>
      </rPr>
      <t>2. Canadian Wildlife Service and Birds Canada</t>
    </r>
  </si>
  <si>
    <t>All areas of the operation contain portions of the Romeo Malette Forest, and specific areas (Dome and Pamour) contain a portion of Provincially Significant Wetland (The Porcupine River). In addition, the West and Southwest sides of the Dome No. 6 Tailings Facility is classified as Blanding's turtle habitat (Category 2 and Category 3)</t>
  </si>
  <si>
    <t>• Avoidance through designing small footprint (Borden only)
• Closure and Rehabilitation Plan to reclaim disturbed areas
• Conduct additional monitoring for Blanding's turtles and employ restrictive fencing for active work areas</t>
  </si>
  <si>
    <t>1.LGL Limited - Environmental Research Associates
2. Ministry of Natural Resources and Forestry (MNRF)
3. MINES
4. First Nation stakeholders (RDA, IBA, BA, MNO)
5. Friends of the Porcupine River Watershed
6. Mattagami Region Conservation Authority</t>
  </si>
  <si>
    <t>The terrestrial habitat of Aspen-dominated woodlands and dense conifer-dominated woodland is a state of high biodiversity value area</t>
  </si>
  <si>
    <t>• Avoidance through designing a smaller footprint
• Closure and Rehabilitation Plan to reclaim disturbed areas (5 year reclamation plan according to closure and reclamation strategy)</t>
  </si>
  <si>
    <t>1. Trout Unlimited
2. CPW (Colorado Parks &amp; Wildlife)</t>
  </si>
  <si>
    <t>The terrestrial habitat of Birdlife 
International’s Rio Cajamarca and the Tropical Andes are international high biodiversity value areas</t>
  </si>
  <si>
    <t>• Although the KBA is not directly impacted, we have developed a species-level management action plan with a 
target of No Net Loss of that Key Biodiversity Value. The plan 
involves reclaiming areas to include the key species habitat preferences and biomonitoring to identify changes 
associated with our operations or other activities in the area
• Replanting of Polylenis trees as part of forest habitat offset</t>
  </si>
  <si>
    <t>1. Universidad Privada Cayetano Heredia (covenant signed for lizard KBV studies) with the participation of professors and practitioners from local University "Universidad Nacional de Cajamarca"</t>
  </si>
  <si>
    <r>
      <rPr>
        <vertAlign val="superscript"/>
        <sz val="8"/>
        <color rgb="FF000000"/>
        <rFont val="Calibri"/>
        <family val="2"/>
      </rPr>
      <t xml:space="preserve">1 </t>
    </r>
    <r>
      <rPr>
        <sz val="8"/>
        <color rgb="FF000000"/>
        <rFont val="Calibri"/>
        <family val="2"/>
      </rPr>
      <t xml:space="preserve">Newmont defines a Key Biodiversity Area (KBA) as a designated protected area based on jurisdiction or other regulatory identifications as well as high biodiversity value areas outside of protected areas.
</t>
    </r>
    <r>
      <rPr>
        <vertAlign val="superscript"/>
        <sz val="8"/>
        <color rgb="FF000000"/>
        <rFont val="Calibri"/>
        <family val="2"/>
      </rPr>
      <t xml:space="preserve">2 </t>
    </r>
    <r>
      <rPr>
        <sz val="8"/>
        <color rgb="FF000000"/>
        <rFont val="Calibri"/>
        <family val="2"/>
      </rPr>
      <t xml:space="preserve">The KBA area impacted at Akyem </t>
    </r>
    <r>
      <rPr>
        <sz val="8"/>
        <color rgb="FF000000"/>
        <rFont val="Calibri"/>
        <family val="2"/>
      </rPr>
      <t>varies significant</t>
    </r>
    <r>
      <rPr>
        <sz val="8"/>
        <color rgb="FF000000"/>
        <rFont val="Calibri"/>
        <family val="2"/>
      </rPr>
      <t>ly from what was reported in the pr</t>
    </r>
    <r>
      <rPr>
        <sz val="8"/>
        <color rgb="FF000000"/>
        <rFont val="Calibri"/>
        <family val="2"/>
      </rPr>
      <t xml:space="preserve">ior reporting period due </t>
    </r>
    <r>
      <rPr>
        <sz val="8"/>
        <color rgb="FF000000"/>
        <rFont val="Calibri"/>
        <family val="2"/>
      </rPr>
      <t>to an error in reporting. Previous</t>
    </r>
    <r>
      <rPr>
        <sz val="8"/>
        <color rgb="FF000000"/>
        <rFont val="Calibri"/>
        <family val="2"/>
      </rPr>
      <t xml:space="preserve">ly, the </t>
    </r>
    <r>
      <rPr>
        <sz val="8"/>
        <color rgb="FF000000"/>
        <rFont val="Calibri"/>
        <family val="2"/>
      </rPr>
      <t xml:space="preserve">total </t>
    </r>
    <r>
      <rPr>
        <sz val="8"/>
        <color rgb="FF000000"/>
        <rFont val="Calibri"/>
        <family val="2"/>
      </rPr>
      <t>s</t>
    </r>
    <r>
      <rPr>
        <sz val="8"/>
        <color rgb="FF000000"/>
        <rFont val="Calibri"/>
        <family val="2"/>
      </rPr>
      <t xml:space="preserve">ite-wide disturbance </t>
    </r>
    <r>
      <rPr>
        <sz val="8"/>
        <color rgb="FF000000"/>
        <rFont val="Calibri"/>
        <family val="2"/>
      </rPr>
      <t>area</t>
    </r>
    <r>
      <rPr>
        <sz val="8"/>
        <color rgb="FF000000"/>
        <rFont val="Calibri"/>
        <family val="2"/>
      </rPr>
      <t xml:space="preserve"> (1</t>
    </r>
    <r>
      <rPr>
        <sz val="8"/>
        <color rgb="FF000000"/>
        <rFont val="Calibri"/>
        <family val="2"/>
      </rPr>
      <t>,233 hectares)</t>
    </r>
    <r>
      <rPr>
        <sz val="8"/>
        <color rgb="FF000000"/>
        <rFont val="Calibri"/>
        <family val="2"/>
      </rPr>
      <t xml:space="preserve"> </t>
    </r>
    <r>
      <rPr>
        <sz val="8"/>
        <color rgb="FF000000"/>
        <rFont val="Calibri"/>
        <family val="2"/>
      </rPr>
      <t xml:space="preserve">was reported </t>
    </r>
    <r>
      <rPr>
        <sz val="8"/>
        <color rgb="FF000000"/>
        <rFont val="Calibri"/>
        <family val="2"/>
      </rPr>
      <t>instead of only the</t>
    </r>
    <r>
      <rPr>
        <sz val="8"/>
        <color rgb="FF000000"/>
        <rFont val="Calibri"/>
        <family val="2"/>
      </rPr>
      <t xml:space="preserve"> area of </t>
    </r>
    <r>
      <rPr>
        <sz val="8"/>
        <color rgb="FF000000"/>
        <rFont val="Calibri"/>
        <family val="2"/>
      </rPr>
      <t>KBA</t>
    </r>
    <r>
      <rPr>
        <sz val="8"/>
        <color rgb="FF000000"/>
        <rFont val="Calibri"/>
        <family val="2"/>
      </rPr>
      <t xml:space="preserve"> disturbed</t>
    </r>
    <r>
      <rPr>
        <sz val="8"/>
        <color rgb="FF000000"/>
        <rFont val="Calibri"/>
        <family val="2"/>
      </rPr>
      <t xml:space="preserve"> (</t>
    </r>
    <r>
      <rPr>
        <sz val="8"/>
        <color rgb="FF000000"/>
        <rFont val="Calibri"/>
        <family val="2"/>
      </rPr>
      <t>85 hectares</t>
    </r>
    <r>
      <rPr>
        <sz val="8"/>
        <color rgb="FF000000"/>
        <rFont val="Calibri"/>
        <family val="2"/>
      </rPr>
      <t>)</t>
    </r>
    <r>
      <rPr>
        <sz val="8"/>
        <color rgb="FF000000"/>
        <rFont val="Calibri"/>
        <family val="2"/>
      </rPr>
      <t xml:space="preserve">. 
</t>
    </r>
    <r>
      <rPr>
        <vertAlign val="superscript"/>
        <sz val="8"/>
        <color rgb="FF000000"/>
        <rFont val="Calibri"/>
        <family val="2"/>
      </rPr>
      <t xml:space="preserve">3 </t>
    </r>
    <r>
      <rPr>
        <sz val="8"/>
        <color rgb="FF000000"/>
        <rFont val="Calibri"/>
        <family val="2"/>
      </rPr>
      <t xml:space="preserve">During </t>
    </r>
    <r>
      <rPr>
        <sz val="8"/>
        <color rgb="FF000000"/>
        <rFont val="Calibri"/>
        <family val="2"/>
      </rPr>
      <t>the 2023 update</t>
    </r>
    <r>
      <rPr>
        <sz val="8"/>
        <color rgb="FF000000"/>
        <rFont val="Calibri"/>
        <family val="2"/>
      </rPr>
      <t xml:space="preserve"> of </t>
    </r>
    <r>
      <rPr>
        <sz val="8"/>
        <color rgb="FF000000"/>
        <rFont val="Calibri"/>
        <family val="2"/>
      </rPr>
      <t xml:space="preserve">Musselwhite's </t>
    </r>
    <r>
      <rPr>
        <sz val="8"/>
        <color rgb="FF000000"/>
        <rFont val="Calibri"/>
        <family val="2"/>
      </rPr>
      <t>Biodiversity Risk Assessment Tool</t>
    </r>
    <r>
      <rPr>
        <sz val="8"/>
        <color rgb="FF000000"/>
        <rFont val="Calibri"/>
        <family val="2"/>
      </rPr>
      <t>, the</t>
    </r>
    <r>
      <rPr>
        <sz val="8"/>
        <color rgb="FF000000"/>
        <rFont val="Calibri"/>
        <family val="2"/>
      </rPr>
      <t xml:space="preserve"> </t>
    </r>
    <r>
      <rPr>
        <sz val="8"/>
        <color rgb="FF000000"/>
        <rFont val="Calibri"/>
        <family val="2"/>
      </rPr>
      <t>Pipestone</t>
    </r>
    <r>
      <rPr>
        <sz val="8"/>
        <color rgb="FF000000"/>
        <rFont val="Calibri"/>
        <family val="2"/>
      </rPr>
      <t xml:space="preserve"> River</t>
    </r>
    <r>
      <rPr>
        <sz val="8"/>
        <color rgb="FF000000"/>
        <rFont val="Calibri"/>
        <family val="2"/>
      </rPr>
      <t xml:space="preserve"> Provincial Park</t>
    </r>
    <r>
      <rPr>
        <sz val="8"/>
        <color rgb="FF000000"/>
        <rFont val="Calibri"/>
        <family val="2"/>
      </rPr>
      <t xml:space="preserve"> was </t>
    </r>
    <r>
      <rPr>
        <sz val="8"/>
        <color rgb="FF000000"/>
        <rFont val="Calibri"/>
        <family val="2"/>
      </rPr>
      <t>added</t>
    </r>
    <r>
      <rPr>
        <sz val="8"/>
        <color rgb="FF000000"/>
        <rFont val="Calibri"/>
        <family val="2"/>
      </rPr>
      <t xml:space="preserve"> as a key biodiversity area </t>
    </r>
    <r>
      <rPr>
        <sz val="8"/>
        <color rgb="FF000000"/>
        <rFont val="Calibri"/>
        <family val="2"/>
      </rPr>
      <t xml:space="preserve">adjacent to </t>
    </r>
    <r>
      <rPr>
        <sz val="8"/>
        <color rgb="FF000000"/>
        <rFont val="Calibri"/>
        <family val="2"/>
      </rPr>
      <t>the mine s</t>
    </r>
    <r>
      <rPr>
        <sz val="8"/>
        <color rgb="FF000000"/>
        <rFont val="Calibri"/>
        <family val="2"/>
      </rPr>
      <t xml:space="preserve">ite.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The categories utilized for the position in relation to the KBA are as follows: "In the area" means the entire operational footprint occurs within the KBA boundary or the entire KBA site occurs within the operational footprint; "Containing portions of" is defined as the operational footprint contains some but not all of the KBA site or the KBA site contains some but not all of the operational footprint; and "Adjacent to" is defined as the operational footprint occurs within regional district of the KBA.</t>
    </r>
  </si>
  <si>
    <r>
      <rPr>
        <b/>
        <sz val="10"/>
        <color rgb="FF000000"/>
        <rFont val="Calibri"/>
        <family val="2"/>
      </rPr>
      <t>Status of acid rock drainage: Site level</t>
    </r>
    <r>
      <rPr>
        <b/>
        <vertAlign val="superscript"/>
        <sz val="10"/>
        <color rgb="FF000000"/>
        <rFont val="Calibri"/>
        <family val="2"/>
      </rPr>
      <t>1</t>
    </r>
  </si>
  <si>
    <t>Not predicted to occur</t>
  </si>
  <si>
    <t>Predicted to occur</t>
  </si>
  <si>
    <t>Actively mitigated</t>
  </si>
  <si>
    <t>Under treatment or remediation</t>
  </si>
  <si>
    <t>Ahafo South</t>
  </si>
  <si>
    <t>X</t>
  </si>
  <si>
    <r>
      <rPr>
        <vertAlign val="superscript"/>
        <sz val="8"/>
        <color rgb="FF000000"/>
        <rFont val="Calibri"/>
        <family val="2"/>
      </rPr>
      <t xml:space="preserve">1 </t>
    </r>
    <r>
      <rPr>
        <sz val="8"/>
        <color rgb="FF000000"/>
        <rFont val="Calibri"/>
        <family val="2"/>
      </rPr>
      <t>Predicted to occur includes the potential that it may never occur.</t>
    </r>
  </si>
  <si>
    <t>LINKED TABLE FOR REFERENCE PURPOSES Status of acid rock drainage: Site level</t>
  </si>
  <si>
    <t>Response from Workbook</t>
  </si>
  <si>
    <t>Ahafo</t>
  </si>
  <si>
    <t>ENVIRONMENT: CLOSURE AND RECLAMATION</t>
  </si>
  <si>
    <r>
      <rPr>
        <b/>
        <sz val="10"/>
        <color rgb="FF000000"/>
        <rFont val="Calibri"/>
        <family val="2"/>
      </rPr>
      <t>Amount of land disturbed and</t>
    </r>
    <r>
      <rPr>
        <b/>
        <sz val="10"/>
        <color rgb="FF000000"/>
        <rFont val="Calibri"/>
        <family val="2"/>
      </rPr>
      <t xml:space="preserve"> reclaimed: Site level (hectares)</t>
    </r>
    <r>
      <rPr>
        <b/>
        <vertAlign val="superscript"/>
        <sz val="10"/>
        <color rgb="FF000000"/>
        <rFont val="Calibri"/>
        <family val="2"/>
      </rPr>
      <t>1</t>
    </r>
    <r>
      <rPr>
        <b/>
        <vertAlign val="superscript"/>
        <sz val="10"/>
        <color rgb="FF000000"/>
        <rFont val="Calibri"/>
        <family val="2"/>
      </rPr>
      <t>, 2</t>
    </r>
  </si>
  <si>
    <r>
      <rPr>
        <b/>
        <sz val="10"/>
        <color rgb="FF000000"/>
        <rFont val="Calibri"/>
        <family val="2"/>
      </rPr>
      <t>Total</t>
    </r>
    <r>
      <rPr>
        <b/>
        <sz val="10"/>
        <color rgb="FF000000"/>
        <rFont val="Calibri"/>
        <family val="2"/>
      </rPr>
      <t xml:space="preserve"> </t>
    </r>
    <r>
      <rPr>
        <b/>
        <sz val="10"/>
        <color rgb="FF000000"/>
        <rFont val="Calibri"/>
        <family val="2"/>
      </rPr>
      <t xml:space="preserve">footprint at the </t>
    </r>
    <r>
      <rPr>
        <b/>
        <sz val="10"/>
        <color rgb="FF000000"/>
        <rFont val="Calibri"/>
        <family val="2"/>
      </rPr>
      <t>start</t>
    </r>
    <r>
      <rPr>
        <b/>
        <sz val="10"/>
        <color rgb="FF000000"/>
        <rFont val="Calibri"/>
        <family val="2"/>
      </rPr>
      <t xml:space="preserve"> of 202</t>
    </r>
    <r>
      <rPr>
        <b/>
        <sz val="10"/>
        <color rgb="FF000000"/>
        <rFont val="Calibri"/>
        <family val="2"/>
      </rPr>
      <t>3</t>
    </r>
    <r>
      <rPr>
        <b/>
        <vertAlign val="superscript"/>
        <sz val="10"/>
        <color rgb="FF000000"/>
        <rFont val="Calibri"/>
        <family val="2"/>
      </rPr>
      <t>3</t>
    </r>
  </si>
  <si>
    <r>
      <rPr>
        <b/>
        <sz val="10"/>
        <color rgb="FF000000"/>
        <rFont val="Calibri"/>
        <family val="2"/>
      </rPr>
      <t xml:space="preserve">Total cumulative achieved reclamation area up to the </t>
    </r>
    <r>
      <rPr>
        <b/>
        <sz val="10"/>
        <color rgb="FF000000"/>
        <rFont val="Calibri"/>
        <family val="2"/>
      </rPr>
      <t>start</t>
    </r>
    <r>
      <rPr>
        <b/>
        <sz val="10"/>
        <color rgb="FF000000"/>
        <rFont val="Calibri"/>
        <family val="2"/>
      </rPr>
      <t xml:space="preserve"> of 202</t>
    </r>
    <r>
      <rPr>
        <b/>
        <sz val="10"/>
        <color rgb="FF000000"/>
        <rFont val="Calibri"/>
        <family val="2"/>
      </rPr>
      <t>3</t>
    </r>
    <r>
      <rPr>
        <b/>
        <vertAlign val="superscript"/>
        <sz val="10"/>
        <color rgb="FF000000"/>
        <rFont val="Calibri"/>
        <family val="2"/>
      </rPr>
      <t>3</t>
    </r>
  </si>
  <si>
    <r>
      <rPr>
        <b/>
        <sz val="10"/>
        <color rgb="FF000000"/>
        <rFont val="Calibri"/>
        <family val="2"/>
      </rPr>
      <t xml:space="preserve">Total land disturbance not yet reclaimed to agreed upon end use at the </t>
    </r>
    <r>
      <rPr>
        <b/>
        <sz val="10"/>
        <color rgb="FF000000"/>
        <rFont val="Calibri"/>
        <family val="2"/>
      </rPr>
      <t>start</t>
    </r>
    <r>
      <rPr>
        <b/>
        <sz val="10"/>
        <color rgb="FF000000"/>
        <rFont val="Calibri"/>
        <family val="2"/>
      </rPr>
      <t xml:space="preserve"> of 202</t>
    </r>
    <r>
      <rPr>
        <b/>
        <sz val="10"/>
        <color rgb="FF000000"/>
        <rFont val="Calibri"/>
        <family val="2"/>
      </rPr>
      <t>3</t>
    </r>
    <r>
      <rPr>
        <b/>
        <vertAlign val="superscript"/>
        <sz val="10"/>
        <color rgb="FF000000"/>
        <rFont val="Calibri"/>
        <family val="2"/>
      </rPr>
      <t>3</t>
    </r>
  </si>
  <si>
    <t>New disturbance during 2023</t>
  </si>
  <si>
    <t>Previously reclaimed area redisturbed during 2023</t>
  </si>
  <si>
    <t>Achieved reclamation during 2023 to agreed upon end use</t>
  </si>
  <si>
    <t>Total disturbance not yet reclaimed to agreed upon end use at the end of 2023</t>
  </si>
  <si>
    <t>Total cumulative achieved reclamation area up to the end of 2023</t>
  </si>
  <si>
    <t>Total footprint at the end of 2023</t>
  </si>
  <si>
    <r>
      <rPr>
        <vertAlign val="superscript"/>
        <sz val="8"/>
        <color rgb="FF000000"/>
        <rFont val="Calibri"/>
        <family val="2"/>
      </rPr>
      <t xml:space="preserve">1 </t>
    </r>
    <r>
      <rPr>
        <sz val="8"/>
        <color rgb="FF000000"/>
        <rFont val="Calibri"/>
        <family val="2"/>
      </rPr>
      <t>Twelve of Newmont's sites, representing 100% of Newmont's active mine sites, have closure plans in place as of year-end 202</t>
    </r>
    <r>
      <rPr>
        <sz val="8"/>
        <color rgb="FF000000"/>
        <rFont val="Calibri"/>
        <family val="2"/>
      </rPr>
      <t>3</t>
    </r>
    <r>
      <rPr>
        <sz val="8"/>
        <color rgb="FF000000"/>
        <rFont val="Calibri"/>
        <family val="2"/>
      </rPr>
      <t xml:space="preserve">.
</t>
    </r>
    <r>
      <rPr>
        <vertAlign val="superscript"/>
        <sz val="8"/>
        <color rgb="FF000000"/>
        <rFont val="Calibri"/>
        <family val="2"/>
      </rPr>
      <t xml:space="preserve">2 </t>
    </r>
    <r>
      <rPr>
        <vertAlign val="superscript"/>
        <sz val="8"/>
        <color rgb="FF000000"/>
        <rFont val="Calibri"/>
        <family val="2"/>
      </rPr>
      <t xml:space="preserve"> </t>
    </r>
    <r>
      <rPr>
        <sz val="8"/>
        <color rgb="FF000000"/>
        <rFont val="Calibri"/>
        <family val="2"/>
      </rPr>
      <t>Some figures and percentages may not add</t>
    </r>
    <r>
      <rPr>
        <sz val="8"/>
        <color rgb="FF000000"/>
        <rFont val="Calibri"/>
        <family val="2"/>
      </rPr>
      <t xml:space="preserve"> </t>
    </r>
    <r>
      <rPr>
        <sz val="8"/>
        <color rgb="FF000000"/>
        <rFont val="Calibri"/>
        <family val="2"/>
      </rPr>
      <t>up to the total figure or 100</t>
    </r>
    <r>
      <rPr>
        <sz val="8"/>
        <color rgb="FF000000"/>
        <rFont val="Calibri"/>
        <family val="2"/>
      </rPr>
      <t xml:space="preserve">percent due to rounding.
</t>
    </r>
    <r>
      <rPr>
        <vertAlign val="superscript"/>
        <sz val="8"/>
        <color rgb="FF000000"/>
        <rFont val="Calibri"/>
        <family val="2"/>
      </rPr>
      <t xml:space="preserve">3 </t>
    </r>
    <r>
      <rPr>
        <sz val="8"/>
        <color rgb="FF000000"/>
        <rFont val="Calibri"/>
        <family val="2"/>
      </rPr>
      <t xml:space="preserve">Certain prior period balances have been </t>
    </r>
    <r>
      <rPr>
        <sz val="8"/>
        <color rgb="FF000000"/>
        <rFont val="Calibri"/>
        <family val="2"/>
      </rPr>
      <t>restated</t>
    </r>
    <r>
      <rPr>
        <sz val="8"/>
        <color rgb="FF000000"/>
        <rFont val="Calibri"/>
        <family val="2"/>
      </rPr>
      <t xml:space="preserve"> to correct </t>
    </r>
    <r>
      <rPr>
        <sz val="8"/>
        <color rgb="FF000000"/>
        <rFont val="Calibri"/>
        <family val="2"/>
      </rPr>
      <t xml:space="preserve">for </t>
    </r>
    <r>
      <rPr>
        <sz val="8"/>
        <color rgb="FF000000"/>
        <rFont val="Calibri"/>
        <family val="2"/>
      </rPr>
      <t>errors made in the prior period and to reflect</t>
    </r>
    <r>
      <rPr>
        <sz val="8"/>
        <color rgb="FF000000"/>
        <rFont val="Calibri"/>
        <family val="2"/>
      </rPr>
      <t xml:space="preserve"> </t>
    </r>
    <r>
      <rPr>
        <sz val="8"/>
        <color rgb="FF000000"/>
        <rFont val="Calibri"/>
        <family val="2"/>
      </rPr>
      <t>improvements and</t>
    </r>
    <r>
      <rPr>
        <sz val="8"/>
        <color rgb="FF000000"/>
        <rFont val="Calibri"/>
        <family val="2"/>
      </rPr>
      <t xml:space="preserve"> </t>
    </r>
    <r>
      <rPr>
        <sz val="8"/>
        <color rgb="FF000000"/>
        <rFont val="Calibri"/>
        <family val="2"/>
      </rPr>
      <t xml:space="preserve">changes in measurement methodology. Overall, the change in the global total footprint </t>
    </r>
    <r>
      <rPr>
        <sz val="8"/>
        <color rgb="FF000000"/>
        <rFont val="Calibri"/>
        <family val="2"/>
      </rPr>
      <t>and cumulative achieved reclamation area</t>
    </r>
    <r>
      <rPr>
        <sz val="8"/>
        <color rgb="FF000000"/>
        <rFont val="Calibri"/>
        <family val="2"/>
      </rPr>
      <t xml:space="preserve"> </t>
    </r>
    <r>
      <rPr>
        <sz val="8"/>
        <color rgb="FF000000"/>
        <rFont val="Calibri"/>
        <family val="2"/>
      </rPr>
      <t xml:space="preserve">compared to that reported in the prior period </t>
    </r>
    <r>
      <rPr>
        <sz val="8"/>
        <color rgb="FF000000"/>
        <rFont val="Calibri"/>
        <family val="2"/>
      </rPr>
      <t xml:space="preserve">each </t>
    </r>
    <r>
      <rPr>
        <sz val="8"/>
        <color rgb="FF000000"/>
        <rFont val="Calibri"/>
        <family val="2"/>
      </rPr>
      <t xml:space="preserve">resulted in a </t>
    </r>
    <r>
      <rPr>
        <sz val="8"/>
        <color rgb="FF000000"/>
        <rFont val="Calibri"/>
        <family val="2"/>
      </rPr>
      <t>less than one</t>
    </r>
    <r>
      <rPr>
        <sz val="8"/>
        <color rgb="FF000000"/>
        <rFont val="Calibri"/>
        <family val="2"/>
      </rPr>
      <t xml:space="preserve"> percent difference. </t>
    </r>
    <r>
      <rPr>
        <sz val="8"/>
        <color rgb="FF000000"/>
        <rFont val="Calibri"/>
        <family val="2"/>
      </rPr>
      <t>Only one sites'</t>
    </r>
    <r>
      <rPr>
        <sz val="8"/>
        <color rgb="FF000000"/>
        <rFont val="Calibri"/>
        <family val="2"/>
      </rPr>
      <t xml:space="preserve"> updates</t>
    </r>
    <r>
      <rPr>
        <sz val="8"/>
        <color rgb="FF000000"/>
        <rFont val="Calibri"/>
        <family val="2"/>
      </rPr>
      <t>, Porcupine,</t>
    </r>
    <r>
      <rPr>
        <sz val="8"/>
        <color rgb="FF000000"/>
        <rFont val="Calibri"/>
        <family val="2"/>
      </rPr>
      <t xml:space="preserve"> resulted in a change of more than 5% </t>
    </r>
    <r>
      <rPr>
        <sz val="8"/>
        <color rgb="FF000000"/>
        <rFont val="Calibri"/>
        <family val="2"/>
      </rPr>
      <t>individually</t>
    </r>
    <r>
      <rPr>
        <sz val="8"/>
        <color rgb="FF000000"/>
        <rFont val="Calibri"/>
        <family val="2"/>
      </rPr>
      <t xml:space="preserve"> at the site level. </t>
    </r>
    <r>
      <rPr>
        <sz val="8"/>
        <color rgb="FF000000"/>
        <rFont val="Calibri"/>
        <family val="2"/>
      </rPr>
      <t xml:space="preserve">Porcupine's update to footprint area </t>
    </r>
    <r>
      <rPr>
        <sz val="8"/>
        <color rgb="FF000000"/>
        <rFont val="Calibri"/>
        <family val="2"/>
      </rPr>
      <t xml:space="preserve">and reclamation area </t>
    </r>
    <r>
      <rPr>
        <sz val="8"/>
        <color rgb="FF000000"/>
        <rFont val="Calibri"/>
        <family val="2"/>
      </rPr>
      <t xml:space="preserve">resulted in </t>
    </r>
    <r>
      <rPr>
        <sz val="8"/>
        <color rgb="FF000000"/>
        <rFont val="Calibri"/>
        <family val="2"/>
      </rPr>
      <t>a</t>
    </r>
    <r>
      <rPr>
        <sz val="8"/>
        <color rgb="FF000000"/>
        <rFont val="Calibri"/>
        <family val="2"/>
      </rPr>
      <t>n increase of</t>
    </r>
    <r>
      <rPr>
        <sz val="8"/>
        <color rgb="FF000000"/>
        <rFont val="Calibri"/>
        <family val="2"/>
      </rPr>
      <t xml:space="preserve"> 10%</t>
    </r>
    <r>
      <rPr>
        <sz val="8"/>
        <color rgb="FF000000"/>
        <rFont val="Calibri"/>
        <family val="2"/>
      </rPr>
      <t xml:space="preserve"> and 37%</t>
    </r>
    <r>
      <rPr>
        <sz val="8"/>
        <color rgb="FF000000"/>
        <rFont val="Calibri"/>
        <family val="2"/>
      </rPr>
      <t xml:space="preserve">, respectively. </t>
    </r>
    <r>
      <rPr>
        <sz val="8"/>
        <color rgb="FF000000"/>
        <rFont val="Calibri"/>
        <family val="2"/>
      </rPr>
      <t>Addi</t>
    </r>
    <r>
      <rPr>
        <sz val="8"/>
        <color rgb="FF000000"/>
        <rFont val="Calibri"/>
        <family val="2"/>
      </rPr>
      <t>tion</t>
    </r>
    <r>
      <rPr>
        <sz val="8"/>
        <color rgb="FF000000"/>
        <rFont val="Calibri"/>
        <family val="2"/>
      </rPr>
      <t xml:space="preserve">ally, </t>
    </r>
    <r>
      <rPr>
        <sz val="8"/>
        <color rgb="FF000000"/>
        <rFont val="Calibri"/>
        <family val="2"/>
      </rPr>
      <t>these u</t>
    </r>
    <r>
      <rPr>
        <sz val="8"/>
        <color rgb="FF000000"/>
        <rFont val="Calibri"/>
        <family val="2"/>
      </rPr>
      <t xml:space="preserve">pdates on </t>
    </r>
    <r>
      <rPr>
        <sz val="8"/>
        <color rgb="FF000000"/>
        <rFont val="Calibri"/>
        <family val="2"/>
      </rPr>
      <t>footprint and recl</t>
    </r>
    <r>
      <rPr>
        <sz val="8"/>
        <color rgb="FF000000"/>
        <rFont val="Calibri"/>
        <family val="2"/>
      </rPr>
      <t xml:space="preserve">amation areas </t>
    </r>
    <r>
      <rPr>
        <sz val="8"/>
        <color rgb="FF000000"/>
        <rFont val="Calibri"/>
        <family val="2"/>
      </rPr>
      <t>resulted in a</t>
    </r>
    <r>
      <rPr>
        <sz val="8"/>
        <color rgb="FF000000"/>
        <rFont val="Calibri"/>
        <family val="2"/>
      </rPr>
      <t xml:space="preserve"> </t>
    </r>
    <r>
      <rPr>
        <sz val="8"/>
        <color rgb="FF000000"/>
        <rFont val="Calibri"/>
        <family val="2"/>
      </rPr>
      <t>decrease</t>
    </r>
    <r>
      <rPr>
        <sz val="8"/>
        <color rgb="FF000000"/>
        <rFont val="Calibri"/>
        <family val="2"/>
      </rPr>
      <t xml:space="preserve"> of </t>
    </r>
    <r>
      <rPr>
        <sz val="8"/>
        <color rgb="FF000000"/>
        <rFont val="Calibri"/>
        <family val="2"/>
      </rPr>
      <t>8%</t>
    </r>
    <r>
      <rPr>
        <sz val="8"/>
        <color rgb="FF000000"/>
        <rFont val="Calibri"/>
        <family val="2"/>
      </rPr>
      <t xml:space="preserve"> to Newmont's global land disturbance at the start of 2023</t>
    </r>
    <r>
      <rPr>
        <sz val="8"/>
        <color rgb="FF000000"/>
        <rFont val="Calibri"/>
        <family val="2"/>
      </rPr>
      <t xml:space="preserve"> as compared to </t>
    </r>
    <r>
      <rPr>
        <sz val="8"/>
        <color rgb="FF000000"/>
        <rFont val="Calibri"/>
        <family val="2"/>
      </rPr>
      <t xml:space="preserve">the </t>
    </r>
    <r>
      <rPr>
        <sz val="8"/>
        <color rgb="FF000000"/>
        <rFont val="Calibri"/>
        <family val="2"/>
      </rPr>
      <t>disturbance</t>
    </r>
    <r>
      <rPr>
        <sz val="8"/>
        <color rgb="FF000000"/>
        <rFont val="Calibri"/>
        <family val="2"/>
      </rPr>
      <t xml:space="preserve"> area</t>
    </r>
    <r>
      <rPr>
        <sz val="8"/>
        <color rgb="FF000000"/>
        <rFont val="Calibri"/>
        <family val="2"/>
      </rPr>
      <t xml:space="preserve"> reported at the end of 2022. </t>
    </r>
    <r>
      <rPr>
        <sz val="8"/>
        <color rgb="FF000000"/>
        <rFont val="Calibri"/>
        <family val="2"/>
      </rPr>
      <t>At the site level,</t>
    </r>
    <r>
      <rPr>
        <sz val="8"/>
        <color rgb="FF000000"/>
        <rFont val="Calibri"/>
        <family val="2"/>
      </rPr>
      <t xml:space="preserve"> only </t>
    </r>
    <r>
      <rPr>
        <sz val="8"/>
        <color rgb="FF000000"/>
        <rFont val="Calibri"/>
        <family val="2"/>
      </rPr>
      <t xml:space="preserve">Porcupine's disturbance area reported at the beginning of 2023 as compared to </t>
    </r>
    <r>
      <rPr>
        <sz val="8"/>
        <color rgb="FF000000"/>
        <rFont val="Calibri"/>
        <family val="2"/>
      </rPr>
      <t xml:space="preserve">at the end of 2022 resulted in a </t>
    </r>
    <r>
      <rPr>
        <sz val="8"/>
        <color rgb="FF000000"/>
        <rFont val="Calibri"/>
        <family val="2"/>
      </rPr>
      <t>significant restatement</t>
    </r>
    <r>
      <rPr>
        <sz val="8"/>
        <color rgb="FF000000"/>
        <rFont val="Calibri"/>
        <family val="2"/>
      </rPr>
      <t>, represented by a</t>
    </r>
    <r>
      <rPr>
        <sz val="8"/>
        <color rgb="FF000000"/>
        <rFont val="Calibri"/>
        <family val="2"/>
      </rPr>
      <t xml:space="preserve">n increase of </t>
    </r>
    <r>
      <rPr>
        <sz val="8"/>
        <color rgb="FF000000"/>
        <rFont val="Calibri"/>
        <family val="2"/>
      </rPr>
      <t>9</t>
    </r>
    <r>
      <rPr>
        <sz val="8"/>
        <color rgb="FF000000"/>
        <rFont val="Calibri"/>
        <family val="2"/>
      </rPr>
      <t>%.</t>
    </r>
  </si>
  <si>
    <r>
      <rPr>
        <b/>
        <sz val="10"/>
        <color rgb="FF000000"/>
        <rFont val="Calibri"/>
        <family val="2"/>
      </rPr>
      <t>2021</t>
    </r>
    <r>
      <rPr>
        <b/>
        <sz val="10"/>
        <color rgb="FF000000"/>
        <rFont val="Calibri"/>
        <family val="2"/>
      </rPr>
      <t xml:space="preserve"> </t>
    </r>
    <r>
      <rPr>
        <b/>
        <vertAlign val="superscript"/>
        <sz val="10"/>
        <color rgb="FF000000"/>
        <rFont val="Calibri"/>
        <family val="2"/>
      </rPr>
      <t>1</t>
    </r>
  </si>
  <si>
    <r>
      <rPr>
        <b/>
        <sz val="10"/>
        <color rgb="FF000000"/>
        <rFont val="Calibri"/>
        <family val="2"/>
      </rPr>
      <t>2022</t>
    </r>
    <r>
      <rPr>
        <b/>
        <sz val="10"/>
        <color rgb="FF000000"/>
        <rFont val="Calibri"/>
        <family val="2"/>
      </rPr>
      <t xml:space="preserve"> </t>
    </r>
    <r>
      <rPr>
        <b/>
        <vertAlign val="superscript"/>
        <sz val="10"/>
        <color rgb="FF000000"/>
        <rFont val="Calibri"/>
        <family val="2"/>
      </rPr>
      <t>1</t>
    </r>
  </si>
  <si>
    <t>Total disturbance</t>
  </si>
  <si>
    <r>
      <rPr>
        <vertAlign val="superscript"/>
        <sz val="8"/>
        <color rgb="FF000000"/>
        <rFont val="Calibri"/>
        <family val="2"/>
      </rPr>
      <t xml:space="preserve">1 </t>
    </r>
    <r>
      <rPr>
        <sz val="8"/>
        <color rgb="FF000000"/>
        <rFont val="Calibri"/>
        <family val="2"/>
      </rPr>
      <t>The 2021</t>
    </r>
    <r>
      <rPr>
        <sz val="8"/>
        <color rgb="FF000000"/>
        <rFont val="Calibri"/>
        <family val="2"/>
      </rPr>
      <t xml:space="preserve"> and 2022</t>
    </r>
    <r>
      <rPr>
        <sz val="8"/>
        <color rgb="FF000000"/>
        <rFont val="Calibri"/>
        <family val="2"/>
      </rPr>
      <t xml:space="preserve"> balance</t>
    </r>
    <r>
      <rPr>
        <sz val="8"/>
        <color rgb="FF000000"/>
        <rFont val="Calibri"/>
        <family val="2"/>
      </rPr>
      <t xml:space="preserve">s </t>
    </r>
    <r>
      <rPr>
        <sz val="8"/>
        <color rgb="FF000000"/>
        <rFont val="Calibri"/>
        <family val="2"/>
      </rPr>
      <t>have</t>
    </r>
    <r>
      <rPr>
        <sz val="8"/>
        <color rgb="FF000000"/>
        <rFont val="Calibri"/>
        <family val="2"/>
      </rPr>
      <t xml:space="preserve"> been updated to correct errors made in the prior period and to reflect changes in measurement methodology. Overall, the change</t>
    </r>
    <r>
      <rPr>
        <sz val="8"/>
        <color rgb="FF000000"/>
        <rFont val="Calibri"/>
        <family val="2"/>
      </rPr>
      <t>s</t>
    </r>
    <r>
      <rPr>
        <sz val="8"/>
        <color rgb="FF000000"/>
        <rFont val="Calibri"/>
        <family val="2"/>
      </rPr>
      <t xml:space="preserve"> in the global total footprint compared to that reported in the prior period resulted in a less than one percent difference.</t>
    </r>
  </si>
  <si>
    <r>
      <rPr>
        <b/>
        <sz val="10"/>
        <color rgb="FF000000"/>
        <rFont val="Calibri"/>
        <family val="2"/>
      </rPr>
      <t>Mine lease area: Site level</t>
    </r>
  </si>
  <si>
    <t>Hectares</t>
  </si>
  <si>
    <r>
      <rPr>
        <sz val="10"/>
        <color rgb="FF000000"/>
        <rFont val="Calibri"/>
        <family val="2"/>
      </rPr>
      <t>Peñasquito</t>
    </r>
    <r>
      <rPr>
        <vertAlign val="superscript"/>
        <sz val="10"/>
        <color rgb="FF000000"/>
        <rFont val="Calibri"/>
        <family val="2"/>
      </rPr>
      <t>1</t>
    </r>
  </si>
  <si>
    <r>
      <rPr>
        <vertAlign val="superscript"/>
        <sz val="8"/>
        <color rgb="FF000000"/>
        <rFont val="Calibri"/>
        <family val="2"/>
      </rPr>
      <t xml:space="preserve">1 </t>
    </r>
    <r>
      <rPr>
        <sz val="8"/>
        <color rgb="FF000000"/>
        <rFont val="Calibri"/>
        <family val="2"/>
      </rPr>
      <t xml:space="preserve">The mine lease area at our </t>
    </r>
    <r>
      <rPr>
        <sz val="8"/>
        <color rgb="FF000000"/>
        <rFont val="Calibri"/>
        <family val="2"/>
      </rPr>
      <t>Pe</t>
    </r>
    <r>
      <rPr>
        <sz val="8"/>
        <color rgb="FF000000"/>
        <rFont val="Calibri"/>
        <family val="2"/>
      </rPr>
      <t>ñasquito site was incorrectly reported in 2021 due to an error in the included reporting boundary. The value reported included exploration land area, which should be excluded from the total footprint. The updated value resulted in a 58% decrease. The value reported in 2022 has been accurately adjusted to reflect the proper reporting boundary, and is the same area as the corrected 2021 value.</t>
    </r>
  </si>
  <si>
    <t>ENVIRONMENT: CYANIDE MANAGEMENT</t>
  </si>
  <si>
    <r>
      <rPr>
        <b/>
        <sz val="10"/>
        <color rgb="FF000000"/>
        <rFont val="Calibri"/>
        <family val="2"/>
      </rPr>
      <t>Estimated cyanide use: Trailing five year data (thousand tonnes)</t>
    </r>
    <r>
      <rPr>
        <b/>
        <vertAlign val="superscript"/>
        <sz val="10"/>
        <color rgb="FF000000"/>
        <rFont val="Calibri"/>
        <family val="2"/>
      </rPr>
      <t>1</t>
    </r>
  </si>
  <si>
    <t>Cyanide use</t>
  </si>
  <si>
    <r>
      <rPr>
        <vertAlign val="superscript"/>
        <sz val="8"/>
        <color rgb="FF000000"/>
        <rFont val="Calibri"/>
        <family val="2"/>
      </rPr>
      <t xml:space="preserve">1 </t>
    </r>
    <r>
      <rPr>
        <sz val="8"/>
        <color rgb="FF000000"/>
        <rFont val="Calibri"/>
        <family val="2"/>
      </rPr>
      <t>Cyanide usage data is estimated based on annual procurement data recorded in Newmont's accounting system</t>
    </r>
  </si>
  <si>
    <t>Spill off site requires response or remediation</t>
  </si>
  <si>
    <t>Adverse effects on human health</t>
  </si>
  <si>
    <t>Adverse effects to the environment</t>
  </si>
  <si>
    <t>Required reporting under applicable regulations</t>
  </si>
  <si>
    <t>Impact to biodiversity1</t>
  </si>
  <si>
    <r>
      <rPr>
        <b/>
        <sz val="10"/>
        <color rgb="FF000000"/>
        <rFont val="Calibri"/>
        <family val="2"/>
      </rPr>
      <t>Most recent ICMC certification date</t>
    </r>
    <r>
      <rPr>
        <b/>
        <vertAlign val="superscript"/>
        <sz val="10"/>
        <color rgb="FF000000"/>
        <rFont val="Calibri"/>
        <family val="2"/>
      </rPr>
      <t>2</t>
    </r>
  </si>
  <si>
    <t>24 Feb 2022</t>
  </si>
  <si>
    <t>27 Jan 2022</t>
  </si>
  <si>
    <t>22 Apr 2022</t>
  </si>
  <si>
    <t>3 Oct 2023</t>
  </si>
  <si>
    <t>22 Nov 2022</t>
  </si>
  <si>
    <t>9 Jun 2022</t>
  </si>
  <si>
    <t>13 May 2021</t>
  </si>
  <si>
    <t>23 Nov 2021</t>
  </si>
  <si>
    <t>10 May 2021</t>
  </si>
  <si>
    <t>28 Apr 2021</t>
  </si>
  <si>
    <t>29 Feb 2024</t>
  </si>
  <si>
    <t>15 Oct 2021</t>
  </si>
  <si>
    <r>
      <rPr>
        <vertAlign val="superscript"/>
        <sz val="8"/>
        <color rgb="FF000000"/>
        <rFont val="Calibri"/>
        <family val="2"/>
      </rPr>
      <t xml:space="preserve">1 </t>
    </r>
    <r>
      <rPr>
        <sz val="8"/>
        <color rgb="FF000000"/>
        <rFont val="Calibri"/>
        <family val="2"/>
      </rPr>
      <t xml:space="preserve">Cyanide-related biodiversity impacts are wildlife mortalities; for a full listing of wildlife mortalities, refer to the table titled Number of wildlife mortalities, in the Biodiversity section. 
</t>
    </r>
    <r>
      <rPr>
        <vertAlign val="superscript"/>
        <sz val="8"/>
        <color rgb="FF000000"/>
        <rFont val="Calibri"/>
        <family val="2"/>
      </rPr>
      <t xml:space="preserve">2 </t>
    </r>
    <r>
      <rPr>
        <sz val="8"/>
        <color rgb="FF000000"/>
        <rFont val="Calibri"/>
        <family val="2"/>
      </rPr>
      <t>International Cyanide Management Code (ICMC) certification is publicly available on the ICMC website: https://cyanidecode.org/worldwide-participants/signatory-directory/</t>
    </r>
  </si>
  <si>
    <t>ENVIRONMENT: CLIMATE CHANGE</t>
  </si>
  <si>
    <t>Table 1</t>
  </si>
  <si>
    <t>Coal2</t>
  </si>
  <si>
    <t>Diesel</t>
  </si>
  <si>
    <t>Waste oil</t>
  </si>
  <si>
    <t>Gasoline</t>
  </si>
  <si>
    <t>Natural gas</t>
  </si>
  <si>
    <t>Propane/LPG</t>
  </si>
  <si>
    <t>Heavy fuel oil</t>
  </si>
  <si>
    <t>Aviation fuel</t>
  </si>
  <si>
    <t>Total direct non-renewable energy consumed</t>
  </si>
  <si>
    <t>Hydro</t>
  </si>
  <si>
    <t>Wind</t>
  </si>
  <si>
    <t>Solar</t>
  </si>
  <si>
    <t>Biodiesel</t>
  </si>
  <si>
    <t>Total direct renewable energy consumed3</t>
  </si>
  <si>
    <t>Total direct energy consumed - all types</t>
  </si>
  <si>
    <t>Grid electricity from non-renewable sources</t>
  </si>
  <si>
    <t>Heating</t>
  </si>
  <si>
    <t>Cooling</t>
  </si>
  <si>
    <t>Steam</t>
  </si>
  <si>
    <t>Total indirect energy consumed</t>
  </si>
  <si>
    <t>TOTAL ENERGY CONSUMED (direct, indirect)</t>
  </si>
  <si>
    <r>
      <rPr>
        <b/>
        <sz val="10"/>
        <color rgb="FF000000"/>
        <rFont val="Calibri"/>
        <family val="2"/>
      </rPr>
      <t>Direct  energy</t>
    </r>
    <r>
      <rPr>
        <b/>
        <vertAlign val="superscript"/>
        <sz val="10"/>
        <color rgb="FF000000"/>
        <rFont val="Calibri"/>
        <family val="2"/>
      </rPr>
      <t>1</t>
    </r>
  </si>
  <si>
    <r>
      <rPr>
        <b/>
        <sz val="10"/>
        <color rgb="FF000000"/>
        <rFont val="Calibri"/>
        <family val="2"/>
      </rPr>
      <t>Indirect energy</t>
    </r>
    <r>
      <rPr>
        <b/>
        <vertAlign val="superscript"/>
        <sz val="10"/>
        <color rgb="FF000000"/>
        <rFont val="Calibri"/>
        <family val="2"/>
      </rPr>
      <t>2</t>
    </r>
  </si>
  <si>
    <t>Total combined direct and indirect energy consumed</t>
  </si>
  <si>
    <t>Non-renewable sources</t>
  </si>
  <si>
    <t>Renewable sources</t>
  </si>
  <si>
    <t>Total direct energy (renewable and non-renewable)</t>
  </si>
  <si>
    <t xml:space="preserve">Total indirect energy </t>
  </si>
  <si>
    <t>Used oil</t>
  </si>
  <si>
    <t>Total direct non-renewable energy</t>
  </si>
  <si>
    <t>Total direct renewable energy</t>
  </si>
  <si>
    <t xml:space="preserve">Purchased grid electricity </t>
  </si>
  <si>
    <r>
      <rPr>
        <vertAlign val="superscript"/>
        <sz val="8"/>
        <color rgb="FF000000"/>
        <rFont val="Calibri"/>
        <family val="2"/>
      </rPr>
      <t xml:space="preserve">1 </t>
    </r>
    <r>
      <rPr>
        <sz val="8"/>
        <color rgb="FF000000"/>
        <rFont val="Calibri"/>
        <family val="2"/>
      </rPr>
      <t>Newmont does not generate or consume direct (on-site)</t>
    </r>
    <r>
      <rPr>
        <sz val="8"/>
        <color rgb="FF000000"/>
        <rFont val="Calibri"/>
        <family val="2"/>
      </rPr>
      <t xml:space="preserve"> energy from other sources not listed, including coal, hydropower and wind.
</t>
    </r>
    <r>
      <rPr>
        <vertAlign val="superscript"/>
        <sz val="8"/>
        <color rgb="FF000000"/>
        <rFont val="Calibri"/>
        <family val="2"/>
      </rPr>
      <t>2</t>
    </r>
    <r>
      <rPr>
        <sz val="8"/>
        <color rgb="FF000000"/>
        <rFont val="Calibri"/>
        <family val="2"/>
      </rPr>
      <t xml:space="preserve"> Newmont does not consume any energy from purchased or acquired heating, cooling or steam.</t>
    </r>
  </si>
  <si>
    <r>
      <t>Direct and indirect energy consumed by source: Trailing six year data</t>
    </r>
    <r>
      <rPr>
        <b/>
        <vertAlign val="superscript"/>
        <sz val="10"/>
        <color rgb="FF000000"/>
        <rFont val="Calibri"/>
        <family val="2"/>
      </rPr>
      <t xml:space="preserve"> </t>
    </r>
    <r>
      <rPr>
        <b/>
        <sz val="10"/>
        <color rgb="FF000000"/>
        <rFont val="Calibri"/>
        <family val="2"/>
      </rPr>
      <t xml:space="preserve"> (million GJ)</t>
    </r>
    <r>
      <rPr>
        <b/>
        <vertAlign val="superscript"/>
        <sz val="10"/>
        <color rgb="FF000000"/>
        <rFont val="Calibri"/>
        <family val="2"/>
      </rPr>
      <t>1, 2, 3</t>
    </r>
  </si>
  <si>
    <t>2018</t>
  </si>
  <si>
    <r>
      <rPr>
        <b/>
        <sz val="10"/>
        <color rgb="FF000000"/>
        <rFont val="Calibri"/>
        <family val="2"/>
      </rPr>
      <t>2022</t>
    </r>
    <r>
      <rPr>
        <b/>
        <vertAlign val="superscript"/>
        <sz val="10"/>
        <color rgb="FF000000"/>
        <rFont val="Calibri"/>
        <family val="2"/>
      </rPr>
      <t>4, 5</t>
    </r>
  </si>
  <si>
    <t>Direct non-renewable energy</t>
  </si>
  <si>
    <r>
      <rPr>
        <sz val="10"/>
        <color rgb="FF000000"/>
        <rFont val="Calibri"/>
        <family val="2"/>
      </rPr>
      <t>Diesel</t>
    </r>
    <r>
      <rPr>
        <vertAlign val="superscript"/>
        <sz val="10"/>
        <color rgb="FF000000"/>
        <rFont val="Calibri"/>
        <family val="2"/>
      </rPr>
      <t>4</t>
    </r>
  </si>
  <si>
    <t>&lt;0.01</t>
  </si>
  <si>
    <r>
      <rPr>
        <sz val="10"/>
        <color rgb="FF000000"/>
        <rFont val="Calibri"/>
        <family val="2"/>
      </rPr>
      <t>Aviation fuel</t>
    </r>
    <r>
      <rPr>
        <vertAlign val="superscript"/>
        <sz val="10"/>
        <color rgb="FF000000"/>
        <rFont val="Calibri"/>
        <family val="2"/>
      </rPr>
      <t>5</t>
    </r>
  </si>
  <si>
    <r>
      <rPr>
        <b/>
        <sz val="10"/>
        <color rgb="FF000000"/>
        <rFont val="Calibri"/>
        <family val="2"/>
      </rPr>
      <t>Total direct non-renewable energy consumed</t>
    </r>
    <r>
      <rPr>
        <b/>
        <vertAlign val="superscript"/>
        <sz val="10"/>
        <color rgb="FF000000"/>
        <rFont val="Calibri"/>
        <family val="2"/>
      </rPr>
      <t>4, 5</t>
    </r>
  </si>
  <si>
    <t>Direct renewable energy consumed</t>
  </si>
  <si>
    <t>N/R</t>
  </si>
  <si>
    <t>Total direct renewable energy consumed</t>
  </si>
  <si>
    <r>
      <rPr>
        <b/>
        <sz val="10"/>
        <color rgb="FF000000"/>
        <rFont val="Calibri"/>
        <family val="2"/>
      </rPr>
      <t>Total direct energy consumed</t>
    </r>
    <r>
      <rPr>
        <b/>
        <vertAlign val="superscript"/>
        <sz val="10"/>
        <color rgb="FF000000"/>
        <rFont val="Calibri"/>
        <family val="2"/>
      </rPr>
      <t>4, 5</t>
    </r>
  </si>
  <si>
    <r>
      <rPr>
        <b/>
        <sz val="10"/>
        <color rgb="FF000000"/>
        <rFont val="Calibri"/>
        <family val="2"/>
      </rPr>
      <t>Indirect energy consumed by source</t>
    </r>
    <r>
      <rPr>
        <b/>
        <vertAlign val="superscript"/>
        <sz val="10"/>
        <color rgb="FF000000"/>
        <rFont val="Calibri"/>
        <family val="2"/>
      </rPr>
      <t>6</t>
    </r>
  </si>
  <si>
    <r>
      <rPr>
        <sz val="10"/>
        <color rgb="FF000000"/>
        <rFont val="Calibri"/>
        <family val="2"/>
      </rPr>
      <t>Grid electricity from non-renewable sources</t>
    </r>
    <r>
      <rPr>
        <vertAlign val="superscript"/>
        <sz val="10"/>
        <color rgb="FF000000"/>
        <rFont val="Calibri"/>
        <family val="2"/>
      </rPr>
      <t>4</t>
    </r>
  </si>
  <si>
    <t>Percent of grid electricity from non-renewable sources</t>
  </si>
  <si>
    <r>
      <rPr>
        <sz val="10"/>
        <color rgb="FF000000"/>
        <rFont val="Calibri"/>
        <family val="2"/>
      </rPr>
      <t>Grid electricity from renewable sources</t>
    </r>
    <r>
      <rPr>
        <vertAlign val="superscript"/>
        <sz val="10"/>
        <color rgb="FF000000"/>
        <rFont val="Calibri"/>
        <family val="2"/>
      </rPr>
      <t>4</t>
    </r>
  </si>
  <si>
    <t>Percent of grid electricity from renewable sources</t>
  </si>
  <si>
    <r>
      <rPr>
        <b/>
        <sz val="10"/>
        <color rgb="FF000000"/>
        <rFont val="Calibri"/>
        <family val="2"/>
      </rPr>
      <t>Total indirect energy consumed</t>
    </r>
    <r>
      <rPr>
        <b/>
        <vertAlign val="superscript"/>
        <sz val="10"/>
        <color rgb="FF000000"/>
        <rFont val="Calibri"/>
        <family val="2"/>
      </rPr>
      <t>4</t>
    </r>
  </si>
  <si>
    <r>
      <rPr>
        <b/>
        <sz val="10"/>
        <color rgb="FF000000"/>
        <rFont val="Calibri"/>
        <family val="2"/>
      </rPr>
      <t>Total direct and indirect energy consumed</t>
    </r>
    <r>
      <rPr>
        <b/>
        <vertAlign val="superscript"/>
        <sz val="10"/>
        <color rgb="FF000000"/>
        <rFont val="Calibri"/>
        <family val="2"/>
      </rPr>
      <t>4,</t>
    </r>
    <r>
      <rPr>
        <b/>
        <vertAlign val="superscript"/>
        <sz val="10"/>
        <color rgb="FF000000"/>
        <rFont val="Calibri"/>
        <family val="2"/>
      </rPr>
      <t xml:space="preserve"> </t>
    </r>
    <r>
      <rPr>
        <b/>
        <vertAlign val="superscript"/>
        <sz val="10"/>
        <color rgb="FF000000"/>
        <rFont val="Calibri"/>
        <family val="2"/>
      </rPr>
      <t>5</t>
    </r>
  </si>
  <si>
    <r>
      <rPr>
        <vertAlign val="superscript"/>
        <sz val="8"/>
        <color rgb="FF000000"/>
        <rFont val="Calibri"/>
        <family val="2"/>
      </rPr>
      <t>1</t>
    </r>
    <r>
      <rPr>
        <sz val="8"/>
        <color rgb="FF000000"/>
        <rFont val="Calibri"/>
        <family val="2"/>
      </rPr>
      <t xml:space="preserve"> For comparability purposes, 2019 data omits Nevada TS Power Plant data to align with GHG Protocol Corporate Accounting and Reporting Standards for Merger and Acquisition year reporting guidance. </t>
    </r>
    <r>
      <rPr>
        <sz val="8"/>
        <color rgb="FF000000"/>
        <rFont val="Calibri"/>
        <family val="2"/>
      </rPr>
      <t xml:space="preserve">2019 data excludes assets divested on or before December 31, 2019. In addition, </t>
    </r>
    <r>
      <rPr>
        <sz val="8"/>
        <color rgb="FF000000"/>
        <rFont val="Calibri"/>
        <family val="2"/>
      </rPr>
      <t>2019 data includes available former Goldcorp site data</t>
    </r>
    <r>
      <rPr>
        <sz val="8"/>
        <color rgb="FF000000"/>
        <rFont val="Calibri"/>
        <family val="2"/>
      </rPr>
      <t xml:space="preserve"> a</t>
    </r>
    <r>
      <rPr>
        <sz val="8"/>
        <color rgb="FF000000"/>
        <rFont val="Calibri"/>
        <family val="2"/>
      </rPr>
      <t>nd</t>
    </r>
    <r>
      <rPr>
        <sz val="8"/>
        <color rgb="FF000000"/>
        <rFont val="Calibri"/>
        <family val="2"/>
      </rPr>
      <t xml:space="preserve"> full year data for former Goldcorp assets acquired by Newmont on April 18, 2019.
</t>
    </r>
    <r>
      <rPr>
        <vertAlign val="superscript"/>
        <sz val="8"/>
        <color rgb="FF000000"/>
        <rFont val="Calibri"/>
        <family val="2"/>
      </rPr>
      <t xml:space="preserve">2 </t>
    </r>
    <r>
      <rPr>
        <sz val="8"/>
        <color rgb="FF000000"/>
        <rFont val="Calibri"/>
        <family val="2"/>
      </rPr>
      <t xml:space="preserve">Newmont does not generate or consume direct (on-site) non-renewable or renewable energy from other sources not listed, including coal, hydropower and wind.
</t>
    </r>
    <r>
      <rPr>
        <vertAlign val="superscript"/>
        <sz val="8"/>
        <color rgb="FF000000"/>
        <rFont val="Calibri"/>
        <family val="2"/>
      </rPr>
      <t>3</t>
    </r>
    <r>
      <rPr>
        <sz val="8"/>
        <color rgb="FF000000"/>
        <rFont val="Calibri"/>
        <family val="2"/>
      </rPr>
      <t xml:space="preserve"> Newmont does not consume any energy from purchased or acquired heating, cooling or steam.
</t>
    </r>
    <r>
      <rPr>
        <vertAlign val="superscript"/>
        <sz val="8"/>
        <color rgb="FF000000"/>
        <rFont val="Calibri"/>
        <family val="2"/>
      </rPr>
      <t xml:space="preserve">4 </t>
    </r>
    <r>
      <rPr>
        <sz val="8"/>
        <color rgb="FF000000"/>
        <rFont val="Calibri"/>
        <family val="2"/>
      </rPr>
      <t>The 202</t>
    </r>
    <r>
      <rPr>
        <sz val="8"/>
        <color rgb="FF000000"/>
        <rFont val="Calibri"/>
        <family val="2"/>
      </rPr>
      <t>2</t>
    </r>
    <r>
      <rPr>
        <sz val="8"/>
        <color rgb="FF000000"/>
        <rFont val="Calibri"/>
        <family val="2"/>
      </rPr>
      <t xml:space="preserve"> values for energy consumed from diesel</t>
    </r>
    <r>
      <rPr>
        <sz val="8"/>
        <color rgb="FF000000"/>
        <rFont val="Calibri"/>
        <family val="2"/>
      </rPr>
      <t>, grid electricity from non-renewable sources, and renewable sources</t>
    </r>
    <r>
      <rPr>
        <sz val="8"/>
        <color rgb="FF000000"/>
        <rFont val="Calibri"/>
        <family val="2"/>
      </rPr>
      <t xml:space="preserve"> have been adjusted</t>
    </r>
    <r>
      <rPr>
        <sz val="8"/>
        <color rgb="FF000000"/>
        <rFont val="Calibri"/>
        <family val="2"/>
      </rPr>
      <t xml:space="preserve"> to reflect</t>
    </r>
    <r>
      <rPr>
        <sz val="8"/>
        <color rgb="FF000000"/>
        <rFont val="Calibri"/>
        <family val="2"/>
      </rPr>
      <t xml:space="preserve"> errors discovered</t>
    </r>
    <r>
      <rPr>
        <sz val="8"/>
        <color rgb="FF000000"/>
        <rFont val="Calibri"/>
        <family val="2"/>
      </rPr>
      <t xml:space="preserve"> on the prior repor</t>
    </r>
    <r>
      <rPr>
        <sz val="8"/>
        <color rgb="FF000000"/>
        <rFont val="Calibri"/>
        <family val="2"/>
      </rPr>
      <t>ting period's data</t>
    </r>
    <r>
      <rPr>
        <sz val="8"/>
        <color rgb="FF000000"/>
        <rFont val="Calibri"/>
        <family val="2"/>
      </rPr>
      <t xml:space="preserve">. </t>
    </r>
    <r>
      <rPr>
        <sz val="8"/>
        <color rgb="FF000000"/>
        <rFont val="Calibri"/>
        <family val="2"/>
      </rPr>
      <t>T</t>
    </r>
    <r>
      <rPr>
        <sz val="8"/>
        <color rgb="FF000000"/>
        <rFont val="Calibri"/>
        <family val="2"/>
      </rPr>
      <t>he cumulative impact of the adjust</t>
    </r>
    <r>
      <rPr>
        <sz val="8"/>
        <color rgb="FF000000"/>
        <rFont val="Calibri"/>
        <family val="2"/>
      </rPr>
      <t>ments does not result in a</t>
    </r>
    <r>
      <rPr>
        <sz val="8"/>
        <color rgb="FF000000"/>
        <rFont val="Calibri"/>
        <family val="2"/>
      </rPr>
      <t xml:space="preserve"> significant</t>
    </r>
    <r>
      <rPr>
        <sz val="8"/>
        <color rgb="FF000000"/>
        <rFont val="Calibri"/>
        <family val="2"/>
      </rPr>
      <t xml:space="preserve"> </t>
    </r>
    <r>
      <rPr>
        <sz val="8"/>
        <color rgb="FF000000"/>
        <rFont val="Calibri"/>
        <family val="2"/>
      </rPr>
      <t>(</t>
    </r>
    <r>
      <rPr>
        <sz val="8"/>
        <color rgb="FF000000"/>
        <rFont val="Calibri"/>
        <family val="2"/>
      </rPr>
      <t>greater than 5%</t>
    </r>
    <r>
      <rPr>
        <sz val="8"/>
        <color rgb="FF000000"/>
        <rFont val="Calibri"/>
        <family val="2"/>
      </rPr>
      <t>)</t>
    </r>
    <r>
      <rPr>
        <sz val="8"/>
        <color rgb="FF000000"/>
        <rFont val="Calibri"/>
        <family val="2"/>
      </rPr>
      <t xml:space="preserve"> change to the </t>
    </r>
    <r>
      <rPr>
        <sz val="8"/>
        <color rgb="FF000000"/>
        <rFont val="Calibri"/>
        <family val="2"/>
      </rPr>
      <t xml:space="preserve">respecitve </t>
    </r>
    <r>
      <rPr>
        <sz val="8"/>
        <color rgb="FF000000"/>
        <rFont val="Calibri"/>
        <family val="2"/>
      </rPr>
      <t xml:space="preserve">previously stated global </t>
    </r>
    <r>
      <rPr>
        <sz val="8"/>
        <color rgb="FF000000"/>
        <rFont val="Calibri"/>
        <family val="2"/>
      </rPr>
      <t>totals</t>
    </r>
    <r>
      <rPr>
        <sz val="8"/>
        <color rgb="FF000000"/>
        <rFont val="Calibri"/>
        <family val="2"/>
      </rPr>
      <t xml:space="preserve">.
</t>
    </r>
    <r>
      <rPr>
        <vertAlign val="superscript"/>
        <sz val="8"/>
        <color rgb="FF000000"/>
        <rFont val="Calibri"/>
        <family val="2"/>
      </rPr>
      <t>5</t>
    </r>
    <r>
      <rPr>
        <sz val="8"/>
        <color rgb="FF000000"/>
        <rFont val="Calibri"/>
        <family val="2"/>
      </rPr>
      <t xml:space="preserve"> The 2022 value for energy consumed from aviation fuel has been restated to correct for an omission</t>
    </r>
    <r>
      <rPr>
        <sz val="8"/>
        <color rgb="FF000000"/>
        <rFont val="Calibri"/>
        <family val="2"/>
      </rPr>
      <t xml:space="preserve"> of </t>
    </r>
    <r>
      <rPr>
        <sz val="8"/>
        <color rgb="FF000000"/>
        <rFont val="Calibri"/>
        <family val="2"/>
      </rPr>
      <t>the fuel consumed at</t>
    </r>
    <r>
      <rPr>
        <sz val="8"/>
        <color rgb="FF000000"/>
        <rFont val="Calibri"/>
        <family val="2"/>
      </rPr>
      <t xml:space="preserve"> our Tanami operation</t>
    </r>
    <r>
      <rPr>
        <sz val="8"/>
        <color rgb="FF000000"/>
        <rFont val="Calibri"/>
        <family val="2"/>
      </rPr>
      <t xml:space="preserve"> during the prior</t>
    </r>
    <r>
      <rPr>
        <sz val="8"/>
        <color rgb="FF000000"/>
        <rFont val="Calibri"/>
        <family val="2"/>
      </rPr>
      <t xml:space="preserve"> reporting</t>
    </r>
    <r>
      <rPr>
        <sz val="8"/>
        <color rgb="FF000000"/>
        <rFont val="Calibri"/>
        <family val="2"/>
      </rPr>
      <t xml:space="preserve"> period. </t>
    </r>
    <r>
      <rPr>
        <sz val="8"/>
        <color rgb="FF000000"/>
        <rFont val="Calibri"/>
        <family val="2"/>
      </rPr>
      <t>The change resulted in a significant increase</t>
    </r>
    <r>
      <rPr>
        <sz val="8"/>
        <color rgb="FF000000"/>
        <rFont val="Calibri"/>
        <family val="2"/>
      </rPr>
      <t xml:space="preserve"> (137%)</t>
    </r>
    <r>
      <rPr>
        <sz val="8"/>
        <color rgb="FF000000"/>
        <rFont val="Calibri"/>
        <family val="2"/>
      </rPr>
      <t xml:space="preserve"> to the previously stated global </t>
    </r>
    <r>
      <rPr>
        <sz val="8"/>
        <color rgb="FF000000"/>
        <rFont val="Calibri"/>
        <family val="2"/>
      </rPr>
      <t>aviation fuel total</t>
    </r>
    <r>
      <rPr>
        <sz val="8"/>
        <color rgb="FF000000"/>
        <rFont val="Calibri"/>
        <family val="2"/>
      </rPr>
      <t xml:space="preserve">.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Newmont</t>
    </r>
    <r>
      <rPr>
        <sz val="8"/>
        <color rgb="FF000000"/>
        <rFont val="Calibri"/>
        <family val="2"/>
      </rPr>
      <t xml:space="preserve"> reported only aggregated data for indirect energy (grid purchased electricity)</t>
    </r>
    <r>
      <rPr>
        <sz val="8"/>
        <color rgb="FF000000"/>
        <rFont val="Calibri"/>
        <family val="2"/>
      </rPr>
      <t xml:space="preserve"> in </t>
    </r>
    <r>
      <rPr>
        <sz val="8"/>
        <color rgb="FF000000"/>
        <rFont val="Calibri"/>
        <family val="2"/>
      </rPr>
      <t>2019.</t>
    </r>
  </si>
  <si>
    <r>
      <t>Energy intensity: Trailing six year data</t>
    </r>
    <r>
      <rPr>
        <b/>
        <vertAlign val="superscript"/>
        <sz val="10"/>
        <color rgb="FF000000"/>
        <rFont val="Calibri"/>
        <family val="2"/>
      </rPr>
      <t>1, 2</t>
    </r>
  </si>
  <si>
    <r>
      <rPr>
        <b/>
        <sz val="10"/>
        <color rgb="FF000000"/>
        <rFont val="Calibri"/>
        <family val="2"/>
      </rPr>
      <t>2022</t>
    </r>
    <r>
      <rPr>
        <b/>
        <vertAlign val="superscript"/>
        <sz val="10"/>
        <color rgb="FF000000"/>
        <rFont val="Calibri"/>
        <family val="2"/>
      </rPr>
      <t>3</t>
    </r>
  </si>
  <si>
    <t>Energy consumed (GJ) / GEO (gold equivalent ounces)</t>
  </si>
  <si>
    <t>Energy consumed (GJ) / revenues (thousands)</t>
  </si>
  <si>
    <r>
      <rPr>
        <vertAlign val="superscript"/>
        <sz val="8"/>
        <color rgb="FF000000"/>
        <rFont val="Calibri"/>
        <family val="2"/>
      </rPr>
      <t xml:space="preserve">1 </t>
    </r>
    <r>
      <rPr>
        <sz val="8"/>
        <color rgb="FF000000"/>
        <rFont val="Calibri"/>
        <family val="2"/>
      </rPr>
      <t xml:space="preserve">For comparability purposes, 2019 data omits Nevada TS Power Plant data to align with GHG Protocol Corporate Accounting and Reporting Standards for Merger and Acquisition year reporting guidance. </t>
    </r>
    <r>
      <rPr>
        <sz val="8"/>
        <color rgb="FF000000"/>
        <rFont val="Calibri"/>
        <family val="2"/>
      </rPr>
      <t xml:space="preserve">2019 data excludes assets divested on or before December 31, 2019. In addition, </t>
    </r>
    <r>
      <rPr>
        <sz val="8"/>
        <color rgb="FF000000"/>
        <rFont val="Calibri"/>
        <family val="2"/>
      </rPr>
      <t xml:space="preserve">2019 data includes former Goldcorp site data, and 2019 data includes full year data for former Goldcorp assets acquired by Newmont on April 18, 2019.
</t>
    </r>
    <r>
      <rPr>
        <vertAlign val="superscript"/>
        <sz val="8"/>
        <color rgb="FF000000"/>
        <rFont val="Calibri"/>
        <family val="2"/>
      </rPr>
      <t xml:space="preserve">2 </t>
    </r>
    <r>
      <rPr>
        <sz val="8"/>
        <color rgb="FF000000"/>
        <rFont val="Calibri"/>
        <family val="2"/>
      </rPr>
      <t xml:space="preserve">The energy input used to calculate the energy intensity ratio is the sum of total direct and indirect energy consumed (from renewable and non-renewable sources) within the organization. </t>
    </r>
    <r>
      <rPr>
        <sz val="8"/>
        <color rgb="FF000000"/>
        <rFont val="Calibri"/>
        <family val="2"/>
      </rPr>
      <t>T</t>
    </r>
    <r>
      <rPr>
        <sz val="8"/>
        <color rgb="FF000000"/>
        <rFont val="Calibri"/>
        <family val="2"/>
      </rPr>
      <t xml:space="preserve">his energy intensity metric is not the same as our GHG emissions intensity metric referred to in our targets.
</t>
    </r>
    <r>
      <rPr>
        <vertAlign val="superscript"/>
        <sz val="8"/>
        <color rgb="FF000000"/>
        <rFont val="Calibri"/>
        <family val="2"/>
      </rPr>
      <t xml:space="preserve">3 </t>
    </r>
    <r>
      <rPr>
        <sz val="8"/>
        <color rgb="FF000000"/>
        <rFont val="Calibri"/>
        <family val="2"/>
      </rPr>
      <t xml:space="preserve">The 2022 </t>
    </r>
    <r>
      <rPr>
        <sz val="8"/>
        <color rgb="FF000000"/>
        <rFont val="Calibri"/>
        <family val="2"/>
      </rPr>
      <t>intensity values</t>
    </r>
    <r>
      <rPr>
        <sz val="8"/>
        <color rgb="FF000000"/>
        <rFont val="Calibri"/>
        <family val="2"/>
      </rPr>
      <t xml:space="preserve"> have been adjusted to reflect </t>
    </r>
    <r>
      <rPr>
        <sz val="8"/>
        <color rgb="FF000000"/>
        <rFont val="Calibri"/>
        <family val="2"/>
      </rPr>
      <t xml:space="preserve">the </t>
    </r>
    <r>
      <rPr>
        <sz val="8"/>
        <color rgb="FF000000"/>
        <rFont val="Calibri"/>
        <family val="2"/>
      </rPr>
      <t>errors</t>
    </r>
    <r>
      <rPr>
        <sz val="8"/>
        <color rgb="FF000000"/>
        <rFont val="Calibri"/>
        <family val="2"/>
      </rPr>
      <t xml:space="preserve"> in energy consumed</t>
    </r>
    <r>
      <rPr>
        <sz val="8"/>
        <color rgb="FF000000"/>
        <rFont val="Calibri"/>
        <family val="2"/>
      </rPr>
      <t xml:space="preserve"> discovered</t>
    </r>
    <r>
      <rPr>
        <sz val="8"/>
        <color rgb="FF000000"/>
        <rFont val="Calibri"/>
        <family val="2"/>
      </rPr>
      <t xml:space="preserve"> </t>
    </r>
    <r>
      <rPr>
        <sz val="8"/>
        <color rgb="FF000000"/>
        <rFont val="Calibri"/>
        <family val="2"/>
      </rPr>
      <t>on the prior reporting period's data</t>
    </r>
    <r>
      <rPr>
        <sz val="8"/>
        <color rgb="FF000000"/>
        <rFont val="Calibri"/>
        <family val="2"/>
      </rPr>
      <t xml:space="preserve">. The cumulative impact of the adjustments does not result in a significant (greater than 5%) change to the previously stated global </t>
    </r>
    <r>
      <rPr>
        <sz val="8"/>
        <color rgb="FF000000"/>
        <rFont val="Calibri"/>
        <family val="2"/>
      </rPr>
      <t>intensity to</t>
    </r>
    <r>
      <rPr>
        <sz val="8"/>
        <color rgb="FF000000"/>
        <rFont val="Calibri"/>
        <family val="2"/>
      </rPr>
      <t>tals</t>
    </r>
    <r>
      <rPr>
        <sz val="8"/>
        <color rgb="FF000000"/>
        <rFont val="Calibri"/>
        <family val="2"/>
      </rPr>
      <t>.</t>
    </r>
  </si>
  <si>
    <t>Table 3</t>
  </si>
  <si>
    <r>
      <rPr>
        <b/>
        <sz val="10"/>
        <color rgb="FF000000"/>
        <rFont val="Calibri"/>
        <family val="2"/>
      </rPr>
      <t>Direct (on-site) electricity generated and consumed by source: Site level (GJ)</t>
    </r>
    <r>
      <rPr>
        <b/>
        <vertAlign val="superscript"/>
        <sz val="10"/>
        <color rgb="FF000000"/>
        <rFont val="Calibri"/>
        <family val="2"/>
      </rPr>
      <t>1</t>
    </r>
  </si>
  <si>
    <t>Diesel (non-renewable)</t>
  </si>
  <si>
    <t>Heavy fuel oil (non-renewable)</t>
  </si>
  <si>
    <t>Gasoline (non-renewable)</t>
  </si>
  <si>
    <r>
      <rPr>
        <b/>
        <sz val="10"/>
        <color rgb="FF000000"/>
        <rFont val="Calibri"/>
        <family val="2"/>
      </rPr>
      <t>Natural gas</t>
    </r>
    <r>
      <rPr>
        <b/>
        <strike/>
        <sz val="10"/>
        <color rgb="FF000000"/>
        <rFont val="Calibri"/>
        <family val="2"/>
      </rPr>
      <t>-</t>
    </r>
    <r>
      <rPr>
        <b/>
        <sz val="10"/>
        <color rgb="FF000000"/>
        <rFont val="Calibri"/>
        <family val="2"/>
      </rPr>
      <t>(non-renewable)</t>
    </r>
  </si>
  <si>
    <t>Propane (non-renewable)</t>
  </si>
  <si>
    <t>Solar (renewable)</t>
  </si>
  <si>
    <t>Biodiesel (renewable)</t>
  </si>
  <si>
    <t>Total direct (on-site) electricity generated and consumed</t>
  </si>
  <si>
    <r>
      <rPr>
        <vertAlign val="superscript"/>
        <sz val="8"/>
        <color rgb="FF000000"/>
        <rFont val="Calibri"/>
        <family val="2"/>
      </rPr>
      <t xml:space="preserve">1 </t>
    </r>
    <r>
      <rPr>
        <sz val="8"/>
        <color rgb="FF000000"/>
        <rFont val="Calibri"/>
        <family val="2"/>
      </rPr>
      <t>Newmont does not currently sell any energy (heating, cooling or steam) or electricity to the grid or to other entities, therefore total electricity generated is equal to total electricity consumed.</t>
    </r>
  </si>
  <si>
    <r>
      <t>Direct (on-site) electricity generated and consumed by source: Trailing six year data</t>
    </r>
    <r>
      <rPr>
        <b/>
        <vertAlign val="superscript"/>
        <sz val="10"/>
        <color rgb="FF000000"/>
        <rFont val="Calibri"/>
        <family val="2"/>
      </rPr>
      <t xml:space="preserve"> </t>
    </r>
    <r>
      <rPr>
        <b/>
        <sz val="10"/>
        <color rgb="FF000000"/>
        <rFont val="Calibri"/>
        <family val="2"/>
      </rPr>
      <t>(million GJ)</t>
    </r>
    <r>
      <rPr>
        <b/>
        <vertAlign val="superscript"/>
        <sz val="10"/>
        <color rgb="FF000000"/>
        <rFont val="Calibri"/>
        <family val="2"/>
      </rPr>
      <t>1, 2</t>
    </r>
  </si>
  <si>
    <r>
      <rPr>
        <b/>
        <sz val="10"/>
        <color rgb="FF000000"/>
        <rFont val="Calibri"/>
        <family val="2"/>
      </rPr>
      <t>2022</t>
    </r>
    <r>
      <rPr>
        <b/>
        <sz val="10"/>
        <color rgb="FF000000"/>
        <rFont val="Calibri"/>
        <family val="2"/>
      </rPr>
      <t xml:space="preserve"> </t>
    </r>
    <r>
      <rPr>
        <b/>
        <vertAlign val="superscript"/>
        <sz val="10"/>
        <color rgb="FF000000"/>
        <rFont val="Calibri"/>
        <family val="2"/>
      </rPr>
      <t>3</t>
    </r>
  </si>
  <si>
    <r>
      <rPr>
        <sz val="10"/>
        <color rgb="FF000000"/>
        <rFont val="Calibri"/>
        <family val="2"/>
      </rPr>
      <t xml:space="preserve">Diesel </t>
    </r>
    <r>
      <rPr>
        <vertAlign val="superscript"/>
        <sz val="10"/>
        <color rgb="FF000000"/>
        <rFont val="Calibri"/>
        <family val="2"/>
      </rPr>
      <t>3</t>
    </r>
  </si>
  <si>
    <t>&lt;0.001</t>
  </si>
  <si>
    <r>
      <rPr>
        <sz val="10"/>
        <color rgb="FF000000"/>
        <rFont val="Calibri"/>
        <family val="2"/>
      </rPr>
      <t>Natural gas</t>
    </r>
    <r>
      <rPr>
        <vertAlign val="superscript"/>
        <sz val="10"/>
        <color rgb="FF000000"/>
        <rFont val="Calibri"/>
        <family val="2"/>
      </rPr>
      <t>4</t>
    </r>
  </si>
  <si>
    <t>Propane</t>
  </si>
  <si>
    <r>
      <rPr>
        <b/>
        <sz val="10"/>
        <color rgb="FF000000"/>
        <rFont val="Calibri"/>
        <family val="2"/>
      </rPr>
      <t>Total on-site (direct) electricity generated and consumed</t>
    </r>
    <r>
      <rPr>
        <b/>
        <vertAlign val="superscript"/>
        <sz val="10"/>
        <color rgb="FF000000"/>
        <rFont val="Calibri"/>
        <family val="2"/>
      </rPr>
      <t>3</t>
    </r>
  </si>
  <si>
    <r>
      <rPr>
        <vertAlign val="superscript"/>
        <sz val="8"/>
        <color rgb="FF000000"/>
        <rFont val="Calibri"/>
        <family val="2"/>
      </rPr>
      <t>1</t>
    </r>
    <r>
      <rPr>
        <sz val="8"/>
        <color rgb="FF000000"/>
        <rFont val="Calibri"/>
        <family val="2"/>
      </rPr>
      <t xml:space="preserve"> For comparability purposes, 2019 data omits Nevada TS Power Plant data to align with GHG Protocol Corporate Accounting and Reporting Standards for Merger and Acquisition year reporting guidance. 2018-2019 data excludes assets divested on or before December 31, 2019. In addition, </t>
    </r>
    <r>
      <rPr>
        <sz val="8"/>
        <color rgb="FF000000"/>
        <rFont val="Calibri"/>
        <family val="2"/>
      </rPr>
      <t xml:space="preserve">2019 data includes available former Goldcorp site data, and 2019 data includes full year data for former Goldcorp assets acquired by Newmont on April 18, 2019. 2019 figures assume generator efficiency rate of 40%. 
</t>
    </r>
    <r>
      <rPr>
        <vertAlign val="superscript"/>
        <sz val="8"/>
        <color rgb="FF000000"/>
        <rFont val="Calibri"/>
        <family val="2"/>
      </rPr>
      <t xml:space="preserve">2 </t>
    </r>
    <r>
      <rPr>
        <sz val="8"/>
        <color rgb="FF000000"/>
        <rFont val="Calibri"/>
        <family val="2"/>
      </rPr>
      <t xml:space="preserve">Newmont does not currently sell any energy (heating, cooling or steam) or electricity to the grid or to other entities, therefore total electricity generated is equal to total electricity consumed.
</t>
    </r>
    <r>
      <rPr>
        <vertAlign val="superscript"/>
        <sz val="8"/>
        <color rgb="FF000000"/>
        <rFont val="Calibri"/>
        <family val="2"/>
      </rPr>
      <t xml:space="preserve">3 </t>
    </r>
    <r>
      <rPr>
        <sz val="8"/>
        <color rgb="FF000000"/>
        <rFont val="Calibri"/>
        <family val="2"/>
      </rPr>
      <t xml:space="preserve">The 2022 values for </t>
    </r>
    <r>
      <rPr>
        <sz val="8"/>
        <color rgb="FF000000"/>
        <rFont val="Calibri"/>
        <family val="2"/>
      </rPr>
      <t>electricity generated and</t>
    </r>
    <r>
      <rPr>
        <sz val="8"/>
        <color rgb="FF000000"/>
        <rFont val="Calibri"/>
        <family val="2"/>
      </rPr>
      <t xml:space="preserve"> consumed from diesel</t>
    </r>
    <r>
      <rPr>
        <sz val="8"/>
        <color rgb="FF000000"/>
        <rFont val="Calibri"/>
        <family val="2"/>
      </rPr>
      <t xml:space="preserve"> has</t>
    </r>
    <r>
      <rPr>
        <sz val="8"/>
        <color rgb="FF000000"/>
        <rFont val="Calibri"/>
        <family val="2"/>
      </rPr>
      <t xml:space="preserve"> been adjusted to reflect errors discovered on the prior reporting period's data. The cumulative impact of the adjustments does not result in a significant (greater than 5%) change to the</t>
    </r>
    <r>
      <rPr>
        <sz val="8"/>
        <color rgb="FF000000"/>
        <rFont val="Calibri"/>
        <family val="2"/>
      </rPr>
      <t xml:space="preserve"> respective</t>
    </r>
    <r>
      <rPr>
        <sz val="8"/>
        <color rgb="FF000000"/>
        <rFont val="Calibri"/>
        <family val="2"/>
      </rPr>
      <t xml:space="preserve"> previously stated global </t>
    </r>
    <r>
      <rPr>
        <sz val="8"/>
        <color rgb="FF000000"/>
        <rFont val="Calibri"/>
        <family val="2"/>
      </rPr>
      <t>totals</t>
    </r>
    <r>
      <rPr>
        <sz val="8"/>
        <color rgb="FF000000"/>
        <rFont val="Calibri"/>
        <family val="2"/>
      </rPr>
      <t xml:space="preserve">.
</t>
    </r>
    <r>
      <rPr>
        <vertAlign val="superscript"/>
        <sz val="8"/>
        <color rgb="FF000000"/>
        <rFont val="Calibri"/>
        <family val="2"/>
      </rPr>
      <t xml:space="preserve">4 </t>
    </r>
    <r>
      <rPr>
        <sz val="8"/>
        <color rgb="FF000000"/>
        <rFont val="Calibri"/>
        <family val="2"/>
      </rPr>
      <t>Our on-site electricity from natural gas had a large increase in 2019 and 2020 due to the implementation of the Tanami power project which involved installing two on-site power stations, a power line, and a natural gas pipeline that provides cleaner energy than the local grid that the electricity was previously sourced from.</t>
    </r>
  </si>
  <si>
    <r>
      <rPr>
        <b/>
        <sz val="10"/>
        <color rgb="FF000000"/>
        <rFont val="Calibri"/>
        <family val="2"/>
      </rPr>
      <t>Direct non-renewable energy consumed by source: Site level (percentage)</t>
    </r>
  </si>
  <si>
    <t>&lt;0.01%</t>
  </si>
  <si>
    <t>TOTAL</t>
  </si>
  <si>
    <t>Table 6</t>
  </si>
  <si>
    <r>
      <rPr>
        <b/>
        <sz val="10"/>
        <color rgb="FF000000"/>
        <rFont val="Calibri"/>
        <family val="2"/>
      </rPr>
      <t>Scope 1 and 2 greenhouse gas (GHG) emissions: Site level</t>
    </r>
    <r>
      <rPr>
        <b/>
        <vertAlign val="superscript"/>
        <sz val="10"/>
        <color rgb="FF000000"/>
        <rFont val="Calibri"/>
        <family val="2"/>
      </rPr>
      <t xml:space="preserve"> </t>
    </r>
    <r>
      <rPr>
        <b/>
        <sz val="10"/>
        <color rgb="FF000000"/>
        <rFont val="Calibri"/>
        <family val="2"/>
      </rPr>
      <t>(tonnes CO</t>
    </r>
    <r>
      <rPr>
        <b/>
        <vertAlign val="subscript"/>
        <sz val="10"/>
        <color rgb="FF000000"/>
        <rFont val="Calibri"/>
        <family val="2"/>
      </rPr>
      <t>2</t>
    </r>
    <r>
      <rPr>
        <b/>
        <sz val="10"/>
        <color rgb="FF000000"/>
        <rFont val="Calibri"/>
        <family val="2"/>
      </rPr>
      <t>e)</t>
    </r>
    <r>
      <rPr>
        <b/>
        <vertAlign val="superscript"/>
        <sz val="10"/>
        <color rgb="FF000000"/>
        <rFont val="Calibri"/>
        <family val="2"/>
      </rPr>
      <t>1</t>
    </r>
  </si>
  <si>
    <t>From diesel</t>
  </si>
  <si>
    <t>From used oil</t>
  </si>
  <si>
    <t>From gasoline</t>
  </si>
  <si>
    <t>From natural gas</t>
  </si>
  <si>
    <t>From propane</t>
  </si>
  <si>
    <t>From heavy fuel oil</t>
  </si>
  <si>
    <t>From aviation fuel</t>
  </si>
  <si>
    <r>
      <rPr>
        <b/>
        <sz val="10"/>
        <color rgb="FF000000"/>
        <rFont val="Calibri"/>
        <family val="2"/>
      </rPr>
      <t>From biodiesel</t>
    </r>
    <r>
      <rPr>
        <b/>
        <vertAlign val="superscript"/>
        <sz val="10"/>
        <color rgb="FF000000"/>
        <rFont val="Calibri"/>
        <family val="2"/>
      </rPr>
      <t>2</t>
    </r>
  </si>
  <si>
    <t>From quicklime production</t>
  </si>
  <si>
    <t>From on-site waste disposal</t>
  </si>
  <si>
    <r>
      <rPr>
        <b/>
        <sz val="10"/>
        <color rgb="FF000000"/>
        <rFont val="Calibri"/>
        <family val="2"/>
      </rPr>
      <t>From sulfur hexafluoride (SF</t>
    </r>
    <r>
      <rPr>
        <b/>
        <vertAlign val="subscript"/>
        <sz val="10"/>
        <color rgb="FF000000"/>
        <rFont val="Calibri"/>
        <family val="2"/>
      </rPr>
      <t>6</t>
    </r>
    <r>
      <rPr>
        <b/>
        <sz val="10"/>
        <color rgb="FF000000"/>
        <rFont val="Calibri"/>
        <family val="2"/>
      </rPr>
      <t>)</t>
    </r>
  </si>
  <si>
    <r>
      <rPr>
        <b/>
        <sz val="10"/>
        <color rgb="FF000000"/>
        <rFont val="Calibri"/>
        <family val="2"/>
      </rPr>
      <t>From hydrofluorocarbons (HFCs)</t>
    </r>
    <r>
      <rPr>
        <b/>
        <vertAlign val="superscript"/>
        <sz val="10"/>
        <color rgb="FF000000"/>
        <rFont val="Calibri"/>
        <family val="2"/>
      </rPr>
      <t>3</t>
    </r>
  </si>
  <si>
    <t>Total Scope 1 (direct) GHG emissions</t>
  </si>
  <si>
    <t>Total Scope 2 (indirect) GHG emissions - market-based</t>
  </si>
  <si>
    <t>Total Scope 2 (indirect) GHG emissions - location-based</t>
  </si>
  <si>
    <t xml:space="preserve">Total Scope 1 and Scope 2 (market-based) GHG emissions </t>
  </si>
  <si>
    <r>
      <rPr>
        <vertAlign val="superscript"/>
        <sz val="8"/>
        <color rgb="FF000000"/>
        <rFont val="Calibri"/>
        <family val="2"/>
      </rPr>
      <t xml:space="preserve">1 </t>
    </r>
    <r>
      <rPr>
        <sz val="8"/>
        <color rgb="FF000000"/>
        <rFont val="Calibri"/>
        <family val="2"/>
      </rPr>
      <t xml:space="preserve">Newmont does not have emissions from other sources not listed, including coal or other fugitive or process emissions.
</t>
    </r>
    <r>
      <rPr>
        <vertAlign val="superscript"/>
        <sz val="8"/>
        <color rgb="FF000000"/>
        <rFont val="Calibri"/>
        <family val="2"/>
      </rPr>
      <t xml:space="preserve">2 </t>
    </r>
    <r>
      <rPr>
        <sz val="8"/>
        <color rgb="FF000000"/>
        <rFont val="Calibri"/>
        <family val="2"/>
      </rPr>
      <t xml:space="preserve">In accordance with the GHG Protocol, direct CO2 emissions from the combustion of biodiesel is not included in our Scope 1 calculation, but reported separately. The Scope 1 totals above represent only the CH4 and N20 emissions from combustion of biodiesel, in accordance with the GHG protocol.
</t>
    </r>
    <r>
      <rPr>
        <vertAlign val="superscript"/>
        <sz val="8"/>
        <color rgb="FF000000"/>
        <rFont val="Calibri"/>
        <family val="2"/>
      </rPr>
      <t xml:space="preserve">3  </t>
    </r>
    <r>
      <rPr>
        <sz val="8"/>
        <color rgb="FF000000"/>
        <rFont val="Calibri"/>
        <family val="2"/>
      </rPr>
      <t>Newmont's HFC emissions come from refrigerants; the emissions from refrigerants are calculated using HFC-specific Global Warming Potentials.</t>
    </r>
  </si>
  <si>
    <r>
      <t>Scope 1 and 2 GHG emissions: Trailing six year data (million t CO</t>
    </r>
    <r>
      <rPr>
        <b/>
        <vertAlign val="subscript"/>
        <sz val="10"/>
        <color rgb="FF000000"/>
        <rFont val="Calibri"/>
        <family val="2"/>
      </rPr>
      <t>2</t>
    </r>
    <r>
      <rPr>
        <b/>
        <sz val="10"/>
        <color rgb="FF000000"/>
        <rFont val="Calibri"/>
        <family val="2"/>
      </rPr>
      <t>e)</t>
    </r>
    <r>
      <rPr>
        <b/>
        <vertAlign val="superscript"/>
        <sz val="10"/>
        <color rgb="FF000000"/>
        <rFont val="Calibri"/>
        <family val="2"/>
      </rPr>
      <t>1, 2</t>
    </r>
  </si>
  <si>
    <r>
      <rPr>
        <b/>
        <sz val="10"/>
        <color rgb="FF000000"/>
        <rFont val="Calibri"/>
        <family val="2"/>
      </rPr>
      <t>2022</t>
    </r>
    <r>
      <rPr>
        <b/>
        <vertAlign val="superscript"/>
        <sz val="10"/>
        <color rgb="FF000000"/>
        <rFont val="Calibri"/>
        <family val="2"/>
      </rPr>
      <t>3, 4</t>
    </r>
  </si>
  <si>
    <r>
      <rPr>
        <sz val="10"/>
        <color rgb="FF000000"/>
        <rFont val="Calibri"/>
        <family val="2"/>
      </rPr>
      <t>From diesel</t>
    </r>
    <r>
      <rPr>
        <vertAlign val="superscript"/>
        <sz val="10"/>
        <color rgb="FF000000"/>
        <rFont val="Calibri"/>
        <family val="2"/>
      </rPr>
      <t>3</t>
    </r>
  </si>
  <si>
    <r>
      <rPr>
        <sz val="10"/>
        <color rgb="FF000000"/>
        <rFont val="Calibri"/>
        <family val="2"/>
      </rPr>
      <t>From aviation fuel</t>
    </r>
    <r>
      <rPr>
        <vertAlign val="superscript"/>
        <sz val="10"/>
        <color rgb="FF000000"/>
        <rFont val="Calibri"/>
        <family val="2"/>
      </rPr>
      <t>4</t>
    </r>
  </si>
  <si>
    <r>
      <rPr>
        <sz val="10"/>
        <color rgb="FF000000"/>
        <rFont val="Calibri"/>
        <family val="2"/>
      </rPr>
      <t>From biodiesel</t>
    </r>
    <r>
      <rPr>
        <vertAlign val="superscript"/>
        <sz val="10"/>
        <color rgb="FF000000"/>
        <rFont val="Calibri"/>
        <family val="2"/>
      </rPr>
      <t>5</t>
    </r>
  </si>
  <si>
    <r>
      <rPr>
        <sz val="10"/>
        <color rgb="FF000000"/>
        <rFont val="Calibri"/>
        <family val="2"/>
      </rPr>
      <t>From sulfur hexafluoride (SF</t>
    </r>
    <r>
      <rPr>
        <vertAlign val="subscript"/>
        <sz val="10"/>
        <color rgb="FF000000"/>
        <rFont val="Calibri"/>
        <family val="2"/>
      </rPr>
      <t>6</t>
    </r>
    <r>
      <rPr>
        <sz val="10"/>
        <color rgb="FF000000"/>
        <rFont val="Calibri"/>
        <family val="2"/>
      </rPr>
      <t>)</t>
    </r>
  </si>
  <si>
    <r>
      <rPr>
        <sz val="10"/>
        <color rgb="FF000000"/>
        <rFont val="Calibri"/>
        <family val="2"/>
      </rPr>
      <t>From hydrofluorocarbons (HFCs)</t>
    </r>
    <r>
      <rPr>
        <vertAlign val="superscript"/>
        <sz val="10"/>
        <color rgb="FF000000"/>
        <rFont val="Calibri"/>
        <family val="2"/>
      </rPr>
      <t>6</t>
    </r>
  </si>
  <si>
    <r>
      <rPr>
        <b/>
        <sz val="10"/>
        <color rgb="FF000000"/>
        <rFont val="Calibri"/>
        <family val="2"/>
      </rPr>
      <t>Total Scope 1 (direct) GHG emissions</t>
    </r>
    <r>
      <rPr>
        <b/>
        <vertAlign val="superscript"/>
        <sz val="10"/>
        <color rgb="FF000000"/>
        <rFont val="Calibri"/>
        <family val="2"/>
      </rPr>
      <t>3, 4</t>
    </r>
  </si>
  <si>
    <r>
      <rPr>
        <b/>
        <sz val="10"/>
        <color rgb="FF000000"/>
        <rFont val="Calibri"/>
        <family val="2"/>
      </rPr>
      <t>Total Scope 2 (indirect) emissions - market-based</t>
    </r>
    <r>
      <rPr>
        <b/>
        <vertAlign val="superscript"/>
        <sz val="10"/>
        <color rgb="FF000000"/>
        <rFont val="Calibri"/>
        <family val="2"/>
      </rPr>
      <t>3</t>
    </r>
  </si>
  <si>
    <r>
      <rPr>
        <b/>
        <sz val="10"/>
        <color rgb="FF000000"/>
        <rFont val="Calibri"/>
        <family val="2"/>
      </rPr>
      <t>Total Scope 2 (indirect) emissions - location-baesd</t>
    </r>
    <r>
      <rPr>
        <b/>
        <vertAlign val="superscript"/>
        <sz val="10"/>
        <color rgb="FF000000"/>
        <rFont val="Calibri"/>
        <family val="2"/>
      </rPr>
      <t>3</t>
    </r>
  </si>
  <si>
    <r>
      <rPr>
        <b/>
        <sz val="10"/>
        <color rgb="FF000000"/>
        <rFont val="Calibri"/>
        <family val="2"/>
      </rPr>
      <t>Total Scope 1 and Scope 2 (market-based) emissions</t>
    </r>
    <r>
      <rPr>
        <b/>
        <vertAlign val="superscript"/>
        <sz val="10"/>
        <color rgb="FF000000"/>
        <rFont val="Calibri"/>
        <family val="2"/>
      </rPr>
      <t>3</t>
    </r>
    <r>
      <rPr>
        <b/>
        <vertAlign val="superscript"/>
        <sz val="10"/>
        <color rgb="FF000000"/>
        <rFont val="Calibri"/>
        <family val="2"/>
      </rPr>
      <t>, 4</t>
    </r>
  </si>
  <si>
    <r>
      <rPr>
        <vertAlign val="superscript"/>
        <sz val="8"/>
        <color rgb="FF000000"/>
        <rFont val="Calibri"/>
        <family val="2"/>
      </rPr>
      <t xml:space="preserve">1 </t>
    </r>
    <r>
      <rPr>
        <sz val="8"/>
        <color rgb="FF000000"/>
        <rFont val="Calibri"/>
        <family val="2"/>
      </rPr>
      <t xml:space="preserve">For comparability purposes, 2019 data omits Nevada TS Power Plant data to align with GHG Protocol Corporate Accounting and Reporting Standards for Merger and Acquisition year reporting guidance. 2017-2019 data excludes assets divested on or before December 31, 2019. In addition, 2018-2019 data includes former Goldcorp site data, and 2019 data includes full year data for former Goldcorp assets acquired by Newmont on April 18, 2019.
</t>
    </r>
    <r>
      <rPr>
        <vertAlign val="superscript"/>
        <sz val="8"/>
        <color rgb="FF000000"/>
        <rFont val="Calibri"/>
        <family val="2"/>
      </rPr>
      <t xml:space="preserve">2 </t>
    </r>
    <r>
      <rPr>
        <sz val="8"/>
        <color rgb="FF000000"/>
        <rFont val="Calibri"/>
        <family val="2"/>
      </rPr>
      <t xml:space="preserve">Newmont does not have emissions from other sources not listed, including coal or other fugitive or process emissions.
</t>
    </r>
    <r>
      <rPr>
        <vertAlign val="superscript"/>
        <sz val="8"/>
        <color rgb="FF000000"/>
        <rFont val="Calibri"/>
        <family val="2"/>
      </rPr>
      <t xml:space="preserve">3 </t>
    </r>
    <r>
      <rPr>
        <sz val="8"/>
        <color rgb="FF000000"/>
        <rFont val="Calibri"/>
        <family val="2"/>
      </rPr>
      <t xml:space="preserve">The 2022 values for </t>
    </r>
    <r>
      <rPr>
        <sz val="8"/>
        <color rgb="FF000000"/>
        <rFont val="Calibri"/>
        <family val="2"/>
      </rPr>
      <t>emissions</t>
    </r>
    <r>
      <rPr>
        <sz val="8"/>
        <color rgb="FF000000"/>
        <rFont val="Calibri"/>
        <family val="2"/>
      </rPr>
      <t xml:space="preserve"> from diesel</t>
    </r>
    <r>
      <rPr>
        <sz val="8"/>
        <color rgb="FF000000"/>
        <rFont val="Calibri"/>
        <family val="2"/>
      </rPr>
      <t xml:space="preserve"> and Scope 2 emissions</t>
    </r>
    <r>
      <rPr>
        <sz val="8"/>
        <color rgb="FF000000"/>
        <rFont val="Calibri"/>
        <family val="2"/>
      </rPr>
      <t xml:space="preserve"> have been adjusted to reflect errors discovered on the prior reporting period's data. The cumulative impact of the adjustments does not result in a significant (greater than 5%) change to the </t>
    </r>
    <r>
      <rPr>
        <sz val="8"/>
        <color rgb="FF000000"/>
        <rFont val="Calibri"/>
        <family val="2"/>
      </rPr>
      <t xml:space="preserve">respective </t>
    </r>
    <r>
      <rPr>
        <sz val="8"/>
        <color rgb="FF000000"/>
        <rFont val="Calibri"/>
        <family val="2"/>
      </rPr>
      <t xml:space="preserve">reviously stated global </t>
    </r>
    <r>
      <rPr>
        <sz val="8"/>
        <color rgb="FF000000"/>
        <rFont val="Calibri"/>
        <family val="2"/>
      </rPr>
      <t>t</t>
    </r>
    <r>
      <rPr>
        <sz val="8"/>
        <color rgb="FF000000"/>
        <rFont val="Calibri"/>
        <family val="2"/>
      </rPr>
      <t>otals</t>
    </r>
    <r>
      <rPr>
        <sz val="8"/>
        <color rgb="FF000000"/>
        <rFont val="Calibri"/>
        <family val="2"/>
      </rPr>
      <t xml:space="preserve">.
</t>
    </r>
    <r>
      <rPr>
        <vertAlign val="superscript"/>
        <sz val="8"/>
        <color rgb="FF000000"/>
        <rFont val="Calibri"/>
        <family val="2"/>
      </rPr>
      <t>4</t>
    </r>
    <r>
      <rPr>
        <sz val="8"/>
        <color rgb="FF000000"/>
        <rFont val="Calibri"/>
        <family val="2"/>
      </rPr>
      <t xml:space="preserve"> The 2022 value for </t>
    </r>
    <r>
      <rPr>
        <sz val="8"/>
        <color rgb="FF000000"/>
        <rFont val="Calibri"/>
        <family val="2"/>
      </rPr>
      <t>emissions f</t>
    </r>
    <r>
      <rPr>
        <sz val="8"/>
        <color rgb="FF000000"/>
        <rFont val="Calibri"/>
        <family val="2"/>
      </rPr>
      <t>rom aviation fuel has been restated to correct for an omission of the fuel consumed at our Tanami operation during the prior reporting period. The change resulted in a significant increase (1</t>
    </r>
    <r>
      <rPr>
        <sz val="8"/>
        <color rgb="FF000000"/>
        <rFont val="Calibri"/>
        <family val="2"/>
      </rPr>
      <t>28</t>
    </r>
    <r>
      <rPr>
        <sz val="8"/>
        <color rgb="FF000000"/>
        <rFont val="Calibri"/>
        <family val="2"/>
      </rPr>
      <t>%) to the</t>
    </r>
    <r>
      <rPr>
        <sz val="8"/>
        <color rgb="FF000000"/>
        <rFont val="Calibri"/>
        <family val="2"/>
      </rPr>
      <t xml:space="preserve"> </t>
    </r>
    <r>
      <rPr>
        <sz val="8"/>
        <color rgb="FF000000"/>
        <rFont val="Calibri"/>
        <family val="2"/>
      </rPr>
      <t xml:space="preserve">previously stated global </t>
    </r>
    <r>
      <rPr>
        <sz val="8"/>
        <color rgb="FF000000"/>
        <rFont val="Calibri"/>
        <family val="2"/>
      </rPr>
      <t>aviation fuel ttoal</t>
    </r>
    <r>
      <rPr>
        <sz val="8"/>
        <color rgb="FF000000"/>
        <rFont val="Calibri"/>
        <family val="2"/>
      </rPr>
      <t xml:space="preserve">. 
</t>
    </r>
    <r>
      <rPr>
        <vertAlign val="superscript"/>
        <sz val="8"/>
        <color rgb="FF000000"/>
        <rFont val="Calibri"/>
        <family val="2"/>
      </rPr>
      <t xml:space="preserve">5 </t>
    </r>
    <r>
      <rPr>
        <sz val="8"/>
        <color rgb="FF000000"/>
        <rFont val="Calibri"/>
        <family val="2"/>
      </rPr>
      <t xml:space="preserve">In accordance with the GHG Protocol, direct CO2 emissions from the combustion of biodiesel is not included in our Scope 1 calculation, but reported separately. The Scope 1 totals above represent only the CH4 and N20 emissions from combustion of biodiesel, in accordance with the GHG protocol.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Newmont's HFC emissions come from refrigerants; the emissions from refrigerants are calculated using separate emission factors. Former Goldcorp sites did not report refrigerant consumption therefore are not included in 2018 and 2019 totals.</t>
    </r>
  </si>
  <si>
    <r>
      <t>Scope 1 and 2 (market-based) GHG emissions intensity (t CO</t>
    </r>
    <r>
      <rPr>
        <b/>
        <vertAlign val="subscript"/>
        <sz val="10"/>
        <color rgb="FF000000"/>
        <rFont val="Calibri"/>
        <family val="2"/>
      </rPr>
      <t>2</t>
    </r>
    <r>
      <rPr>
        <b/>
        <sz val="10"/>
        <color rgb="FF000000"/>
        <rFont val="Calibri"/>
        <family val="2"/>
      </rPr>
      <t>e / GEO): Trailing six year site level</t>
    </r>
    <r>
      <rPr>
        <b/>
        <vertAlign val="superscript"/>
        <sz val="10"/>
        <color rgb="FF000000"/>
        <rFont val="Calibri"/>
        <family val="2"/>
      </rPr>
      <t>1</t>
    </r>
  </si>
  <si>
    <r>
      <rPr>
        <b/>
        <sz val="10"/>
        <color rgb="FF000000"/>
        <rFont val="Calibri"/>
        <family val="2"/>
      </rPr>
      <t>2022</t>
    </r>
    <r>
      <rPr>
        <b/>
        <sz val="10"/>
        <color rgb="FF000000"/>
        <rFont val="Calibri"/>
        <family val="2"/>
      </rPr>
      <t xml:space="preserve"> </t>
    </r>
    <r>
      <rPr>
        <b/>
        <vertAlign val="superscript"/>
        <sz val="10"/>
        <color rgb="FF000000"/>
        <rFont val="Calibri"/>
        <family val="2"/>
      </rPr>
      <t>2</t>
    </r>
  </si>
  <si>
    <r>
      <rPr>
        <vertAlign val="superscript"/>
        <sz val="8"/>
        <color rgb="FF000000"/>
        <rFont val="Calibri"/>
        <family val="2"/>
      </rPr>
      <t>1</t>
    </r>
    <r>
      <rPr>
        <sz val="8"/>
        <color rgb="FF000000"/>
        <rFont val="Calibri"/>
        <family val="2"/>
      </rPr>
      <t xml:space="preserve"> For comparability purposes, 2019 data omits Nevada TS Power Plant data to align with GHG Protocol Corporate Accounting and Reporting Standards for Merger and Acquisition year reporting guidance. </t>
    </r>
    <r>
      <rPr>
        <sz val="8"/>
        <color rgb="FF000000"/>
        <rFont val="Calibri"/>
        <family val="2"/>
      </rPr>
      <t xml:space="preserve">2019 data excludes assets divested on or before December 31, 2019. In addition, </t>
    </r>
    <r>
      <rPr>
        <sz val="8"/>
        <color rgb="FF000000"/>
        <rFont val="Calibri"/>
        <family val="2"/>
      </rPr>
      <t>2019 data includes former Goldcorp site data</t>
    </r>
    <r>
      <rPr>
        <sz val="8"/>
        <color rgb="FF000000"/>
        <rFont val="Calibri"/>
        <family val="2"/>
      </rPr>
      <t xml:space="preserve"> and</t>
    </r>
    <r>
      <rPr>
        <sz val="8"/>
        <color rgb="FF000000"/>
        <rFont val="Calibri"/>
        <family val="2"/>
      </rPr>
      <t xml:space="preserve"> includes full year data for former Goldcorp assets acquired by Newmont on April 18, 2019.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 xml:space="preserve">Certain 2022 site-level intensity values have been adjusted to </t>
    </r>
    <r>
      <rPr>
        <sz val="8"/>
        <color rgb="FF000000"/>
        <rFont val="Calibri"/>
        <family val="2"/>
      </rPr>
      <t>reflect errors discovered on the prior reporting period's data.</t>
    </r>
    <r>
      <rPr>
        <sz val="8"/>
        <color rgb="FF000000"/>
        <rFont val="Calibri"/>
        <family val="2"/>
      </rPr>
      <t xml:space="preserve"> </t>
    </r>
    <r>
      <rPr>
        <sz val="8"/>
        <color rgb="FF000000"/>
        <rFont val="Calibri"/>
        <family val="2"/>
      </rPr>
      <t xml:space="preserve">Of the adjustments, </t>
    </r>
    <r>
      <rPr>
        <sz val="8"/>
        <color rgb="FF000000"/>
        <rFont val="Calibri"/>
        <family val="2"/>
      </rPr>
      <t xml:space="preserve">some of the site-level changes resulted in a significant (more than 5%) increase. The restatement at Ahafo South, due to </t>
    </r>
    <r>
      <rPr>
        <sz val="8"/>
        <color rgb="FF000000"/>
        <rFont val="Calibri"/>
        <family val="2"/>
      </rPr>
      <t>omissions in</t>
    </r>
    <r>
      <rPr>
        <sz val="8"/>
        <color rgb="FF000000"/>
        <rFont val="Calibri"/>
        <family val="2"/>
      </rPr>
      <t xml:space="preserve"> reported energy consumption from</t>
    </r>
    <r>
      <rPr>
        <sz val="8"/>
        <color rgb="FF000000"/>
        <rFont val="Calibri"/>
        <family val="2"/>
      </rPr>
      <t xml:space="preserve"> diesel</t>
    </r>
    <r>
      <rPr>
        <sz val="8"/>
        <color rgb="FF000000"/>
        <rFont val="Calibri"/>
        <family val="2"/>
      </rPr>
      <t xml:space="preserve"> and changes to grid electricity consumption, resulted in a 10% increase. </t>
    </r>
    <r>
      <rPr>
        <sz val="8"/>
        <color rgb="FF000000"/>
        <rFont val="Calibri"/>
        <family val="2"/>
      </rPr>
      <t xml:space="preserve">The restatement at </t>
    </r>
    <r>
      <rPr>
        <sz val="8"/>
        <color rgb="FF000000"/>
        <rFont val="Calibri"/>
        <family val="2"/>
      </rPr>
      <t>Merian</t>
    </r>
    <r>
      <rPr>
        <sz val="8"/>
        <color rgb="FF000000"/>
        <rFont val="Calibri"/>
        <family val="2"/>
      </rPr>
      <t>, due to omissions in reported energy consumption from diesel</t>
    </r>
    <r>
      <rPr>
        <sz val="8"/>
        <color rgb="FF000000"/>
        <rFont val="Calibri"/>
        <family val="2"/>
      </rPr>
      <t>, resulted in a</t>
    </r>
    <r>
      <rPr>
        <sz val="8"/>
        <color rgb="FF000000"/>
        <rFont val="Calibri"/>
        <family val="2"/>
      </rPr>
      <t>n 8</t>
    </r>
    <r>
      <rPr>
        <sz val="8"/>
        <color rgb="FF000000"/>
        <rFont val="Calibri"/>
        <family val="2"/>
      </rPr>
      <t xml:space="preserve">% increase. </t>
    </r>
    <r>
      <rPr>
        <sz val="8"/>
        <color rgb="FF000000"/>
        <rFont val="Calibri"/>
        <family val="2"/>
      </rPr>
      <t xml:space="preserve">The restatement at </t>
    </r>
    <r>
      <rPr>
        <sz val="8"/>
        <color rgb="FF000000"/>
        <rFont val="Calibri"/>
        <family val="2"/>
      </rPr>
      <t>Tanami</t>
    </r>
    <r>
      <rPr>
        <sz val="8"/>
        <color rgb="FF000000"/>
        <rFont val="Calibri"/>
        <family val="2"/>
      </rPr>
      <t>, due to omissions in reported energy consumption from</t>
    </r>
    <r>
      <rPr>
        <sz val="8"/>
        <color rgb="FF000000"/>
        <rFont val="Calibri"/>
        <family val="2"/>
      </rPr>
      <t xml:space="preserve"> aviation fuel</t>
    </r>
    <r>
      <rPr>
        <sz val="8"/>
        <color rgb="FF000000"/>
        <rFont val="Calibri"/>
        <family val="2"/>
      </rPr>
      <t xml:space="preserve">, resulted in a </t>
    </r>
    <r>
      <rPr>
        <sz val="8"/>
        <color rgb="FF000000"/>
        <rFont val="Calibri"/>
        <family val="2"/>
      </rPr>
      <t>7</t>
    </r>
    <r>
      <rPr>
        <sz val="8"/>
        <color rgb="FF000000"/>
        <rFont val="Calibri"/>
        <family val="2"/>
      </rPr>
      <t xml:space="preserve">% increase. </t>
    </r>
  </si>
  <si>
    <r>
      <t>Scope 1 and 2 GHG emissions intensity (t CO</t>
    </r>
    <r>
      <rPr>
        <b/>
        <vertAlign val="subscript"/>
        <sz val="10"/>
        <color rgb="FF000000"/>
        <rFont val="Calibri"/>
        <family val="2"/>
      </rPr>
      <t>2</t>
    </r>
    <r>
      <rPr>
        <b/>
        <sz val="10"/>
        <color rgb="FF000000"/>
        <rFont val="Calibri"/>
        <family val="2"/>
      </rPr>
      <t>e / GEO): Trailing six year data</t>
    </r>
  </si>
  <si>
    <r>
      <rPr>
        <b/>
        <sz val="10"/>
        <color rgb="FF000000"/>
        <rFont val="Calibri"/>
        <family val="2"/>
      </rPr>
      <t>2019</t>
    </r>
    <r>
      <rPr>
        <b/>
        <vertAlign val="superscript"/>
        <sz val="10"/>
        <color rgb="FF000000"/>
        <rFont val="Calibri"/>
        <family val="2"/>
      </rPr>
      <t>1</t>
    </r>
  </si>
  <si>
    <r>
      <rPr>
        <b/>
        <sz val="10"/>
        <color rgb="FF000000"/>
        <rFont val="Calibri"/>
        <family val="2"/>
      </rPr>
      <t>2022</t>
    </r>
    <r>
      <rPr>
        <b/>
        <vertAlign val="superscript"/>
        <sz val="10"/>
        <color rgb="FF000000"/>
        <rFont val="Calibri"/>
        <family val="2"/>
      </rPr>
      <t>2</t>
    </r>
  </si>
  <si>
    <t xml:space="preserve">Scope 1 and market-based Scope 2 </t>
  </si>
  <si>
    <r>
      <rPr>
        <sz val="10"/>
        <color rgb="FF000000"/>
        <rFont val="Calibri"/>
        <family val="2"/>
      </rPr>
      <t>Scope 1 and location-based Scope 2</t>
    </r>
  </si>
  <si>
    <r>
      <rPr>
        <vertAlign val="superscript"/>
        <sz val="8"/>
        <color rgb="FF000000"/>
        <rFont val="Calibri"/>
        <family val="2"/>
      </rPr>
      <t>1</t>
    </r>
    <r>
      <rPr>
        <sz val="8"/>
        <color rgb="FF000000"/>
        <rFont val="Calibri"/>
        <family val="2"/>
      </rPr>
      <t xml:space="preserve"> </t>
    </r>
    <r>
      <rPr>
        <sz val="8"/>
        <color rgb="FF000000"/>
        <rFont val="Calibri"/>
        <family val="2"/>
      </rPr>
      <t xml:space="preserve">For comparability purposes, 2019 data omits Nevada TS Power Plant data to align with GHG Protocol Corporate Accounting and Reporting Standards for Merger and Acquisition year reporting guidance. 2019 data excludes assets divested on or before December 31, 2019. In addition, 2019 data includes former Goldcorp site data, and 2019 data includes full-year data for former Goldcorp assets acquired by Newmont on April 18, 2019.
</t>
    </r>
    <r>
      <rPr>
        <vertAlign val="superscript"/>
        <sz val="8"/>
        <color rgb="FF000000"/>
        <rFont val="Calibri"/>
        <family val="2"/>
      </rPr>
      <t xml:space="preserve">2 </t>
    </r>
    <r>
      <rPr>
        <sz val="8"/>
        <color rgb="FF000000"/>
        <rFont val="Calibri"/>
        <family val="2"/>
      </rPr>
      <t xml:space="preserve">The 2022 intensity values have been </t>
    </r>
    <r>
      <rPr>
        <sz val="8"/>
        <color rgb="FF000000"/>
        <rFont val="Calibri"/>
        <family val="2"/>
      </rPr>
      <t>adjusted</t>
    </r>
    <r>
      <rPr>
        <sz val="8"/>
        <color rgb="FF000000"/>
        <rFont val="Calibri"/>
        <family val="2"/>
      </rPr>
      <t xml:space="preserve"> to reflect the errors in </t>
    </r>
    <r>
      <rPr>
        <sz val="8"/>
        <color rgb="FF000000"/>
        <rFont val="Calibri"/>
        <family val="2"/>
      </rPr>
      <t>Scope 1 and 2 emissions</t>
    </r>
    <r>
      <rPr>
        <sz val="8"/>
        <color rgb="FF000000"/>
        <rFont val="Calibri"/>
        <family val="2"/>
      </rPr>
      <t xml:space="preserve"> discovered </t>
    </r>
    <r>
      <rPr>
        <sz val="8"/>
        <color rgb="FF000000"/>
        <rFont val="Calibri"/>
        <family val="2"/>
      </rPr>
      <t>i</t>
    </r>
    <r>
      <rPr>
        <sz val="8"/>
        <color rgb="FF000000"/>
        <rFont val="Calibri"/>
        <family val="2"/>
      </rPr>
      <t>n the prior reporting period's data. The cumulative impact of the adjustments does</t>
    </r>
    <r>
      <rPr>
        <sz val="8"/>
        <color rgb="FF000000"/>
        <rFont val="Calibri"/>
        <family val="2"/>
      </rPr>
      <t xml:space="preserve"> </t>
    </r>
    <r>
      <rPr>
        <sz val="8"/>
        <color rgb="FF000000"/>
        <rFont val="Calibri"/>
        <family val="2"/>
      </rPr>
      <t xml:space="preserve">not </t>
    </r>
    <r>
      <rPr>
        <sz val="8"/>
        <color rgb="FF000000"/>
        <rFont val="Calibri"/>
        <family val="2"/>
      </rPr>
      <t xml:space="preserve">result in a significant (greater than 5%) change to the previously stated global </t>
    </r>
    <r>
      <rPr>
        <sz val="8"/>
        <color rgb="FF000000"/>
        <rFont val="Calibri"/>
        <family val="2"/>
      </rPr>
      <t>intensit</t>
    </r>
    <r>
      <rPr>
        <sz val="8"/>
        <color rgb="FF000000"/>
        <rFont val="Calibri"/>
        <family val="2"/>
      </rPr>
      <t xml:space="preserve">y </t>
    </r>
    <r>
      <rPr>
        <sz val="8"/>
        <color rgb="FF000000"/>
        <rFont val="Calibri"/>
        <family val="2"/>
      </rPr>
      <t>totals</t>
    </r>
    <r>
      <rPr>
        <sz val="8"/>
        <color rgb="FF000000"/>
        <rFont val="Calibri"/>
        <family val="2"/>
      </rPr>
      <t>.</t>
    </r>
  </si>
  <si>
    <r>
      <rPr>
        <b/>
        <sz val="10"/>
        <color rgb="FF000000"/>
        <rFont val="Calibri"/>
        <family val="2"/>
      </rPr>
      <t>Direct CO</t>
    </r>
    <r>
      <rPr>
        <b/>
        <vertAlign val="subscript"/>
        <sz val="10"/>
        <color rgb="FF000000"/>
        <rFont val="Calibri"/>
        <family val="2"/>
      </rPr>
      <t>2</t>
    </r>
    <r>
      <rPr>
        <b/>
        <sz val="10"/>
        <color rgb="FF000000"/>
        <rFont val="Calibri"/>
        <family val="2"/>
      </rPr>
      <t xml:space="preserve"> emissions from the combustion of biomass: Site level (t CO</t>
    </r>
    <r>
      <rPr>
        <b/>
        <vertAlign val="subscript"/>
        <sz val="10"/>
        <color rgb="FF000000"/>
        <rFont val="Calibri"/>
        <family val="2"/>
      </rPr>
      <t>2</t>
    </r>
    <r>
      <rPr>
        <b/>
        <sz val="10"/>
        <color rgb="FF000000"/>
        <rFont val="Calibri"/>
        <family val="2"/>
      </rPr>
      <t>)</t>
    </r>
    <r>
      <rPr>
        <b/>
        <vertAlign val="superscript"/>
        <sz val="10"/>
        <color rgb="FF000000"/>
        <rFont val="Calibri"/>
        <family val="2"/>
      </rPr>
      <t>1</t>
    </r>
  </si>
  <si>
    <r>
      <rPr>
        <b/>
        <sz val="10"/>
        <color rgb="FF000000"/>
        <rFont val="Calibri"/>
        <family val="2"/>
      </rPr>
      <t>Direct CO</t>
    </r>
    <r>
      <rPr>
        <b/>
        <vertAlign val="subscript"/>
        <sz val="10"/>
        <color rgb="FF000000"/>
        <rFont val="Calibri"/>
        <family val="2"/>
      </rPr>
      <t>2</t>
    </r>
    <r>
      <rPr>
        <b/>
        <sz val="10"/>
        <color rgb="FF000000"/>
        <rFont val="Calibri"/>
        <family val="2"/>
      </rPr>
      <t xml:space="preserve"> emissions</t>
    </r>
  </si>
  <si>
    <r>
      <rPr>
        <vertAlign val="superscript"/>
        <sz val="8"/>
        <color rgb="FF000000"/>
        <rFont val="Calibri"/>
        <family val="2"/>
      </rPr>
      <t xml:space="preserve">1 </t>
    </r>
    <r>
      <rPr>
        <sz val="8"/>
        <color rgb="FF000000"/>
        <rFont val="Calibri"/>
        <family val="2"/>
      </rPr>
      <t>The combustion of biodiesel is the only source of biogenic CO</t>
    </r>
    <r>
      <rPr>
        <vertAlign val="subscript"/>
        <sz val="8"/>
        <color rgb="FF000000"/>
        <rFont val="Calibri"/>
        <family val="2"/>
      </rPr>
      <t xml:space="preserve">2 </t>
    </r>
    <r>
      <rPr>
        <sz val="8"/>
        <color rgb="FF000000"/>
        <rFont val="Calibri"/>
        <family val="2"/>
      </rPr>
      <t>emissions at Newmont. Direct CO</t>
    </r>
    <r>
      <rPr>
        <vertAlign val="subscript"/>
        <sz val="8"/>
        <color rgb="FF000000"/>
        <rFont val="Calibri"/>
        <family val="2"/>
      </rPr>
      <t>2</t>
    </r>
    <r>
      <rPr>
        <sz val="8"/>
        <color rgb="FF000000"/>
        <rFont val="Calibri"/>
        <family val="2"/>
      </rPr>
      <t xml:space="preserve"> emissions from the combustion of biodiesel is reported separately in this table, and excluded from our Scope 1 emissions value.</t>
    </r>
  </si>
  <si>
    <t>Table 13 - calculate  from Table 6 once complete</t>
  </si>
  <si>
    <r>
      <rPr>
        <b/>
        <sz val="10"/>
        <color rgb="FF000000"/>
        <rFont val="Calibri"/>
        <family val="2"/>
      </rPr>
      <t>Global Scope 1 emissions subject to emissions-limiting regulations: Site level</t>
    </r>
  </si>
  <si>
    <t>Emissions-limiting regulations</t>
  </si>
  <si>
    <r>
      <rPr>
        <b/>
        <sz val="10"/>
        <color rgb="FF000000"/>
        <rFont val="Calibri"/>
        <family val="2"/>
      </rPr>
      <t>Scope 1 emissions (t CO</t>
    </r>
    <r>
      <rPr>
        <b/>
        <vertAlign val="subscript"/>
        <sz val="10"/>
        <color rgb="FF000000"/>
        <rFont val="Calibri"/>
        <family val="2"/>
      </rPr>
      <t>2</t>
    </r>
    <r>
      <rPr>
        <b/>
        <sz val="10"/>
        <color rgb="FF000000"/>
        <rFont val="Calibri"/>
        <family val="2"/>
      </rPr>
      <t>e)</t>
    </r>
  </si>
  <si>
    <t>Percent of total Scope 1 emissions under emissions-limiting regulations</t>
  </si>
  <si>
    <t>No</t>
  </si>
  <si>
    <t>Yes</t>
  </si>
  <si>
    <t>U.S</t>
  </si>
  <si>
    <t>TOTALS</t>
  </si>
  <si>
    <r>
      <rPr>
        <b/>
        <sz val="10"/>
        <color rgb="FF000000"/>
        <rFont val="Calibri"/>
        <family val="2"/>
      </rPr>
      <t>GHG emissions (</t>
    </r>
    <r>
      <rPr>
        <b/>
        <sz val="10"/>
        <color rgb="FF000000"/>
        <rFont val="Calibri"/>
        <family val="2"/>
      </rPr>
      <t>t CO</t>
    </r>
    <r>
      <rPr>
        <b/>
        <vertAlign val="subscript"/>
        <sz val="10"/>
        <color rgb="FF000000"/>
        <rFont val="Calibri"/>
        <family val="2"/>
      </rPr>
      <t>2</t>
    </r>
    <r>
      <rPr>
        <b/>
        <sz val="10"/>
        <color rgb="FF000000"/>
        <rFont val="Calibri"/>
        <family val="2"/>
      </rPr>
      <t>e</t>
    </r>
    <r>
      <rPr>
        <b/>
        <sz val="10"/>
        <color rgb="FF000000"/>
        <rFont val="Calibri"/>
        <family val="2"/>
      </rPr>
      <t>)</t>
    </r>
  </si>
  <si>
    <t>Percent of global Scope 3 emissions</t>
  </si>
  <si>
    <r>
      <rPr>
        <sz val="10"/>
        <color rgb="FF000000"/>
        <rFont val="Calibri"/>
        <family val="2"/>
      </rPr>
      <t>Corporate</t>
    </r>
    <r>
      <rPr>
        <vertAlign val="superscript"/>
        <sz val="10"/>
        <color rgb="FF000000"/>
        <rFont val="Calibri"/>
        <family val="2"/>
      </rPr>
      <t>1</t>
    </r>
  </si>
  <si>
    <r>
      <rPr>
        <vertAlign val="superscript"/>
        <sz val="8"/>
        <color rgb="FF000000"/>
        <rFont val="Calibri"/>
        <family val="2"/>
      </rPr>
      <t>1</t>
    </r>
    <r>
      <rPr>
        <sz val="8"/>
        <color rgb="FF000000"/>
        <rFont val="Calibri"/>
        <family val="2"/>
      </rPr>
      <t xml:space="preserve"> Includes emissions associated with activities or spend not related to operating sites.</t>
    </r>
  </si>
  <si>
    <r>
      <t>Scope 3 GHG emissions by Category: Trailing five year data (Mt CO</t>
    </r>
    <r>
      <rPr>
        <b/>
        <vertAlign val="subscript"/>
        <sz val="10"/>
        <color rgb="FF000000"/>
        <rFont val="Calibri"/>
        <family val="2"/>
      </rPr>
      <t>2</t>
    </r>
    <r>
      <rPr>
        <b/>
        <sz val="10"/>
        <color rgb="FF000000"/>
        <rFont val="Calibri"/>
        <family val="2"/>
      </rPr>
      <t>e)</t>
    </r>
    <r>
      <rPr>
        <b/>
        <vertAlign val="superscript"/>
        <sz val="10"/>
        <color rgb="FF000000"/>
        <rFont val="Calibri"/>
        <family val="2"/>
      </rPr>
      <t>1, 2</t>
    </r>
  </si>
  <si>
    <r>
      <rPr>
        <b/>
        <sz val="10"/>
        <color rgb="FF000000"/>
        <rFont val="Calibri"/>
        <family val="2"/>
      </rPr>
      <t>Category 1</t>
    </r>
    <r>
      <rPr>
        <sz val="10"/>
        <color rgb="FF000000"/>
        <rFont val="Calibri"/>
        <family val="2"/>
      </rPr>
      <t>: Purchased goods and services</t>
    </r>
    <r>
      <rPr>
        <vertAlign val="superscript"/>
        <sz val="10"/>
        <color rgb="FF000000"/>
        <rFont val="Calibri"/>
        <family val="2"/>
      </rPr>
      <t>3</t>
    </r>
  </si>
  <si>
    <r>
      <rPr>
        <b/>
        <sz val="10"/>
        <color rgb="FF000000"/>
        <rFont val="Calibri"/>
        <family val="2"/>
      </rPr>
      <t>Category 2:</t>
    </r>
    <r>
      <rPr>
        <sz val="10"/>
        <color rgb="FF000000"/>
        <rFont val="Calibri"/>
        <family val="2"/>
      </rPr>
      <t xml:space="preserve"> Capital goods</t>
    </r>
  </si>
  <si>
    <r>
      <rPr>
        <b/>
        <sz val="10"/>
        <color rgb="FF000000"/>
        <rFont val="Calibri"/>
        <family val="2"/>
      </rPr>
      <t xml:space="preserve">Category 3: </t>
    </r>
    <r>
      <rPr>
        <sz val="10"/>
        <color rgb="FF000000"/>
        <rFont val="Calibri"/>
        <family val="2"/>
      </rPr>
      <t>Fuel and energy related activities</t>
    </r>
    <r>
      <rPr>
        <vertAlign val="superscript"/>
        <sz val="10"/>
        <color rgb="FF000000"/>
        <rFont val="Calibri"/>
        <family val="2"/>
      </rPr>
      <t>3</t>
    </r>
  </si>
  <si>
    <r>
      <rPr>
        <b/>
        <sz val="10"/>
        <color rgb="FF000000"/>
        <rFont val="Calibri"/>
        <family val="2"/>
      </rPr>
      <t>Category 4:</t>
    </r>
    <r>
      <rPr>
        <sz val="10"/>
        <color rgb="FF000000"/>
        <rFont val="Calibri"/>
        <family val="2"/>
      </rPr>
      <t xml:space="preserve"> Upstream transport</t>
    </r>
  </si>
  <si>
    <r>
      <rPr>
        <b/>
        <sz val="10"/>
        <color rgb="FF000000"/>
        <rFont val="Calibri"/>
        <family val="2"/>
      </rPr>
      <t xml:space="preserve">Category 5: </t>
    </r>
    <r>
      <rPr>
        <sz val="10"/>
        <color rgb="FF000000"/>
        <rFont val="Calibri"/>
        <family val="2"/>
      </rPr>
      <t>Waste generated in operations</t>
    </r>
  </si>
  <si>
    <r>
      <rPr>
        <b/>
        <sz val="10"/>
        <color rgb="FF000000"/>
        <rFont val="Calibri"/>
        <family val="2"/>
      </rPr>
      <t>Category 6:</t>
    </r>
    <r>
      <rPr>
        <sz val="10"/>
        <color rgb="FF000000"/>
        <rFont val="Calibri"/>
        <family val="2"/>
      </rPr>
      <t xml:space="preserve"> Business travel</t>
    </r>
  </si>
  <si>
    <r>
      <rPr>
        <b/>
        <sz val="10"/>
        <color rgb="FF000000"/>
        <rFont val="Calibri"/>
        <family val="2"/>
      </rPr>
      <t xml:space="preserve">Category 7: </t>
    </r>
    <r>
      <rPr>
        <sz val="10"/>
        <color rgb="FF000000"/>
        <rFont val="Calibri"/>
        <family val="2"/>
      </rPr>
      <t>Employee commuting</t>
    </r>
  </si>
  <si>
    <r>
      <rPr>
        <b/>
        <sz val="10"/>
        <color rgb="FF000000"/>
        <rFont val="Calibri"/>
        <family val="2"/>
      </rPr>
      <t xml:space="preserve">Category 8: </t>
    </r>
    <r>
      <rPr>
        <sz val="10"/>
        <color rgb="FF000000"/>
        <rFont val="Calibri"/>
        <family val="2"/>
      </rPr>
      <t>Upstream leased assets</t>
    </r>
    <r>
      <rPr>
        <vertAlign val="superscript"/>
        <sz val="10"/>
        <color rgb="FF000000"/>
        <rFont val="Calibri"/>
        <family val="2"/>
      </rPr>
      <t>4</t>
    </r>
  </si>
  <si>
    <t>Not relevant</t>
  </si>
  <si>
    <r>
      <rPr>
        <b/>
        <sz val="10"/>
        <color rgb="FF000000"/>
        <rFont val="Calibri"/>
        <family val="2"/>
      </rPr>
      <t xml:space="preserve">Category 9: </t>
    </r>
    <r>
      <rPr>
        <sz val="10"/>
        <color rgb="FF000000"/>
        <rFont val="Calibri"/>
        <family val="2"/>
      </rPr>
      <t>Downstream transport</t>
    </r>
    <r>
      <rPr>
        <vertAlign val="superscript"/>
        <sz val="10"/>
        <color rgb="FF000000"/>
        <rFont val="Calibri"/>
        <family val="2"/>
      </rPr>
      <t>4</t>
    </r>
  </si>
  <si>
    <r>
      <rPr>
        <b/>
        <sz val="10"/>
        <color rgb="FF000000"/>
        <rFont val="Calibri"/>
        <family val="2"/>
      </rPr>
      <t>Category 10:</t>
    </r>
    <r>
      <rPr>
        <sz val="10"/>
        <color rgb="FF000000"/>
        <rFont val="Calibri"/>
        <family val="2"/>
      </rPr>
      <t xml:space="preserve"> Processing of sold products</t>
    </r>
    <r>
      <rPr>
        <vertAlign val="superscript"/>
        <sz val="10"/>
        <color rgb="FF000000"/>
        <rFont val="Calibri"/>
        <family val="2"/>
      </rPr>
      <t>5</t>
    </r>
  </si>
  <si>
    <r>
      <rPr>
        <b/>
        <sz val="10"/>
        <color rgb="FF000000"/>
        <rFont val="Calibri"/>
        <family val="2"/>
      </rPr>
      <t xml:space="preserve">Category 11: </t>
    </r>
    <r>
      <rPr>
        <sz val="10"/>
        <color rgb="FF000000"/>
        <rFont val="Calibri"/>
        <family val="2"/>
      </rPr>
      <t>Use of sold products</t>
    </r>
    <r>
      <rPr>
        <vertAlign val="superscript"/>
        <sz val="10"/>
        <color rgb="FF000000"/>
        <rFont val="Calibri"/>
        <family val="2"/>
      </rPr>
      <t>4</t>
    </r>
  </si>
  <si>
    <r>
      <rPr>
        <b/>
        <sz val="10"/>
        <color rgb="FF000000"/>
        <rFont val="Calibri"/>
        <family val="2"/>
      </rPr>
      <t>Category 12:</t>
    </r>
    <r>
      <rPr>
        <sz val="10"/>
        <color rgb="FF000000"/>
        <rFont val="Calibri"/>
        <family val="2"/>
      </rPr>
      <t xml:space="preserve"> End-of-life of sold products</t>
    </r>
    <r>
      <rPr>
        <vertAlign val="superscript"/>
        <sz val="10"/>
        <color rgb="FF000000"/>
        <rFont val="Calibri"/>
        <family val="2"/>
      </rPr>
      <t>4</t>
    </r>
  </si>
  <si>
    <r>
      <rPr>
        <b/>
        <sz val="10"/>
        <color rgb="FF000000"/>
        <rFont val="Calibri"/>
        <family val="2"/>
      </rPr>
      <t>Category 13:</t>
    </r>
    <r>
      <rPr>
        <sz val="10"/>
        <color rgb="FF000000"/>
        <rFont val="Calibri"/>
        <family val="2"/>
      </rPr>
      <t xml:space="preserve"> Downstream leased assets</t>
    </r>
    <r>
      <rPr>
        <vertAlign val="superscript"/>
        <sz val="10"/>
        <color rgb="FF000000"/>
        <rFont val="Calibri"/>
        <family val="2"/>
      </rPr>
      <t>4</t>
    </r>
  </si>
  <si>
    <r>
      <rPr>
        <b/>
        <sz val="10"/>
        <color rgb="FF000000"/>
        <rFont val="Calibri"/>
        <family val="2"/>
      </rPr>
      <t>Category 14:</t>
    </r>
    <r>
      <rPr>
        <sz val="10"/>
        <color rgb="FF000000"/>
        <rFont val="Calibri"/>
        <family val="2"/>
      </rPr>
      <t xml:space="preserve"> Franchises</t>
    </r>
    <r>
      <rPr>
        <vertAlign val="superscript"/>
        <sz val="10"/>
        <color rgb="FF000000"/>
        <rFont val="Calibri"/>
        <family val="2"/>
      </rPr>
      <t>4</t>
    </r>
  </si>
  <si>
    <r>
      <rPr>
        <b/>
        <sz val="10"/>
        <color rgb="FF000000"/>
        <rFont val="Calibri"/>
        <family val="2"/>
      </rPr>
      <t xml:space="preserve">Category 15: </t>
    </r>
    <r>
      <rPr>
        <sz val="10"/>
        <color rgb="FF000000"/>
        <rFont val="Calibri"/>
        <family val="2"/>
      </rPr>
      <t>Investments</t>
    </r>
  </si>
  <si>
    <r>
      <rPr>
        <b/>
        <sz val="10"/>
        <color rgb="FF000000"/>
        <rFont val="Calibri"/>
        <family val="2"/>
      </rPr>
      <t>Total estimated Scope 3 GHG emissions</t>
    </r>
    <r>
      <rPr>
        <b/>
        <vertAlign val="superscript"/>
        <sz val="10"/>
        <color rgb="FF000000"/>
        <rFont val="Calibri"/>
        <family val="2"/>
      </rPr>
      <t>3</t>
    </r>
  </si>
  <si>
    <r>
      <rPr>
        <vertAlign val="superscript"/>
        <sz val="8"/>
        <color rgb="FF000000"/>
        <rFont val="Calibri"/>
        <family val="2"/>
      </rPr>
      <t xml:space="preserve">
1</t>
    </r>
    <r>
      <rPr>
        <sz val="8"/>
        <color rgb="FF000000"/>
        <rFont val="Calibri"/>
        <family val="2"/>
      </rPr>
      <t xml:space="preserve"> In alignment with the GHG Protocol's Technical Guidance for Calculating Scope 3 Emissions, version 1.0, all spend values in our 2023 Scope 3 emissions inventory were adjusted based on inflation to 2016 dollars to align with the year of our spend-based emission factors.
</t>
    </r>
    <r>
      <rPr>
        <vertAlign val="superscript"/>
        <sz val="8"/>
        <color rgb="FF000000"/>
        <rFont val="Calibri"/>
        <family val="2"/>
      </rPr>
      <t>2</t>
    </r>
    <r>
      <rPr>
        <sz val="8"/>
        <color rgb="FF000000"/>
        <rFont val="Calibri"/>
        <family val="2"/>
      </rPr>
      <t xml:space="preserve"> Category 1 and total Scope 3 emissions for 2020-2021 have been adjusted to reflect previous overstating of upstream cyanide emissions
</t>
    </r>
    <r>
      <rPr>
        <vertAlign val="superscript"/>
        <sz val="8"/>
        <color rgb="FF000000"/>
        <rFont val="Calibri"/>
        <family val="2"/>
      </rPr>
      <t xml:space="preserve">3 </t>
    </r>
    <r>
      <rPr>
        <sz val="8"/>
        <color rgb="FF000000"/>
        <rFont val="Calibri"/>
        <family val="2"/>
      </rPr>
      <t xml:space="preserve">The 2022 values for emissions from Categories 1 and 3 have been adjusted to reflect errors discovered on the prior reporting period's data. The impact of the adjustments does not result in a significant (greater than 5%) change to the respective previously stated global totals.
</t>
    </r>
    <r>
      <rPr>
        <vertAlign val="superscript"/>
        <sz val="8"/>
        <color rgb="FF000000"/>
        <rFont val="Calibri"/>
        <family val="2"/>
      </rPr>
      <t xml:space="preserve">4 </t>
    </r>
    <r>
      <rPr>
        <sz val="8"/>
        <color rgb="FF000000"/>
        <rFont val="Calibri"/>
        <family val="2"/>
      </rPr>
      <t>Categories listed as "not relevant" have been assessed as such based on the relevance test set out within the GHG Protocol Corporate Accounting and Reporting Standard.</t>
    </r>
    <r>
      <rPr>
        <vertAlign val="superscript"/>
        <sz val="8"/>
        <color rgb="FF000000"/>
        <rFont val="Calibri"/>
        <family val="2"/>
      </rPr>
      <t xml:space="preserve">4 </t>
    </r>
    <r>
      <rPr>
        <sz val="8"/>
        <color rgb="FF000000"/>
        <rFont val="Calibri"/>
        <family val="2"/>
      </rPr>
      <t xml:space="preserve">Categories listed as "not relevant" have been assessed as such based on the relevance test set out within the GHG Protocol Corporate Accounting and Reporting Standard.
</t>
    </r>
    <r>
      <rPr>
        <vertAlign val="superscript"/>
        <sz val="8"/>
        <color rgb="FF000000"/>
        <rFont val="Calibri"/>
        <family val="2"/>
      </rPr>
      <t>5</t>
    </r>
    <r>
      <rPr>
        <sz val="8"/>
        <color rgb="FF000000"/>
        <rFont val="Calibri"/>
        <family val="2"/>
      </rPr>
      <t xml:space="preserve"> In 2019-2021, emissions associated with the sale of gold ounces from Nevada Gold Mines were included in our Category 10 calculation, but have been excluded in the calculation beginning in 2022 and will continue to be excluded in line with our current organizational boundary.</t>
    </r>
  </si>
  <si>
    <t>ENVIRONMENT: PRO FORMA CLIMATE CHANGE</t>
  </si>
  <si>
    <t xml:space="preserve">This dataset represents a consolidated data set for Newmont and Newcrest as a combined portfolio for 2023 and trailing years. </t>
  </si>
  <si>
    <r>
      <rPr>
        <b/>
        <sz val="10"/>
        <color rgb="FF000000"/>
        <rFont val="Calibri"/>
        <family val="2"/>
      </rPr>
      <t>Heavy fuel oil</t>
    </r>
    <r>
      <rPr>
        <b/>
        <vertAlign val="superscript"/>
        <sz val="10"/>
        <color rgb="FF000000"/>
        <rFont val="Calibri"/>
        <family val="2"/>
      </rPr>
      <t>3</t>
    </r>
  </si>
  <si>
    <r>
      <rPr>
        <b/>
        <sz val="10"/>
        <color rgb="FF000000"/>
        <rFont val="Calibri"/>
        <family val="2"/>
      </rPr>
      <t>Acetylene</t>
    </r>
    <r>
      <rPr>
        <b/>
        <vertAlign val="superscript"/>
        <sz val="10"/>
        <color rgb="FF000000"/>
        <rFont val="Calibri"/>
        <family val="2"/>
      </rPr>
      <t>4</t>
    </r>
  </si>
  <si>
    <t>Cadia</t>
  </si>
  <si>
    <t>Telfer</t>
  </si>
  <si>
    <t>Brucejack</t>
  </si>
  <si>
    <t>Red Chris</t>
  </si>
  <si>
    <t>PAUPA NEW GUINEA</t>
  </si>
  <si>
    <t>Paupa New Guinea</t>
  </si>
  <si>
    <t>&lt;1</t>
  </si>
  <si>
    <t>Lihir</t>
  </si>
  <si>
    <r>
      <rPr>
        <vertAlign val="superscript"/>
        <sz val="8"/>
        <color rgb="FF000000"/>
        <rFont val="Calibri"/>
        <family val="2"/>
      </rPr>
      <t xml:space="preserve">1 </t>
    </r>
    <r>
      <rPr>
        <sz val="8"/>
        <color rgb="FF000000"/>
        <rFont val="Calibri"/>
        <family val="2"/>
      </rPr>
      <t xml:space="preserve">Newmont does not generate or consume direct (on-site) energy from other sources not listed, including coal, hydropower and wind.
</t>
    </r>
    <r>
      <rPr>
        <vertAlign val="superscript"/>
        <sz val="8"/>
        <color rgb="FF000000"/>
        <rFont val="Calibri"/>
        <family val="2"/>
      </rPr>
      <t>2</t>
    </r>
    <r>
      <rPr>
        <sz val="8"/>
        <color rgb="FF000000"/>
        <rFont val="Calibri"/>
        <family val="2"/>
      </rPr>
      <t xml:space="preserve"> Newmont does not consume any energy from purchased or acquired heating, cooling or steam.
</t>
    </r>
    <r>
      <rPr>
        <vertAlign val="superscript"/>
        <sz val="8"/>
        <color rgb="FF000000"/>
        <rFont val="Calibri"/>
        <family val="2"/>
      </rPr>
      <t xml:space="preserve">3 </t>
    </r>
    <r>
      <rPr>
        <sz val="8"/>
        <color rgb="FF000000"/>
        <rFont val="Calibri"/>
        <family val="2"/>
      </rPr>
      <t>Heavy fuel oil includes heavy and light fuel oil at Lihir</t>
    </r>
    <r>
      <rPr>
        <sz val="8"/>
        <color rgb="FF000000"/>
        <rFont val="Calibri"/>
        <family val="2"/>
      </rPr>
      <t xml:space="preserve">.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Energy consumed from acetylene was not reported for the 12 sites owned and operated by Newmont prior to the acquisition of Newcrest Mining Limited on November 6, 2023.</t>
    </r>
  </si>
  <si>
    <r>
      <rPr>
        <b/>
        <sz val="10"/>
        <color rgb="FF000000"/>
        <rFont val="Calibri"/>
        <family val="2"/>
      </rPr>
      <t>Direct and indirect energy consumed by source: Trailing five year data</t>
    </r>
    <r>
      <rPr>
        <b/>
        <vertAlign val="superscript"/>
        <sz val="10"/>
        <color rgb="FF000000"/>
        <rFont val="Calibri"/>
        <family val="2"/>
      </rPr>
      <t xml:space="preserve"> </t>
    </r>
    <r>
      <rPr>
        <b/>
        <sz val="10"/>
        <color rgb="FF000000"/>
        <rFont val="Calibri"/>
        <family val="2"/>
      </rPr>
      <t xml:space="preserve"> (million GJ)</t>
    </r>
    <r>
      <rPr>
        <b/>
        <vertAlign val="superscript"/>
        <sz val="10"/>
        <color rgb="FF000000"/>
        <rFont val="Calibri"/>
        <family val="2"/>
      </rPr>
      <t>1, 2, 3</t>
    </r>
    <r>
      <rPr>
        <b/>
        <vertAlign val="superscript"/>
        <sz val="10"/>
        <color rgb="FF000000"/>
        <rFont val="Calibri"/>
        <family val="2"/>
      </rPr>
      <t>,</t>
    </r>
    <r>
      <rPr>
        <b/>
        <vertAlign val="superscript"/>
        <sz val="10"/>
        <color rgb="FF000000"/>
        <rFont val="Calibri"/>
        <family val="2"/>
      </rPr>
      <t xml:space="preserve"> </t>
    </r>
    <r>
      <rPr>
        <b/>
        <vertAlign val="superscript"/>
        <sz val="10"/>
        <color rgb="FF000000"/>
        <rFont val="Calibri"/>
        <family val="2"/>
      </rPr>
      <t>4</t>
    </r>
  </si>
  <si>
    <r>
      <rPr>
        <sz val="10"/>
        <color rgb="FF000000"/>
        <rFont val="Calibri"/>
        <family val="2"/>
      </rPr>
      <t>Diesel</t>
    </r>
    <r>
      <rPr>
        <vertAlign val="superscript"/>
        <sz val="10"/>
        <color rgb="FF000000"/>
        <rFont val="Calibri"/>
        <family val="2"/>
      </rPr>
      <t>5</t>
    </r>
  </si>
  <si>
    <r>
      <rPr>
        <sz val="10"/>
        <color rgb="FF000000"/>
        <rFont val="Calibri"/>
        <family val="2"/>
      </rPr>
      <t>Heavy fuel oil</t>
    </r>
    <r>
      <rPr>
        <vertAlign val="superscript"/>
        <sz val="10"/>
        <color rgb="FF000000"/>
        <rFont val="Calibri"/>
        <family val="2"/>
      </rPr>
      <t>6</t>
    </r>
  </si>
  <si>
    <r>
      <rPr>
        <sz val="10"/>
        <color rgb="FF000000"/>
        <rFont val="Calibri"/>
        <family val="2"/>
      </rPr>
      <t>Aviation fuel</t>
    </r>
    <r>
      <rPr>
        <vertAlign val="superscript"/>
        <sz val="10"/>
        <color rgb="FF000000"/>
        <rFont val="Calibri"/>
        <family val="2"/>
      </rPr>
      <t>7</t>
    </r>
  </si>
  <si>
    <r>
      <rPr>
        <b/>
        <sz val="10"/>
        <color rgb="FF000000"/>
        <rFont val="Calibri"/>
        <family val="2"/>
      </rPr>
      <t>Total direct non-renewable energy consumed</t>
    </r>
    <r>
      <rPr>
        <b/>
        <vertAlign val="superscript"/>
        <sz val="10"/>
        <color rgb="FF000000"/>
        <rFont val="Calibri"/>
        <family val="2"/>
      </rPr>
      <t>5</t>
    </r>
    <r>
      <rPr>
        <b/>
        <vertAlign val="superscript"/>
        <sz val="10"/>
        <color rgb="FF000000"/>
        <rFont val="Calibri"/>
        <family val="2"/>
      </rPr>
      <t>,</t>
    </r>
    <r>
      <rPr>
        <b/>
        <vertAlign val="superscript"/>
        <sz val="10"/>
        <color rgb="FF000000"/>
        <rFont val="Calibri"/>
        <family val="2"/>
      </rPr>
      <t>7</t>
    </r>
  </si>
  <si>
    <t>Geothermal</t>
  </si>
  <si>
    <r>
      <rPr>
        <b/>
        <sz val="10"/>
        <color rgb="FF000000"/>
        <rFont val="Calibri"/>
        <family val="2"/>
      </rPr>
      <t>Total direct energy consumed</t>
    </r>
    <r>
      <rPr>
        <b/>
        <vertAlign val="superscript"/>
        <sz val="10"/>
        <color rgb="FF000000"/>
        <rFont val="Calibri"/>
        <family val="2"/>
      </rPr>
      <t>5</t>
    </r>
    <r>
      <rPr>
        <b/>
        <vertAlign val="superscript"/>
        <sz val="10"/>
        <color rgb="FF000000"/>
        <rFont val="Calibri"/>
        <family val="2"/>
      </rPr>
      <t xml:space="preserve">, </t>
    </r>
    <r>
      <rPr>
        <b/>
        <vertAlign val="superscript"/>
        <sz val="10"/>
        <color rgb="FF000000"/>
        <rFont val="Calibri"/>
        <family val="2"/>
      </rPr>
      <t>7</t>
    </r>
  </si>
  <si>
    <r>
      <rPr>
        <b/>
        <sz val="10"/>
        <color rgb="FF000000"/>
        <rFont val="Calibri"/>
        <family val="2"/>
      </rPr>
      <t>Indirect energy consumed by source</t>
    </r>
    <r>
      <rPr>
        <b/>
        <vertAlign val="superscript"/>
        <sz val="10"/>
        <color rgb="FF000000"/>
        <rFont val="Calibri"/>
        <family val="2"/>
      </rPr>
      <t>8</t>
    </r>
  </si>
  <si>
    <r>
      <rPr>
        <sz val="10"/>
        <color rgb="FF000000"/>
        <rFont val="Calibri"/>
        <family val="2"/>
      </rPr>
      <t>Grid electricity from non-renewable sources</t>
    </r>
    <r>
      <rPr>
        <vertAlign val="superscript"/>
        <sz val="10"/>
        <color rgb="FF000000"/>
        <rFont val="Calibri"/>
        <family val="2"/>
      </rPr>
      <t>5</t>
    </r>
  </si>
  <si>
    <r>
      <rPr>
        <sz val="10"/>
        <color rgb="FF000000"/>
        <rFont val="Calibri"/>
        <family val="2"/>
      </rPr>
      <t>Grid electricity from renewable sources</t>
    </r>
    <r>
      <rPr>
        <vertAlign val="superscript"/>
        <sz val="10"/>
        <color rgb="FF000000"/>
        <rFont val="Calibri"/>
        <family val="2"/>
      </rPr>
      <t>5</t>
    </r>
  </si>
  <si>
    <r>
      <rPr>
        <b/>
        <sz val="10"/>
        <color rgb="FF000000"/>
        <rFont val="Calibri"/>
        <family val="2"/>
      </rPr>
      <t>Total indirect energy consumed</t>
    </r>
    <r>
      <rPr>
        <b/>
        <vertAlign val="superscript"/>
        <sz val="10"/>
        <color rgb="FF000000"/>
        <rFont val="Calibri"/>
        <family val="2"/>
      </rPr>
      <t>5</t>
    </r>
  </si>
  <si>
    <r>
      <rPr>
        <b/>
        <sz val="10"/>
        <color rgb="FF000000"/>
        <rFont val="Calibri"/>
        <family val="2"/>
      </rPr>
      <t>Total direct and indirect energy consumed</t>
    </r>
    <r>
      <rPr>
        <b/>
        <vertAlign val="superscript"/>
        <sz val="10"/>
        <color rgb="FF000000"/>
        <rFont val="Calibri"/>
        <family val="2"/>
      </rPr>
      <t>5</t>
    </r>
    <r>
      <rPr>
        <b/>
        <vertAlign val="superscript"/>
        <sz val="10"/>
        <color rgb="FF000000"/>
        <rFont val="Calibri"/>
        <family val="2"/>
      </rPr>
      <t xml:space="preserve">, </t>
    </r>
    <r>
      <rPr>
        <b/>
        <vertAlign val="superscript"/>
        <sz val="10"/>
        <color rgb="FF000000"/>
        <rFont val="Calibri"/>
        <family val="2"/>
      </rPr>
      <t>7</t>
    </r>
  </si>
  <si>
    <r>
      <rPr>
        <vertAlign val="superscript"/>
        <sz val="8"/>
        <color rgb="FF000000"/>
        <rFont val="Calibri"/>
        <family val="2"/>
      </rPr>
      <t>1</t>
    </r>
    <r>
      <rPr>
        <sz val="8"/>
        <color rgb="FF000000"/>
        <rFont val="Calibri"/>
        <family val="2"/>
      </rPr>
      <t xml:space="preserve"> </t>
    </r>
    <r>
      <rPr>
        <sz val="8"/>
        <color rgb="FF000000"/>
        <rFont val="Calibri"/>
        <family val="2"/>
      </rPr>
      <t xml:space="preserve">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
</t>
    </r>
    <r>
      <rPr>
        <vertAlign val="superscript"/>
        <sz val="8"/>
        <color rgb="FF000000"/>
        <rFont val="Calibri"/>
        <family val="2"/>
      </rPr>
      <t xml:space="preserve">2 </t>
    </r>
    <r>
      <rPr>
        <sz val="8"/>
        <color rgb="FF000000"/>
        <rFont val="Calibri"/>
        <family val="2"/>
      </rPr>
      <t xml:space="preserve">Newmont does not generate or consume direct (on-site) non-renewable or renewable energy from other sources not listed, including coal, hydropower and wind.
</t>
    </r>
    <r>
      <rPr>
        <vertAlign val="superscript"/>
        <sz val="8"/>
        <color rgb="FF000000"/>
        <rFont val="Calibri"/>
        <family val="2"/>
      </rPr>
      <t>3</t>
    </r>
    <r>
      <rPr>
        <sz val="8"/>
        <color rgb="FF000000"/>
        <rFont val="Calibri"/>
        <family val="2"/>
      </rPr>
      <t xml:space="preserve"> Newmont does not consume any energy from purchased or acquired heating, cooling or steam.
</t>
    </r>
    <r>
      <rPr>
        <vertAlign val="superscript"/>
        <sz val="8"/>
        <color rgb="FF000000"/>
        <rFont val="Calibri"/>
        <family val="2"/>
      </rPr>
      <t>4</t>
    </r>
    <r>
      <rPr>
        <sz val="8"/>
        <color rgb="FF000000"/>
        <rFont val="Calibri"/>
        <family val="2"/>
      </rPr>
      <t xml:space="preserve"> </t>
    </r>
    <r>
      <rPr>
        <sz val="8"/>
        <color rgb="FF000000"/>
        <rFont val="Calibri"/>
        <family val="2"/>
      </rPr>
      <t>For former Newcrest assets where historical data was unavailable, energy</t>
    </r>
    <r>
      <rPr>
        <sz val="8"/>
        <color rgb="FF000000"/>
        <rFont val="Calibri"/>
        <family val="2"/>
      </rPr>
      <t xml:space="preserve"> consumption</t>
    </r>
    <r>
      <rPr>
        <sz val="8"/>
        <color rgb="FF000000"/>
        <rFont val="Calibri"/>
        <family val="2"/>
      </rPr>
      <t xml:space="preserve"> w</t>
    </r>
    <r>
      <rPr>
        <sz val="8"/>
        <color rgb="FF000000"/>
        <rFont val="Calibri"/>
        <family val="2"/>
      </rPr>
      <t>as</t>
    </r>
    <r>
      <rPr>
        <sz val="8"/>
        <color rgb="FF000000"/>
        <rFont val="Calibri"/>
        <family val="2"/>
      </rPr>
      <t xml:space="preserve"> estimated based on production</t>
    </r>
    <r>
      <rPr>
        <sz val="8"/>
        <color rgb="FF000000"/>
        <rFont val="Calibri"/>
        <family val="2"/>
      </rPr>
      <t xml:space="preserve">.
</t>
    </r>
    <r>
      <rPr>
        <vertAlign val="superscript"/>
        <sz val="8"/>
        <color rgb="FF000000"/>
        <rFont val="Calibri"/>
        <family val="2"/>
      </rPr>
      <t xml:space="preserve">5 </t>
    </r>
    <r>
      <rPr>
        <sz val="8"/>
        <color rgb="FF000000"/>
        <rFont val="Calibri"/>
        <family val="2"/>
      </rPr>
      <t>The 2022 values for energy consumed from diesel, grid electricity from non-renewable sources, and renewable sources have been adjusted to reflect errors discovered on the prior reporting period's data. The cumulati</t>
    </r>
    <r>
      <rPr>
        <sz val="8"/>
        <color rgb="FF000000"/>
        <rFont val="Calibri"/>
        <family val="2"/>
      </rPr>
      <t xml:space="preserve">ve impact of the adjustments does not result in a significant (greater than 5%) change to the </t>
    </r>
    <r>
      <rPr>
        <sz val="8"/>
        <color rgb="FF000000"/>
        <rFont val="Calibri"/>
        <family val="2"/>
      </rPr>
      <t>respe</t>
    </r>
    <r>
      <rPr>
        <sz val="8"/>
        <color rgb="FF000000"/>
        <rFont val="Calibri"/>
        <family val="2"/>
      </rPr>
      <t>ctive</t>
    </r>
    <r>
      <rPr>
        <sz val="8"/>
        <color rgb="FF000000"/>
        <rFont val="Calibri"/>
        <family val="2"/>
      </rPr>
      <t xml:space="preserve"> previously stated global totals.
</t>
    </r>
    <r>
      <rPr>
        <vertAlign val="superscript"/>
        <sz val="8"/>
        <color rgb="FF000000"/>
        <rFont val="Calibri"/>
        <family val="2"/>
      </rPr>
      <t>6</t>
    </r>
    <r>
      <rPr>
        <sz val="8"/>
        <color rgb="FF000000"/>
        <rFont val="Calibri"/>
        <family val="2"/>
      </rPr>
      <t xml:space="preserve"> </t>
    </r>
    <r>
      <rPr>
        <sz val="8"/>
        <color rgb="FF000000"/>
        <rFont val="Calibri"/>
        <family val="2"/>
      </rPr>
      <t>Heavy fuel oil includes heavy and light fuel oil at Lihir</t>
    </r>
    <r>
      <rPr>
        <sz val="8"/>
        <color rgb="FF000000"/>
        <rFont val="Calibri"/>
        <family val="2"/>
      </rPr>
      <t xml:space="preserve">.
</t>
    </r>
    <r>
      <rPr>
        <vertAlign val="superscript"/>
        <sz val="8"/>
        <color rgb="FF000000"/>
        <rFont val="Calibri"/>
        <family val="2"/>
      </rPr>
      <t>7</t>
    </r>
    <r>
      <rPr>
        <sz val="8"/>
        <color rgb="FF000000"/>
        <rFont val="Calibri"/>
        <family val="2"/>
      </rPr>
      <t xml:space="preserve">The 2022 value for energy consumed from aviation fuel has been restated to correct for an omission of the fuel consumed at our Tanami operation during the prior reporting period. The change resulted in a significant increase (137%) to the previously stated global aviation fuel total. 
</t>
    </r>
    <r>
      <rPr>
        <vertAlign val="superscript"/>
        <sz val="8"/>
        <color rgb="FF000000"/>
        <rFont val="Calibri"/>
        <family val="2"/>
      </rPr>
      <t>8</t>
    </r>
    <r>
      <rPr>
        <sz val="8"/>
        <color rgb="FF000000"/>
        <rFont val="Calibri"/>
        <family val="2"/>
      </rPr>
      <t>Newmont reported only aggregated data for indirect energy (grid purchased electricity)</t>
    </r>
    <r>
      <rPr>
        <sz val="8"/>
        <color rgb="FF000000"/>
        <rFont val="Calibri"/>
        <family val="2"/>
      </rPr>
      <t xml:space="preserve"> starting</t>
    </r>
    <r>
      <rPr>
        <sz val="8"/>
        <color rgb="FF000000"/>
        <rFont val="Calibri"/>
        <family val="2"/>
      </rPr>
      <t xml:space="preserve"> in 2019.</t>
    </r>
    <r>
      <rPr>
        <sz val="8"/>
        <color rgb="FF000000"/>
        <rFont val="Calibri"/>
        <family val="2"/>
      </rPr>
      <t xml:space="preserve"> </t>
    </r>
    <r>
      <rPr>
        <sz val="8"/>
        <color rgb="FF000000"/>
        <rFont val="Calibri"/>
        <family val="2"/>
      </rPr>
      <t>In addition,</t>
    </r>
    <r>
      <rPr>
        <sz val="8"/>
        <color rgb="FF000000"/>
        <rFont val="Calibri"/>
        <family val="2"/>
      </rPr>
      <t xml:space="preserve"> former Newcrest assets acquired by Newmont on November 6, 2023 als</t>
    </r>
    <r>
      <rPr>
        <sz val="8"/>
        <color rgb="FF000000"/>
        <rFont val="Calibri"/>
        <family val="2"/>
      </rPr>
      <t xml:space="preserve">o </t>
    </r>
    <r>
      <rPr>
        <sz val="8"/>
        <color rgb="FF000000"/>
        <rFont val="Calibri"/>
        <family val="2"/>
      </rPr>
      <t xml:space="preserve">only reported aggregated </t>
    </r>
    <r>
      <rPr>
        <sz val="8"/>
        <color rgb="FF000000"/>
        <rFont val="Calibri"/>
        <family val="2"/>
      </rPr>
      <t>indirect energy data</t>
    </r>
    <r>
      <rPr>
        <sz val="8"/>
        <color rgb="FF000000"/>
        <rFont val="Calibri"/>
        <family val="2"/>
      </rPr>
      <t xml:space="preserve"> </t>
    </r>
    <r>
      <rPr>
        <sz val="8"/>
        <color rgb="FF000000"/>
        <rFont val="Calibri"/>
        <family val="2"/>
      </rPr>
      <t>from 2018 through 2022. For this reason,</t>
    </r>
    <r>
      <rPr>
        <sz val="8"/>
        <color rgb="FF000000"/>
        <rFont val="Calibri"/>
        <family val="2"/>
      </rPr>
      <t xml:space="preserve"> while the total indirect energy consumed values</t>
    </r>
    <r>
      <rPr>
        <sz val="8"/>
        <color rgb="FF000000"/>
        <rFont val="Calibri"/>
        <family val="2"/>
      </rPr>
      <t xml:space="preserve"> </t>
    </r>
    <r>
      <rPr>
        <sz val="8"/>
        <color rgb="FF000000"/>
        <rFont val="Calibri"/>
        <family val="2"/>
      </rPr>
      <t>for</t>
    </r>
    <r>
      <rPr>
        <sz val="8"/>
        <color rgb="FF000000"/>
        <rFont val="Calibri"/>
        <family val="2"/>
      </rPr>
      <t xml:space="preserve"> </t>
    </r>
    <r>
      <rPr>
        <sz val="8"/>
        <color rgb="FF000000"/>
        <rFont val="Calibri"/>
        <family val="2"/>
      </rPr>
      <t>2020 to 2022</t>
    </r>
    <r>
      <rPr>
        <sz val="8"/>
        <color rgb="FF000000"/>
        <rFont val="Calibri"/>
        <family val="2"/>
      </rPr>
      <t xml:space="preserve"> include data from the former New</t>
    </r>
    <r>
      <rPr>
        <sz val="8"/>
        <color rgb="FF000000"/>
        <rFont val="Calibri"/>
        <family val="2"/>
      </rPr>
      <t>crest assets, the</t>
    </r>
    <r>
      <rPr>
        <sz val="8"/>
        <color rgb="FF000000"/>
        <rFont val="Calibri"/>
        <family val="2"/>
      </rPr>
      <t xml:space="preserve"> </t>
    </r>
    <r>
      <rPr>
        <sz val="8"/>
        <color rgb="FF000000"/>
        <rFont val="Calibri"/>
        <family val="2"/>
      </rPr>
      <t>disaggregated values of grid electricity from non-renewable sources and renewable sources, and their asso</t>
    </r>
    <r>
      <rPr>
        <sz val="8"/>
        <color rgb="FF000000"/>
        <rFont val="Calibri"/>
        <family val="2"/>
      </rPr>
      <t>ciated percentage breakouts, do not include data from the Newcrest assets.</t>
    </r>
  </si>
  <si>
    <r>
      <rPr>
        <b/>
        <sz val="10"/>
        <color rgb="FF000000"/>
        <rFont val="Calibri"/>
        <family val="2"/>
      </rPr>
      <t>Energy intensity: Trailing five year data</t>
    </r>
    <r>
      <rPr>
        <b/>
        <vertAlign val="superscript"/>
        <sz val="10"/>
        <color rgb="FF000000"/>
        <rFont val="Calibri"/>
        <family val="2"/>
      </rPr>
      <t>1, 2</t>
    </r>
  </si>
  <si>
    <r>
      <rPr>
        <vertAlign val="superscript"/>
        <sz val="8"/>
        <color rgb="FF000000"/>
        <rFont val="Calibri"/>
        <family val="2"/>
      </rPr>
      <t>1</t>
    </r>
    <r>
      <rPr>
        <sz val="8"/>
        <color rgb="FF000000"/>
        <rFont val="Calibri"/>
        <family val="2"/>
      </rPr>
      <t xml:space="preserve"> </t>
    </r>
    <r>
      <rPr>
        <sz val="8"/>
        <color rgb="FF000000"/>
        <rFont val="Calibri"/>
        <family val="2"/>
      </rPr>
      <t xml:space="preserve">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
</t>
    </r>
    <r>
      <rPr>
        <vertAlign val="superscript"/>
        <sz val="8"/>
        <color rgb="FF000000"/>
        <rFont val="Calibri"/>
        <family val="2"/>
      </rPr>
      <t xml:space="preserve">2 </t>
    </r>
    <r>
      <rPr>
        <sz val="8"/>
        <color rgb="FF000000"/>
        <rFont val="Calibri"/>
        <family val="2"/>
      </rPr>
      <t xml:space="preserve">The energy input used to calculate the energy intensity ratio is the sum of total direct and indirect energy consumed (from renewable and non-renewable sources) within the organization. This energy intensity metric is not the same as our GHG emissions intensity metric referred to in our targets.
</t>
    </r>
    <r>
      <rPr>
        <vertAlign val="superscript"/>
        <sz val="8"/>
        <color rgb="FF000000"/>
        <rFont val="Calibri"/>
        <family val="2"/>
      </rPr>
      <t xml:space="preserve">3 </t>
    </r>
    <r>
      <rPr>
        <sz val="8"/>
        <color rgb="FF000000"/>
        <rFont val="Calibri"/>
        <family val="2"/>
      </rPr>
      <t>The 2022 intensity values have been adjusted to reflect the errors in energy consumed discovered on the prior reporting period's data. The cumulative impact of the adjustments does not result in a significant (greater than 5%) change to the previously stated global intensity totals.</t>
    </r>
  </si>
  <si>
    <r>
      <rPr>
        <b/>
        <sz val="10"/>
        <color rgb="FF000000"/>
        <rFont val="Calibri"/>
        <family val="2"/>
      </rPr>
      <t>Heavy fuel oil (non-renewable)</t>
    </r>
    <r>
      <rPr>
        <b/>
        <vertAlign val="superscript"/>
        <sz val="10"/>
        <color rgb="FF000000"/>
        <rFont val="Calibri"/>
        <family val="2"/>
      </rPr>
      <t>2</t>
    </r>
  </si>
  <si>
    <r>
      <rPr>
        <vertAlign val="superscript"/>
        <sz val="8"/>
        <color rgb="FF000000"/>
        <rFont val="Calibri"/>
        <family val="2"/>
      </rPr>
      <t xml:space="preserve">1 </t>
    </r>
    <r>
      <rPr>
        <sz val="8"/>
        <color rgb="FF000000"/>
        <rFont val="Calibri"/>
        <family val="2"/>
      </rPr>
      <t xml:space="preserve">Newmont does not currently sell any energy (heating, cooling or steam) or electricity to the grid or to other entities, therefore total electricity generated is equal to total electricity consumed.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Heavy fuel oil includes heavy and light fuel oil at Lihir.</t>
    </r>
  </si>
  <si>
    <r>
      <rPr>
        <b/>
        <sz val="10"/>
        <color rgb="FF000000"/>
        <rFont val="Calibri"/>
        <family val="2"/>
      </rPr>
      <t>Direct (on-site) electricity generated and consumed by source: Trailing five year data</t>
    </r>
    <r>
      <rPr>
        <b/>
        <vertAlign val="superscript"/>
        <sz val="10"/>
        <color rgb="FF000000"/>
        <rFont val="Calibri"/>
        <family val="2"/>
      </rPr>
      <t xml:space="preserve"> </t>
    </r>
    <r>
      <rPr>
        <b/>
        <sz val="10"/>
        <color rgb="FF000000"/>
        <rFont val="Calibri"/>
        <family val="2"/>
      </rPr>
      <t>(million GJ)</t>
    </r>
    <r>
      <rPr>
        <b/>
        <vertAlign val="superscript"/>
        <sz val="10"/>
        <color rgb="FF000000"/>
        <rFont val="Calibri"/>
        <family val="2"/>
      </rPr>
      <t>1, 2</t>
    </r>
  </si>
  <si>
    <r>
      <rPr>
        <b/>
        <sz val="10"/>
        <color rgb="FF000000"/>
        <rFont val="Calibri"/>
        <family val="2"/>
      </rPr>
      <t xml:space="preserve">2022 </t>
    </r>
    <r>
      <rPr>
        <b/>
        <vertAlign val="superscript"/>
        <sz val="10"/>
        <color rgb="FF000000"/>
        <rFont val="Calibri"/>
        <family val="2"/>
      </rPr>
      <t>3</t>
    </r>
  </si>
  <si>
    <r>
      <rPr>
        <sz val="10"/>
        <color rgb="FF000000"/>
        <rFont val="Calibri"/>
        <family val="2"/>
      </rPr>
      <t>Heavy fuel oil</t>
    </r>
    <r>
      <rPr>
        <sz val="10"/>
        <color rgb="FF000000"/>
        <rFont val="Calibri"/>
        <family val="2"/>
      </rPr>
      <t xml:space="preserve"> </t>
    </r>
    <r>
      <rPr>
        <vertAlign val="superscript"/>
        <sz val="10"/>
        <color rgb="FF000000"/>
        <rFont val="Calibri"/>
        <family val="2"/>
      </rPr>
      <t>4</t>
    </r>
    <r>
      <rPr>
        <vertAlign val="superscript"/>
        <sz val="10"/>
        <color rgb="FF000000"/>
        <rFont val="Calibri"/>
        <family val="2"/>
      </rPr>
      <t xml:space="preserve"> </t>
    </r>
  </si>
  <si>
    <r>
      <rPr>
        <vertAlign val="superscript"/>
        <sz val="8"/>
        <color rgb="FF000000"/>
        <rFont val="Calibri"/>
        <family val="2"/>
      </rPr>
      <t>1</t>
    </r>
    <r>
      <rPr>
        <sz val="8"/>
        <color rgb="FF000000"/>
        <rFont val="Calibri"/>
        <family val="2"/>
      </rPr>
      <t xml:space="preserve"> </t>
    </r>
    <r>
      <rPr>
        <sz val="8"/>
        <color rgb="FF000000"/>
        <rFont val="Calibri"/>
        <family val="2"/>
      </rPr>
      <t xml:space="preserve"> </t>
    </r>
    <r>
      <rPr>
        <sz val="8"/>
        <color rgb="FF000000"/>
        <rFont val="Calibri"/>
        <family val="2"/>
      </rPr>
      <t>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t>
    </r>
    <r>
      <rPr>
        <sz val="8"/>
        <color rgb="FF000000"/>
        <rFont val="Calibri"/>
        <family val="2"/>
      </rPr>
      <t>.</t>
    </r>
    <r>
      <rPr>
        <sz val="8"/>
        <color rgb="FF000000"/>
        <rFont val="Calibri"/>
        <family val="2"/>
      </rPr>
      <t xml:space="preserve"> 2019 figures assume generator efficiency rate of 40%. 
</t>
    </r>
    <r>
      <rPr>
        <vertAlign val="superscript"/>
        <sz val="8"/>
        <color rgb="FF000000"/>
        <rFont val="Calibri"/>
        <family val="2"/>
      </rPr>
      <t xml:space="preserve">2 </t>
    </r>
    <r>
      <rPr>
        <sz val="8"/>
        <color rgb="FF000000"/>
        <rFont val="Calibri"/>
        <family val="2"/>
      </rPr>
      <t xml:space="preserve">Newmont does not currently sell any energy (heating, cooling or steam) or electricity to the grid or to other entities, therefore total electricity generated is equal to total electricity consumed.
</t>
    </r>
    <r>
      <rPr>
        <vertAlign val="superscript"/>
        <sz val="8"/>
        <color rgb="FF000000"/>
        <rFont val="Calibri"/>
        <family val="2"/>
      </rPr>
      <t xml:space="preserve">3 </t>
    </r>
    <r>
      <rPr>
        <sz val="8"/>
        <color rgb="FF000000"/>
        <rFont val="Calibri"/>
        <family val="2"/>
      </rPr>
      <t xml:space="preserve">The 2022 values for electricity generated and consumed from diesel has been adjusted to reflect errors discovered on the prior reporting period's data. The cumulative impact of the adjustments does not result in a significant (greater than 5%) change to the respective previously stated global totals.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Heavy fuel oil includes heavy and light fuel oil at Lihir</t>
    </r>
    <r>
      <rPr>
        <sz val="8"/>
        <color rgb="FF000000"/>
        <rFont val="Calibri"/>
        <family val="2"/>
      </rPr>
      <t>.</t>
    </r>
  </si>
  <si>
    <r>
      <rPr>
        <b/>
        <sz val="10"/>
        <color rgb="FF000000"/>
        <rFont val="Calibri"/>
        <family val="2"/>
      </rPr>
      <t>Heavy fuel oil</t>
    </r>
    <r>
      <rPr>
        <b/>
        <vertAlign val="superscript"/>
        <sz val="10"/>
        <color rgb="FF000000"/>
        <rFont val="Calibri"/>
        <family val="2"/>
      </rPr>
      <t>1</t>
    </r>
  </si>
  <si>
    <r>
      <rPr>
        <vertAlign val="superscript"/>
        <sz val="8"/>
        <color rgb="FF000000"/>
        <rFont val="Calibri"/>
        <family val="2"/>
      </rPr>
      <t>1</t>
    </r>
    <r>
      <rPr>
        <vertAlign val="superscript"/>
        <sz val="8"/>
        <color rgb="FF000000"/>
        <rFont val="Calibri"/>
        <family val="2"/>
      </rPr>
      <t xml:space="preserve"> </t>
    </r>
    <r>
      <rPr>
        <sz val="8"/>
        <color rgb="FF000000"/>
        <rFont val="Calibri"/>
        <family val="2"/>
      </rPr>
      <t>Heavy fuel oil includes heavy and light fuel oil at Lihir.</t>
    </r>
  </si>
  <si>
    <r>
      <rPr>
        <b/>
        <sz val="10"/>
        <color rgb="FF000000"/>
        <rFont val="Calibri"/>
        <family val="2"/>
      </rPr>
      <t>Scope 1 and 2 greenhouse gas (GHG) emissions: Site level</t>
    </r>
    <r>
      <rPr>
        <b/>
        <vertAlign val="superscript"/>
        <sz val="10"/>
        <color rgb="FF000000"/>
        <rFont val="Calibri"/>
        <family val="2"/>
      </rPr>
      <t xml:space="preserve"> </t>
    </r>
    <r>
      <rPr>
        <b/>
        <sz val="10"/>
        <color rgb="FF000000"/>
        <rFont val="Calibri"/>
        <family val="2"/>
      </rPr>
      <t>(tonnes CO</t>
    </r>
    <r>
      <rPr>
        <b/>
        <vertAlign val="subscript"/>
        <sz val="10"/>
        <color rgb="FF000000"/>
        <rFont val="Calibri"/>
        <family val="2"/>
      </rPr>
      <t>2</t>
    </r>
    <r>
      <rPr>
        <b/>
        <sz val="10"/>
        <color rgb="FF000000"/>
        <rFont val="Calibri"/>
        <family val="2"/>
      </rPr>
      <t>e)</t>
    </r>
  </si>
  <si>
    <r>
      <rPr>
        <b/>
        <sz val="10"/>
        <color rgb="FF000000"/>
        <rFont val="Calibri"/>
        <family val="2"/>
      </rPr>
      <t>From heavy fuel oil</t>
    </r>
    <r>
      <rPr>
        <b/>
        <vertAlign val="superscript"/>
        <sz val="10"/>
        <color rgb="FF000000"/>
        <rFont val="Calibri"/>
        <family val="2"/>
      </rPr>
      <t>1</t>
    </r>
  </si>
  <si>
    <r>
      <rPr>
        <b/>
        <sz val="10"/>
        <color rgb="FF000000"/>
        <rFont val="Calibri"/>
        <family val="2"/>
      </rPr>
      <t>From acetylene</t>
    </r>
    <r>
      <rPr>
        <b/>
        <vertAlign val="superscript"/>
        <sz val="10"/>
        <color rgb="FF000000"/>
        <rFont val="Calibri"/>
        <family val="2"/>
      </rPr>
      <t>2</t>
    </r>
  </si>
  <si>
    <r>
      <rPr>
        <b/>
        <sz val="10"/>
        <color rgb="FF000000"/>
        <rFont val="Calibri"/>
        <family val="2"/>
      </rPr>
      <t>From biodiesel</t>
    </r>
    <r>
      <rPr>
        <b/>
        <vertAlign val="superscript"/>
        <sz val="10"/>
        <color rgb="FF000000"/>
        <rFont val="Calibri"/>
        <family val="2"/>
      </rPr>
      <t>3</t>
    </r>
  </si>
  <si>
    <r>
      <rPr>
        <b/>
        <sz val="10"/>
        <color rgb="FF000000"/>
        <rFont val="Calibri"/>
        <family val="2"/>
      </rPr>
      <t xml:space="preserve">From </t>
    </r>
    <r>
      <rPr>
        <b/>
        <sz val="10"/>
        <color rgb="FF000000"/>
        <rFont val="Calibri"/>
        <family val="2"/>
      </rPr>
      <t>process emissions</t>
    </r>
    <r>
      <rPr>
        <b/>
        <vertAlign val="superscript"/>
        <sz val="10"/>
        <color rgb="FF000000"/>
        <rFont val="Calibri"/>
        <family val="2"/>
      </rPr>
      <t>4</t>
    </r>
  </si>
  <si>
    <r>
      <rPr>
        <b/>
        <sz val="10"/>
        <color rgb="FF000000"/>
        <rFont val="Calibri"/>
        <family val="2"/>
      </rPr>
      <t>From hydrofluorocarbons (HFCs)</t>
    </r>
    <r>
      <rPr>
        <b/>
        <vertAlign val="superscript"/>
        <sz val="10"/>
        <color rgb="FF000000"/>
        <rFont val="Calibri"/>
        <family val="2"/>
      </rPr>
      <t>5</t>
    </r>
  </si>
  <si>
    <r>
      <rPr>
        <vertAlign val="superscript"/>
        <sz val="8"/>
        <color rgb="FF000000"/>
        <rFont val="Calibri"/>
        <family val="2"/>
      </rPr>
      <t xml:space="preserve">1 </t>
    </r>
    <r>
      <rPr>
        <sz val="8"/>
        <color rgb="FF000000"/>
        <rFont val="Calibri"/>
        <family val="2"/>
      </rPr>
      <t xml:space="preserve">Heavy fuel oil includes heavy and light fuel oil at Lihir.
</t>
    </r>
    <r>
      <rPr>
        <vertAlign val="superscript"/>
        <sz val="8"/>
        <color rgb="FF000000"/>
        <rFont val="Calibri"/>
        <family val="2"/>
      </rPr>
      <t xml:space="preserve">2 </t>
    </r>
    <r>
      <rPr>
        <sz val="8"/>
        <color rgb="FF000000"/>
        <rFont val="Calibri"/>
        <family val="2"/>
      </rPr>
      <t>E</t>
    </r>
    <r>
      <rPr>
        <sz val="8"/>
        <color rgb="FF000000"/>
        <rFont val="Calibri"/>
        <family val="2"/>
      </rPr>
      <t>missions</t>
    </r>
    <r>
      <rPr>
        <sz val="8"/>
        <color rgb="FF000000"/>
        <rFont val="Calibri"/>
        <family val="2"/>
      </rPr>
      <t xml:space="preserve"> from acetylene </t>
    </r>
    <r>
      <rPr>
        <sz val="8"/>
        <color rgb="FF000000"/>
        <rFont val="Calibri"/>
        <family val="2"/>
      </rPr>
      <t>were</t>
    </r>
    <r>
      <rPr>
        <sz val="8"/>
        <color rgb="FF000000"/>
        <rFont val="Calibri"/>
        <family val="2"/>
      </rPr>
      <t xml:space="preserve"> not reported for the 12 sites </t>
    </r>
    <r>
      <rPr>
        <sz val="8"/>
        <color rgb="FF000000"/>
        <rFont val="Calibri"/>
        <family val="2"/>
      </rPr>
      <t xml:space="preserve">owned and operated by Newmont prior to the acquisition of Newcrest Mining Limited on November 6, 2023.
</t>
    </r>
    <r>
      <rPr>
        <vertAlign val="superscript"/>
        <sz val="8"/>
        <color rgb="FF000000"/>
        <rFont val="Calibri"/>
        <family val="2"/>
      </rPr>
      <t>3</t>
    </r>
    <r>
      <rPr>
        <vertAlign val="superscript"/>
        <sz val="8"/>
        <color rgb="FF000000"/>
        <rFont val="Calibri"/>
        <family val="2"/>
      </rPr>
      <t xml:space="preserve"> </t>
    </r>
    <r>
      <rPr>
        <sz val="8"/>
        <color rgb="FF000000"/>
        <rFont val="Calibri"/>
        <family val="2"/>
      </rPr>
      <t xml:space="preserve">In accordance with the GHG Protocol, direct CO2 emissions from the combustion of biodiesel is not included in our Scope 1 calculation, but reported separately. The Scope 1 totals above represent only the CH4 and N20 emissions from combustion of biodiesel, in accordance with the GHG protocol.
</t>
    </r>
    <r>
      <rPr>
        <vertAlign val="superscript"/>
        <sz val="8"/>
        <color rgb="FF000000"/>
        <rFont val="Calibri"/>
        <family val="2"/>
      </rPr>
      <t>4</t>
    </r>
    <r>
      <rPr>
        <vertAlign val="superscript"/>
        <sz val="8"/>
        <color rgb="FF000000"/>
        <rFont val="Calibri"/>
        <family val="2"/>
      </rPr>
      <t xml:space="preserve"> </t>
    </r>
    <r>
      <rPr>
        <vertAlign val="superscript"/>
        <sz val="8"/>
        <color rgb="FF000000"/>
        <rFont val="Calibri"/>
        <family val="2"/>
      </rPr>
      <t xml:space="preserve"> </t>
    </r>
    <r>
      <rPr>
        <sz val="8"/>
        <color rgb="FF000000"/>
        <rFont val="Calibri"/>
        <family val="2"/>
      </rPr>
      <t>P</t>
    </r>
    <r>
      <rPr>
        <sz val="8"/>
        <color rgb="FF000000"/>
        <rFont val="Calibri"/>
        <family val="2"/>
      </rPr>
      <t xml:space="preserve">rocess emissions </t>
    </r>
    <r>
      <rPr>
        <sz val="8"/>
        <color rgb="FF000000"/>
        <rFont val="Calibri"/>
        <family val="2"/>
      </rPr>
      <t>include</t>
    </r>
    <r>
      <rPr>
        <sz val="8"/>
        <color rgb="FF000000"/>
        <rFont val="Calibri"/>
        <family val="2"/>
      </rPr>
      <t xml:space="preserve"> emissions</t>
    </r>
    <r>
      <rPr>
        <sz val="8"/>
        <color rgb="FF000000"/>
        <rFont val="Calibri"/>
        <family val="2"/>
      </rPr>
      <t xml:space="preserve"> generated</t>
    </r>
    <r>
      <rPr>
        <sz val="8"/>
        <color rgb="FF000000"/>
        <rFont val="Calibri"/>
        <family val="2"/>
      </rPr>
      <t xml:space="preserve"> from</t>
    </r>
    <r>
      <rPr>
        <sz val="8"/>
        <color rgb="FF000000"/>
        <rFont val="Calibri"/>
        <family val="2"/>
      </rPr>
      <t xml:space="preserve"> quicklime production and autoclave </t>
    </r>
    <r>
      <rPr>
        <sz val="8"/>
        <color rgb="FF000000"/>
        <rFont val="Calibri"/>
        <family val="2"/>
      </rPr>
      <t>operations</t>
    </r>
    <r>
      <rPr>
        <sz val="8"/>
        <color rgb="FF000000"/>
        <rFont val="Calibri"/>
        <family val="2"/>
      </rPr>
      <t xml:space="preserve">.
</t>
    </r>
    <r>
      <rPr>
        <vertAlign val="superscript"/>
        <sz val="8"/>
        <color rgb="FF000000"/>
        <rFont val="Calibri"/>
        <family val="2"/>
      </rPr>
      <t>5</t>
    </r>
    <r>
      <rPr>
        <vertAlign val="superscript"/>
        <sz val="8"/>
        <color rgb="FF000000"/>
        <rFont val="Calibri"/>
        <family val="2"/>
      </rPr>
      <t xml:space="preserve"> </t>
    </r>
    <r>
      <rPr>
        <sz val="8"/>
        <color rgb="FF000000"/>
        <rFont val="Calibri"/>
        <family val="2"/>
      </rPr>
      <t>Newmont's HFC emissions come from refrigerants; the emissions from refrigerants are calculated using HFC-specific Global Warming Potentials.</t>
    </r>
  </si>
  <si>
    <r>
      <rPr>
        <b/>
        <sz val="10"/>
        <color rgb="FF000000"/>
        <rFont val="Calibri"/>
        <family val="2"/>
      </rPr>
      <t>Scope 1 and 2 GHG emissions: Trailing five year data (million t CO</t>
    </r>
    <r>
      <rPr>
        <b/>
        <vertAlign val="subscript"/>
        <sz val="10"/>
        <color rgb="FF000000"/>
        <rFont val="Calibri"/>
        <family val="2"/>
      </rPr>
      <t>2</t>
    </r>
    <r>
      <rPr>
        <b/>
        <sz val="10"/>
        <color rgb="FF000000"/>
        <rFont val="Calibri"/>
        <family val="2"/>
      </rPr>
      <t>e)</t>
    </r>
    <r>
      <rPr>
        <b/>
        <vertAlign val="superscript"/>
        <sz val="10"/>
        <color rgb="FF000000"/>
        <rFont val="Calibri"/>
        <family val="2"/>
      </rPr>
      <t>1, 2</t>
    </r>
  </si>
  <si>
    <r>
      <rPr>
        <sz val="10"/>
        <color rgb="FF000000"/>
        <rFont val="Calibri"/>
        <family val="2"/>
      </rPr>
      <t>From diese</t>
    </r>
    <r>
      <rPr>
        <sz val="10"/>
        <color rgb="FF000000"/>
        <rFont val="Calibri"/>
        <family val="2"/>
      </rPr>
      <t>l</t>
    </r>
    <r>
      <rPr>
        <vertAlign val="superscript"/>
        <sz val="10"/>
        <color rgb="FF000000"/>
        <rFont val="Calibri"/>
        <family val="2"/>
      </rPr>
      <t>3</t>
    </r>
  </si>
  <si>
    <r>
      <rPr>
        <sz val="10"/>
        <color rgb="FF000000"/>
        <rFont val="Calibri"/>
        <family val="2"/>
      </rPr>
      <t>From heavy fuel oil</t>
    </r>
    <r>
      <rPr>
        <vertAlign val="superscript"/>
        <sz val="10"/>
        <color rgb="FF000000"/>
        <rFont val="Calibri"/>
        <family val="2"/>
      </rPr>
      <t>4</t>
    </r>
  </si>
  <si>
    <r>
      <rPr>
        <sz val="10"/>
        <color rgb="FF000000"/>
        <rFont val="Calibri"/>
        <family val="2"/>
      </rPr>
      <t>From aviation fuel</t>
    </r>
    <r>
      <rPr>
        <vertAlign val="superscript"/>
        <sz val="10"/>
        <color rgb="FF000000"/>
        <rFont val="Calibri"/>
        <family val="2"/>
      </rPr>
      <t>5</t>
    </r>
  </si>
  <si>
    <t>From acetylene</t>
  </si>
  <si>
    <r>
      <rPr>
        <sz val="10"/>
        <color rgb="FF000000"/>
        <rFont val="Calibri"/>
        <family val="2"/>
      </rPr>
      <t>From biodiesel</t>
    </r>
    <r>
      <rPr>
        <vertAlign val="superscript"/>
        <sz val="10"/>
        <color rgb="FF000000"/>
        <rFont val="Calibri"/>
        <family val="2"/>
      </rPr>
      <t>6</t>
    </r>
  </si>
  <si>
    <r>
      <rPr>
        <sz val="10"/>
        <color rgb="FF000000"/>
        <rFont val="Calibri"/>
        <family val="2"/>
      </rPr>
      <t>From process emissions</t>
    </r>
    <r>
      <rPr>
        <vertAlign val="superscript"/>
        <sz val="10"/>
        <color rgb="FF000000"/>
        <rFont val="Calibri"/>
        <family val="2"/>
      </rPr>
      <t>7</t>
    </r>
  </si>
  <si>
    <r>
      <rPr>
        <sz val="10"/>
        <color rgb="FF000000"/>
        <rFont val="Calibri"/>
        <family val="2"/>
      </rPr>
      <t>From hydrofluorocarbons (HFCs)</t>
    </r>
    <r>
      <rPr>
        <vertAlign val="superscript"/>
        <sz val="10"/>
        <color rgb="FF000000"/>
        <rFont val="Calibri"/>
        <family val="2"/>
      </rPr>
      <t>8</t>
    </r>
  </si>
  <si>
    <r>
      <rPr>
        <b/>
        <sz val="10"/>
        <color rgb="FF000000"/>
        <rFont val="Calibri"/>
        <family val="2"/>
      </rPr>
      <t>Total Scope 1 (direct) GHG emissions</t>
    </r>
    <r>
      <rPr>
        <b/>
        <vertAlign val="superscript"/>
        <sz val="10"/>
        <color rgb="FF000000"/>
        <rFont val="Calibri"/>
        <family val="2"/>
      </rPr>
      <t>3</t>
    </r>
    <r>
      <rPr>
        <b/>
        <vertAlign val="superscript"/>
        <sz val="10"/>
        <color rgb="FF000000"/>
        <rFont val="Calibri"/>
        <family val="2"/>
      </rPr>
      <t xml:space="preserve">, </t>
    </r>
    <r>
      <rPr>
        <b/>
        <vertAlign val="superscript"/>
        <sz val="10"/>
        <color rgb="FF000000"/>
        <rFont val="Calibri"/>
        <family val="2"/>
      </rPr>
      <t>5</t>
    </r>
  </si>
  <si>
    <r>
      <rPr>
        <b/>
        <sz val="10"/>
        <color rgb="FF000000"/>
        <rFont val="Calibri"/>
        <family val="2"/>
      </rPr>
      <t>Total Scope 1 and Scope 2 (market-based) emissions</t>
    </r>
    <r>
      <rPr>
        <b/>
        <vertAlign val="superscript"/>
        <sz val="10"/>
        <color rgb="FF000000"/>
        <rFont val="Calibri"/>
        <family val="2"/>
      </rPr>
      <t>3</t>
    </r>
    <r>
      <rPr>
        <b/>
        <vertAlign val="superscript"/>
        <sz val="10"/>
        <color rgb="FF000000"/>
        <rFont val="Calibri"/>
        <family val="2"/>
      </rPr>
      <t xml:space="preserve">, </t>
    </r>
    <r>
      <rPr>
        <b/>
        <vertAlign val="superscript"/>
        <sz val="10"/>
        <color rgb="FF000000"/>
        <rFont val="Calibri"/>
        <family val="2"/>
      </rPr>
      <t>5</t>
    </r>
  </si>
  <si>
    <r>
      <rPr>
        <vertAlign val="superscript"/>
        <sz val="8"/>
        <color rgb="FF000000"/>
        <rFont val="Calibri"/>
        <family val="2"/>
      </rPr>
      <t xml:space="preserve">1 </t>
    </r>
    <r>
      <rPr>
        <sz val="8"/>
        <color rgb="FF000000"/>
        <rFont val="Calibri"/>
        <family val="2"/>
      </rPr>
      <t xml:space="preserve"> </t>
    </r>
    <r>
      <rPr>
        <sz val="8"/>
        <color rgb="FF000000"/>
        <rFont val="Calibri"/>
        <family val="2"/>
      </rPr>
      <t xml:space="preserve">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
</t>
    </r>
    <r>
      <rPr>
        <vertAlign val="superscript"/>
        <sz val="8"/>
        <color rgb="FF000000"/>
        <rFont val="Calibri"/>
        <family val="2"/>
      </rPr>
      <t>2</t>
    </r>
    <r>
      <rPr>
        <sz val="8"/>
        <color rgb="FF000000"/>
        <rFont val="Calibri"/>
        <family val="2"/>
      </rPr>
      <t xml:space="preserve"> </t>
    </r>
    <r>
      <rPr>
        <sz val="8"/>
        <color rgb="FF000000"/>
        <rFont val="Calibri"/>
        <family val="2"/>
      </rPr>
      <t xml:space="preserve">For former Newcrest assets where historical data was unavailable, </t>
    </r>
    <r>
      <rPr>
        <sz val="8"/>
        <color rgb="FF000000"/>
        <rFont val="Calibri"/>
        <family val="2"/>
      </rPr>
      <t>emissions were</t>
    </r>
    <r>
      <rPr>
        <sz val="8"/>
        <color rgb="FF000000"/>
        <rFont val="Calibri"/>
        <family val="2"/>
      </rPr>
      <t xml:space="preserve"> estimated based on production.
</t>
    </r>
    <r>
      <rPr>
        <vertAlign val="superscript"/>
        <sz val="8"/>
        <color rgb="FF000000"/>
        <rFont val="Calibri"/>
        <family val="2"/>
      </rPr>
      <t>3</t>
    </r>
    <r>
      <rPr>
        <vertAlign val="superscript"/>
        <sz val="8"/>
        <color rgb="FF000000"/>
        <rFont val="Calibri"/>
        <family val="2"/>
      </rPr>
      <t xml:space="preserve"> </t>
    </r>
    <r>
      <rPr>
        <sz val="8"/>
        <color rgb="FF000000"/>
        <rFont val="Calibri"/>
        <family val="2"/>
      </rPr>
      <t>T</t>
    </r>
    <r>
      <rPr>
        <sz val="8"/>
        <color rgb="FF000000"/>
        <rFont val="Calibri"/>
        <family val="2"/>
      </rPr>
      <t>he 2022 values for emissions from diesel and Scope 2 emissions have been adjusted to reflect errors disc</t>
    </r>
    <r>
      <rPr>
        <sz val="8"/>
        <color rgb="FF000000"/>
        <rFont val="Calibri"/>
        <family val="2"/>
      </rPr>
      <t>overed o</t>
    </r>
    <r>
      <rPr>
        <sz val="8"/>
        <color rgb="FF000000"/>
        <rFont val="Calibri"/>
        <family val="2"/>
      </rPr>
      <t xml:space="preserve">n the prior reporting period's data. The cumulative impact of the adjustments does not result in a significant (greater than 5%) change to the respective reviously stated global totals.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 xml:space="preserve">Heavy fuel oil includes heavy and light fuel oil at Lihir
</t>
    </r>
    <r>
      <rPr>
        <vertAlign val="superscript"/>
        <sz val="8"/>
        <color rgb="FF000000"/>
        <rFont val="Calibri"/>
        <family val="2"/>
      </rPr>
      <t>5</t>
    </r>
    <r>
      <rPr>
        <sz val="8"/>
        <color rgb="FF000000"/>
        <rFont val="Calibri"/>
        <family val="2"/>
      </rPr>
      <t xml:space="preserve"> The 2022 value for emissions from aviation fuel has been restated to correct for an omission of the fuel consumed at our Tanami operation during the prior reporting period. The change resulted in a significant increase (128%) to the previously stated global aviation fuel t</t>
    </r>
    <r>
      <rPr>
        <sz val="8"/>
        <color rgb="FF000000"/>
        <rFont val="Calibri"/>
        <family val="2"/>
      </rPr>
      <t>o</t>
    </r>
    <r>
      <rPr>
        <sz val="8"/>
        <color rgb="FF000000"/>
        <rFont val="Calibri"/>
        <family val="2"/>
      </rPr>
      <t>t</t>
    </r>
    <r>
      <rPr>
        <sz val="8"/>
        <color rgb="FF000000"/>
        <rFont val="Calibri"/>
        <family val="2"/>
      </rPr>
      <t xml:space="preserve">al.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 xml:space="preserve">In accordance with the GHG Protocol, direct CO2 emissions from the combustion of biodiesel is not included in our Scope 1 calculation, but reported separately. The Scope 1 totals above represent only the CH4 and N20 emissions from combustion of biodiesel, in accordance with the GHG protocol.
</t>
    </r>
    <r>
      <rPr>
        <vertAlign val="superscript"/>
        <sz val="8"/>
        <color rgb="FF000000"/>
        <rFont val="Calibri"/>
        <family val="2"/>
      </rPr>
      <t>7</t>
    </r>
    <r>
      <rPr>
        <vertAlign val="superscript"/>
        <sz val="8"/>
        <color rgb="FF000000"/>
        <rFont val="Calibri"/>
        <family val="2"/>
      </rPr>
      <t xml:space="preserve"> </t>
    </r>
    <r>
      <rPr>
        <sz val="8"/>
        <color rgb="FF000000"/>
        <rFont val="Calibri"/>
        <family val="2"/>
      </rPr>
      <t xml:space="preserve">Process emissions include emissions generated from quicklime production and autoclave </t>
    </r>
    <r>
      <rPr>
        <sz val="8"/>
        <color rgb="FF000000"/>
        <rFont val="Calibri"/>
        <family val="2"/>
      </rPr>
      <t>operations</t>
    </r>
    <r>
      <rPr>
        <sz val="8"/>
        <color rgb="FF000000"/>
        <rFont val="Calibri"/>
        <family val="2"/>
      </rPr>
      <t xml:space="preserve">.
</t>
    </r>
    <r>
      <rPr>
        <vertAlign val="superscript"/>
        <sz val="8"/>
        <color rgb="FF000000"/>
        <rFont val="Calibri"/>
        <family val="2"/>
      </rPr>
      <t>8</t>
    </r>
    <r>
      <rPr>
        <vertAlign val="superscript"/>
        <sz val="8"/>
        <color rgb="FF000000"/>
        <rFont val="Calibri"/>
        <family val="2"/>
      </rPr>
      <t xml:space="preserve"> </t>
    </r>
    <r>
      <rPr>
        <sz val="8"/>
        <color rgb="FF000000"/>
        <rFont val="Calibri"/>
        <family val="2"/>
      </rPr>
      <t>Newmont's HFC emissions come from refrigerants; the emissions from refrigerants are calculated using separate emission factors. Former Goldcorp sites did not report refrigerant consumption therefore are not included in 2018 and 2019 totals.</t>
    </r>
  </si>
  <si>
    <r>
      <rPr>
        <b/>
        <sz val="10"/>
        <color rgb="FF000000"/>
        <rFont val="Calibri"/>
        <family val="2"/>
      </rPr>
      <t>Scope 1 and 2 (market-based) GHG emissions intensity (t CO</t>
    </r>
    <r>
      <rPr>
        <b/>
        <vertAlign val="subscript"/>
        <sz val="10"/>
        <color rgb="FF000000"/>
        <rFont val="Calibri"/>
        <family val="2"/>
      </rPr>
      <t>2</t>
    </r>
    <r>
      <rPr>
        <b/>
        <sz val="10"/>
        <color rgb="FF000000"/>
        <rFont val="Calibri"/>
        <family val="2"/>
      </rPr>
      <t>e / GEO): Trailing five year site level</t>
    </r>
    <r>
      <rPr>
        <b/>
        <vertAlign val="superscript"/>
        <sz val="10"/>
        <color rgb="FF000000"/>
        <rFont val="Calibri"/>
        <family val="2"/>
      </rPr>
      <t>1</t>
    </r>
  </si>
  <si>
    <r>
      <rPr>
        <b/>
        <sz val="10"/>
        <color rgb="FF000000"/>
        <rFont val="Calibri"/>
        <family val="2"/>
      </rPr>
      <t xml:space="preserve">2022 </t>
    </r>
    <r>
      <rPr>
        <b/>
        <vertAlign val="superscript"/>
        <sz val="10"/>
        <color rgb="FF000000"/>
        <rFont val="Calibri"/>
        <family val="2"/>
      </rPr>
      <t>2</t>
    </r>
  </si>
  <si>
    <r>
      <rPr>
        <vertAlign val="superscript"/>
        <sz val="8"/>
        <color rgb="FF000000"/>
        <rFont val="Calibri"/>
        <family val="2"/>
      </rPr>
      <t>1</t>
    </r>
    <r>
      <rPr>
        <sz val="8"/>
        <color rgb="FF000000"/>
        <rFont val="Calibri"/>
        <family val="2"/>
      </rPr>
      <t xml:space="preserve"> </t>
    </r>
    <r>
      <rPr>
        <sz val="8"/>
        <color rgb="FF000000"/>
        <rFont val="Calibri"/>
        <family val="2"/>
      </rPr>
      <t xml:space="preserve">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
</t>
    </r>
    <r>
      <rPr>
        <vertAlign val="superscript"/>
        <sz val="8"/>
        <color rgb="FF000000"/>
        <rFont val="Calibri"/>
        <family val="2"/>
      </rPr>
      <t xml:space="preserve">2 </t>
    </r>
    <r>
      <rPr>
        <sz val="8"/>
        <color rgb="FF000000"/>
        <rFont val="Calibri"/>
        <family val="2"/>
      </rPr>
      <t xml:space="preserve">Certain 2022 site-level intensity values have been adjusted to reflect errors discovered on the prior reporting period's data. Of the adjustments, some of the site-level changes resulted in a significant (more than 5%) increase. The restatement at Ahafo South, due to omissions in reported energy consumption from diesel and changes to grid electricity consumption, resulted in a 10% increase. The restatement at Merian, due to omissions in reported energy consumption from diesel, resulted in an 8% increase. The restatement at Tanami, due to omissions in reported energy consumption from aviation fuel, resulted in a 7% increase. </t>
    </r>
  </si>
  <si>
    <r>
      <rPr>
        <b/>
        <sz val="10"/>
        <color rgb="FF000000"/>
        <rFont val="Calibri"/>
        <family val="2"/>
      </rPr>
      <t>Scope 1 and 2 GHG emissions intensity (t CO</t>
    </r>
    <r>
      <rPr>
        <b/>
        <vertAlign val="subscript"/>
        <sz val="10"/>
        <color rgb="FF000000"/>
        <rFont val="Calibri"/>
        <family val="2"/>
      </rPr>
      <t>2</t>
    </r>
    <r>
      <rPr>
        <b/>
        <sz val="10"/>
        <color rgb="FF000000"/>
        <rFont val="Calibri"/>
        <family val="2"/>
      </rPr>
      <t>e / GEO)</t>
    </r>
    <r>
      <rPr>
        <b/>
        <sz val="10"/>
        <color rgb="FF000000"/>
        <rFont val="Calibri"/>
        <family val="2"/>
      </rPr>
      <t>: Trailing five year data</t>
    </r>
    <r>
      <rPr>
        <b/>
        <vertAlign val="superscript"/>
        <sz val="10"/>
        <color rgb="FF000000"/>
        <rFont val="Calibri"/>
        <family val="2"/>
      </rPr>
      <t>1</t>
    </r>
  </si>
  <si>
    <r>
      <rPr>
        <vertAlign val="superscript"/>
        <sz val="8"/>
        <color rgb="FF000000"/>
        <rFont val="Calibri"/>
        <family val="2"/>
      </rPr>
      <t>1</t>
    </r>
    <r>
      <rPr>
        <sz val="8"/>
        <color rgb="FF000000"/>
        <rFont val="Calibri"/>
        <family val="2"/>
      </rPr>
      <t xml:space="preserve"> </t>
    </r>
    <r>
      <rPr>
        <sz val="8"/>
        <color rgb="FF000000"/>
        <rFont val="Calibri"/>
        <family val="2"/>
      </rPr>
      <t xml:space="preserve">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
</t>
    </r>
    <r>
      <rPr>
        <vertAlign val="superscript"/>
        <sz val="8"/>
        <color rgb="FF000000"/>
        <rFont val="Calibri"/>
        <family val="2"/>
      </rPr>
      <t xml:space="preserve">2 </t>
    </r>
    <r>
      <rPr>
        <sz val="8"/>
        <color rgb="FF000000"/>
        <rFont val="Calibri"/>
        <family val="2"/>
      </rPr>
      <t>The 2022 intensity values have been adjusted to reflect the errors in Scope 1 and 2 emissions discovered in the prior reporting period's data. The cumulative impact of the adjustments does not result in a significant (greater than 5%) change to the previously stated global intensity totals.</t>
    </r>
  </si>
  <si>
    <r>
      <rPr>
        <b/>
        <sz val="10"/>
        <color rgb="FF000000"/>
        <rFont val="Calibri"/>
        <family val="2"/>
      </rPr>
      <t>GHG emissions (t CO</t>
    </r>
    <r>
      <rPr>
        <b/>
        <vertAlign val="subscript"/>
        <sz val="10"/>
        <color rgb="FF000000"/>
        <rFont val="Calibri"/>
        <family val="2"/>
      </rPr>
      <t>2</t>
    </r>
    <r>
      <rPr>
        <b/>
        <sz val="10"/>
        <color rgb="FF000000"/>
        <rFont val="Calibri"/>
        <family val="2"/>
      </rPr>
      <t>e)</t>
    </r>
  </si>
  <si>
    <r>
      <rPr>
        <b/>
        <sz val="10"/>
        <color rgb="FF000000"/>
        <rFont val="Calibri"/>
        <family val="2"/>
      </rPr>
      <t>Scope 3 GHG emissions by Category: Trailing five year data (Mt CO</t>
    </r>
    <r>
      <rPr>
        <b/>
        <vertAlign val="subscript"/>
        <sz val="10"/>
        <color rgb="FF000000"/>
        <rFont val="Calibri"/>
        <family val="2"/>
      </rPr>
      <t>2</t>
    </r>
    <r>
      <rPr>
        <b/>
        <sz val="10"/>
        <color rgb="FF000000"/>
        <rFont val="Calibri"/>
        <family val="2"/>
      </rPr>
      <t>e)</t>
    </r>
    <r>
      <rPr>
        <b/>
        <vertAlign val="superscript"/>
        <sz val="10"/>
        <color rgb="FF000000"/>
        <rFont val="Calibri"/>
        <family val="2"/>
      </rPr>
      <t xml:space="preserve">1, </t>
    </r>
    <r>
      <rPr>
        <b/>
        <vertAlign val="superscript"/>
        <sz val="10"/>
        <color rgb="FF000000"/>
        <rFont val="Calibri"/>
        <family val="2"/>
      </rPr>
      <t xml:space="preserve"> </t>
    </r>
    <r>
      <rPr>
        <b/>
        <vertAlign val="superscript"/>
        <sz val="10"/>
        <color rgb="FF000000"/>
        <rFont val="Calibri"/>
        <family val="2"/>
      </rPr>
      <t>2</t>
    </r>
    <r>
      <rPr>
        <b/>
        <vertAlign val="superscript"/>
        <sz val="10"/>
        <color rgb="FF000000"/>
        <rFont val="Calibri"/>
        <family val="2"/>
      </rPr>
      <t>,</t>
    </r>
    <r>
      <rPr>
        <b/>
        <vertAlign val="superscript"/>
        <sz val="10"/>
        <color rgb="FF000000"/>
        <rFont val="Calibri"/>
        <family val="2"/>
      </rPr>
      <t xml:space="preserve"> 3</t>
    </r>
    <r>
      <rPr>
        <b/>
        <vertAlign val="superscript"/>
        <sz val="10"/>
        <color rgb="FF000000"/>
        <rFont val="Calibri"/>
        <family val="2"/>
      </rPr>
      <t>, 4</t>
    </r>
  </si>
  <si>
    <r>
      <rPr>
        <b/>
        <sz val="10"/>
        <color rgb="FF000000"/>
        <rFont val="Calibri"/>
        <family val="2"/>
      </rPr>
      <t xml:space="preserve">2022 </t>
    </r>
    <r>
      <rPr>
        <b/>
        <vertAlign val="superscript"/>
        <sz val="10"/>
        <color rgb="FF000000"/>
        <rFont val="Calibri"/>
        <family val="2"/>
      </rPr>
      <t>4</t>
    </r>
  </si>
  <si>
    <r>
      <rPr>
        <b/>
        <sz val="10"/>
        <color rgb="FF000000"/>
        <rFont val="Calibri"/>
        <family val="2"/>
      </rPr>
      <t>Category 1</t>
    </r>
    <r>
      <rPr>
        <sz val="10"/>
        <color rgb="FF000000"/>
        <rFont val="Calibri"/>
        <family val="2"/>
      </rPr>
      <t>: Purchased goods and services</t>
    </r>
  </si>
  <si>
    <r>
      <rPr>
        <b/>
        <sz val="10"/>
        <color rgb="FF000000"/>
        <rFont val="Calibri"/>
        <family val="2"/>
      </rPr>
      <t xml:space="preserve">Category 3: </t>
    </r>
    <r>
      <rPr>
        <sz val="10"/>
        <color rgb="FF000000"/>
        <rFont val="Calibri"/>
        <family val="2"/>
      </rPr>
      <t>Fuel and energy related activities</t>
    </r>
    <r>
      <rPr>
        <vertAlign val="superscript"/>
        <sz val="10"/>
        <color rgb="FF000000"/>
        <rFont val="Calibri"/>
        <family val="2"/>
      </rPr>
      <t>5</t>
    </r>
  </si>
  <si>
    <r>
      <rPr>
        <b/>
        <sz val="10"/>
        <color rgb="FF000000"/>
        <rFont val="Calibri"/>
        <family val="2"/>
      </rPr>
      <t xml:space="preserve">Category 8: </t>
    </r>
    <r>
      <rPr>
        <sz val="10"/>
        <color rgb="FF000000"/>
        <rFont val="Calibri"/>
        <family val="2"/>
      </rPr>
      <t>Upstream leased assets</t>
    </r>
    <r>
      <rPr>
        <vertAlign val="superscript"/>
        <sz val="10"/>
        <color rgb="FF000000"/>
        <rFont val="Calibri"/>
        <family val="2"/>
      </rPr>
      <t>5</t>
    </r>
  </si>
  <si>
    <r>
      <rPr>
        <b/>
        <sz val="10"/>
        <color rgb="FF000000"/>
        <rFont val="Calibri"/>
        <family val="2"/>
      </rPr>
      <t xml:space="preserve">Category 9: </t>
    </r>
    <r>
      <rPr>
        <sz val="10"/>
        <color rgb="FF000000"/>
        <rFont val="Calibri"/>
        <family val="2"/>
      </rPr>
      <t>Downstream transport</t>
    </r>
    <r>
      <rPr>
        <vertAlign val="superscript"/>
        <sz val="10"/>
        <color rgb="FF000000"/>
        <rFont val="Calibri"/>
        <family val="2"/>
      </rPr>
      <t>6</t>
    </r>
  </si>
  <si>
    <r>
      <rPr>
        <b/>
        <sz val="10"/>
        <color rgb="FF000000"/>
        <rFont val="Calibri"/>
        <family val="2"/>
      </rPr>
      <t>Category 10:</t>
    </r>
    <r>
      <rPr>
        <sz val="10"/>
        <color rgb="FF000000"/>
        <rFont val="Calibri"/>
        <family val="2"/>
      </rPr>
      <t xml:space="preserve"> Processing of sold products</t>
    </r>
    <r>
      <rPr>
        <vertAlign val="superscript"/>
        <sz val="10"/>
        <color rgb="FF000000"/>
        <rFont val="Calibri"/>
        <family val="2"/>
      </rPr>
      <t>7</t>
    </r>
  </si>
  <si>
    <r>
      <rPr>
        <b/>
        <sz val="10"/>
        <color rgb="FF000000"/>
        <rFont val="Calibri"/>
        <family val="2"/>
      </rPr>
      <t xml:space="preserve">Category 11: </t>
    </r>
    <r>
      <rPr>
        <sz val="10"/>
        <color rgb="FF000000"/>
        <rFont val="Calibri"/>
        <family val="2"/>
      </rPr>
      <t>Use of sold products</t>
    </r>
    <r>
      <rPr>
        <vertAlign val="superscript"/>
        <sz val="10"/>
        <color rgb="FF000000"/>
        <rFont val="Calibri"/>
        <family val="2"/>
      </rPr>
      <t>6</t>
    </r>
  </si>
  <si>
    <r>
      <rPr>
        <b/>
        <sz val="10"/>
        <color rgb="FF000000"/>
        <rFont val="Calibri"/>
        <family val="2"/>
      </rPr>
      <t>Category 12:</t>
    </r>
    <r>
      <rPr>
        <sz val="10"/>
        <color rgb="FF000000"/>
        <rFont val="Calibri"/>
        <family val="2"/>
      </rPr>
      <t xml:space="preserve"> End-of-life of sold products</t>
    </r>
    <r>
      <rPr>
        <vertAlign val="superscript"/>
        <sz val="10"/>
        <color rgb="FF000000"/>
        <rFont val="Calibri"/>
        <family val="2"/>
      </rPr>
      <t>6</t>
    </r>
  </si>
  <si>
    <r>
      <rPr>
        <b/>
        <sz val="10"/>
        <color rgb="FF000000"/>
        <rFont val="Calibri"/>
        <family val="2"/>
      </rPr>
      <t>Category 13:</t>
    </r>
    <r>
      <rPr>
        <sz val="10"/>
        <color rgb="FF000000"/>
        <rFont val="Calibri"/>
        <family val="2"/>
      </rPr>
      <t xml:space="preserve"> Downstream leased assets</t>
    </r>
    <r>
      <rPr>
        <vertAlign val="superscript"/>
        <sz val="10"/>
        <color rgb="FF000000"/>
        <rFont val="Calibri"/>
        <family val="2"/>
      </rPr>
      <t>6</t>
    </r>
  </si>
  <si>
    <r>
      <rPr>
        <b/>
        <sz val="10"/>
        <color rgb="FF000000"/>
        <rFont val="Calibri"/>
        <family val="2"/>
      </rPr>
      <t>Category 14:</t>
    </r>
    <r>
      <rPr>
        <sz val="10"/>
        <color rgb="FF000000"/>
        <rFont val="Calibri"/>
        <family val="2"/>
      </rPr>
      <t xml:space="preserve"> Franchises</t>
    </r>
    <r>
      <rPr>
        <vertAlign val="superscript"/>
        <sz val="10"/>
        <color rgb="FF000000"/>
        <rFont val="Calibri"/>
        <family val="2"/>
      </rPr>
      <t>6</t>
    </r>
  </si>
  <si>
    <r>
      <rPr>
        <b/>
        <sz val="10"/>
        <color rgb="FF000000"/>
        <rFont val="Calibri"/>
        <family val="2"/>
      </rPr>
      <t>Total estimated Scope 3 GHG emissions</t>
    </r>
    <r>
      <rPr>
        <b/>
        <vertAlign val="superscript"/>
        <sz val="10"/>
        <color rgb="FF000000"/>
        <rFont val="Calibri"/>
        <family val="2"/>
      </rPr>
      <t>5</t>
    </r>
  </si>
  <si>
    <r>
      <rPr>
        <vertAlign val="superscript"/>
        <sz val="8"/>
        <color rgb="FF000000"/>
        <rFont val="Calibri"/>
        <family val="2"/>
      </rPr>
      <t xml:space="preserve">
</t>
    </r>
    <r>
      <rPr>
        <vertAlign val="superscript"/>
        <sz val="8"/>
        <color rgb="FF000000"/>
        <rFont val="Calibri"/>
        <family val="2"/>
      </rPr>
      <t>1</t>
    </r>
    <r>
      <rPr>
        <sz val="8"/>
        <color rgb="FF000000"/>
        <rFont val="Calibri"/>
        <family val="2"/>
      </rPr>
      <t xml:space="preserve"> </t>
    </r>
    <r>
      <rPr>
        <sz val="8"/>
        <color rgb="FF000000"/>
        <rFont val="Calibri"/>
        <family val="2"/>
      </rPr>
      <t xml:space="preserve">For comparability purposes, and to align with GHG Protocol Corporate Accounting and Reporting Standards for Merger and Acquisition year reporting guidance, all trailing year calculations include available data for the full calendar years from former Goldcorp assets (acquired by Newmont on April 18, 2019) and former Newcrest assets (acquired by Newmont on November 6, 2023) still currently owned and operated by Newmont.
</t>
    </r>
    <r>
      <rPr>
        <vertAlign val="superscript"/>
        <sz val="8"/>
        <color rgb="FF000000"/>
        <rFont val="Calibri"/>
        <family val="2"/>
      </rPr>
      <t>2</t>
    </r>
    <r>
      <rPr>
        <sz val="8"/>
        <color rgb="FF000000"/>
        <rFont val="Calibri"/>
        <family val="2"/>
      </rPr>
      <t xml:space="preserve"> </t>
    </r>
    <r>
      <rPr>
        <sz val="8"/>
        <color rgb="FF000000"/>
        <rFont val="Calibri"/>
        <family val="2"/>
      </rPr>
      <t>I</t>
    </r>
    <r>
      <rPr>
        <sz val="8"/>
        <color rgb="FF000000"/>
        <rFont val="Calibri"/>
        <family val="2"/>
      </rPr>
      <t xml:space="preserve">n alignment with the GHG Protocol's Technical Guidance for Calculating Scope 3 Emissions, version 1.0, </t>
    </r>
    <r>
      <rPr>
        <sz val="8"/>
        <color rgb="FF000000"/>
        <rFont val="Calibri"/>
        <family val="2"/>
      </rPr>
      <t xml:space="preserve">all spend calculations are adjusted based on inflation and exchange rate to reflect the unit and year of the spend-based emissions factor. This adjustment depends on the reporting year and US EPA database version used.
</t>
    </r>
    <r>
      <rPr>
        <vertAlign val="superscript"/>
        <sz val="8"/>
        <color rgb="FF000000"/>
        <rFont val="Calibri"/>
        <family val="2"/>
      </rPr>
      <t xml:space="preserve">3 </t>
    </r>
    <r>
      <rPr>
        <sz val="8"/>
        <color rgb="FF000000"/>
        <rFont val="Calibri"/>
        <family val="2"/>
      </rPr>
      <t xml:space="preserve">For former Newcrest assets where historical data was unavailable, </t>
    </r>
    <r>
      <rPr>
        <sz val="8"/>
        <color rgb="FF000000"/>
        <rFont val="Calibri"/>
        <family val="2"/>
      </rPr>
      <t>emissions were estimated based on production</t>
    </r>
    <r>
      <rPr>
        <sz val="8"/>
        <color rgb="FF000000"/>
        <rFont val="Calibri"/>
        <family val="2"/>
      </rPr>
      <t xml:space="preserve">.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 xml:space="preserve">Newmont works to continuously improve our data integrity and input allocation among the Scope 3 categories. Certain categories of spend data have been adjusted to better match reporting guidelines and Newmont’s reporting methodology.
</t>
    </r>
    <r>
      <rPr>
        <vertAlign val="superscript"/>
        <sz val="8"/>
        <color rgb="FF000000"/>
        <rFont val="Calibri"/>
        <family val="2"/>
      </rPr>
      <t xml:space="preserve">5 </t>
    </r>
    <r>
      <rPr>
        <sz val="8"/>
        <color rgb="FF000000"/>
        <rFont val="Calibri"/>
        <family val="2"/>
      </rPr>
      <t xml:space="preserve">The </t>
    </r>
    <r>
      <rPr>
        <sz val="8"/>
        <color rgb="FF000000"/>
        <rFont val="Calibri"/>
        <family val="2"/>
      </rPr>
      <t xml:space="preserve">2022 values for emissions from Categories 1 and 3 have been adjusted to reflect errors discovered on the prior reporting period's data. The impact of the adjustments does not result in a significant (greater than 5%) change to the respective previously stated global totals.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 xml:space="preserve">Categories listed as "not relevant" have been assessed as such based on the relevance test set out within the GHG Protocol Corporate Accounting and Reporting Standard.
</t>
    </r>
    <r>
      <rPr>
        <vertAlign val="superscript"/>
        <sz val="8"/>
        <color rgb="FF000000"/>
        <rFont val="Calibri"/>
        <family val="2"/>
      </rPr>
      <t>7</t>
    </r>
    <r>
      <rPr>
        <sz val="8"/>
        <color rgb="FF000000"/>
        <rFont val="Calibri"/>
        <family val="2"/>
      </rPr>
      <t xml:space="preserve"> In 2019-2021, emissions associated with the sale of gold ounces from Nevada Gold Mines were included in our Category 10 calculation, but have been excluded in the calculation beginning in 2022 and will continue to be excluded in line with our current organizational boundary.</t>
    </r>
  </si>
  <si>
    <t xml:space="preserve">ENVIRONMENT: SIGNIFICANT MATERIALS CONSUMPTION </t>
  </si>
  <si>
    <r>
      <rPr>
        <b/>
        <sz val="10"/>
        <color rgb="FF000000"/>
        <rFont val="Calibri"/>
        <family val="2"/>
      </rPr>
      <t>Estimated materials usage: Site level</t>
    </r>
  </si>
  <si>
    <t>Grinding media</t>
  </si>
  <si>
    <t>Sodium cyanide (NaCN)</t>
  </si>
  <si>
    <t>Lime</t>
  </si>
  <si>
    <t>Cement</t>
  </si>
  <si>
    <r>
      <rPr>
        <b/>
        <sz val="10"/>
        <color rgb="FF000000"/>
        <rFont val="Calibri"/>
        <family val="2"/>
      </rPr>
      <t>Tires</t>
    </r>
    <r>
      <rPr>
        <b/>
        <vertAlign val="superscript"/>
        <sz val="10"/>
        <color rgb="FF000000"/>
        <rFont val="Calibri"/>
        <family val="2"/>
      </rPr>
      <t>1</t>
    </r>
  </si>
  <si>
    <t>Lubricants</t>
  </si>
  <si>
    <t>Hydrochloric acid (HCL)</t>
  </si>
  <si>
    <r>
      <rPr>
        <b/>
        <sz val="10"/>
        <color rgb="FF000000"/>
        <rFont val="Calibri"/>
        <family val="2"/>
      </rPr>
      <t>Sulfuric acid (H</t>
    </r>
    <r>
      <rPr>
        <b/>
        <vertAlign val="subscript"/>
        <sz val="10"/>
        <color rgb="FF000000"/>
        <rFont val="Calibri"/>
        <family val="2"/>
      </rPr>
      <t>2</t>
    </r>
    <r>
      <rPr>
        <b/>
        <sz val="10"/>
        <color rgb="FF000000"/>
        <rFont val="Calibri"/>
        <family val="2"/>
      </rPr>
      <t>SO</t>
    </r>
    <r>
      <rPr>
        <b/>
        <vertAlign val="subscript"/>
        <sz val="10"/>
        <color rgb="FF000000"/>
        <rFont val="Calibri"/>
        <family val="2"/>
      </rPr>
      <t>4</t>
    </r>
    <r>
      <rPr>
        <b/>
        <sz val="10"/>
        <color rgb="FF000000"/>
        <rFont val="Calibri"/>
        <family val="2"/>
      </rPr>
      <t>)</t>
    </r>
  </si>
  <si>
    <r>
      <rPr>
        <b/>
        <sz val="10"/>
        <color rgb="FF000000"/>
        <rFont val="Calibri"/>
        <family val="2"/>
      </rPr>
      <t>Nitric acid (HNO</t>
    </r>
    <r>
      <rPr>
        <b/>
        <vertAlign val="subscript"/>
        <sz val="10"/>
        <color rgb="FF000000"/>
        <rFont val="Calibri"/>
        <family val="2"/>
      </rPr>
      <t>3</t>
    </r>
    <r>
      <rPr>
        <b/>
        <sz val="10"/>
        <color rgb="FF000000"/>
        <rFont val="Calibri"/>
        <family val="2"/>
      </rPr>
      <t>)</t>
    </r>
  </si>
  <si>
    <t>Tonnes</t>
  </si>
  <si>
    <t>Kiloliters</t>
  </si>
  <si>
    <t>Liters</t>
  </si>
  <si>
    <r>
      <rPr>
        <vertAlign val="superscript"/>
        <sz val="8"/>
        <color rgb="FF000000"/>
        <rFont val="Calibri"/>
        <family val="2"/>
      </rPr>
      <t xml:space="preserve">1 </t>
    </r>
    <r>
      <rPr>
        <sz val="8"/>
        <color rgb="FF000000"/>
        <rFont val="Calibri"/>
        <family val="2"/>
      </rPr>
      <t>Calculated tire weight is derived from the purchase of new tires, and does not include reused or refurbished tires.</t>
    </r>
  </si>
  <si>
    <t>Units</t>
  </si>
  <si>
    <r>
      <rPr>
        <b/>
        <sz val="10"/>
        <color rgb="FF000000"/>
        <rFont val="Calibri"/>
        <family val="2"/>
      </rPr>
      <t xml:space="preserve">2021 </t>
    </r>
    <r>
      <rPr>
        <b/>
        <vertAlign val="superscript"/>
        <sz val="10"/>
        <color rgb="FF000000"/>
        <rFont val="Calibri"/>
        <family val="2"/>
      </rPr>
      <t>1</t>
    </r>
  </si>
  <si>
    <t>thousand tonnes</t>
  </si>
  <si>
    <t>Sodium cyanide</t>
  </si>
  <si>
    <t>Tires</t>
  </si>
  <si>
    <t>thousand kL</t>
  </si>
  <si>
    <r>
      <rPr>
        <sz val="10"/>
        <color rgb="FF000000"/>
        <rFont val="Calibri"/>
        <family val="2"/>
      </rPr>
      <t>Sulfuric acid (H</t>
    </r>
    <r>
      <rPr>
        <vertAlign val="subscript"/>
        <sz val="10"/>
        <color rgb="FF000000"/>
        <rFont val="Calibri"/>
        <family val="2"/>
      </rPr>
      <t>2</t>
    </r>
    <r>
      <rPr>
        <sz val="10"/>
        <color rgb="FF000000"/>
        <rFont val="Calibri"/>
        <family val="2"/>
      </rPr>
      <t>SO</t>
    </r>
    <r>
      <rPr>
        <vertAlign val="subscript"/>
        <sz val="10"/>
        <color rgb="FF000000"/>
        <rFont val="Calibri"/>
        <family val="2"/>
      </rPr>
      <t>4</t>
    </r>
    <r>
      <rPr>
        <sz val="10"/>
        <color rgb="FF000000"/>
        <rFont val="Calibri"/>
        <family val="2"/>
      </rPr>
      <t>)</t>
    </r>
  </si>
  <si>
    <r>
      <rPr>
        <sz val="10"/>
        <color rgb="FF000000"/>
        <rFont val="Calibri"/>
        <family val="2"/>
      </rPr>
      <t>Nitric acid (HNO</t>
    </r>
    <r>
      <rPr>
        <vertAlign val="subscript"/>
        <sz val="10"/>
        <color rgb="FF000000"/>
        <rFont val="Calibri"/>
        <family val="2"/>
      </rPr>
      <t>3</t>
    </r>
    <r>
      <rPr>
        <sz val="10"/>
        <color rgb="FF000000"/>
        <rFont val="Calibri"/>
        <family val="2"/>
      </rPr>
      <t>)</t>
    </r>
    <r>
      <rPr>
        <vertAlign val="superscript"/>
        <sz val="10"/>
        <color rgb="FF000000"/>
        <rFont val="Calibri"/>
        <family val="2"/>
      </rPr>
      <t>2</t>
    </r>
  </si>
  <si>
    <r>
      <rPr>
        <vertAlign val="superscript"/>
        <sz val="8"/>
        <color rgb="FF000000"/>
        <rFont val="Calibri"/>
        <family val="2"/>
      </rPr>
      <t>1</t>
    </r>
    <r>
      <rPr>
        <vertAlign val="superscript"/>
        <sz val="8"/>
        <color rgb="FF000000"/>
        <rFont val="Calibri"/>
        <family val="2"/>
      </rPr>
      <t xml:space="preserve"> </t>
    </r>
    <r>
      <rPr>
        <sz val="8"/>
        <color rgb="FF000000"/>
        <rFont val="Calibri"/>
        <family val="2"/>
      </rPr>
      <t>A restatement has been made for the g</t>
    </r>
    <r>
      <rPr>
        <sz val="8"/>
        <color rgb="FF000000"/>
        <rFont val="Calibri"/>
        <family val="2"/>
      </rPr>
      <t xml:space="preserve">rinding media volumes reported in 2021 due to an error in reporting at our Boddington site. The updated value resulted in just under a 5% increase globally, though it resulted in a 27% increase for the site's reported value. The error in reporting was the result </t>
    </r>
    <r>
      <rPr>
        <sz val="8"/>
        <color rgb="FF000000"/>
        <rFont val="Calibri"/>
        <family val="2"/>
      </rPr>
      <t xml:space="preserve">of </t>
    </r>
    <r>
      <rPr>
        <sz val="8"/>
        <color rgb="FF000000"/>
        <rFont val="Calibri"/>
        <family val="2"/>
      </rPr>
      <t>excluding grinding media purchased as direct charge from a secondary supplier related to COVID-19 supply chain constrain</t>
    </r>
    <r>
      <rPr>
        <sz val="8"/>
        <color rgb="FF000000"/>
        <rFont val="Calibri"/>
        <family val="2"/>
      </rPr>
      <t>t</t>
    </r>
    <r>
      <rPr>
        <sz val="8"/>
        <color rgb="FF000000"/>
        <rFont val="Calibri"/>
        <family val="2"/>
      </rPr>
      <t xml:space="preserve">s with the incumbent provider.
</t>
    </r>
    <r>
      <rPr>
        <vertAlign val="superscript"/>
        <sz val="8"/>
        <color rgb="FF000000"/>
        <rFont val="Calibri"/>
        <family val="2"/>
      </rPr>
      <t xml:space="preserve">2 </t>
    </r>
    <r>
      <rPr>
        <sz val="8"/>
        <color rgb="FF000000"/>
        <rFont val="Calibri"/>
        <family val="2"/>
      </rPr>
      <t>A restatement has been made for tire weight reported in 2022 due to an omission in reporting at our</t>
    </r>
    <r>
      <rPr>
        <sz val="8"/>
        <color rgb="FF000000"/>
        <rFont val="Calibri"/>
        <family val="2"/>
      </rPr>
      <t xml:space="preserve"> CC&amp;V and</t>
    </r>
    <r>
      <rPr>
        <sz val="8"/>
        <color rgb="FF000000"/>
        <rFont val="Calibri"/>
        <family val="2"/>
      </rPr>
      <t xml:space="preserve"> </t>
    </r>
    <r>
      <rPr>
        <sz val="8"/>
        <color rgb="FF000000"/>
        <rFont val="Calibri"/>
        <family val="2"/>
      </rPr>
      <t>Peñasquito</t>
    </r>
    <r>
      <rPr>
        <sz val="8"/>
        <color rgb="FF000000"/>
        <rFont val="Calibri"/>
        <family val="2"/>
      </rPr>
      <t xml:space="preserve"> site</t>
    </r>
    <r>
      <rPr>
        <sz val="8"/>
        <color rgb="FF000000"/>
        <rFont val="Calibri"/>
        <family val="2"/>
      </rPr>
      <t>s</t>
    </r>
    <r>
      <rPr>
        <sz val="8"/>
        <color rgb="FF000000"/>
        <rFont val="Calibri"/>
        <family val="2"/>
      </rPr>
      <t xml:space="preserve">. The updated value resulted in less than a </t>
    </r>
    <r>
      <rPr>
        <sz val="8"/>
        <color rgb="FF000000"/>
        <rFont val="Calibri"/>
        <family val="2"/>
      </rPr>
      <t>1%</t>
    </r>
    <r>
      <rPr>
        <sz val="8"/>
        <color rgb="FF000000"/>
        <rFont val="Calibri"/>
        <family val="2"/>
      </rPr>
      <t xml:space="preserve"> </t>
    </r>
    <r>
      <rPr>
        <sz val="8"/>
        <color rgb="FF000000"/>
        <rFont val="Calibri"/>
        <family val="2"/>
      </rPr>
      <t>increase globally</t>
    </r>
    <r>
      <rPr>
        <sz val="8"/>
        <color rgb="FF000000"/>
        <rFont val="Calibri"/>
        <family val="2"/>
      </rPr>
      <t>, though it resulted in a 9%</t>
    </r>
    <r>
      <rPr>
        <sz val="8"/>
        <color rgb="FF000000"/>
        <rFont val="Calibri"/>
        <family val="2"/>
      </rPr>
      <t xml:space="preserve"> and 1%</t>
    </r>
    <r>
      <rPr>
        <sz val="8"/>
        <color rgb="FF000000"/>
        <rFont val="Calibri"/>
        <family val="2"/>
      </rPr>
      <t xml:space="preserve"> increase </t>
    </r>
    <r>
      <rPr>
        <sz val="8"/>
        <color rgb="FF000000"/>
        <rFont val="Calibri"/>
        <family val="2"/>
      </rPr>
      <t>in</t>
    </r>
    <r>
      <rPr>
        <sz val="8"/>
        <color rgb="FF000000"/>
        <rFont val="Calibri"/>
        <family val="2"/>
      </rPr>
      <t xml:space="preserve"> CC&amp;</t>
    </r>
    <r>
      <rPr>
        <sz val="8"/>
        <color rgb="FF000000"/>
        <rFont val="Calibri"/>
        <family val="2"/>
      </rPr>
      <t xml:space="preserve">V and </t>
    </r>
    <r>
      <rPr>
        <sz val="8"/>
        <color rgb="FF000000"/>
        <rFont val="Calibri"/>
        <family val="2"/>
      </rPr>
      <t>Peñasquito</t>
    </r>
    <r>
      <rPr>
        <sz val="8"/>
        <color rgb="FF000000"/>
        <rFont val="Calibri"/>
        <family val="2"/>
      </rPr>
      <t>'s</t>
    </r>
    <r>
      <rPr>
        <sz val="8"/>
        <color rgb="FF000000"/>
        <rFont val="Calibri"/>
        <family val="2"/>
      </rPr>
      <t xml:space="preserve"> reported tire weight</t>
    </r>
    <r>
      <rPr>
        <sz val="8"/>
        <color rgb="FF000000"/>
        <rFont val="Calibri"/>
        <family val="2"/>
      </rPr>
      <t>s</t>
    </r>
    <r>
      <rPr>
        <sz val="8"/>
        <color rgb="FF000000"/>
        <rFont val="Calibri"/>
        <family val="2"/>
      </rPr>
      <t xml:space="preserve"> </t>
    </r>
    <r>
      <rPr>
        <sz val="8"/>
        <color rgb="FF000000"/>
        <rFont val="Calibri"/>
        <family val="2"/>
      </rPr>
      <t>respectively.</t>
    </r>
  </si>
  <si>
    <t>ENVIRONMENT: SPILLS</t>
  </si>
  <si>
    <r>
      <rPr>
        <b/>
        <sz val="10"/>
        <color rgb="FF000000"/>
        <rFont val="Calibri"/>
        <family val="2"/>
      </rPr>
      <t>Environmental spills by number of incidents: Trailing five year data</t>
    </r>
    <r>
      <rPr>
        <b/>
        <vertAlign val="superscript"/>
        <sz val="10"/>
        <color rgb="FF000000"/>
        <rFont val="Calibri"/>
        <family val="2"/>
      </rPr>
      <t>1</t>
    </r>
  </si>
  <si>
    <t>Total environmental spills on site</t>
  </si>
  <si>
    <t>Total environmental spills off site</t>
  </si>
  <si>
    <t>Total environmental spills</t>
  </si>
  <si>
    <r>
      <rPr>
        <sz val="10"/>
        <color rgb="FF000000"/>
        <rFont val="Calibri"/>
        <family val="2"/>
      </rPr>
      <t>Cyanide (Process Solution) spills</t>
    </r>
    <r>
      <rPr>
        <vertAlign val="superscript"/>
        <sz val="10"/>
        <color rgb="FF000000"/>
        <rFont val="Calibri"/>
        <family val="2"/>
      </rPr>
      <t>2,3</t>
    </r>
  </si>
  <si>
    <t>Mercury spills</t>
  </si>
  <si>
    <t>Significant hydrocarbon spills</t>
  </si>
  <si>
    <t>Significant chemical spills</t>
  </si>
  <si>
    <t>Other significant spills</t>
  </si>
  <si>
    <r>
      <rPr>
        <vertAlign val="superscript"/>
        <sz val="8"/>
        <color rgb="FF000000"/>
        <rFont val="Calibri"/>
        <family val="2"/>
      </rPr>
      <t>1</t>
    </r>
    <r>
      <rPr>
        <sz val="8"/>
        <color rgb="FF000000"/>
        <rFont val="Calibri"/>
        <family val="2"/>
      </rPr>
      <t xml:space="preserve"> Newmont defines "spills" as the loss of materials (tailings, solution, effluent, etc.) outside of engineered containment. Newmont assesses environmental events such as a spill on a scale of 1-5 with level 3 and above considered "significant". To drive consistency of reporting, an Environmental Impact calculator has been implemented to assess the gravity (e.g. contaminant/concentration), extent (e.g. volume) and vulnerability (environment receptors) of the impact. 
</t>
    </r>
    <r>
      <rPr>
        <vertAlign val="superscript"/>
        <sz val="8"/>
        <color rgb="FF000000"/>
        <rFont val="Calibri"/>
        <family val="2"/>
      </rPr>
      <t>2</t>
    </r>
    <r>
      <rPr>
        <sz val="8"/>
        <color rgb="FF000000"/>
        <rFont val="Calibri"/>
        <family val="2"/>
      </rPr>
      <t xml:space="preserve"> Newmont reports all spills of process solutions, tailings and slurry containing cyanide. The Cyanide Code defines process solutions as solutions with a concentration of 0.5 mg/L Weak Acid Dissociable (WAD) cyanide or greater.
</t>
    </r>
    <r>
      <rPr>
        <vertAlign val="superscript"/>
        <sz val="8"/>
        <color rgb="FF000000"/>
        <rFont val="Calibri"/>
        <family val="2"/>
      </rPr>
      <t>3</t>
    </r>
    <r>
      <rPr>
        <sz val="8"/>
        <color rgb="FF000000"/>
        <rFont val="Calibri"/>
        <family val="2"/>
      </rPr>
      <t xml:space="preserve"> The International Cyanide Management Code has established notification requirements for "Significant Cyanide Incidents" as defined in their </t>
    </r>
    <r>
      <rPr>
        <sz val="8"/>
        <color rgb="FF000000"/>
        <rFont val="Calibri"/>
        <family val="2"/>
      </rPr>
      <t>Definitions and Acronyms</t>
    </r>
    <r>
      <rPr>
        <sz val="8"/>
        <color rgb="FF000000"/>
        <rFont val="Calibri"/>
        <family val="2"/>
      </rPr>
      <t xml:space="preserve"> resource. Newmont did not have any events which triggered the ICMI requirements for notification.</t>
    </r>
  </si>
  <si>
    <r>
      <rPr>
        <b/>
        <sz val="10"/>
        <color rgb="FF000000"/>
        <rFont val="Calibri"/>
        <family val="2"/>
      </rPr>
      <t>Environmental spills by estimated volume: Trailing five year data</t>
    </r>
    <r>
      <rPr>
        <b/>
        <vertAlign val="superscript"/>
        <sz val="10"/>
        <color rgb="FF000000"/>
        <rFont val="Calibri"/>
        <family val="2"/>
      </rPr>
      <t>1, 2, 3</t>
    </r>
  </si>
  <si>
    <r>
      <rPr>
        <sz val="10"/>
        <color rgb="FF000000"/>
        <rFont val="Calibri"/>
        <family val="2"/>
      </rPr>
      <t>Cyanide (Process Solution) spills (kiloliters)</t>
    </r>
    <r>
      <rPr>
        <vertAlign val="superscript"/>
        <sz val="10"/>
        <color rgb="FF000000"/>
        <rFont val="Calibri"/>
        <family val="2"/>
      </rPr>
      <t>4</t>
    </r>
  </si>
  <si>
    <t>Mercury spills (kilograms)</t>
  </si>
  <si>
    <t>Significant hydrocarbon spills (kiloliters)</t>
  </si>
  <si>
    <t>Significant chemical spills (kiloliters)</t>
  </si>
  <si>
    <t>Other significant spills (kiloliters)</t>
  </si>
  <si>
    <r>
      <rPr>
        <vertAlign val="superscript"/>
        <sz val="8"/>
        <color rgb="FF000000"/>
        <rFont val="Calibri"/>
        <family val="2"/>
      </rPr>
      <t>1</t>
    </r>
    <r>
      <rPr>
        <sz val="8"/>
        <color rgb="FF000000"/>
        <rFont val="Calibri"/>
        <family val="2"/>
      </rPr>
      <t xml:space="preserve"> Newmont defines "spills" as the loss of materials (tailings, solutions, effluent, etc.) outside of engineered containment.
</t>
    </r>
    <r>
      <rPr>
        <vertAlign val="superscript"/>
        <sz val="8"/>
        <color rgb="FF000000"/>
        <rFont val="Calibri"/>
        <family val="2"/>
      </rPr>
      <t>2</t>
    </r>
    <r>
      <rPr>
        <sz val="8"/>
        <color rgb="FF000000"/>
        <rFont val="Calibri"/>
        <family val="2"/>
      </rPr>
      <t xml:space="preserve"> Newmont assesses environmental events such as a spill on a scale of 1-5 with level 3 and above considered "significant". To drive consistency of reporting, an Environmental Impact calculator has been implemented to assess the gravity (e.g. contaminant/concentration), extent (e.g. volume) and vulnerability (environment receptors) of the impact..
</t>
    </r>
    <r>
      <rPr>
        <vertAlign val="superscript"/>
        <sz val="8"/>
        <color rgb="FF000000"/>
        <rFont val="Calibri"/>
        <family val="2"/>
      </rPr>
      <t>3</t>
    </r>
    <r>
      <rPr>
        <sz val="8"/>
        <color rgb="FF000000"/>
        <rFont val="Calibri"/>
        <family val="2"/>
      </rPr>
      <t xml:space="preserve">  Data is normalized using global unit of measure conversion formulas and estimated concentration calculations based on data reported in internal reporting systems.
</t>
    </r>
    <r>
      <rPr>
        <vertAlign val="superscript"/>
        <sz val="8"/>
        <color rgb="FF000000"/>
        <rFont val="Calibri"/>
        <family val="2"/>
      </rPr>
      <t xml:space="preserve">4  </t>
    </r>
    <r>
      <rPr>
        <sz val="8"/>
        <color rgb="FF000000"/>
        <rFont val="Calibri"/>
        <family val="2"/>
      </rPr>
      <t>Newmont reports all spills of process solutions, tailings and slurry containing cyanide. The Cyanide Code defines process solutions as solutions with a concentration of 0.5 mg/L Weak Acid Dissociable (WAD) cyanide or greater. All cyanide related spills remained on site.</t>
    </r>
  </si>
  <si>
    <t xml:space="preserve">ENVIRONMENT: TAILINGS MANAGEMENT </t>
  </si>
  <si>
    <r>
      <rPr>
        <b/>
        <sz val="10"/>
        <color rgb="FF000000"/>
        <rFont val="Calibri"/>
        <family val="2"/>
      </rPr>
      <t>Tailings generated and managed: Site level (</t>
    </r>
    <r>
      <rPr>
        <b/>
        <sz val="10"/>
        <color rgb="FF000000"/>
        <rFont val="Calibri"/>
        <family val="2"/>
      </rPr>
      <t>ton</t>
    </r>
    <r>
      <rPr>
        <b/>
        <sz val="10"/>
        <color rgb="FF000000"/>
        <rFont val="Calibri"/>
        <family val="2"/>
      </rPr>
      <t>ne</t>
    </r>
    <r>
      <rPr>
        <b/>
        <sz val="10"/>
        <color rgb="FF000000"/>
        <rFont val="Calibri"/>
        <family val="2"/>
      </rPr>
      <t>s)</t>
    </r>
  </si>
  <si>
    <t>Management method</t>
  </si>
  <si>
    <t xml:space="preserve">Total produced and managed </t>
  </si>
  <si>
    <t>Surface tailings</t>
  </si>
  <si>
    <t>Open pit tailings</t>
  </si>
  <si>
    <t>Sub-surface tailings</t>
  </si>
  <si>
    <t>Total waste rock generated</t>
  </si>
  <si>
    <t xml:space="preserve">Total tailings produced and managed </t>
  </si>
  <si>
    <r>
      <rPr>
        <b/>
        <sz val="10"/>
        <color rgb="FF000000"/>
        <rFont val="Calibri"/>
        <family val="2"/>
      </rPr>
      <t>Tailings inventory and disclosures</t>
    </r>
    <r>
      <rPr>
        <b/>
        <vertAlign val="superscript"/>
        <sz val="10"/>
        <color rgb="FF000000"/>
        <rFont val="Calibri"/>
        <family val="2"/>
      </rPr>
      <t>1</t>
    </r>
  </si>
  <si>
    <r>
      <rPr>
        <b/>
        <sz val="10"/>
        <color rgb="FF000000"/>
        <rFont val="Calibri"/>
        <family val="2"/>
      </rPr>
      <t>Church of England disclosures:</t>
    </r>
    <r>
      <rPr>
        <sz val="10"/>
        <color rgb="FF000000"/>
        <rFont val="Calibri"/>
        <family val="2"/>
      </rPr>
      <t xml:space="preserve"> Newmont developed a disclosure in response to the Church of England April 10, 2019 request for information concerning tailings dam management. This disclosure provides Newmont's approach to tailings; communications and risk management; a description of updates to our approach following recent disasters; and an inventory of tailings dam facilities for our operating sites, joint ventures, subsidiaries, and legacy sites as of July 1, 2019.
</t>
    </r>
    <r>
      <rPr>
        <sz val="10"/>
        <color rgb="FF000000"/>
        <rFont val="Calibri"/>
        <family val="2"/>
      </rPr>
      <t xml:space="preserve">
</t>
    </r>
    <r>
      <rPr>
        <sz val="10"/>
        <color rgb="FF000000"/>
        <rFont val="Calibri"/>
        <family val="2"/>
      </rPr>
      <t>Please see Newmont's tailings inventory on our website for current information, which includes updates to those provided in the COE disclosures.</t>
    </r>
  </si>
  <si>
    <r>
      <rPr>
        <b/>
        <sz val="10"/>
        <color rgb="FF000000"/>
        <rFont val="Calibri"/>
        <family val="2"/>
      </rPr>
      <t>GISTM (Global Industry Standard on Tailings Management):</t>
    </r>
    <r>
      <rPr>
        <sz val="10"/>
        <color rgb="FF000000"/>
        <rFont val="Calibri"/>
        <family val="2"/>
      </rPr>
      <t xml:space="preserve"> Newmont provided a response to a request on December 17, 2020, from the Church of England Pensions Board, Principles for Responsible Investment, and Swedish Council on Ethics for AP Public Pension Funds regarding Newmont's commitment to implementing the GISTM.
</t>
    </r>
    <r>
      <rPr>
        <sz val="10"/>
        <color rgb="FF000000"/>
        <rFont val="Calibri"/>
        <family val="2"/>
      </rPr>
      <t xml:space="preserve">
</t>
    </r>
    <r>
      <rPr>
        <sz val="10"/>
        <color rgb="FF000000"/>
        <rFont val="Calibri"/>
        <family val="2"/>
      </rPr>
      <t>Please see Newmont's tailings inventory on our website for current information, which includes updates to those provided in the COE disclosures.</t>
    </r>
  </si>
  <si>
    <r>
      <rPr>
        <b/>
        <sz val="10"/>
        <color rgb="FF000000"/>
        <rFont val="Calibri"/>
        <family val="2"/>
      </rPr>
      <t>Global Tailings Inventory:</t>
    </r>
    <r>
      <rPr>
        <sz val="10"/>
        <color rgb="FF000000"/>
        <rFont val="Calibri"/>
        <family val="2"/>
      </rPr>
      <t xml:space="preserve"> Newmont provides a </t>
    </r>
    <r>
      <rPr>
        <sz val="10"/>
        <color rgb="FF0E32E1"/>
        <rFont val="Calibri"/>
        <family val="2"/>
      </rPr>
      <t>tailings inventory</t>
    </r>
    <r>
      <rPr>
        <sz val="10"/>
        <color rgb="FF000000"/>
        <rFont val="Calibri"/>
        <family val="2"/>
      </rPr>
      <t xml:space="preserve"> which includes information to support Church of England, SASB, and GISTM Disclosures, as well as the Global Tailings Inventory. </t>
    </r>
  </si>
  <si>
    <r>
      <rPr>
        <b/>
        <sz val="10"/>
        <color rgb="FF000000"/>
        <rFont val="Calibri"/>
        <family val="2"/>
      </rPr>
      <t xml:space="preserve">Newmont's Interactive Public Disclosure Tool: </t>
    </r>
    <r>
      <rPr>
        <sz val="10"/>
        <color rgb="FF000000"/>
        <rFont val="Calibri"/>
        <family val="2"/>
      </rPr>
      <t xml:space="preserve">Newmont's interactive </t>
    </r>
    <r>
      <rPr>
        <sz val="10"/>
        <color rgb="FF000000"/>
        <rFont val="Calibri"/>
        <family val="2"/>
      </rPr>
      <t>Public Disclosure Tool</t>
    </r>
    <r>
      <rPr>
        <sz val="10"/>
        <color rgb="FF000000"/>
        <rFont val="Calibri"/>
        <family val="2"/>
      </rPr>
      <t xml:space="preserve"> provides an informative platform to access information for Newmont's TSFs. The online tool provides users with interactive maps, tables, charts and lists to visualize information on our tailings inventory. </t>
    </r>
  </si>
  <si>
    <r>
      <rPr>
        <vertAlign val="superscript"/>
        <sz val="8"/>
        <color rgb="FF000000"/>
        <rFont val="Calibri"/>
        <family val="2"/>
      </rPr>
      <t>1</t>
    </r>
    <r>
      <rPr>
        <sz val="8"/>
        <color rgb="FF000000"/>
        <rFont val="Calibri"/>
        <family val="2"/>
      </rPr>
      <t xml:space="preserve"> Information related to Newmont's tailings management approach, including our tailings inventory, can be found on Newmont's website: https://www.newmont.com/sustainability/environmental-responsibility/tailings-management/default.aspx</t>
    </r>
  </si>
  <si>
    <t>ENVIRONMENT: WASTE</t>
  </si>
  <si>
    <r>
      <rPr>
        <b/>
        <sz val="10"/>
        <color rgb="FF000000"/>
        <rFont val="Calibri"/>
        <family val="2"/>
      </rPr>
      <t>Estimated waste rock generated</t>
    </r>
    <r>
      <rPr>
        <b/>
        <sz val="10"/>
        <color rgb="FF000000"/>
        <rFont val="Calibri"/>
        <family val="2"/>
      </rPr>
      <t>: Site level (</t>
    </r>
    <r>
      <rPr>
        <b/>
        <sz val="10"/>
        <color rgb="FF000000"/>
        <rFont val="Calibri"/>
        <family val="2"/>
      </rPr>
      <t>tonnes</t>
    </r>
    <r>
      <rPr>
        <b/>
        <sz val="10"/>
        <color rgb="FF000000"/>
        <rFont val="Calibri"/>
        <family val="2"/>
      </rPr>
      <t>)</t>
    </r>
    <r>
      <rPr>
        <b/>
        <vertAlign val="superscript"/>
        <sz val="10"/>
        <color rgb="FF000000"/>
        <rFont val="Calibri"/>
        <family val="2"/>
      </rPr>
      <t>1, 2</t>
    </r>
  </si>
  <si>
    <t>Potentially acid generating/metal leaching</t>
  </si>
  <si>
    <t>Non-potentially acid generating/non-metal leaching</t>
  </si>
  <si>
    <t>Total waste rock generated and brought to surface</t>
  </si>
  <si>
    <t>Total waste rock generated and not brought to surface</t>
  </si>
  <si>
    <r>
      <rPr>
        <vertAlign val="superscript"/>
        <sz val="8"/>
        <color rgb="FF000000"/>
        <rFont val="Calibri"/>
        <family val="2"/>
      </rPr>
      <t>1</t>
    </r>
    <r>
      <rPr>
        <sz val="8"/>
        <color rgb="FF000000"/>
        <rFont val="Calibri"/>
        <family val="2"/>
      </rPr>
      <t xml:space="preserve"> </t>
    </r>
    <r>
      <rPr>
        <sz val="8"/>
        <color rgb="FF000000"/>
        <rFont val="Calibri"/>
        <family val="2"/>
      </rPr>
      <t xml:space="preserve">Every site is required to do acid-based accounting to check the acid generating potential and neutralizing potential of the rock. 
</t>
    </r>
    <r>
      <rPr>
        <vertAlign val="superscript"/>
        <sz val="8"/>
        <color rgb="FF000000"/>
        <rFont val="Calibri"/>
        <family val="2"/>
      </rPr>
      <t xml:space="preserve">2 </t>
    </r>
    <r>
      <rPr>
        <sz val="8"/>
        <color rgb="FF000000"/>
        <rFont val="Calibri"/>
        <family val="2"/>
      </rPr>
      <t>At sites with underground operations, not all of the waste rock that has known acid generating potential is brought to surface.</t>
    </r>
  </si>
  <si>
    <r>
      <rPr>
        <b/>
        <sz val="10"/>
        <color rgb="FF000000"/>
        <rFont val="Calibri"/>
        <family val="2"/>
      </rPr>
      <t>Estimated mercury waste generated by type: Site level (kilograms)</t>
    </r>
    <r>
      <rPr>
        <b/>
        <vertAlign val="superscript"/>
        <sz val="10"/>
        <color rgb="FF000000"/>
        <rFont val="Calibri"/>
        <family val="2"/>
      </rPr>
      <t>1</t>
    </r>
  </si>
  <si>
    <t>Elemental mercury</t>
  </si>
  <si>
    <t>Mercuric chloride</t>
  </si>
  <si>
    <t>Mercury-contaminated carbon</t>
  </si>
  <si>
    <t>Mercury-contaminated sludge</t>
  </si>
  <si>
    <t>Facilities-related mercury waste</t>
  </si>
  <si>
    <r>
      <rPr>
        <vertAlign val="superscript"/>
        <sz val="8"/>
        <color rgb="FF000000"/>
        <rFont val="Calibri"/>
        <family val="2"/>
      </rPr>
      <t>1</t>
    </r>
    <r>
      <rPr>
        <sz val="8"/>
        <color rgb="FF000000"/>
        <rFont val="Calibri"/>
        <family val="2"/>
      </rPr>
      <t xml:space="preserve"> Newmont does not use mercury to process ore; however some naturally occurring mercury exists in some ore bodies and is managed in accordance with laws and regulations; this data is considered mineral processing waste for reporting purposes.
</t>
    </r>
    <r>
      <rPr>
        <vertAlign val="superscript"/>
        <sz val="8"/>
        <color rgb="FF000000"/>
        <rFont val="Calibri"/>
        <family val="2"/>
      </rPr>
      <t xml:space="preserve">2 </t>
    </r>
    <r>
      <rPr>
        <sz val="8"/>
        <color rgb="FF000000"/>
        <rFont val="Calibri"/>
        <family val="2"/>
      </rPr>
      <t>Facilities-related mercury waste includes items such as Compact Fluorescent (CFL) light bulbs and thermostats. The outlier of 27 kilograms of facilities-related mercury waste disposed of at CC&amp;V was due to the disposal of a large number of fluorescent light tubes that were replaced with LED bulbs throughout site facilities.</t>
    </r>
  </si>
  <si>
    <t>Reused</t>
  </si>
  <si>
    <t>Recycled</t>
  </si>
  <si>
    <r>
      <rPr>
        <b/>
        <sz val="10"/>
        <color rgb="FF000000"/>
        <rFont val="Calibri"/>
        <family val="2"/>
      </rPr>
      <t>Other recovery method</t>
    </r>
    <r>
      <rPr>
        <b/>
        <vertAlign val="superscript"/>
        <sz val="10"/>
        <color rgb="FF000000"/>
        <rFont val="Calibri"/>
        <family val="2"/>
      </rPr>
      <t>2</t>
    </r>
  </si>
  <si>
    <t>Onsite</t>
  </si>
  <si>
    <t>Offsite</t>
  </si>
  <si>
    <t xml:space="preserve">Offsite </t>
  </si>
  <si>
    <r>
      <rPr>
        <sz val="10"/>
        <color rgb="FF000000"/>
        <rFont val="Calibri"/>
        <family val="2"/>
      </rPr>
      <t>Boddington</t>
    </r>
    <r>
      <rPr>
        <vertAlign val="superscript"/>
        <sz val="10"/>
        <color rgb="FF000000"/>
        <rFont val="Calibri"/>
        <family val="2"/>
      </rPr>
      <t>1</t>
    </r>
  </si>
  <si>
    <r>
      <rPr>
        <vertAlign val="superscript"/>
        <sz val="8"/>
        <color rgb="FF000000"/>
        <rFont val="Calibri"/>
        <family val="2"/>
      </rPr>
      <t>1</t>
    </r>
    <r>
      <rPr>
        <vertAlign val="superscript"/>
        <sz val="8"/>
        <color rgb="FF000000"/>
        <rFont val="Calibri"/>
        <family val="2"/>
      </rPr>
      <t xml:space="preserve"> </t>
    </r>
    <r>
      <rPr>
        <sz val="8"/>
        <color rgb="FF000000"/>
        <rFont val="Calibri"/>
        <family val="2"/>
      </rPr>
      <t xml:space="preserve">The outliers at Boddington of resused waste </t>
    </r>
    <r>
      <rPr>
        <sz val="8"/>
        <color rgb="FF000000"/>
        <rFont val="Calibri"/>
        <family val="2"/>
      </rPr>
      <t>represent processes for the collection of contaminated wash water for reuse on</t>
    </r>
    <r>
      <rPr>
        <sz val="8"/>
        <color rgb="FF000000"/>
        <rFont val="Calibri"/>
        <family val="2"/>
      </rPr>
      <t xml:space="preserve">site at the processing plant or sent offsite for reuse.
</t>
    </r>
    <r>
      <rPr>
        <vertAlign val="superscript"/>
        <sz val="8"/>
        <color rgb="FF000000"/>
        <rFont val="Calibri"/>
        <family val="2"/>
      </rPr>
      <t xml:space="preserve">2 </t>
    </r>
    <r>
      <rPr>
        <sz val="8"/>
        <color rgb="FF000000"/>
        <rFont val="Calibri"/>
        <family val="2"/>
      </rPr>
      <t>An example</t>
    </r>
    <r>
      <rPr>
        <sz val="8"/>
        <color rgb="FF000000"/>
        <rFont val="Calibri"/>
        <family val="2"/>
      </rPr>
      <t xml:space="preserve"> of other disposal operations include</t>
    </r>
    <r>
      <rPr>
        <sz val="8"/>
        <color rgb="FF000000"/>
        <rFont val="Calibri"/>
        <family val="2"/>
      </rPr>
      <t xml:space="preserve"> </t>
    </r>
    <r>
      <rPr>
        <sz val="8"/>
        <color rgb="FF000000"/>
        <rFont val="Calibri"/>
        <family val="2"/>
      </rPr>
      <t>the collection of used oil t</t>
    </r>
    <r>
      <rPr>
        <sz val="8"/>
        <color rgb="FF000000"/>
        <rFont val="Calibri"/>
        <family val="2"/>
      </rPr>
      <t>hat is</t>
    </r>
    <r>
      <rPr>
        <sz val="8"/>
        <color rgb="FF000000"/>
        <rFont val="Calibri"/>
        <family val="2"/>
      </rPr>
      <t xml:space="preserve"> </t>
    </r>
    <r>
      <rPr>
        <sz val="8"/>
        <color rgb="FF000000"/>
        <rFont val="Calibri"/>
        <family val="2"/>
      </rPr>
      <t xml:space="preserve">used </t>
    </r>
    <r>
      <rPr>
        <sz val="8"/>
        <color rgb="FF000000"/>
        <rFont val="Calibri"/>
        <family val="2"/>
      </rPr>
      <t xml:space="preserve">for heating instead of purchasing propane for </t>
    </r>
    <r>
      <rPr>
        <sz val="8"/>
        <color rgb="FF000000"/>
        <rFont val="Calibri"/>
        <family val="2"/>
      </rPr>
      <t>heating fuel.</t>
    </r>
  </si>
  <si>
    <r>
      <rPr>
        <b/>
        <sz val="10"/>
        <color rgb="FF000000"/>
        <rFont val="Calibri"/>
        <family val="2"/>
      </rPr>
      <t>Other recovery method</t>
    </r>
    <r>
      <rPr>
        <b/>
        <vertAlign val="superscript"/>
        <sz val="10"/>
        <color rgb="FF000000"/>
        <rFont val="Calibri"/>
        <family val="2"/>
      </rPr>
      <t>1</t>
    </r>
  </si>
  <si>
    <r>
      <rPr>
        <vertAlign val="superscript"/>
        <sz val="8"/>
        <color rgb="FF000000"/>
        <rFont val="Calibri"/>
        <family val="2"/>
      </rPr>
      <t xml:space="preserve">1 </t>
    </r>
    <r>
      <rPr>
        <vertAlign val="superscript"/>
        <sz val="8"/>
        <color rgb="FF000000"/>
        <rFont val="Calibri"/>
        <family val="2"/>
      </rPr>
      <t xml:space="preserve"> </t>
    </r>
    <r>
      <rPr>
        <sz val="8"/>
        <color rgb="FF000000"/>
        <rFont val="Calibri"/>
        <family val="2"/>
      </rPr>
      <t>An example</t>
    </r>
    <r>
      <rPr>
        <sz val="8"/>
        <color rgb="FF000000"/>
        <rFont val="Calibri"/>
        <family val="2"/>
      </rPr>
      <t xml:space="preserve"> of other disposal operations include</t>
    </r>
    <r>
      <rPr>
        <sz val="8"/>
        <color rgb="FF000000"/>
        <rFont val="Calibri"/>
        <family val="2"/>
      </rPr>
      <t xml:space="preserve"> </t>
    </r>
    <r>
      <rPr>
        <sz val="8"/>
        <color rgb="FF000000"/>
        <rFont val="Calibri"/>
        <family val="2"/>
      </rPr>
      <t>wo</t>
    </r>
    <r>
      <rPr>
        <sz val="8"/>
        <color rgb="FF000000"/>
        <rFont val="Calibri"/>
        <family val="2"/>
      </rPr>
      <t>od</t>
    </r>
    <r>
      <rPr>
        <sz val="8"/>
        <color rgb="FF000000"/>
        <rFont val="Calibri"/>
        <family val="2"/>
      </rPr>
      <t xml:space="preserve"> </t>
    </r>
    <r>
      <rPr>
        <sz val="8"/>
        <color rgb="FF000000"/>
        <rFont val="Calibri"/>
        <family val="2"/>
      </rPr>
      <t>fed</t>
    </r>
    <r>
      <rPr>
        <sz val="8"/>
        <color rgb="FF000000"/>
        <rFont val="Calibri"/>
        <family val="2"/>
      </rPr>
      <t xml:space="preserve"> through a wood chipper</t>
    </r>
    <r>
      <rPr>
        <sz val="8"/>
        <color rgb="FF000000"/>
        <rFont val="Calibri"/>
        <family val="2"/>
      </rPr>
      <t xml:space="preserve"> for </t>
    </r>
    <r>
      <rPr>
        <sz val="8"/>
        <color rgb="FF000000"/>
        <rFont val="Calibri"/>
        <family val="2"/>
      </rPr>
      <t>the creation of woodchips.</t>
    </r>
  </si>
  <si>
    <t>Incinerated (with energy recovery)</t>
  </si>
  <si>
    <t>Incinerated (without energy recovery)</t>
  </si>
  <si>
    <t>Landfilled</t>
  </si>
  <si>
    <r>
      <rPr>
        <b/>
        <sz val="10"/>
        <color rgb="FF000000"/>
        <rFont val="Calibri"/>
        <family val="2"/>
      </rPr>
      <t>Other</t>
    </r>
    <r>
      <rPr>
        <b/>
        <sz val="10"/>
        <color rgb="FF000000"/>
        <rFont val="Calibri"/>
        <family val="2"/>
      </rPr>
      <t xml:space="preserve"> disposal method</t>
    </r>
    <r>
      <rPr>
        <b/>
        <vertAlign val="superscript"/>
        <sz val="10"/>
        <color rgb="FF000000"/>
        <rFont val="Calibri"/>
        <family val="2"/>
      </rPr>
      <t>2</t>
    </r>
  </si>
  <si>
    <r>
      <rPr>
        <b/>
        <sz val="10"/>
        <color rgb="FF000000"/>
        <rFont val="Calibri"/>
        <family val="2"/>
      </rPr>
      <t>Estimated hazardous waste disposed: Site level (</t>
    </r>
    <r>
      <rPr>
        <b/>
        <sz val="10"/>
        <color rgb="FF000000"/>
        <rFont val="Calibri"/>
        <family val="2"/>
      </rPr>
      <t>tonnes</t>
    </r>
    <r>
      <rPr>
        <b/>
        <sz val="10"/>
        <color rgb="FF000000"/>
        <rFont val="Calibri"/>
        <family val="2"/>
      </rPr>
      <t>)</t>
    </r>
    <r>
      <rPr>
        <b/>
        <vertAlign val="superscript"/>
        <sz val="10"/>
        <color rgb="FF000000"/>
        <rFont val="Calibri"/>
        <family val="2"/>
      </rPr>
      <t>1</t>
    </r>
  </si>
  <si>
    <r>
      <rPr>
        <vertAlign val="superscript"/>
        <sz val="8"/>
        <color rgb="FF000000"/>
        <rFont val="Calibri"/>
        <family val="2"/>
      </rPr>
      <t xml:space="preserve">1 </t>
    </r>
    <r>
      <rPr>
        <sz val="8"/>
        <color rgb="FF000000"/>
        <rFont val="Calibri"/>
        <family val="2"/>
      </rPr>
      <t xml:space="preserve">The disposal category "deep well injected" has been removed from this table because this disposal method does not apply to any of our sites and will be included in "Other" moving forward, if applicable.
</t>
    </r>
    <r>
      <rPr>
        <vertAlign val="superscript"/>
        <sz val="8"/>
        <color rgb="FF000000"/>
        <rFont val="Calibri"/>
        <family val="2"/>
      </rPr>
      <t xml:space="preserve">2 </t>
    </r>
    <r>
      <rPr>
        <sz val="8"/>
        <color rgb="FF000000"/>
        <rFont val="Calibri"/>
        <family val="2"/>
      </rPr>
      <t xml:space="preserve">Examples of other disposal operations include treatment of portable toilet sewage waste through sewage treatment plants and using commercial disposal providers. </t>
    </r>
  </si>
  <si>
    <r>
      <rPr>
        <b/>
        <sz val="10"/>
        <color rgb="FF000000"/>
        <rFont val="Calibri"/>
        <family val="2"/>
      </rPr>
      <t>Estimated non-hazardous waste disposed: Site level (</t>
    </r>
    <r>
      <rPr>
        <b/>
        <sz val="10"/>
        <color rgb="FF000000"/>
        <rFont val="Calibri"/>
        <family val="2"/>
      </rPr>
      <t>tonnes</t>
    </r>
    <r>
      <rPr>
        <b/>
        <sz val="10"/>
        <color rgb="FF000000"/>
        <rFont val="Calibri"/>
        <family val="2"/>
      </rPr>
      <t>)</t>
    </r>
    <r>
      <rPr>
        <b/>
        <vertAlign val="superscript"/>
        <sz val="10"/>
        <color rgb="FF000000"/>
        <rFont val="Calibri"/>
        <family val="2"/>
      </rPr>
      <t>1</t>
    </r>
  </si>
  <si>
    <r>
      <rPr>
        <vertAlign val="superscript"/>
        <sz val="8"/>
        <color rgb="FF000000"/>
        <rFont val="Calibri"/>
        <family val="2"/>
      </rPr>
      <t xml:space="preserve">1 </t>
    </r>
    <r>
      <rPr>
        <sz val="8"/>
        <color rgb="FF000000"/>
        <rFont val="Calibri"/>
        <family val="2"/>
      </rPr>
      <t xml:space="preserve">The disposal category "deep well injected" has been removed from this table because this disposal method does not apply to any of our sites and will be included in "Other" moving forward, if applicable.
</t>
    </r>
    <r>
      <rPr>
        <vertAlign val="superscript"/>
        <sz val="8"/>
        <color rgb="FF000000"/>
        <rFont val="Calibri"/>
        <family val="2"/>
      </rPr>
      <t xml:space="preserve">2 </t>
    </r>
    <r>
      <rPr>
        <sz val="8"/>
        <color rgb="FF000000"/>
        <rFont val="Calibri"/>
        <family val="2"/>
      </rPr>
      <t xml:space="preserve">Examples of other disposal operations include burying tires in waste rock dump facilities and burying waste in inert disposal facilities. </t>
    </r>
  </si>
  <si>
    <r>
      <rPr>
        <b/>
        <sz val="10"/>
        <color rgb="FF000000"/>
        <rFont val="Calibri"/>
        <family val="2"/>
      </rPr>
      <t>Estimated waste by type: Trailing five year data</t>
    </r>
    <r>
      <rPr>
        <b/>
        <vertAlign val="superscript"/>
        <sz val="10"/>
        <color rgb="FF000000"/>
        <rFont val="Calibri"/>
        <family val="2"/>
      </rPr>
      <t>1</t>
    </r>
  </si>
  <si>
    <t>Total tailings generated (million tonnes)</t>
  </si>
  <si>
    <t>Total waste rock generated (million tonnes)</t>
  </si>
  <si>
    <t>Total waste rock brought to surface (million tonnes)</t>
  </si>
  <si>
    <t>Total mercury waste generated (thousand kilograms)</t>
  </si>
  <si>
    <t>Total hazardous waste managed (thousand tonnes)</t>
  </si>
  <si>
    <t>Total non-hazardous waste managed (thousand tonnes)</t>
  </si>
  <si>
    <r>
      <rPr>
        <vertAlign val="superscript"/>
        <sz val="8"/>
        <color rgb="FF000000"/>
        <rFont val="Calibri"/>
        <family val="2"/>
      </rPr>
      <t>1</t>
    </r>
    <r>
      <rPr>
        <sz val="8"/>
        <color rgb="FF000000"/>
        <rFont val="Calibri"/>
        <family val="2"/>
      </rPr>
      <t xml:space="preserve"> For a 202</t>
    </r>
    <r>
      <rPr>
        <sz val="8"/>
        <color rgb="FF000000"/>
        <rFont val="Calibri"/>
        <family val="2"/>
      </rPr>
      <t>3</t>
    </r>
    <r>
      <rPr>
        <sz val="8"/>
        <color rgb="FF000000"/>
        <rFont val="Calibri"/>
        <family val="2"/>
      </rPr>
      <t xml:space="preserve"> site-level breakout of tailings</t>
    </r>
    <r>
      <rPr>
        <sz val="8"/>
        <color rgb="FF000000"/>
        <rFont val="Calibri"/>
        <family val="2"/>
      </rPr>
      <t xml:space="preserve"> waste generated</t>
    </r>
    <r>
      <rPr>
        <sz val="8"/>
        <color rgb="FF000000"/>
        <rFont val="Calibri"/>
        <family val="2"/>
      </rPr>
      <t xml:space="preserve">, reference the </t>
    </r>
    <r>
      <rPr>
        <sz val="8"/>
        <color rgb="FF000000"/>
        <rFont val="Calibri"/>
        <family val="2"/>
      </rPr>
      <t xml:space="preserve">Tailings Management section of this Performance Data document.
</t>
    </r>
    <r>
      <rPr>
        <vertAlign val="superscript"/>
        <sz val="8"/>
        <color rgb="FF000000"/>
        <rFont val="Calibri"/>
        <family val="2"/>
      </rPr>
      <t>2</t>
    </r>
    <r>
      <rPr>
        <sz val="8"/>
        <color rgb="FF000000"/>
        <rFont val="Calibri"/>
        <family val="2"/>
      </rPr>
      <t xml:space="preserve"> </t>
    </r>
    <r>
      <rPr>
        <sz val="8"/>
        <color rgb="FF000000"/>
        <rFont val="Calibri"/>
        <family val="2"/>
      </rPr>
      <t>The 2022 value for total waste rock generated has been res</t>
    </r>
    <r>
      <rPr>
        <sz val="8"/>
        <color rgb="FF000000"/>
        <rFont val="Calibri"/>
        <family val="2"/>
      </rPr>
      <t xml:space="preserve">tated based on a reporting error discovered at the Boddington site. </t>
    </r>
    <r>
      <rPr>
        <sz val="8"/>
        <color rgb="FF000000"/>
        <rFont val="Calibri"/>
        <family val="2"/>
      </rPr>
      <t xml:space="preserve">The corrected </t>
    </r>
    <r>
      <rPr>
        <sz val="8"/>
        <color rgb="FF000000"/>
        <rFont val="Calibri"/>
        <family val="2"/>
      </rPr>
      <t xml:space="preserve">site value resulted in </t>
    </r>
    <r>
      <rPr>
        <sz val="8"/>
        <color rgb="FF000000"/>
        <rFont val="Calibri"/>
        <family val="2"/>
      </rPr>
      <t>just under 5</t>
    </r>
    <r>
      <rPr>
        <sz val="8"/>
        <color rgb="FF000000"/>
        <rFont val="Calibri"/>
        <family val="2"/>
      </rPr>
      <t xml:space="preserve">% decrease in total waste rock generated </t>
    </r>
    <r>
      <rPr>
        <sz val="8"/>
        <color rgb="FF000000"/>
        <rFont val="Calibri"/>
        <family val="2"/>
      </rPr>
      <t>globally.</t>
    </r>
  </si>
  <si>
    <t>ENVIRONMENT: WATER STEWARDSHIP</t>
  </si>
  <si>
    <r>
      <rPr>
        <b/>
        <sz val="10"/>
        <color rgb="FF000000"/>
        <rFont val="Calibri"/>
        <family val="2"/>
      </rPr>
      <t>Water summary: Site level (megaliters (ML))</t>
    </r>
    <r>
      <rPr>
        <b/>
        <vertAlign val="superscript"/>
        <sz val="10"/>
        <color rgb="FF000000"/>
        <rFont val="Calibri"/>
        <family val="2"/>
      </rPr>
      <t>1</t>
    </r>
    <r>
      <rPr>
        <b/>
        <vertAlign val="superscript"/>
        <sz val="10"/>
        <color rgb="FF000000"/>
        <rFont val="Calibri"/>
        <family val="2"/>
      </rPr>
      <t>,</t>
    </r>
    <r>
      <rPr>
        <b/>
        <vertAlign val="superscript"/>
        <sz val="10"/>
        <color rgb="FF000000"/>
        <rFont val="Calibri"/>
        <family val="2"/>
      </rPr>
      <t xml:space="preserve"> 2</t>
    </r>
  </si>
  <si>
    <t>Total operational water withdrawn</t>
  </si>
  <si>
    <t>Other managed water withdrawn</t>
  </si>
  <si>
    <t>Total water discharged</t>
  </si>
  <si>
    <r>
      <rPr>
        <b/>
        <sz val="10"/>
        <color rgb="FF000000"/>
        <rFont val="Calibri"/>
        <family val="2"/>
      </rPr>
      <t>Total water consumed</t>
    </r>
    <r>
      <rPr>
        <b/>
        <vertAlign val="superscript"/>
        <sz val="10"/>
        <color rgb="FF000000"/>
        <rFont val="Calibri"/>
        <family val="2"/>
      </rPr>
      <t>3</t>
    </r>
  </si>
  <si>
    <t>Total water recycled or reused</t>
  </si>
  <si>
    <r>
      <rPr>
        <b/>
        <sz val="10"/>
        <color rgb="FF000000"/>
        <rFont val="Calibri"/>
        <family val="2"/>
      </rPr>
      <t>Total water used</t>
    </r>
    <r>
      <rPr>
        <b/>
        <vertAlign val="superscript"/>
        <sz val="10"/>
        <color rgb="FF000000"/>
        <rFont val="Calibri"/>
        <family val="2"/>
      </rPr>
      <t>4</t>
    </r>
  </si>
  <si>
    <r>
      <rPr>
        <b/>
        <sz val="10"/>
        <color rgb="FF000000"/>
        <rFont val="Calibri"/>
        <family val="2"/>
      </rPr>
      <t>Percent recycled or reused</t>
    </r>
    <r>
      <rPr>
        <b/>
        <vertAlign val="superscript"/>
        <sz val="10"/>
        <color rgb="FF000000"/>
        <rFont val="Calibri"/>
        <family val="2"/>
      </rPr>
      <t>5</t>
    </r>
  </si>
  <si>
    <r>
      <rPr>
        <b/>
        <sz val="10"/>
        <color rgb="FF000000"/>
        <rFont val="Calibri"/>
        <family val="2"/>
      </rPr>
      <t xml:space="preserve">Water intensity </t>
    </r>
    <r>
      <rPr>
        <b/>
        <sz val="10"/>
        <color rgb="FF000000"/>
        <rFont val="Calibri"/>
        <family val="2"/>
      </rPr>
      <t xml:space="preserve">- </t>
    </r>
    <r>
      <rPr>
        <b/>
        <sz val="10"/>
        <color rgb="FF000000"/>
        <rFont val="Calibri"/>
        <family val="2"/>
      </rPr>
      <t>g</t>
    </r>
    <r>
      <rPr>
        <b/>
        <sz val="10"/>
        <color rgb="FF000000"/>
        <rFont val="Calibri"/>
        <family val="2"/>
      </rPr>
      <t xml:space="preserve">old </t>
    </r>
    <r>
      <rPr>
        <b/>
        <sz val="10"/>
        <color rgb="FF000000"/>
        <rFont val="Calibri"/>
        <family val="2"/>
      </rPr>
      <t>equivalent ounces (GEO)</t>
    </r>
    <r>
      <rPr>
        <b/>
        <vertAlign val="superscript"/>
        <sz val="10"/>
        <color rgb="FF000000"/>
        <rFont val="Calibri"/>
        <family val="2"/>
      </rPr>
      <t>6</t>
    </r>
  </si>
  <si>
    <r>
      <rPr>
        <b/>
        <sz val="10"/>
        <color rgb="FF000000"/>
        <rFont val="Calibri"/>
        <family val="2"/>
      </rPr>
      <t xml:space="preserve">Water intensity </t>
    </r>
    <r>
      <rPr>
        <b/>
        <sz val="10"/>
        <color rgb="FF000000"/>
        <rFont val="Calibri"/>
        <family val="2"/>
      </rPr>
      <t xml:space="preserve">- </t>
    </r>
    <r>
      <rPr>
        <b/>
        <sz val="10"/>
        <color rgb="FF000000"/>
        <rFont val="Calibri"/>
        <family val="2"/>
      </rPr>
      <t>o</t>
    </r>
    <r>
      <rPr>
        <b/>
        <sz val="10"/>
        <color rgb="FF000000"/>
        <rFont val="Calibri"/>
        <family val="2"/>
      </rPr>
      <t>re processed</t>
    </r>
    <r>
      <rPr>
        <b/>
        <vertAlign val="superscript"/>
        <sz val="10"/>
        <color rgb="FF000000"/>
        <rFont val="Calibri"/>
        <family val="2"/>
      </rPr>
      <t>7</t>
    </r>
  </si>
  <si>
    <r>
      <rPr>
        <vertAlign val="superscript"/>
        <sz val="8"/>
        <color rgb="FF000000"/>
        <rFont val="Calibri"/>
        <family val="2"/>
      </rPr>
      <t>1</t>
    </r>
    <r>
      <rPr>
        <sz val="8"/>
        <color rgb="FF000000"/>
        <rFont val="Calibri"/>
        <family val="2"/>
      </rPr>
      <t xml:space="preserve"> Newmont does not discharge to or withdraw seawater for any purposes.
</t>
    </r>
    <r>
      <rPr>
        <vertAlign val="superscript"/>
        <sz val="8"/>
        <color rgb="FF000000"/>
        <rFont val="Calibri"/>
        <family val="2"/>
      </rPr>
      <t>2</t>
    </r>
    <r>
      <rPr>
        <sz val="8"/>
        <color rgb="FF000000"/>
        <rFont val="Calibri"/>
        <family val="2"/>
      </rPr>
      <t xml:space="preserve"> </t>
    </r>
    <r>
      <rPr>
        <sz val="8"/>
        <color rgb="FF000000"/>
        <rFont val="Calibri"/>
        <family val="2"/>
      </rPr>
      <t>Some figures and percentages may not add up to the total figure o</t>
    </r>
    <r>
      <rPr>
        <sz val="8"/>
        <color rgb="FF000000"/>
        <rFont val="Calibri"/>
        <family val="2"/>
      </rPr>
      <t xml:space="preserve">r 100 percent due to rounding.
</t>
    </r>
    <r>
      <rPr>
        <vertAlign val="superscript"/>
        <sz val="8"/>
        <color rgb="FF000000"/>
        <rFont val="Calibri"/>
        <family val="2"/>
      </rPr>
      <t xml:space="preserve">3 </t>
    </r>
    <r>
      <rPr>
        <sz val="8"/>
        <color rgb="FF000000"/>
        <rFont val="Calibri"/>
        <family val="2"/>
      </rPr>
      <t>For 2023, total water consumption based on ICMM's Water Reporting: Good Practice Guide, 2nd edition definition is</t>
    </r>
    <r>
      <rPr>
        <sz val="8"/>
        <color rgb="FFEE2724"/>
        <rFont val="Calibri"/>
        <family val="2"/>
      </rPr>
      <t xml:space="preserve"> </t>
    </r>
    <r>
      <rPr>
        <sz val="8"/>
        <color rgb="FF000000"/>
        <rFont val="Calibri"/>
        <family val="2"/>
      </rPr>
      <t>94,659</t>
    </r>
    <r>
      <rPr>
        <sz val="8"/>
        <color rgb="FF000000"/>
        <rFont val="Calibri"/>
        <family val="2"/>
      </rPr>
      <t xml:space="preserve"> ML.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 xml:space="preserve">Total water used is calculated as the sum of total water </t>
    </r>
    <r>
      <rPr>
        <sz val="8"/>
        <color rgb="FF000000"/>
        <rFont val="Calibri"/>
        <family val="2"/>
      </rPr>
      <t xml:space="preserve">consumed and total water recycled or reused.
</t>
    </r>
    <r>
      <rPr>
        <vertAlign val="superscript"/>
        <sz val="8"/>
        <color rgb="FF000000"/>
        <rFont val="Calibri"/>
        <family val="2"/>
      </rPr>
      <t>5</t>
    </r>
    <r>
      <rPr>
        <vertAlign val="superscript"/>
        <sz val="8"/>
        <color rgb="FF000000"/>
        <rFont val="Calibri"/>
        <family val="2"/>
      </rPr>
      <t xml:space="preserve"> </t>
    </r>
    <r>
      <rPr>
        <sz val="8"/>
        <color rgb="FF000000"/>
        <rFont val="Calibri"/>
        <family val="2"/>
      </rPr>
      <t xml:space="preserve">The percent of water recycled or reused is calculated as the total water recycled or reused over the total water used.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 xml:space="preserve">Water intensity by Gold Equivalent Ounces (GEO) </t>
    </r>
    <r>
      <rPr>
        <sz val="8"/>
        <color rgb="FF000000"/>
        <rFont val="Calibri"/>
        <family val="2"/>
      </rPr>
      <t xml:space="preserve">is </t>
    </r>
    <r>
      <rPr>
        <sz val="8"/>
        <color rgb="FF000000"/>
        <rFont val="Calibri"/>
        <family val="2"/>
      </rPr>
      <t>represented as the volume of water consumed (ML) per thousand GEO.</t>
    </r>
    <r>
      <rPr>
        <sz val="8"/>
        <color rgb="FF000000"/>
        <rFont val="Calibri"/>
        <family val="2"/>
      </rPr>
      <t xml:space="preserve"> </t>
    </r>
    <r>
      <rPr>
        <sz val="8"/>
        <color rgb="FF000000"/>
        <rFont val="Calibri"/>
        <family val="2"/>
      </rPr>
      <t xml:space="preserve">The GEO figure includes total produced and co-product GEO as defined in our Form 2023 10-K, adjusted to match the reporting boundary of our Annual Sustainability Report. 
</t>
    </r>
    <r>
      <rPr>
        <vertAlign val="superscript"/>
        <sz val="8"/>
        <color rgb="FF000000"/>
        <rFont val="Calibri"/>
        <family val="2"/>
      </rPr>
      <t>7</t>
    </r>
    <r>
      <rPr>
        <vertAlign val="superscript"/>
        <sz val="8"/>
        <color rgb="FF000000"/>
        <rFont val="Calibri"/>
        <family val="2"/>
      </rPr>
      <t xml:space="preserve"> </t>
    </r>
    <r>
      <rPr>
        <sz val="8"/>
        <color rgb="FF000000"/>
        <rFont val="Calibri"/>
        <family val="2"/>
      </rPr>
      <t xml:space="preserve">Water intensity by </t>
    </r>
    <r>
      <rPr>
        <sz val="8"/>
        <color rgb="FF000000"/>
        <rFont val="Calibri"/>
        <family val="2"/>
      </rPr>
      <t>ore processed</t>
    </r>
    <r>
      <rPr>
        <sz val="8"/>
        <color rgb="FF000000"/>
        <rFont val="Calibri"/>
        <family val="2"/>
      </rPr>
      <t xml:space="preserve"> </t>
    </r>
    <r>
      <rPr>
        <sz val="8"/>
        <color rgb="FF000000"/>
        <rFont val="Calibri"/>
        <family val="2"/>
      </rPr>
      <t xml:space="preserve">is </t>
    </r>
    <r>
      <rPr>
        <sz val="8"/>
        <color rgb="FF000000"/>
        <rFont val="Calibri"/>
        <family val="2"/>
      </rPr>
      <t>represented as the volume of water consumed (ML) per</t>
    </r>
    <r>
      <rPr>
        <sz val="8"/>
        <color rgb="FF000000"/>
        <rFont val="Calibri"/>
        <family val="2"/>
      </rPr>
      <t xml:space="preserve"> tonne of ore processed</t>
    </r>
    <r>
      <rPr>
        <sz val="8"/>
        <color rgb="FF000000"/>
        <rFont val="Calibri"/>
        <family val="2"/>
      </rPr>
      <t>.</t>
    </r>
    <r>
      <rPr>
        <sz val="8"/>
        <color rgb="FF000000"/>
        <rFont val="Calibri"/>
        <family val="2"/>
      </rPr>
      <t xml:space="preserve"> </t>
    </r>
    <r>
      <rPr>
        <sz val="8"/>
        <color rgb="FF000000"/>
        <rFont val="Calibri"/>
        <family val="2"/>
      </rPr>
      <t>The tonnes of ore processed is based on the operational statistics defined in our Full Year &amp; Fourth Quarter 202</t>
    </r>
    <r>
      <rPr>
        <sz val="8"/>
        <color rgb="FF000000"/>
        <rFont val="Calibri"/>
        <family val="2"/>
      </rPr>
      <t>3</t>
    </r>
    <r>
      <rPr>
        <sz val="8"/>
        <color rgb="FF000000"/>
        <rFont val="Calibri"/>
        <family val="2"/>
      </rPr>
      <t xml:space="preserve"> Regional Operating Statistics,</t>
    </r>
    <r>
      <rPr>
        <sz val="8"/>
        <color rgb="FF000000"/>
        <rFont val="Calibri"/>
        <family val="2"/>
      </rPr>
      <t xml:space="preserve"> adjusted to match the reporting boundary of our Annual Sustainability Report. Beginning in 2022, our water intensity metric for tonnes of ore processed was updated from only including ore milled to including both ore milled and leached, to more accurately represent total water intensity for all ore processed at the site.</t>
    </r>
  </si>
  <si>
    <r>
      <rPr>
        <b/>
        <sz val="10"/>
        <color rgb="FF000000"/>
        <rFont val="Calibri"/>
        <family val="2"/>
      </rPr>
      <t>Total water withdrawn and discharged by category: Site level (megaliters)</t>
    </r>
    <r>
      <rPr>
        <b/>
        <vertAlign val="superscript"/>
        <sz val="10"/>
        <color rgb="FF000000"/>
        <rFont val="Calibri"/>
        <family val="2"/>
      </rPr>
      <t>1</t>
    </r>
  </si>
  <si>
    <t>Total water withdrawn (operational water + other managed water)</t>
  </si>
  <si>
    <t>Category 1</t>
  </si>
  <si>
    <t>Category 2</t>
  </si>
  <si>
    <t>Category 3</t>
  </si>
  <si>
    <r>
      <rPr>
        <vertAlign val="superscript"/>
        <sz val="8"/>
        <color rgb="FF000000"/>
        <rFont val="Calibri"/>
        <family val="2"/>
      </rPr>
      <t>1</t>
    </r>
    <r>
      <rPr>
        <sz val="8"/>
        <color rgb="FF000000"/>
        <rFont val="Calibri"/>
        <family val="2"/>
      </rPr>
      <t xml:space="preserve"> </t>
    </r>
    <r>
      <rPr>
        <sz val="8"/>
        <color rgb="FF000000"/>
        <rFont val="Calibri"/>
        <family val="2"/>
      </rPr>
      <t>Some figures and percentages may not add</t>
    </r>
    <r>
      <rPr>
        <sz val="8"/>
        <color rgb="FF000000"/>
        <rFont val="Calibri"/>
        <family val="2"/>
      </rPr>
      <t xml:space="preserve"> </t>
    </r>
    <r>
      <rPr>
        <sz val="8"/>
        <color rgb="FF000000"/>
        <rFont val="Calibri"/>
        <family val="2"/>
      </rPr>
      <t>up to the total figure or 100</t>
    </r>
    <r>
      <rPr>
        <sz val="8"/>
        <color rgb="FF000000"/>
        <rFont val="Calibri"/>
        <family val="2"/>
      </rPr>
      <t xml:space="preserve"> </t>
    </r>
    <r>
      <rPr>
        <sz val="8"/>
        <color rgb="FF000000"/>
        <rFont val="Calibri"/>
        <family val="2"/>
      </rPr>
      <t>percent due to rounding.</t>
    </r>
  </si>
  <si>
    <r>
      <rPr>
        <b/>
        <sz val="10"/>
        <color rgb="FF000000"/>
        <rFont val="Calibri"/>
        <family val="2"/>
      </rPr>
      <t>Total water</t>
    </r>
    <r>
      <rPr>
        <b/>
        <sz val="10"/>
        <color rgb="FF000000"/>
        <rFont val="Calibri"/>
        <family val="2"/>
      </rPr>
      <t xml:space="preserve"> withdrawn: Site level (megaliters)</t>
    </r>
    <r>
      <rPr>
        <b/>
        <vertAlign val="superscript"/>
        <sz val="10"/>
        <color rgb="FF000000"/>
        <rFont val="Calibri"/>
        <family val="2"/>
      </rPr>
      <t>1</t>
    </r>
    <r>
      <rPr>
        <b/>
        <vertAlign val="superscript"/>
        <sz val="10"/>
        <color rgb="FF000000"/>
        <rFont val="Calibri"/>
        <family val="2"/>
      </rPr>
      <t>, 2</t>
    </r>
  </si>
  <si>
    <t>Surface water</t>
  </si>
  <si>
    <t>Groundwater</t>
  </si>
  <si>
    <t>Precipitation</t>
  </si>
  <si>
    <t>Third-party water</t>
  </si>
  <si>
    <t>Total operational water</t>
  </si>
  <si>
    <t>Other managed water</t>
  </si>
  <si>
    <r>
      <rPr>
        <vertAlign val="superscript"/>
        <sz val="8"/>
        <color rgb="FF000000"/>
        <rFont val="Calibri"/>
        <family val="2"/>
      </rPr>
      <t xml:space="preserve">1 </t>
    </r>
    <r>
      <rPr>
        <sz val="8"/>
        <color rgb="FF000000"/>
        <rFont val="Calibri"/>
        <family val="2"/>
      </rPr>
      <t>Newmont does not</t>
    </r>
    <r>
      <rPr>
        <sz val="8"/>
        <color rgb="FF000000"/>
        <rFont val="Calibri"/>
        <family val="2"/>
      </rPr>
      <t xml:space="preserve"> withdraw seawater for any purposes</t>
    </r>
    <r>
      <rPr>
        <sz val="8"/>
        <color rgb="FF000000"/>
        <rFont val="Calibri"/>
        <family val="2"/>
      </rPr>
      <t xml:space="preserve">.
</t>
    </r>
    <r>
      <rPr>
        <vertAlign val="superscript"/>
        <sz val="8"/>
        <color rgb="FF000000"/>
        <rFont val="Calibri"/>
        <family val="2"/>
      </rPr>
      <t>2</t>
    </r>
    <r>
      <rPr>
        <sz val="8"/>
        <color rgb="FF000000"/>
        <rFont val="Calibri"/>
        <family val="2"/>
      </rPr>
      <t xml:space="preserve"> Some figures and percentages may not add up to the total figure or 100 percent due to rounding.</t>
    </r>
  </si>
  <si>
    <r>
      <rPr>
        <b/>
        <sz val="10"/>
        <color rgb="FF000000"/>
        <rFont val="Calibri"/>
        <family val="2"/>
      </rPr>
      <t>Total</t>
    </r>
    <r>
      <rPr>
        <b/>
        <sz val="10"/>
        <color rgb="FF000000"/>
        <rFont val="Calibri"/>
        <family val="2"/>
      </rPr>
      <t xml:space="preserve"> water</t>
    </r>
    <r>
      <rPr>
        <b/>
        <sz val="10"/>
        <color rgb="FF000000"/>
        <rFont val="Calibri"/>
        <family val="2"/>
      </rPr>
      <t xml:space="preserve"> di</t>
    </r>
    <r>
      <rPr>
        <b/>
        <sz val="10"/>
        <color rgb="FF000000"/>
        <rFont val="Calibri"/>
        <family val="2"/>
      </rPr>
      <t>scharge by level of treatment</t>
    </r>
    <r>
      <rPr>
        <b/>
        <sz val="10"/>
        <color rgb="FF000000"/>
        <rFont val="Calibri"/>
        <family val="2"/>
      </rPr>
      <t>: Site level (megaliters)</t>
    </r>
    <r>
      <rPr>
        <b/>
        <vertAlign val="superscript"/>
        <sz val="10"/>
        <color rgb="FF000000"/>
        <rFont val="Calibri"/>
        <family val="2"/>
      </rPr>
      <t>1</t>
    </r>
    <r>
      <rPr>
        <b/>
        <vertAlign val="superscript"/>
        <sz val="10"/>
        <color rgb="FF000000"/>
        <rFont val="Calibri"/>
        <family val="2"/>
      </rPr>
      <t>, 2</t>
    </r>
  </si>
  <si>
    <t>No treatment</t>
  </si>
  <si>
    <t>Primary treatment</t>
  </si>
  <si>
    <t>Secondary treatment</t>
  </si>
  <si>
    <t>Tertiary treatment</t>
  </si>
  <si>
    <t>Total water discharge</t>
  </si>
  <si>
    <r>
      <rPr>
        <vertAlign val="superscript"/>
        <sz val="8"/>
        <color rgb="FF000000"/>
        <rFont val="Calibri"/>
        <family val="2"/>
      </rPr>
      <t xml:space="preserve">1 </t>
    </r>
    <r>
      <rPr>
        <sz val="8"/>
        <color rgb="FF000000"/>
        <rFont val="Calibri"/>
        <family val="2"/>
      </rPr>
      <t xml:space="preserve">Beginning </t>
    </r>
    <r>
      <rPr>
        <sz val="8"/>
        <color rgb="FF000000"/>
        <rFont val="Calibri"/>
        <family val="2"/>
      </rPr>
      <t>in 2023,</t>
    </r>
    <r>
      <rPr>
        <sz val="8"/>
        <color rgb="FF000000"/>
        <rFont val="Calibri"/>
        <family val="2"/>
      </rPr>
      <t xml:space="preserve"> we have</t>
    </r>
    <r>
      <rPr>
        <sz val="8"/>
        <color rgb="FF000000"/>
        <rFont val="Calibri"/>
        <family val="2"/>
      </rPr>
      <t xml:space="preserve"> updated our reporting of water discharge from reporting </t>
    </r>
    <r>
      <rPr>
        <sz val="8"/>
        <color rgb="FF000000"/>
        <rFont val="Calibri"/>
        <family val="2"/>
      </rPr>
      <t>discharge</t>
    </r>
    <r>
      <rPr>
        <sz val="8"/>
        <color rgb="FF000000"/>
        <rFont val="Calibri"/>
        <family val="2"/>
      </rPr>
      <t xml:space="preserve"> by destination to</t>
    </r>
    <r>
      <rPr>
        <sz val="8"/>
        <color rgb="FF000000"/>
        <rFont val="Calibri"/>
        <family val="2"/>
      </rPr>
      <t xml:space="preserve"> discharge by level of treatment</t>
    </r>
    <r>
      <rPr>
        <sz val="8"/>
        <color rgb="FF000000"/>
        <rFont val="Calibri"/>
        <family val="2"/>
      </rPr>
      <t xml:space="preserve"> to better align with external reporting practices.
</t>
    </r>
    <r>
      <rPr>
        <vertAlign val="superscript"/>
        <sz val="8"/>
        <color rgb="FF000000"/>
        <rFont val="Calibri"/>
        <family val="2"/>
      </rPr>
      <t>2</t>
    </r>
    <r>
      <rPr>
        <sz val="8"/>
        <color rgb="FF000000"/>
        <rFont val="Calibri"/>
        <family val="2"/>
      </rPr>
      <t xml:space="preserve"> Some figures and percentages may not add up to the total figure or 100 percent due to rounding.</t>
    </r>
  </si>
  <si>
    <r>
      <rPr>
        <b/>
        <sz val="10"/>
        <color rgb="FF000000"/>
        <rFont val="Calibri"/>
        <family val="2"/>
      </rPr>
      <t>Water summary: Trailing five year data (megaliters)</t>
    </r>
    <r>
      <rPr>
        <b/>
        <vertAlign val="superscript"/>
        <sz val="10"/>
        <color rgb="FF000000"/>
        <rFont val="Calibri"/>
        <family val="2"/>
      </rPr>
      <t>1</t>
    </r>
  </si>
  <si>
    <r>
      <rPr>
        <b/>
        <sz val="10"/>
        <color rgb="FF000000"/>
        <rFont val="Calibri"/>
        <family val="2"/>
      </rPr>
      <t xml:space="preserve">2020 </t>
    </r>
    <r>
      <rPr>
        <b/>
        <vertAlign val="superscript"/>
        <sz val="10"/>
        <color rgb="FF000000"/>
        <rFont val="Calibri"/>
        <family val="2"/>
      </rPr>
      <t>2</t>
    </r>
  </si>
  <si>
    <r>
      <rPr>
        <b/>
        <sz val="10"/>
        <color rgb="FF000000"/>
        <rFont val="Calibri"/>
        <family val="2"/>
      </rPr>
      <t>2021</t>
    </r>
    <r>
      <rPr>
        <b/>
        <sz val="10"/>
        <color rgb="FF000000"/>
        <rFont val="Calibri"/>
        <family val="2"/>
      </rPr>
      <t xml:space="preserve"> </t>
    </r>
    <r>
      <rPr>
        <b/>
        <vertAlign val="superscript"/>
        <sz val="10"/>
        <color rgb="FF000000"/>
        <rFont val="Calibri"/>
        <family val="2"/>
      </rPr>
      <t>2</t>
    </r>
  </si>
  <si>
    <t>Seawater</t>
  </si>
  <si>
    <t>Other water managed</t>
  </si>
  <si>
    <t>Not reported</t>
  </si>
  <si>
    <r>
      <rPr>
        <b/>
        <sz val="10"/>
        <color rgb="FF000000"/>
        <rFont val="Calibri"/>
        <family val="2"/>
      </rPr>
      <t xml:space="preserve">Total water consumed
</t>
    </r>
    <r>
      <rPr>
        <sz val="10"/>
        <color rgb="FF000000"/>
        <rFont val="Calibri"/>
        <family val="2"/>
      </rPr>
      <t>(withdrawn minus discharged)</t>
    </r>
  </si>
  <si>
    <r>
      <rPr>
        <b/>
        <sz val="10"/>
        <color rgb="FF000000"/>
        <rFont val="Calibri"/>
        <family val="2"/>
      </rPr>
      <t xml:space="preserve">Total water used
</t>
    </r>
    <r>
      <rPr>
        <sz val="10"/>
        <color rgb="FF000000"/>
        <rFont val="Calibri"/>
        <family val="2"/>
      </rPr>
      <t>(consumed plus recycled</t>
    </r>
    <r>
      <rPr>
        <sz val="10"/>
        <color rgb="FF000000"/>
        <rFont val="Calibri"/>
        <family val="2"/>
      </rPr>
      <t xml:space="preserve"> or </t>
    </r>
    <r>
      <rPr>
        <sz val="10"/>
        <color rgb="FF000000"/>
        <rFont val="Calibri"/>
        <family val="2"/>
      </rPr>
      <t>reused</t>
    </r>
    <r>
      <rPr>
        <sz val="10"/>
        <color rgb="FF000000"/>
        <rFont val="Calibri"/>
        <family val="2"/>
      </rPr>
      <t>)</t>
    </r>
  </si>
  <si>
    <r>
      <rPr>
        <b/>
        <sz val="10"/>
        <color rgb="FF000000"/>
        <rFont val="Calibri"/>
        <family val="2"/>
      </rPr>
      <t xml:space="preserve">Percent recycled
</t>
    </r>
    <r>
      <rPr>
        <sz val="10"/>
        <color rgb="FF000000"/>
        <rFont val="Calibri"/>
        <family val="2"/>
      </rPr>
      <t xml:space="preserve">(water recycled </t>
    </r>
    <r>
      <rPr>
        <sz val="10"/>
        <color rgb="FF000000"/>
        <rFont val="Calibri"/>
        <family val="2"/>
      </rPr>
      <t xml:space="preserve">or reused </t>
    </r>
    <r>
      <rPr>
        <sz val="10"/>
        <color rgb="FF000000"/>
        <rFont val="Calibri"/>
        <family val="2"/>
      </rPr>
      <t>divided by water used)</t>
    </r>
  </si>
  <si>
    <r>
      <rPr>
        <vertAlign val="superscript"/>
        <sz val="8"/>
        <color rgb="FF000000"/>
        <rFont val="Calibri"/>
        <family val="2"/>
      </rPr>
      <t>1</t>
    </r>
    <r>
      <rPr>
        <sz val="8"/>
        <color rgb="FF000000"/>
        <rFont val="Calibri"/>
        <family val="2"/>
      </rPr>
      <t xml:space="preserve"> </t>
    </r>
    <r>
      <rPr>
        <sz val="8"/>
        <color rgb="FF000000"/>
        <rFont val="Calibri"/>
        <family val="2"/>
      </rPr>
      <t xml:space="preserve">Newmont's water </t>
    </r>
    <r>
      <rPr>
        <sz val="8"/>
        <color rgb="FF000000"/>
        <rFont val="Calibri"/>
        <family val="2"/>
      </rPr>
      <t>accounting</t>
    </r>
    <r>
      <rPr>
        <sz val="8"/>
        <color rgb="FF000000"/>
        <rFont val="Calibri"/>
        <family val="2"/>
      </rPr>
      <t xml:space="preserve"> disclosure </t>
    </r>
    <r>
      <rPr>
        <sz val="8"/>
        <color rgb="FF000000"/>
        <rFont val="Calibri"/>
        <family val="2"/>
      </rPr>
      <t>align</t>
    </r>
    <r>
      <rPr>
        <sz val="8"/>
        <color rgb="FF000000"/>
        <rFont val="Calibri"/>
        <family val="2"/>
      </rPr>
      <t>s</t>
    </r>
    <r>
      <rPr>
        <sz val="8"/>
        <color rgb="FF000000"/>
        <rFont val="Calibri"/>
        <family val="2"/>
      </rPr>
      <t xml:space="preserve"> with the Minerals Council of Australia (MCA) Water Accounting Framework User Guide 2.0 2022 and to the </t>
    </r>
    <r>
      <rPr>
        <sz val="8"/>
        <color rgb="FF000000"/>
        <rFont val="Calibri"/>
        <family val="2"/>
      </rPr>
      <t>International Council on Mining and Metals (</t>
    </r>
    <r>
      <rPr>
        <sz val="8"/>
        <color rgb="FF000000"/>
        <rFont val="Calibri"/>
        <family val="2"/>
      </rPr>
      <t>ICMM</t>
    </r>
    <r>
      <rPr>
        <sz val="8"/>
        <color rgb="FF000000"/>
        <rFont val="Calibri"/>
        <family val="2"/>
      </rPr>
      <t>)</t>
    </r>
    <r>
      <rPr>
        <sz val="8"/>
        <color rgb="FF000000"/>
        <rFont val="Calibri"/>
        <family val="2"/>
      </rPr>
      <t xml:space="preserve"> Water Reporting: Good Practice Guide </t>
    </r>
    <r>
      <rPr>
        <sz val="8"/>
        <color rgb="FF000000"/>
        <rFont val="Calibri"/>
        <family val="2"/>
      </rPr>
      <t>(</t>
    </r>
    <r>
      <rPr>
        <sz val="8"/>
        <color rgb="FF000000"/>
        <rFont val="Calibri"/>
        <family val="2"/>
      </rPr>
      <t>August 2021</t>
    </r>
    <r>
      <rPr>
        <sz val="8"/>
        <color rgb="FF000000"/>
        <rFont val="Calibri"/>
        <family val="2"/>
      </rPr>
      <t>)</t>
    </r>
    <r>
      <rPr>
        <sz val="8"/>
        <color rgb="FF000000"/>
        <rFont val="Calibri"/>
        <family val="2"/>
      </rPr>
      <t xml:space="preserve">.
</t>
    </r>
    <r>
      <rPr>
        <vertAlign val="superscript"/>
        <sz val="8"/>
        <color rgb="FF000000"/>
        <rFont val="Calibri"/>
        <family val="2"/>
      </rPr>
      <t>2</t>
    </r>
    <r>
      <rPr>
        <sz val="8"/>
        <color rgb="FF000000"/>
        <rFont val="Calibri"/>
        <family val="2"/>
      </rPr>
      <t xml:space="preserve"> </t>
    </r>
    <r>
      <rPr>
        <sz val="8"/>
        <color rgb="FF000000"/>
        <rFont val="Calibri"/>
        <family val="2"/>
      </rPr>
      <t xml:space="preserve">Certain prior period </t>
    </r>
    <r>
      <rPr>
        <sz val="8"/>
        <color rgb="FF000000"/>
        <rFont val="Calibri"/>
        <family val="2"/>
      </rPr>
      <t>values</t>
    </r>
    <r>
      <rPr>
        <sz val="8"/>
        <color rgb="FF000000"/>
        <rFont val="Calibri"/>
        <family val="2"/>
      </rPr>
      <t xml:space="preserve"> have been </t>
    </r>
    <r>
      <rPr>
        <sz val="8"/>
        <color rgb="FF000000"/>
        <rFont val="Calibri"/>
        <family val="2"/>
      </rPr>
      <t>restated</t>
    </r>
    <r>
      <rPr>
        <sz val="8"/>
        <color rgb="FF000000"/>
        <rFont val="Calibri"/>
        <family val="2"/>
      </rPr>
      <t xml:space="preserve"> to correct</t>
    </r>
    <r>
      <rPr>
        <sz val="8"/>
        <color rgb="FF000000"/>
        <rFont val="Calibri"/>
        <family val="2"/>
      </rPr>
      <t xml:space="preserve"> for</t>
    </r>
    <r>
      <rPr>
        <sz val="8"/>
        <color rgb="FF000000"/>
        <rFont val="Calibri"/>
        <family val="2"/>
      </rPr>
      <t xml:space="preserve"> </t>
    </r>
    <r>
      <rPr>
        <sz val="8"/>
        <color rgb="FF000000"/>
        <rFont val="Calibri"/>
        <family val="2"/>
      </rPr>
      <t>site-leve</t>
    </r>
    <r>
      <rPr>
        <sz val="8"/>
        <color rgb="FF000000"/>
        <rFont val="Calibri"/>
        <family val="2"/>
      </rPr>
      <t xml:space="preserve">l </t>
    </r>
    <r>
      <rPr>
        <sz val="8"/>
        <color rgb="FF000000"/>
        <rFont val="Calibri"/>
        <family val="2"/>
      </rPr>
      <t xml:space="preserve">errors made in the prior </t>
    </r>
    <r>
      <rPr>
        <sz val="8"/>
        <color rgb="FF000000"/>
        <rFont val="Calibri"/>
        <family val="2"/>
      </rPr>
      <t xml:space="preserve">reporting </t>
    </r>
    <r>
      <rPr>
        <sz val="8"/>
        <color rgb="FF000000"/>
        <rFont val="Calibri"/>
        <family val="2"/>
      </rPr>
      <t>period</t>
    </r>
    <r>
      <rPr>
        <sz val="8"/>
        <color rgb="FF000000"/>
        <rFont val="Calibri"/>
        <family val="2"/>
      </rPr>
      <t>s</t>
    </r>
    <r>
      <rPr>
        <sz val="8"/>
        <color rgb="FF000000"/>
        <rFont val="Calibri"/>
        <family val="2"/>
      </rPr>
      <t xml:space="preserve"> and to reflect</t>
    </r>
    <r>
      <rPr>
        <sz val="8"/>
        <color rgb="FF000000"/>
        <rFont val="Calibri"/>
        <family val="2"/>
      </rPr>
      <t xml:space="preserve"> improvements and</t>
    </r>
    <r>
      <rPr>
        <sz val="8"/>
        <color rgb="FF000000"/>
        <rFont val="Calibri"/>
        <family val="2"/>
      </rPr>
      <t xml:space="preserve"> changes in measurement methodology. Overall, the change</t>
    </r>
    <r>
      <rPr>
        <sz val="8"/>
        <color rgb="FF000000"/>
        <rFont val="Calibri"/>
        <family val="2"/>
      </rPr>
      <t>s</t>
    </r>
    <r>
      <rPr>
        <sz val="8"/>
        <color rgb="FF000000"/>
        <rFont val="Calibri"/>
        <family val="2"/>
      </rPr>
      <t xml:space="preserve"> in the global total </t>
    </r>
    <r>
      <rPr>
        <sz val="8"/>
        <color rgb="FF000000"/>
        <rFont val="Calibri"/>
        <family val="2"/>
      </rPr>
      <t xml:space="preserve">values as </t>
    </r>
    <r>
      <rPr>
        <sz val="8"/>
        <color rgb="FF000000"/>
        <rFont val="Calibri"/>
        <family val="2"/>
      </rPr>
      <t xml:space="preserve">compared to </t>
    </r>
    <r>
      <rPr>
        <sz val="8"/>
        <color rgb="FF000000"/>
        <rFont val="Calibri"/>
        <family val="2"/>
      </rPr>
      <t>those</t>
    </r>
    <r>
      <rPr>
        <sz val="8"/>
        <color rgb="FF000000"/>
        <rFont val="Calibri"/>
        <family val="2"/>
      </rPr>
      <t xml:space="preserve"> reported in the prior period</t>
    </r>
    <r>
      <rPr>
        <sz val="8"/>
        <color rgb="FF000000"/>
        <rFont val="Calibri"/>
        <family val="2"/>
      </rPr>
      <t xml:space="preserve">s </t>
    </r>
    <r>
      <rPr>
        <sz val="8"/>
        <color rgb="FF000000"/>
        <rFont val="Calibri"/>
        <family val="2"/>
      </rPr>
      <t xml:space="preserve">do </t>
    </r>
    <r>
      <rPr>
        <sz val="8"/>
        <color rgb="FF000000"/>
        <rFont val="Calibri"/>
        <family val="2"/>
      </rPr>
      <t>not result in</t>
    </r>
    <r>
      <rPr>
        <sz val="8"/>
        <color rgb="FF000000"/>
        <rFont val="Calibri"/>
        <family val="2"/>
      </rPr>
      <t xml:space="preserve"> significant material change</t>
    </r>
    <r>
      <rPr>
        <sz val="8"/>
        <color rgb="FF000000"/>
        <rFont val="Calibri"/>
        <family val="2"/>
      </rPr>
      <t>s</t>
    </r>
    <r>
      <rPr>
        <sz val="8"/>
        <color rgb="FF000000"/>
        <rFont val="Calibri"/>
        <family val="2"/>
      </rPr>
      <t>.</t>
    </r>
  </si>
  <si>
    <t>Percent of total consumption</t>
  </si>
  <si>
    <r>
      <rPr>
        <sz val="10"/>
        <color rgb="FF000000"/>
        <rFont val="Calibri"/>
        <family val="2"/>
      </rPr>
      <t>Category 2</t>
    </r>
    <r>
      <rPr>
        <vertAlign val="superscript"/>
        <sz val="10"/>
        <color rgb="FF000000"/>
        <rFont val="Calibri"/>
        <family val="2"/>
      </rPr>
      <t>1</t>
    </r>
  </si>
  <si>
    <r>
      <rPr>
        <vertAlign val="superscript"/>
        <sz val="8"/>
        <color rgb="FF000000"/>
        <rFont val="Calibri"/>
        <family val="2"/>
      </rPr>
      <t xml:space="preserve">1 </t>
    </r>
    <r>
      <rPr>
        <sz val="8"/>
        <color rgb="FF000000"/>
        <rFont val="Calibri"/>
        <family val="2"/>
      </rPr>
      <t>Consumption for Category 2 water quality is negative because more Category 2 water was withdrawn than was returned to the system as higher quality Category 1 water.</t>
    </r>
  </si>
  <si>
    <r>
      <rPr>
        <b/>
        <sz val="10"/>
        <color rgb="FF000000"/>
        <rFont val="Calibri"/>
        <family val="2"/>
      </rPr>
      <t>Water balance</t>
    </r>
    <r>
      <rPr>
        <b/>
        <vertAlign val="superscript"/>
        <sz val="10"/>
        <color rgb="FF000000"/>
        <rFont val="Calibri"/>
        <family val="2"/>
      </rPr>
      <t>1</t>
    </r>
    <r>
      <rPr>
        <b/>
        <vertAlign val="superscript"/>
        <sz val="10"/>
        <color rgb="FF000000"/>
        <rFont val="Calibri"/>
        <family val="2"/>
      </rPr>
      <t>, 2</t>
    </r>
  </si>
  <si>
    <t>Megaliters</t>
  </si>
  <si>
    <t>Surface water withdrawn</t>
  </si>
  <si>
    <t>Groundwater withdrawn</t>
  </si>
  <si>
    <t>Precipitation water withdrawn</t>
  </si>
  <si>
    <t>Third-party water withdrawn</t>
  </si>
  <si>
    <t>Surface water discharged</t>
  </si>
  <si>
    <t>Groundwater discharged</t>
  </si>
  <si>
    <t>Third-party water discharged</t>
  </si>
  <si>
    <t>Water consumed</t>
  </si>
  <si>
    <t>Water recycled or reused</t>
  </si>
  <si>
    <r>
      <rPr>
        <vertAlign val="superscript"/>
        <sz val="8"/>
        <color rgb="FF000000"/>
        <rFont val="Calibri"/>
        <family val="2"/>
      </rPr>
      <t>1</t>
    </r>
    <r>
      <rPr>
        <sz val="8"/>
        <color rgb="FF000000"/>
        <rFont val="Calibri"/>
        <family val="2"/>
      </rPr>
      <t xml:space="preserve"> </t>
    </r>
    <r>
      <rPr>
        <sz val="8"/>
        <color rgb="FF000000"/>
        <rFont val="Calibri"/>
        <family val="2"/>
      </rPr>
      <t xml:space="preserve">Newmont's water accounting disclosure aligns with the Minerals Council of Australia (MCA) Water Accounting Framework User Guide 2.0 2022 and to the International Council on Mining and Metals (ICMM) Water Reporting: Good Practice Guide </t>
    </r>
    <r>
      <rPr>
        <sz val="8"/>
        <color rgb="FF000000"/>
        <rFont val="Calibri"/>
        <family val="2"/>
      </rPr>
      <t>(</t>
    </r>
    <r>
      <rPr>
        <sz val="8"/>
        <color rgb="FF000000"/>
        <rFont val="Calibri"/>
        <family val="2"/>
      </rPr>
      <t>August 2021</t>
    </r>
    <r>
      <rPr>
        <sz val="8"/>
        <color rgb="FF000000"/>
        <rFont val="Calibri"/>
        <family val="2"/>
      </rPr>
      <t>)</t>
    </r>
    <r>
      <rPr>
        <sz val="8"/>
        <color rgb="FF000000"/>
        <rFont val="Calibri"/>
        <family val="2"/>
      </rPr>
      <t xml:space="preserve">.
</t>
    </r>
    <r>
      <rPr>
        <vertAlign val="superscript"/>
        <sz val="8"/>
        <color rgb="FF000000"/>
        <rFont val="Calibri"/>
        <family val="2"/>
      </rPr>
      <t xml:space="preserve">2 </t>
    </r>
    <r>
      <rPr>
        <sz val="8"/>
        <color rgb="FF000000"/>
        <rFont val="Calibri"/>
        <family val="2"/>
      </rPr>
      <t>Some figures and percentages may not add up to the total figure or 100 percent due to rounding.</t>
    </r>
  </si>
  <si>
    <r>
      <rPr>
        <b/>
        <sz val="10"/>
        <color rgb="FF000000"/>
        <rFont val="Calibri"/>
        <family val="2"/>
      </rPr>
      <t xml:space="preserve">2020 </t>
    </r>
    <r>
      <rPr>
        <b/>
        <vertAlign val="superscript"/>
        <sz val="10"/>
        <color rgb="FF000000"/>
        <rFont val="Calibri"/>
        <family val="2"/>
      </rPr>
      <t>3</t>
    </r>
  </si>
  <si>
    <r>
      <rPr>
        <b/>
        <sz val="10"/>
        <color rgb="FF000000"/>
        <rFont val="Calibri"/>
        <family val="2"/>
      </rPr>
      <t>2021</t>
    </r>
    <r>
      <rPr>
        <b/>
        <sz val="10"/>
        <color rgb="FF000000"/>
        <rFont val="Calibri"/>
        <family val="2"/>
      </rPr>
      <t xml:space="preserve"> </t>
    </r>
    <r>
      <rPr>
        <b/>
        <vertAlign val="superscript"/>
        <sz val="10"/>
        <color rgb="FF000000"/>
        <rFont val="Calibri"/>
        <family val="2"/>
      </rPr>
      <t>3</t>
    </r>
  </si>
  <si>
    <r>
      <rPr>
        <sz val="10"/>
        <color rgb="FF000000"/>
        <rFont val="Calibri"/>
        <family val="2"/>
      </rPr>
      <t>Water consumed (ML) / GEO (thousands)</t>
    </r>
    <r>
      <rPr>
        <vertAlign val="superscript"/>
        <sz val="10"/>
        <color rgb="FF000000"/>
        <rFont val="Calibri"/>
        <family val="2"/>
      </rPr>
      <t>1</t>
    </r>
  </si>
  <si>
    <r>
      <rPr>
        <sz val="10"/>
        <color rgb="FF000000"/>
        <rFont val="Calibri"/>
        <family val="2"/>
      </rPr>
      <t>Water consumed (ML) / tonne of ore processed (thousands)</t>
    </r>
    <r>
      <rPr>
        <vertAlign val="superscript"/>
        <sz val="10"/>
        <color rgb="FF000000"/>
        <rFont val="Calibri"/>
        <family val="2"/>
      </rPr>
      <t>2</t>
    </r>
  </si>
  <si>
    <t>Water consumed (ML) / revenue (millions)</t>
  </si>
  <si>
    <r>
      <rPr>
        <vertAlign val="superscript"/>
        <sz val="8"/>
        <color rgb="FF000000"/>
        <rFont val="Calibri"/>
        <family val="2"/>
      </rPr>
      <t>1</t>
    </r>
    <r>
      <rPr>
        <sz val="8"/>
        <color rgb="FF000000"/>
        <rFont val="Calibri"/>
        <family val="2"/>
      </rPr>
      <t xml:space="preserve"> </t>
    </r>
    <r>
      <rPr>
        <sz val="8"/>
        <color rgb="FF000000"/>
        <rFont val="Calibri"/>
        <family val="2"/>
      </rPr>
      <t xml:space="preserve">Water intensity by Gold Equivalent Ounces (GEO) </t>
    </r>
    <r>
      <rPr>
        <sz val="8"/>
        <color rgb="FF000000"/>
        <rFont val="Calibri"/>
        <family val="2"/>
      </rPr>
      <t xml:space="preserve">is </t>
    </r>
    <r>
      <rPr>
        <sz val="8"/>
        <color rgb="FF000000"/>
        <rFont val="Calibri"/>
        <family val="2"/>
      </rPr>
      <t>represented as the volume of water consumed (ML) per thousand GEO.</t>
    </r>
    <r>
      <rPr>
        <sz val="8"/>
        <color rgb="FF000000"/>
        <rFont val="Calibri"/>
        <family val="2"/>
      </rPr>
      <t xml:space="preserve"> </t>
    </r>
    <r>
      <rPr>
        <sz val="8"/>
        <color rgb="FF000000"/>
        <rFont val="Calibri"/>
        <family val="2"/>
      </rPr>
      <t xml:space="preserve">The GEO figure includes total produced and co-product GEO as defined in our Form 2023 10-K, adjusted to match the reporting boundary of our Annual Sustainability Report.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Water intensity by ore processed</t>
    </r>
    <r>
      <rPr>
        <sz val="8"/>
        <color rgb="FF000000"/>
        <rFont val="Calibri"/>
        <family val="2"/>
      </rPr>
      <t xml:space="preserve"> is</t>
    </r>
    <r>
      <rPr>
        <sz val="8"/>
        <color rgb="FF000000"/>
        <rFont val="Calibri"/>
        <family val="2"/>
      </rPr>
      <t xml:space="preserve"> represented as the volume of water consumed (ML) per tonne of ore processed.</t>
    </r>
    <r>
      <rPr>
        <sz val="8"/>
        <color rgb="FF000000"/>
        <rFont val="Calibri"/>
        <family val="2"/>
      </rPr>
      <t xml:space="preserve"> </t>
    </r>
    <r>
      <rPr>
        <sz val="8"/>
        <color rgb="FF000000"/>
        <rFont val="Calibri"/>
        <family val="2"/>
      </rPr>
      <t xml:space="preserve">The tonnes of ore processed is based on the operational statistics defined in our Full Year &amp; Fourth Quarter 2023 Regional Operating Statistics, adjusted to match the reporting boundary of our Annual Sustainability Report. Beginning in 2022, our water intensity metric for tonnes of ore processed was updated from only including ore milled to including both ore milled and leached, to more accurately represent total water intensity for all ore processed at the site.
</t>
    </r>
    <r>
      <rPr>
        <vertAlign val="superscript"/>
        <sz val="8"/>
        <color rgb="FF000000"/>
        <rFont val="Calibri"/>
        <family val="2"/>
      </rPr>
      <t>3</t>
    </r>
    <r>
      <rPr>
        <vertAlign val="superscript"/>
        <sz val="8"/>
        <color rgb="FF000000"/>
        <rFont val="Calibri"/>
        <family val="2"/>
      </rPr>
      <t xml:space="preserve"> </t>
    </r>
    <r>
      <rPr>
        <sz val="8"/>
        <color rgb="FF000000"/>
        <rFont val="Calibri"/>
        <family val="2"/>
      </rPr>
      <t>Certain prior period values have been restated to correct for site-level errors made in the prior reporting periods and to reflect improvements and changes in measurement methodology. Overall, the changes in the global total values as compared to those reported in the prior periods do not result in significant material changes.</t>
    </r>
  </si>
  <si>
    <t>Site</t>
  </si>
  <si>
    <t>Climate conditions</t>
  </si>
  <si>
    <r>
      <rPr>
        <b/>
        <sz val="10"/>
        <color rgb="FF000000"/>
        <rFont val="Calibri"/>
        <family val="2"/>
      </rPr>
      <t>Main water supply</t>
    </r>
    <r>
      <rPr>
        <b/>
        <vertAlign val="superscript"/>
        <sz val="10"/>
        <color rgb="FF000000"/>
        <rFont val="Calibri"/>
        <family val="2"/>
      </rPr>
      <t>4</t>
    </r>
  </si>
  <si>
    <r>
      <rPr>
        <b/>
        <sz val="10"/>
        <color rgb="FF000000"/>
        <rFont val="Calibri"/>
        <family val="2"/>
      </rPr>
      <t>Risk: Water stress</t>
    </r>
    <r>
      <rPr>
        <b/>
        <vertAlign val="superscript"/>
        <sz val="10"/>
        <color rgb="FF000000"/>
        <rFont val="Calibri"/>
        <family val="2"/>
      </rPr>
      <t>5</t>
    </r>
  </si>
  <si>
    <t>Risk: Water quality</t>
  </si>
  <si>
    <t>Risk: Excess water</t>
  </si>
  <si>
    <t>Risk: Watershed challenges</t>
  </si>
  <si>
    <t>Humid</t>
  </si>
  <si>
    <t>GW</t>
  </si>
  <si>
    <t>Semi-arid</t>
  </si>
  <si>
    <t>GW, SW</t>
  </si>
  <si>
    <r>
      <rPr>
        <sz val="10"/>
        <color rgb="FF000000"/>
        <rFont val="Calibri"/>
        <family val="2"/>
      </rPr>
      <t>Tanami</t>
    </r>
    <r>
      <rPr>
        <vertAlign val="superscript"/>
        <sz val="10"/>
        <color rgb="FF000000"/>
        <rFont val="Calibri"/>
        <family val="2"/>
      </rPr>
      <t>2</t>
    </r>
  </si>
  <si>
    <t>Arid</t>
  </si>
  <si>
    <t>Moderate precipitation</t>
  </si>
  <si>
    <t>Low to moderate precipitation</t>
  </si>
  <si>
    <t>MW</t>
  </si>
  <si>
    <r>
      <rPr>
        <sz val="10"/>
        <color rgb="FF000000"/>
        <rFont val="Calibri"/>
        <family val="2"/>
      </rPr>
      <t>Yanacocha</t>
    </r>
    <r>
      <rPr>
        <vertAlign val="superscript"/>
        <sz val="10"/>
        <color rgb="FF000000"/>
        <rFont val="Calibri"/>
        <family val="2"/>
      </rPr>
      <t>3</t>
    </r>
  </si>
  <si>
    <t>Moderate precipitation with a distinct dry season</t>
  </si>
  <si>
    <r>
      <rPr>
        <vertAlign val="superscript"/>
        <sz val="8"/>
        <color rgb="FF000000"/>
        <rFont val="Calibri"/>
        <family val="2"/>
      </rPr>
      <t xml:space="preserve">1 </t>
    </r>
    <r>
      <rPr>
        <sz val="8"/>
        <color rgb="FF000000"/>
        <rFont val="Calibri"/>
        <family val="2"/>
      </rPr>
      <t xml:space="preserve">Baseline water stress at Boddington does not consider interannual variability. Interannual variability can also increase the risk of water stress. For example, Boddington can have years of baseline water stress in dry years or excess water in wet years, but overall it is not considered to be situated in a watershed with high or greater baseline water stress. 
</t>
    </r>
    <r>
      <rPr>
        <vertAlign val="superscript"/>
        <sz val="8"/>
        <color rgb="FF000000"/>
        <rFont val="Calibri"/>
        <family val="2"/>
      </rPr>
      <t>2</t>
    </r>
    <r>
      <rPr>
        <sz val="8"/>
        <color rgb="FF000000"/>
        <rFont val="Calibri"/>
        <family val="2"/>
      </rPr>
      <t xml:space="preserve"> </t>
    </r>
    <r>
      <rPr>
        <sz val="8"/>
        <color rgb="FF000000"/>
        <rFont val="Calibri"/>
        <family val="2"/>
      </rPr>
      <t xml:space="preserve">The Tanami desert experiences seasonal flooding attributable to cyclonic and tropical low precipitation and topography. Road access may be disrupted. For the 2023 reporting period, Tanami was considered a water-stressed site, and Tanami’s water stewardship performance data is reported as such. However, beginning in the 2024 reporting period, Tanami will no longer be designated as a water-stressed site, and as such, the “water stress” water risk designation has been removed on our Watershed-based Risks map.
</t>
    </r>
    <r>
      <rPr>
        <vertAlign val="superscript"/>
        <sz val="8"/>
        <color rgb="FF000000"/>
        <rFont val="Calibri"/>
        <family val="2"/>
      </rPr>
      <t xml:space="preserve">3 </t>
    </r>
    <r>
      <rPr>
        <sz val="8"/>
        <color rgb="FF000000"/>
        <rFont val="Calibri"/>
        <family val="2"/>
      </rPr>
      <t xml:space="preserve">Portions of Yanacocha are located in water-stressed areas, while other portions are not, and the risk of water stress is managed through water transfer between areas.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Main water supply sources are defined as groundwater (GW), surface water (SW), and municipal/third-party water (MW). No operation uses seawater as a water source. Precipitation inputs to operations are not identified as surface water supplies for the purposes of this figure (SW).</t>
    </r>
    <r>
      <rPr>
        <vertAlign val="superscript"/>
        <sz val="8"/>
        <color rgb="FF000000"/>
        <rFont val="Calibri"/>
        <family val="2"/>
      </rPr>
      <t xml:space="preserve"> 
</t>
    </r>
    <r>
      <rPr>
        <vertAlign val="superscript"/>
        <sz val="8"/>
        <color rgb="FF000000"/>
        <rFont val="Calibri"/>
        <family val="2"/>
      </rPr>
      <t>5</t>
    </r>
    <r>
      <rPr>
        <vertAlign val="superscript"/>
        <sz val="8"/>
        <color rgb="FF000000"/>
        <rFont val="Calibri"/>
        <family val="2"/>
      </rPr>
      <t xml:space="preserve"> </t>
    </r>
    <r>
      <rPr>
        <sz val="8"/>
        <color rgb="FF000000"/>
        <rFont val="Calibri"/>
        <family val="2"/>
      </rPr>
      <t>Baseline water stress as defined by WRI Aqueduct and adjusted per the narrative.</t>
    </r>
  </si>
  <si>
    <r>
      <rPr>
        <b/>
        <sz val="10"/>
        <color rgb="FF000000"/>
        <rFont val="Calibri"/>
        <family val="2"/>
      </rPr>
      <t>Water consumed</t>
    </r>
    <r>
      <rPr>
        <b/>
        <sz val="10"/>
        <color rgb="FF000000"/>
        <rFont val="Calibri"/>
        <family val="2"/>
      </rPr>
      <t xml:space="preserve"> by water quality categories: Trailing </t>
    </r>
    <r>
      <rPr>
        <b/>
        <sz val="10"/>
        <color rgb="FF000000"/>
        <rFont val="Calibri"/>
        <family val="2"/>
      </rPr>
      <t>f</t>
    </r>
    <r>
      <rPr>
        <b/>
        <sz val="10"/>
        <color rgb="FF000000"/>
        <rFont val="Calibri"/>
        <family val="2"/>
      </rPr>
      <t>ive</t>
    </r>
    <r>
      <rPr>
        <b/>
        <sz val="10"/>
        <color rgb="FF000000"/>
        <rFont val="Calibri"/>
        <family val="2"/>
      </rPr>
      <t xml:space="preserve"> year data (megaliters</t>
    </r>
    <r>
      <rPr>
        <b/>
        <sz val="10"/>
        <color rgb="FF000000"/>
        <rFont val="Calibri"/>
        <family val="2"/>
      </rPr>
      <t>)</t>
    </r>
    <r>
      <rPr>
        <b/>
        <vertAlign val="superscript"/>
        <sz val="10"/>
        <color rgb="FF000000"/>
        <rFont val="Calibri"/>
        <family val="2"/>
      </rPr>
      <t>1</t>
    </r>
  </si>
  <si>
    <t>Category</t>
  </si>
  <si>
    <t>Consumption</t>
  </si>
  <si>
    <t xml:space="preserve">High </t>
  </si>
  <si>
    <t>Low</t>
  </si>
  <si>
    <r>
      <rPr>
        <vertAlign val="superscript"/>
        <sz val="8"/>
        <color rgb="FF000000"/>
        <rFont val="Calibri"/>
        <family val="2"/>
      </rPr>
      <t xml:space="preserve">1 </t>
    </r>
    <r>
      <rPr>
        <sz val="8"/>
        <color rgb="FF000000"/>
        <rFont val="Calibri"/>
        <family val="2"/>
      </rPr>
      <t xml:space="preserve">High quality water corresponds to Category 1 and Category 2 water quality. Low quality water corresponds to Category 3 water quality.
</t>
    </r>
    <r>
      <rPr>
        <vertAlign val="superscript"/>
        <sz val="8"/>
        <color rgb="FF000000"/>
        <rFont val="Calibri"/>
        <family val="2"/>
      </rPr>
      <t>2</t>
    </r>
    <r>
      <rPr>
        <sz val="8"/>
        <color rgb="FF000000"/>
        <rFont val="Calibri"/>
        <family val="2"/>
      </rPr>
      <t xml:space="preserve"> </t>
    </r>
    <r>
      <rPr>
        <sz val="8"/>
        <color rgb="FF000000"/>
        <rFont val="Calibri"/>
        <family val="2"/>
      </rPr>
      <t>Certain prior period values have been restated to correct for site-level errors made in the prior reporting periods and to reflect improvements and changes in measurement methodology. Overall, the changes in the global total values as compared to those reported in the prior periods do not result in significant material changes.</t>
    </r>
  </si>
  <si>
    <r>
      <rPr>
        <b/>
        <sz val="10"/>
        <color rgb="FF000000"/>
        <rFont val="Calibri"/>
        <family val="2"/>
      </rPr>
      <t>W</t>
    </r>
    <r>
      <rPr>
        <b/>
        <sz val="10"/>
        <color rgb="FF000000"/>
        <rFont val="Calibri"/>
        <family val="2"/>
      </rPr>
      <t xml:space="preserve">ater-stressed </t>
    </r>
    <r>
      <rPr>
        <b/>
        <sz val="10"/>
        <color rgb="FF000000"/>
        <rFont val="Calibri"/>
        <family val="2"/>
      </rPr>
      <t>sites</t>
    </r>
    <r>
      <rPr>
        <b/>
        <sz val="10"/>
        <color rgb="FF000000"/>
        <rFont val="Calibri"/>
        <family val="2"/>
      </rPr>
      <t xml:space="preserve"> summary (megaliters)</t>
    </r>
    <r>
      <rPr>
        <b/>
        <vertAlign val="superscript"/>
        <sz val="10"/>
        <color rgb="FF000000"/>
        <rFont val="Calibri"/>
        <family val="2"/>
      </rPr>
      <t>1</t>
    </r>
  </si>
  <si>
    <t>Total water consumed</t>
  </si>
  <si>
    <t>Total water used (consumed + recycled or reused)</t>
  </si>
  <si>
    <t>Percent recycled (total water recycled or reused / total water used)</t>
  </si>
  <si>
    <r>
      <rPr>
        <b/>
        <sz val="10"/>
        <color rgb="FF000000"/>
        <rFont val="Calibri"/>
        <family val="2"/>
      </rPr>
      <t>Water intensity - GEO</t>
    </r>
    <r>
      <rPr>
        <b/>
        <vertAlign val="superscript"/>
        <sz val="10"/>
        <color rgb="FF000000"/>
        <rFont val="Calibri"/>
        <family val="2"/>
      </rPr>
      <t>2</t>
    </r>
  </si>
  <si>
    <r>
      <rPr>
        <b/>
        <sz val="10"/>
        <color rgb="FF000000"/>
        <rFont val="Calibri"/>
        <family val="2"/>
      </rPr>
      <t xml:space="preserve">Water intensity </t>
    </r>
    <r>
      <rPr>
        <b/>
        <sz val="10"/>
        <color rgb="FF000000"/>
        <rFont val="Calibri"/>
        <family val="2"/>
      </rPr>
      <t xml:space="preserve">- </t>
    </r>
    <r>
      <rPr>
        <b/>
        <sz val="10"/>
        <color rgb="FF000000"/>
        <rFont val="Calibri"/>
        <family val="2"/>
      </rPr>
      <t>ore processed</t>
    </r>
    <r>
      <rPr>
        <b/>
        <vertAlign val="superscript"/>
        <sz val="10"/>
        <color rgb="FF000000"/>
        <rFont val="Calibri"/>
        <family val="2"/>
      </rPr>
      <t>3</t>
    </r>
  </si>
  <si>
    <r>
      <rPr>
        <vertAlign val="superscript"/>
        <sz val="8"/>
        <color rgb="FF000000"/>
        <rFont val="Calibri"/>
        <family val="2"/>
      </rPr>
      <t>1</t>
    </r>
    <r>
      <rPr>
        <sz val="8"/>
        <color rgb="FF000000"/>
        <rFont val="Calibri"/>
        <family val="2"/>
      </rPr>
      <t xml:space="preserve"> Newmont’s </t>
    </r>
    <r>
      <rPr>
        <sz val="8"/>
        <color rgb="FF000000"/>
        <rFont val="Calibri"/>
        <family val="2"/>
      </rPr>
      <t>four</t>
    </r>
    <r>
      <rPr>
        <sz val="8"/>
        <color rgb="FF000000"/>
        <rFont val="Calibri"/>
        <family val="2"/>
      </rPr>
      <t xml:space="preserve"> operating sites that have been identified as having a risk of water stress include</t>
    </r>
    <r>
      <rPr>
        <sz val="8"/>
        <color rgb="FF000000"/>
        <rFont val="Calibri"/>
        <family val="2"/>
      </rPr>
      <t xml:space="preserve"> </t>
    </r>
    <r>
      <rPr>
        <sz val="8"/>
        <color rgb="FF000000"/>
        <rFont val="Calibri"/>
        <family val="2"/>
      </rPr>
      <t xml:space="preserve">Tanami, </t>
    </r>
    <r>
      <rPr>
        <sz val="8"/>
        <color rgb="FF000000"/>
        <rFont val="Calibri"/>
        <family val="2"/>
      </rPr>
      <t>Cerro Negro, Peñasquito</t>
    </r>
    <r>
      <rPr>
        <sz val="8"/>
        <color rgb="FF000000"/>
        <rFont val="Calibri"/>
        <family val="2"/>
      </rPr>
      <t xml:space="preserve"> and CC&amp;V.</t>
    </r>
    <r>
      <rPr>
        <sz val="8"/>
        <color rgb="FF000000"/>
        <rFont val="Calibri"/>
        <family val="2"/>
      </rPr>
      <t xml:space="preserve"> However, after</t>
    </r>
    <r>
      <rPr>
        <sz val="8"/>
        <color rgb="FF000000"/>
        <rFont val="Calibri"/>
        <family val="2"/>
      </rPr>
      <t xml:space="preserve"> the</t>
    </r>
    <r>
      <rPr>
        <sz val="8"/>
        <color rgb="FF000000"/>
        <rFont val="Calibri"/>
        <family val="2"/>
      </rPr>
      <t xml:space="preserve"> 2023 reporting</t>
    </r>
    <r>
      <rPr>
        <sz val="8"/>
        <color rgb="FF000000"/>
        <rFont val="Calibri"/>
        <family val="2"/>
      </rPr>
      <t xml:space="preserve"> period</t>
    </r>
    <r>
      <rPr>
        <sz val="8"/>
        <color rgb="FF000000"/>
        <rFont val="Calibri"/>
        <family val="2"/>
      </rPr>
      <t xml:space="preserve">, </t>
    </r>
    <r>
      <rPr>
        <sz val="8"/>
        <color rgb="FF000000"/>
        <rFont val="Calibri"/>
        <family val="2"/>
      </rPr>
      <t>Tanami will no longer be designated as a water-stre</t>
    </r>
    <r>
      <rPr>
        <sz val="8"/>
        <color rgb="FF000000"/>
        <rFont val="Calibri"/>
        <family val="2"/>
      </rPr>
      <t xml:space="preserve">ssed sites for future reporting years.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Water intensity by Gold Equivalent Ounces (GEO)</t>
    </r>
    <r>
      <rPr>
        <sz val="8"/>
        <color rgb="FF000000"/>
        <rFont val="Calibri"/>
        <family val="2"/>
      </rPr>
      <t xml:space="preserve"> </t>
    </r>
    <r>
      <rPr>
        <sz val="8"/>
        <color rgb="FF000000"/>
        <rFont val="Calibri"/>
        <family val="2"/>
      </rPr>
      <t>is</t>
    </r>
    <r>
      <rPr>
        <sz val="8"/>
        <color rgb="FF000000"/>
        <rFont val="Calibri"/>
        <family val="2"/>
      </rPr>
      <t xml:space="preserve"> represented as </t>
    </r>
    <r>
      <rPr>
        <sz val="8"/>
        <color rgb="FF000000"/>
        <rFont val="Calibri"/>
        <family val="2"/>
      </rPr>
      <t>t</t>
    </r>
    <r>
      <rPr>
        <sz val="8"/>
        <color rgb="FF000000"/>
        <rFont val="Calibri"/>
        <family val="2"/>
      </rPr>
      <t>h</t>
    </r>
    <r>
      <rPr>
        <sz val="8"/>
        <color rgb="FF000000"/>
        <rFont val="Calibri"/>
        <family val="2"/>
      </rPr>
      <t>e</t>
    </r>
    <r>
      <rPr>
        <sz val="8"/>
        <color rgb="FF000000"/>
        <rFont val="Calibri"/>
        <family val="2"/>
      </rPr>
      <t xml:space="preserve"> </t>
    </r>
    <r>
      <rPr>
        <sz val="8"/>
        <color rgb="FF000000"/>
        <rFont val="Calibri"/>
        <family val="2"/>
      </rPr>
      <t>volume of water consumed</t>
    </r>
    <r>
      <rPr>
        <sz val="8"/>
        <color rgb="FF000000"/>
        <rFont val="Calibri"/>
        <family val="2"/>
      </rPr>
      <t xml:space="preserve"> (ML) per thousand GEO.</t>
    </r>
    <r>
      <rPr>
        <sz val="8"/>
        <color rgb="FF000000"/>
        <rFont val="Calibri"/>
        <family val="2"/>
      </rPr>
      <t xml:space="preserve"> </t>
    </r>
    <r>
      <rPr>
        <sz val="8"/>
        <color rgb="FF000000"/>
        <rFont val="Calibri"/>
        <family val="2"/>
      </rPr>
      <t xml:space="preserve">The GEO figure includes total produced and co-product GEO as defined in our Form 2023 10-K, adjusted to match the reporting boundary of our Annual Sustainability Report. 
</t>
    </r>
    <r>
      <rPr>
        <vertAlign val="superscript"/>
        <sz val="8"/>
        <color rgb="FF000000"/>
        <rFont val="Calibri"/>
        <family val="2"/>
      </rPr>
      <t>3</t>
    </r>
    <r>
      <rPr>
        <vertAlign val="superscript"/>
        <sz val="8"/>
        <color rgb="FF000000"/>
        <rFont val="Calibri"/>
        <family val="2"/>
      </rPr>
      <t xml:space="preserve"> </t>
    </r>
    <r>
      <rPr>
        <sz val="8"/>
        <color rgb="FF000000"/>
        <rFont val="Calibri"/>
        <family val="2"/>
      </rPr>
      <t xml:space="preserve">Water intensity by ore processed </t>
    </r>
    <r>
      <rPr>
        <sz val="8"/>
        <color rgb="FF000000"/>
        <rFont val="Calibri"/>
        <family val="2"/>
      </rPr>
      <t xml:space="preserve">is </t>
    </r>
    <r>
      <rPr>
        <sz val="8"/>
        <color rgb="FF000000"/>
        <rFont val="Calibri"/>
        <family val="2"/>
      </rPr>
      <t xml:space="preserve">represented as </t>
    </r>
    <r>
      <rPr>
        <sz val="8"/>
        <color rgb="FF000000"/>
        <rFont val="Calibri"/>
        <family val="2"/>
      </rPr>
      <t>the volume of water consumed</t>
    </r>
    <r>
      <rPr>
        <sz val="8"/>
        <color rgb="FF000000"/>
        <rFont val="Calibri"/>
        <family val="2"/>
      </rPr>
      <t xml:space="preserve"> (ML) per tonne of ore processed.</t>
    </r>
    <r>
      <rPr>
        <sz val="8"/>
        <color rgb="FF000000"/>
        <rFont val="Calibri"/>
        <family val="2"/>
      </rPr>
      <t xml:space="preserve"> </t>
    </r>
    <r>
      <rPr>
        <sz val="8"/>
        <color rgb="FF000000"/>
        <rFont val="Calibri"/>
        <family val="2"/>
      </rPr>
      <t>The tonnes of ore processed is based on the operational statistics defined in our Full Year &amp; Fourth Quarter 2023 Regional Operating Statistics, adjusted to match the reporting boundary of our Annual Sustainability Report. Beginning in 2022, our water intensity metric for tonnes of ore processed was updated from only including ore milled to including both ore milled and leached, to more accurately represent total water intensity for all ore processed at the site.</t>
    </r>
  </si>
  <si>
    <r>
      <rPr>
        <b/>
        <sz val="10"/>
        <color rgb="FF000000"/>
        <rFont val="Calibri"/>
        <family val="2"/>
      </rPr>
      <t>Water balance summary (megaliters)</t>
    </r>
    <r>
      <rPr>
        <b/>
        <vertAlign val="superscript"/>
        <sz val="10"/>
        <color rgb="FF000000"/>
        <rFont val="Calibri"/>
        <family val="2"/>
      </rPr>
      <t>1</t>
    </r>
  </si>
  <si>
    <t>Source/destination/type</t>
  </si>
  <si>
    <t>Volume of water by quality</t>
  </si>
  <si>
    <t>High (ML)</t>
  </si>
  <si>
    <t>Low (ML)</t>
  </si>
  <si>
    <t>Total (ML)</t>
  </si>
  <si>
    <t>Operational water withdrawal</t>
  </si>
  <si>
    <t>Other managed water withdrawal</t>
  </si>
  <si>
    <t>Total discharge</t>
  </si>
  <si>
    <t>Total consumption</t>
  </si>
  <si>
    <t>Operational water recycled or reused</t>
  </si>
  <si>
    <t>Operational water use</t>
  </si>
  <si>
    <t>Percentage recycle</t>
  </si>
  <si>
    <t>Change in storage (delta storage)</t>
  </si>
  <si>
    <r>
      <rPr>
        <b/>
        <sz val="10"/>
        <color rgb="FF000000"/>
        <rFont val="Calibri"/>
        <family val="2"/>
      </rPr>
      <t>Water-stressed sites</t>
    </r>
    <r>
      <rPr>
        <b/>
        <vertAlign val="superscript"/>
        <sz val="10"/>
        <color rgb="FF000000"/>
        <rFont val="Calibri"/>
        <family val="2"/>
      </rPr>
      <t>2</t>
    </r>
  </si>
  <si>
    <t>Water stress exposure (all sites)</t>
  </si>
  <si>
    <t>Number of sites</t>
  </si>
  <si>
    <t>Percentage of sites</t>
  </si>
  <si>
    <t>Proportion of sites situated in water-stressed areas</t>
  </si>
  <si>
    <r>
      <rPr>
        <vertAlign val="superscript"/>
        <sz val="8"/>
        <color rgb="FF000000"/>
        <rFont val="Calibri"/>
        <family val="2"/>
      </rPr>
      <t>1</t>
    </r>
    <r>
      <rPr>
        <sz val="8"/>
        <color rgb="FF000000"/>
        <rFont val="Calibri"/>
        <family val="2"/>
      </rPr>
      <t xml:space="preserve"> Some figures and percentages may not add up to the total figure or 100 percent due to rounding.
</t>
    </r>
    <r>
      <rPr>
        <vertAlign val="superscript"/>
        <sz val="8"/>
        <color rgb="FF000000"/>
        <rFont val="Calibri"/>
        <family val="2"/>
      </rPr>
      <t>2</t>
    </r>
    <r>
      <rPr>
        <sz val="8"/>
        <color rgb="FF000000"/>
        <rFont val="Calibri"/>
        <family val="2"/>
      </rPr>
      <t xml:space="preserve"> Newmont’s </t>
    </r>
    <r>
      <rPr>
        <sz val="8"/>
        <color rgb="FF000000"/>
        <rFont val="Calibri"/>
        <family val="2"/>
      </rPr>
      <t>four</t>
    </r>
    <r>
      <rPr>
        <sz val="8"/>
        <color rgb="FF000000"/>
        <rFont val="Calibri"/>
        <family val="2"/>
      </rPr>
      <t xml:space="preserve"> operating sites that have been identified as having a risk of water stress include </t>
    </r>
    <r>
      <rPr>
        <sz val="8"/>
        <color rgb="FF000000"/>
        <rFont val="Calibri"/>
        <family val="2"/>
      </rPr>
      <t xml:space="preserve">Tanami, </t>
    </r>
    <r>
      <rPr>
        <sz val="8"/>
        <color rgb="FF000000"/>
        <rFont val="Calibri"/>
        <family val="2"/>
      </rPr>
      <t>Cerro Negro, Peñasquito</t>
    </r>
    <r>
      <rPr>
        <sz val="8"/>
        <color rgb="FF000000"/>
        <rFont val="Calibri"/>
        <family val="2"/>
      </rPr>
      <t xml:space="preserve"> and CC&amp;V. However, after the 2023 reporting period, Tanami will no longer be designated as a water-stressed sites for future reporting years.</t>
    </r>
  </si>
  <si>
    <t>HEALTH AND SAFETY: EMERGENCY PREPAREDNESS</t>
  </si>
  <si>
    <t>The reporting boundary for all safety-related data differs from the reporting scope of our Annual Sustainability Report. Safety-related data includes the entirety of our workforce, which covers contractors and employees at corporate headquarters, regional offices, the Denver metallurgy lab, project sites, exploration sites and legacy sites. Former Nevada assets are included in trailing five year data from January 1, 2019 to June 30, 2019 and includes all offices, metallurgy laboratory, projects and exploration sites. Former Goldcorp site data is included in the trailing five year data sets, with initiation of collection beginning in April 2019.</t>
  </si>
  <si>
    <t>Rapid Response preparedness: Country level</t>
  </si>
  <si>
    <t>Country</t>
  </si>
  <si>
    <r>
      <rPr>
        <b/>
        <sz val="10"/>
        <color rgb="FF000000"/>
        <rFont val="Arial"/>
        <family val="2"/>
      </rPr>
      <t>Number of emergency response simulations and trainings</t>
    </r>
    <r>
      <rPr>
        <b/>
        <vertAlign val="superscript"/>
        <sz val="10"/>
        <color rgb="FF000000"/>
        <rFont val="Arial"/>
        <family val="2"/>
      </rPr>
      <t>2</t>
    </r>
  </si>
  <si>
    <t>Number of Rapid Response team members at this location</t>
  </si>
  <si>
    <r>
      <rPr>
        <b/>
        <sz val="10"/>
        <color rgb="FF000000"/>
        <rFont val="Arial"/>
        <family val="2"/>
      </rPr>
      <t>OTHER</t>
    </r>
    <r>
      <rPr>
        <b/>
        <vertAlign val="superscript"/>
        <sz val="10"/>
        <color rgb="FF000000"/>
        <rFont val="Arial"/>
        <family val="2"/>
      </rPr>
      <t>1</t>
    </r>
  </si>
  <si>
    <t>Undefined</t>
  </si>
  <si>
    <r>
      <rPr>
        <vertAlign val="superscript"/>
        <sz val="8"/>
        <color rgb="FF000000"/>
        <rFont val="Arial"/>
        <family val="2"/>
      </rPr>
      <t xml:space="preserve">1 </t>
    </r>
    <r>
      <rPr>
        <sz val="8"/>
        <color rgb="FF000000"/>
        <rFont val="Arial"/>
        <family val="2"/>
      </rPr>
      <t xml:space="preserve">Newmont's response team responsible for legacy sites is shown as 'undefined' as it covers multiple countries.
</t>
    </r>
    <r>
      <rPr>
        <vertAlign val="superscript"/>
        <sz val="8"/>
        <color rgb="FF000000"/>
        <rFont val="Arial"/>
        <family val="2"/>
      </rPr>
      <t>2</t>
    </r>
    <r>
      <rPr>
        <sz val="8"/>
        <color rgb="FF000000"/>
        <rFont val="Arial"/>
        <family val="2"/>
      </rPr>
      <t xml:space="preserve"> This does not include the site exercises to support emergency response related to our tailings storage facilities.</t>
    </r>
  </si>
  <si>
    <t>SAFETY &amp; HEALTH: WORKFORCE SAFETY STATS</t>
  </si>
  <si>
    <t>Fatalities</t>
  </si>
  <si>
    <t>Lost Time Injury Frequency Rate (LTIFR)</t>
  </si>
  <si>
    <t>Total Recordable Injury Frequency Rate (TRIFR)</t>
  </si>
  <si>
    <t>Occupational Illness Frequency Rate (OIFR)</t>
  </si>
  <si>
    <t>Exposure hours</t>
  </si>
  <si>
    <t>Restricted work injuries</t>
  </si>
  <si>
    <t>Medical treatment injuries</t>
  </si>
  <si>
    <t>Lost day injuries</t>
  </si>
  <si>
    <t>LTIFR
(lost time)</t>
  </si>
  <si>
    <t>TRIFR
(Total recordable)</t>
  </si>
  <si>
    <t>Recordable illnesses</t>
  </si>
  <si>
    <t>OIFR (occupational illness)</t>
  </si>
  <si>
    <t>Accra - regional office</t>
  </si>
  <si>
    <t>Exploration</t>
  </si>
  <si>
    <t>Ahafo North project</t>
  </si>
  <si>
    <t>Perth - regional office</t>
  </si>
  <si>
    <t>Projects</t>
  </si>
  <si>
    <t>Legacy sites</t>
  </si>
  <si>
    <t>Vancouver - regional office</t>
  </si>
  <si>
    <t>Legacy Sites</t>
  </si>
  <si>
    <t>Denver - headquarters1</t>
  </si>
  <si>
    <r>
      <rPr>
        <vertAlign val="superscript"/>
        <sz val="8"/>
        <color rgb="FF000000"/>
        <rFont val="Calibri"/>
        <family val="2"/>
      </rPr>
      <t xml:space="preserve">1 </t>
    </r>
    <r>
      <rPr>
        <sz val="8"/>
        <color rgb="FF000000"/>
        <rFont val="Calibri"/>
        <family val="2"/>
      </rPr>
      <t>The location 'Denver - headquarters' includes employees located at our Denver metallurgy lab, aligned with the location designations in our employee records system.</t>
    </r>
  </si>
  <si>
    <t>LTIFR</t>
  </si>
  <si>
    <t>TRIFR</t>
  </si>
  <si>
    <t>OIFR</t>
  </si>
  <si>
    <t>Country / site</t>
  </si>
  <si>
    <t>TRIFR
(total recordable)</t>
  </si>
  <si>
    <t>Denver - headquarters</t>
  </si>
  <si>
    <t>Denver - metallurgy lab</t>
  </si>
  <si>
    <t>Permanently Disabling Injury (PDI) rate</t>
  </si>
  <si>
    <r>
      <rPr>
        <b/>
        <sz val="10"/>
        <color rgb="FF000000"/>
        <rFont val="Calibri"/>
        <family val="2"/>
      </rPr>
      <t>Safety trainings: Site level</t>
    </r>
    <r>
      <rPr>
        <b/>
        <vertAlign val="superscript"/>
        <sz val="10"/>
        <color rgb="FF000000"/>
        <rFont val="Calibri"/>
        <family val="2"/>
      </rPr>
      <t>1</t>
    </r>
  </si>
  <si>
    <t xml:space="preserve">General safety training </t>
  </si>
  <si>
    <r>
      <rPr>
        <b/>
        <sz val="10"/>
        <color rgb="FF000000"/>
        <rFont val="Calibri"/>
        <family val="2"/>
      </rPr>
      <t>Topic-specific safety training</t>
    </r>
    <r>
      <rPr>
        <b/>
        <vertAlign val="superscript"/>
        <sz val="10"/>
        <color rgb="FF000000"/>
        <rFont val="Calibri"/>
        <family val="2"/>
      </rPr>
      <t>2</t>
    </r>
  </si>
  <si>
    <t>Number of  trainings</t>
  </si>
  <si>
    <t xml:space="preserve">Duration (hours) </t>
  </si>
  <si>
    <t>Number of trainings</t>
  </si>
  <si>
    <t>United States</t>
  </si>
  <si>
    <r>
      <rPr>
        <vertAlign val="superscript"/>
        <sz val="8"/>
        <color rgb="FF000000"/>
        <rFont val="Calibri"/>
        <family val="2"/>
      </rPr>
      <t xml:space="preserve">1 </t>
    </r>
    <r>
      <rPr>
        <sz val="8"/>
        <color rgb="FF000000"/>
        <rFont val="Calibri"/>
        <family val="2"/>
      </rPr>
      <t>E</t>
    </r>
    <r>
      <rPr>
        <sz val="8"/>
        <color rgb="FF000000"/>
        <rFont val="Calibri"/>
        <family val="2"/>
      </rPr>
      <t xml:space="preserve">mergency response training data is omitted from safety training data presented in this table. Reference the Rapid Response preparedness data table for the number of emergency response trainings and simulations and number of Rapid Response global team members.
</t>
    </r>
    <r>
      <rPr>
        <vertAlign val="superscript"/>
        <sz val="8"/>
        <color rgb="FF000000"/>
        <rFont val="Calibri"/>
        <family val="2"/>
      </rPr>
      <t xml:space="preserve">2 </t>
    </r>
    <r>
      <rPr>
        <sz val="8"/>
        <color rgb="FF000000"/>
        <rFont val="Calibri"/>
        <family val="2"/>
      </rPr>
      <t>Topic-specific safety training differs from general safety culture and awareness trainings; specific safety focus areas include fatality risk management, fatigue prevention, hazardous situation trainings, materials handling, hand injury prevention, Essential Factors, live work elimination, job hazard analysis, pre-starts, mental health and wellbeing trainings.</t>
    </r>
  </si>
  <si>
    <t>SOCIAL: ARTISANAL AND SMALL-SCALE MINING</t>
  </si>
  <si>
    <r>
      <rPr>
        <b/>
        <sz val="10"/>
        <color rgb="FF000000"/>
        <rFont val="Calibri"/>
        <family val="2"/>
      </rPr>
      <t>Artisanal and small-scale mining (ASM) activity: Site level</t>
    </r>
    <r>
      <rPr>
        <b/>
        <vertAlign val="superscript"/>
        <sz val="10"/>
        <color rgb="FF000000"/>
        <rFont val="Calibri"/>
        <family val="2"/>
      </rPr>
      <t>1</t>
    </r>
  </si>
  <si>
    <t>Sites where ASM activity occurred in 2023</t>
  </si>
  <si>
    <t xml:space="preserve">CC&amp;V </t>
  </si>
  <si>
    <r>
      <rPr>
        <vertAlign val="superscript"/>
        <sz val="8"/>
        <color rgb="FF000000"/>
        <rFont val="Calibri"/>
        <family val="2"/>
      </rPr>
      <t xml:space="preserve">1 </t>
    </r>
    <r>
      <rPr>
        <sz val="8"/>
        <color rgb="FF000000"/>
        <rFont val="Calibri"/>
        <family val="2"/>
      </rPr>
      <t>Reference the artisanal and small scale mining section of the 202</t>
    </r>
    <r>
      <rPr>
        <sz val="8"/>
        <color rgb="FF000000"/>
        <rFont val="Calibri"/>
        <family val="2"/>
      </rPr>
      <t>3</t>
    </r>
    <r>
      <rPr>
        <sz val="8"/>
        <color rgb="FF000000"/>
        <rFont val="Calibri"/>
        <family val="2"/>
      </rPr>
      <t xml:space="preserve"> Annual Sustainability Report for a detailed discussion of Newmont's ASM </t>
    </r>
    <r>
      <rPr>
        <sz val="8"/>
        <color rgb="FF000000"/>
        <rFont val="Calibri"/>
        <family val="2"/>
      </rPr>
      <t>risks and mitigation actions, along with Newmont's global ASM strategy and implementation of our strategic objectives in the above locations where ASM activities take place on or near our operations.</t>
    </r>
  </si>
  <si>
    <t>SOCIAL: ACTUAL OR POTENTIAL NEGATIVE COMMUNITY IMPACTS</t>
  </si>
  <si>
    <t>Community impacts - top three actual and/or potential: Site level</t>
  </si>
  <si>
    <t>Impact #1</t>
  </si>
  <si>
    <t xml:space="preserve">Sample(s) of management response to mitigate impact #1 </t>
  </si>
  <si>
    <t xml:space="preserve">Impact #2 </t>
  </si>
  <si>
    <t xml:space="preserve">Sample(s) of management response to mitigate impact #2 </t>
  </si>
  <si>
    <t>Impact #3</t>
  </si>
  <si>
    <t xml:space="preserve">Sample(s) of management response to mitigate impact #3 </t>
  </si>
  <si>
    <t>Complaints from households at the Mensah Kumta Village Bypass  about blasts causing potential cracks in homes (approximately 50 people)</t>
  </si>
  <si>
    <t xml:space="preserve">
1. Mitigation plan  that will engage an independent consultant to investigate the complaints on the reported cracks.</t>
  </si>
  <si>
    <t>Delayed completion of resettlement construction at Ananekrom and Oseiwusukrom which led to the extension of relocation for the eligible 67 project affected persons</t>
  </si>
  <si>
    <t xml:space="preserve">1. Extension of the relocation period as a mitigation response for the eligible project affected persons.
2. Implementation of livelihood programs (Agricultural Improvement &amp; Land Access Program (AILAP) and Vulnerable People Program (VPP)) for the Ananekrom and Oseiwusukrom eligible project affected persons.
3. Provision of transitional support such as water and electricity subsidies for the project affected persons.
4. Engagement of the communities through all mitigations process implementations.
</t>
  </si>
  <si>
    <t>Delayed resettlement construction for the  Dokyikrom project affected persons, causing livelihood concerns</t>
  </si>
  <si>
    <t>1. Ensure continuous engagement with the project affected persons to align mitigation processes.
2. Engagement with the Environmental Protection Agency to mediate between the Company and affected persons in the mitigation process.</t>
  </si>
  <si>
    <t>Sample(s) of management response to mitigate impact #1</t>
  </si>
  <si>
    <t>Impact #2</t>
  </si>
  <si>
    <t>Sample(s) of management response to mitigate impact #2</t>
  </si>
  <si>
    <t>Sample(s) of management response to mitigate impact #3</t>
  </si>
  <si>
    <t>Flooding and destruction of crops through discharge of water from the Sediment Control Structures (SCSs) and exploration activities</t>
  </si>
  <si>
    <r>
      <rPr>
        <sz val="10"/>
        <color rgb="FF000000"/>
        <rFont val="Calibri"/>
        <family val="2"/>
      </rPr>
      <t xml:space="preserve">1. Use of the established Complaints and Grievance process to enable community members to lodge complaints about flooding of farms.
</t>
    </r>
    <r>
      <rPr>
        <sz val="10"/>
        <color rgb="FF000000"/>
        <rFont val="Calibri"/>
        <family val="2"/>
      </rPr>
      <t xml:space="preserve">2. Inspection of the flooded area to verify the claims 
</t>
    </r>
    <r>
      <rPr>
        <sz val="10"/>
        <color rgb="FF000000"/>
        <rFont val="Calibri"/>
        <family val="2"/>
      </rPr>
      <t>3. Compensation payment provided for affected farms/crops</t>
    </r>
  </si>
  <si>
    <t>Loss of livelihoods to affected persons due to economic displacement through land access</t>
  </si>
  <si>
    <r>
      <rPr>
        <sz val="10"/>
        <color rgb="FF000000"/>
        <rFont val="Calibri"/>
        <family val="2"/>
      </rPr>
      <t xml:space="preserve">1. Phased implementation of the recommendations from the Project Affected Persons Socio-economic Assessment such as the Agricultural Improvement Program (AIP). 
</t>
    </r>
    <r>
      <rPr>
        <sz val="10"/>
        <color rgb="FF000000"/>
        <rFont val="Calibri"/>
        <family val="2"/>
      </rPr>
      <t xml:space="preserve">2. Conduct feasibility studies to rollout the implementation of the Alternative Livelihood Program (ALP), implemented by the National Liaison Group. The National Liaison Group is comprised of of government institutions and is Chaired by the Environmental Protection Agency (EPA).
</t>
    </r>
    <r>
      <rPr>
        <sz val="10"/>
        <color rgb="FF000000"/>
        <rFont val="Calibri"/>
        <family val="2"/>
      </rPr>
      <t>3. Implementation of the Akyem Social Protection Program.</t>
    </r>
  </si>
  <si>
    <t>Cracks in community buildings perceived to be caused by blast from operational activities</t>
  </si>
  <si>
    <r>
      <rPr>
        <sz val="10"/>
        <color rgb="FF000000"/>
        <rFont val="Calibri"/>
        <family val="2"/>
      </rPr>
      <t xml:space="preserve">1. Form a committee comprising Newmont, District Assembly and community representatives to investigate the complaints.
</t>
    </r>
    <r>
      <rPr>
        <sz val="10"/>
        <color rgb="FF000000"/>
        <rFont val="Calibri"/>
        <family val="2"/>
      </rPr>
      <t>2. Legal suit pursued by some of the complainants is still pending in court</t>
    </r>
  </si>
  <si>
    <t>Potential for traffic accidents and travel delays caused by Company-owned or contracted heavy transportation vehicles (i.e., concentrate trucks travelling to Bunbury Port)</t>
  </si>
  <si>
    <t>1. Use of in-vehicle monitoring for trucks moving to and from the port and for light vehicles used by site teams in and around the town of Boddington.
2. Discussion of issues faced by the community and collaboration on management of road safety impacts and issues with the SW Industry Road Safety Alliance forum where the road network manager is present.</t>
  </si>
  <si>
    <t>Medium-term employment security concern due to the  approval for tailings storage may not be obtained</t>
  </si>
  <si>
    <t xml:space="preserve">1. Timely progression of S45c application for existing statutory environmental approval to be altered (non-material)
2. Engage community in studies for Life of Mine RDA2 facility to down-risk approvals </t>
  </si>
  <si>
    <t>Unfulfilled community benefit commitments within the Community Partnership Agreement (CPA) and Indigenous Land Use Agreement impacting relationships and perceptions with the Gnaala Karla Booja Traditional Owner/Agreement Group</t>
  </si>
  <si>
    <t>1. Progress a review, gap assessment and action plan for CPA gap closure.
2. Integrate cross functional support/role responsibilities for agreement obligations into the Regional Reconciliation Action Plan (RAP) with substantive progress on key community benefit gap closure actions (i.e. collaborative development of refreshed Cross Cultural Awareness Training (CCAT) Program; formalization of Indigenous Mentor Advisor Roles; and initiation of recruitment, strategic investment partnerships, secondary education engagement and tertiary scholarship programs).</t>
  </si>
  <si>
    <t>Delay in extension and renewal of Yapa Crew Contract (primary employment pathway/program for Priority Warlpiri and AOI communities)</t>
  </si>
  <si>
    <t>1. Revise the Yapa Crew Program with current provider and involve Newmont Personnel.
2. Develop the Yapa Crew Program Scope of Works with the support of Regional Contracts/Procurement Team outlining hybrid process to identify local provider options.
3. Create scope of work to start tender process focused on Alice Springs and community based local and Indigenous providers.
4. Gain understanding on any additional support needed by providers in order to participate in the process and become a Newmont local-local contractor.
5. Sustain engagement with Warlpiri (Yapa) Traditional Owners and the Central Land Council to advise, consult and seek input into the program scope.
6. Work to develop an internal training program for Yapa crew members &amp; trainees.</t>
  </si>
  <si>
    <t>Community safety and service issues  related to heavy vehicle traffic usage and impacts on Tanami highway road conditions</t>
  </si>
  <si>
    <t>1. Include a safety and service options analysis as a priority action in the Tanami Desert Ten Year Plan (TYP) 
2. Progress approval for infrastructure building through Local Community Investment Program.
3. Collaboration between Newmont and Central Land Council to achieve advocacy in road sealing, water, shade and mobile phone coverage infrastructure along the Tanami Highway.</t>
  </si>
  <si>
    <t>Potential impacts of royalties from Tanami operations between Traditional Owners (TOs) and Area of Interest (AOI) communities, including disparity perception between TOs and non-TOs</t>
  </si>
  <si>
    <t>1. Include this potential impact in the site's five-yearly Social Impact Assessment (SIA) review planned for 2024 to better understand actual impacts on communities, including how the Central Land Council royalty distributions method is being perceived by the community.
2. Investigate potential impacts of NTO royalties within: 
a. Traditional Owners (TOs)
b. Area of Interest communities
c. TOs compared to non-TOs</t>
  </si>
  <si>
    <t>Disruption to the local economy and increased cost of living</t>
  </si>
  <si>
    <r>
      <rPr>
        <sz val="10"/>
        <color rgb="FF000000"/>
        <rFont val="Calibri"/>
        <family val="2"/>
      </rPr>
      <t xml:space="preserve">1. Work together with third-party service companies to leverage and incorporate qualified labor. 
</t>
    </r>
    <r>
      <rPr>
        <sz val="10"/>
        <color rgb="FF000000"/>
        <rFont val="Calibri"/>
        <family val="2"/>
      </rPr>
      <t xml:space="preserve">2. Support the training of unskilled laborers.
</t>
    </r>
    <r>
      <rPr>
        <sz val="10"/>
        <color rgb="FF000000"/>
        <rFont val="Calibri"/>
        <family val="2"/>
      </rPr>
      <t>3. Carry out continuous communication with the local Municipality, the Honorable Deliberative Council, and local leaders in order to implement actions together.</t>
    </r>
  </si>
  <si>
    <t>Decreased economic activity and local employment (specifically related to at the time of closure)</t>
  </si>
  <si>
    <r>
      <rPr>
        <sz val="10"/>
        <color rgb="FF000000"/>
        <rFont val="Calibri"/>
        <family val="2"/>
      </rPr>
      <t xml:space="preserve">1. Establish agreements with local institutions and large suppliers, using their Sustainable Development Plans for the training of local human development.
</t>
    </r>
    <r>
      <rPr>
        <sz val="10"/>
        <color rgb="FF000000"/>
        <rFont val="Calibri"/>
        <family val="2"/>
      </rPr>
      <t xml:space="preserve">2. Develop and implement employee and supplier development policies to complete specific actions regarding: human resources training and local supplier training, establishment of preference margins for local suppliers in procurement processes, carrying out studies to identify participation niches for local employment conditions and requirements to develop capabilities as suppliers.
</t>
    </r>
    <r>
      <rPr>
        <sz val="10"/>
        <color rgb="FF000000"/>
        <rFont val="Calibri"/>
        <family val="2"/>
      </rPr>
      <t>3. Establish means of communication between municipal authorities, unions and the provincial government to agree on prioritization mechanisms for filling job vacancies with employees from the area of ​​direct influence.</t>
    </r>
  </si>
  <si>
    <t>Reduction in contribution to the sustainable economic development</t>
  </si>
  <si>
    <t>1. Partner with outside organizations and suppliers to implement programs and projects that promote opportunities for sustainable community development (e.g. skilled labor training programs, scholarship programs, educational institution improvement programs, etc.)
2. Promote and support the improvement of infrastructure that help increase of local capacities.</t>
  </si>
  <si>
    <t>Access to and quality of water in neighboring communities</t>
  </si>
  <si>
    <t>1. Leverage the site's standardized complaint process to manage the complaint.
2. Establish a mitigation plan was established that includes conducting a comprehensive diagnosis to determine, in the short term, the reason for the decrease in water levels.</t>
  </si>
  <si>
    <t>Increased demand for public services and infrastructure that could contribute to improving the quality of life after mine closure</t>
  </si>
  <si>
    <t xml:space="preserve">1. Generate a comprehensive Water Plan, composed of a set of community infrastructure improvements that will benefit a population of approximately 1,500 people. 
2. Comply with agreements and deadlines established with the Cedros Ejido has been identified as a priority action for the operation. 
3. Improvements completed in 2023: 1) the expansion of the water treatment plant; 2) the construction of the first phase of the concrete channel; 3) the drilling of a well for potable water; and 4) the rehabilitation of a baseball field. </t>
  </si>
  <si>
    <t>Insufficient employment opportunities for the inhabitants of the communities neighboring the mine, especially for women</t>
  </si>
  <si>
    <t>1. Creation of the Local Supply and Employment Committee.
2. Through the Local Supply and Employment Committee, design an action plan that includes the creation of a web platform for the promotion of local employment.</t>
  </si>
  <si>
    <t>Local procurement - missed payments</t>
  </si>
  <si>
    <t>1. Perform investigation through the Accounts Payable department.
2. Comply with error or issues found from investigation to ensure correct payment is processed.</t>
  </si>
  <si>
    <t>Reduction in the standard of living due to reduced productivity of income generating opportunities related to artisanal and small-scale mining (ASM) (i.e., loss of income for local families, decreased food security and out migration)</t>
  </si>
  <si>
    <t>1. Ensure continued stakeholder engagement, including cooperation with small-scale mining in Pamaka community.
2. Offer preferential hiring and local procurement (not specifically targeting displaced ASM miners). 
3. Implement an ASM livelihood restoration plan.
4. Work on a mercury-free mining project.
5. Assist local ASMs with self-organization.</t>
  </si>
  <si>
    <t>Environment – air quality / dust</t>
  </si>
  <si>
    <t>1. Approach and inform the contractor responsible for road wetting about the community's concern</t>
  </si>
  <si>
    <t>Land users' concern for safety related to transport trucks speeding on the access road to the mine</t>
  </si>
  <si>
    <t>1. Provide formal complaints and grievances mechanism for the land users to lodge grievances and for Newmont to track the follow-up on the matter.
2. Communicate grievances to transportation companies and call for an action plan to address matter.
3. Ensure communications plan with security agents is in place to constantly remind drivers to follow the speed limits.
4. Continue radar campaign to catch speeding transport trucks.
5. Purchase permanent photo radar, which was installed in the land users' camp areas along the access road.</t>
  </si>
  <si>
    <t>Influx into Cree territory during moose season of non-native hunters accessing the area via the access road built for the mine</t>
  </si>
  <si>
    <r>
      <rPr>
        <sz val="10"/>
        <color rgb="FF000000"/>
        <rFont val="Calibri"/>
        <family val="2"/>
      </rPr>
      <t xml:space="preserve">1. Use internal communications channels to communicate and build cultural awareness among employees about the importance of respecting the Cree way of life and ensuring Cree land users are informed when others are accessing the territory.
</t>
    </r>
    <r>
      <rPr>
        <sz val="10"/>
        <color rgb="FF000000"/>
        <rFont val="Calibri"/>
        <family val="2"/>
      </rPr>
      <t>2. Collaborate with the Cree Nation government to deploy game wardens on the territory during moose season.</t>
    </r>
  </si>
  <si>
    <t>Perceived workplace racism and cultural insensitivity</t>
  </si>
  <si>
    <t>1. Publicize a Respect in the Workplace Policy
2. Engage and involve the site's Cree and non-Crees employees in the videos series against discrimination.
3. Provide mandatory training for all employees on Cree Culture and also specific contractors.
4. Better communicate to employees how /who to report perceived racism to.
5. Provide supervisors a training on how to handle workplace racism and discrimination as part as the Front Line Leadership training.</t>
  </si>
  <si>
    <t>Concern about not fulfilling local employment target of 30% signatory and affiliate First Nation community members</t>
  </si>
  <si>
    <t>1. On-going engagement with communities regarding employment readiness training and employment opportunities.
2. Develop an Indigenous Employment &amp; Development Plan to assist in bridging the gap in this space.</t>
  </si>
  <si>
    <t>Limited local/Indigenous procurement opportunities</t>
  </si>
  <si>
    <t xml:space="preserve">1. Hold procurement workshops twice a year with community members and develop local/ Indigenous procurement targets annually.
2. Increase engagement with Indigenous business owners and site Procurement team members to raise awareness and build strong relationships. </t>
  </si>
  <si>
    <t>Unable to fill training opportunities with Signatories/ Affiliate First Nations.</t>
  </si>
  <si>
    <t xml:space="preserve">1. Provide job postings to communities in advance of publically posting jobs.
2. Work with Community Based Resource Workers to ensure job postings well-advertised within the communities. </t>
  </si>
  <si>
    <t>Impact of dust from open pit operations and tailings facility on neighboring residential communities</t>
  </si>
  <si>
    <t>1. Engage the Environmental and Operations teams when dust complaints are received.
2. Ensure both teams continually monitor dust and employ water trucks when required.
3. Utilization of calcium as a dust suppressant in sensitive areas during the fall wet season when calcium and/or other dust suppression agents do not typically work.</t>
  </si>
  <si>
    <t>Impact of noise from open pit operations and project areas to neighboring residential communities</t>
  </si>
  <si>
    <t>1. Perform investigation into noise complaint to understand cause of increased noise.
2. Based on results of the investigation, stop use of equipment that was causing excess noise and instruct contractor to address the issue before resuming use of equipment.</t>
  </si>
  <si>
    <t>Impact of vibrations/overpressure from open pit operations.</t>
  </si>
  <si>
    <t>1. Notify the Operations team of the complaints
2. Conduct a review of the blast by the Drill and Blast Specialists.
3. Ensure no vibration or overpressure exceedances were reported during the blast windows.
4. Assess if complaints trigger a property damage claim.</t>
  </si>
  <si>
    <t>Community perceptions of poor air quality</t>
  </si>
  <si>
    <t xml:space="preserve">1. Manage complaints regarding air quality through the site's standardized complaint process consisting of stakeholder engagement.
2. Provide an informational presentation to the community regarding air quality management. </t>
  </si>
  <si>
    <t>Community perceptions of blasting and vibration impacts</t>
  </si>
  <si>
    <r>
      <rPr>
        <sz val="10"/>
        <color rgb="FF000000"/>
        <rFont val="Calibri"/>
        <family val="2"/>
      </rPr>
      <t xml:space="preserve">1. Ongoing pit progression moving the pit further away from the communities resulting in a decrease in these complaints. 
</t>
    </r>
    <r>
      <rPr>
        <sz val="10"/>
        <color rgb="FF000000"/>
        <rFont val="Calibri"/>
        <family val="2"/>
      </rPr>
      <t xml:space="preserve">2. Manage specific complaints through the site's standardized complaint process, consisting of stakeholder engagement and providing an informational presentation. 
</t>
    </r>
    <r>
      <rPr>
        <sz val="10"/>
        <color rgb="FF000000"/>
        <rFont val="Calibri"/>
        <family val="2"/>
      </rPr>
      <t>3. Provide notifications and communications with stakeholders, including commitment to increase presplit blast notifications, blast monitoring and operating within permitted blasting times.</t>
    </r>
  </si>
  <si>
    <t>Community concern about feeling uninformed about the life of mine and closure plans / unprepared for the loss of financial support from the mine</t>
  </si>
  <si>
    <r>
      <rPr>
        <sz val="10"/>
        <color rgb="FF000000"/>
        <rFont val="Calibri"/>
        <family val="2"/>
      </rPr>
      <t xml:space="preserve">1. Increase communication efforts regarding closure plan and permitting efforts
</t>
    </r>
    <r>
      <rPr>
        <sz val="10"/>
        <color rgb="FF000000"/>
        <rFont val="Calibri"/>
        <family val="2"/>
      </rPr>
      <t xml:space="preserve">2. Diversify methods of communication. 
</t>
    </r>
    <r>
      <rPr>
        <sz val="10"/>
        <color rgb="FF000000"/>
        <rFont val="Calibri"/>
        <family val="2"/>
      </rPr>
      <t>3. Perform a closure Social Impact Assessment (scheduled to take place in 2024), and ensure inclusion of social performance aspects of closure.</t>
    </r>
  </si>
  <si>
    <t xml:space="preserve">Expectations of hiring opportunities for local-local companies resulting in incursions onto the site </t>
  </si>
  <si>
    <t>1. Manage expectations with the former land owners who expect their companies to be hired to perform work in the areas where they sold their land. 
2. Temporarily pause work near the incursion zones until third parties are removed from the Company's property.
3. Ensure corresponding security and legal measures are implemented during any incursions.
4. Provide spaces for dialogue hosted by the Social team and explain the situation and the site's hiring policies.</t>
  </si>
  <si>
    <t>Expectations that Yanacocha will solve the population's water problems resulting in incursions onto the site</t>
  </si>
  <si>
    <t>Expectations of former land owners regarding hiring, employment, investment opportunities and access to grazing animals within mine the property</t>
  </si>
  <si>
    <t>1. Assist the former land owners and create spaces for dialogue to listen to their complaints, provide them with information and manage their expectations.</t>
  </si>
  <si>
    <t>SOCIAL: COMPLAINTS</t>
  </si>
  <si>
    <r>
      <rPr>
        <b/>
        <sz val="10"/>
        <color rgb="FF000000"/>
        <rFont val="Calibri"/>
        <family val="2"/>
      </rPr>
      <t>Tier 1 complaints: Site level</t>
    </r>
    <r>
      <rPr>
        <b/>
        <vertAlign val="superscript"/>
        <sz val="10"/>
        <color rgb="FF000000"/>
        <rFont val="Calibri"/>
        <family val="2"/>
      </rPr>
      <t>1</t>
    </r>
  </si>
  <si>
    <t>Number received</t>
  </si>
  <si>
    <t>Percent addressed within 30 days</t>
  </si>
  <si>
    <r>
      <rPr>
        <sz val="10"/>
        <color rgb="FF000000"/>
        <rFont val="Calibri"/>
        <family val="2"/>
      </rPr>
      <t>Musselwhite</t>
    </r>
    <r>
      <rPr>
        <vertAlign val="superscript"/>
        <sz val="10"/>
        <color rgb="FF000000"/>
        <rFont val="Calibri"/>
        <family val="2"/>
      </rPr>
      <t>2</t>
    </r>
  </si>
  <si>
    <r>
      <rPr>
        <vertAlign val="superscript"/>
        <sz val="8"/>
        <color rgb="FF000000"/>
        <rFont val="Calibri"/>
        <family val="2"/>
      </rPr>
      <t>1</t>
    </r>
    <r>
      <rPr>
        <vertAlign val="superscript"/>
        <sz val="8"/>
        <color rgb="FF000000"/>
        <rFont val="Calibri"/>
        <family val="2"/>
      </rPr>
      <t xml:space="preserve"> </t>
    </r>
    <r>
      <rPr>
        <sz val="8"/>
        <color rgb="FF000000"/>
        <rFont val="Calibri"/>
        <family val="2"/>
      </rPr>
      <t xml:space="preserve">Complaints reported in this table show only tier 1 complaints to be resolved in 2023. </t>
    </r>
    <r>
      <rPr>
        <sz val="8"/>
        <color rgb="FF000000"/>
        <rFont val="Calibri"/>
        <family val="2"/>
      </rPr>
      <t xml:space="preserve">Newmont manages complaints through a tiered resolution system that follows one or more of the following processes:
</t>
    </r>
    <r>
      <rPr>
        <sz val="8"/>
        <color rgb="FF000000"/>
        <rFont val="Calibri"/>
        <family val="2"/>
      </rPr>
      <t xml:space="preserve">a. Tier 1: Complaints that can be resolved between Newmont and the complainant.
</t>
    </r>
    <r>
      <rPr>
        <sz val="8"/>
        <color rgb="FF000000"/>
        <rFont val="Calibri"/>
        <family val="2"/>
      </rPr>
      <t xml:space="preserve">b. Tier 2: Complaints that cannot be resolved directly between Newmont and the complainant, and which therefore requires the involvement of a third party (other than the judicial system).
</t>
    </r>
    <r>
      <rPr>
        <sz val="8"/>
        <color rgb="FF000000"/>
        <rFont val="Calibri"/>
        <family val="2"/>
      </rPr>
      <t xml:space="preserve">c. Tier 3: Complaints that require recourse to the judicial system.
</t>
    </r>
    <r>
      <rPr>
        <vertAlign val="superscript"/>
        <sz val="8"/>
        <color rgb="FF000000"/>
        <rFont val="Calibri"/>
        <family val="2"/>
      </rPr>
      <t xml:space="preserve">2 </t>
    </r>
    <r>
      <rPr>
        <sz val="8"/>
        <color rgb="FF000000"/>
        <rFont val="Calibri"/>
        <family val="2"/>
      </rPr>
      <t>Tanami and Musselwhite received zero complaints in 2023, across all tiers.</t>
    </r>
  </si>
  <si>
    <r>
      <rPr>
        <b/>
        <sz val="10"/>
        <color rgb="FF000000"/>
        <rFont val="Calibri"/>
        <family val="2"/>
      </rPr>
      <t>Tier 1 complaints by category: Top 10 categories</t>
    </r>
    <r>
      <rPr>
        <b/>
        <vertAlign val="superscript"/>
        <sz val="10"/>
        <color rgb="FF000000"/>
        <rFont val="Calibri"/>
        <family val="2"/>
      </rPr>
      <t>1</t>
    </r>
  </si>
  <si>
    <t>Number of complaints received</t>
  </si>
  <si>
    <r>
      <rPr>
        <b/>
        <sz val="10"/>
        <color rgb="FF000000"/>
        <rFont val="Calibri"/>
        <family val="2"/>
      </rPr>
      <t>Percent of total complaints</t>
    </r>
    <r>
      <rPr>
        <b/>
        <sz val="10"/>
        <color rgb="FFEE2724"/>
        <rFont val="Calibri"/>
        <family val="2"/>
      </rPr>
      <t xml:space="preserve"> </t>
    </r>
    <r>
      <rPr>
        <b/>
        <sz val="10"/>
        <color rgb="FF000000"/>
        <rFont val="Calibri"/>
        <family val="2"/>
      </rPr>
      <t>by category</t>
    </r>
  </si>
  <si>
    <t>Land - compensation</t>
  </si>
  <si>
    <t>Blast vibration or noise</t>
  </si>
  <si>
    <t>Local employment</t>
  </si>
  <si>
    <t>Driving behavior</t>
  </si>
  <si>
    <t>Local procurement - payments</t>
  </si>
  <si>
    <t>Land - access</t>
  </si>
  <si>
    <r>
      <rPr>
        <sz val="10"/>
        <color rgb="FF000000"/>
        <rFont val="Calibri"/>
        <family val="2"/>
      </rPr>
      <t>Environment - other</t>
    </r>
    <r>
      <rPr>
        <vertAlign val="superscript"/>
        <sz val="10"/>
        <color rgb="FF000000"/>
        <rFont val="Calibri"/>
        <family val="2"/>
      </rPr>
      <t>2</t>
    </r>
  </si>
  <si>
    <t>Property/crop damage</t>
  </si>
  <si>
    <t>Workforce/contractor behavior</t>
  </si>
  <si>
    <r>
      <rPr>
        <vertAlign val="superscript"/>
        <sz val="8"/>
        <color rgb="FF000000"/>
        <rFont val="Calibri"/>
        <family val="2"/>
      </rPr>
      <t>1</t>
    </r>
    <r>
      <rPr>
        <sz val="8"/>
        <color rgb="FF000000"/>
        <rFont val="Calibri"/>
        <family val="2"/>
      </rPr>
      <t xml:space="preserve"> </t>
    </r>
    <r>
      <rPr>
        <sz val="8"/>
        <color rgb="FF000000"/>
        <rFont val="Calibri"/>
        <family val="2"/>
      </rPr>
      <t xml:space="preserve">Complaints reported in this table show only tier 1 complaints to be resolved in 2023. Shown in this table are only those that are categorized into the top 10 categories. </t>
    </r>
    <r>
      <rPr>
        <sz val="8"/>
        <color rgb="FF000000"/>
        <rFont val="Calibri"/>
        <family val="2"/>
      </rPr>
      <t xml:space="preserve">Newmont manages complaints through a tiered resolution system that follows one or more of the following processes:
</t>
    </r>
    <r>
      <rPr>
        <sz val="8"/>
        <color rgb="FF000000"/>
        <rFont val="Calibri"/>
        <family val="2"/>
      </rPr>
      <t xml:space="preserve">a. Tier 1: Complaints that can be resolved between Newmont and the complainant.
</t>
    </r>
    <r>
      <rPr>
        <sz val="8"/>
        <color rgb="FF000000"/>
        <rFont val="Calibri"/>
        <family val="2"/>
      </rPr>
      <t xml:space="preserve">b. Tier 2: Complaints that cannot be resolved directly between Newmont and the complainant, and which therefore requires the involvement of a third party (other than the judicial system).
</t>
    </r>
    <r>
      <rPr>
        <sz val="8"/>
        <color rgb="FF000000"/>
        <rFont val="Calibri"/>
        <family val="2"/>
      </rPr>
      <t xml:space="preserve">c. Tier 3: Complaints that require recourse to the judicial system.
</t>
    </r>
    <r>
      <rPr>
        <vertAlign val="superscript"/>
        <sz val="8"/>
        <color rgb="FF000000"/>
        <rFont val="Calibri"/>
        <family val="2"/>
      </rPr>
      <t>2</t>
    </r>
    <r>
      <rPr>
        <sz val="8"/>
        <color rgb="FF000000"/>
        <rFont val="Calibri"/>
        <family val="2"/>
      </rPr>
      <t xml:space="preserve"> The category "Environment - other" includes, but is not limited to, environment-related complaints such as noise, waste and community amenities.</t>
    </r>
  </si>
  <si>
    <t>SOCIAL: HUMAN RIGHTS ASSESSMENTS</t>
  </si>
  <si>
    <r>
      <rPr>
        <b/>
        <sz val="10"/>
        <color rgb="FF000000"/>
        <rFont val="Calibri"/>
        <family val="2"/>
      </rPr>
      <t>Human rights assessments or reviews conducted: Site level</t>
    </r>
    <r>
      <rPr>
        <b/>
        <vertAlign val="superscript"/>
        <sz val="10"/>
        <color rgb="FF000000"/>
        <rFont val="Calibri"/>
        <family val="2"/>
      </rPr>
      <t>1</t>
    </r>
  </si>
  <si>
    <t>Assessment summary and context</t>
  </si>
  <si>
    <t>Human Rights Impact Assessment integrated into SIA (2020)</t>
  </si>
  <si>
    <t>Human Rights Impact Assessment integrated into SIA (in progress 2023)</t>
  </si>
  <si>
    <r>
      <rPr>
        <sz val="10"/>
        <color rgb="FF000000"/>
        <rFont val="Calibri"/>
        <family val="2"/>
      </rPr>
      <t>Ghana</t>
    </r>
    <r>
      <rPr>
        <vertAlign val="superscript"/>
        <sz val="10"/>
        <color rgb="FF000000"/>
        <rFont val="Calibri"/>
        <family val="2"/>
      </rPr>
      <t>2</t>
    </r>
  </si>
  <si>
    <t>Human Rights Risk Assessment of Land Acquisition Process at Ahafo North (2023)
Human Rights Risk Assessment of Newmont's Ghana Fixed-Term Contract Employment Model (2022)</t>
  </si>
  <si>
    <t>Human rights incorporated into ongoing processes as required by Newmont’s Human Rights Standard</t>
  </si>
  <si>
    <t>Social Baseline Assessment includes analysis of human rights management, potential impacts on human rights and mitigations (2020)</t>
  </si>
  <si>
    <t>Human Rights Impact Assessment integrated into SIA (2022)</t>
  </si>
  <si>
    <t>Human Rights Impact Assessment (2016)</t>
  </si>
  <si>
    <t>SIA update based on the UN Declaration on the Rights of Indigenous Peoples (2022)</t>
  </si>
  <si>
    <t>Human rights considerations incorporated into SIA (2023)</t>
  </si>
  <si>
    <t>Human rights considerations incorporated into SIA (2022)</t>
  </si>
  <si>
    <r>
      <rPr>
        <sz val="10"/>
        <color rgb="FF000000"/>
        <rFont val="Calibri"/>
        <family val="2"/>
      </rPr>
      <t>Peru</t>
    </r>
    <r>
      <rPr>
        <vertAlign val="superscript"/>
        <sz val="10"/>
        <color rgb="FF000000"/>
        <rFont val="Calibri"/>
        <family val="2"/>
      </rPr>
      <t>2</t>
    </r>
  </si>
  <si>
    <t>Human Rights Impact Assessment of new security system (2018)</t>
  </si>
  <si>
    <t>Human Rights Impact Assessment incorporated into EIA update (2023)</t>
  </si>
  <si>
    <r>
      <rPr>
        <vertAlign val="superscript"/>
        <sz val="8"/>
        <color rgb="FF000000"/>
        <rFont val="Calibri"/>
        <family val="2"/>
      </rPr>
      <t xml:space="preserve">1  </t>
    </r>
    <r>
      <rPr>
        <sz val="8"/>
        <color rgb="FF000000"/>
        <rFont val="Calibri"/>
        <family val="2"/>
      </rPr>
      <t>All sites are required by Newmont's Human Rights Standard to integrate human rights into existing processes (e.g. risk assessments). In addition to our 12 operating sites,human rights assessments have been conducted at our Marlin legacy site in Guatemala</t>
    </r>
    <r>
      <rPr>
        <sz val="8"/>
        <color rgb="FFFF0090"/>
        <rFont val="Calibri"/>
        <family val="2"/>
      </rPr>
      <t>,</t>
    </r>
    <r>
      <rPr>
        <sz val="8"/>
        <color rgb="FF000000"/>
        <rFont val="Calibri"/>
        <family val="2"/>
      </rPr>
      <t xml:space="preserve"> Sabajo exploration site in Suriname and Ahafo North project site in Ghana. More information on these</t>
    </r>
    <r>
      <rPr>
        <strike/>
        <sz val="8"/>
        <color rgb="FFFF0090"/>
        <rFont val="Calibri"/>
        <family val="2"/>
      </rPr>
      <t xml:space="preserve"> </t>
    </r>
    <r>
      <rPr>
        <sz val="8"/>
        <color rgb="FF000000"/>
        <rFont val="Calibri"/>
        <family val="2"/>
      </rPr>
      <t xml:space="preserve">assessments can be found under the Human Rights section on Newmont's website.
</t>
    </r>
    <r>
      <rPr>
        <vertAlign val="superscript"/>
        <sz val="8"/>
        <color rgb="FF000000"/>
        <rFont val="Calibri"/>
        <family val="2"/>
      </rPr>
      <t xml:space="preserve">2 </t>
    </r>
    <r>
      <rPr>
        <sz val="8"/>
        <color rgb="FF000000"/>
        <rFont val="Calibri"/>
        <family val="2"/>
      </rPr>
      <t>A third-party human rights impact assessment of the company’s plans to utilize an exterior intrusion detection system at Yanacocha was performed in 2018.</t>
    </r>
  </si>
  <si>
    <t>SOCIAL: HUMAN RIGHTS SUPPLIER SCREENING</t>
  </si>
  <si>
    <r>
      <rPr>
        <b/>
        <sz val="10"/>
        <color rgb="FF000000"/>
        <rFont val="Calibri"/>
        <family val="2"/>
      </rPr>
      <t>Human rights supplier screening: Country level</t>
    </r>
    <r>
      <rPr>
        <b/>
        <vertAlign val="superscript"/>
        <sz val="10"/>
        <color rgb="FF000000"/>
        <rFont val="Calibri"/>
        <family val="2"/>
      </rPr>
      <t>1</t>
    </r>
  </si>
  <si>
    <t>Supplier human rights screenings</t>
  </si>
  <si>
    <t>Number of suppliers requested to complete pre-qualification questionnaire (PQ)</t>
  </si>
  <si>
    <t>Number that responded to the PQ and provided data on human rights risks</t>
  </si>
  <si>
    <r>
      <rPr>
        <b/>
        <sz val="10"/>
        <color rgb="FF000000"/>
        <rFont val="Calibri"/>
        <family val="2"/>
      </rPr>
      <t>Number identified through the PQ as having an elevated likelihood of impacting human rights</t>
    </r>
    <r>
      <rPr>
        <b/>
        <vertAlign val="superscript"/>
        <sz val="10"/>
        <color rgb="FF000000"/>
        <rFont val="Calibri"/>
        <family val="2"/>
      </rPr>
      <t>3</t>
    </r>
  </si>
  <si>
    <r>
      <rPr>
        <vertAlign val="superscript"/>
        <sz val="8"/>
        <color rgb="FF000000"/>
        <rFont val="Calibri"/>
        <family val="2"/>
      </rPr>
      <t xml:space="preserve">1 </t>
    </r>
    <r>
      <rPr>
        <sz val="8"/>
        <color rgb="FF000000"/>
        <rFont val="Calibri"/>
        <family val="2"/>
      </rPr>
      <t xml:space="preserve">Supplier screening data presented in this table includes only the Newmont locations that have fully implemented our supplier risk management (SRiM) program (7 out of 12 operating sites and our corporate headquarters).
</t>
    </r>
    <r>
      <rPr>
        <vertAlign val="superscript"/>
        <sz val="8"/>
        <color rgb="FF000000"/>
        <rFont val="Calibri"/>
        <family val="2"/>
      </rPr>
      <t xml:space="preserve">2 </t>
    </r>
    <r>
      <rPr>
        <sz val="8"/>
        <color rgb="FF000000"/>
        <rFont val="Calibri"/>
        <family val="2"/>
      </rPr>
      <t>The PQ provided to suppliers also screens for other negative social and environmental impacts in addition to human rights impacts. Additional required supplier human rights screening performed by our Business Integrity and Compliance team, and other screening to identify potential and actual negative social impacts amongst suppliers, are not addressed in this table. In 2023, no contracts with suppliers were terminated based on identification of having significant actual or potential negative social impacts.</t>
    </r>
  </si>
  <si>
    <t>SOCIAL: HUMAN RIGHTS TRAINING FOR SECURITY PERSONNEL</t>
  </si>
  <si>
    <r>
      <rPr>
        <b/>
        <sz val="10"/>
        <color rgb="FF000000"/>
        <rFont val="Calibri"/>
        <family val="2"/>
      </rPr>
      <t>Voluntary Principles on Security and Human Rights training: Site level</t>
    </r>
    <r>
      <rPr>
        <b/>
        <vertAlign val="superscript"/>
        <sz val="10"/>
        <color rgb="FF000000"/>
        <rFont val="Calibri"/>
        <family val="2"/>
      </rPr>
      <t>1</t>
    </r>
  </si>
  <si>
    <t>Session details</t>
  </si>
  <si>
    <t>Total number of participants in security training</t>
  </si>
  <si>
    <t>Number of sessions conducted</t>
  </si>
  <si>
    <r>
      <rPr>
        <b/>
        <sz val="10"/>
        <color rgb="FF000000"/>
        <rFont val="Calibri"/>
        <family val="2"/>
      </rPr>
      <t>Total duration of all sessions (hours)</t>
    </r>
    <r>
      <rPr>
        <b/>
        <vertAlign val="superscript"/>
        <sz val="10"/>
        <color rgb="FF000000"/>
        <rFont val="Calibri"/>
        <family val="2"/>
      </rPr>
      <t>2</t>
    </r>
  </si>
  <si>
    <t>Number of Newmont employees trained</t>
  </si>
  <si>
    <t>Number of Newmont security employees trained</t>
  </si>
  <si>
    <t>Number of public security/law enforcement personnel trained</t>
  </si>
  <si>
    <t>Number of private security contractors trained</t>
  </si>
  <si>
    <t>Number of other external stakeholders trained</t>
  </si>
  <si>
    <r>
      <rPr>
        <b/>
        <sz val="10"/>
        <color rgb="FF000000"/>
        <rFont val="Calibri"/>
        <family val="2"/>
      </rPr>
      <t>Percentage of Newmont security personnel trained</t>
    </r>
    <r>
      <rPr>
        <b/>
        <vertAlign val="superscript"/>
        <sz val="10"/>
        <color rgb="FF000000"/>
        <rFont val="Calibri"/>
        <family val="2"/>
      </rPr>
      <t>3</t>
    </r>
  </si>
  <si>
    <t>Accra</t>
  </si>
  <si>
    <t>Ahafo North</t>
  </si>
  <si>
    <t>Marlin</t>
  </si>
  <si>
    <t>Honduras</t>
  </si>
  <si>
    <t>San Martin</t>
  </si>
  <si>
    <t>2</t>
  </si>
  <si>
    <t>Online self-guided</t>
  </si>
  <si>
    <r>
      <rPr>
        <vertAlign val="superscript"/>
        <sz val="8"/>
        <color rgb="FF000000"/>
        <rFont val="Calibri"/>
        <family val="2"/>
      </rPr>
      <t xml:space="preserve">1 </t>
    </r>
    <r>
      <rPr>
        <sz val="8"/>
        <color rgb="FF000000"/>
        <rFont val="Calibri"/>
        <family val="2"/>
      </rPr>
      <t xml:space="preserve">The reporting boundary for this disclosure falls outside of the report’s scope to capture security training at all high-risk locations with security personnel (Africa and Latin America following the Voluntary Principles on Security and Human Rights external reporting guidelines) and to include additional operations that have security personnel (U.S. and Canada). Australia data are omitted as fully out of scope.
</t>
    </r>
    <r>
      <rPr>
        <vertAlign val="superscript"/>
        <sz val="8"/>
        <color rgb="FF000000"/>
        <rFont val="Calibri"/>
        <family val="2"/>
      </rPr>
      <t xml:space="preserve">2 </t>
    </r>
    <r>
      <rPr>
        <sz val="8"/>
        <color rgb="FF000000"/>
        <rFont val="Calibri"/>
        <family val="2"/>
      </rPr>
      <t xml:space="preserve">No data is available for sites that completed online and/or self guided sessions.
</t>
    </r>
    <r>
      <rPr>
        <vertAlign val="superscript"/>
        <sz val="8"/>
        <color rgb="FF000000"/>
        <rFont val="Calibri"/>
        <family val="2"/>
      </rPr>
      <t xml:space="preserve">3 </t>
    </r>
    <r>
      <rPr>
        <sz val="8"/>
        <color rgb="FF000000"/>
        <rFont val="Calibri"/>
        <family val="2"/>
      </rPr>
      <t>At the Merian operation, some e</t>
    </r>
    <r>
      <rPr>
        <sz val="8"/>
        <color rgb="FF000000"/>
        <rFont val="Calibri"/>
        <family val="2"/>
      </rPr>
      <t>mployees were on extended medical/paternity leave during the year, therefore total personnel training only reached 96%. Of active personnel at the site, the team was 100% trained.</t>
    </r>
  </si>
  <si>
    <t>SOCIAL: HUMAN RIGHTS TRAINING FOR THE WORKFORCE</t>
  </si>
  <si>
    <r>
      <rPr>
        <b/>
        <sz val="10"/>
        <color rgb="FF000000"/>
        <rFont val="Calibri"/>
        <family val="2"/>
      </rPr>
      <t>In-person human rights workforce trainings: Site level</t>
    </r>
    <r>
      <rPr>
        <b/>
        <vertAlign val="superscript"/>
        <sz val="10"/>
        <color rgb="FF000000"/>
        <rFont val="Calibri"/>
        <family val="2"/>
      </rPr>
      <t>1</t>
    </r>
  </si>
  <si>
    <t>Total duration of all sessions (hours)</t>
  </si>
  <si>
    <t>Number of employee participants</t>
  </si>
  <si>
    <t>Number of contractor / supplier participants</t>
  </si>
  <si>
    <t>50</t>
  </si>
  <si>
    <t>174</t>
  </si>
  <si>
    <t>18</t>
  </si>
  <si>
    <t>13</t>
  </si>
  <si>
    <t>0</t>
  </si>
  <si>
    <t>Australia business unit</t>
  </si>
  <si>
    <t>1</t>
  </si>
  <si>
    <t>5</t>
  </si>
  <si>
    <t>3</t>
  </si>
  <si>
    <t>9</t>
  </si>
  <si>
    <t>22.5</t>
  </si>
  <si>
    <t>299</t>
  </si>
  <si>
    <r>
      <rPr>
        <vertAlign val="superscript"/>
        <sz val="10"/>
        <color rgb="FF000000"/>
        <rFont val="Calibri"/>
        <family val="2"/>
      </rPr>
      <t xml:space="preserve">1 </t>
    </r>
    <r>
      <rPr>
        <sz val="10"/>
        <color rgb="FF000000"/>
        <rFont val="Calibri"/>
        <family val="2"/>
      </rPr>
      <t xml:space="preserve">This table does not include the online workforce training data, which is reported in the main body of the report. </t>
    </r>
  </si>
  <si>
    <t>SOCIAL: INDIGENOUS PEOPLES</t>
  </si>
  <si>
    <r>
      <rPr>
        <b/>
        <sz val="10"/>
        <color rgb="FF000000"/>
        <rFont val="Calibri"/>
        <family val="2"/>
      </rPr>
      <t xml:space="preserve">Operating sites on/near Indigenous peoples' territories and formal agreements in place: Site level </t>
    </r>
    <r>
      <rPr>
        <b/>
        <vertAlign val="superscript"/>
        <sz val="10"/>
        <color rgb="FF000000"/>
        <rFont val="Calibri"/>
        <family val="2"/>
      </rPr>
      <t>1</t>
    </r>
  </si>
  <si>
    <t>Indigenous/Aboriginal/First Nations group</t>
  </si>
  <si>
    <t>Formal agreement?</t>
  </si>
  <si>
    <t>Gnaala Karla Booja Native Title Claimant Group</t>
  </si>
  <si>
    <t>Warlpiri</t>
  </si>
  <si>
    <t>Pamaka Maroon Tribe</t>
  </si>
  <si>
    <t>Kawina Maroon Tribe</t>
  </si>
  <si>
    <t>Cree Nation of Wemindji</t>
  </si>
  <si>
    <t>Grand Council of the Crees (Eeyou Iscthee)/Cree Nation Government</t>
  </si>
  <si>
    <t>Cat Lake First Nation</t>
  </si>
  <si>
    <t>Kingfisher Lake First Nation</t>
  </si>
  <si>
    <t>Mishkeegogamang First Nation</t>
  </si>
  <si>
    <t>North Caribou Lake First Nation</t>
  </si>
  <si>
    <t>Shibogama First Nation Council</t>
  </si>
  <si>
    <t>Windigo First Nation Council</t>
  </si>
  <si>
    <t>Wunnumin Lake First Nation</t>
  </si>
  <si>
    <t>Porcupine - Chapleau</t>
  </si>
  <si>
    <t>Brunswick House First Nation</t>
  </si>
  <si>
    <t>Chapleau Cree First Nation</t>
  </si>
  <si>
    <t>Chapleau Ojibwe First Nation</t>
  </si>
  <si>
    <t>Michipicoten First Nation</t>
  </si>
  <si>
    <t>Porcupine - Timmins</t>
  </si>
  <si>
    <t>Apitipi Anicinapek Nation (formerly known as Wahgoshing First Nation)</t>
  </si>
  <si>
    <t>Flying Post First Nation</t>
  </si>
  <si>
    <t>Matachewan First Nation</t>
  </si>
  <si>
    <t>Mattagami First Nation</t>
  </si>
  <si>
    <r>
      <rPr>
        <sz val="10"/>
        <color rgb="FF000000"/>
        <rFont val="Calibri"/>
        <family val="2"/>
      </rPr>
      <t>Métis Nation of Ontario</t>
    </r>
    <r>
      <rPr>
        <vertAlign val="superscript"/>
        <sz val="10"/>
        <color rgb="FF000000"/>
        <rFont val="Calibri"/>
        <family val="2"/>
      </rPr>
      <t>2</t>
    </r>
  </si>
  <si>
    <t>Taykwa Tagamou Nation</t>
  </si>
  <si>
    <r>
      <rPr>
        <vertAlign val="superscript"/>
        <sz val="8"/>
        <color rgb="FF000000"/>
        <rFont val="Calibri"/>
        <family val="2"/>
      </rPr>
      <t xml:space="preserve">1 </t>
    </r>
    <r>
      <rPr>
        <sz val="8"/>
        <color rgb="FF000000"/>
        <rFont val="Calibri"/>
        <family val="2"/>
      </rPr>
      <t xml:space="preserve">In addition to the six operating sites that are on/near Indigenous Peoples territories (Boddington, Tanami, Éléonore, Musselwhite, Porcupine, Merian and associated near-mine exploration/projects), several of our exploration sites, including Coffee and Saddle, are located on or near Indigenous Peoples territories. The Coffee project has two agreements with First Nations. The Sabajo project at Merian also has a support agreement in place with the Kawina Maroon Tribe, and is working towards a full Benefit Sharing Agreement. Reference the narrative of our 2022 Annual Sustainability Report for a detailed discussion of engagement with all groups, including those with which Newmont has formal agreements in place (meeting the aspects of GRI MM5 that are not shown in the table above to ensure full coverage of this disclosure item).
</t>
    </r>
    <r>
      <rPr>
        <vertAlign val="superscript"/>
        <sz val="8"/>
        <color rgb="FF000000"/>
        <rFont val="Calibri"/>
        <family val="2"/>
      </rPr>
      <t xml:space="preserve">2 </t>
    </r>
    <r>
      <rPr>
        <sz val="8"/>
        <color rgb="FF000000"/>
        <rFont val="Calibri"/>
        <family val="2"/>
      </rPr>
      <t>The Metis Nation of Ontario has presence in both the Chapleau and Timmins regions.</t>
    </r>
  </si>
  <si>
    <t>SOCIAL: LAND OR RESOURCE USE DISPUTES</t>
  </si>
  <si>
    <r>
      <rPr>
        <b/>
        <sz val="10"/>
        <color rgb="FF000000"/>
        <rFont val="Calibri"/>
        <family val="2"/>
      </rPr>
      <t>Significant disputes related to land or resource use: Site level</t>
    </r>
    <r>
      <rPr>
        <b/>
        <vertAlign val="superscript"/>
        <sz val="10"/>
        <color rgb="FF000000"/>
        <rFont val="Calibri"/>
        <family val="2"/>
      </rPr>
      <t>1</t>
    </r>
  </si>
  <si>
    <t>Number of significant land use disputes in 2023</t>
  </si>
  <si>
    <t>Number of disputes addressed through complaints and grievances resolution process</t>
  </si>
  <si>
    <t>If applicable, summary of significant disputes, actions taken, and outcomes</t>
  </si>
  <si>
    <t>There are nine ongoing cases related to land tenure and water wells in the site's operating area. This dispute is ongoing from 2021. There has been some advances in the proceedings, but the company still maintains the same position.</t>
  </si>
  <si>
    <r>
      <rPr>
        <vertAlign val="superscript"/>
        <sz val="8"/>
        <color rgb="FF000000"/>
        <rFont val="Calibri"/>
        <family val="2"/>
      </rPr>
      <t xml:space="preserve">1  </t>
    </r>
    <r>
      <rPr>
        <sz val="8"/>
        <color rgb="FF000000"/>
        <rFont val="Calibri"/>
        <family val="2"/>
      </rPr>
      <t>Significant impacts are those that have had an impact on our ability to operate commensurate with a Level 3+ event in the Newmont Risk Matrix. Land disputes may be associated with current, planned or proposed future site operations.</t>
    </r>
  </si>
  <si>
    <t>SOCIAL: RESETTLEMENT AND/OR RELOCATION ACTIVITY</t>
  </si>
  <si>
    <t>Resettlement and/or relocation activity occurred in 2023</t>
  </si>
  <si>
    <t>Number of households resettled and/or relocated</t>
  </si>
  <si>
    <r>
      <rPr>
        <vertAlign val="superscript"/>
        <sz val="8"/>
        <color rgb="FF000000"/>
        <rFont val="Calibri"/>
        <family val="2"/>
      </rPr>
      <t>1</t>
    </r>
    <r>
      <rPr>
        <sz val="8"/>
        <color rgb="FF000000"/>
        <rFont val="Calibri"/>
        <family val="2"/>
      </rPr>
      <t xml:space="preserve"> </t>
    </r>
    <r>
      <rPr>
        <sz val="8"/>
        <color rgb="FF000000"/>
        <rFont val="Calibri"/>
        <family val="2"/>
      </rPr>
      <t>Although</t>
    </r>
    <r>
      <rPr>
        <sz val="8"/>
        <color rgb="FF000000"/>
        <rFont val="Calibri"/>
        <family val="2"/>
      </rPr>
      <t xml:space="preserve"> there </t>
    </r>
    <r>
      <rPr>
        <sz val="8"/>
        <color rgb="FF000000"/>
        <rFont val="Calibri"/>
        <family val="2"/>
      </rPr>
      <t>was</t>
    </r>
    <r>
      <rPr>
        <sz val="8"/>
        <color rgb="FF000000"/>
        <rFont val="Calibri"/>
        <family val="2"/>
      </rPr>
      <t xml:space="preserve"> no </t>
    </r>
    <r>
      <rPr>
        <sz val="8"/>
        <color rgb="FF000000"/>
        <rFont val="Calibri"/>
        <family val="2"/>
      </rPr>
      <t xml:space="preserve">new </t>
    </r>
    <r>
      <rPr>
        <sz val="8"/>
        <color rgb="FF000000"/>
        <rFont val="Calibri"/>
        <family val="2"/>
      </rPr>
      <t>resettled</t>
    </r>
    <r>
      <rPr>
        <sz val="8"/>
        <color rgb="FF000000"/>
        <rFont val="Calibri"/>
        <family val="2"/>
      </rPr>
      <t>/relocated</t>
    </r>
    <r>
      <rPr>
        <sz val="8"/>
        <color rgb="FF000000"/>
        <rFont val="Calibri"/>
        <family val="2"/>
      </rPr>
      <t xml:space="preserve"> households</t>
    </r>
    <r>
      <rPr>
        <sz val="8"/>
        <color rgb="FF000000"/>
        <rFont val="Calibri"/>
        <family val="2"/>
      </rPr>
      <t xml:space="preserve"> in 2023</t>
    </r>
    <r>
      <rPr>
        <sz val="8"/>
        <color rgb="FF000000"/>
        <rFont val="Calibri"/>
        <family val="2"/>
      </rPr>
      <t>, 68 households who were temporary relocated from</t>
    </r>
    <r>
      <rPr>
        <sz val="8"/>
        <color rgb="FF000000"/>
        <rFont val="Calibri"/>
        <family val="2"/>
      </rPr>
      <t xml:space="preserve"> the</t>
    </r>
    <r>
      <rPr>
        <sz val="8"/>
        <color rgb="FF000000"/>
        <rFont val="Calibri"/>
        <family val="2"/>
      </rPr>
      <t xml:space="preserve"> Apensu South enclave in</t>
    </r>
    <r>
      <rPr>
        <sz val="8"/>
        <color rgb="FF000000"/>
        <rFont val="Calibri"/>
        <family val="2"/>
      </rPr>
      <t xml:space="preserve"> June</t>
    </r>
    <r>
      <rPr>
        <sz val="8"/>
        <color rgb="FF000000"/>
        <rFont val="Calibri"/>
        <family val="2"/>
      </rPr>
      <t xml:space="preserve"> 2021</t>
    </r>
    <r>
      <rPr>
        <sz val="8"/>
        <color rgb="FF000000"/>
        <rFont val="Calibri"/>
        <family val="2"/>
      </rPr>
      <t xml:space="preserve"> for a period of two years</t>
    </r>
    <r>
      <rPr>
        <sz val="8"/>
        <color rgb="FF000000"/>
        <rFont val="Calibri"/>
        <family val="2"/>
      </rPr>
      <t xml:space="preserve"> </t>
    </r>
    <r>
      <rPr>
        <sz val="8"/>
        <color rgb="FF000000"/>
        <rFont val="Calibri"/>
        <family val="2"/>
      </rPr>
      <t xml:space="preserve">expired </t>
    </r>
    <r>
      <rPr>
        <sz val="8"/>
        <color rgb="FF000000"/>
        <rFont val="Calibri"/>
        <family val="2"/>
      </rPr>
      <t>during the year</t>
    </r>
    <r>
      <rPr>
        <sz val="8"/>
        <color rgb="FF000000"/>
        <rFont val="Calibri"/>
        <family val="2"/>
      </rPr>
      <t xml:space="preserve"> and their tenancy </t>
    </r>
    <r>
      <rPr>
        <sz val="8"/>
        <color rgb="FF000000"/>
        <rFont val="Calibri"/>
        <family val="2"/>
      </rPr>
      <t>was</t>
    </r>
    <r>
      <rPr>
        <sz val="8"/>
        <color rgb="FF000000"/>
        <rFont val="Calibri"/>
        <family val="2"/>
      </rPr>
      <t xml:space="preserve"> renewed for another </t>
    </r>
    <r>
      <rPr>
        <sz val="8"/>
        <color rgb="FF000000"/>
        <rFont val="Calibri"/>
        <family val="2"/>
      </rPr>
      <t>two</t>
    </r>
    <r>
      <rPr>
        <sz val="8"/>
        <color rgb="FF000000"/>
        <rFont val="Calibri"/>
        <family val="2"/>
      </rPr>
      <t xml:space="preserve"> years. </t>
    </r>
  </si>
  <si>
    <t>SOCIAL: SOCIAL IMPACT ASSESSMENTS AND ENGAGEMENT</t>
  </si>
  <si>
    <r>
      <rPr>
        <b/>
        <sz val="10"/>
        <color rgb="FF000000"/>
        <rFont val="Calibri"/>
        <family val="2"/>
      </rPr>
      <t>Social impact assessment</t>
    </r>
    <r>
      <rPr>
        <b/>
        <sz val="10"/>
        <color rgb="FF000000"/>
        <rFont val="Calibri"/>
        <family val="2"/>
      </rPr>
      <t>s</t>
    </r>
    <r>
      <rPr>
        <b/>
        <sz val="10"/>
        <color rgb="FF000000"/>
        <rFont val="Calibri"/>
        <family val="2"/>
      </rPr>
      <t xml:space="preserve"> and engagement practices: Site level</t>
    </r>
    <r>
      <rPr>
        <b/>
        <vertAlign val="superscript"/>
        <sz val="10"/>
        <color rgb="FF000000"/>
        <rFont val="Calibri"/>
        <family val="2"/>
      </rPr>
      <t>1</t>
    </r>
  </si>
  <si>
    <t>Year most recent Social Impact Assessment (SIA) was conducted</t>
  </si>
  <si>
    <t>Site's stakeholder engagement plans are based on stakeholder mapping</t>
  </si>
  <si>
    <t>Site engages with broad-based local community consultation committees that include vulnerable groups</t>
  </si>
  <si>
    <t>Site engages with works councils, occupational health and safety committees and other worker representation bodies to deal with social impacts</t>
  </si>
  <si>
    <t>Site has formal local community grievance process</t>
  </si>
  <si>
    <r>
      <rPr>
        <vertAlign val="superscript"/>
        <sz val="8"/>
        <color rgb="FF000000"/>
        <rFont val="Calibri"/>
        <family val="2"/>
      </rPr>
      <t xml:space="preserve">1 </t>
    </r>
    <r>
      <rPr>
        <sz val="8"/>
        <color rgb="FF000000"/>
        <rFont val="Calibri"/>
        <family val="2"/>
      </rPr>
      <t>All sites that are out of compliance with Newmont's Social Baseline and Impact Assessment Standard, which requires an update every five years, have plans in place to initiate an SIA update. However, because SIAs are inherently collaborative and require in-person engagement, the COVID-19 pandemic has had an impact and delayed efforts.</t>
    </r>
    <r>
      <rPr>
        <sz val="8"/>
        <color rgb="FF000000"/>
        <rFont val="Calibri"/>
        <family val="2"/>
      </rPr>
      <t xml:space="preserve"> Akyem</t>
    </r>
    <r>
      <rPr>
        <sz val="8"/>
        <color rgb="FF000000"/>
        <rFont val="Calibri"/>
        <family val="2"/>
      </rPr>
      <t xml:space="preserve"> </t>
    </r>
    <r>
      <rPr>
        <sz val="8"/>
        <color rgb="FF000000"/>
        <rFont val="Calibri"/>
        <family val="2"/>
      </rPr>
      <t>began</t>
    </r>
    <r>
      <rPr>
        <sz val="8"/>
        <color rgb="FF000000"/>
        <rFont val="Calibri"/>
        <family val="2"/>
      </rPr>
      <t xml:space="preserve"> working with</t>
    </r>
    <r>
      <rPr>
        <sz val="8"/>
        <color rgb="FF000000"/>
        <rFont val="Calibri"/>
        <family val="2"/>
      </rPr>
      <t xml:space="preserve"> a consultant</t>
    </r>
    <r>
      <rPr>
        <sz val="8"/>
        <color rgb="FF000000"/>
        <rFont val="Calibri"/>
        <family val="2"/>
      </rPr>
      <t xml:space="preserve"> in 2023</t>
    </r>
    <r>
      <rPr>
        <sz val="8"/>
        <color rgb="FF000000"/>
        <rFont val="Calibri"/>
        <family val="2"/>
      </rPr>
      <t xml:space="preserve"> </t>
    </r>
    <r>
      <rPr>
        <sz val="8"/>
        <color rgb="FF000000"/>
        <rFont val="Calibri"/>
        <family val="2"/>
      </rPr>
      <t xml:space="preserve">for their SIA update; field data </t>
    </r>
    <r>
      <rPr>
        <sz val="8"/>
        <color rgb="FF000000"/>
        <rFont val="Calibri"/>
        <family val="2"/>
      </rPr>
      <t>has been gathered and a draft report is being compiled.</t>
    </r>
    <r>
      <rPr>
        <sz val="8"/>
        <color rgb="FF000000"/>
        <rFont val="Calibri"/>
        <family val="2"/>
      </rPr>
      <t xml:space="preserve"> </t>
    </r>
    <r>
      <rPr>
        <sz val="8"/>
        <color rgb="FF000000"/>
        <rFont val="Calibri"/>
        <family val="2"/>
      </rPr>
      <t>Porcup</t>
    </r>
    <r>
      <rPr>
        <sz val="8"/>
        <color rgb="FF000000"/>
        <rFont val="Calibri"/>
        <family val="2"/>
      </rPr>
      <t>ine</t>
    </r>
    <r>
      <rPr>
        <sz val="8"/>
        <color rgb="FF000000"/>
        <rFont val="Calibri"/>
        <family val="2"/>
      </rPr>
      <t xml:space="preserve"> completed </t>
    </r>
    <r>
      <rPr>
        <sz val="8"/>
        <color rgb="FF000000"/>
        <rFont val="Calibri"/>
        <family val="2"/>
      </rPr>
      <t>P</t>
    </r>
    <r>
      <rPr>
        <sz val="8"/>
        <color rgb="FF000000"/>
        <rFont val="Calibri"/>
        <family val="2"/>
      </rPr>
      <t xml:space="preserve">hase </t>
    </r>
    <r>
      <rPr>
        <sz val="8"/>
        <color rgb="FF000000"/>
        <rFont val="Calibri"/>
        <family val="2"/>
      </rPr>
      <t>O</t>
    </r>
    <r>
      <rPr>
        <sz val="8"/>
        <color rgb="FF000000"/>
        <rFont val="Calibri"/>
        <family val="2"/>
      </rPr>
      <t>ne (</t>
    </r>
    <r>
      <rPr>
        <sz val="8"/>
        <color rgb="FF000000"/>
        <rFont val="Calibri"/>
        <family val="2"/>
      </rPr>
      <t>work plan</t>
    </r>
    <r>
      <rPr>
        <sz val="8"/>
        <color rgb="FF000000"/>
        <rFont val="Calibri"/>
        <family val="2"/>
      </rPr>
      <t xml:space="preserve"> development and consultations) on their updated </t>
    </r>
    <r>
      <rPr>
        <sz val="8"/>
        <color rgb="FF000000"/>
        <rFont val="Calibri"/>
        <family val="2"/>
      </rPr>
      <t>Human Rights SIA in 2023</t>
    </r>
    <r>
      <rPr>
        <sz val="8"/>
        <color rgb="FF000000"/>
        <rFont val="Calibri"/>
        <family val="2"/>
      </rPr>
      <t xml:space="preserve">, and expect to complete </t>
    </r>
    <r>
      <rPr>
        <sz val="8"/>
        <color rgb="FF000000"/>
        <rFont val="Calibri"/>
        <family val="2"/>
      </rPr>
      <t>Phase 2 (</t>
    </r>
    <r>
      <rPr>
        <sz val="8"/>
        <color rgb="FF000000"/>
        <rFont val="Calibri"/>
        <family val="2"/>
      </rPr>
      <t>baseline co</t>
    </r>
    <r>
      <rPr>
        <sz val="8"/>
        <color rgb="FF000000"/>
        <rFont val="Calibri"/>
        <family val="2"/>
      </rPr>
      <t xml:space="preserve">ndition </t>
    </r>
    <r>
      <rPr>
        <sz val="8"/>
        <color rgb="FF000000"/>
        <rFont val="Calibri"/>
        <family val="2"/>
      </rPr>
      <t>reports) and Phase 3 (impact assessment finali</t>
    </r>
    <r>
      <rPr>
        <sz val="8"/>
        <color rgb="FF000000"/>
        <rFont val="Calibri"/>
        <family val="2"/>
      </rPr>
      <t>zation) in 2024.</t>
    </r>
    <r>
      <rPr>
        <sz val="8"/>
        <color rgb="FF000000"/>
        <rFont val="Calibri"/>
        <family val="2"/>
      </rPr>
      <t xml:space="preserve"> Yanacocha initiated a social baseline gap analysis in 2023 </t>
    </r>
    <r>
      <rPr>
        <sz val="8"/>
        <color rgb="FF000000"/>
        <rFont val="Calibri"/>
        <family val="2"/>
      </rPr>
      <t>to be used to</t>
    </r>
    <r>
      <rPr>
        <sz val="8"/>
        <color rgb="FF000000"/>
        <rFont val="Calibri"/>
        <family val="2"/>
      </rPr>
      <t xml:space="preserve"> develop their u</t>
    </r>
    <r>
      <rPr>
        <sz val="8"/>
        <color rgb="FF000000"/>
        <rFont val="Calibri"/>
        <family val="2"/>
      </rPr>
      <t>pdated SIA</t>
    </r>
    <r>
      <rPr>
        <sz val="8"/>
        <color rgb="FF000000"/>
        <rFont val="Calibri"/>
        <family val="2"/>
      </rPr>
      <t xml:space="preserve"> in 2024</t>
    </r>
    <r>
      <rPr>
        <sz val="8"/>
        <color rgb="FF000000"/>
        <rFont val="Calibri"/>
        <family val="2"/>
      </rPr>
      <t>.</t>
    </r>
  </si>
  <si>
    <t>VALUE SHARING: COVID-19 GLOBAL COMMUNITY SUPPORT FUND</t>
  </si>
  <si>
    <r>
      <rPr>
        <b/>
        <sz val="10"/>
        <color rgb="FF000000"/>
        <rFont val="Calibri"/>
        <family val="2"/>
      </rPr>
      <t>COVID-19 Global Community Support Fund: Site level (thousands)</t>
    </r>
    <r>
      <rPr>
        <b/>
        <vertAlign val="superscript"/>
        <sz val="10"/>
        <color rgb="FF000000"/>
        <rFont val="Calibri"/>
        <family val="2"/>
      </rPr>
      <t>1, 2</t>
    </r>
  </si>
  <si>
    <t>Spend focus area</t>
  </si>
  <si>
    <t>Total accumulated spend (2020-2023)</t>
  </si>
  <si>
    <t>Workforce and community health</t>
  </si>
  <si>
    <t>Local economic resilience</t>
  </si>
  <si>
    <t>Vaccines</t>
  </si>
  <si>
    <r>
      <rPr>
        <b/>
        <sz val="10"/>
        <color rgb="FF000000"/>
        <rFont val="Calibri"/>
        <family val="2"/>
      </rPr>
      <t>Other</t>
    </r>
    <r>
      <rPr>
        <b/>
        <vertAlign val="superscript"/>
        <sz val="10"/>
        <color rgb="FF000000"/>
        <rFont val="Calibri"/>
        <family val="2"/>
      </rPr>
      <t>5</t>
    </r>
  </si>
  <si>
    <r>
      <rPr>
        <sz val="10"/>
        <color rgb="FF000000"/>
        <rFont val="Calibri"/>
        <family val="2"/>
      </rPr>
      <t>National</t>
    </r>
    <r>
      <rPr>
        <vertAlign val="superscript"/>
        <sz val="10"/>
        <color rgb="FF000000"/>
        <rFont val="Calibri"/>
        <family val="2"/>
      </rPr>
      <t>3</t>
    </r>
  </si>
  <si>
    <t>Coffee</t>
  </si>
  <si>
    <t>Galore Creek</t>
  </si>
  <si>
    <t>Denver</t>
  </si>
  <si>
    <t>OTHER</t>
  </si>
  <si>
    <t>Other</t>
  </si>
  <si>
    <t>Barbados</t>
  </si>
  <si>
    <t>Ethiopia</t>
  </si>
  <si>
    <r>
      <rPr>
        <sz val="10"/>
        <color rgb="FF000000"/>
        <rFont val="Calibri"/>
        <family val="2"/>
      </rPr>
      <t>Legacy Sites</t>
    </r>
    <r>
      <rPr>
        <vertAlign val="superscript"/>
        <sz val="10"/>
        <color rgb="FF000000"/>
        <rFont val="Calibri"/>
        <family val="2"/>
      </rPr>
      <t>4</t>
    </r>
  </si>
  <si>
    <r>
      <rPr>
        <vertAlign val="superscript"/>
        <sz val="8"/>
        <color rgb="FF000000"/>
        <rFont val="Calibri"/>
        <family val="2"/>
      </rPr>
      <t xml:space="preserve">1 </t>
    </r>
    <r>
      <rPr>
        <sz val="8"/>
        <color rgb="FF000000"/>
        <rFont val="Calibri"/>
        <family val="2"/>
      </rPr>
      <t xml:space="preserve">Newmont announced the successful completion of the $20 million Global Community Support Fund (the Fund) in the beginning of 2024. The final donations from the Fund were made in January 2024.
</t>
    </r>
    <r>
      <rPr>
        <vertAlign val="superscript"/>
        <sz val="8"/>
        <color rgb="FF000000"/>
        <rFont val="Calibri"/>
        <family val="2"/>
      </rPr>
      <t xml:space="preserve">2 </t>
    </r>
    <r>
      <rPr>
        <sz val="8"/>
        <color rgb="FF000000"/>
        <rFont val="Calibri"/>
        <family val="2"/>
      </rPr>
      <t xml:space="preserve">In 2023, no spend from the Fund was directed towards programs supporting food security.
</t>
    </r>
    <r>
      <rPr>
        <vertAlign val="superscript"/>
        <sz val="8"/>
        <color rgb="FF000000"/>
        <rFont val="Calibri"/>
        <family val="2"/>
      </rPr>
      <t xml:space="preserve">3 </t>
    </r>
    <r>
      <rPr>
        <sz val="8"/>
        <color rgb="FF000000"/>
        <rFont val="Calibri"/>
        <family val="2"/>
      </rPr>
      <t>The category 'National' represents d</t>
    </r>
    <r>
      <rPr>
        <sz val="8"/>
        <color rgb="FF000000"/>
        <rFont val="Calibri"/>
        <family val="2"/>
      </rPr>
      <t xml:space="preserve">onations made to organizations outside of the local community with a national or regional focus.
</t>
    </r>
    <r>
      <rPr>
        <vertAlign val="superscript"/>
        <sz val="8"/>
        <color rgb="FF000000"/>
        <rFont val="Calibri"/>
        <family val="2"/>
      </rPr>
      <t xml:space="preserve">4 </t>
    </r>
    <r>
      <rPr>
        <sz val="8"/>
        <color rgb="FF000000"/>
        <rFont val="Calibri"/>
        <family val="2"/>
      </rPr>
      <t xml:space="preserve">Specific legacy site data was not collected, but refers to San Martin (Honduras) and Marlin (Guatemala).
</t>
    </r>
    <r>
      <rPr>
        <vertAlign val="superscript"/>
        <sz val="8"/>
        <color rgb="FF000000"/>
        <rFont val="Calibri"/>
        <family val="2"/>
      </rPr>
      <t>5</t>
    </r>
    <r>
      <rPr>
        <sz val="8"/>
        <color rgb="FF000000"/>
        <rFont val="Calibri"/>
        <family val="2"/>
      </rPr>
      <t xml:space="preserve"> </t>
    </r>
    <r>
      <rPr>
        <sz val="8"/>
        <color rgb="FF000000"/>
        <rFont val="Calibri"/>
        <family val="2"/>
      </rPr>
      <t xml:space="preserve">The spend focus area </t>
    </r>
    <r>
      <rPr>
        <sz val="8"/>
        <color rgb="FF000000"/>
        <rFont val="Calibri"/>
        <family val="2"/>
      </rPr>
      <t>'Other' is used for donations not related to health, food security, economic resilience, or vaccines</t>
    </r>
  </si>
  <si>
    <t xml:space="preserve">VALUE SHARING: COMMUNITY INVESTMENTS </t>
  </si>
  <si>
    <r>
      <rPr>
        <b/>
        <sz val="10"/>
        <color rgb="FF000000"/>
        <rFont val="Calibri"/>
        <family val="2"/>
      </rPr>
      <t>Community investments: Site level (</t>
    </r>
    <r>
      <rPr>
        <b/>
        <sz val="10"/>
        <color rgb="FF000000"/>
        <rFont val="Calibri"/>
        <family val="2"/>
      </rPr>
      <t>thousands</t>
    </r>
    <r>
      <rPr>
        <b/>
        <sz val="10"/>
        <color rgb="FF000000"/>
        <rFont val="Calibri"/>
        <family val="2"/>
      </rPr>
      <t>)</t>
    </r>
    <r>
      <rPr>
        <b/>
        <vertAlign val="superscript"/>
        <sz val="10"/>
        <color rgb="FF000000"/>
        <rFont val="Calibri"/>
        <family val="2"/>
      </rPr>
      <t>1, 2</t>
    </r>
  </si>
  <si>
    <r>
      <rPr>
        <b/>
        <sz val="10"/>
        <color rgb="FF000000"/>
        <rFont val="Calibri"/>
        <family val="2"/>
      </rPr>
      <t>Community development expendi</t>
    </r>
    <r>
      <rPr>
        <b/>
        <sz val="10"/>
        <color rgb="FF000000"/>
        <rFont val="Calibri"/>
        <family val="2"/>
      </rPr>
      <t>ture</t>
    </r>
    <r>
      <rPr>
        <b/>
        <sz val="10"/>
        <color rgb="FF000000"/>
        <rFont val="Calibri"/>
        <family val="2"/>
      </rPr>
      <t xml:space="preserve"> -</t>
    </r>
    <r>
      <rPr>
        <b/>
        <sz val="10"/>
        <color rgb="FF000000"/>
        <rFont val="Calibri"/>
        <family val="2"/>
      </rPr>
      <t>E</t>
    </r>
    <r>
      <rPr>
        <b/>
        <sz val="10"/>
        <color rgb="FF000000"/>
        <rFont val="Calibri"/>
        <family val="2"/>
      </rPr>
      <t>ducation and training</t>
    </r>
    <r>
      <rPr>
        <b/>
        <sz val="10"/>
        <color rgb="FF000000"/>
        <rFont val="Calibri"/>
        <family val="2"/>
      </rPr>
      <t xml:space="preserve"> program</t>
    </r>
    <r>
      <rPr>
        <b/>
        <sz val="10"/>
        <color rgb="FF000000"/>
        <rFont val="Calibri"/>
        <family val="2"/>
      </rPr>
      <t>s</t>
    </r>
    <r>
      <rPr>
        <b/>
        <vertAlign val="superscript"/>
        <sz val="10"/>
        <color rgb="FF000000"/>
        <rFont val="Calibri"/>
        <family val="2"/>
      </rPr>
      <t>3</t>
    </r>
  </si>
  <si>
    <r>
      <rPr>
        <b/>
        <sz val="10"/>
        <color rgb="FF000000"/>
        <rFont val="Calibri"/>
        <family val="2"/>
      </rPr>
      <t>C</t>
    </r>
    <r>
      <rPr>
        <b/>
        <sz val="10"/>
        <color rgb="FF000000"/>
        <rFont val="Calibri"/>
        <family val="2"/>
      </rPr>
      <t>ommunity development</t>
    </r>
    <r>
      <rPr>
        <b/>
        <sz val="10"/>
        <color rgb="FF000000"/>
        <rFont val="Calibri"/>
        <family val="2"/>
      </rPr>
      <t xml:space="preserve"> </t>
    </r>
    <r>
      <rPr>
        <b/>
        <sz val="10"/>
        <color rgb="FF000000"/>
        <rFont val="Calibri"/>
        <family val="2"/>
      </rPr>
      <t xml:space="preserve"> expenditure</t>
    </r>
    <r>
      <rPr>
        <b/>
        <sz val="10"/>
        <color rgb="FF000000"/>
        <rFont val="Calibri"/>
        <family val="2"/>
      </rPr>
      <t xml:space="preserve"> - Other programs</t>
    </r>
    <r>
      <rPr>
        <b/>
        <vertAlign val="superscript"/>
        <sz val="10"/>
        <color rgb="FF000000"/>
        <rFont val="Calibri"/>
        <family val="2"/>
      </rPr>
      <t>4</t>
    </r>
  </si>
  <si>
    <r>
      <rPr>
        <b/>
        <sz val="10"/>
        <color rgb="FF000000"/>
        <rFont val="Calibri"/>
        <family val="2"/>
      </rPr>
      <t>Donations</t>
    </r>
    <r>
      <rPr>
        <b/>
        <vertAlign val="superscript"/>
        <sz val="10"/>
        <color rgb="FF000000"/>
        <rFont val="Calibri"/>
        <family val="2"/>
      </rPr>
      <t>5</t>
    </r>
  </si>
  <si>
    <t>Totals</t>
  </si>
  <si>
    <t>Perth</t>
  </si>
  <si>
    <t>Vancouver</t>
  </si>
  <si>
    <r>
      <rPr>
        <vertAlign val="superscript"/>
        <sz val="8"/>
        <color rgb="FF000000"/>
        <rFont val="Calibri"/>
        <family val="2"/>
      </rPr>
      <t xml:space="preserve">1 </t>
    </r>
    <r>
      <rPr>
        <sz val="8"/>
        <color rgb="FF000000"/>
        <rFont val="Calibri"/>
        <family val="2"/>
      </rPr>
      <t xml:space="preserve">Community investments include direct spending for community benefit, monetary donations and the monetary value of in-kind donations.
</t>
    </r>
    <r>
      <rPr>
        <vertAlign val="superscript"/>
        <sz val="8"/>
        <color rgb="FF000000"/>
        <rFont val="Calibri"/>
        <family val="2"/>
      </rPr>
      <t xml:space="preserve">2 </t>
    </r>
    <r>
      <rPr>
        <sz val="8"/>
        <color rgb="FF000000"/>
        <rFont val="Calibri"/>
        <family val="2"/>
      </rPr>
      <t xml:space="preserve">The reporting boundary for this disclosure differs from the report's scope and includes the Denver corporate office and Perth and Vancouver regional offices.
</t>
    </r>
    <r>
      <rPr>
        <vertAlign val="superscript"/>
        <sz val="8"/>
        <color rgb="FF000000"/>
        <rFont val="Calibri"/>
        <family val="2"/>
      </rPr>
      <t>3</t>
    </r>
    <r>
      <rPr>
        <sz val="8"/>
        <color rgb="FF000000"/>
        <rFont val="Calibri"/>
        <family val="2"/>
      </rPr>
      <t xml:space="preserve"> </t>
    </r>
    <r>
      <rPr>
        <sz val="8"/>
        <color rgb="FF000000"/>
        <rFont val="Calibri"/>
        <family val="2"/>
      </rPr>
      <t>Education and training</t>
    </r>
    <r>
      <rPr>
        <sz val="8"/>
        <color rgb="FF000000"/>
        <rFont val="Calibri"/>
        <family val="2"/>
      </rPr>
      <t xml:space="preserve"> program</t>
    </r>
    <r>
      <rPr>
        <sz val="8"/>
        <color rgb="FF000000"/>
        <rFont val="Calibri"/>
        <family val="2"/>
      </rPr>
      <t xml:space="preserve"> expenditure</t>
    </r>
    <r>
      <rPr>
        <sz val="8"/>
        <color rgb="FF000000"/>
        <rFont val="Calibri"/>
        <family val="2"/>
      </rPr>
      <t xml:space="preserve"> </t>
    </r>
    <r>
      <rPr>
        <sz val="8"/>
        <color rgb="FF000000"/>
        <rFont val="Calibri"/>
        <family val="2"/>
      </rPr>
      <t>ref</t>
    </r>
    <r>
      <rPr>
        <sz val="8"/>
        <color rgb="FF000000"/>
        <rFont val="Calibri"/>
        <family val="2"/>
      </rPr>
      <t>lect</t>
    </r>
    <r>
      <rPr>
        <sz val="8"/>
        <color rgb="FF000000"/>
        <rFont val="Calibri"/>
        <family val="2"/>
      </rPr>
      <t>s</t>
    </r>
    <r>
      <rPr>
        <sz val="8"/>
        <color rgb="FF000000"/>
        <rFont val="Calibri"/>
        <family val="2"/>
      </rPr>
      <t xml:space="preserve"> direct spend from sites on programs</t>
    </r>
    <r>
      <rPr>
        <sz val="8"/>
        <color rgb="FF000000"/>
        <rFont val="Calibri"/>
        <family val="2"/>
      </rPr>
      <t xml:space="preserve"> and infrastructure projects that</t>
    </r>
    <r>
      <rPr>
        <sz val="8"/>
        <color rgb="FF000000"/>
        <rFont val="Calibri"/>
        <family val="2"/>
      </rPr>
      <t xml:space="preserve"> </t>
    </r>
    <r>
      <rPr>
        <sz val="8"/>
        <color rgb="FF000000"/>
        <rFont val="Calibri"/>
        <family val="2"/>
      </rPr>
      <t>support</t>
    </r>
    <r>
      <rPr>
        <sz val="8"/>
        <color rgb="FF000000"/>
        <rFont val="Calibri"/>
        <family val="2"/>
      </rPr>
      <t>s</t>
    </r>
    <r>
      <rPr>
        <sz val="8"/>
        <color rgb="FF000000"/>
        <rFont val="Calibri"/>
        <family val="2"/>
      </rPr>
      <t xml:space="preserve"> education and training c</t>
    </r>
    <r>
      <rPr>
        <sz val="8"/>
        <color rgb="FF000000"/>
        <rFont val="Calibri"/>
        <family val="2"/>
      </rPr>
      <t xml:space="preserve">apacity building of the </t>
    </r>
    <r>
      <rPr>
        <sz val="8"/>
        <color rgb="FF000000"/>
        <rFont val="Calibri"/>
        <family val="2"/>
      </rPr>
      <t>community</t>
    </r>
    <r>
      <rPr>
        <sz val="8"/>
        <color rgb="FF000000"/>
        <rFont val="Calibri"/>
        <family val="2"/>
      </rPr>
      <t>, wherein Newmont is not the primary beneficiary</t>
    </r>
    <r>
      <rPr>
        <sz val="8"/>
        <color rgb="FF000000"/>
        <rFont val="Calibri"/>
        <family val="2"/>
      </rPr>
      <t xml:space="preserve">. Programs </t>
    </r>
    <r>
      <rPr>
        <sz val="8"/>
        <color rgb="FF000000"/>
        <rFont val="Calibri"/>
        <family val="2"/>
      </rPr>
      <t>provide funding for</t>
    </r>
    <r>
      <rPr>
        <sz val="8"/>
        <color rgb="FF000000"/>
        <rFont val="Calibri"/>
        <family val="2"/>
      </rPr>
      <t xml:space="preserve"> bursaries and scholarships, early childhood development</t>
    </r>
    <r>
      <rPr>
        <sz val="8"/>
        <color rgb="FF000000"/>
        <rFont val="Calibri"/>
        <family val="2"/>
      </rPr>
      <t>, primary</t>
    </r>
    <r>
      <rPr>
        <sz val="8"/>
        <color rgb="FF000000"/>
        <rFont val="Calibri"/>
        <family val="2"/>
      </rPr>
      <t xml:space="preserve">, secondary, and </t>
    </r>
    <r>
      <rPr>
        <sz val="8"/>
        <color rgb="FF000000"/>
        <rFont val="Calibri"/>
        <family val="2"/>
      </rPr>
      <t>tertiary</t>
    </r>
    <r>
      <rPr>
        <sz val="8"/>
        <color rgb="FF000000"/>
        <rFont val="Calibri"/>
        <family val="2"/>
      </rPr>
      <t xml:space="preserve"> education support (including after school programs</t>
    </r>
    <r>
      <rPr>
        <sz val="8"/>
        <color rgb="FF000000"/>
        <rFont val="Calibri"/>
        <family val="2"/>
      </rPr>
      <t xml:space="preserve"> and online support</t>
    </r>
    <r>
      <rPr>
        <sz val="8"/>
        <color rgb="FF000000"/>
        <rFont val="Calibri"/>
        <family val="2"/>
      </rPr>
      <t>)</t>
    </r>
    <r>
      <rPr>
        <sz val="8"/>
        <color rgb="FF000000"/>
        <rFont val="Calibri"/>
        <family val="2"/>
      </rPr>
      <t>, adult learning</t>
    </r>
    <r>
      <rPr>
        <sz val="8"/>
        <color rgb="FF000000"/>
        <rFont val="Calibri"/>
        <family val="2"/>
      </rPr>
      <t xml:space="preserve">, and training focused on local and </t>
    </r>
    <r>
      <rPr>
        <sz val="8"/>
        <color rgb="FF000000"/>
        <rFont val="Calibri"/>
        <family val="2"/>
      </rPr>
      <t>community</t>
    </r>
    <r>
      <rPr>
        <sz val="8"/>
        <color rgb="FF000000"/>
        <rFont val="Calibri"/>
        <family val="2"/>
      </rPr>
      <t xml:space="preserve"> leadersh</t>
    </r>
    <r>
      <rPr>
        <sz val="8"/>
        <color rgb="FF000000"/>
        <rFont val="Calibri"/>
        <family val="2"/>
      </rPr>
      <t>ip development.</t>
    </r>
    <r>
      <rPr>
        <sz val="8"/>
        <color rgb="FF000000"/>
        <rFont val="Calibri"/>
        <family val="2"/>
      </rPr>
      <t xml:space="preserve"> </t>
    </r>
    <r>
      <rPr>
        <sz val="8"/>
        <color rgb="FF000000"/>
        <rFont val="Calibri"/>
        <family val="2"/>
      </rPr>
      <t xml:space="preserve">Expenditures omit: outside grant funding received from partner agencies; overhead expenses such as community relations year-end reporting costs, salaries and administrative costs; monetary value of in-kind donations and volunteerism; and expenditures related to relocation or resettlement. Sites do not include any expenditures that are legally obligated through licenses or agreement.
</t>
    </r>
    <r>
      <rPr>
        <vertAlign val="superscript"/>
        <sz val="8"/>
        <color rgb="FF000000"/>
        <rFont val="Calibri"/>
        <family val="2"/>
      </rPr>
      <t>4</t>
    </r>
    <r>
      <rPr>
        <vertAlign val="superscript"/>
        <sz val="8"/>
        <color rgb="FF000000"/>
        <rFont val="Calibri"/>
        <family val="2"/>
      </rPr>
      <t xml:space="preserve"> </t>
    </r>
    <r>
      <rPr>
        <sz val="8"/>
        <color rgb="FF000000"/>
        <rFont val="Calibri"/>
        <family val="2"/>
      </rPr>
      <t>C</t>
    </r>
    <r>
      <rPr>
        <sz val="8"/>
        <color rgb="FF000000"/>
        <rFont val="Calibri"/>
        <family val="2"/>
      </rPr>
      <t>ommunity development expenditure</t>
    </r>
    <r>
      <rPr>
        <sz val="8"/>
        <color rgb="FF000000"/>
        <rFont val="Calibri"/>
        <family val="2"/>
      </rPr>
      <t xml:space="preserve"> r</t>
    </r>
    <r>
      <rPr>
        <sz val="8"/>
        <color rgb="FF000000"/>
        <rFont val="Calibri"/>
        <family val="2"/>
      </rPr>
      <t>elated to other programs</t>
    </r>
    <r>
      <rPr>
        <sz val="8"/>
        <color rgb="FF000000"/>
        <rFont val="Calibri"/>
        <family val="2"/>
      </rPr>
      <t xml:space="preserve"> reflect</t>
    </r>
    <r>
      <rPr>
        <sz val="8"/>
        <color rgb="FF000000"/>
        <rFont val="Calibri"/>
        <family val="2"/>
      </rPr>
      <t>s</t>
    </r>
    <r>
      <rPr>
        <sz val="8"/>
        <color rgb="FF000000"/>
        <rFont val="Calibri"/>
        <family val="2"/>
      </rPr>
      <t xml:space="preserve"> direct spend from sites on programs and infrastructure projects that support the local communities</t>
    </r>
    <r>
      <rPr>
        <sz val="8"/>
        <color rgb="FF000000"/>
        <rFont val="Calibri"/>
        <family val="2"/>
      </rPr>
      <t xml:space="preserve"> in areas other than education a</t>
    </r>
    <r>
      <rPr>
        <sz val="8"/>
        <color rgb="FF000000"/>
        <rFont val="Calibri"/>
        <family val="2"/>
      </rPr>
      <t>nd training capacity building</t>
    </r>
    <r>
      <rPr>
        <sz val="8"/>
        <color rgb="FF000000"/>
        <rFont val="Calibri"/>
        <family val="2"/>
      </rPr>
      <t xml:space="preserve">, wherein Newmont is not the primary beneficiary. </t>
    </r>
    <r>
      <rPr>
        <sz val="8"/>
        <color rgb="FF000000"/>
        <rFont val="Calibri"/>
        <family val="2"/>
      </rPr>
      <t xml:space="preserve">These programs support, for example, </t>
    </r>
    <r>
      <rPr>
        <sz val="8"/>
        <color rgb="FF000000"/>
        <rFont val="Calibri"/>
        <family val="2"/>
      </rPr>
      <t>health and wellbeing, environment</t>
    </r>
    <r>
      <rPr>
        <sz val="8"/>
        <color rgb="FF000000"/>
        <rFont val="Calibri"/>
        <family val="2"/>
      </rPr>
      <t>al</t>
    </r>
    <r>
      <rPr>
        <sz val="8"/>
        <color rgb="FF000000"/>
        <rFont val="Calibri"/>
        <family val="2"/>
      </rPr>
      <t xml:space="preserve"> and</t>
    </r>
    <r>
      <rPr>
        <sz val="8"/>
        <color rgb="FF000000"/>
        <rFont val="Calibri"/>
        <family val="2"/>
      </rPr>
      <t xml:space="preserve"> cultural</t>
    </r>
    <r>
      <rPr>
        <sz val="8"/>
        <color rgb="FF000000"/>
        <rFont val="Calibri"/>
        <family val="2"/>
      </rPr>
      <t xml:space="preserve"> initiatives. </t>
    </r>
    <r>
      <rPr>
        <sz val="8"/>
        <color rgb="FF000000"/>
        <rFont val="Calibri"/>
        <family val="2"/>
      </rPr>
      <t xml:space="preserve">Expenditures omit: outside grant funding received from partner agencies; overhead expenses such as community relations year-end reporting costs, salaries and administrative costs; monetary value of in-kind donations and volunteerism; and expenditures related to relocation or resettlement. Sites do not include any expenditures that are legally obligated through licenses or agreement.
</t>
    </r>
    <r>
      <rPr>
        <vertAlign val="superscript"/>
        <sz val="8"/>
        <color rgb="FF000000"/>
        <rFont val="Calibri"/>
        <family val="2"/>
      </rPr>
      <t>5</t>
    </r>
    <r>
      <rPr>
        <sz val="8"/>
        <color rgb="FF000000"/>
        <rFont val="Calibri"/>
        <family val="2"/>
      </rPr>
      <t xml:space="preserve"> Donations data reflects direct monetary investments and the book value of in-kind donations. </t>
    </r>
  </si>
  <si>
    <r>
      <rPr>
        <b/>
        <sz val="10"/>
        <color rgb="FF000000"/>
        <rFont val="Calibri"/>
        <family val="2"/>
      </rPr>
      <t>Community investment programs related to training and education</t>
    </r>
    <r>
      <rPr>
        <b/>
        <vertAlign val="superscript"/>
        <sz val="10"/>
        <color rgb="FF000000"/>
        <rFont val="Calibri"/>
        <family val="2"/>
      </rPr>
      <t>1, 2</t>
    </r>
  </si>
  <si>
    <t>Number of programs</t>
  </si>
  <si>
    <r>
      <rPr>
        <b/>
        <sz val="10"/>
        <color rgb="FF000000"/>
        <rFont val="Calibri"/>
        <family val="2"/>
      </rPr>
      <t>Number of beneficiaries</t>
    </r>
    <r>
      <rPr>
        <b/>
        <vertAlign val="superscript"/>
        <sz val="10"/>
        <color rgb="FF000000"/>
        <rFont val="Calibri"/>
        <family val="2"/>
      </rPr>
      <t>3</t>
    </r>
  </si>
  <si>
    <t>Total program expenditure (thousands)</t>
  </si>
  <si>
    <t>Bursaries and scholarships</t>
  </si>
  <si>
    <t>Early childhood development</t>
  </si>
  <si>
    <t>Primary, secondary, and tertiary education</t>
  </si>
  <si>
    <t>Adult learning</t>
  </si>
  <si>
    <t>Training focused on local government or community leadership development</t>
  </si>
  <si>
    <r>
      <rPr>
        <vertAlign val="superscript"/>
        <sz val="8"/>
        <color rgb="FF000000"/>
        <rFont val="Calibri"/>
        <family val="2"/>
      </rPr>
      <t>1</t>
    </r>
    <r>
      <rPr>
        <sz val="8"/>
        <color rgb="FF000000"/>
        <rFont val="Calibri"/>
        <family val="2"/>
      </rPr>
      <t xml:space="preserve"> </t>
    </r>
    <r>
      <rPr>
        <sz val="8"/>
        <color rgb="FF000000"/>
        <rFont val="Calibri"/>
        <family val="2"/>
      </rPr>
      <t xml:space="preserve">Education and training program expenditure reflects direct spend from sites on programs and infrastructure projects that supports education and training capacity building of the community, wherein Newmont is not the primary beneficiary. Programs provide funding for bursaries and scholarships, early childhood development, primary, secondary, and tertiary education support (including after school programs and online support), adult learning, and training focused on local and community leadership development. </t>
    </r>
    <r>
      <rPr>
        <sz val="8"/>
        <color rgb="FF000000"/>
        <rFont val="Calibri"/>
        <family val="2"/>
      </rPr>
      <t xml:space="preserve">Expenditures omit: outside grant funding received from partner agencies; overhead expenses such as community relations year-end reporting costs, salaries and administrative costs; monetary value of in-kind donations and volunteerism; and expenditures related to relocation or resettlement. Sites do not include any expenditures that are legally obligated through licenses or agreement.
</t>
    </r>
    <r>
      <rPr>
        <vertAlign val="superscript"/>
        <sz val="8"/>
        <color rgb="FF000000"/>
        <rFont val="Calibri"/>
        <family val="2"/>
      </rPr>
      <t>2</t>
    </r>
    <r>
      <rPr>
        <sz val="8"/>
        <color rgb="FF000000"/>
        <rFont val="Calibri"/>
        <family val="2"/>
      </rPr>
      <t xml:space="preserve"> </t>
    </r>
    <r>
      <rPr>
        <sz val="8"/>
        <color rgb="FF000000"/>
        <rFont val="Calibri"/>
        <family val="2"/>
      </rPr>
      <t xml:space="preserve">The reporting boundary for this disclosure differs from the report's scope and includes the Denver corporate office and Perth and Vancouver regional offices.
</t>
    </r>
    <r>
      <rPr>
        <vertAlign val="superscript"/>
        <sz val="8"/>
        <color rgb="FF000000"/>
        <rFont val="Calibri"/>
        <family val="2"/>
      </rPr>
      <t xml:space="preserve">3 </t>
    </r>
    <r>
      <rPr>
        <sz val="8"/>
        <color rgb="FF000000"/>
        <rFont val="Calibri"/>
        <family val="2"/>
      </rPr>
      <t>Where the exact number of beneficiaries of a program was not known, an estimate based on demographics in the projects' area of interest was used.</t>
    </r>
  </si>
  <si>
    <t>VALUE SHARING: ECONOMIC VALUE GENERATED AND DISTRIBUTED</t>
  </si>
  <si>
    <r>
      <rPr>
        <b/>
        <sz val="10"/>
        <color rgb="FF000000"/>
        <rFont val="Calibri"/>
        <family val="2"/>
      </rPr>
      <t>Economic value distributed: Country level (millions)</t>
    </r>
    <r>
      <rPr>
        <b/>
        <vertAlign val="superscript"/>
        <sz val="10"/>
        <color rgb="FF000000"/>
        <rFont val="Calibri"/>
        <family val="2"/>
      </rPr>
      <t>1</t>
    </r>
  </si>
  <si>
    <r>
      <rPr>
        <b/>
        <sz val="10"/>
        <color rgb="FF000000"/>
        <rFont val="Calibri"/>
        <family val="2"/>
      </rPr>
      <t>Operating costs</t>
    </r>
    <r>
      <rPr>
        <b/>
        <vertAlign val="superscript"/>
        <sz val="10"/>
        <color rgb="FF000000"/>
        <rFont val="Calibri"/>
        <family val="2"/>
      </rPr>
      <t>2</t>
    </r>
  </si>
  <si>
    <r>
      <rPr>
        <b/>
        <sz val="10"/>
        <color rgb="FF000000"/>
        <rFont val="Calibri"/>
        <family val="2"/>
      </rPr>
      <t>Employee wages and benefits</t>
    </r>
    <r>
      <rPr>
        <b/>
        <vertAlign val="superscript"/>
        <sz val="10"/>
        <color rgb="FF000000"/>
        <rFont val="Calibri"/>
        <family val="2"/>
      </rPr>
      <t>3</t>
    </r>
  </si>
  <si>
    <r>
      <rPr>
        <b/>
        <sz val="10"/>
        <color rgb="FF000000"/>
        <rFont val="Calibri"/>
        <family val="2"/>
      </rPr>
      <t>Capital spend</t>
    </r>
    <r>
      <rPr>
        <b/>
        <vertAlign val="superscript"/>
        <sz val="10"/>
        <color rgb="FF000000"/>
        <rFont val="Calibri"/>
        <family val="2"/>
      </rPr>
      <t>4</t>
    </r>
  </si>
  <si>
    <r>
      <rPr>
        <b/>
        <sz val="10"/>
        <color rgb="FF000000"/>
        <rFont val="Calibri"/>
        <family val="2"/>
      </rPr>
      <t>Payments to providers of capital</t>
    </r>
    <r>
      <rPr>
        <b/>
        <vertAlign val="superscript"/>
        <sz val="10"/>
        <color rgb="FF000000"/>
        <rFont val="Calibri"/>
        <family val="2"/>
      </rPr>
      <t>5</t>
    </r>
  </si>
  <si>
    <r>
      <rPr>
        <b/>
        <sz val="10"/>
        <color rgb="FF000000"/>
        <rFont val="Calibri"/>
        <family val="2"/>
      </rPr>
      <t>Payments to governments</t>
    </r>
    <r>
      <rPr>
        <b/>
        <vertAlign val="superscript"/>
        <sz val="10"/>
        <color rgb="FF000000"/>
        <rFont val="Calibri"/>
        <family val="2"/>
      </rPr>
      <t>6</t>
    </r>
  </si>
  <si>
    <r>
      <rPr>
        <b/>
        <sz val="10"/>
        <color rgb="FF000000"/>
        <rFont val="Calibri"/>
        <family val="2"/>
      </rPr>
      <t>Community investments</t>
    </r>
    <r>
      <rPr>
        <b/>
        <vertAlign val="superscript"/>
        <sz val="10"/>
        <color rgb="FF000000"/>
        <rFont val="Calibri"/>
        <family val="2"/>
      </rPr>
      <t>7</t>
    </r>
  </si>
  <si>
    <r>
      <rPr>
        <vertAlign val="superscript"/>
        <sz val="8"/>
        <color rgb="FF000000"/>
        <rFont val="Calibri"/>
        <family val="2"/>
      </rPr>
      <t xml:space="preserve">1 </t>
    </r>
    <r>
      <rPr>
        <sz val="8"/>
        <color rgb="FF000000"/>
        <rFont val="Calibri"/>
        <family val="2"/>
      </rPr>
      <t xml:space="preserve">The value sharing data disclosed in this report (economic value generated and distributed) have been adjusted to exclude Nevada and other operations where we are not the operator to ensure comparable reporting boundaries across value sharing data is disclosed.
</t>
    </r>
    <r>
      <rPr>
        <vertAlign val="superscript"/>
        <sz val="8"/>
        <color rgb="FF000000"/>
        <rFont val="Calibri"/>
        <family val="2"/>
      </rPr>
      <t>2</t>
    </r>
    <r>
      <rPr>
        <sz val="8"/>
        <color rgb="FF000000"/>
        <rFont val="Calibri"/>
        <family val="2"/>
      </rPr>
      <t xml:space="preserve"> Operating costs comprise costs applicable to sales of $5,</t>
    </r>
    <r>
      <rPr>
        <sz val="8"/>
        <color rgb="FF000000"/>
        <rFont val="Calibri"/>
        <family val="2"/>
      </rPr>
      <t>450</t>
    </r>
    <r>
      <rPr>
        <sz val="8"/>
        <color rgb="FF000000"/>
        <rFont val="Calibri"/>
        <family val="2"/>
      </rPr>
      <t xml:space="preserve"> (excluding Nevada of $1,</t>
    </r>
    <r>
      <rPr>
        <sz val="8"/>
        <color rgb="FF000000"/>
        <rFont val="Calibri"/>
        <family val="2"/>
      </rPr>
      <t>249</t>
    </r>
    <r>
      <rPr>
        <sz val="8"/>
        <color rgb="FF000000"/>
        <rFont val="Calibri"/>
        <family val="2"/>
      </rPr>
      <t>), exploration of $</t>
    </r>
    <r>
      <rPr>
        <sz val="8"/>
        <color rgb="FF000000"/>
        <rFont val="Calibri"/>
        <family val="2"/>
      </rPr>
      <t>240</t>
    </r>
    <r>
      <rPr>
        <sz val="8"/>
        <color rgb="FF000000"/>
        <rFont val="Calibri"/>
        <family val="2"/>
      </rPr>
      <t xml:space="preserve"> (excluding Nevada of $</t>
    </r>
    <r>
      <rPr>
        <sz val="8"/>
        <color rgb="FF000000"/>
        <rFont val="Calibri"/>
        <family val="2"/>
      </rPr>
      <t>25</t>
    </r>
    <r>
      <rPr>
        <sz val="8"/>
        <color rgb="FF000000"/>
        <rFont val="Calibri"/>
        <family val="2"/>
      </rPr>
      <t>), advanced projects, research and development of $</t>
    </r>
    <r>
      <rPr>
        <sz val="8"/>
        <color rgb="FF000000"/>
        <rFont val="Calibri"/>
        <family val="2"/>
      </rPr>
      <t>196</t>
    </r>
    <r>
      <rPr>
        <sz val="8"/>
        <color rgb="FF000000"/>
        <rFont val="Calibri"/>
        <family val="2"/>
      </rPr>
      <t xml:space="preserve"> (excluding Nevada of $</t>
    </r>
    <r>
      <rPr>
        <sz val="8"/>
        <color rgb="FF000000"/>
        <rFont val="Calibri"/>
        <family val="2"/>
      </rPr>
      <t>4</t>
    </r>
    <r>
      <rPr>
        <sz val="8"/>
        <color rgb="FF000000"/>
        <rFont val="Calibri"/>
        <family val="2"/>
      </rPr>
      <t>) and general and administrative expenses of $</t>
    </r>
    <r>
      <rPr>
        <sz val="8"/>
        <color rgb="FF000000"/>
        <rFont val="Calibri"/>
        <family val="2"/>
      </rPr>
      <t>288</t>
    </r>
    <r>
      <rPr>
        <sz val="8"/>
        <color rgb="FF000000"/>
        <rFont val="Calibri"/>
        <family val="2"/>
      </rPr>
      <t xml:space="preserve"> (excluding Nevada of $1</t>
    </r>
    <r>
      <rPr>
        <sz val="8"/>
        <color rgb="FF000000"/>
        <rFont val="Calibri"/>
        <family val="2"/>
      </rPr>
      <t>1</t>
    </r>
    <r>
      <rPr>
        <sz val="8"/>
        <color rgb="FF000000"/>
        <rFont val="Calibri"/>
        <family val="2"/>
      </rPr>
      <t>) on an accrued basis and cash paid for reclamation in 202</t>
    </r>
    <r>
      <rPr>
        <sz val="8"/>
        <color rgb="FF000000"/>
        <rFont val="Calibri"/>
        <family val="2"/>
      </rPr>
      <t>3</t>
    </r>
    <r>
      <rPr>
        <sz val="8"/>
        <color rgb="FF000000"/>
        <rFont val="Calibri"/>
        <family val="2"/>
      </rPr>
      <t xml:space="preserve"> of $</t>
    </r>
    <r>
      <rPr>
        <sz val="8"/>
        <color rgb="FF000000"/>
        <rFont val="Calibri"/>
        <family val="2"/>
      </rPr>
      <t>206</t>
    </r>
    <r>
      <rPr>
        <sz val="8"/>
        <color rgb="FF000000"/>
        <rFont val="Calibri"/>
        <family val="2"/>
      </rPr>
      <t xml:space="preserve"> (excluding Nevada of $</t>
    </r>
    <r>
      <rPr>
        <sz val="8"/>
        <color rgb="FF000000"/>
        <rFont val="Calibri"/>
        <family val="2"/>
      </rPr>
      <t>11</t>
    </r>
    <r>
      <rPr>
        <sz val="8"/>
        <color rgb="FF000000"/>
        <rFont val="Calibri"/>
        <family val="2"/>
      </rPr>
      <t xml:space="preserve"> and legacy sites of $8</t>
    </r>
    <r>
      <rPr>
        <sz val="8"/>
        <color rgb="FF000000"/>
        <rFont val="Calibri"/>
        <family val="2"/>
      </rPr>
      <t>5</t>
    </r>
    <r>
      <rPr>
        <sz val="8"/>
        <color rgb="FF000000"/>
        <rFont val="Calibri"/>
        <family val="2"/>
      </rPr>
      <t>). Operating costs omit employee wages and benefits of $</t>
    </r>
    <r>
      <rPr>
        <sz val="8"/>
        <color rgb="FF000000"/>
        <rFont val="Calibri"/>
        <family val="2"/>
      </rPr>
      <t>1,670</t>
    </r>
    <r>
      <rPr>
        <sz val="8"/>
        <color rgb="FF000000"/>
        <rFont val="Calibri"/>
        <family val="2"/>
      </rPr>
      <t>, included in the employee wages and benefits column; $</t>
    </r>
    <r>
      <rPr>
        <sz val="8"/>
        <color rgb="FF000000"/>
        <rFont val="Calibri"/>
        <family val="2"/>
      </rPr>
      <t>505</t>
    </r>
    <r>
      <rPr>
        <sz val="8"/>
        <color rgb="FF000000"/>
        <rFont val="Calibri"/>
        <family val="2"/>
      </rPr>
      <t xml:space="preserve"> in payments to governments for royalties, employer taxes, property taxes and sales/production taxes included in the payments to governments column; $</t>
    </r>
    <r>
      <rPr>
        <sz val="8"/>
        <color rgb="FF000000"/>
        <rFont val="Calibri"/>
        <family val="2"/>
      </rPr>
      <t>20</t>
    </r>
    <r>
      <rPr>
        <sz val="8"/>
        <color rgb="FF000000"/>
        <rFont val="Calibri"/>
        <family val="2"/>
      </rPr>
      <t xml:space="preserve"> of indirect costs; $</t>
    </r>
    <r>
      <rPr>
        <sz val="8"/>
        <color rgb="FF000000"/>
        <rFont val="Calibri"/>
        <family val="2"/>
      </rPr>
      <t>73</t>
    </r>
    <r>
      <rPr>
        <sz val="8"/>
        <color rgb="FF000000"/>
        <rFont val="Calibri"/>
        <family val="2"/>
      </rPr>
      <t xml:space="preserve"> of byproduct sales, which are recognized as credits to costs applicable to sales in our 202</t>
    </r>
    <r>
      <rPr>
        <sz val="8"/>
        <color rgb="FF000000"/>
        <rFont val="Calibri"/>
        <family val="2"/>
      </rPr>
      <t>3</t>
    </r>
    <r>
      <rPr>
        <sz val="8"/>
        <color rgb="FF000000"/>
        <rFont val="Calibri"/>
        <family val="2"/>
      </rPr>
      <t xml:space="preserve"> Form 10-K</t>
    </r>
    <r>
      <rPr>
        <sz val="8"/>
        <color rgb="FF000000"/>
        <rFont val="Calibri"/>
        <family val="2"/>
      </rPr>
      <t>,</t>
    </r>
    <r>
      <rPr>
        <sz val="8"/>
        <color rgb="FF000000"/>
        <rFont val="Calibri"/>
        <family val="2"/>
      </rPr>
      <t xml:space="preserve"> and $</t>
    </r>
    <r>
      <rPr>
        <sz val="8"/>
        <color rgb="FF000000"/>
        <rFont val="Calibri"/>
        <family val="2"/>
      </rPr>
      <t>3</t>
    </r>
    <r>
      <rPr>
        <sz val="8"/>
        <color rgb="FF000000"/>
        <rFont val="Calibri"/>
        <family val="2"/>
      </rPr>
      <t>7</t>
    </r>
    <r>
      <rPr>
        <sz val="8"/>
        <color rgb="FF000000"/>
        <rFont val="Calibri"/>
        <family val="2"/>
      </rPr>
      <t xml:space="preserve"> of community investments included in the community investments column.
</t>
    </r>
    <r>
      <rPr>
        <vertAlign val="superscript"/>
        <sz val="8"/>
        <color rgb="FF000000"/>
        <rFont val="Calibri"/>
        <family val="2"/>
      </rPr>
      <t>3</t>
    </r>
    <r>
      <rPr>
        <sz val="8"/>
        <color rgb="FF000000"/>
        <rFont val="Calibri"/>
        <family val="2"/>
      </rPr>
      <t xml:space="preserve"> </t>
    </r>
    <r>
      <rPr>
        <sz val="8"/>
        <color rgb="FF000000"/>
        <rFont val="Calibri"/>
        <family val="2"/>
      </rPr>
      <t xml:space="preserve">Employee wages and benefits is presented on an accrued basis and includes employee wages and benefits of $1,665 and severance expense, which is reported within Other Expense in our 2023 10-K, of $19.
</t>
    </r>
    <r>
      <rPr>
        <vertAlign val="superscript"/>
        <sz val="8"/>
        <color rgb="FF000000"/>
        <rFont val="Calibri"/>
        <family val="2"/>
      </rPr>
      <t>4</t>
    </r>
    <r>
      <rPr>
        <sz val="8"/>
        <color rgb="FF000000"/>
        <rFont val="Calibri"/>
        <family val="2"/>
      </rPr>
      <t xml:space="preserve"> Capital spend is presented on an accrued basis and excludes employee wages and benefits capitalized of $</t>
    </r>
    <r>
      <rPr>
        <sz val="8"/>
        <color rgb="FF000000"/>
        <rFont val="Calibri"/>
        <family val="2"/>
      </rPr>
      <t>76</t>
    </r>
    <r>
      <rPr>
        <sz val="8"/>
        <color rgb="FF000000"/>
        <rFont val="Calibri"/>
        <family val="2"/>
      </rPr>
      <t>, capitalized interest of $</t>
    </r>
    <r>
      <rPr>
        <sz val="8"/>
        <color rgb="FF000000"/>
        <rFont val="Calibri"/>
        <family val="2"/>
      </rPr>
      <t>8</t>
    </r>
    <r>
      <rPr>
        <sz val="8"/>
        <color rgb="FF000000"/>
        <rFont val="Calibri"/>
        <family val="2"/>
      </rPr>
      <t>1</t>
    </r>
    <r>
      <rPr>
        <sz val="8"/>
        <color rgb="FF000000"/>
        <rFont val="Calibri"/>
        <family val="2"/>
      </rPr>
      <t xml:space="preserve"> and Nevada spend of $</t>
    </r>
    <r>
      <rPr>
        <sz val="8"/>
        <color rgb="FF000000"/>
        <rFont val="Calibri"/>
        <family val="2"/>
      </rPr>
      <t>472</t>
    </r>
    <r>
      <rPr>
        <sz val="8"/>
        <color rgb="FF000000"/>
        <rFont val="Calibri"/>
        <family val="2"/>
      </rPr>
      <t xml:space="preserve">.
</t>
    </r>
    <r>
      <rPr>
        <vertAlign val="superscript"/>
        <sz val="8"/>
        <color rgb="FF000000"/>
        <rFont val="Calibri"/>
        <family val="2"/>
      </rPr>
      <t>5</t>
    </r>
    <r>
      <rPr>
        <sz val="8"/>
        <color rgb="FF000000"/>
        <rFont val="Calibri"/>
        <family val="2"/>
      </rPr>
      <t xml:space="preserve"> Payments to providers of capital includes interest expense</t>
    </r>
    <r>
      <rPr>
        <sz val="8"/>
        <color rgb="FF000000"/>
        <rFont val="Calibri"/>
        <family val="2"/>
      </rPr>
      <t xml:space="preserve"> of $</t>
    </r>
    <r>
      <rPr>
        <sz val="8"/>
        <color rgb="FF000000"/>
        <rFont val="Calibri"/>
        <family val="2"/>
      </rPr>
      <t>240</t>
    </r>
    <r>
      <rPr>
        <sz val="8"/>
        <color rgb="FF000000"/>
        <rFont val="Calibri"/>
        <family val="2"/>
      </rPr>
      <t xml:space="preserve"> (excluding Nevada of $3),</t>
    </r>
    <r>
      <rPr>
        <sz val="8"/>
        <color rgb="FF000000"/>
        <rFont val="Calibri"/>
        <family val="2"/>
      </rPr>
      <t xml:space="preserve"> net of</t>
    </r>
    <r>
      <rPr>
        <sz val="8"/>
        <color rgb="FF000000"/>
        <rFont val="Calibri"/>
        <family val="2"/>
      </rPr>
      <t xml:space="preserve"> capitalized interest of $</t>
    </r>
    <r>
      <rPr>
        <sz val="8"/>
        <color rgb="FF000000"/>
        <rFont val="Calibri"/>
        <family val="2"/>
      </rPr>
      <t>8</t>
    </r>
    <r>
      <rPr>
        <sz val="8"/>
        <color rgb="FF000000"/>
        <rFont val="Calibri"/>
        <family val="2"/>
      </rPr>
      <t>1</t>
    </r>
    <r>
      <rPr>
        <sz val="8"/>
        <color rgb="FF000000"/>
        <rFont val="Calibri"/>
        <family val="2"/>
      </rPr>
      <t xml:space="preserve"> (excluding Nevada of $</t>
    </r>
    <r>
      <rPr>
        <sz val="8"/>
        <color rgb="FF000000"/>
        <rFont val="Calibri"/>
        <family val="2"/>
      </rPr>
      <t>8</t>
    </r>
    <r>
      <rPr>
        <sz val="8"/>
        <color rgb="FF000000"/>
        <rFont val="Calibri"/>
        <family val="2"/>
      </rPr>
      <t>)</t>
    </r>
    <r>
      <rPr>
        <sz val="8"/>
        <color rgb="FF000000"/>
        <rFont val="Calibri"/>
        <family val="2"/>
      </rPr>
      <t>,</t>
    </r>
    <r>
      <rPr>
        <sz val="8"/>
        <color rgb="FF000000"/>
        <rFont val="Calibri"/>
        <family val="2"/>
      </rPr>
      <t xml:space="preserve"> and dividends paid to common stockholders of $</t>
    </r>
    <r>
      <rPr>
        <sz val="8"/>
        <color rgb="FF000000"/>
        <rFont val="Calibri"/>
        <family val="2"/>
      </rPr>
      <t>1,415</t>
    </r>
    <r>
      <rPr>
        <sz val="8"/>
        <color rgb="FF000000"/>
        <rFont val="Calibri"/>
        <family val="2"/>
      </rPr>
      <t xml:space="preserve">.
</t>
    </r>
    <r>
      <rPr>
        <vertAlign val="superscript"/>
        <sz val="8"/>
        <color rgb="FF000000"/>
        <rFont val="Calibri"/>
        <family val="2"/>
      </rPr>
      <t>6</t>
    </r>
    <r>
      <rPr>
        <vertAlign val="superscript"/>
        <sz val="8"/>
        <color rgb="FF000000"/>
        <rFont val="Calibri"/>
        <family val="2"/>
      </rPr>
      <t xml:space="preserve"> </t>
    </r>
    <r>
      <rPr>
        <sz val="8"/>
        <color rgb="FF000000"/>
        <rFont val="Calibri"/>
        <family val="2"/>
      </rPr>
      <t xml:space="preserve">Payments to Governments include current year cash payments for income and mining taxes, governmental royalties, accrued employer, property, sales, production, and withholding taxes. The above also includes export duties paid in Argentina. Amounts may not calculate due to rounding.
</t>
    </r>
    <r>
      <rPr>
        <vertAlign val="superscript"/>
        <sz val="8"/>
        <color rgb="FF000000"/>
        <rFont val="Calibri"/>
        <family val="2"/>
      </rPr>
      <t>7</t>
    </r>
    <r>
      <rPr>
        <vertAlign val="superscript"/>
        <sz val="8"/>
        <color rgb="FF000000"/>
        <rFont val="Calibri"/>
        <family val="2"/>
      </rPr>
      <t xml:space="preserve"> </t>
    </r>
    <r>
      <rPr>
        <sz val="8"/>
        <color rgb="FF000000"/>
        <rFont val="Calibri"/>
        <family val="2"/>
      </rPr>
      <t xml:space="preserve">Community investments data includes direct spending for community benefit, monetary donations and the monetary value of in-kind donations. Australia includes Perth regional office; Canada includes Vancouver regional office; U.S. includes the Denver corporate headquarters and excludes Nevada. </t>
    </r>
    <r>
      <rPr>
        <sz val="8"/>
        <color rgb="FF000000"/>
        <rFont val="Calibri"/>
        <family val="2"/>
      </rPr>
      <t>All former Newcrest sites and offices are excluded from community investment data for 2023</t>
    </r>
    <r>
      <rPr>
        <sz val="8"/>
        <color rgb="FF000000"/>
        <rFont val="Calibri"/>
        <family val="2"/>
      </rPr>
      <t xml:space="preserve">. </t>
    </r>
    <r>
      <rPr>
        <sz val="8"/>
        <color rgb="FF000000"/>
        <rFont val="Calibri"/>
        <family val="2"/>
      </rPr>
      <t>Community investment data excludes the COVID-19 Global Community Fund contributions.</t>
    </r>
  </si>
  <si>
    <r>
      <rPr>
        <b/>
        <sz val="10"/>
        <color rgb="FF000000"/>
        <rFont val="Calibri"/>
        <family val="2"/>
      </rPr>
      <t>Economic value generated: Country level (millions)</t>
    </r>
    <r>
      <rPr>
        <b/>
        <vertAlign val="superscript"/>
        <sz val="10"/>
        <color rgb="FF000000"/>
        <rFont val="Calibri"/>
        <family val="2"/>
      </rPr>
      <t>1</t>
    </r>
  </si>
  <si>
    <r>
      <rPr>
        <vertAlign val="superscript"/>
        <sz val="8"/>
        <color rgb="FF000000"/>
        <rFont val="Calibri"/>
        <family val="2"/>
      </rPr>
      <t xml:space="preserve">1 </t>
    </r>
    <r>
      <rPr>
        <sz val="8"/>
        <color rgb="FF000000"/>
        <rFont val="Calibri"/>
        <family val="2"/>
      </rPr>
      <t>The value-sharing data disclosed in this report (economic value generated and distributed) have been adjusted to exclude Nevada and other operations where we are not the operator. Economic value generated includes sales of $</t>
    </r>
    <r>
      <rPr>
        <sz val="8"/>
        <color rgb="FF000000"/>
        <rFont val="Calibri"/>
        <family val="2"/>
      </rPr>
      <t>9,541</t>
    </r>
    <r>
      <rPr>
        <sz val="8"/>
        <color rgb="FF000000"/>
        <rFont val="Calibri"/>
        <family val="2"/>
      </rPr>
      <t xml:space="preserve"> (excluding Nevada of $</t>
    </r>
    <r>
      <rPr>
        <sz val="8"/>
        <color rgb="FF000000"/>
        <rFont val="Calibri"/>
        <family val="2"/>
      </rPr>
      <t>2,271</t>
    </r>
    <r>
      <rPr>
        <sz val="8"/>
        <color rgb="FF000000"/>
        <rFont val="Calibri"/>
        <family val="2"/>
      </rPr>
      <t>), net proceeds from the sale of assets and investments of $</t>
    </r>
    <r>
      <rPr>
        <sz val="8"/>
        <color rgb="FF000000"/>
        <rFont val="Calibri"/>
        <family val="2"/>
      </rPr>
      <t>234</t>
    </r>
    <r>
      <rPr>
        <sz val="8"/>
        <color rgb="FF000000"/>
        <rFont val="Calibri"/>
        <family val="2"/>
      </rPr>
      <t>, investment income of $</t>
    </r>
    <r>
      <rPr>
        <sz val="8"/>
        <color rgb="FF000000"/>
        <rFont val="Calibri"/>
        <family val="2"/>
      </rPr>
      <t>144</t>
    </r>
    <r>
      <rPr>
        <sz val="8"/>
        <color rgb="FF000000"/>
        <rFont val="Calibri"/>
        <family val="2"/>
      </rPr>
      <t xml:space="preserve"> (excluding Nevada of $</t>
    </r>
    <r>
      <rPr>
        <sz val="8"/>
        <color rgb="FF000000"/>
        <rFont val="Calibri"/>
        <family val="2"/>
      </rPr>
      <t>4</t>
    </r>
    <r>
      <rPr>
        <sz val="8"/>
        <color rgb="FF000000"/>
        <rFont val="Calibri"/>
        <family val="2"/>
      </rPr>
      <t>), as well as byproduct sales of $</t>
    </r>
    <r>
      <rPr>
        <sz val="8"/>
        <color rgb="FF000000"/>
        <rFont val="Calibri"/>
        <family val="2"/>
      </rPr>
      <t>73</t>
    </r>
    <r>
      <rPr>
        <sz val="8"/>
        <color rgb="FF000000"/>
        <rFont val="Calibri"/>
        <family val="2"/>
      </rPr>
      <t xml:space="preserve"> (excluding </t>
    </r>
    <r>
      <rPr>
        <sz val="8"/>
        <color rgb="FF000000"/>
        <rFont val="Calibri"/>
        <family val="2"/>
      </rPr>
      <t>Nevada of $6</t>
    </r>
    <r>
      <rPr>
        <sz val="8"/>
        <color rgb="FF000000"/>
        <rFont val="Calibri"/>
        <family val="2"/>
      </rPr>
      <t>4)</t>
    </r>
    <r>
      <rPr>
        <sz val="8"/>
        <color rgb="FF000000"/>
        <rFont val="Calibri"/>
        <family val="2"/>
      </rPr>
      <t>, which are recognized as credits to costs applicable to sales in our 202</t>
    </r>
    <r>
      <rPr>
        <sz val="8"/>
        <color rgb="FF000000"/>
        <rFont val="Calibri"/>
        <family val="2"/>
      </rPr>
      <t>3</t>
    </r>
    <r>
      <rPr>
        <sz val="8"/>
        <color rgb="FF000000"/>
        <rFont val="Calibri"/>
        <family val="2"/>
      </rPr>
      <t xml:space="preserve"> 10-K.</t>
    </r>
  </si>
  <si>
    <t>VALUE SHARING: SUPPLY CHAIN SPENDING</t>
  </si>
  <si>
    <t>The reporting boundary for supply chain spending data differs from the reporting scope of our 2023 Sustainability Report. Supply chain spending data includes spend for all activities occurring at our operating sites, including, for instance, project-related spend.</t>
  </si>
  <si>
    <r>
      <rPr>
        <b/>
        <sz val="10"/>
        <color rgb="FF000000"/>
        <rFont val="Calibri"/>
        <family val="2"/>
      </rPr>
      <t>Number of suppliers</t>
    </r>
    <r>
      <rPr>
        <b/>
        <vertAlign val="superscript"/>
        <sz val="10"/>
        <color rgb="FF000000"/>
        <rFont val="Calibri"/>
        <family val="2"/>
      </rPr>
      <t>1</t>
    </r>
  </si>
  <si>
    <t>Number of Suppliers in 2023</t>
  </si>
  <si>
    <r>
      <rPr>
        <vertAlign val="superscript"/>
        <sz val="8"/>
        <color rgb="FF000000"/>
        <rFont val="Calibri"/>
        <family val="2"/>
      </rPr>
      <t xml:space="preserve">1 </t>
    </r>
    <r>
      <rPr>
        <sz val="8"/>
        <color rgb="FF000000"/>
        <rFont val="Calibri"/>
        <family val="2"/>
      </rPr>
      <t xml:space="preserve">The reported number of suppliers is a rounded figure to the nearest hundredth. </t>
    </r>
    <r>
      <rPr>
        <sz val="8"/>
        <color rgb="FF000000"/>
        <rFont val="Calibri"/>
        <family val="2"/>
      </rPr>
      <t>We continue to refine our data management processes in order to improve accuracy for capturing our number of suppliers.</t>
    </r>
  </si>
  <si>
    <r>
      <rPr>
        <b/>
        <sz val="10"/>
        <color rgb="FF000000"/>
        <rFont val="Calibri"/>
        <family val="2"/>
      </rPr>
      <t>Spending with local suppliers: Site level (thousands)</t>
    </r>
    <r>
      <rPr>
        <b/>
        <vertAlign val="superscript"/>
        <sz val="10"/>
        <color rgb="FF000000"/>
        <rFont val="Calibri"/>
        <family val="2"/>
      </rPr>
      <t>1</t>
    </r>
  </si>
  <si>
    <t>Total spent</t>
  </si>
  <si>
    <r>
      <rPr>
        <b/>
        <sz val="10"/>
        <color rgb="FF000000"/>
        <rFont val="Calibri"/>
        <family val="2"/>
      </rPr>
      <t>Total spent with local-local suppliers</t>
    </r>
    <r>
      <rPr>
        <b/>
        <vertAlign val="superscript"/>
        <sz val="10"/>
        <color rgb="FF000000"/>
        <rFont val="Calibri"/>
        <family val="2"/>
      </rPr>
      <t>4</t>
    </r>
  </si>
  <si>
    <t>Percent spent with local-local suppliers</t>
  </si>
  <si>
    <r>
      <rPr>
        <b/>
        <sz val="10"/>
        <color rgb="FF000000"/>
        <rFont val="Calibri"/>
        <family val="2"/>
      </rPr>
      <t>Total spent with local suppliers</t>
    </r>
    <r>
      <rPr>
        <b/>
        <vertAlign val="superscript"/>
        <sz val="10"/>
        <color rgb="FF000000"/>
        <rFont val="Calibri"/>
        <family val="2"/>
      </rPr>
      <t>4</t>
    </r>
  </si>
  <si>
    <t>Percent spent with local suppliers</t>
  </si>
  <si>
    <t>Total spent with national suppliers</t>
  </si>
  <si>
    <t>Percent spent with national suppliers</t>
  </si>
  <si>
    <t>Total spent with international suppliers</t>
  </si>
  <si>
    <t>Percent spent with international suppliers</t>
  </si>
  <si>
    <t>&lt;1%</t>
  </si>
  <si>
    <r>
      <rPr>
        <b/>
        <sz val="10"/>
        <color rgb="FF000000"/>
        <rFont val="Calibri"/>
        <family val="2"/>
      </rPr>
      <t>AUSTRALIA</t>
    </r>
    <r>
      <rPr>
        <b/>
        <vertAlign val="superscript"/>
        <sz val="10"/>
        <color rgb="FF000000"/>
        <rFont val="Calibri"/>
        <family val="2"/>
      </rPr>
      <t>2</t>
    </r>
  </si>
  <si>
    <r>
      <rPr>
        <sz val="10"/>
        <color rgb="FF000000"/>
        <rFont val="Calibri"/>
        <family val="2"/>
      </rPr>
      <t>Boddington</t>
    </r>
    <r>
      <rPr>
        <vertAlign val="superscript"/>
        <sz val="10"/>
        <color rgb="FF000000"/>
        <rFont val="Calibri"/>
        <family val="2"/>
      </rPr>
      <t>2</t>
    </r>
  </si>
  <si>
    <r>
      <rPr>
        <sz val="10"/>
        <color rgb="FF000000"/>
        <rFont val="Calibri"/>
        <family val="2"/>
      </rPr>
      <t>Merian</t>
    </r>
    <r>
      <rPr>
        <vertAlign val="superscript"/>
        <sz val="10"/>
        <color rgb="FF000000"/>
        <rFont val="Calibri"/>
        <family val="2"/>
      </rPr>
      <t>3, 4</t>
    </r>
  </si>
  <si>
    <r>
      <rPr>
        <sz val="10"/>
        <color rgb="FF000000"/>
        <rFont val="Calibri"/>
        <family val="2"/>
      </rPr>
      <t>CC&amp;V</t>
    </r>
    <r>
      <rPr>
        <vertAlign val="superscript"/>
        <sz val="10"/>
        <color rgb="FF000000"/>
        <rFont val="Calibri"/>
        <family val="2"/>
      </rPr>
      <t>5</t>
    </r>
  </si>
  <si>
    <r>
      <rPr>
        <vertAlign val="superscript"/>
        <sz val="8"/>
        <rFont val="Calibri"/>
        <family val="2"/>
      </rPr>
      <t xml:space="preserve">1 </t>
    </r>
    <r>
      <rPr>
        <sz val="8"/>
        <rFont val="Calibri"/>
        <family val="2"/>
      </rPr>
      <t xml:space="preserve">Some figures and percentages may not add up to the total figure or 100 percent due to rounding.
</t>
    </r>
    <r>
      <rPr>
        <vertAlign val="superscript"/>
        <sz val="8"/>
        <rFont val="Calibri"/>
        <family val="2"/>
      </rPr>
      <t xml:space="preserve">2 </t>
    </r>
    <r>
      <rPr>
        <sz val="8"/>
        <rFont val="Calibri"/>
        <family val="2"/>
      </rPr>
      <t xml:space="preserve">At our Australian sites, procurement spend includes spend for non-order invoice vendors relating to non-order payments. At our Boddington operation, there is a significant decrease in the percent spent with national and international suppliers as compared to the prior reporting period. This is due to misclassification of two of the sites' suppliers, that was corrected in 2023.
</t>
    </r>
    <r>
      <rPr>
        <vertAlign val="superscript"/>
        <sz val="8"/>
        <rFont val="Calibri"/>
        <family val="2"/>
      </rPr>
      <t xml:space="preserve">3 </t>
    </r>
    <r>
      <rPr>
        <sz val="8"/>
        <rFont val="Calibri"/>
        <family val="2"/>
      </rPr>
      <t xml:space="preserve">Spend at our Merian and Yanacocha sites includes non-addressable spend, in addition to addressable spend.
</t>
    </r>
    <r>
      <rPr>
        <vertAlign val="superscript"/>
        <sz val="8"/>
        <rFont val="Calibri"/>
        <family val="2"/>
      </rPr>
      <t xml:space="preserve">4 </t>
    </r>
    <r>
      <rPr>
        <sz val="8"/>
        <rFont val="Calibri"/>
        <family val="2"/>
      </rPr>
      <t xml:space="preserve">Includes all suppliers as described within each site's definition of 'local-local' and 'local' suppliers. Definitions are available in our 2023 Sustainability Report Methodology. To review changes in definitions from prior year reporting, see our 2022 Sustainability Report Methodology.
</t>
    </r>
    <r>
      <rPr>
        <vertAlign val="superscript"/>
        <sz val="8"/>
        <rFont val="Calibri"/>
        <family val="2"/>
      </rPr>
      <t xml:space="preserve">5 </t>
    </r>
    <r>
      <rPr>
        <sz val="8"/>
        <rFont val="Calibri"/>
        <family val="2"/>
      </rPr>
      <t>Spend at our CC&amp;V site includes accruals.</t>
    </r>
  </si>
  <si>
    <t>Spend target</t>
  </si>
  <si>
    <t>Target results</t>
  </si>
  <si>
    <t xml:space="preserve">Ahafo </t>
  </si>
  <si>
    <t>Indigenous supplier spend</t>
  </si>
  <si>
    <t xml:space="preserve">VALUE SHARING: TAX TRANSPARENCY  </t>
  </si>
  <si>
    <r>
      <rPr>
        <b/>
        <sz val="10"/>
        <color rgb="FF000000"/>
        <rFont val="Calibri"/>
        <family val="2"/>
      </rPr>
      <t>Payments to governments: Country level (millions)</t>
    </r>
    <r>
      <rPr>
        <b/>
        <vertAlign val="superscript"/>
        <sz val="10"/>
        <color rgb="FF000000"/>
        <rFont val="Calibri"/>
        <family val="2"/>
      </rPr>
      <t>1, 2</t>
    </r>
  </si>
  <si>
    <t>Government royalties</t>
  </si>
  <si>
    <t>Taxes</t>
  </si>
  <si>
    <r>
      <rPr>
        <b/>
        <sz val="10"/>
        <color rgb="FF000000"/>
        <rFont val="Calibri"/>
        <family val="2"/>
      </rPr>
      <t>Payments to governments</t>
    </r>
    <r>
      <rPr>
        <b/>
        <vertAlign val="superscript"/>
        <sz val="10"/>
        <color rgb="FF000000"/>
        <rFont val="Calibri"/>
        <family val="2"/>
      </rPr>
      <t>3</t>
    </r>
  </si>
  <si>
    <r>
      <rPr>
        <sz val="10"/>
        <color rgb="FF000000"/>
        <rFont val="Calibri"/>
        <family val="2"/>
      </rPr>
      <t>U.S</t>
    </r>
    <r>
      <rPr>
        <vertAlign val="superscript"/>
        <sz val="10"/>
        <color rgb="FF000000"/>
        <rFont val="Calibri"/>
        <family val="2"/>
      </rPr>
      <t>3</t>
    </r>
  </si>
  <si>
    <r>
      <rPr>
        <vertAlign val="superscript"/>
        <sz val="8"/>
        <color rgb="FF000000"/>
        <rFont val="Calibri"/>
        <family val="2"/>
      </rPr>
      <t>1</t>
    </r>
    <r>
      <rPr>
        <sz val="8"/>
        <color rgb="FF000000"/>
        <rFont val="Calibri"/>
        <family val="2"/>
      </rPr>
      <t xml:space="preserve"> Taxes include current year cash payments for income and mining taxes, accrued employer, property, sales, production and withholding taxes. In addition, taxes include export duties paid in Argentina. Amounts may not calculate due to rounding.
</t>
    </r>
    <r>
      <rPr>
        <vertAlign val="superscript"/>
        <sz val="8"/>
        <color rgb="FF000000"/>
        <rFont val="Calibri"/>
        <family val="2"/>
      </rPr>
      <t>2</t>
    </r>
    <r>
      <rPr>
        <sz val="8"/>
        <color rgb="FF000000"/>
        <rFont val="Calibri"/>
        <family val="2"/>
      </rPr>
      <t xml:space="preserve"> Significant tax payments incurred are projected to be paid the following year for various countries that have installment rules impacting the timing of tax payments. 
</t>
    </r>
    <r>
      <rPr>
        <vertAlign val="superscript"/>
        <sz val="8"/>
        <color rgb="FF000000"/>
        <rFont val="Calibri"/>
        <family val="2"/>
      </rPr>
      <t xml:space="preserve">3 </t>
    </r>
    <r>
      <rPr>
        <sz val="8"/>
        <color rgb="FF000000"/>
        <rFont val="Calibri"/>
        <family val="2"/>
      </rPr>
      <t>The value-sharing data disclosed in this report (economic value generated and distributed) have been adjusted to exclude Nevada and other operations where we are not the operator.</t>
    </r>
  </si>
  <si>
    <r>
      <rPr>
        <b/>
        <sz val="10"/>
        <color rgb="FF000000"/>
        <rFont val="Calibri"/>
        <family val="2"/>
      </rPr>
      <t>Effective tax rates: Country level</t>
    </r>
    <r>
      <rPr>
        <b/>
        <vertAlign val="superscript"/>
        <sz val="10"/>
        <color rgb="FF000000"/>
        <rFont val="Calibri"/>
        <family val="2"/>
      </rPr>
      <t>1</t>
    </r>
  </si>
  <si>
    <t>Rate</t>
  </si>
  <si>
    <r>
      <rPr>
        <sz val="10"/>
        <color rgb="FF000000"/>
        <rFont val="Calibri"/>
        <family val="2"/>
      </rPr>
      <t>U.S.</t>
    </r>
    <r>
      <rPr>
        <vertAlign val="superscript"/>
        <sz val="10"/>
        <color rgb="FF000000"/>
        <rFont val="Calibri"/>
        <family val="2"/>
      </rPr>
      <t>2</t>
    </r>
  </si>
  <si>
    <t>Other foreign</t>
  </si>
  <si>
    <r>
      <rPr>
        <b/>
        <sz val="10"/>
        <color rgb="FF000000"/>
        <rFont val="Calibri"/>
        <family val="2"/>
      </rPr>
      <t>Consolidated</t>
    </r>
    <r>
      <rPr>
        <b/>
        <vertAlign val="superscript"/>
        <sz val="10"/>
        <color rgb="FF000000"/>
        <rFont val="Calibri"/>
        <family val="2"/>
      </rPr>
      <t>3</t>
    </r>
  </si>
  <si>
    <r>
      <rPr>
        <vertAlign val="superscript"/>
        <sz val="8"/>
        <color rgb="FF000000"/>
        <rFont val="Calibri"/>
        <family val="2"/>
      </rPr>
      <t>1</t>
    </r>
    <r>
      <rPr>
        <sz val="8"/>
        <color rgb="FF000000"/>
        <rFont val="Calibri"/>
        <family val="2"/>
      </rPr>
      <t xml:space="preserve"> The effective tax rate is driven by a number of factors and can fluctuate from year to year. For a more detailed discussion of tax expenses, refer to page 96 of Newmont's 2023 Form 10-K report. Amounts may not calculate due to rounding. 
</t>
    </r>
    <r>
      <rPr>
        <vertAlign val="superscript"/>
        <sz val="8"/>
        <color rgb="FF000000"/>
        <rFont val="Calibri"/>
        <family val="2"/>
      </rPr>
      <t>2</t>
    </r>
    <r>
      <rPr>
        <sz val="8"/>
        <color rgb="FF000000"/>
        <rFont val="Calibri"/>
        <family val="2"/>
      </rPr>
      <t xml:space="preserve"> Our consolidated total tax rate for financial statement purposes, referred to as our effective tax rate, was (26) percent; however, as noted, this calculation included the Nevada Gold Mines portion of  Newmont's government payments. It should be noted that all tax and government royalty figures, reported elsewhere in this report, do not include Newmont's Nevada Gold Mine payments.
</t>
    </r>
    <r>
      <rPr>
        <vertAlign val="superscript"/>
        <sz val="8"/>
        <color rgb="FF000000"/>
        <rFont val="Calibri"/>
        <family val="2"/>
      </rPr>
      <t>3</t>
    </r>
    <r>
      <rPr>
        <sz val="8"/>
        <color rgb="FF000000"/>
        <rFont val="Calibri"/>
        <family val="2"/>
      </rPr>
      <t xml:space="preserve"> More details on our effective tax rate are available in our 2023 Form 10-K (p. 165-166) and 2023 Taxes and Royalties Contribution Report.</t>
    </r>
  </si>
  <si>
    <t>WORKFORCE: BREAKOUT OF TOTAL WORKFORCE</t>
  </si>
  <si>
    <t>The reporting boundary for all workforce-related data differs from the reporting scope of our 2023 Sustainability Report. Workforce-related data includes all employees (corporate headquarters, regional offices, the Denver metallurgy lab, project sites, exploration sites and legacy sites) unless otherwise noted.</t>
  </si>
  <si>
    <r>
      <rPr>
        <b/>
        <sz val="9"/>
        <color rgb="FF000000"/>
        <rFont val="Calibri"/>
        <family val="2"/>
      </rPr>
      <t>Total workforce by business unit: Trailing five year data</t>
    </r>
    <r>
      <rPr>
        <b/>
        <vertAlign val="superscript"/>
        <sz val="9"/>
        <color rgb="FF000000"/>
        <rFont val="Calibri"/>
        <family val="2"/>
      </rPr>
      <t>1, 2</t>
    </r>
  </si>
  <si>
    <t>Employees</t>
  </si>
  <si>
    <r>
      <rPr>
        <sz val="9"/>
        <color rgb="FF000000"/>
        <rFont val="Calibri"/>
        <family val="2"/>
      </rPr>
      <t>LATAC</t>
    </r>
    <r>
      <rPr>
        <vertAlign val="superscript"/>
        <sz val="9"/>
        <color rgb="FF000000"/>
        <rFont val="Calibri"/>
        <family val="2"/>
      </rPr>
      <t>3</t>
    </r>
  </si>
  <si>
    <t>Total Employees</t>
  </si>
  <si>
    <t>Contractors</t>
  </si>
  <si>
    <t>Total Contractors</t>
  </si>
  <si>
    <t>TOTAL WORKFORCE</t>
  </si>
  <si>
    <r>
      <rPr>
        <vertAlign val="superscript"/>
        <sz val="8"/>
        <color rgb="FF000000"/>
        <rFont val="Calibri"/>
        <family val="2"/>
      </rPr>
      <t xml:space="preserve">1 </t>
    </r>
    <r>
      <rPr>
        <sz val="8"/>
        <color rgb="FF000000"/>
        <rFont val="Calibri"/>
        <family val="2"/>
      </rPr>
      <t xml:space="preserve">Historical data has been restated to match our current organizational structure by Business Unit, updated from Region in 2023.
</t>
    </r>
    <r>
      <rPr>
        <vertAlign val="superscript"/>
        <sz val="8"/>
        <color rgb="FF000000"/>
        <rFont val="Calibri"/>
        <family val="2"/>
      </rPr>
      <t xml:space="preserve">2 </t>
    </r>
    <r>
      <rPr>
        <sz val="8"/>
        <color rgb="FF000000"/>
        <rFont val="Calibri"/>
        <family val="2"/>
      </rPr>
      <t xml:space="preserve">Employees located outside of Newmont's designated Business Units are reported within the North America Business Unit for consolidation purposes.
</t>
    </r>
    <r>
      <rPr>
        <vertAlign val="superscript"/>
        <sz val="8"/>
        <color rgb="FF000000"/>
        <rFont val="Calibri"/>
        <family val="2"/>
      </rPr>
      <t xml:space="preserve">3 </t>
    </r>
    <r>
      <rPr>
        <sz val="8"/>
        <color rgb="FF000000"/>
        <rFont val="Calibri"/>
        <family val="2"/>
      </rPr>
      <t>The e</t>
    </r>
    <r>
      <rPr>
        <sz val="8"/>
        <color rgb="FF000000"/>
        <rFont val="Calibri"/>
        <family val="2"/>
      </rPr>
      <t>mployees associated with the Miami, U.S. regional office are reported in the LATAC Business Unit.</t>
    </r>
  </si>
  <si>
    <t>WORKFORCE: COMPENSATION AND EQUAL REMUNERATION</t>
  </si>
  <si>
    <r>
      <rPr>
        <b/>
        <sz val="10"/>
        <color rgb="FF000000"/>
        <rFont val="Calibri"/>
        <family val="2"/>
      </rPr>
      <t>Ratio of average female salary to average male salary: Employee category</t>
    </r>
    <r>
      <rPr>
        <b/>
        <vertAlign val="superscript"/>
        <sz val="10"/>
        <color rgb="FF000000"/>
        <rFont val="Calibri"/>
        <family val="2"/>
      </rPr>
      <t>1, 2, 3</t>
    </r>
  </si>
  <si>
    <t>Number of female employees</t>
  </si>
  <si>
    <t>Average female salary</t>
  </si>
  <si>
    <t>Number of male employees</t>
  </si>
  <si>
    <t>Average male salary</t>
  </si>
  <si>
    <t>Ratio female/male average salary</t>
  </si>
  <si>
    <t>Operators and maintainers</t>
  </si>
  <si>
    <r>
      <rPr>
        <vertAlign val="superscript"/>
        <sz val="8"/>
        <color rgb="FF000000"/>
        <rFont val="Calibri"/>
        <family val="2"/>
      </rPr>
      <t xml:space="preserve">1 </t>
    </r>
    <r>
      <rPr>
        <sz val="8"/>
        <color rgb="FF000000"/>
        <rFont val="Calibri"/>
        <family val="2"/>
      </rPr>
      <t xml:space="preserve">9 employees elected not to disclose their gender and, therefore are not reflected in this data set.
</t>
    </r>
    <r>
      <rPr>
        <vertAlign val="superscript"/>
        <sz val="8"/>
        <color rgb="FF000000"/>
        <rFont val="Calibri"/>
        <family val="2"/>
      </rPr>
      <t xml:space="preserve">2 </t>
    </r>
    <r>
      <rPr>
        <sz val="8"/>
        <color rgb="FF000000"/>
        <rFont val="Calibri"/>
        <family val="2"/>
      </rPr>
      <t xml:space="preserve">Workforce data disaggregated by gender excludes specific employee sub-groups that are hired primarily for skill and development opportunities (e.g. apprentices, students, seasonal job roles) and do not have a long-term employment commitment with Newmont and could be terminated and rehired several times in a year.
</t>
    </r>
    <r>
      <rPr>
        <vertAlign val="superscript"/>
        <sz val="8"/>
        <color rgb="FF000000"/>
        <rFont val="Calibri"/>
        <family val="2"/>
      </rPr>
      <t xml:space="preserve">3 </t>
    </r>
    <r>
      <rPr>
        <sz val="8"/>
        <color rgb="FF000000"/>
        <rFont val="Calibri"/>
        <family val="2"/>
      </rPr>
      <t>In 2023, the Company began the first phase of an organizational design process update. As of the end of 2023, the structural changes implemented resulted in a change to some of the job level definitions, as compared to the definitions used in prior reporting periods.</t>
    </r>
  </si>
  <si>
    <r>
      <rPr>
        <b/>
        <sz val="10"/>
        <color rgb="FF000000"/>
        <rFont val="Calibri"/>
        <family val="2"/>
      </rPr>
      <t>Ratio of average female salary to average male salary: Country level</t>
    </r>
    <r>
      <rPr>
        <b/>
        <vertAlign val="superscript"/>
        <sz val="10"/>
        <color rgb="FF000000"/>
        <rFont val="Calibri"/>
        <family val="2"/>
      </rPr>
      <t>1, 2, 3</t>
    </r>
  </si>
  <si>
    <r>
      <rPr>
        <vertAlign val="superscript"/>
        <sz val="8"/>
        <color rgb="FF000000"/>
        <rFont val="Calibri"/>
        <family val="2"/>
      </rPr>
      <t xml:space="preserve">1 </t>
    </r>
    <r>
      <rPr>
        <sz val="8"/>
        <color rgb="FF000000"/>
        <rFont val="Calibri"/>
        <family val="2"/>
      </rPr>
      <t xml:space="preserve">Countries with fewer than 10 employees by gender, which accounted for 66 employees, are excluded for privacy purposes. The data set also excludes 9 employees who elected not to disclose their gender.
</t>
    </r>
    <r>
      <rPr>
        <vertAlign val="superscript"/>
        <sz val="8"/>
        <color rgb="FF000000"/>
        <rFont val="Calibri"/>
        <family val="2"/>
      </rPr>
      <t xml:space="preserve">2 </t>
    </r>
    <r>
      <rPr>
        <sz val="8"/>
        <color rgb="FF000000"/>
        <rFont val="Calibri"/>
        <family val="2"/>
      </rPr>
      <t xml:space="preserve">Workforce data disaggregated by gender excludes specific employee sub-groups that are hired primarily for skill and development opportunities (e.g. apprentices, students, seasonal job roles) and do not have a long-term employment commitment with Newmont and could be terminated and rehired several times in a year.
</t>
    </r>
    <r>
      <rPr>
        <vertAlign val="superscript"/>
        <sz val="8"/>
        <color rgb="FF000000"/>
        <rFont val="Calibri"/>
        <family val="2"/>
      </rPr>
      <t xml:space="preserve">3 </t>
    </r>
    <r>
      <rPr>
        <sz val="8"/>
        <color rgb="FF000000"/>
        <rFont val="Calibri"/>
        <family val="2"/>
      </rPr>
      <t>The salary values represent average of all salaries, regardless of level of position.</t>
    </r>
  </si>
  <si>
    <t>WORKFORCE: DIVERSITY</t>
  </si>
  <si>
    <r>
      <rPr>
        <b/>
        <sz val="10"/>
        <color rgb="FF000000"/>
        <rFont val="Calibri"/>
        <family val="2"/>
      </rPr>
      <t>Employee gender breakout: Country level</t>
    </r>
    <r>
      <rPr>
        <b/>
        <vertAlign val="superscript"/>
        <sz val="10"/>
        <color rgb="FF000000"/>
        <rFont val="Calibri"/>
        <family val="2"/>
      </rPr>
      <t>1, 2, 3</t>
    </r>
  </si>
  <si>
    <t>Female</t>
  </si>
  <si>
    <t>Male</t>
  </si>
  <si>
    <r>
      <rPr>
        <vertAlign val="superscript"/>
        <sz val="8"/>
        <color rgb="FF000000"/>
        <rFont val="Calibri"/>
        <family val="2"/>
      </rPr>
      <t xml:space="preserve">1 </t>
    </r>
    <r>
      <rPr>
        <sz val="8"/>
        <color rgb="FF000000"/>
        <rFont val="Calibri"/>
        <family val="2"/>
      </rPr>
      <t xml:space="preserve">The category 'Other' includes employees from countries with fewer than 10 total employees by gender.
</t>
    </r>
    <r>
      <rPr>
        <vertAlign val="superscript"/>
        <sz val="8"/>
        <color rgb="FF000000"/>
        <rFont val="Calibri"/>
        <family val="2"/>
      </rPr>
      <t xml:space="preserve">2 </t>
    </r>
    <r>
      <rPr>
        <sz val="8"/>
        <color rgb="FF000000"/>
        <rFont val="Calibri"/>
        <family val="2"/>
      </rPr>
      <t xml:space="preserve">9 </t>
    </r>
    <r>
      <rPr>
        <sz val="8"/>
        <color rgb="FF000000"/>
        <rFont val="Calibri"/>
        <family val="2"/>
      </rPr>
      <t xml:space="preserve">employees elected not to disclose their gender and, therefore are not reflected in this data set.
</t>
    </r>
    <r>
      <rPr>
        <vertAlign val="superscript"/>
        <sz val="8"/>
        <color rgb="FF000000"/>
        <rFont val="Calibri"/>
        <family val="2"/>
      </rPr>
      <t xml:space="preserve">3 </t>
    </r>
    <r>
      <rPr>
        <sz val="8"/>
        <color rgb="FF000000"/>
        <rFont val="Calibri"/>
        <family val="2"/>
      </rPr>
      <t>Workforce data disaggregated by gender excludes specific employee sub-groups that are hired primarily for skill and development opportunities (e.g. apprentices, students, seasonal job roles) and do not have a long-term employment commitment with Newmont and could be terminated and rehired several times in a year.</t>
    </r>
  </si>
  <si>
    <r>
      <rPr>
        <b/>
        <sz val="10"/>
        <color rgb="FF000000"/>
        <rFont val="Calibri"/>
        <family val="2"/>
      </rPr>
      <t>Employee gender breakout by employee category (number)</t>
    </r>
    <r>
      <rPr>
        <b/>
        <vertAlign val="superscript"/>
        <sz val="10"/>
        <color rgb="FF000000"/>
        <rFont val="Calibri"/>
        <family val="2"/>
      </rPr>
      <t>1 2</t>
    </r>
  </si>
  <si>
    <r>
      <rPr>
        <vertAlign val="superscript"/>
        <sz val="8"/>
        <color rgb="FF000000"/>
        <rFont val="Calibri"/>
        <family val="2"/>
      </rPr>
      <t xml:space="preserve">1 </t>
    </r>
    <r>
      <rPr>
        <sz val="8"/>
        <color rgb="FF000000"/>
        <rFont val="Calibri"/>
        <family val="2"/>
      </rPr>
      <t xml:space="preserve">9 </t>
    </r>
    <r>
      <rPr>
        <sz val="8"/>
        <color rgb="FF000000"/>
        <rFont val="Calibri"/>
        <family val="2"/>
      </rPr>
      <t xml:space="preserve">employees elected not to disclose their gender and, therefore are not reflected in this data set.
</t>
    </r>
    <r>
      <rPr>
        <vertAlign val="superscript"/>
        <sz val="8"/>
        <color rgb="FF000000"/>
        <rFont val="Calibri"/>
        <family val="2"/>
      </rPr>
      <t xml:space="preserve">2 </t>
    </r>
    <r>
      <rPr>
        <sz val="8"/>
        <color rgb="FF000000"/>
        <rFont val="Calibri"/>
        <family val="2"/>
      </rPr>
      <t>Workforce data disaggregated by gender excludes specific employee sub-groups that are hired primarily for skill and development opportunities (e.g. apprentices, students, seasonal job roles) and do not have a long-term employment commitment with Newmont and could be terminated and rehired several times in a year.</t>
    </r>
  </si>
  <si>
    <r>
      <rPr>
        <b/>
        <sz val="10"/>
        <color rgb="FF000000"/>
        <rFont val="Calibri"/>
        <family val="2"/>
      </rPr>
      <t>Percentage of females by employee category: Trailing five year data</t>
    </r>
    <r>
      <rPr>
        <b/>
        <vertAlign val="superscript"/>
        <sz val="10"/>
        <color rgb="FF000000"/>
        <rFont val="Calibri"/>
        <family val="2"/>
      </rPr>
      <t>1, 2</t>
    </r>
  </si>
  <si>
    <r>
      <rPr>
        <b/>
        <sz val="10"/>
        <color rgb="FF000000"/>
        <rFont val="Calibri"/>
        <family val="2"/>
      </rPr>
      <t>Board of Directors</t>
    </r>
    <r>
      <rPr>
        <b/>
        <vertAlign val="superscript"/>
        <sz val="10"/>
        <color rgb="FF000000"/>
        <rFont val="Calibri"/>
        <family val="2"/>
      </rPr>
      <t>3</t>
    </r>
  </si>
  <si>
    <t>Executive leadership team</t>
  </si>
  <si>
    <r>
      <rPr>
        <b/>
        <sz val="10"/>
        <color rgb="FF000000"/>
        <rFont val="Calibri"/>
        <family val="2"/>
      </rPr>
      <t>Senior leadership</t>
    </r>
    <r>
      <rPr>
        <b/>
        <vertAlign val="superscript"/>
        <sz val="10"/>
        <color rgb="FF000000"/>
        <rFont val="Calibri"/>
        <family val="2"/>
      </rPr>
      <t>2</t>
    </r>
  </si>
  <si>
    <t>Total employees</t>
  </si>
  <si>
    <r>
      <rPr>
        <vertAlign val="superscript"/>
        <sz val="8"/>
        <color rgb="FF000000"/>
        <rFont val="Calibri"/>
        <family val="2"/>
      </rPr>
      <t xml:space="preserve">1 </t>
    </r>
    <r>
      <rPr>
        <sz val="8"/>
        <color rgb="FF000000"/>
        <rFont val="Calibri"/>
        <family val="2"/>
      </rPr>
      <t>The Board of Directors percentage calculation includes o</t>
    </r>
    <r>
      <rPr>
        <sz val="8"/>
        <color rgb="FF000000"/>
        <rFont val="Calibri"/>
        <family val="2"/>
      </rPr>
      <t xml:space="preserve">ur President and CEO.
</t>
    </r>
    <r>
      <rPr>
        <vertAlign val="superscript"/>
        <sz val="8"/>
        <color rgb="FF000000"/>
        <rFont val="Calibri"/>
        <family val="2"/>
      </rPr>
      <t xml:space="preserve">2 </t>
    </r>
    <r>
      <rPr>
        <sz val="8"/>
        <color rgb="FF000000"/>
        <rFont val="Calibri"/>
        <family val="2"/>
      </rPr>
      <t xml:space="preserve">Workforce data disaggregated by gender excludes specific employee sub-groups that are hired primarily for skill and development opportunities (e.g. apprentices, students, seasonal job roles) and do not have a long-term employment commitment with Newmont and could be terminated and rehired several times in a year.
</t>
    </r>
    <r>
      <rPr>
        <vertAlign val="superscript"/>
        <sz val="8"/>
        <color rgb="FF000000"/>
        <rFont val="Calibri"/>
        <family val="2"/>
      </rPr>
      <t xml:space="preserve">3 </t>
    </r>
    <r>
      <rPr>
        <sz val="8"/>
        <color rgb="FF000000"/>
        <rFont val="Calibri"/>
        <family val="2"/>
      </rPr>
      <t>The senior leadership percentage calculation includes our Executive Leadership Team, which comprises Newmont's President and Chief Executive Officer (CEO) and select reports of the CEO.</t>
    </r>
  </si>
  <si>
    <t>Age under 30: Number of employees</t>
  </si>
  <si>
    <t>Age under 30: Percent of employees</t>
  </si>
  <si>
    <t>Age 30-50: Number of employees</t>
  </si>
  <si>
    <t>Age 30-50: Percent of employees</t>
  </si>
  <si>
    <t>Age over 50: Number of employees</t>
  </si>
  <si>
    <t>Age over 50: Percent of employees</t>
  </si>
  <si>
    <t>Total number of employees by all categories</t>
  </si>
  <si>
    <t>Total percent by category -  all ages</t>
  </si>
  <si>
    <t>WORKFORCE: LABOR MANAGEMENT RELATIONS</t>
  </si>
  <si>
    <r>
      <rPr>
        <b/>
        <sz val="10"/>
        <color rgb="FF000000"/>
        <rFont val="Calibri"/>
        <family val="2"/>
      </rPr>
      <t>Percentage of workforce represented by union or workplace agreement: Trailing five year data</t>
    </r>
    <r>
      <rPr>
        <b/>
        <vertAlign val="superscript"/>
        <sz val="10"/>
        <color rgb="FF000000"/>
        <rFont val="Calibri"/>
        <family val="2"/>
      </rPr>
      <t>1</t>
    </r>
  </si>
  <si>
    <r>
      <rPr>
        <b/>
        <sz val="10"/>
        <color rgb="FF000000"/>
        <rFont val="Calibri"/>
        <family val="2"/>
      </rPr>
      <t xml:space="preserve">2021 </t>
    </r>
    <r>
      <rPr>
        <b/>
        <vertAlign val="superscript"/>
        <sz val="10"/>
        <color rgb="FF000000"/>
        <rFont val="Calibri"/>
        <family val="2"/>
      </rPr>
      <t>4</t>
    </r>
  </si>
  <si>
    <r>
      <rPr>
        <b/>
        <sz val="10"/>
        <color rgb="FF000000"/>
        <rFont val="Calibri"/>
        <family val="2"/>
      </rPr>
      <t>Ghana</t>
    </r>
    <r>
      <rPr>
        <b/>
        <vertAlign val="superscript"/>
        <sz val="10"/>
        <color rgb="FF000000"/>
        <rFont val="Calibri"/>
        <family val="2"/>
      </rPr>
      <t>2</t>
    </r>
  </si>
  <si>
    <r>
      <rPr>
        <b/>
        <sz val="10"/>
        <color rgb="FF000000"/>
        <rFont val="Calibri"/>
        <family val="2"/>
      </rPr>
      <t>Other</t>
    </r>
    <r>
      <rPr>
        <b/>
        <vertAlign val="superscript"/>
        <sz val="10"/>
        <color rgb="FF000000"/>
        <rFont val="Calibri"/>
        <family val="2"/>
      </rPr>
      <t>3</t>
    </r>
  </si>
  <si>
    <r>
      <rPr>
        <vertAlign val="superscript"/>
        <sz val="8"/>
        <color rgb="FF000000"/>
        <rFont val="Calibri"/>
        <family val="2"/>
      </rPr>
      <t xml:space="preserve">1 </t>
    </r>
    <r>
      <rPr>
        <sz val="8"/>
        <color rgb="FF000000"/>
        <rFont val="Calibri"/>
        <family val="2"/>
      </rPr>
      <t xml:space="preserve">Percentages are calculated based on headcount at our operations as at December 31st of each year. </t>
    </r>
    <r>
      <rPr>
        <sz val="8"/>
        <color rgb="FF000000"/>
        <rFont val="Calibri"/>
        <family val="2"/>
      </rPr>
      <t xml:space="preserve">At our operations in Argentina, Peru and Suriname, employees not covered by collective bargaining agreements, their working conditions and terms of employment are determined based on collective bargaining agreements that cover other employees. In Canada, Mexico and the U.S., employees not covered by collective bargaining agreements and non-union employee working conditions are based on local legal requirements, company policies, competitive market references and business needs.
</t>
    </r>
    <r>
      <rPr>
        <vertAlign val="superscript"/>
        <sz val="8"/>
        <color rgb="FF000000"/>
        <rFont val="Calibri"/>
        <family val="2"/>
      </rPr>
      <t>2</t>
    </r>
    <r>
      <rPr>
        <sz val="8"/>
        <color rgb="FF000000"/>
        <rFont val="Calibri"/>
        <family val="2"/>
      </rPr>
      <t xml:space="preserve"> In 2022, Newmont introduced a new employment model in Ghana that shifted the unionized workforce from permanent contracts to fixed term renewable employment contracts. With this change the bargaining certificate for both unions expired. The percentage of employees reported within Ghana as represented by a union, reflects those who have consented for Union Fees deduction as of 31, December 2023.
</t>
    </r>
    <r>
      <rPr>
        <vertAlign val="superscript"/>
        <sz val="8"/>
        <color rgb="FF000000"/>
        <rFont val="Calibri"/>
        <family val="2"/>
      </rPr>
      <t xml:space="preserve">3 </t>
    </r>
    <r>
      <rPr>
        <sz val="8"/>
        <color rgb="FF000000"/>
        <rFont val="Calibri"/>
        <family val="2"/>
      </rPr>
      <t xml:space="preserve">The category 'Other' includes employees from countries with fewer than 10 total employees.
</t>
    </r>
    <r>
      <rPr>
        <vertAlign val="superscript"/>
        <sz val="8"/>
        <color rgb="FF000000"/>
        <rFont val="Calibri"/>
        <family val="2"/>
      </rPr>
      <t>4</t>
    </r>
    <r>
      <rPr>
        <sz val="8"/>
        <color rgb="FF000000"/>
        <rFont val="Calibri"/>
        <family val="2"/>
      </rPr>
      <t xml:space="preserve"> The total percentage in 2021 does not match the Social Practice disclosure in the 2021 10-K, as the number presented here for Ghana includes both dues paying Union members, as well as those covered by a workplace agreement.</t>
    </r>
  </si>
  <si>
    <t>Notification period</t>
  </si>
  <si>
    <t>12 weeks</t>
  </si>
  <si>
    <t>4 weeks</t>
  </si>
  <si>
    <t>6 weeks</t>
  </si>
  <si>
    <t>2 weeks</t>
  </si>
  <si>
    <t>Mexico City</t>
  </si>
  <si>
    <t>72 hours for crew and work roster changes; notice for all other 
significant operational changes is dependent on business need</t>
  </si>
  <si>
    <t>3 weeks</t>
  </si>
  <si>
    <t>1 week</t>
  </si>
  <si>
    <t>Miami</t>
  </si>
  <si>
    <t>Lima</t>
  </si>
  <si>
    <t>Length of strike (days)</t>
  </si>
  <si>
    <t>Number of workers involved</t>
  </si>
  <si>
    <t>Details of strike</t>
  </si>
  <si>
    <t xml:space="preserve">In June, the union representing employees at our Peñasquito operation in Mexico initiated a strike, demanding additional profit sharing and alleged violations of the Collective Bargaining Agreement. The strike ended in October, following approval from the Mexican Labor Court on the agreement reached between Newmont and the Union. </t>
  </si>
  <si>
    <t>In November, the union representing a drilling contractor halted on-site operations due to the contractor not paying employees' October salaries. Newmont stepped in and covered all of the supplier's debts to ensure salaries were paid and so work could resume.</t>
  </si>
  <si>
    <t>0
(no non-technical delays occurred during the reporting period)</t>
  </si>
  <si>
    <t>WORKFORCE: TALENT ATTRACTION AND RETENTION</t>
  </si>
  <si>
    <t>Employee-initiated</t>
  </si>
  <si>
    <t>Company-initiated</t>
  </si>
  <si>
    <r>
      <rPr>
        <b/>
        <sz val="10"/>
        <color rgb="FF000000"/>
        <rFont val="Calibri"/>
        <family val="2"/>
      </rPr>
      <t>LATAC</t>
    </r>
    <r>
      <rPr>
        <b/>
        <vertAlign val="superscript"/>
        <sz val="10"/>
        <color rgb="FF000000"/>
        <rFont val="Calibri"/>
        <family val="2"/>
      </rPr>
      <t>1</t>
    </r>
  </si>
  <si>
    <r>
      <rPr>
        <b/>
        <sz val="10"/>
        <color rgb="FF000000"/>
        <rFont val="Calibri"/>
        <family val="2"/>
      </rPr>
      <t>North America</t>
    </r>
    <r>
      <rPr>
        <b/>
        <vertAlign val="superscript"/>
        <sz val="10"/>
        <color rgb="FF000000"/>
        <rFont val="Calibri"/>
        <family val="2"/>
      </rPr>
      <t>2</t>
    </r>
  </si>
  <si>
    <r>
      <rPr>
        <vertAlign val="superscript"/>
        <sz val="8"/>
        <color rgb="FF000000"/>
        <rFont val="Calibri"/>
        <family val="2"/>
      </rPr>
      <t xml:space="preserve">1 </t>
    </r>
    <r>
      <rPr>
        <sz val="8"/>
        <color rgb="FF000000"/>
        <rFont val="Calibri"/>
        <family val="2"/>
      </rPr>
      <t xml:space="preserve">The employees associated with the Miami, U.S. regional office are reported in the LATAC Business Unit.
</t>
    </r>
    <r>
      <rPr>
        <vertAlign val="superscript"/>
        <sz val="8"/>
        <color rgb="FF000000"/>
        <rFont val="Calibri"/>
        <family val="2"/>
      </rPr>
      <t xml:space="preserve">2 </t>
    </r>
    <r>
      <rPr>
        <sz val="8"/>
        <color rgb="FF000000"/>
        <rFont val="Calibri"/>
        <family val="2"/>
      </rPr>
      <t>Employees located outside of the Business Units listed above are reported within the North America Business Unit for consolidation purposes.</t>
    </r>
  </si>
  <si>
    <t>Total turnover</t>
  </si>
  <si>
    <t>Turnover rate</t>
  </si>
  <si>
    <t>Age</t>
  </si>
  <si>
    <t>&lt;30</t>
  </si>
  <si>
    <t>30 to 50</t>
  </si>
  <si>
    <t>51+</t>
  </si>
  <si>
    <r>
      <rPr>
        <b/>
        <sz val="10"/>
        <color rgb="FF000000"/>
        <rFont val="Calibri"/>
        <family val="2"/>
      </rPr>
      <t>Employee turnover by gender and initiation: Trailing five year data</t>
    </r>
    <r>
      <rPr>
        <b/>
        <vertAlign val="superscript"/>
        <sz val="10"/>
        <color rgb="FF000000"/>
        <rFont val="Calibri"/>
        <family val="2"/>
      </rPr>
      <t>1</t>
    </r>
  </si>
  <si>
    <t>Males</t>
  </si>
  <si>
    <t>Total number of males</t>
  </si>
  <si>
    <t>Company-initiated rate</t>
  </si>
  <si>
    <t>Employee-initiated rate</t>
  </si>
  <si>
    <t xml:space="preserve">Total rate for males </t>
  </si>
  <si>
    <t>Females</t>
  </si>
  <si>
    <t>Total number of females</t>
  </si>
  <si>
    <t>Total rate for females</t>
  </si>
  <si>
    <r>
      <rPr>
        <vertAlign val="superscript"/>
        <sz val="8"/>
        <color rgb="FF000000"/>
        <rFont val="Calibri"/>
        <family val="2"/>
      </rPr>
      <t xml:space="preserve">1 </t>
    </r>
    <r>
      <rPr>
        <sz val="8"/>
        <color rgb="FF000000"/>
        <rFont val="Calibri"/>
        <family val="2"/>
      </rPr>
      <t>5 employees in 2023 elected not to disclose their gender and, therefore are not reflected in this data set.</t>
    </r>
  </si>
  <si>
    <t>Total new hires</t>
  </si>
  <si>
    <t>Percent of enterprise population</t>
  </si>
  <si>
    <t>By Business Unit</t>
  </si>
  <si>
    <r>
      <t>LATAC</t>
    </r>
    <r>
      <rPr>
        <vertAlign val="superscript"/>
        <sz val="10"/>
        <color rgb="FF000000"/>
        <rFont val="Calibri"/>
        <family val="2"/>
      </rPr>
      <t>1</t>
    </r>
  </si>
  <si>
    <r>
      <t>North America</t>
    </r>
    <r>
      <rPr>
        <vertAlign val="superscript"/>
        <sz val="10"/>
        <color rgb="FF000000"/>
        <rFont val="Calibri"/>
        <family val="2"/>
      </rPr>
      <t>2</t>
    </r>
  </si>
  <si>
    <t>By gender3</t>
  </si>
  <si>
    <t>Undisclosed</t>
  </si>
  <si>
    <t>By age group</t>
  </si>
  <si>
    <r>
      <rPr>
        <vertAlign val="superscript"/>
        <sz val="8"/>
        <color rgb="FF000000"/>
        <rFont val="Calibri"/>
        <family val="2"/>
      </rPr>
      <t xml:space="preserve">1 </t>
    </r>
    <r>
      <rPr>
        <sz val="8"/>
        <color rgb="FF000000"/>
        <rFont val="Calibri"/>
        <family val="2"/>
      </rPr>
      <t xml:space="preserve">The employees associated with the Miami, U.S. regional office are reported in the LATAC Business Unit.
</t>
    </r>
    <r>
      <rPr>
        <vertAlign val="superscript"/>
        <sz val="8"/>
        <color rgb="FF000000"/>
        <rFont val="Calibri"/>
        <family val="2"/>
      </rPr>
      <t xml:space="preserve">2  </t>
    </r>
    <r>
      <rPr>
        <sz val="8"/>
        <color rgb="FF000000"/>
        <rFont val="Calibri"/>
        <family val="2"/>
      </rPr>
      <t xml:space="preserve">Employees located outside of the Business Units listed above are reported within the North America Business Unit for consolidation purposes.
</t>
    </r>
    <r>
      <rPr>
        <vertAlign val="superscript"/>
        <sz val="8"/>
        <color rgb="FF000000"/>
        <rFont val="Calibri"/>
        <family val="2"/>
      </rPr>
      <t xml:space="preserve">3 </t>
    </r>
    <r>
      <rPr>
        <sz val="8"/>
        <color rgb="FF000000"/>
        <rFont val="Calibri"/>
        <family val="2"/>
      </rPr>
      <t>Workforce data disaggregated by gender excludes specific employee sub-groups that are hired primarily for skill and development opportunities (e.g. apprentices, students, seasonal job roles) and do not have a long-term employment commitment with Newmont and could be terminated and rehired several times in a year.</t>
    </r>
  </si>
  <si>
    <t>WORKFORCE: TRAINING AND PROFESSIONAL DEVELOPMENT</t>
  </si>
  <si>
    <r>
      <rPr>
        <b/>
        <sz val="10"/>
        <color rgb="FF000000"/>
        <rFont val="Calibri"/>
        <family val="2"/>
      </rPr>
      <t>Percentage of employees who received performance reviews</t>
    </r>
    <r>
      <rPr>
        <b/>
        <sz val="10"/>
        <color rgb="FF000000"/>
        <rFont val="Calibri"/>
        <family val="2"/>
      </rPr>
      <t xml:space="preserve"> by g</t>
    </r>
    <r>
      <rPr>
        <b/>
        <sz val="10"/>
        <color rgb="FF000000"/>
        <rFont val="Calibri"/>
        <family val="2"/>
      </rPr>
      <t>ender and employee category</t>
    </r>
    <r>
      <rPr>
        <b/>
        <vertAlign val="superscript"/>
        <sz val="10"/>
        <color rgb="FF000000"/>
        <rFont val="Calibri"/>
        <family val="2"/>
      </rPr>
      <t>1, 2</t>
    </r>
  </si>
  <si>
    <t>Number of females who received performance reviews</t>
  </si>
  <si>
    <t>Percent of females who received performance reviews</t>
  </si>
  <si>
    <t>Number of males who received performance reviews</t>
  </si>
  <si>
    <t>Percent of males who received performance reviews</t>
  </si>
  <si>
    <r>
      <rPr>
        <vertAlign val="superscript"/>
        <sz val="8"/>
        <color rgb="FF000000"/>
        <rFont val="Calibri"/>
        <family val="2"/>
      </rPr>
      <t>1</t>
    </r>
    <r>
      <rPr>
        <sz val="8"/>
        <color rgb="FF000000"/>
        <rFont val="Calibri"/>
        <family val="2"/>
      </rPr>
      <t xml:space="preserve"> </t>
    </r>
    <r>
      <rPr>
        <sz val="8"/>
        <color rgb="FF000000"/>
        <rFont val="Calibri"/>
        <family val="2"/>
      </rPr>
      <t>9</t>
    </r>
    <r>
      <rPr>
        <sz val="8"/>
        <color rgb="FF000000"/>
        <rFont val="Calibri"/>
        <family val="2"/>
      </rPr>
      <t xml:space="preserve"> employees elected to not disclose their gender and, therefore, are not reflected in this data set.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 xml:space="preserve">The number of performance reviews </t>
    </r>
    <r>
      <rPr>
        <sz val="8"/>
        <color rgb="FF000000"/>
        <rFont val="Calibri"/>
        <family val="2"/>
      </rPr>
      <t>represents an</t>
    </r>
    <r>
      <rPr>
        <sz val="8"/>
        <color rgb="FF000000"/>
        <rFont val="Calibri"/>
        <family val="2"/>
      </rPr>
      <t xml:space="preserve">y active employees as of 12/31/2023 who had a performance review form loaded in the system to be </t>
    </r>
    <r>
      <rPr>
        <sz val="8"/>
        <color rgb="FF000000"/>
        <rFont val="Calibri"/>
        <family val="2"/>
      </rPr>
      <t>finalized</t>
    </r>
    <r>
      <rPr>
        <sz val="8"/>
        <color rgb="FF000000"/>
        <rFont val="Calibri"/>
        <family val="2"/>
      </rPr>
      <t xml:space="preserve"> during </t>
    </r>
    <r>
      <rPr>
        <sz val="8"/>
        <color rgb="FF000000"/>
        <rFont val="Calibri"/>
        <family val="2"/>
      </rPr>
      <t>Newmont's</t>
    </r>
    <r>
      <rPr>
        <sz val="8"/>
        <color rgb="FF000000"/>
        <rFont val="Calibri"/>
        <family val="2"/>
      </rPr>
      <t xml:space="preserve"> </t>
    </r>
    <r>
      <rPr>
        <sz val="8"/>
        <color rgb="FF000000"/>
        <rFont val="Calibri"/>
        <family val="2"/>
      </rPr>
      <t xml:space="preserve">year-end performance review process </t>
    </r>
    <r>
      <rPr>
        <sz val="8"/>
        <color rgb="FF000000"/>
        <rFont val="Calibri"/>
        <family val="2"/>
      </rPr>
      <t>occurring</t>
    </r>
    <r>
      <rPr>
        <sz val="8"/>
        <color rgb="FF000000"/>
        <rFont val="Calibri"/>
        <family val="2"/>
      </rPr>
      <t xml:space="preserve"> between November </t>
    </r>
    <r>
      <rPr>
        <sz val="8"/>
        <color rgb="FF000000"/>
        <rFont val="Calibri"/>
        <family val="2"/>
      </rPr>
      <t>and</t>
    </r>
    <r>
      <rPr>
        <sz val="8"/>
        <color rgb="FF000000"/>
        <rFont val="Calibri"/>
        <family val="2"/>
      </rPr>
      <t xml:space="preserve"> February</t>
    </r>
    <r>
      <rPr>
        <sz val="8"/>
        <color rgb="FF000000"/>
        <rFont val="Calibri"/>
        <family val="2"/>
      </rPr>
      <t>.</t>
    </r>
  </si>
  <si>
    <t>Total training provided (hours)</t>
  </si>
  <si>
    <t>Average training per full time employee (hours)</t>
  </si>
  <si>
    <r>
      <rPr>
        <b/>
        <sz val="10"/>
        <color rgb="FF000000"/>
        <rFont val="Calibri"/>
        <family val="2"/>
      </rPr>
      <t>Total training expenditure</t>
    </r>
    <r>
      <rPr>
        <b/>
        <vertAlign val="superscript"/>
        <sz val="10"/>
        <color rgb="FF000000"/>
        <rFont val="Calibri"/>
        <family val="2"/>
      </rPr>
      <t>1</t>
    </r>
  </si>
  <si>
    <t>Average training expenditure per full time employee</t>
  </si>
  <si>
    <r>
      <rPr>
        <vertAlign val="superscript"/>
        <sz val="8"/>
        <color rgb="FF000000"/>
        <rFont val="Calibri"/>
        <family val="2"/>
      </rPr>
      <t xml:space="preserve">1 </t>
    </r>
    <r>
      <rPr>
        <sz val="8"/>
        <color rgb="FF000000"/>
        <rFont val="Calibri"/>
        <family val="2"/>
      </rPr>
      <t>Training expendi</t>
    </r>
    <r>
      <rPr>
        <sz val="8"/>
        <color rgb="FF000000"/>
        <rFont val="Calibri"/>
        <family val="2"/>
      </rPr>
      <t>ture does n</t>
    </r>
    <r>
      <rPr>
        <sz val="8"/>
        <color rgb="FF000000"/>
        <rFont val="Calibri"/>
        <family val="2"/>
      </rPr>
      <t xml:space="preserve">ot include </t>
    </r>
    <r>
      <rPr>
        <sz val="8"/>
        <color rgb="FF000000"/>
        <rFont val="Calibri"/>
        <family val="2"/>
      </rPr>
      <t>employee salaries associated with the</t>
    </r>
    <r>
      <rPr>
        <sz val="8"/>
        <color rgb="FF000000"/>
        <rFont val="Calibri"/>
        <family val="2"/>
      </rPr>
      <t xml:space="preserve"> sites' trai</t>
    </r>
    <r>
      <rPr>
        <sz val="8"/>
        <color rgb="FF000000"/>
        <rFont val="Calibri"/>
        <family val="2"/>
      </rPr>
      <t>ning teams.</t>
    </r>
  </si>
  <si>
    <r>
      <rPr>
        <b/>
        <sz val="10"/>
        <color rgb="FF000000"/>
        <rFont val="Calibri"/>
        <family val="2"/>
      </rPr>
      <t>Average hours of training per employee by employee category and gender</t>
    </r>
    <r>
      <rPr>
        <b/>
        <vertAlign val="superscript"/>
        <sz val="10"/>
        <color rgb="FF000000"/>
        <rFont val="Calibri"/>
        <family val="2"/>
      </rPr>
      <t>1</t>
    </r>
  </si>
  <si>
    <r>
      <rPr>
        <vertAlign val="superscript"/>
        <sz val="8"/>
        <color rgb="FF000000"/>
        <rFont val="Calibri"/>
        <family val="2"/>
      </rPr>
      <t xml:space="preserve">1 </t>
    </r>
    <r>
      <rPr>
        <sz val="8"/>
        <color rgb="FF000000"/>
        <rFont val="Calibri"/>
        <family val="2"/>
      </rPr>
      <t>9 employees elected to not disclose their gender and, therefore, are not reflected in this data set.</t>
    </r>
  </si>
  <si>
    <t>2019 1</t>
  </si>
  <si>
    <r>
      <rPr>
        <b/>
        <sz val="10"/>
        <color rgb="FF000000"/>
        <rFont val="Calibri"/>
        <family val="2"/>
      </rPr>
      <t>2023</t>
    </r>
    <r>
      <rPr>
        <b/>
        <sz val="10"/>
        <color rgb="FF000000"/>
        <rFont val="Calibri"/>
        <family val="2"/>
      </rPr>
      <t xml:space="preserve"> </t>
    </r>
    <r>
      <rPr>
        <b/>
        <vertAlign val="superscript"/>
        <sz val="10"/>
        <color rgb="FF000000"/>
        <rFont val="Calibri"/>
        <family val="2"/>
      </rPr>
      <t>2</t>
    </r>
  </si>
  <si>
    <r>
      <rPr>
        <vertAlign val="superscript"/>
        <sz val="8"/>
        <color rgb="FF000000"/>
        <rFont val="Calibri"/>
        <family val="2"/>
      </rPr>
      <t xml:space="preserve">1 </t>
    </r>
    <r>
      <rPr>
        <sz val="8"/>
        <color rgb="FF000000"/>
        <rFont val="Calibri"/>
        <family val="2"/>
      </rPr>
      <t xml:space="preserve">The CC&amp;V operation is excluded from 2019 data due to changes related to the Nevada Gold Mines JV. Significant 2018-2019 changes reflect the April 18, 2019 acquisition of Goldcorp and the omission of Nevada workforce due to the Nevada Gold Mines JV formation on July 1, 2019.
</t>
    </r>
    <r>
      <rPr>
        <vertAlign val="superscript"/>
        <sz val="8"/>
        <color rgb="FF000000"/>
        <rFont val="Calibri"/>
        <family val="2"/>
      </rPr>
      <t xml:space="preserve">2 </t>
    </r>
    <r>
      <rPr>
        <sz val="8"/>
        <color rgb="FF000000"/>
        <rFont val="Calibri"/>
        <family val="2"/>
      </rPr>
      <t xml:space="preserve">9 employees elected to not disclose their gender and, therefore, are not reflected in </t>
    </r>
    <r>
      <rPr>
        <sz val="8"/>
        <color rgb="FF000000"/>
        <rFont val="Calibri"/>
        <family val="2"/>
      </rPr>
      <t>the 2023</t>
    </r>
    <r>
      <rPr>
        <sz val="8"/>
        <color rgb="FF000000"/>
        <rFont val="Calibri"/>
        <family val="2"/>
      </rPr>
      <t xml:space="preserve"> data set.</t>
    </r>
  </si>
  <si>
    <t>2023 NORMALIZING DENOMINATORS</t>
  </si>
  <si>
    <t>Estimated GEOs: Site level</t>
  </si>
  <si>
    <t>Attributable GEO (10-K) (thousands)</t>
  </si>
  <si>
    <t>Tonnes Ore Processed (thousands)</t>
  </si>
  <si>
    <t>Revenues (dollars in millions)</t>
  </si>
  <si>
    <r>
      <rPr>
        <b/>
        <sz val="12"/>
        <color rgb="FF000000"/>
        <rFont val="Calibri"/>
        <family val="2"/>
      </rPr>
      <t xml:space="preserve">FORMER NEWCREST DATA
</t>
    </r>
    <r>
      <rPr>
        <sz val="10"/>
        <color rgb="FF000000"/>
        <rFont val="Calibri"/>
        <family val="2"/>
      </rPr>
      <t>The data presented in the following data tables represents performance of former Newcrest sites from acquisition date to the end of the reporting year (November 6, 2023 to December 31, 2023). These metrics were externally assured by Newcrest’s former assurance provider, Ernst &amp; Young (EY).</t>
    </r>
  </si>
  <si>
    <r>
      <rPr>
        <b/>
        <sz val="10"/>
        <color rgb="FF000000"/>
        <rFont val="Calibri"/>
        <family val="2"/>
      </rPr>
      <t>Employee-only safety data: Site level</t>
    </r>
    <r>
      <rPr>
        <b/>
        <vertAlign val="superscript"/>
        <sz val="10"/>
        <color rgb="FF000000"/>
        <rFont val="Calibri"/>
        <family val="2"/>
      </rPr>
      <t>1, 2, 3, 4</t>
    </r>
  </si>
  <si>
    <r>
      <rPr>
        <vertAlign val="superscript"/>
        <sz val="8"/>
        <color rgb="FF000000"/>
        <rFont val="Calibri"/>
        <family val="2"/>
      </rPr>
      <t xml:space="preserve">1 </t>
    </r>
    <r>
      <rPr>
        <sz val="8"/>
        <color rgb="FF000000"/>
        <rFont val="Calibri"/>
        <family val="2"/>
      </rPr>
      <t xml:space="preserve">The number of injuries and hours used to calculate TRIFR is not reported.
</t>
    </r>
    <r>
      <rPr>
        <vertAlign val="superscript"/>
        <sz val="8"/>
        <color rgb="FF000000"/>
        <rFont val="Calibri"/>
        <family val="2"/>
      </rPr>
      <t xml:space="preserve">2 </t>
    </r>
    <r>
      <rPr>
        <sz val="8"/>
        <color rgb="FF000000"/>
        <rFont val="Calibri"/>
        <family val="2"/>
      </rPr>
      <t xml:space="preserve">TRIFR does not currently capture any potential or actual illnesses or injuries arising from </t>
    </r>
    <r>
      <rPr>
        <sz val="8"/>
        <color rgb="FF000000"/>
        <rFont val="Calibri"/>
        <family val="2"/>
      </rPr>
      <t>psychosocial</t>
    </r>
    <r>
      <rPr>
        <sz val="8"/>
        <color rgb="FF000000"/>
        <rFont val="Calibri"/>
        <family val="2"/>
      </rPr>
      <t xml:space="preserve"> </t>
    </r>
    <r>
      <rPr>
        <sz val="8"/>
        <color rgb="FF000000"/>
        <rFont val="Calibri"/>
        <family val="2"/>
      </rPr>
      <t xml:space="preserve">hazards (as defined within GRI 403: Occupational Health and Safety 2018). 
</t>
    </r>
    <r>
      <rPr>
        <vertAlign val="superscript"/>
        <sz val="8"/>
        <color rgb="FF000000"/>
        <rFont val="Calibri"/>
        <family val="2"/>
      </rPr>
      <t>3</t>
    </r>
    <r>
      <rPr>
        <sz val="8"/>
        <color rgb="FF000000"/>
        <rFont val="Calibri"/>
        <family val="2"/>
      </rPr>
      <t xml:space="preserve"> Injury rates are not reported by gender or types of work-related injury.
</t>
    </r>
    <r>
      <rPr>
        <vertAlign val="superscript"/>
        <sz val="8"/>
        <color rgb="FF000000"/>
        <rFont val="Calibri"/>
        <family val="2"/>
      </rPr>
      <t>4</t>
    </r>
    <r>
      <rPr>
        <sz val="8"/>
        <color rgb="FF000000"/>
        <rFont val="Calibri"/>
        <family val="2"/>
      </rPr>
      <t xml:space="preserve"> </t>
    </r>
    <r>
      <rPr>
        <sz val="8"/>
        <color rgb="FF000000"/>
        <rFont val="Calibri"/>
        <family val="2"/>
      </rPr>
      <t>Former Newcrest sites have used ICMM incidence rate methodology of 1,000,000 hours to calculate TRIFR.</t>
    </r>
  </si>
  <si>
    <r>
      <rPr>
        <b/>
        <sz val="10"/>
        <color rgb="FF000000"/>
        <rFont val="Calibri"/>
        <family val="2"/>
      </rPr>
      <t>Contractor-only safety data: Site level</t>
    </r>
    <r>
      <rPr>
        <b/>
        <sz val="10"/>
        <color rgb="FF000000"/>
        <rFont val="Calibri"/>
        <family val="2"/>
      </rPr>
      <t xml:space="preserve"> </t>
    </r>
    <r>
      <rPr>
        <b/>
        <vertAlign val="superscript"/>
        <sz val="10"/>
        <color rgb="FF000000"/>
        <rFont val="Calibri"/>
        <family val="2"/>
      </rPr>
      <t>1, 2, 3, 4</t>
    </r>
  </si>
  <si>
    <r>
      <rPr>
        <vertAlign val="superscript"/>
        <sz val="8"/>
        <color rgb="FF000000"/>
        <rFont val="Calibri"/>
        <family val="2"/>
      </rPr>
      <t xml:space="preserve">1 </t>
    </r>
    <r>
      <rPr>
        <sz val="8"/>
        <color rgb="FF000000"/>
        <rFont val="Calibri"/>
        <family val="2"/>
      </rPr>
      <t xml:space="preserve">The number of injuries and hours used to calculate TRIFR is not reported.
</t>
    </r>
    <r>
      <rPr>
        <vertAlign val="superscript"/>
        <sz val="8"/>
        <color rgb="FF000000"/>
        <rFont val="Calibri"/>
        <family val="2"/>
      </rPr>
      <t xml:space="preserve">2 </t>
    </r>
    <r>
      <rPr>
        <sz val="8"/>
        <color rgb="FF000000"/>
        <rFont val="Calibri"/>
        <family val="2"/>
      </rPr>
      <t xml:space="preserve">TRIFR does not currently capture any potential or actual illnesses or injuries arising from </t>
    </r>
    <r>
      <rPr>
        <sz val="8"/>
        <color rgb="FF000000"/>
        <rFont val="Calibri"/>
        <family val="2"/>
      </rPr>
      <t>psychosocia</t>
    </r>
    <r>
      <rPr>
        <sz val="8"/>
        <color rgb="FF000000"/>
        <rFont val="Calibri"/>
        <family val="2"/>
      </rPr>
      <t xml:space="preserve">l hazards (as defined within GRI 403: Occupational Health and Safety 2018). 
</t>
    </r>
    <r>
      <rPr>
        <vertAlign val="superscript"/>
        <sz val="8"/>
        <color rgb="FF000000"/>
        <rFont val="Calibri"/>
        <family val="2"/>
      </rPr>
      <t>3</t>
    </r>
    <r>
      <rPr>
        <sz val="8"/>
        <color rgb="FF000000"/>
        <rFont val="Calibri"/>
        <family val="2"/>
      </rPr>
      <t xml:space="preserve"> Injury rates are not reported by gender or types of work-related injury.
</t>
    </r>
    <r>
      <rPr>
        <vertAlign val="superscript"/>
        <sz val="8"/>
        <color rgb="FF000000"/>
        <rFont val="Calibri"/>
        <family val="2"/>
      </rPr>
      <t>4</t>
    </r>
    <r>
      <rPr>
        <sz val="8"/>
        <color rgb="FF000000"/>
        <rFont val="Calibri"/>
        <family val="2"/>
      </rPr>
      <t xml:space="preserve"> </t>
    </r>
    <r>
      <rPr>
        <sz val="8"/>
        <color rgb="FF000000"/>
        <rFont val="Calibri"/>
        <family val="2"/>
      </rPr>
      <t>Former Newcrest sites have used ICMM incidence rate methodology of 1,000,000 hours to calculate TRIFR.</t>
    </r>
  </si>
  <si>
    <r>
      <rPr>
        <b/>
        <sz val="10"/>
        <color rgb="FF000000"/>
        <rFont val="Calibri"/>
        <family val="2"/>
      </rPr>
      <t>Combined employee and contractor safety data: Site level</t>
    </r>
    <r>
      <rPr>
        <b/>
        <vertAlign val="superscript"/>
        <sz val="10"/>
        <color rgb="FF000000"/>
        <rFont val="Calibri"/>
        <family val="2"/>
      </rPr>
      <t>1, 2, 3, 4</t>
    </r>
  </si>
  <si>
    <r>
      <rPr>
        <vertAlign val="superscript"/>
        <sz val="8"/>
        <color rgb="FF000000"/>
        <rFont val="Calibri"/>
        <family val="2"/>
      </rPr>
      <t xml:space="preserve">1 </t>
    </r>
    <r>
      <rPr>
        <sz val="8"/>
        <color rgb="FF000000"/>
        <rFont val="Calibri"/>
        <family val="2"/>
      </rPr>
      <t xml:space="preserve">The number of injuries and hours used to calculate TRIFR is not reported.
</t>
    </r>
    <r>
      <rPr>
        <vertAlign val="superscript"/>
        <sz val="8"/>
        <color rgb="FF000000"/>
        <rFont val="Calibri"/>
        <family val="2"/>
      </rPr>
      <t xml:space="preserve">2 </t>
    </r>
    <r>
      <rPr>
        <sz val="8"/>
        <color rgb="FF000000"/>
        <rFont val="Calibri"/>
        <family val="2"/>
      </rPr>
      <t xml:space="preserve">TRIFR does not currently capture any potential or actual illnesses or injuries arising from </t>
    </r>
    <r>
      <rPr>
        <sz val="8"/>
        <color rgb="FF000000"/>
        <rFont val="Calibri"/>
        <family val="2"/>
      </rPr>
      <t>psychosocial</t>
    </r>
    <r>
      <rPr>
        <sz val="8"/>
        <color rgb="FF000000"/>
        <rFont val="Calibri"/>
        <family val="2"/>
      </rPr>
      <t xml:space="preserve"> hazards (as defined within GRI 403: Occupational Health and Safety 2018). 
</t>
    </r>
    <r>
      <rPr>
        <vertAlign val="superscript"/>
        <sz val="8"/>
        <color rgb="FF000000"/>
        <rFont val="Calibri"/>
        <family val="2"/>
      </rPr>
      <t>3</t>
    </r>
    <r>
      <rPr>
        <sz val="8"/>
        <color rgb="FF000000"/>
        <rFont val="Calibri"/>
        <family val="2"/>
      </rPr>
      <t xml:space="preserve"> Injury rates are not reported by gender or types of work-related injury.
</t>
    </r>
    <r>
      <rPr>
        <vertAlign val="superscript"/>
        <sz val="8"/>
        <color rgb="FF000000"/>
        <rFont val="Calibri"/>
        <family val="2"/>
      </rPr>
      <t>4</t>
    </r>
    <r>
      <rPr>
        <sz val="8"/>
        <color rgb="FF000000"/>
        <rFont val="Calibri"/>
        <family val="2"/>
      </rPr>
      <t xml:space="preserve"> </t>
    </r>
    <r>
      <rPr>
        <sz val="8"/>
        <color rgb="FF000000"/>
        <rFont val="Calibri"/>
        <family val="2"/>
      </rPr>
      <t>Former Newcrest sites have used ICMM incidence rate methodology of 1,000,000 hours to calculate TRIFR.</t>
    </r>
  </si>
  <si>
    <t>EMISSIONS</t>
  </si>
  <si>
    <r>
      <rPr>
        <b/>
        <sz val="10"/>
        <color rgb="FF000000"/>
        <rFont val="Calibri"/>
        <family val="2"/>
      </rPr>
      <t>Direct (Scope 1) GHG emissions by source (tCO2-e)</t>
    </r>
    <r>
      <rPr>
        <b/>
        <vertAlign val="superscript"/>
        <sz val="10"/>
        <color rgb="FF000000"/>
        <rFont val="Calibri"/>
        <family val="2"/>
      </rPr>
      <t>1</t>
    </r>
  </si>
  <si>
    <t>Acetylene</t>
  </si>
  <si>
    <t>Diesel (automotives)</t>
  </si>
  <si>
    <t>Diesel (explosives)</t>
  </si>
  <si>
    <t>Diesel (haulage &amp; production)</t>
  </si>
  <si>
    <t>Diesel (power generation)</t>
  </si>
  <si>
    <t>Heavy fuel oil (power generation)</t>
  </si>
  <si>
    <t>Grease</t>
  </si>
  <si>
    <t>Liquefied petroleum gas</t>
  </si>
  <si>
    <t>Lubricating oil</t>
  </si>
  <si>
    <t>Unleaded petrol</t>
  </si>
  <si>
    <r>
      <rPr>
        <sz val="10"/>
        <color rgb="FF000000"/>
        <rFont val="Calibri"/>
        <family val="2"/>
      </rPr>
      <t>Brucejack</t>
    </r>
    <r>
      <rPr>
        <vertAlign val="superscript"/>
        <sz val="10"/>
        <color rgb="FF000000"/>
        <rFont val="Calibri"/>
        <family val="2"/>
      </rPr>
      <t>2</t>
    </r>
  </si>
  <si>
    <r>
      <rPr>
        <sz val="10"/>
        <color rgb="FF000000"/>
        <rFont val="Calibri"/>
        <family val="2"/>
      </rPr>
      <t>Red Chris</t>
    </r>
    <r>
      <rPr>
        <vertAlign val="superscript"/>
        <sz val="10"/>
        <color rgb="FF000000"/>
        <rFont val="Calibri"/>
        <family val="2"/>
      </rPr>
      <t>3</t>
    </r>
  </si>
  <si>
    <t>PAPUA NEW GUINEA</t>
  </si>
  <si>
    <r>
      <rPr>
        <vertAlign val="superscript"/>
        <sz val="8"/>
        <color rgb="FF000000"/>
        <rFont val="Calibri"/>
        <family val="2"/>
      </rPr>
      <t xml:space="preserve">1 </t>
    </r>
    <r>
      <rPr>
        <sz val="8"/>
        <color rgb="FF000000"/>
        <rFont val="Calibri"/>
        <family val="2"/>
      </rPr>
      <t>Newmont aligns our calculation and reporting of emissions with recognized standards including NGER, GRI and the GHG Protocol</t>
    </r>
    <r>
      <rPr>
        <sz val="8"/>
        <color rgb="FF000000"/>
        <rFont val="Calibri"/>
        <family val="2"/>
      </rPr>
      <t>. T</t>
    </r>
    <r>
      <rPr>
        <sz val="8"/>
        <color rgb="FF000000"/>
        <rFont val="Calibri"/>
        <family val="2"/>
      </rPr>
      <t xml:space="preserve">he following GHGs were included in the emissions calculations: CO2, CH4 and N2O. We used emissions factors from Schedule 1 Part 3 of National Greenhouse and Energy Reporting (NGER) (Measurement) Determination 2008 (kg CO2-e/GJ) and the Global Warming Potential rates from NGER Regulations 2.02 (tonne CO2-e/tonne). For Canadian sites, we used emissions factors from the Final Essential Requirements of Mandatory Reporting, Amended for Canadian Harmonization – Second Update December 21, 2011, Table 20-2 for Emission factors and Table 20-1 for Energy content.
</t>
    </r>
    <r>
      <rPr>
        <vertAlign val="superscript"/>
        <sz val="8"/>
        <color rgb="FF000000"/>
        <rFont val="Calibri"/>
        <family val="2"/>
      </rPr>
      <t xml:space="preserve">2 </t>
    </r>
    <r>
      <rPr>
        <sz val="8"/>
        <color rgb="FF000000"/>
        <rFont val="Calibri"/>
        <family val="2"/>
      </rPr>
      <t xml:space="preserve">The split for diesel consumption at Brucejack between non-transport/haulage and production, and transport is unknown and therefore has been reported as haulage and production.
</t>
    </r>
    <r>
      <rPr>
        <vertAlign val="superscript"/>
        <sz val="8"/>
        <color rgb="FF000000"/>
        <rFont val="Calibri"/>
        <family val="2"/>
      </rPr>
      <t xml:space="preserve">3 </t>
    </r>
    <r>
      <rPr>
        <sz val="8"/>
        <color rgb="FF000000"/>
        <rFont val="Calibri"/>
        <family val="2"/>
      </rPr>
      <t>Red Chris is operated by Newmont (70% owned), Newmont reports 100% of emissions from sites which we operate.</t>
    </r>
  </si>
  <si>
    <t>Indirect (Scope 2 location-based) GHG emissions (tCO2-e)</t>
  </si>
  <si>
    <t>Purchased electricity</t>
  </si>
  <si>
    <r>
      <rPr>
        <sz val="10"/>
        <color rgb="FF000000"/>
        <rFont val="Calibri"/>
        <family val="2"/>
      </rPr>
      <t>Red Chris</t>
    </r>
    <r>
      <rPr>
        <vertAlign val="superscript"/>
        <sz val="10"/>
        <color rgb="FF000000"/>
        <rFont val="Calibri"/>
        <family val="2"/>
      </rPr>
      <t>1</t>
    </r>
  </si>
  <si>
    <r>
      <rPr>
        <vertAlign val="superscript"/>
        <sz val="8"/>
        <color rgb="FF000000"/>
        <rFont val="Calibri"/>
        <family val="2"/>
      </rPr>
      <t>1</t>
    </r>
    <r>
      <rPr>
        <sz val="8"/>
        <color rgb="FF000000"/>
        <rFont val="Calibri"/>
        <family val="2"/>
      </rPr>
      <t xml:space="preserve"> Red Chris is operated by Newmont (70% owned). Newmont reports 100% of emissions</t>
    </r>
    <r>
      <rPr>
        <sz val="8"/>
        <color rgb="FF000000"/>
        <rFont val="Calibri"/>
        <family val="2"/>
      </rPr>
      <t xml:space="preserve"> from sites which we operate.</t>
    </r>
  </si>
  <si>
    <t>GHG emission intensity by ore milled (kg CO2-e/t)</t>
  </si>
  <si>
    <t>Scope 1 and 2 emissions (tCO2-e)</t>
  </si>
  <si>
    <r>
      <rPr>
        <b/>
        <sz val="10"/>
        <color rgb="FF000000"/>
        <rFont val="Calibri"/>
        <family val="2"/>
      </rPr>
      <t>O</t>
    </r>
    <r>
      <rPr>
        <b/>
        <sz val="10"/>
        <color rgb="FF000000"/>
        <rFont val="Calibri"/>
        <family val="2"/>
      </rPr>
      <t>re milled</t>
    </r>
    <r>
      <rPr>
        <b/>
        <sz val="10"/>
        <color rgb="FF000000"/>
        <rFont val="Calibri"/>
        <family val="2"/>
      </rPr>
      <t xml:space="preserve"> (tonnes)</t>
    </r>
    <r>
      <rPr>
        <b/>
        <vertAlign val="superscript"/>
        <sz val="10"/>
        <color rgb="FF000000"/>
        <rFont val="Calibri"/>
        <family val="2"/>
      </rPr>
      <t>3</t>
    </r>
  </si>
  <si>
    <t>Intensity by ore milled ((tCO2-e per ore milled (thousands))</t>
  </si>
  <si>
    <r>
      <rPr>
        <sz val="10"/>
        <color rgb="FF000000"/>
        <rFont val="Calibri"/>
        <family val="2"/>
      </rPr>
      <t>Red Chris</t>
    </r>
    <r>
      <rPr>
        <vertAlign val="superscript"/>
        <sz val="10"/>
        <color rgb="FF000000"/>
        <rFont val="Calibri"/>
        <family val="2"/>
      </rPr>
      <t>2</t>
    </r>
  </si>
  <si>
    <r>
      <rPr>
        <vertAlign val="superscript"/>
        <sz val="8"/>
        <color rgb="FF000000"/>
        <rFont val="Calibri"/>
        <family val="2"/>
      </rPr>
      <t>1</t>
    </r>
    <r>
      <rPr>
        <vertAlign val="superscript"/>
        <sz val="8"/>
        <color rgb="FF000000"/>
        <rFont val="Calibri"/>
        <family val="2"/>
      </rPr>
      <t xml:space="preserve"> </t>
    </r>
    <r>
      <rPr>
        <sz val="8"/>
        <color rgb="FF000000"/>
        <rFont val="Calibri"/>
        <family val="2"/>
      </rPr>
      <t xml:space="preserve">The following GHGs were included in the emissions calculations: CO2, CH4 and N2O. We used emissions factors from Schedule 1 Part 3 of National Greenhouse and Energy Reporting (NGER) (Measurement) Determination 2008 (kg CO2-e/GJ) and the Global Warming Potential rates from NGER Regulations 2.02 (tonne CO2-e/tonne). For Canadian sites, we used emissions factors from the Final Essential Requirements of Mandatory Reporting, Amended for Canadian Harmonization – Second Update December 21, 2011, Table 20-2 for Emission factors and Table 20-1 for Energy content.
</t>
    </r>
    <r>
      <rPr>
        <vertAlign val="superscript"/>
        <sz val="8"/>
        <color rgb="FF000000"/>
        <rFont val="Calibri"/>
        <family val="2"/>
      </rPr>
      <t>2</t>
    </r>
    <r>
      <rPr>
        <vertAlign val="superscript"/>
        <sz val="8"/>
        <color rgb="FF000000"/>
        <rFont val="Calibri"/>
        <family val="2"/>
      </rPr>
      <t xml:space="preserve"> </t>
    </r>
    <r>
      <rPr>
        <sz val="8"/>
        <color rgb="FF000000"/>
        <rFont val="Calibri"/>
        <family val="2"/>
      </rPr>
      <t xml:space="preserve">Red Chris is operated by Newmont (70% owned). For the purpose of calculating emissions intensity, Newmont reports 100% of emissions and </t>
    </r>
    <r>
      <rPr>
        <sz val="8"/>
        <color rgb="FF000000"/>
        <rFont val="Calibri"/>
        <family val="2"/>
      </rPr>
      <t>ore milled (tonnes)</t>
    </r>
    <r>
      <rPr>
        <sz val="8"/>
        <color rgb="FF000000"/>
        <rFont val="Calibri"/>
        <family val="2"/>
      </rPr>
      <t xml:space="preserve"> from sites which we operate.
</t>
    </r>
    <r>
      <rPr>
        <vertAlign val="superscript"/>
        <sz val="8"/>
        <color rgb="FF000000"/>
        <rFont val="Calibri"/>
        <family val="2"/>
      </rPr>
      <t>3</t>
    </r>
    <r>
      <rPr>
        <sz val="8"/>
        <color rgb="FF000000"/>
        <rFont val="Calibri"/>
        <family val="2"/>
      </rPr>
      <t xml:space="preserve"> </t>
    </r>
    <r>
      <rPr>
        <sz val="8"/>
        <color rgb="FF000000"/>
        <rFont val="Calibri"/>
        <family val="2"/>
      </rPr>
      <t>The tonnes of ore milled refers to the material which has been processed through the mill; it excludes the dump leach tonnes processed at Telfer.</t>
    </r>
  </si>
  <si>
    <r>
      <rPr>
        <b/>
        <sz val="10"/>
        <color rgb="FF000000"/>
        <rFont val="Calibri"/>
        <family val="2"/>
      </rPr>
      <t xml:space="preserve">Water </t>
    </r>
    <r>
      <rPr>
        <b/>
        <sz val="10"/>
        <color rgb="FF000000"/>
        <rFont val="Calibri"/>
        <family val="2"/>
      </rPr>
      <t>withdrawal</t>
    </r>
    <r>
      <rPr>
        <b/>
        <sz val="10"/>
        <color rgb="FF000000"/>
        <rFont val="Calibri"/>
        <family val="2"/>
      </rPr>
      <t xml:space="preserve"> by category: Site level</t>
    </r>
    <r>
      <rPr>
        <b/>
        <sz val="10"/>
        <color rgb="FF000000"/>
        <rFont val="Calibri"/>
        <family val="2"/>
      </rPr>
      <t xml:space="preserve"> (megal</t>
    </r>
    <r>
      <rPr>
        <b/>
        <sz val="10"/>
        <color rgb="FF000000"/>
        <rFont val="Calibri"/>
        <family val="2"/>
      </rPr>
      <t>i</t>
    </r>
    <r>
      <rPr>
        <b/>
        <sz val="10"/>
        <color rgb="FF000000"/>
        <rFont val="Calibri"/>
        <family val="2"/>
      </rPr>
      <t>ters)</t>
    </r>
    <r>
      <rPr>
        <b/>
        <vertAlign val="superscript"/>
        <sz val="10"/>
        <color rgb="FF000000"/>
        <rFont val="Calibri"/>
        <family val="2"/>
      </rPr>
      <t>1</t>
    </r>
  </si>
  <si>
    <t>Business Unit</t>
  </si>
  <si>
    <t>Produced water</t>
  </si>
  <si>
    <t>Sea water</t>
  </si>
  <si>
    <r>
      <rPr>
        <sz val="10"/>
        <color rgb="FF000000"/>
        <rFont val="Calibri"/>
        <family val="2"/>
      </rPr>
      <t>Cadia</t>
    </r>
    <r>
      <rPr>
        <vertAlign val="superscript"/>
        <sz val="10"/>
        <color rgb="FF000000"/>
        <rFont val="Calibri"/>
        <family val="2"/>
      </rPr>
      <t>2</t>
    </r>
  </si>
  <si>
    <r>
      <rPr>
        <sz val="10"/>
        <color rgb="FF000000"/>
        <rFont val="Calibri"/>
        <family val="2"/>
      </rPr>
      <t>Telfer</t>
    </r>
    <r>
      <rPr>
        <vertAlign val="superscript"/>
        <sz val="10"/>
        <color rgb="FF000000"/>
        <rFont val="Calibri"/>
        <family val="2"/>
      </rPr>
      <t>3</t>
    </r>
  </si>
  <si>
    <r>
      <rPr>
        <sz val="10"/>
        <color rgb="FF000000"/>
        <rFont val="Calibri"/>
        <family val="2"/>
      </rPr>
      <t>Lihir</t>
    </r>
    <r>
      <rPr>
        <vertAlign val="superscript"/>
        <sz val="10"/>
        <color rgb="FF000000"/>
        <rFont val="Calibri"/>
        <family val="2"/>
      </rPr>
      <t>3</t>
    </r>
  </si>
  <si>
    <t>GLOBAL TOTAL</t>
  </si>
  <si>
    <r>
      <rPr>
        <vertAlign val="superscript"/>
        <sz val="8"/>
        <color rgb="FF000000"/>
        <rFont val="Calibri"/>
        <family val="2"/>
      </rPr>
      <t>1</t>
    </r>
    <r>
      <rPr>
        <sz val="8"/>
        <color rgb="FF000000"/>
        <rFont val="Calibri"/>
        <family val="2"/>
      </rPr>
      <t xml:space="preserve"> </t>
    </r>
    <r>
      <rPr>
        <sz val="8"/>
        <color rgb="FF000000"/>
        <rFont val="Calibri"/>
        <family val="2"/>
      </rPr>
      <t xml:space="preserve">The ICMM water reporting guide specifies two water quality categories: High quality and Low quality. High quality typically has high socio-environmental value with multiple beneficial uses and/or receptors. Low quality may typically have lower socio‑environmental value as the poorer quality may restrict potential suitability for use by a wide range of other users/receptors. Operational sites refer to both the MCA Water Accounting Framework (WAF) and the ICMM reporting guide to categorize water quality. ICMM’s ‘High quality’ is consistent with category 1 and 2 of the MCA WAF, and ICMM’s ‘Low quality’ is consistent with Category 3 of the MCA WAF (refer to p.35 of the ICMM (2021) Water Reporting: Good practice guide, 2nd Edition).
</t>
    </r>
    <r>
      <rPr>
        <sz val="8"/>
        <color rgb="FF000000"/>
        <rFont val="Calibri"/>
        <family val="2"/>
      </rPr>
      <t xml:space="preserve">MCA WAF categories include: Category 1 – water that is close to the drinking water standards, as it only requires minimum treatment (disinfection) to be safe for human consumption. Category 1 water may be used for all purposes. Category 2 – water that is suitable for a range of purposes, subject to appropriate treatment to remove total dissolved solids and/or to adjust other parameters to be safe for human consumption and more sensitive agricultural and recreational purposes. Category 3 – low quality water which requires significant treatment to raise quality to appropriate drinking water standards.
</t>
    </r>
    <r>
      <rPr>
        <vertAlign val="superscript"/>
        <sz val="8"/>
        <color rgb="FF000000"/>
        <rFont val="Calibri"/>
        <family val="2"/>
      </rPr>
      <t xml:space="preserve">2 </t>
    </r>
    <r>
      <rPr>
        <sz val="8"/>
        <color rgb="FF000000"/>
        <rFont val="Calibri"/>
        <family val="2"/>
      </rPr>
      <t xml:space="preserve">Cadia abstraction volumes exclude storage facility releases (spillway and ecological flow).
</t>
    </r>
    <r>
      <rPr>
        <vertAlign val="superscript"/>
        <sz val="8"/>
        <color rgb="FF000000"/>
        <rFont val="Calibri"/>
        <family val="2"/>
      </rPr>
      <t>3</t>
    </r>
    <r>
      <rPr>
        <sz val="8"/>
        <color rgb="FF000000"/>
        <rFont val="Calibri"/>
        <family val="2"/>
      </rPr>
      <t xml:space="preserve"> Operation is located in an area of high water stress as </t>
    </r>
    <r>
      <rPr>
        <sz val="8"/>
        <color rgb="FF000000"/>
        <rFont val="Calibri"/>
        <family val="2"/>
      </rPr>
      <t>categorized</t>
    </r>
    <r>
      <rPr>
        <sz val="8"/>
        <color rgb="FF000000"/>
        <rFont val="Calibri"/>
        <family val="2"/>
      </rPr>
      <t xml:space="preserve"> by the Aqueduct Water Risk Atlas. For further information go to www.wri.org/aqueduct.
</t>
    </r>
    <r>
      <rPr>
        <vertAlign val="superscript"/>
        <sz val="8"/>
        <color rgb="FF000000"/>
        <rFont val="Calibri"/>
        <family val="2"/>
      </rPr>
      <t/>
    </r>
  </si>
  <si>
    <t>WORKFORCE DEMOGRAPHICS OVERVIEW</t>
  </si>
  <si>
    <r>
      <t>Employee gender breakout by employee category: Site level</t>
    </r>
    <r>
      <rPr>
        <b/>
        <vertAlign val="subscript"/>
        <sz val="10"/>
        <color rgb="FF000000"/>
        <rFont val="Calibri"/>
        <family val="2"/>
      </rPr>
      <t>1, 2</t>
    </r>
  </si>
  <si>
    <t>Permanent</t>
  </si>
  <si>
    <t>Fixed Term or Temporary</t>
  </si>
  <si>
    <t>Casual</t>
  </si>
  <si>
    <t>Non-binary</t>
  </si>
  <si>
    <r>
      <rPr>
        <vertAlign val="superscript"/>
        <sz val="8"/>
        <color rgb="FF000000"/>
        <rFont val="Calibri"/>
        <family val="2"/>
      </rPr>
      <t>1</t>
    </r>
    <r>
      <rPr>
        <vertAlign val="superscript"/>
        <sz val="8"/>
        <color rgb="FF000000"/>
        <rFont val="Calibri"/>
        <family val="2"/>
      </rPr>
      <t xml:space="preserve"> </t>
    </r>
    <r>
      <rPr>
        <sz val="8"/>
        <color rgb="FF000000"/>
        <rFont val="Calibri"/>
        <family val="2"/>
      </rPr>
      <t xml:space="preserve">At 31 December 2023, employees are directly employed by Newmont (head count).
</t>
    </r>
    <r>
      <rPr>
        <vertAlign val="superscript"/>
        <sz val="8"/>
        <color rgb="FF000000"/>
        <rFont val="Calibri"/>
        <family val="2"/>
      </rPr>
      <t>2</t>
    </r>
    <r>
      <rPr>
        <sz val="8"/>
        <color rgb="FF000000"/>
        <rFont val="Calibri"/>
        <family val="2"/>
      </rPr>
      <t xml:space="preserve"> There are currently some limitations in our data capture systems to fully capture all genders across the company. </t>
    </r>
  </si>
  <si>
    <r>
      <t>Employee gender breakout by employment type: Site level</t>
    </r>
    <r>
      <rPr>
        <b/>
        <vertAlign val="subscript"/>
        <sz val="10"/>
        <color rgb="FF000000"/>
        <rFont val="Calibri"/>
        <family val="2"/>
      </rPr>
      <t>1, 2</t>
    </r>
  </si>
  <si>
    <t>Full-time</t>
  </si>
  <si>
    <t>Part-time</t>
  </si>
  <si>
    <r>
      <rPr>
        <vertAlign val="superscript"/>
        <sz val="8"/>
        <color rgb="FF000000"/>
        <rFont val="Calibri"/>
        <family val="2"/>
      </rPr>
      <t xml:space="preserve">1 </t>
    </r>
    <r>
      <rPr>
        <sz val="8"/>
        <color rgb="FF000000"/>
        <rFont val="Calibri"/>
        <family val="2"/>
      </rPr>
      <t xml:space="preserve">At 31 December 2023, employees are directly employed by Newmont (head count).
</t>
    </r>
    <r>
      <rPr>
        <vertAlign val="superscript"/>
        <sz val="8"/>
        <color rgb="FF000000"/>
        <rFont val="Calibri"/>
        <family val="2"/>
      </rPr>
      <t>2</t>
    </r>
    <r>
      <rPr>
        <sz val="8"/>
        <color rgb="FF000000"/>
        <rFont val="Calibri"/>
        <family val="2"/>
      </rPr>
      <t xml:space="preserve"> There are currently some limitations in our data capture systems to fully capture all genders across the company. </t>
    </r>
  </si>
  <si>
    <r>
      <rPr>
        <b/>
        <sz val="10"/>
        <color rgb="FF000000"/>
        <rFont val="Calibri"/>
        <family val="2"/>
      </rPr>
      <t xml:space="preserve">Ratio of average female salary to average male salary: </t>
    </r>
    <r>
      <rPr>
        <b/>
        <sz val="10"/>
        <color rgb="FF000000"/>
        <rFont val="Calibri"/>
        <family val="2"/>
      </rPr>
      <t>Site</t>
    </r>
    <r>
      <rPr>
        <b/>
        <sz val="10"/>
        <color rgb="FF000000"/>
        <rFont val="Calibri"/>
        <family val="2"/>
      </rPr>
      <t xml:space="preserve"> level</t>
    </r>
    <r>
      <rPr>
        <b/>
        <vertAlign val="superscript"/>
        <sz val="10"/>
        <color rgb="FF000000"/>
        <rFont val="Calibri"/>
        <family val="2"/>
      </rPr>
      <t>1</t>
    </r>
  </si>
  <si>
    <t xml:space="preserve">Ratio of basic salary and remuneration of women to men </t>
  </si>
  <si>
    <r>
      <rPr>
        <vertAlign val="superscript"/>
        <sz val="8"/>
        <color rgb="FF000000"/>
        <rFont val="Calibri"/>
        <family val="2"/>
      </rPr>
      <t xml:space="preserve">1 </t>
    </r>
    <r>
      <rPr>
        <sz val="8"/>
        <color rgb="FF000000"/>
        <rFont val="Calibri"/>
        <family val="2"/>
      </rPr>
      <t>We have defined basic salary as: salary, superannuation, location allowance, roster allowance and bonus.</t>
    </r>
  </si>
  <si>
    <r>
      <rPr>
        <b/>
        <sz val="10"/>
        <color rgb="FF000000"/>
        <rFont val="Calibri"/>
        <family val="2"/>
      </rPr>
      <t>Ratio of basic salary by gender and employee category</t>
    </r>
    <r>
      <rPr>
        <b/>
        <sz val="10"/>
        <color rgb="FF000000"/>
        <rFont val="Calibri"/>
        <family val="2"/>
      </rPr>
      <t xml:space="preserve"> </t>
    </r>
    <r>
      <rPr>
        <b/>
        <sz val="10"/>
        <color rgb="FF000000"/>
        <rFont val="Calibri"/>
        <family val="2"/>
      </rPr>
      <t>level</t>
    </r>
    <r>
      <rPr>
        <b/>
        <vertAlign val="superscript"/>
        <sz val="10"/>
        <color rgb="FF000000"/>
        <rFont val="Calibri"/>
        <family val="2"/>
      </rPr>
      <t>1</t>
    </r>
    <r>
      <rPr>
        <b/>
        <vertAlign val="superscript"/>
        <sz val="10"/>
        <color rgb="FF000000"/>
        <rFont val="Calibri"/>
        <family val="2"/>
      </rPr>
      <t>, 2</t>
    </r>
  </si>
  <si>
    <t>General Manager - Level 4</t>
  </si>
  <si>
    <t>Manager - Level 3</t>
  </si>
  <si>
    <t>Supervisor, Superintendent, Coordinator - Level 2</t>
  </si>
  <si>
    <t>Operator, Technical Advisor - Level 1</t>
  </si>
  <si>
    <r>
      <rPr>
        <vertAlign val="superscript"/>
        <sz val="8"/>
        <color rgb="FF000000"/>
        <rFont val="Calibri"/>
        <family val="2"/>
      </rPr>
      <t>1</t>
    </r>
    <r>
      <rPr>
        <sz val="8"/>
        <color rgb="FF000000"/>
        <rFont val="Calibri"/>
        <family val="2"/>
      </rPr>
      <t xml:space="preserve"> We have defined basic salary as: salary, superannuation, location allowance, roster allowance and bonus.
</t>
    </r>
    <r>
      <rPr>
        <vertAlign val="superscript"/>
        <sz val="8"/>
        <color rgb="FF000000"/>
        <rFont val="Calibri"/>
        <family val="2"/>
      </rPr>
      <t xml:space="preserve">2 </t>
    </r>
    <r>
      <rPr>
        <sz val="8"/>
        <color rgb="FF000000"/>
        <rFont val="Calibri"/>
        <family val="2"/>
      </rPr>
      <t xml:space="preserve"> A ratio has not been provided for the General Manager category. All General Managers at the operating sites were male.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</si>
</sst>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1">
    <numFmt numFmtId="164" formatCode="#0;&quot;-&quot;#0;#0;_(@_)"/>
    <numFmt numFmtId="165" formatCode="&quot;$&quot;* #,##0_);&quot;$&quot;* \(#,##0\);&quot;$&quot;* &quot;—&quot;_);_(@_)"/>
    <numFmt numFmtId="166" formatCode="#,##0;&quot;-&quot;#,##0;#,##0;_(@_)"/>
    <numFmt numFmtId="167" formatCode="#0_)%;\(#0\)%;&quot;—&quot;_)\%;_(@_)"/>
    <numFmt numFmtId="168" formatCode="#0.#######################_)%;\(#0.#######################\)%;&quot;—&quot;_)\%;_(@_)"/>
    <numFmt numFmtId="169" formatCode="#,##0.0;&quot;-&quot;#,##0.0;#,##0.0;_(@_)"/>
    <numFmt numFmtId="170" formatCode="#,##0.0000;&quot;-&quot;#,##0.0000;#,##0.0000;_(@_)"/>
    <numFmt numFmtId="171" formatCode="#,##0;\(#,##0\);#,##0;_(@_)"/>
    <numFmt numFmtId="172" formatCode="#,##0.0;\(#,##0.0\);#,##0.0;_(@_)"/>
    <numFmt numFmtId="173" formatCode="#,##0.0,;\(#,##0.0,\);#,##0.0,;_(@_)"/>
    <numFmt numFmtId="174" formatCode="* #,##0;* \(#,##0\);* &quot;—&quot;;_(@_)"/>
    <numFmt numFmtId="175" formatCode="#,##0.0,;&quot;-&quot;#,##0.0,;#,##0.0,;_(@_)"/>
    <numFmt numFmtId="176" formatCode="#0.0;&quot;-&quot;#0.0;#0.0;_(@_)"/>
    <numFmt numFmtId="177" formatCode="#0.0,;&quot;-&quot;#0.0,;#0.0,;_(@_)"/>
    <numFmt numFmtId="178" formatCode="#,##0.0,,;&quot;-&quot;#,##0.0,,;#,##0.0,,;_(@_)"/>
    <numFmt numFmtId="179" formatCode="#0.00;&quot;-&quot;#0.00;#0.00;_(@_)"/>
    <numFmt numFmtId="180" formatCode="#0.00,;&quot;-&quot;#0.00,;#0.00,;_(@_)"/>
    <numFmt numFmtId="181" formatCode="#0.00,,;&quot;-&quot;#0.00,,;#0.00,,;_(@_)"/>
    <numFmt numFmtId="182" formatCode="* #0;* \(#0\);* &quot;—&quot;;_(@_)"/>
    <numFmt numFmtId="183" formatCode="#0.0,,;&quot;-&quot;#0.0,,;#0.0,,;_(@_)"/>
    <numFmt numFmtId="184" formatCode="#,##0,,;&quot;-&quot;#,##0,,;#,##0,,;_(@_)"/>
    <numFmt numFmtId="185" formatCode="#0,,;&quot;-&quot;#0,,;#0,,;_(@_)"/>
    <numFmt numFmtId="186" formatCode="#,##0,;&quot;-&quot;#,##0,;#,##0,;_(@_)"/>
    <numFmt numFmtId="187" formatCode="#,##0;\(#,##0\);&quot;—&quot;;_(@_)"/>
    <numFmt numFmtId="188" formatCode="#,##0.00;&quot;-&quot;#,##0.00;#,##0.00;_(@_)"/>
    <numFmt numFmtId="189" formatCode="#0_)%;\(#0\)%;#0_)%;_(@_)"/>
    <numFmt numFmtId="190" formatCode="* #,##0.00;* \(#,##0.00\);* #,##0.00;_(@_)"/>
    <numFmt numFmtId="191" formatCode="#0%;&quot;-&quot;#0%;#0%;_(@_)"/>
    <numFmt numFmtId="192" formatCode="#0.#######################%;&quot;-&quot;#0.#######################%;#0.#######################%;_(@_)"/>
    <numFmt numFmtId="193" formatCode="#0.#######################;&quot;-&quot;#0.#######################;#0.#######################;_(@_)"/>
    <numFmt numFmtId="194" formatCode="&quot;$&quot;* #,##0,_);&quot;$&quot;* \(#,##0,\);&quot;$&quot;* &quot;—&quot;_);_(@_)"/>
    <numFmt numFmtId="195" formatCode="&quot;$&quot;* #,##0,,_);&quot;$&quot;* \(#,##0,,\);&quot;$&quot;* &quot;—&quot;_);_(@_)"/>
    <numFmt numFmtId="196" formatCode="&quot;$&quot;* #,##0,,_);&quot;$&quot;* \(#,##0,,\);&quot;$&quot;* #,##0,,_);_(@_)"/>
    <numFmt numFmtId="197" formatCode="&quot;$&quot;#,##0,,;&quot;-&quot;&quot;$&quot;#,##0,,;&quot;$&quot;#,##0,,;_(@_)"/>
    <numFmt numFmtId="198" formatCode="&quot;$&quot;* #,##0,_);&quot;$&quot;* \(#,##0,\);&quot;$&quot;* #,##0,_);_(@_)"/>
    <numFmt numFmtId="199" formatCode="&quot;$&quot;#,##0,;&quot;-&quot;&quot;$&quot;#,##0,;&quot;$&quot;#,##0,;_(@_)"/>
    <numFmt numFmtId="200" formatCode="#,##0_)%;\(#,##0\)%;&quot;—&quot;_)\%;_(@_)"/>
    <numFmt numFmtId="201" formatCode="#0.0_)%;\(#0.0\)%;&quot;—&quot;_)\%;_(@_)"/>
    <numFmt numFmtId="202" formatCode="#0.0%;&quot;-&quot;#0.0%;#0.0%;_(@_)"/>
    <numFmt numFmtId="203" formatCode="* #,##0.000,,;* \(#,##0.000,,\);* &quot;—&quot;;_(@_)"/>
    <numFmt numFmtId="204" formatCode="#0.000,,;&quot;-&quot;#0.000,,;#0.000,,;_(@_)"/>
    <numFmt numFmtId="205" formatCode="* #,##0;* \(#,##0\);* #,##0;_(@_)"/>
    <numFmt numFmtId="206" formatCode="#0.00,;&quot;-&quot;#0.00,;&quot;—&quot;;_(@_)"/>
    <numFmt numFmtId="207" formatCode="#0.00;&quot;-&quot;#0.00;&quot;—&quot;;_(@_)"/>
    <numFmt numFmtId="208" formatCode="#0;\(#0\);&quot;—&quot;;_(@_)"/>
    <numFmt numFmtId="209" formatCode="#,##0.00,;&quot;-&quot;#,##0.00,;#,##0.00,;_(@_)"/>
    <numFmt numFmtId="210" formatCode="#0.00_)%;\(#0.00\)%;&quot;—&quot;_)\%;_(@_)"/>
    <numFmt numFmtId="211" formatCode="#,##0.000,,;\(#,##0.000,,\);#,##0.000,,;_(@_)"/>
    <numFmt numFmtId="212" formatCode="#,##0.000;\(#,##0.000\);#,##0.000;_(@_)"/>
    <numFmt numFmtId="213" formatCode="#0.000;&quot;-&quot;#0.000;#0.000;_(@_)"/>
    <numFmt numFmtId="214" formatCode="#0.0_)%;\(#0.0\)%;#0.0_)%;_(@_)"/>
    <numFmt numFmtId="215" formatCode="#,##0.000,,;&quot;-&quot;#,##0.000,,;#,##0.000,,;_(@_)"/>
    <numFmt numFmtId="216" formatCode="#,##0.000;&quot;-&quot;#,##0.000;#,##0.000;_(@_)"/>
    <numFmt numFmtId="217" formatCode="* #,##0.0;* \(#,##0.0\);* #,##0.0;_(@_)"/>
    <numFmt numFmtId="218" formatCode="* #,##0.00,,;* \(#,##0.00,,\);* #,##0.00,,;_(@_)"/>
    <numFmt numFmtId="219" formatCode="#,##0.00,,;\(#,##0.00,,\);#,##0.00,,;_(@_)"/>
    <numFmt numFmtId="220" formatCode="#,##0.00;\(#,##0.00\);#,##0.00;_(@_)"/>
    <numFmt numFmtId="221" formatCode="* #,##0.000;* \(#,##0.000\);* &quot;—&quot;;_(@_)"/>
    <numFmt numFmtId="222" formatCode="* #,##0.00;* \(#,##0.00\);* &quot;—&quot;;_(@_)"/>
    <numFmt numFmtId="223" formatCode="#,##0.000;\(#,##0.000\);&quot;—&quot;;_(@_)"/>
    <numFmt numFmtId="224" formatCode="#,##0.00;\(#,##0.00\);&quot;—&quot;;_(@_)"/>
  </numFmts>
  <fonts count="67"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12"/>
      <color rgb="FF000000"/>
      <name val="Calibri"/>
      <family val="2"/>
    </font>
    <font>
      <b/>
      <sz val="16"/>
      <color rgb="FF000000"/>
      <name val="Calibri"/>
      <family val="2"/>
    </font>
    <font>
      <sz val="10"/>
      <color rgb="FF000000"/>
      <name val="Calibri"/>
      <family val="2"/>
    </font>
    <font>
      <b/>
      <sz val="10"/>
      <color rgb="FF000000"/>
      <name val="Calibri"/>
      <family val="2"/>
    </font>
    <font>
      <b/>
      <sz val="11"/>
      <color rgb="FF000000"/>
      <name val="Calibri"/>
      <family val="2"/>
    </font>
    <font>
      <b/>
      <sz val="10"/>
      <color rgb="FFFFFFFF"/>
      <name val="Calibri"/>
      <family val="2"/>
    </font>
    <font>
      <sz val="9"/>
      <color rgb="FF000000"/>
      <name val="Calibri"/>
      <family val="2"/>
    </font>
    <font>
      <sz val="8"/>
      <color rgb="FF000000"/>
      <name val="Calibri"/>
      <family val="2"/>
    </font>
    <font>
      <sz val="10"/>
      <color rgb="FFBF2115"/>
      <name val="Calibri"/>
      <family val="2"/>
    </font>
    <font>
      <sz val="18"/>
      <color rgb="FFBF2115"/>
      <name val="Calibri"/>
      <family val="2"/>
    </font>
    <font>
      <sz val="10"/>
      <color rgb="FFEE2724"/>
      <name val="Calibri"/>
      <family val="2"/>
    </font>
    <font>
      <b/>
      <sz val="12"/>
      <color rgb="FFFFFFFF"/>
      <name val="Calibri"/>
      <family val="2"/>
    </font>
    <font>
      <sz val="10"/>
      <color rgb="FFFF0090"/>
      <name val="Calibri"/>
      <family val="2"/>
    </font>
    <font>
      <sz val="11"/>
      <color rgb="FF000000"/>
      <name val="Calibri"/>
      <family val="2"/>
    </font>
    <font>
      <b/>
      <sz val="10"/>
      <color rgb="FFFFFFFF"/>
      <name val="Arial"/>
      <family val="2"/>
    </font>
    <font>
      <i/>
      <sz val="9"/>
      <color rgb="FF000000"/>
      <name val="Arial"/>
      <family val="2"/>
    </font>
    <font>
      <b/>
      <sz val="10"/>
      <color rgb="FF000000"/>
      <name val="Arial"/>
      <family val="2"/>
    </font>
    <font>
      <sz val="8"/>
      <color rgb="FF000000"/>
      <name val="Arial"/>
      <family val="2"/>
    </font>
    <font>
      <sz val="10"/>
      <color rgb="FFFF0000"/>
      <name val="Calibri"/>
      <family val="2"/>
    </font>
    <font>
      <b/>
      <sz val="10"/>
      <color rgb="FFEE2724"/>
      <name val="Calibri"/>
      <family val="2"/>
    </font>
    <font>
      <b/>
      <sz val="9"/>
      <color rgb="FF000000"/>
      <name val="Calibri"/>
      <family val="2"/>
    </font>
    <font>
      <i/>
      <sz val="10"/>
      <color rgb="FF000000"/>
      <name val="Calibri"/>
      <family val="2"/>
    </font>
    <font>
      <i/>
      <sz val="9"/>
      <color rgb="FF000000"/>
      <name val="Calibri"/>
      <family val="2"/>
    </font>
    <font>
      <sz val="12"/>
      <color rgb="FF000000"/>
      <name val="Calibri"/>
      <family val="2"/>
    </font>
    <font>
      <vertAlign val="superscript"/>
      <sz val="10"/>
      <color rgb="FF000000"/>
      <name val="Calibri"/>
      <family val="2"/>
    </font>
    <font>
      <b/>
      <vertAlign val="superscript"/>
      <sz val="10"/>
      <color rgb="FF000000"/>
      <name val="Calibri"/>
      <family val="2"/>
    </font>
    <font>
      <vertAlign val="superscript"/>
      <sz val="8"/>
      <color rgb="FF000000"/>
      <name val="Calibri"/>
      <family val="2"/>
    </font>
    <font>
      <sz val="8"/>
      <color rgb="FF546FF5"/>
      <name val="Calibri"/>
      <family val="2"/>
    </font>
    <font>
      <b/>
      <vertAlign val="subscript"/>
      <sz val="10"/>
      <color rgb="FF000000"/>
      <name val="Calibri"/>
      <family val="2"/>
    </font>
    <font>
      <vertAlign val="subscript"/>
      <sz val="10"/>
      <color rgb="FF000000"/>
      <name val="Calibri"/>
      <family val="2"/>
    </font>
    <font>
      <sz val="10"/>
      <color rgb="FF0E32E1"/>
      <name val="Calibri"/>
      <family val="2"/>
    </font>
    <font>
      <sz val="8"/>
      <color rgb="FFEE2724"/>
      <name val="Calibri"/>
      <family val="2"/>
    </font>
    <font>
      <b/>
      <vertAlign val="superscript"/>
      <sz val="10"/>
      <color rgb="FF000000"/>
      <name val="Arial"/>
      <family val="2"/>
    </font>
    <font>
      <vertAlign val="superscript"/>
      <sz val="8"/>
      <color rgb="FF000000"/>
      <name val="Arial"/>
      <family val="2"/>
    </font>
    <font>
      <sz val="8"/>
      <color rgb="FFFF0090"/>
      <name val="Calibri"/>
      <family val="2"/>
    </font>
    <font>
      <strike/>
      <sz val="8"/>
      <color rgb="FFFF0090"/>
      <name val="Calibri"/>
      <family val="2"/>
    </font>
    <font>
      <b/>
      <vertAlign val="superscript"/>
      <sz val="9"/>
      <color rgb="FF000000"/>
      <name val="Calibri"/>
      <family val="2"/>
    </font>
    <font>
      <vertAlign val="superscript"/>
      <sz val="9"/>
      <color rgb="FF000000"/>
      <name val="Calibri"/>
      <family val="2"/>
    </font>
    <font>
      <sz val="10"/>
      <name val="Calibri"/>
      <family val="2"/>
    </font>
    <font>
      <sz val="10"/>
      <color rgb="FF000000"/>
      <name val="Calibri"/>
      <family val="2"/>
    </font>
    <font>
      <u/>
      <sz val="10"/>
      <color theme="10"/>
      <name val="Arial"/>
      <family val="2"/>
    </font>
    <font>
      <b/>
      <sz val="10"/>
      <color rgb="FF000000"/>
      <name val="Calibri"/>
      <family val="2"/>
    </font>
    <font>
      <b/>
      <sz val="12"/>
      <color rgb="FFFFFFFF"/>
      <name val="Calibri"/>
      <family val="2"/>
    </font>
    <font>
      <sz val="12"/>
      <color rgb="FFFFFFFF"/>
      <name val="Calibri"/>
      <family val="2"/>
    </font>
    <font>
      <sz val="8"/>
      <color rgb="FF000000"/>
      <name val="Calibri"/>
      <family val="2"/>
    </font>
    <font>
      <sz val="10"/>
      <name val="Arial"/>
      <family val="2"/>
    </font>
    <font>
      <sz val="8"/>
      <name val="Calibri"/>
      <family val="2"/>
    </font>
    <font>
      <vertAlign val="superscript"/>
      <sz val="8"/>
      <name val="Calibri"/>
      <family val="2"/>
    </font>
    <font>
      <u/>
      <sz val="10"/>
      <color theme="10"/>
      <name val="Calibri"/>
      <family val="2"/>
    </font>
    <font>
      <u/>
      <sz val="10"/>
      <color theme="10"/>
      <name val="Calibri"/>
      <family val="2"/>
    </font>
    <font>
      <sz val="10"/>
      <name val="Calibri"/>
      <family val="2"/>
    </font>
    <font>
      <vertAlign val="subscript"/>
      <sz val="8"/>
      <color rgb="FF000000"/>
      <name val="Calibri"/>
      <family val="2"/>
    </font>
    <font>
      <sz val="8"/>
      <color rgb="FFFFFFFF"/>
      <name val="Calibri"/>
      <family val="2"/>
    </font>
    <font>
      <sz val="10"/>
      <color rgb="FFFFFFFF"/>
      <name val="Calibri"/>
      <family val="2"/>
    </font>
    <font>
      <b/>
      <strike/>
      <sz val="10"/>
      <color rgb="FF000000"/>
      <name val="Calibri"/>
      <family val="2"/>
    </font>
    <font>
      <strike/>
      <sz val="8"/>
      <color rgb="FFFFFFFF"/>
      <name val="Calibri"/>
      <family val="2"/>
    </font>
    <font>
      <sz val="10"/>
      <color rgb="FF000000"/>
      <name val="Arial"/>
      <family val="2"/>
    </font>
    <font>
      <sz val="11"/>
      <color rgb="FF000000"/>
      <name val="Calibri"/>
      <family val="2"/>
    </font>
    <font>
      <u/>
      <sz val="10"/>
      <color rgb="FF0000FF"/>
      <name val="Calibri"/>
      <family val="2"/>
    </font>
    <font>
      <b/>
      <sz val="10"/>
      <name val="Calibri"/>
      <family val="2"/>
    </font>
    <font>
      <b/>
      <sz val="12"/>
      <color rgb="FF000000"/>
      <name val="Calibri"/>
      <family val="2"/>
    </font>
  </fonts>
  <fills count="14">
    <fill>
      <patternFill patternType="none"/>
    </fill>
    <fill>
      <patternFill patternType="gray125"/>
    </fill>
    <fill>
      <patternFill patternType="solid">
        <fgColor rgb="FF0C2B82"/>
        <bgColor indexed="64"/>
      </patternFill>
    </fill>
    <fill>
      <patternFill patternType="solid">
        <fgColor rgb="FFB6B6B6"/>
        <bgColor indexed="64"/>
      </patternFill>
    </fill>
    <fill>
      <patternFill patternType="solid">
        <fgColor rgb="FFFFFFFF"/>
        <bgColor indexed="64"/>
      </patternFill>
    </fill>
    <fill>
      <patternFill patternType="solid">
        <fgColor rgb="FFCBCBCB"/>
        <bgColor indexed="64"/>
      </patternFill>
    </fill>
    <fill>
      <patternFill patternType="solid">
        <fgColor rgb="FFB3B3B3"/>
        <bgColor indexed="64"/>
      </patternFill>
    </fill>
    <fill>
      <patternFill patternType="solid">
        <fgColor rgb="FFDBDBDB"/>
        <bgColor indexed="64"/>
      </patternFill>
    </fill>
    <fill>
      <patternFill patternType="solid">
        <fgColor rgb="FFD0CECE"/>
        <bgColor indexed="64"/>
      </patternFill>
    </fill>
    <fill>
      <patternFill patternType="solid">
        <fgColor rgb="FFFFDE0F"/>
        <bgColor indexed="64"/>
      </patternFill>
    </fill>
    <fill>
      <patternFill patternType="solid">
        <fgColor rgb="FFBFBFBF"/>
        <bgColor indexed="64"/>
      </patternFill>
    </fill>
    <fill>
      <patternFill patternType="solid">
        <fgColor rgb="FFD9D9D9"/>
        <bgColor indexed="64"/>
      </patternFill>
    </fill>
    <fill>
      <patternFill patternType="solid">
        <fgColor rgb="FFE7E6E6"/>
        <bgColor indexed="64"/>
      </patternFill>
    </fill>
    <fill>
      <patternFill patternType="solid">
        <fgColor theme="2" tint="-9.9978637043366805E-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s>
  <cellStyleXfs count="9">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46" fillId="0" borderId="0" applyNumberFormat="0" applyFill="0" applyBorder="0" applyAlignment="0" applyProtection="0"/>
    <xf numFmtId="0" fontId="51" fillId="0" borderId="0"/>
    <xf numFmtId="0" fontId="62" fillId="0" borderId="0" applyBorder="0">
      <alignment wrapText="1"/>
    </xf>
  </cellStyleXfs>
  <cellXfs count="775">
    <xf numFmtId="0" fontId="0" fillId="0" borderId="0" xfId="0"/>
    <xf numFmtId="0" fontId="6"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9" fillId="3" borderId="1" xfId="0" applyFont="1" applyFill="1" applyBorder="1" applyAlignment="1">
      <alignment wrapText="1"/>
    </xf>
    <xf numFmtId="0" fontId="9" fillId="4" borderId="1" xfId="0" applyFont="1" applyFill="1" applyBorder="1" applyAlignment="1">
      <alignment horizontal="left"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wrapText="1" indent="1"/>
    </xf>
    <xf numFmtId="0" fontId="8" fillId="0" borderId="1" xfId="0" applyFont="1" applyBorder="1" applyAlignment="1">
      <alignment horizontal="left" wrapText="1" indent="3"/>
    </xf>
    <xf numFmtId="0" fontId="8" fillId="0" borderId="1" xfId="0" applyFont="1" applyBorder="1" applyAlignment="1">
      <alignment wrapText="1"/>
    </xf>
    <xf numFmtId="164" fontId="8" fillId="0" borderId="1" xfId="0" applyNumberFormat="1" applyFont="1" applyBorder="1" applyAlignment="1">
      <alignment wrapText="1"/>
    </xf>
    <xf numFmtId="0" fontId="8" fillId="0" borderId="1" xfId="0" applyFont="1" applyBorder="1" applyAlignment="1">
      <alignment horizontal="left" wrapText="1"/>
    </xf>
    <xf numFmtId="165" fontId="8" fillId="0" borderId="1" xfId="0" applyNumberFormat="1" applyFont="1" applyBorder="1" applyAlignment="1">
      <alignment wrapText="1"/>
    </xf>
    <xf numFmtId="0" fontId="8" fillId="0" borderId="2" xfId="0" applyFont="1" applyBorder="1" applyAlignment="1">
      <alignment wrapText="1"/>
    </xf>
    <xf numFmtId="0" fontId="8" fillId="4" borderId="0" xfId="0" applyFont="1" applyFill="1" applyAlignment="1">
      <alignment horizontal="left" vertical="center" wrapText="1"/>
    </xf>
    <xf numFmtId="165" fontId="12" fillId="4" borderId="1" xfId="0" applyNumberFormat="1" applyFont="1" applyFill="1" applyBorder="1" applyAlignment="1">
      <alignment wrapText="1"/>
    </xf>
    <xf numFmtId="0" fontId="12" fillId="4" borderId="2" xfId="0" applyFont="1" applyFill="1" applyBorder="1" applyAlignment="1">
      <alignment vertical="top" wrapText="1"/>
    </xf>
    <xf numFmtId="0" fontId="8" fillId="4" borderId="0" xfId="0" applyFont="1" applyFill="1" applyAlignment="1">
      <alignment wrapText="1"/>
    </xf>
    <xf numFmtId="0" fontId="9" fillId="4" borderId="1" xfId="0" applyFont="1" applyFill="1" applyBorder="1" applyAlignment="1">
      <alignment horizontal="right" wrapText="1"/>
    </xf>
    <xf numFmtId="165" fontId="9" fillId="4" borderId="1" xfId="0" applyNumberFormat="1" applyFont="1" applyFill="1" applyBorder="1" applyAlignment="1">
      <alignment wrapText="1"/>
    </xf>
    <xf numFmtId="0" fontId="9" fillId="4" borderId="4" xfId="0" applyFont="1" applyFill="1" applyBorder="1" applyAlignment="1">
      <alignment horizontal="left" wrapText="1"/>
    </xf>
    <xf numFmtId="0" fontId="9" fillId="0" borderId="5" xfId="0" applyFont="1" applyBorder="1" applyAlignment="1">
      <alignment horizontal="left" wrapText="1"/>
    </xf>
    <xf numFmtId="0" fontId="9" fillId="0" borderId="1" xfId="0" applyFont="1" applyBorder="1" applyAlignment="1">
      <alignment horizontal="left" wrapText="1"/>
    </xf>
    <xf numFmtId="0" fontId="9" fillId="5" borderId="1" xfId="0" applyFont="1" applyFill="1" applyBorder="1" applyAlignment="1">
      <alignment horizontal="left" vertical="center" wrapText="1" indent="1"/>
    </xf>
    <xf numFmtId="0" fontId="8" fillId="0" borderId="1" xfId="0" applyFont="1" applyBorder="1" applyAlignment="1">
      <alignment horizontal="left" wrapText="1" indent="1"/>
    </xf>
    <xf numFmtId="164" fontId="9" fillId="4" borderId="1" xfId="0" applyNumberFormat="1" applyFont="1" applyFill="1" applyBorder="1" applyAlignment="1">
      <alignment horizontal="left" wrapText="1"/>
    </xf>
    <xf numFmtId="0" fontId="13" fillId="4" borderId="1" xfId="0" applyFont="1" applyFill="1" applyBorder="1" applyAlignment="1">
      <alignment vertical="top" wrapText="1"/>
    </xf>
    <xf numFmtId="0" fontId="13" fillId="0" borderId="0" xfId="0" applyFont="1" applyAlignment="1">
      <alignment wrapText="1"/>
    </xf>
    <xf numFmtId="0" fontId="8" fillId="4" borderId="7" xfId="0" applyFont="1" applyFill="1" applyBorder="1" applyAlignment="1">
      <alignment wrapText="1"/>
    </xf>
    <xf numFmtId="0" fontId="8" fillId="4" borderId="0" xfId="0" applyFont="1" applyFill="1" applyAlignment="1">
      <alignment vertical="center" wrapText="1"/>
    </xf>
    <xf numFmtId="0" fontId="15" fillId="4" borderId="0" xfId="0" applyFont="1" applyFill="1" applyAlignment="1">
      <alignment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vertical="center" wrapText="1"/>
    </xf>
    <xf numFmtId="0" fontId="9" fillId="5" borderId="1" xfId="0" applyFont="1" applyFill="1" applyBorder="1" applyAlignment="1">
      <alignment wrapText="1"/>
    </xf>
    <xf numFmtId="164" fontId="9" fillId="0" borderId="1" xfId="0" applyNumberFormat="1" applyFont="1" applyBorder="1" applyAlignment="1">
      <alignment horizontal="left" wrapText="1"/>
    </xf>
    <xf numFmtId="164" fontId="8" fillId="4" borderId="1" xfId="0" applyNumberFormat="1" applyFont="1" applyFill="1" applyBorder="1" applyAlignment="1">
      <alignment horizontal="right" vertical="center" wrapText="1"/>
    </xf>
    <xf numFmtId="0" fontId="8" fillId="4" borderId="1" xfId="0" applyFont="1" applyFill="1" applyBorder="1" applyAlignment="1">
      <alignment horizontal="left" wrapText="1"/>
    </xf>
    <xf numFmtId="166" fontId="9" fillId="4" borderId="1" xfId="0" applyNumberFormat="1" applyFont="1" applyFill="1" applyBorder="1" applyAlignment="1">
      <alignment horizontal="right" vertical="center" wrapText="1"/>
    </xf>
    <xf numFmtId="166" fontId="8" fillId="4" borderId="1" xfId="0" applyNumberFormat="1" applyFont="1" applyFill="1" applyBorder="1" applyAlignment="1">
      <alignment horizontal="right" vertical="center" wrapText="1"/>
    </xf>
    <xf numFmtId="0" fontId="8" fillId="4" borderId="1" xfId="0" applyFont="1" applyFill="1" applyBorder="1" applyAlignment="1">
      <alignment horizontal="left" vertical="center" wrapText="1" indent="3"/>
    </xf>
    <xf numFmtId="0" fontId="9" fillId="4" borderId="1" xfId="0" applyFont="1" applyFill="1" applyBorder="1" applyAlignment="1">
      <alignment vertical="center" wrapText="1"/>
    </xf>
    <xf numFmtId="167" fontId="8" fillId="4" borderId="1" xfId="0" applyNumberFormat="1" applyFont="1" applyFill="1" applyBorder="1" applyAlignment="1">
      <alignment horizontal="right" vertical="center" wrapText="1"/>
    </xf>
    <xf numFmtId="164" fontId="9" fillId="4" borderId="1" xfId="0" applyNumberFormat="1" applyFont="1" applyFill="1" applyBorder="1" applyAlignment="1">
      <alignment horizontal="right" vertical="center" wrapText="1"/>
    </xf>
    <xf numFmtId="167" fontId="9" fillId="4" borderId="1" xfId="0" applyNumberFormat="1" applyFont="1" applyFill="1" applyBorder="1" applyAlignment="1">
      <alignment horizontal="right" vertical="center" wrapText="1"/>
    </xf>
    <xf numFmtId="0" fontId="8" fillId="0" borderId="3" xfId="0" applyFont="1" applyBorder="1" applyAlignment="1">
      <alignment wrapText="1"/>
    </xf>
    <xf numFmtId="0" fontId="9" fillId="5" borderId="1" xfId="0" applyFont="1" applyFill="1" applyBorder="1" applyAlignment="1">
      <alignment horizontal="left" wrapText="1"/>
    </xf>
    <xf numFmtId="168" fontId="8" fillId="4" borderId="1" xfId="0" applyNumberFormat="1" applyFont="1" applyFill="1" applyBorder="1" applyAlignment="1">
      <alignment vertical="center" wrapText="1"/>
    </xf>
    <xf numFmtId="168" fontId="8" fillId="0" borderId="1" xfId="0" applyNumberFormat="1" applyFont="1" applyBorder="1" applyAlignment="1">
      <alignment vertical="center" wrapText="1"/>
    </xf>
    <xf numFmtId="167" fontId="8" fillId="4" borderId="1" xfId="0" applyNumberFormat="1" applyFont="1" applyFill="1" applyBorder="1" applyAlignment="1">
      <alignment vertical="center" wrapText="1"/>
    </xf>
    <xf numFmtId="0" fontId="8" fillId="5" borderId="1" xfId="0" applyFont="1" applyFill="1" applyBorder="1" applyAlignment="1">
      <alignment wrapText="1"/>
    </xf>
    <xf numFmtId="0" fontId="8" fillId="0" borderId="1" xfId="0" applyFont="1" applyBorder="1" applyAlignment="1">
      <alignment vertical="center" wrapText="1"/>
    </xf>
    <xf numFmtId="167" fontId="8" fillId="0" borderId="1" xfId="0" applyNumberFormat="1" applyFont="1" applyBorder="1" applyAlignment="1">
      <alignment horizontal="center" vertical="center" wrapText="1"/>
    </xf>
    <xf numFmtId="164" fontId="9" fillId="0" borderId="1" xfId="0" applyNumberFormat="1" applyFont="1" applyBorder="1" applyAlignment="1">
      <alignment wrapText="1"/>
    </xf>
    <xf numFmtId="167" fontId="9" fillId="0" borderId="1" xfId="0" applyNumberFormat="1" applyFont="1" applyBorder="1" applyAlignment="1">
      <alignment horizontal="center" vertical="center" wrapText="1"/>
    </xf>
    <xf numFmtId="0" fontId="9" fillId="4" borderId="0" xfId="0" applyFont="1" applyFill="1" applyAlignment="1">
      <alignment horizontal="left" wrapText="1"/>
    </xf>
    <xf numFmtId="0" fontId="8" fillId="4" borderId="2" xfId="0" applyFont="1" applyFill="1" applyBorder="1" applyAlignment="1">
      <alignment wrapText="1"/>
    </xf>
    <xf numFmtId="0" fontId="13" fillId="4" borderId="0" xfId="0" applyFont="1" applyFill="1" applyAlignment="1">
      <alignment horizontal="left" wrapText="1"/>
    </xf>
    <xf numFmtId="0" fontId="9" fillId="4" borderId="7" xfId="0" applyFont="1" applyFill="1" applyBorder="1" applyAlignment="1">
      <alignment horizontal="left" wrapText="1"/>
    </xf>
    <xf numFmtId="0" fontId="9" fillId="4" borderId="1" xfId="0" applyFont="1" applyFill="1" applyBorder="1" applyAlignment="1">
      <alignment wrapText="1"/>
    </xf>
    <xf numFmtId="165" fontId="8" fillId="4" borderId="1" xfId="0" applyNumberFormat="1" applyFont="1" applyFill="1" applyBorder="1" applyAlignment="1">
      <alignment vertical="center" wrapText="1"/>
    </xf>
    <xf numFmtId="165" fontId="9" fillId="4" borderId="1" xfId="0" applyNumberFormat="1" applyFont="1" applyFill="1" applyBorder="1" applyAlignment="1">
      <alignment vertical="center" wrapText="1"/>
    </xf>
    <xf numFmtId="0" fontId="8" fillId="4" borderId="1" xfId="0" applyFont="1" applyFill="1" applyBorder="1" applyAlignment="1">
      <alignment wrapText="1"/>
    </xf>
    <xf numFmtId="165" fontId="8" fillId="4" borderId="1" xfId="0" applyNumberFormat="1" applyFont="1" applyFill="1" applyBorder="1" applyAlignment="1">
      <alignment wrapText="1"/>
    </xf>
    <xf numFmtId="0" fontId="9" fillId="7" borderId="1" xfId="0" applyFont="1" applyFill="1" applyBorder="1" applyAlignment="1">
      <alignment wrapText="1"/>
    </xf>
    <xf numFmtId="0" fontId="8" fillId="0" borderId="7" xfId="0" applyFont="1" applyBorder="1" applyAlignment="1">
      <alignment wrapText="1"/>
    </xf>
    <xf numFmtId="0" fontId="9" fillId="0" borderId="1" xfId="0" applyFont="1" applyBorder="1" applyAlignment="1">
      <alignment horizontal="left" vertical="center" wrapText="1"/>
    </xf>
    <xf numFmtId="164" fontId="9" fillId="0" borderId="1" xfId="0" applyNumberFormat="1" applyFont="1" applyBorder="1" applyAlignment="1">
      <alignment horizontal="right" wrapText="1"/>
    </xf>
    <xf numFmtId="0" fontId="13" fillId="4" borderId="0" xfId="0" applyFont="1" applyFill="1" applyAlignment="1">
      <alignment vertical="top" wrapText="1"/>
    </xf>
    <xf numFmtId="0" fontId="9" fillId="7" borderId="1" xfId="0" applyFont="1" applyFill="1" applyBorder="1" applyAlignment="1">
      <alignment horizontal="left" vertical="center" wrapText="1" indent="1"/>
    </xf>
    <xf numFmtId="169" fontId="9" fillId="7" borderId="1" xfId="0" applyNumberFormat="1" applyFont="1" applyFill="1" applyBorder="1" applyAlignment="1">
      <alignment horizontal="right" vertical="center" wrapText="1"/>
    </xf>
    <xf numFmtId="0" fontId="9" fillId="7" borderId="1" xfId="0" applyFont="1" applyFill="1" applyBorder="1" applyAlignment="1">
      <alignment horizontal="right" vertical="center" wrapText="1"/>
    </xf>
    <xf numFmtId="170" fontId="9" fillId="7" borderId="1" xfId="0" applyNumberFormat="1" applyFont="1" applyFill="1" applyBorder="1" applyAlignment="1">
      <alignment horizontal="right" vertical="center" wrapText="1"/>
    </xf>
    <xf numFmtId="0" fontId="8" fillId="4" borderId="1" xfId="0" applyFont="1" applyFill="1" applyBorder="1" applyAlignment="1">
      <alignment horizontal="left" vertical="center" wrapText="1" indent="1"/>
    </xf>
    <xf numFmtId="169" fontId="8" fillId="4" borderId="1" xfId="0" applyNumberFormat="1" applyFont="1" applyFill="1" applyBorder="1" applyAlignment="1">
      <alignment horizontal="right" vertical="center" wrapText="1"/>
    </xf>
    <xf numFmtId="0" fontId="8" fillId="4" borderId="1" xfId="0" applyFont="1" applyFill="1" applyBorder="1" applyAlignment="1">
      <alignment horizontal="right" vertical="center" wrapText="1"/>
    </xf>
    <xf numFmtId="170" fontId="8" fillId="4" borderId="1" xfId="0" applyNumberFormat="1" applyFont="1" applyFill="1" applyBorder="1" applyAlignment="1">
      <alignment horizontal="right" vertical="center" wrapText="1"/>
    </xf>
    <xf numFmtId="0" fontId="8" fillId="0" borderId="1" xfId="0" applyFont="1" applyBorder="1" applyAlignment="1">
      <alignment horizontal="right" vertical="center" wrapText="1"/>
    </xf>
    <xf numFmtId="0" fontId="9" fillId="0" borderId="1" xfId="0" applyFont="1" applyBorder="1" applyAlignment="1">
      <alignment horizontal="left" vertical="center" wrapText="1" indent="1"/>
    </xf>
    <xf numFmtId="0" fontId="8" fillId="4" borderId="1" xfId="0" applyFont="1" applyFill="1" applyBorder="1" applyAlignment="1">
      <alignment horizontal="right" vertical="center" wrapText="1" indent="1"/>
    </xf>
    <xf numFmtId="170" fontId="8" fillId="0" borderId="1" xfId="0" applyNumberFormat="1" applyFont="1" applyBorder="1" applyAlignment="1">
      <alignment horizontal="right" vertical="center" wrapText="1"/>
    </xf>
    <xf numFmtId="0" fontId="9" fillId="0" borderId="2" xfId="0" applyFont="1" applyBorder="1" applyAlignment="1">
      <alignment wrapText="1"/>
    </xf>
    <xf numFmtId="0" fontId="18" fillId="0" borderId="2" xfId="0" applyFont="1" applyBorder="1" applyAlignment="1">
      <alignment wrapText="1"/>
    </xf>
    <xf numFmtId="0" fontId="9" fillId="0" borderId="2" xfId="0" applyFont="1" applyBorder="1" applyAlignment="1">
      <alignment horizontal="left" vertical="center" wrapText="1" indent="1"/>
    </xf>
    <xf numFmtId="166" fontId="9" fillId="5" borderId="1" xfId="0" applyNumberFormat="1" applyFont="1" applyFill="1" applyBorder="1" applyAlignment="1">
      <alignment horizontal="right" vertical="center" wrapText="1"/>
    </xf>
    <xf numFmtId="164" fontId="8" fillId="0" borderId="1" xfId="0" applyNumberFormat="1" applyFont="1" applyBorder="1" applyAlignment="1">
      <alignment horizontal="right" vertical="center" wrapText="1"/>
    </xf>
    <xf numFmtId="0" fontId="8" fillId="4" borderId="1" xfId="0" applyFont="1" applyFill="1" applyBorder="1" applyAlignment="1">
      <alignment horizontal="left" vertical="center" wrapText="1" indent="2"/>
    </xf>
    <xf numFmtId="0" fontId="9" fillId="5" borderId="1" xfId="0" applyFont="1" applyFill="1" applyBorder="1" applyAlignment="1">
      <alignment vertical="center" wrapText="1"/>
    </xf>
    <xf numFmtId="166" fontId="9" fillId="8" borderId="1" xfId="0" applyNumberFormat="1" applyFont="1" applyFill="1" applyBorder="1" applyAlignment="1">
      <alignment horizontal="right" vertical="center" wrapText="1"/>
    </xf>
    <xf numFmtId="166" fontId="8" fillId="4" borderId="1" xfId="0" applyNumberFormat="1" applyFont="1" applyFill="1" applyBorder="1" applyAlignment="1">
      <alignment vertical="center" wrapText="1"/>
    </xf>
    <xf numFmtId="166" fontId="9" fillId="4" borderId="1" xfId="0" applyNumberFormat="1" applyFont="1" applyFill="1" applyBorder="1" applyAlignment="1">
      <alignment vertical="center" wrapText="1"/>
    </xf>
    <xf numFmtId="166" fontId="9" fillId="5" borderId="1" xfId="0" applyNumberFormat="1" applyFont="1" applyFill="1" applyBorder="1" applyAlignment="1">
      <alignment horizontal="left" vertical="center" wrapText="1"/>
    </xf>
    <xf numFmtId="166" fontId="8" fillId="0" borderId="1" xfId="0" applyNumberFormat="1" applyFont="1" applyBorder="1" applyAlignment="1">
      <alignment horizontal="left" vertical="center" wrapText="1" indent="1"/>
    </xf>
    <xf numFmtId="0" fontId="8" fillId="0" borderId="1" xfId="0" applyFont="1" applyBorder="1" applyAlignment="1">
      <alignment horizontal="left" vertical="center" wrapText="1"/>
    </xf>
    <xf numFmtId="0" fontId="8" fillId="0" borderId="1" xfId="0" applyFont="1" applyBorder="1" applyAlignment="1">
      <alignment horizontal="left" vertical="center" wrapText="1" indent="1"/>
    </xf>
    <xf numFmtId="0" fontId="19" fillId="4" borderId="1" xfId="0" applyFont="1" applyFill="1" applyBorder="1" applyAlignment="1">
      <alignment horizontal="left" vertical="center" wrapText="1"/>
    </xf>
    <xf numFmtId="0" fontId="9" fillId="0" borderId="1" xfId="0" applyFont="1" applyBorder="1" applyAlignment="1">
      <alignment horizontal="right" wrapText="1"/>
    </xf>
    <xf numFmtId="0" fontId="8" fillId="4" borderId="1" xfId="0" applyFont="1" applyFill="1" applyBorder="1" applyAlignment="1">
      <alignment horizontal="center" vertical="center" wrapText="1"/>
    </xf>
    <xf numFmtId="0" fontId="8" fillId="4" borderId="1" xfId="0" applyFont="1" applyFill="1" applyBorder="1" applyAlignment="1">
      <alignment vertical="center" wrapText="1" indent="3"/>
    </xf>
    <xf numFmtId="0" fontId="9" fillId="5" borderId="1" xfId="0" applyFont="1" applyFill="1" applyBorder="1" applyAlignment="1">
      <alignment horizontal="right" vertical="center" wrapText="1"/>
    </xf>
    <xf numFmtId="167" fontId="9" fillId="5" borderId="1" xfId="0" applyNumberFormat="1" applyFont="1" applyFill="1" applyBorder="1" applyAlignment="1">
      <alignment horizontal="right" vertical="center" wrapText="1"/>
    </xf>
    <xf numFmtId="0" fontId="13" fillId="4" borderId="0" xfId="0" applyFont="1" applyFill="1" applyAlignment="1">
      <alignment wrapText="1"/>
    </xf>
    <xf numFmtId="0" fontId="9" fillId="4" borderId="0" xfId="0" applyFont="1" applyFill="1" applyAlignment="1">
      <alignment wrapText="1"/>
    </xf>
    <xf numFmtId="171" fontId="9" fillId="5" borderId="1" xfId="0" applyNumberFormat="1" applyFont="1" applyFill="1" applyBorder="1" applyAlignment="1">
      <alignment horizontal="right" vertical="center" wrapText="1"/>
    </xf>
    <xf numFmtId="171" fontId="8" fillId="4" borderId="1" xfId="0" applyNumberFormat="1" applyFont="1" applyFill="1" applyBorder="1" applyAlignment="1">
      <alignment horizontal="right" vertical="center" wrapText="1"/>
    </xf>
    <xf numFmtId="171" fontId="8" fillId="4" borderId="1" xfId="0" applyNumberFormat="1" applyFont="1" applyFill="1" applyBorder="1" applyAlignment="1">
      <alignment vertical="center" wrapText="1"/>
    </xf>
    <xf numFmtId="171" fontId="8" fillId="0" borderId="1" xfId="0" applyNumberFormat="1" applyFont="1" applyBorder="1" applyAlignment="1">
      <alignment horizontal="right" vertical="center" wrapText="1"/>
    </xf>
    <xf numFmtId="169" fontId="8" fillId="4" borderId="1" xfId="0" applyNumberFormat="1" applyFont="1" applyFill="1" applyBorder="1" applyAlignment="1">
      <alignment horizontal="right" wrapText="1"/>
    </xf>
    <xf numFmtId="172" fontId="8" fillId="4" borderId="1" xfId="0" applyNumberFormat="1" applyFont="1" applyFill="1" applyBorder="1" applyAlignment="1">
      <alignment horizontal="right" wrapText="1"/>
    </xf>
    <xf numFmtId="173" fontId="8" fillId="4" borderId="1" xfId="0" applyNumberFormat="1" applyFont="1" applyFill="1" applyBorder="1" applyAlignment="1">
      <alignment horizontal="right" wrapText="1"/>
    </xf>
    <xf numFmtId="174" fontId="9" fillId="5" borderId="1" xfId="0" applyNumberFormat="1" applyFont="1" applyFill="1" applyBorder="1" applyAlignment="1">
      <alignment wrapText="1"/>
    </xf>
    <xf numFmtId="174" fontId="8" fillId="4" borderId="1" xfId="0" applyNumberFormat="1" applyFont="1" applyFill="1" applyBorder="1" applyAlignment="1">
      <alignment wrapText="1"/>
    </xf>
    <xf numFmtId="0" fontId="9" fillId="4" borderId="0" xfId="0" applyFont="1" applyFill="1" applyAlignment="1">
      <alignment vertical="center" wrapText="1"/>
    </xf>
    <xf numFmtId="164" fontId="9" fillId="4" borderId="1" xfId="0" applyNumberFormat="1" applyFont="1" applyFill="1" applyBorder="1" applyAlignment="1">
      <alignment horizontal="right" wrapText="1"/>
    </xf>
    <xf numFmtId="175" fontId="8" fillId="4" borderId="1" xfId="0" applyNumberFormat="1" applyFont="1" applyFill="1" applyBorder="1" applyAlignment="1">
      <alignment horizontal="right" wrapText="1"/>
    </xf>
    <xf numFmtId="0" fontId="9" fillId="5" borderId="1" xfId="0" applyFont="1" applyFill="1" applyBorder="1" applyAlignment="1">
      <alignment horizontal="left" vertical="center" wrapText="1"/>
    </xf>
    <xf numFmtId="0" fontId="9" fillId="4" borderId="1" xfId="0" applyFont="1" applyFill="1" applyBorder="1" applyAlignment="1">
      <alignment horizontal="center" wrapText="1"/>
    </xf>
    <xf numFmtId="166" fontId="9"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166"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center" wrapText="1"/>
    </xf>
    <xf numFmtId="166" fontId="9" fillId="5" borderId="1" xfId="0" applyNumberFormat="1" applyFont="1" applyFill="1" applyBorder="1" applyAlignment="1">
      <alignment horizontal="right" wrapText="1"/>
    </xf>
    <xf numFmtId="0" fontId="8" fillId="4" borderId="1" xfId="0" applyFont="1" applyFill="1" applyBorder="1" applyAlignment="1">
      <alignment horizontal="left" wrapText="1" indent="3"/>
    </xf>
    <xf numFmtId="166" fontId="8" fillId="4" borderId="1" xfId="0" applyNumberFormat="1" applyFont="1" applyFill="1" applyBorder="1" applyAlignment="1">
      <alignment horizontal="right" wrapText="1"/>
    </xf>
    <xf numFmtId="166" fontId="8" fillId="0" borderId="1" xfId="0" applyNumberFormat="1" applyFont="1" applyBorder="1" applyAlignment="1">
      <alignment horizontal="right" wrapText="1"/>
    </xf>
    <xf numFmtId="169" fontId="9" fillId="5" borderId="1" xfId="0" applyNumberFormat="1" applyFont="1" applyFill="1" applyBorder="1" applyAlignment="1">
      <alignment horizontal="right" wrapText="1"/>
    </xf>
    <xf numFmtId="164" fontId="8" fillId="0" borderId="1" xfId="0" applyNumberFormat="1" applyFont="1" applyBorder="1" applyAlignment="1">
      <alignment horizontal="right" wrapText="1"/>
    </xf>
    <xf numFmtId="176" fontId="8" fillId="4" borderId="1" xfId="0" applyNumberFormat="1" applyFont="1" applyFill="1" applyBorder="1" applyAlignment="1">
      <alignment horizontal="right" wrapText="1"/>
    </xf>
    <xf numFmtId="177" fontId="8" fillId="4" borderId="1" xfId="0" applyNumberFormat="1" applyFont="1" applyFill="1" applyBorder="1" applyAlignment="1">
      <alignment horizontal="right" wrapText="1"/>
    </xf>
    <xf numFmtId="178" fontId="8" fillId="4" borderId="1" xfId="0" applyNumberFormat="1" applyFont="1" applyFill="1" applyBorder="1" applyAlignment="1">
      <alignment horizontal="right" wrapText="1"/>
    </xf>
    <xf numFmtId="179" fontId="8" fillId="4" borderId="1" xfId="0" applyNumberFormat="1" applyFont="1" applyFill="1" applyBorder="1" applyAlignment="1">
      <alignment horizontal="right" wrapText="1"/>
    </xf>
    <xf numFmtId="180" fontId="8" fillId="4" borderId="1" xfId="0" applyNumberFormat="1" applyFont="1" applyFill="1" applyBorder="1" applyAlignment="1">
      <alignment horizontal="right" wrapText="1"/>
    </xf>
    <xf numFmtId="181" fontId="8" fillId="4" borderId="1" xfId="0" applyNumberFormat="1" applyFont="1" applyFill="1" applyBorder="1" applyAlignment="1">
      <alignment horizontal="right" wrapText="1"/>
    </xf>
    <xf numFmtId="164" fontId="8" fillId="4" borderId="1" xfId="0" applyNumberFormat="1" applyFont="1" applyFill="1" applyBorder="1" applyAlignment="1">
      <alignment horizontal="right" wrapText="1"/>
    </xf>
    <xf numFmtId="164" fontId="8" fillId="4" borderId="1" xfId="0" applyNumberFormat="1" applyFont="1" applyFill="1" applyBorder="1" applyAlignment="1">
      <alignment wrapText="1"/>
    </xf>
    <xf numFmtId="174" fontId="8" fillId="0" borderId="1" xfId="0" applyNumberFormat="1" applyFont="1" applyBorder="1" applyAlignment="1">
      <alignment wrapText="1"/>
    </xf>
    <xf numFmtId="0" fontId="8" fillId="4" borderId="0" xfId="0" applyFont="1" applyFill="1" applyAlignment="1">
      <alignment vertical="top" wrapText="1"/>
    </xf>
    <xf numFmtId="0" fontId="9" fillId="5" borderId="1" xfId="0" applyFont="1" applyFill="1" applyBorder="1" applyAlignment="1">
      <alignment horizontal="left" vertical="center" wrapText="1" indent="2"/>
    </xf>
    <xf numFmtId="164" fontId="9" fillId="5" borderId="1" xfId="0" applyNumberFormat="1" applyFont="1" applyFill="1" applyBorder="1" applyAlignment="1">
      <alignment horizontal="right" wrapText="1"/>
    </xf>
    <xf numFmtId="0" fontId="8" fillId="4" borderId="1" xfId="0" applyFont="1" applyFill="1" applyBorder="1" applyAlignment="1">
      <alignment horizontal="right" wrapText="1"/>
    </xf>
    <xf numFmtId="0" fontId="9" fillId="7" borderId="1" xfId="0" applyFont="1" applyFill="1" applyBorder="1" applyAlignment="1">
      <alignment horizontal="left" wrapText="1"/>
    </xf>
    <xf numFmtId="182" fontId="9" fillId="4" borderId="1" xfId="0" applyNumberFormat="1" applyFont="1" applyFill="1" applyBorder="1" applyAlignment="1">
      <alignment wrapText="1"/>
    </xf>
    <xf numFmtId="178" fontId="8" fillId="4" borderId="1" xfId="0" applyNumberFormat="1" applyFont="1" applyFill="1" applyBorder="1" applyAlignment="1">
      <alignment wrapText="1"/>
    </xf>
    <xf numFmtId="178" fontId="8" fillId="0" borderId="1" xfId="0" applyNumberFormat="1" applyFont="1" applyBorder="1" applyAlignment="1">
      <alignment wrapText="1"/>
    </xf>
    <xf numFmtId="183" fontId="8" fillId="4" borderId="1" xfId="0" applyNumberFormat="1" applyFont="1" applyFill="1" applyBorder="1" applyAlignment="1">
      <alignment wrapText="1"/>
    </xf>
    <xf numFmtId="183" fontId="8" fillId="0" borderId="1" xfId="0" applyNumberFormat="1" applyFont="1" applyBorder="1" applyAlignment="1">
      <alignment wrapText="1"/>
    </xf>
    <xf numFmtId="0" fontId="8" fillId="0" borderId="1" xfId="0" applyFont="1" applyBorder="1" applyAlignment="1">
      <alignment horizontal="left" vertical="center" wrapText="1" indent="3"/>
    </xf>
    <xf numFmtId="166" fontId="8" fillId="0" borderId="1" xfId="0" applyNumberFormat="1" applyFont="1" applyBorder="1" applyAlignment="1">
      <alignment horizontal="right" vertical="center" wrapText="1"/>
    </xf>
    <xf numFmtId="0" fontId="9" fillId="0" borderId="1" xfId="0" applyFont="1" applyBorder="1" applyAlignment="1">
      <alignment vertical="center" wrapText="1"/>
    </xf>
    <xf numFmtId="0" fontId="8" fillId="4" borderId="6" xfId="0" applyFont="1" applyFill="1" applyBorder="1" applyAlignment="1">
      <alignment horizontal="left" vertical="center" wrapText="1" indent="2"/>
    </xf>
    <xf numFmtId="0" fontId="9" fillId="5" borderId="9" xfId="0" applyFont="1" applyFill="1" applyBorder="1" applyAlignment="1">
      <alignment horizontal="left" vertical="center" wrapText="1" indent="2"/>
    </xf>
    <xf numFmtId="184" fontId="8" fillId="4" borderId="1" xfId="0" applyNumberFormat="1" applyFont="1" applyFill="1" applyBorder="1" applyAlignment="1">
      <alignment horizontal="right" wrapText="1"/>
    </xf>
    <xf numFmtId="185" fontId="8" fillId="4" borderId="1" xfId="0" applyNumberFormat="1" applyFont="1" applyFill="1" applyBorder="1" applyAlignment="1">
      <alignment wrapText="1"/>
    </xf>
    <xf numFmtId="166" fontId="8" fillId="4" borderId="1" xfId="0" applyNumberFormat="1" applyFont="1" applyFill="1" applyBorder="1" applyAlignment="1">
      <alignment wrapText="1"/>
    </xf>
    <xf numFmtId="186" fontId="8" fillId="4" borderId="1" xfId="0" applyNumberFormat="1" applyFont="1" applyFill="1" applyBorder="1" applyAlignment="1">
      <alignment wrapText="1"/>
    </xf>
    <xf numFmtId="167" fontId="9" fillId="5" borderId="1" xfId="0" applyNumberFormat="1" applyFont="1" applyFill="1" applyBorder="1" applyAlignment="1">
      <alignment horizontal="right" wrapText="1"/>
    </xf>
    <xf numFmtId="167" fontId="8" fillId="4" borderId="1" xfId="0" applyNumberFormat="1" applyFont="1" applyFill="1" applyBorder="1" applyAlignment="1">
      <alignment horizontal="right" wrapText="1"/>
    </xf>
    <xf numFmtId="187" fontId="8" fillId="4" borderId="1" xfId="0" applyNumberFormat="1" applyFont="1" applyFill="1" applyBorder="1" applyAlignment="1">
      <alignment horizontal="right" wrapText="1"/>
    </xf>
    <xf numFmtId="0" fontId="9" fillId="4" borderId="1" xfId="0" applyFont="1" applyFill="1" applyBorder="1" applyAlignment="1">
      <alignment horizontal="right" vertical="center" wrapText="1"/>
    </xf>
    <xf numFmtId="166" fontId="9" fillId="0" borderId="1" xfId="0" applyNumberFormat="1" applyFont="1" applyBorder="1" applyAlignment="1">
      <alignment horizontal="right" vertical="center" wrapText="1"/>
    </xf>
    <xf numFmtId="0" fontId="8" fillId="4" borderId="1" xfId="0" applyFont="1" applyFill="1" applyBorder="1" applyAlignment="1">
      <alignment horizontal="left" wrapText="1" indent="2"/>
    </xf>
    <xf numFmtId="188" fontId="8" fillId="4" borderId="1" xfId="0" applyNumberFormat="1" applyFont="1" applyFill="1" applyBorder="1" applyAlignment="1">
      <alignment horizontal="right" wrapText="1"/>
    </xf>
    <xf numFmtId="188" fontId="8" fillId="0" borderId="1" xfId="0" applyNumberFormat="1" applyFont="1" applyBorder="1" applyAlignment="1">
      <alignment horizontal="right" wrapText="1"/>
    </xf>
    <xf numFmtId="0" fontId="9" fillId="0" borderId="1" xfId="0" applyFont="1" applyBorder="1" applyAlignment="1">
      <alignment wrapText="1"/>
    </xf>
    <xf numFmtId="189" fontId="8" fillId="4" borderId="1" xfId="0" applyNumberFormat="1" applyFont="1" applyFill="1" applyBorder="1" applyAlignment="1">
      <alignment vertical="center" wrapText="1"/>
    </xf>
    <xf numFmtId="174" fontId="8" fillId="4" borderId="1" xfId="0" applyNumberFormat="1" applyFont="1" applyFill="1" applyBorder="1" applyAlignment="1">
      <alignment vertical="center" wrapText="1"/>
    </xf>
    <xf numFmtId="174" fontId="8" fillId="0" borderId="1" xfId="0" applyNumberFormat="1" applyFont="1" applyBorder="1" applyAlignment="1">
      <alignment vertical="center" wrapText="1"/>
    </xf>
    <xf numFmtId="174" fontId="9" fillId="4" borderId="1" xfId="0" applyNumberFormat="1" applyFont="1" applyFill="1" applyBorder="1" applyAlignment="1">
      <alignment vertical="center" wrapText="1"/>
    </xf>
    <xf numFmtId="174" fontId="9" fillId="0" borderId="1" xfId="0" applyNumberFormat="1" applyFont="1" applyBorder="1" applyAlignment="1">
      <alignment vertical="center" wrapText="1"/>
    </xf>
    <xf numFmtId="188" fontId="9" fillId="5" borderId="1" xfId="0" applyNumberFormat="1" applyFont="1" applyFill="1" applyBorder="1" applyAlignment="1">
      <alignment horizontal="right" wrapText="1"/>
    </xf>
    <xf numFmtId="166" fontId="8" fillId="0" borderId="1" xfId="0" applyNumberFormat="1" applyFont="1" applyBorder="1" applyAlignment="1">
      <alignment wrapText="1"/>
    </xf>
    <xf numFmtId="166" fontId="9" fillId="0" borderId="1" xfId="0" applyNumberFormat="1" applyFont="1" applyBorder="1" applyAlignment="1">
      <alignment wrapText="1"/>
    </xf>
    <xf numFmtId="166" fontId="9" fillId="0" borderId="1" xfId="0" applyNumberFormat="1" applyFont="1" applyBorder="1" applyAlignment="1">
      <alignment horizontal="right" wrapText="1"/>
    </xf>
    <xf numFmtId="167" fontId="9" fillId="0" borderId="1" xfId="0" applyNumberFormat="1" applyFont="1" applyBorder="1" applyAlignment="1">
      <alignment wrapText="1"/>
    </xf>
    <xf numFmtId="167" fontId="8" fillId="0" borderId="1" xfId="0" applyNumberFormat="1" applyFont="1" applyBorder="1" applyAlignment="1">
      <alignment wrapText="1"/>
    </xf>
    <xf numFmtId="0" fontId="8" fillId="0" borderId="2" xfId="0" applyFont="1" applyBorder="1" applyAlignment="1">
      <alignment horizontal="left" wrapText="1"/>
    </xf>
    <xf numFmtId="0" fontId="22" fillId="5" borderId="1" xfId="0" applyFont="1" applyFill="1" applyBorder="1" applyAlignment="1">
      <alignment wrapText="1"/>
    </xf>
    <xf numFmtId="0" fontId="22" fillId="4" borderId="1" xfId="0" applyFont="1" applyFill="1" applyBorder="1" applyAlignment="1">
      <alignment horizontal="left" wrapText="1"/>
    </xf>
    <xf numFmtId="0" fontId="1" fillId="4" borderId="1" xfId="0" applyFont="1" applyFill="1" applyBorder="1" applyAlignment="1">
      <alignment wrapText="1"/>
    </xf>
    <xf numFmtId="0" fontId="22" fillId="4" borderId="1" xfId="0" applyFont="1" applyFill="1" applyBorder="1" applyAlignment="1">
      <alignment horizontal="left" vertical="center" wrapText="1"/>
    </xf>
    <xf numFmtId="0" fontId="1" fillId="4" borderId="1" xfId="0" applyFont="1" applyFill="1" applyBorder="1" applyAlignment="1">
      <alignment horizontal="left" vertical="center" wrapText="1" indent="1"/>
    </xf>
    <xf numFmtId="164" fontId="1" fillId="0" borderId="1" xfId="0" applyNumberFormat="1" applyFont="1" applyBorder="1" applyAlignment="1">
      <alignment horizontal="right" vertical="center" wrapText="1"/>
    </xf>
    <xf numFmtId="164" fontId="1" fillId="0" borderId="1" xfId="0" applyNumberFormat="1" applyFont="1" applyBorder="1" applyAlignment="1">
      <alignment wrapText="1"/>
    </xf>
    <xf numFmtId="0" fontId="1" fillId="4" borderId="1" xfId="0" applyFont="1" applyFill="1" applyBorder="1" applyAlignment="1">
      <alignment vertical="center" wrapText="1"/>
    </xf>
    <xf numFmtId="164" fontId="22" fillId="8" borderId="1" xfId="0" applyNumberFormat="1" applyFont="1" applyFill="1" applyBorder="1" applyAlignment="1">
      <alignment horizontal="right" vertical="center" wrapText="1"/>
    </xf>
    <xf numFmtId="0" fontId="1" fillId="4" borderId="0" xfId="0" applyFont="1" applyFill="1" applyAlignment="1">
      <alignment wrapText="1"/>
    </xf>
    <xf numFmtId="0" fontId="1" fillId="4" borderId="2" xfId="0" applyFont="1" applyFill="1" applyBorder="1" applyAlignment="1">
      <alignment wrapText="1"/>
    </xf>
    <xf numFmtId="0" fontId="1" fillId="4" borderId="2" xfId="0" applyFont="1" applyFill="1" applyBorder="1" applyAlignment="1">
      <alignment vertical="center" wrapText="1"/>
    </xf>
    <xf numFmtId="0" fontId="23" fillId="4" borderId="0" xfId="0" applyFont="1" applyFill="1" applyAlignment="1">
      <alignment vertical="top" wrapText="1"/>
    </xf>
    <xf numFmtId="0" fontId="1" fillId="4" borderId="0" xfId="0" applyFont="1" applyFill="1" applyAlignment="1">
      <alignment vertical="center" wrapText="1"/>
    </xf>
    <xf numFmtId="164" fontId="8" fillId="0" borderId="1" xfId="0" applyNumberFormat="1" applyFont="1" applyBorder="1" applyAlignment="1">
      <alignment vertical="center" wrapText="1"/>
    </xf>
    <xf numFmtId="179" fontId="8" fillId="0" borderId="1" xfId="0" applyNumberFormat="1" applyFont="1" applyBorder="1" applyAlignment="1">
      <alignment vertical="center" wrapText="1"/>
    </xf>
    <xf numFmtId="179" fontId="8" fillId="0" borderId="1" xfId="0" applyNumberFormat="1" applyFont="1" applyBorder="1" applyAlignment="1">
      <alignment wrapText="1"/>
    </xf>
    <xf numFmtId="0" fontId="9" fillId="8" borderId="1" xfId="0" applyFont="1" applyFill="1" applyBorder="1" applyAlignment="1">
      <alignment wrapText="1"/>
    </xf>
    <xf numFmtId="166" fontId="9" fillId="8" borderId="1" xfId="0" applyNumberFormat="1" applyFont="1" applyFill="1" applyBorder="1" applyAlignment="1">
      <alignment horizontal="right" wrapText="1"/>
    </xf>
    <xf numFmtId="188" fontId="9" fillId="8" borderId="1" xfId="0" applyNumberFormat="1" applyFont="1" applyFill="1" applyBorder="1" applyAlignment="1">
      <alignment horizontal="right" wrapText="1"/>
    </xf>
    <xf numFmtId="166" fontId="8" fillId="0" borderId="1" xfId="0" applyNumberFormat="1" applyFont="1" applyBorder="1" applyAlignment="1">
      <alignment vertical="top" wrapText="1"/>
    </xf>
    <xf numFmtId="0" fontId="8" fillId="0" borderId="1" xfId="0" applyFont="1" applyBorder="1" applyAlignment="1">
      <alignment horizontal="left" wrapText="1" indent="2"/>
    </xf>
    <xf numFmtId="188" fontId="9" fillId="0" borderId="1" xfId="0" applyNumberFormat="1" applyFont="1" applyBorder="1" applyAlignment="1">
      <alignment horizontal="right" wrapText="1"/>
    </xf>
    <xf numFmtId="0" fontId="9" fillId="10" borderId="1" xfId="0" applyFont="1" applyFill="1" applyBorder="1" applyAlignment="1">
      <alignment horizontal="left" wrapText="1"/>
    </xf>
    <xf numFmtId="164" fontId="9" fillId="5" borderId="1" xfId="0" applyNumberFormat="1" applyFont="1" applyFill="1" applyBorder="1" applyAlignment="1">
      <alignment wrapText="1"/>
    </xf>
    <xf numFmtId="190" fontId="9" fillId="5" borderId="1" xfId="0" applyNumberFormat="1" applyFont="1" applyFill="1" applyBorder="1" applyAlignment="1">
      <alignment wrapText="1"/>
    </xf>
    <xf numFmtId="190" fontId="8" fillId="0" borderId="1" xfId="0" applyNumberFormat="1" applyFont="1" applyBorder="1" applyAlignment="1">
      <alignment wrapText="1"/>
    </xf>
    <xf numFmtId="0" fontId="9" fillId="10" borderId="1" xfId="0" applyFont="1" applyFill="1" applyBorder="1" applyAlignment="1">
      <alignment wrapText="1"/>
    </xf>
    <xf numFmtId="0" fontId="24" fillId="4" borderId="2" xfId="0" applyFont="1" applyFill="1" applyBorder="1" applyAlignment="1">
      <alignment horizontal="center" wrapText="1"/>
    </xf>
    <xf numFmtId="0" fontId="9" fillId="4" borderId="0" xfId="0" applyFont="1" applyFill="1" applyAlignment="1">
      <alignment horizontal="right" wrapText="1"/>
    </xf>
    <xf numFmtId="0" fontId="8" fillId="4" borderId="2" xfId="0" applyFont="1" applyFill="1" applyBorder="1" applyAlignment="1">
      <alignment horizontal="right" wrapText="1"/>
    </xf>
    <xf numFmtId="0" fontId="8" fillId="0" borderId="1" xfId="0" applyFont="1" applyBorder="1" applyAlignment="1">
      <alignment horizontal="right" wrapText="1"/>
    </xf>
    <xf numFmtId="0" fontId="9" fillId="4" borderId="2" xfId="0" applyFont="1" applyFill="1" applyBorder="1" applyAlignment="1">
      <alignment horizontal="left" wrapText="1"/>
    </xf>
    <xf numFmtId="0" fontId="8" fillId="5" borderId="1" xfId="0" applyFont="1" applyFill="1" applyBorder="1" applyAlignment="1">
      <alignment horizontal="right" wrapText="1"/>
    </xf>
    <xf numFmtId="0" fontId="8" fillId="5" borderId="1" xfId="0" applyFont="1" applyFill="1" applyBorder="1" applyAlignment="1">
      <alignment horizontal="left" wrapText="1"/>
    </xf>
    <xf numFmtId="0" fontId="8" fillId="0" borderId="1" xfId="0" applyFont="1" applyBorder="1" applyAlignment="1">
      <alignment horizontal="left" vertical="center" wrapText="1" indent="2"/>
    </xf>
    <xf numFmtId="164" fontId="9" fillId="5" borderId="1" xfId="0" applyNumberFormat="1" applyFont="1" applyFill="1" applyBorder="1" applyAlignment="1">
      <alignment horizontal="right" vertical="center" wrapText="1"/>
    </xf>
    <xf numFmtId="191" fontId="8" fillId="0" borderId="1" xfId="0" applyNumberFormat="1" applyFont="1" applyBorder="1" applyAlignment="1">
      <alignment horizontal="right" wrapText="1"/>
    </xf>
    <xf numFmtId="191" fontId="8" fillId="0" borderId="1" xfId="0" applyNumberFormat="1" applyFont="1" applyBorder="1" applyAlignment="1">
      <alignment horizontal="right" vertical="center" wrapText="1"/>
    </xf>
    <xf numFmtId="191" fontId="9" fillId="5" borderId="1" xfId="0" applyNumberFormat="1" applyFont="1" applyFill="1" applyBorder="1" applyAlignment="1">
      <alignment horizontal="right" vertical="center" wrapText="1"/>
    </xf>
    <xf numFmtId="0" fontId="9" fillId="4" borderId="1" xfId="0" applyFont="1" applyFill="1" applyBorder="1" applyAlignment="1">
      <alignment horizontal="center" vertical="center" wrapText="1"/>
    </xf>
    <xf numFmtId="164" fontId="8" fillId="0" borderId="1" xfId="0" applyNumberFormat="1" applyFont="1" applyBorder="1" applyAlignment="1">
      <alignment horizontal="center" wrapText="1"/>
    </xf>
    <xf numFmtId="167" fontId="8" fillId="0" borderId="1" xfId="0" applyNumberFormat="1" applyFont="1" applyBorder="1" applyAlignment="1">
      <alignment horizontal="center" wrapText="1"/>
    </xf>
    <xf numFmtId="0" fontId="8" fillId="4" borderId="1" xfId="0" applyFont="1" applyFill="1" applyBorder="1" applyAlignment="1">
      <alignment vertical="top" wrapText="1"/>
    </xf>
    <xf numFmtId="164" fontId="9" fillId="5" borderId="1" xfId="0" applyNumberFormat="1" applyFont="1" applyFill="1" applyBorder="1" applyAlignment="1">
      <alignment horizontal="center" wrapText="1"/>
    </xf>
    <xf numFmtId="167" fontId="9" fillId="5" borderId="1" xfId="0" applyNumberFormat="1" applyFont="1" applyFill="1" applyBorder="1" applyAlignment="1">
      <alignment horizontal="center" wrapText="1"/>
    </xf>
    <xf numFmtId="0" fontId="9" fillId="10" borderId="1" xfId="0" applyFont="1" applyFill="1" applyBorder="1" applyAlignment="1">
      <alignment horizontal="right" wrapText="1"/>
    </xf>
    <xf numFmtId="192" fontId="8" fillId="0" borderId="1" xfId="0" applyNumberFormat="1" applyFont="1" applyBorder="1" applyAlignment="1">
      <alignment horizontal="right" wrapText="1"/>
    </xf>
    <xf numFmtId="0" fontId="9" fillId="5" borderId="1" xfId="0" applyFont="1" applyFill="1" applyBorder="1" applyAlignment="1">
      <alignment horizontal="right" wrapText="1"/>
    </xf>
    <xf numFmtId="0" fontId="9" fillId="0" borderId="2" xfId="0" applyFont="1" applyBorder="1" applyAlignment="1">
      <alignment horizontal="right" wrapText="1"/>
    </xf>
    <xf numFmtId="0" fontId="8" fillId="0" borderId="2" xfId="0" applyFont="1" applyBorder="1" applyAlignment="1">
      <alignment horizontal="right" wrapText="1"/>
    </xf>
    <xf numFmtId="193" fontId="9" fillId="5" borderId="1" xfId="0" applyNumberFormat="1" applyFont="1" applyFill="1" applyBorder="1" applyAlignment="1">
      <alignment horizontal="right" wrapText="1"/>
    </xf>
    <xf numFmtId="193" fontId="8" fillId="0" borderId="1" xfId="0" applyNumberFormat="1" applyFont="1" applyBorder="1" applyAlignment="1">
      <alignment horizontal="right" wrapText="1"/>
    </xf>
    <xf numFmtId="0" fontId="9" fillId="3" borderId="1" xfId="0" applyFont="1" applyFill="1" applyBorder="1" applyAlignment="1">
      <alignment horizontal="left" wrapText="1" indent="3"/>
    </xf>
    <xf numFmtId="174" fontId="9" fillId="3" borderId="1" xfId="0" applyNumberFormat="1" applyFont="1" applyFill="1" applyBorder="1" applyAlignment="1">
      <alignment wrapText="1"/>
    </xf>
    <xf numFmtId="0" fontId="9" fillId="0" borderId="0" xfId="0" applyFont="1" applyAlignment="1">
      <alignment horizontal="left" wrapText="1"/>
    </xf>
    <xf numFmtId="0" fontId="9" fillId="0" borderId="0" xfId="0" applyFont="1" applyAlignment="1">
      <alignment horizontal="right" wrapText="1"/>
    </xf>
    <xf numFmtId="0" fontId="8" fillId="0" borderId="0" xfId="0" applyFont="1" applyAlignment="1">
      <alignment vertical="top" wrapText="1"/>
    </xf>
    <xf numFmtId="0" fontId="9" fillId="6" borderId="1" xfId="0" applyFont="1" applyFill="1" applyBorder="1" applyAlignment="1">
      <alignment horizontal="left" wrapText="1"/>
    </xf>
    <xf numFmtId="0" fontId="26" fillId="4" borderId="1" xfId="0" applyFont="1" applyFill="1" applyBorder="1" applyAlignment="1">
      <alignment horizontal="left" wrapText="1"/>
    </xf>
    <xf numFmtId="0" fontId="26" fillId="4" borderId="1" xfId="0" applyFont="1" applyFill="1" applyBorder="1" applyAlignment="1">
      <alignment horizontal="right" wrapText="1"/>
    </xf>
    <xf numFmtId="0" fontId="19" fillId="4" borderId="1" xfId="0" applyFont="1" applyFill="1" applyBorder="1" applyAlignment="1">
      <alignment horizontal="right" wrapText="1"/>
    </xf>
    <xf numFmtId="0" fontId="8" fillId="5" borderId="1" xfId="0" applyFont="1" applyFill="1" applyBorder="1" applyAlignment="1">
      <alignment horizontal="right" vertical="center" wrapText="1"/>
    </xf>
    <xf numFmtId="0" fontId="9" fillId="11" borderId="1" xfId="0" applyFont="1" applyFill="1" applyBorder="1" applyAlignment="1">
      <alignment wrapText="1"/>
    </xf>
    <xf numFmtId="194" fontId="9" fillId="7" borderId="1" xfId="0" applyNumberFormat="1" applyFont="1" applyFill="1" applyBorder="1" applyAlignment="1">
      <alignment wrapText="1"/>
    </xf>
    <xf numFmtId="194" fontId="8" fillId="0" borderId="1" xfId="0" applyNumberFormat="1" applyFont="1" applyBorder="1" applyAlignment="1">
      <alignment wrapText="1"/>
    </xf>
    <xf numFmtId="194" fontId="9" fillId="5" borderId="1" xfId="0" applyNumberFormat="1" applyFont="1" applyFill="1" applyBorder="1" applyAlignment="1">
      <alignment wrapText="1"/>
    </xf>
    <xf numFmtId="194" fontId="8" fillId="4" borderId="1" xfId="0" applyNumberFormat="1" applyFont="1" applyFill="1" applyBorder="1" applyAlignment="1">
      <alignment wrapText="1"/>
    </xf>
    <xf numFmtId="0" fontId="10" fillId="4" borderId="1" xfId="0" applyFont="1" applyFill="1" applyBorder="1" applyAlignment="1">
      <alignment horizontal="left" vertical="center" wrapText="1"/>
    </xf>
    <xf numFmtId="195" fontId="8" fillId="4" borderId="1" xfId="0" applyNumberFormat="1" applyFont="1" applyFill="1" applyBorder="1" applyAlignment="1">
      <alignment wrapText="1"/>
    </xf>
    <xf numFmtId="195" fontId="8" fillId="0" borderId="1" xfId="0" applyNumberFormat="1" applyFont="1" applyBorder="1" applyAlignment="1">
      <alignment wrapText="1"/>
    </xf>
    <xf numFmtId="196" fontId="8" fillId="4" borderId="1" xfId="0" applyNumberFormat="1" applyFont="1" applyFill="1" applyBorder="1" applyAlignment="1">
      <alignment wrapText="1"/>
    </xf>
    <xf numFmtId="195" fontId="9" fillId="4" borderId="1" xfId="0" applyNumberFormat="1" applyFont="1" applyFill="1" applyBorder="1" applyAlignment="1">
      <alignment wrapText="1"/>
    </xf>
    <xf numFmtId="195" fontId="9" fillId="0" borderId="1" xfId="0" applyNumberFormat="1" applyFont="1" applyBorder="1" applyAlignment="1">
      <alignment wrapText="1"/>
    </xf>
    <xf numFmtId="197" fontId="8" fillId="4" borderId="1" xfId="0" applyNumberFormat="1" applyFont="1" applyFill="1" applyBorder="1" applyAlignment="1">
      <alignment wrapText="1"/>
    </xf>
    <xf numFmtId="166" fontId="8" fillId="0" borderId="1" xfId="0" applyNumberFormat="1" applyFont="1" applyBorder="1" applyAlignment="1">
      <alignment vertical="center" wrapText="1"/>
    </xf>
    <xf numFmtId="198" fontId="9" fillId="5" borderId="1" xfId="0" applyNumberFormat="1" applyFont="1" applyFill="1" applyBorder="1" applyAlignment="1">
      <alignment wrapText="1"/>
    </xf>
    <xf numFmtId="191" fontId="9" fillId="8" borderId="1" xfId="0" applyNumberFormat="1" applyFont="1" applyFill="1" applyBorder="1" applyAlignment="1">
      <alignment vertical="center" wrapText="1"/>
    </xf>
    <xf numFmtId="191" fontId="8" fillId="8" borderId="1" xfId="0" applyNumberFormat="1" applyFont="1" applyFill="1" applyBorder="1" applyAlignment="1">
      <alignment wrapText="1"/>
    </xf>
    <xf numFmtId="191" fontId="8" fillId="0" borderId="1" xfId="0" applyNumberFormat="1" applyFont="1" applyBorder="1" applyAlignment="1">
      <alignment vertical="center" wrapText="1"/>
    </xf>
    <xf numFmtId="191" fontId="8" fillId="0" borderId="1" xfId="0" applyNumberFormat="1" applyFont="1" applyBorder="1" applyAlignment="1">
      <alignment wrapText="1"/>
    </xf>
    <xf numFmtId="199" fontId="8" fillId="0" borderId="1" xfId="0" applyNumberFormat="1" applyFont="1" applyBorder="1" applyAlignment="1">
      <alignment wrapText="1"/>
    </xf>
    <xf numFmtId="199" fontId="9" fillId="7" borderId="1" xfId="0" applyNumberFormat="1" applyFont="1" applyFill="1" applyBorder="1" applyAlignment="1">
      <alignment wrapText="1"/>
    </xf>
    <xf numFmtId="0" fontId="9" fillId="8" borderId="1" xfId="0" applyFont="1" applyFill="1" applyBorder="1" applyAlignment="1">
      <alignment horizontal="left" wrapText="1"/>
    </xf>
    <xf numFmtId="199" fontId="9" fillId="8" borderId="1" xfId="0" applyNumberFormat="1" applyFont="1" applyFill="1" applyBorder="1" applyAlignment="1">
      <alignment wrapText="1"/>
    </xf>
    <xf numFmtId="0" fontId="10" fillId="7" borderId="1" xfId="0" applyFont="1" applyFill="1" applyBorder="1" applyAlignment="1">
      <alignment wrapText="1"/>
    </xf>
    <xf numFmtId="0" fontId="19" fillId="4" borderId="1" xfId="0" applyFont="1" applyFill="1" applyBorder="1" applyAlignment="1">
      <alignment wrapText="1" indent="2"/>
    </xf>
    <xf numFmtId="199" fontId="8" fillId="0" borderId="1" xfId="0" applyNumberFormat="1" applyFont="1" applyBorder="1" applyAlignment="1">
      <alignment horizontal="right" wrapText="1"/>
    </xf>
    <xf numFmtId="0" fontId="10" fillId="4" borderId="1" xfId="0" applyFont="1" applyFill="1" applyBorder="1" applyAlignment="1">
      <alignment wrapText="1"/>
    </xf>
    <xf numFmtId="0" fontId="8" fillId="4" borderId="2" xfId="0" applyFont="1" applyFill="1" applyBorder="1" applyAlignment="1">
      <alignment vertical="center" wrapText="1"/>
    </xf>
    <xf numFmtId="0" fontId="8" fillId="5" borderId="1" xfId="0" applyFont="1" applyFill="1" applyBorder="1" applyAlignment="1">
      <alignment vertical="center" wrapText="1"/>
    </xf>
    <xf numFmtId="200" fontId="8" fillId="0" borderId="1" xfId="0" applyNumberFormat="1" applyFont="1" applyBorder="1" applyAlignment="1">
      <alignment horizontal="right" vertical="center" wrapText="1"/>
    </xf>
    <xf numFmtId="200" fontId="9" fillId="3" borderId="1" xfId="0" applyNumberFormat="1" applyFont="1" applyFill="1" applyBorder="1" applyAlignment="1">
      <alignment horizontal="right" vertical="center" wrapText="1"/>
    </xf>
    <xf numFmtId="164" fontId="26" fillId="4" borderId="1" xfId="0" applyNumberFormat="1" applyFont="1" applyFill="1" applyBorder="1" applyAlignment="1">
      <alignment horizontal="left" wrapText="1"/>
    </xf>
    <xf numFmtId="0" fontId="12" fillId="4" borderId="1" xfId="0" applyFont="1" applyFill="1" applyBorder="1" applyAlignment="1">
      <alignment vertical="center" wrapText="1" indent="1"/>
    </xf>
    <xf numFmtId="174" fontId="12" fillId="0" borderId="1" xfId="0" applyNumberFormat="1" applyFont="1" applyBorder="1" applyAlignment="1">
      <alignment vertical="center" wrapText="1"/>
    </xf>
    <xf numFmtId="174" fontId="26" fillId="0" borderId="1" xfId="0" applyNumberFormat="1" applyFont="1" applyBorder="1" applyAlignment="1">
      <alignment vertical="center" wrapText="1"/>
    </xf>
    <xf numFmtId="0" fontId="26" fillId="4" borderId="1" xfId="0" applyFont="1" applyFill="1" applyBorder="1" applyAlignment="1">
      <alignment vertical="center" wrapText="1"/>
    </xf>
    <xf numFmtId="165" fontId="8" fillId="0" borderId="1" xfId="0" applyNumberFormat="1" applyFont="1" applyBorder="1" applyAlignment="1">
      <alignment vertical="center" wrapText="1"/>
    </xf>
    <xf numFmtId="176" fontId="8" fillId="0" borderId="1" xfId="0" applyNumberFormat="1" applyFont="1" applyBorder="1" applyAlignment="1">
      <alignment vertical="center" wrapText="1"/>
    </xf>
    <xf numFmtId="0" fontId="8" fillId="8" borderId="1" xfId="0" applyFont="1" applyFill="1" applyBorder="1" applyAlignment="1">
      <alignment wrapText="1"/>
    </xf>
    <xf numFmtId="0" fontId="9" fillId="0" borderId="1" xfId="0" applyFont="1" applyBorder="1" applyAlignment="1">
      <alignment horizontal="center" wrapText="1"/>
    </xf>
    <xf numFmtId="174" fontId="9" fillId="0" borderId="1" xfId="0" applyNumberFormat="1" applyFont="1" applyBorder="1" applyAlignment="1">
      <alignment wrapText="1"/>
    </xf>
    <xf numFmtId="0" fontId="9" fillId="0" borderId="2" xfId="0" applyFont="1" applyBorder="1" applyAlignment="1">
      <alignment horizontal="center" wrapText="1"/>
    </xf>
    <xf numFmtId="0" fontId="9" fillId="0" borderId="0" xfId="0" applyFont="1" applyAlignment="1">
      <alignment horizontal="center" wrapText="1"/>
    </xf>
    <xf numFmtId="201" fontId="8" fillId="0" borderId="1" xfId="0" applyNumberFormat="1" applyFont="1" applyBorder="1" applyAlignment="1">
      <alignment vertical="center" wrapText="1"/>
    </xf>
    <xf numFmtId="201" fontId="8" fillId="0" borderId="1" xfId="0" applyNumberFormat="1" applyFont="1" applyBorder="1" applyAlignment="1">
      <alignment wrapText="1"/>
    </xf>
    <xf numFmtId="202" fontId="8" fillId="0" borderId="1" xfId="0" applyNumberFormat="1" applyFont="1" applyBorder="1" applyAlignment="1">
      <alignment vertical="center" wrapText="1"/>
    </xf>
    <xf numFmtId="189" fontId="8" fillId="0" borderId="1" xfId="0" applyNumberFormat="1" applyFont="1" applyBorder="1" applyAlignment="1">
      <alignment horizontal="right" vertical="center" wrapText="1"/>
    </xf>
    <xf numFmtId="189" fontId="9" fillId="0" borderId="1" xfId="0" applyNumberFormat="1" applyFont="1" applyBorder="1" applyAlignment="1">
      <alignment horizontal="right" vertical="center" wrapText="1"/>
    </xf>
    <xf numFmtId="191" fontId="9" fillId="0" borderId="1" xfId="0" applyNumberFormat="1" applyFont="1" applyBorder="1" applyAlignment="1">
      <alignment horizontal="right" vertical="center" wrapText="1"/>
    </xf>
    <xf numFmtId="0" fontId="8" fillId="4" borderId="1" xfId="0" applyFont="1" applyFill="1" applyBorder="1" applyAlignment="1">
      <alignment wrapText="1" indent="2"/>
    </xf>
    <xf numFmtId="0" fontId="8" fillId="0" borderId="1" xfId="0" applyFont="1" applyBorder="1" applyAlignment="1">
      <alignment wrapText="1" indent="2"/>
    </xf>
    <xf numFmtId="0" fontId="8" fillId="4" borderId="1" xfId="0" applyFont="1" applyFill="1" applyBorder="1" applyAlignment="1">
      <alignment horizontal="center" wrapText="1"/>
    </xf>
    <xf numFmtId="0" fontId="29" fillId="4" borderId="0" xfId="0" applyFont="1" applyFill="1" applyAlignment="1">
      <alignment wrapText="1"/>
    </xf>
    <xf numFmtId="167" fontId="9" fillId="4" borderId="1" xfId="0" applyNumberFormat="1" applyFont="1" applyFill="1" applyBorder="1" applyAlignment="1">
      <alignment vertical="center" wrapText="1"/>
    </xf>
    <xf numFmtId="0" fontId="9" fillId="12" borderId="1" xfId="0" applyFont="1" applyFill="1" applyBorder="1" applyAlignment="1">
      <alignment wrapText="1"/>
    </xf>
    <xf numFmtId="0" fontId="9" fillId="12" borderId="1" xfId="0" applyFont="1" applyFill="1" applyBorder="1" applyAlignment="1">
      <alignment horizontal="right" wrapText="1"/>
    </xf>
    <xf numFmtId="164" fontId="9" fillId="7" borderId="1" xfId="0" applyNumberFormat="1" applyFont="1" applyFill="1" applyBorder="1" applyAlignment="1">
      <alignment wrapText="1"/>
    </xf>
    <xf numFmtId="174" fontId="9" fillId="7" borderId="1" xfId="0" applyNumberFormat="1" applyFont="1" applyFill="1" applyBorder="1" applyAlignment="1">
      <alignment wrapText="1"/>
    </xf>
    <xf numFmtId="0" fontId="19" fillId="0" borderId="0" xfId="0" applyFont="1" applyAlignment="1">
      <alignment wrapText="1"/>
    </xf>
    <xf numFmtId="0" fontId="9" fillId="12" borderId="1" xfId="0" applyFont="1" applyFill="1" applyBorder="1" applyAlignment="1">
      <alignment horizontal="left" wrapText="1"/>
    </xf>
    <xf numFmtId="169" fontId="8" fillId="4" borderId="1" xfId="0" applyNumberFormat="1" applyFont="1" applyFill="1" applyBorder="1" applyAlignment="1">
      <alignment vertical="center" wrapText="1"/>
    </xf>
    <xf numFmtId="193" fontId="8" fillId="0" borderId="1" xfId="0" applyNumberFormat="1" applyFont="1" applyBorder="1" applyAlignment="1">
      <alignment wrapText="1"/>
    </xf>
    <xf numFmtId="0" fontId="8" fillId="0" borderId="0" xfId="0" applyFont="1" applyAlignment="1">
      <alignment vertical="center" wrapText="1"/>
    </xf>
    <xf numFmtId="0" fontId="45" fillId="0" borderId="0" xfId="0" applyFont="1" applyAlignment="1">
      <alignment wrapText="1"/>
    </xf>
    <xf numFmtId="0" fontId="8" fillId="0" borderId="0" xfId="0" applyFont="1" applyAlignment="1">
      <alignment horizontal="center" wrapText="1"/>
    </xf>
    <xf numFmtId="0" fontId="16" fillId="0" borderId="2" xfId="0" applyFont="1" applyBorder="1" applyAlignment="1">
      <alignment wrapText="1"/>
    </xf>
    <xf numFmtId="0" fontId="8" fillId="0" borderId="0" xfId="0" applyFont="1" applyAlignment="1">
      <alignment horizontal="right" vertical="center" wrapText="1"/>
    </xf>
    <xf numFmtId="0" fontId="9" fillId="0" borderId="0" xfId="0" applyFont="1" applyAlignment="1">
      <alignment horizontal="right" vertical="center" wrapText="1"/>
    </xf>
    <xf numFmtId="0" fontId="13" fillId="0" borderId="0" xfId="0" applyFont="1" applyAlignment="1">
      <alignment horizontal="left" vertical="top" wrapText="1"/>
    </xf>
    <xf numFmtId="0" fontId="16" fillId="0" borderId="0" xfId="0" applyFont="1" applyAlignment="1">
      <alignment wrapText="1"/>
    </xf>
    <xf numFmtId="0" fontId="13" fillId="0" borderId="0" xfId="0" applyFont="1" applyAlignment="1">
      <alignment horizontal="left" wrapText="1"/>
    </xf>
    <xf numFmtId="0" fontId="13" fillId="0" borderId="7" xfId="0" applyFont="1" applyBorder="1" applyAlignment="1">
      <alignment horizontal="left" wrapText="1"/>
    </xf>
    <xf numFmtId="0" fontId="13" fillId="0" borderId="2" xfId="0" applyFont="1" applyBorder="1" applyAlignment="1">
      <alignment horizontal="left" wrapText="1"/>
    </xf>
    <xf numFmtId="0" fontId="9" fillId="0" borderId="7" xfId="0" applyFont="1" applyBorder="1" applyAlignment="1">
      <alignment horizontal="left" wrapText="1"/>
    </xf>
    <xf numFmtId="0" fontId="10" fillId="0" borderId="0" xfId="0" applyFont="1" applyAlignment="1">
      <alignment vertical="center" wrapText="1"/>
    </xf>
    <xf numFmtId="0" fontId="10" fillId="0" borderId="7" xfId="0" applyFont="1" applyBorder="1" applyAlignment="1">
      <alignment vertical="center" wrapText="1"/>
    </xf>
    <xf numFmtId="0" fontId="14" fillId="0" borderId="7" xfId="0" applyFont="1" applyBorder="1" applyAlignment="1">
      <alignment wrapText="1"/>
    </xf>
    <xf numFmtId="0" fontId="13" fillId="0" borderId="0" xfId="0" applyFont="1" applyAlignment="1">
      <alignment vertical="top" wrapText="1"/>
    </xf>
    <xf numFmtId="168" fontId="8" fillId="0" borderId="1" xfId="0" applyNumberFormat="1" applyFont="1" applyBorder="1" applyAlignment="1">
      <alignment wrapText="1"/>
    </xf>
    <xf numFmtId="0" fontId="8" fillId="0" borderId="7" xfId="0" applyFont="1" applyBorder="1" applyAlignment="1">
      <alignment vertical="top" wrapText="1"/>
    </xf>
    <xf numFmtId="0" fontId="8" fillId="0" borderId="7" xfId="0" applyFont="1" applyBorder="1" applyAlignment="1">
      <alignment vertical="center" wrapText="1"/>
    </xf>
    <xf numFmtId="0" fontId="9" fillId="9" borderId="0" xfId="0" applyFont="1" applyFill="1" applyAlignment="1">
      <alignment wrapText="1"/>
    </xf>
    <xf numFmtId="0" fontId="9" fillId="4" borderId="0" xfId="0" applyFont="1" applyFill="1" applyAlignment="1">
      <alignment horizontal="left" vertical="center" wrapText="1"/>
    </xf>
    <xf numFmtId="0" fontId="9" fillId="5" borderId="0" xfId="0" applyFont="1" applyFill="1" applyAlignment="1">
      <alignment horizontal="left" vertical="center" wrapText="1" indent="1"/>
    </xf>
    <xf numFmtId="0" fontId="8" fillId="4" borderId="0" xfId="0" applyFont="1" applyFill="1" applyAlignment="1">
      <alignment horizontal="left" vertical="center" wrapText="1" indent="3"/>
    </xf>
    <xf numFmtId="0" fontId="8" fillId="4" borderId="0" xfId="0" applyFont="1" applyFill="1" applyAlignment="1">
      <alignment horizontal="center" vertical="center" wrapText="1"/>
    </xf>
    <xf numFmtId="0" fontId="8" fillId="4" borderId="0" xfId="0" applyFont="1" applyFill="1" applyAlignment="1">
      <alignment vertical="center" wrapText="1" indent="3"/>
    </xf>
    <xf numFmtId="0" fontId="16" fillId="4" borderId="0" xfId="0" applyFont="1" applyFill="1" applyAlignment="1">
      <alignment horizontal="center" vertical="center" wrapText="1"/>
    </xf>
    <xf numFmtId="0" fontId="8" fillId="4" borderId="0" xfId="0" applyFont="1" applyFill="1" applyAlignment="1">
      <alignment horizontal="right" vertical="center" wrapText="1"/>
    </xf>
    <xf numFmtId="0" fontId="9" fillId="5" borderId="0" xfId="0" applyFont="1" applyFill="1" applyAlignment="1">
      <alignment horizontal="right" vertical="center" wrapText="1"/>
    </xf>
    <xf numFmtId="0" fontId="9" fillId="5" borderId="0" xfId="0" applyFont="1" applyFill="1" applyAlignment="1">
      <alignment vertical="center" wrapText="1"/>
    </xf>
    <xf numFmtId="0" fontId="13" fillId="0" borderId="2" xfId="0" applyFont="1" applyBorder="1" applyAlignment="1">
      <alignment vertical="top" wrapText="1"/>
    </xf>
    <xf numFmtId="0" fontId="13" fillId="0" borderId="0" xfId="0" applyFont="1" applyAlignment="1">
      <alignment vertical="center" wrapText="1"/>
    </xf>
    <xf numFmtId="0" fontId="13" fillId="0" borderId="7" xfId="0" applyFont="1" applyBorder="1" applyAlignment="1">
      <alignment horizontal="left" vertical="top" wrapText="1"/>
    </xf>
    <xf numFmtId="0" fontId="16" fillId="0" borderId="7" xfId="0" applyFont="1" applyBorder="1" applyAlignment="1">
      <alignment wrapText="1"/>
    </xf>
    <xf numFmtId="0" fontId="14" fillId="0" borderId="0" xfId="0" applyFont="1" applyAlignment="1">
      <alignment wrapText="1"/>
    </xf>
    <xf numFmtId="0" fontId="8" fillId="0" borderId="2" xfId="0" applyFont="1" applyBorder="1" applyAlignment="1">
      <alignment vertical="center" wrapText="1"/>
    </xf>
    <xf numFmtId="197" fontId="8" fillId="0" borderId="1" xfId="0" applyNumberFormat="1" applyFont="1" applyBorder="1" applyAlignment="1">
      <alignment horizontal="right" wrapText="1" indent="1"/>
    </xf>
    <xf numFmtId="197" fontId="9" fillId="0" borderId="1" xfId="0" applyNumberFormat="1" applyFont="1" applyBorder="1" applyAlignment="1">
      <alignment horizontal="right" wrapText="1" indent="1"/>
    </xf>
    <xf numFmtId="0" fontId="47" fillId="5" borderId="1" xfId="0" applyFont="1" applyFill="1" applyBorder="1" applyAlignment="1">
      <alignment horizontal="left" wrapText="1"/>
    </xf>
    <xf numFmtId="0" fontId="47" fillId="4" borderId="1" xfId="0" applyFont="1" applyFill="1" applyBorder="1" applyAlignment="1">
      <alignment horizontal="left" wrapText="1"/>
    </xf>
    <xf numFmtId="0" fontId="45" fillId="4" borderId="2" xfId="0" applyFont="1" applyFill="1" applyBorder="1" applyAlignment="1">
      <alignment wrapText="1"/>
    </xf>
    <xf numFmtId="0" fontId="51" fillId="0" borderId="0" xfId="0" applyFont="1"/>
    <xf numFmtId="0" fontId="47" fillId="4" borderId="1" xfId="0" applyFont="1" applyFill="1" applyBorder="1" applyAlignment="1">
      <alignment vertical="center" wrapText="1"/>
    </xf>
    <xf numFmtId="191" fontId="45" fillId="0" borderId="1" xfId="0" applyNumberFormat="1" applyFont="1" applyBorder="1" applyAlignment="1">
      <alignment vertical="center" wrapText="1"/>
    </xf>
    <xf numFmtId="0" fontId="45" fillId="4" borderId="1" xfId="0" applyFont="1" applyFill="1" applyBorder="1" applyAlignment="1">
      <alignment vertical="center" wrapText="1"/>
    </xf>
    <xf numFmtId="0" fontId="45" fillId="0" borderId="3" xfId="0" applyFont="1" applyBorder="1" applyAlignment="1">
      <alignment wrapText="1"/>
    </xf>
    <xf numFmtId="0" fontId="45" fillId="4" borderId="0" xfId="0" applyFont="1" applyFill="1" applyAlignment="1">
      <alignment wrapText="1"/>
    </xf>
    <xf numFmtId="0" fontId="47" fillId="5" borderId="1" xfId="0" applyFont="1" applyFill="1" applyBorder="1" applyAlignment="1">
      <alignment wrapText="1"/>
    </xf>
    <xf numFmtId="0" fontId="45" fillId="0" borderId="2" xfId="0" applyFont="1" applyBorder="1" applyAlignment="1">
      <alignment wrapText="1"/>
    </xf>
    <xf numFmtId="0" fontId="45" fillId="7" borderId="1" xfId="0" applyFont="1" applyFill="1" applyBorder="1" applyAlignment="1">
      <alignment vertical="center" wrapText="1"/>
    </xf>
    <xf numFmtId="0" fontId="45" fillId="4" borderId="1" xfId="0" applyFont="1" applyFill="1" applyBorder="1" applyAlignment="1">
      <alignment horizontal="left" vertical="center" wrapText="1" indent="1"/>
    </xf>
    <xf numFmtId="164" fontId="45" fillId="0" borderId="1" xfId="0" applyNumberFormat="1" applyFont="1" applyBorder="1" applyAlignment="1">
      <alignment vertical="center" wrapText="1"/>
    </xf>
    <xf numFmtId="164" fontId="47" fillId="4" borderId="1" xfId="0" applyNumberFormat="1" applyFont="1" applyFill="1" applyBorder="1" applyAlignment="1">
      <alignment horizontal="left" wrapText="1"/>
    </xf>
    <xf numFmtId="191" fontId="45" fillId="0" borderId="1" xfId="0" applyNumberFormat="1" applyFont="1" applyBorder="1" applyAlignment="1">
      <alignment wrapText="1"/>
    </xf>
    <xf numFmtId="0" fontId="45" fillId="5" borderId="1" xfId="0" applyFont="1" applyFill="1" applyBorder="1" applyAlignment="1">
      <alignment wrapText="1"/>
    </xf>
    <xf numFmtId="0" fontId="45" fillId="4" borderId="1" xfId="0" applyFont="1" applyFill="1" applyBorder="1" applyAlignment="1">
      <alignment horizontal="left" vertical="center" wrapText="1" indent="2"/>
    </xf>
    <xf numFmtId="166" fontId="45" fillId="0" borderId="1" xfId="0" applyNumberFormat="1" applyFont="1" applyBorder="1" applyAlignment="1">
      <alignment vertical="center" wrapText="1"/>
    </xf>
    <xf numFmtId="174" fontId="45" fillId="0" borderId="1" xfId="0" applyNumberFormat="1" applyFont="1" applyBorder="1" applyAlignment="1">
      <alignment vertical="center" wrapText="1"/>
    </xf>
    <xf numFmtId="0" fontId="47" fillId="4" borderId="1" xfId="0" applyFont="1" applyFill="1" applyBorder="1" applyAlignment="1">
      <alignment horizontal="left" vertical="center" wrapText="1" indent="1"/>
    </xf>
    <xf numFmtId="166" fontId="47" fillId="0" borderId="1" xfId="0" applyNumberFormat="1" applyFont="1" applyBorder="1" applyAlignment="1">
      <alignment vertical="center" wrapText="1"/>
    </xf>
    <xf numFmtId="174" fontId="47" fillId="0" borderId="1" xfId="0" applyNumberFormat="1" applyFont="1" applyBorder="1" applyAlignment="1">
      <alignment vertical="center" wrapText="1"/>
    </xf>
    <xf numFmtId="191" fontId="47" fillId="0" borderId="1" xfId="0" applyNumberFormat="1" applyFont="1" applyBorder="1" applyAlignment="1">
      <alignment vertical="center" wrapText="1"/>
    </xf>
    <xf numFmtId="164" fontId="47" fillId="0" borderId="1" xfId="0" applyNumberFormat="1" applyFont="1" applyBorder="1" applyAlignment="1">
      <alignment vertical="center" wrapText="1"/>
    </xf>
    <xf numFmtId="0" fontId="47" fillId="7" borderId="1" xfId="0" applyFont="1" applyFill="1" applyBorder="1" applyAlignment="1">
      <alignment vertical="center" wrapText="1"/>
    </xf>
    <xf numFmtId="0" fontId="47" fillId="0" borderId="1" xfId="0" applyFont="1" applyBorder="1" applyAlignment="1">
      <alignment vertical="center" wrapText="1"/>
    </xf>
    <xf numFmtId="0" fontId="45" fillId="0" borderId="7" xfId="0" applyFont="1" applyBorder="1" applyAlignment="1">
      <alignment wrapText="1"/>
    </xf>
    <xf numFmtId="0" fontId="29" fillId="0" borderId="0" xfId="0" applyFont="1" applyAlignment="1">
      <alignment wrapText="1"/>
    </xf>
    <xf numFmtId="164" fontId="47" fillId="0" borderId="1" xfId="0" applyNumberFormat="1" applyFont="1" applyBorder="1" applyAlignment="1">
      <alignment horizontal="left" wrapText="1"/>
    </xf>
    <xf numFmtId="0" fontId="45" fillId="0" borderId="0" xfId="0" applyFont="1" applyAlignment="1">
      <alignment vertical="top" wrapText="1"/>
    </xf>
    <xf numFmtId="0" fontId="29" fillId="0" borderId="7" xfId="0" applyFont="1" applyBorder="1" applyAlignment="1">
      <alignment wrapText="1"/>
    </xf>
    <xf numFmtId="0" fontId="9" fillId="0" borderId="7" xfId="0" applyFont="1" applyBorder="1" applyAlignment="1">
      <alignment horizontal="right" wrapText="1"/>
    </xf>
    <xf numFmtId="0" fontId="44" fillId="0" borderId="0" xfId="0" applyFont="1"/>
    <xf numFmtId="0" fontId="47" fillId="5" borderId="1" xfId="0" applyFont="1" applyFill="1" applyBorder="1" applyAlignment="1">
      <alignment horizontal="left" wrapText="1" indent="1"/>
    </xf>
    <xf numFmtId="166" fontId="47" fillId="5" borderId="1" xfId="0" applyNumberFormat="1" applyFont="1" applyFill="1" applyBorder="1" applyAlignment="1">
      <alignment horizontal="right" wrapText="1"/>
    </xf>
    <xf numFmtId="0" fontId="45" fillId="4" borderId="1" xfId="0" applyFont="1" applyFill="1" applyBorder="1" applyAlignment="1">
      <alignment horizontal="left" wrapText="1" indent="3"/>
    </xf>
    <xf numFmtId="166" fontId="45" fillId="4" borderId="1" xfId="0" applyNumberFormat="1" applyFont="1" applyFill="1" applyBorder="1" applyAlignment="1">
      <alignment horizontal="right" wrapText="1"/>
    </xf>
    <xf numFmtId="164" fontId="45" fillId="0" borderId="1" xfId="0" applyNumberFormat="1" applyFont="1" applyBorder="1" applyAlignment="1">
      <alignment wrapText="1"/>
    </xf>
    <xf numFmtId="174" fontId="45" fillId="0" borderId="1" xfId="0" applyNumberFormat="1" applyFont="1" applyBorder="1" applyAlignment="1">
      <alignment wrapText="1"/>
    </xf>
    <xf numFmtId="174" fontId="45" fillId="4" borderId="1" xfId="0" applyNumberFormat="1" applyFont="1" applyFill="1" applyBorder="1" applyAlignment="1">
      <alignment wrapText="1"/>
    </xf>
    <xf numFmtId="0" fontId="47" fillId="4" borderId="1" xfId="0" applyFont="1" applyFill="1" applyBorder="1" applyAlignment="1">
      <alignment horizontal="left" vertical="center" wrapText="1"/>
    </xf>
    <xf numFmtId="0" fontId="47" fillId="5" borderId="5" xfId="0" applyFont="1" applyFill="1" applyBorder="1" applyAlignment="1">
      <alignment horizontal="left" wrapText="1" indent="1"/>
    </xf>
    <xf numFmtId="0" fontId="45" fillId="4" borderId="5" xfId="0" applyFont="1" applyFill="1" applyBorder="1" applyAlignment="1">
      <alignment horizontal="left" wrapText="1" indent="3"/>
    </xf>
    <xf numFmtId="0" fontId="47" fillId="5" borderId="1" xfId="0" applyFont="1" applyFill="1" applyBorder="1" applyAlignment="1">
      <alignment horizontal="left" vertical="center" wrapText="1"/>
    </xf>
    <xf numFmtId="0" fontId="56" fillId="0" borderId="0" xfId="0" applyFont="1"/>
    <xf numFmtId="164" fontId="47" fillId="7" borderId="1" xfId="0" applyNumberFormat="1" applyFont="1" applyFill="1" applyBorder="1" applyAlignment="1">
      <alignment wrapText="1"/>
    </xf>
    <xf numFmtId="0" fontId="47" fillId="7" borderId="1" xfId="0" applyFont="1" applyFill="1" applyBorder="1" applyAlignment="1">
      <alignment wrapText="1"/>
    </xf>
    <xf numFmtId="167" fontId="8" fillId="0" borderId="2" xfId="0" applyNumberFormat="1" applyFont="1" applyBorder="1" applyAlignment="1">
      <alignment wrapText="1"/>
    </xf>
    <xf numFmtId="203" fontId="9" fillId="0" borderId="1" xfId="0" applyNumberFormat="1" applyFont="1" applyBorder="1" applyAlignment="1">
      <alignment wrapText="1"/>
    </xf>
    <xf numFmtId="203" fontId="8" fillId="0" borderId="1" xfId="0" applyNumberFormat="1" applyFont="1" applyBorder="1" applyAlignment="1">
      <alignment wrapText="1"/>
    </xf>
    <xf numFmtId="204" fontId="8" fillId="0" borderId="1" xfId="0" applyNumberFormat="1" applyFont="1" applyBorder="1" applyAlignment="1">
      <alignment horizontal="right" wrapText="1"/>
    </xf>
    <xf numFmtId="167" fontId="9" fillId="5" borderId="1" xfId="0" applyNumberFormat="1" applyFont="1" applyFill="1" applyBorder="1" applyAlignment="1">
      <alignment vertical="center" wrapText="1"/>
    </xf>
    <xf numFmtId="205" fontId="9" fillId="5" borderId="1" xfId="0" applyNumberFormat="1" applyFont="1" applyFill="1" applyBorder="1" applyAlignment="1">
      <alignment vertical="center" wrapText="1"/>
    </xf>
    <xf numFmtId="205" fontId="8" fillId="4" borderId="1" xfId="0" applyNumberFormat="1" applyFont="1" applyFill="1" applyBorder="1" applyAlignment="1">
      <alignment vertical="center" wrapText="1"/>
    </xf>
    <xf numFmtId="189" fontId="9" fillId="5" borderId="1" xfId="0" applyNumberFormat="1" applyFont="1" applyFill="1" applyBorder="1" applyAlignment="1">
      <alignment horizontal="right" vertical="center" wrapText="1"/>
    </xf>
    <xf numFmtId="205" fontId="9" fillId="5" borderId="1" xfId="0" applyNumberFormat="1" applyFont="1" applyFill="1" applyBorder="1" applyAlignment="1">
      <alignment vertical="center" wrapText="1" indent="1"/>
    </xf>
    <xf numFmtId="0" fontId="8" fillId="7" borderId="1" xfId="0" applyFont="1" applyFill="1" applyBorder="1" applyAlignment="1">
      <alignment wrapText="1"/>
    </xf>
    <xf numFmtId="189" fontId="8" fillId="4" borderId="1" xfId="0" applyNumberFormat="1" applyFont="1" applyFill="1" applyBorder="1" applyAlignment="1">
      <alignment horizontal="right" vertical="center" wrapText="1"/>
    </xf>
    <xf numFmtId="205" fontId="8" fillId="4" borderId="1" xfId="0" applyNumberFormat="1" applyFont="1" applyFill="1" applyBorder="1" applyAlignment="1">
      <alignment vertical="center" wrapText="1" indent="1"/>
    </xf>
    <xf numFmtId="0" fontId="11" fillId="0" borderId="7" xfId="0" applyFont="1" applyBorder="1" applyAlignment="1">
      <alignment horizontal="center" wrapText="1"/>
    </xf>
    <xf numFmtId="0" fontId="58" fillId="4" borderId="0" xfId="0" applyFont="1" applyFill="1" applyAlignment="1">
      <alignment horizontal="left" vertical="center" wrapText="1" indent="2"/>
    </xf>
    <xf numFmtId="206" fontId="8" fillId="4" borderId="1" xfId="0" applyNumberFormat="1" applyFont="1" applyFill="1" applyBorder="1" applyAlignment="1">
      <alignment horizontal="right" wrapText="1"/>
    </xf>
    <xf numFmtId="207" fontId="8" fillId="4" borderId="1" xfId="0" applyNumberFormat="1" applyFont="1" applyFill="1" applyBorder="1" applyAlignment="1">
      <alignment horizontal="right" wrapText="1"/>
    </xf>
    <xf numFmtId="208" fontId="9" fillId="4" borderId="1" xfId="0" applyNumberFormat="1" applyFont="1" applyFill="1" applyBorder="1" applyAlignment="1">
      <alignment horizontal="left" wrapText="1"/>
    </xf>
    <xf numFmtId="209" fontId="9" fillId="5" borderId="1" xfId="0" applyNumberFormat="1" applyFont="1" applyFill="1" applyBorder="1" applyAlignment="1">
      <alignment horizontal="right" vertical="center" wrapText="1" indent="1"/>
    </xf>
    <xf numFmtId="209" fontId="8" fillId="4" borderId="1" xfId="0" applyNumberFormat="1" applyFont="1" applyFill="1" applyBorder="1" applyAlignment="1">
      <alignment horizontal="right" vertical="center" wrapText="1" indent="1"/>
    </xf>
    <xf numFmtId="209" fontId="8" fillId="0" borderId="1" xfId="0" applyNumberFormat="1" applyFont="1" applyBorder="1" applyAlignment="1">
      <alignment horizontal="right" vertical="center" wrapText="1" indent="1"/>
    </xf>
    <xf numFmtId="210" fontId="8" fillId="0" borderId="0" xfId="0" applyNumberFormat="1" applyFont="1" applyAlignment="1">
      <alignment wrapText="1"/>
    </xf>
    <xf numFmtId="211" fontId="9" fillId="0" borderId="1" xfId="0" applyNumberFormat="1" applyFont="1" applyBorder="1" applyAlignment="1">
      <alignment horizontal="left" vertical="center" wrapText="1"/>
    </xf>
    <xf numFmtId="212" fontId="9" fillId="0" borderId="1" xfId="0" applyNumberFormat="1" applyFont="1" applyBorder="1" applyAlignment="1">
      <alignment horizontal="left" vertical="center" wrapText="1"/>
    </xf>
    <xf numFmtId="211" fontId="8" fillId="0" borderId="1" xfId="0" applyNumberFormat="1" applyFont="1" applyBorder="1" applyAlignment="1">
      <alignment horizontal="left" vertical="center" wrapText="1"/>
    </xf>
    <xf numFmtId="213" fontId="8" fillId="0" borderId="1" xfId="0" applyNumberFormat="1" applyFont="1" applyBorder="1" applyAlignment="1">
      <alignment horizontal="left" vertical="center" wrapText="1"/>
    </xf>
    <xf numFmtId="204" fontId="8" fillId="0" borderId="1" xfId="0" applyNumberFormat="1" applyFont="1" applyBorder="1" applyAlignment="1">
      <alignment horizontal="left" vertical="center" wrapText="1"/>
    </xf>
    <xf numFmtId="193" fontId="8" fillId="0" borderId="1" xfId="0" applyNumberFormat="1" applyFont="1" applyBorder="1" applyAlignment="1">
      <alignment horizontal="left" vertical="center" wrapText="1"/>
    </xf>
    <xf numFmtId="212" fontId="8" fillId="0" borderId="1" xfId="0" applyNumberFormat="1" applyFont="1" applyBorder="1" applyAlignment="1">
      <alignment horizontal="left" vertical="center" wrapText="1"/>
    </xf>
    <xf numFmtId="176" fontId="9" fillId="0" borderId="1" xfId="0" applyNumberFormat="1" applyFont="1" applyBorder="1" applyAlignment="1">
      <alignment horizontal="left" wrapText="1"/>
    </xf>
    <xf numFmtId="0" fontId="58" fillId="4" borderId="7" xfId="0" applyFont="1" applyFill="1" applyBorder="1" applyAlignment="1">
      <alignment horizontal="left" vertical="center" wrapText="1" indent="2"/>
    </xf>
    <xf numFmtId="0" fontId="59" fillId="4" borderId="7" xfId="0" applyFont="1" applyFill="1" applyBorder="1" applyAlignment="1">
      <alignment wrapText="1"/>
    </xf>
    <xf numFmtId="0" fontId="13" fillId="0" borderId="2" xfId="0" applyFont="1" applyBorder="1" applyAlignment="1">
      <alignment horizontal="left" vertical="top" wrapText="1"/>
    </xf>
    <xf numFmtId="214" fontId="9" fillId="5" borderId="1" xfId="0" applyNumberFormat="1" applyFont="1" applyFill="1" applyBorder="1" applyAlignment="1">
      <alignment horizontal="right" vertical="center" wrapText="1"/>
    </xf>
    <xf numFmtId="0" fontId="1" fillId="0" borderId="0" xfId="1">
      <alignment wrapText="1"/>
    </xf>
    <xf numFmtId="214" fontId="8" fillId="4" borderId="1" xfId="0" applyNumberFormat="1" applyFont="1" applyFill="1" applyBorder="1" applyAlignment="1">
      <alignment horizontal="right" vertical="center" wrapText="1" indent="1"/>
    </xf>
    <xf numFmtId="214" fontId="9" fillId="5" borderId="1" xfId="0" applyNumberFormat="1" applyFont="1" applyFill="1" applyBorder="1" applyAlignment="1">
      <alignment horizontal="right" vertical="center" wrapText="1" indent="1"/>
    </xf>
    <xf numFmtId="0" fontId="8" fillId="0" borderId="1" xfId="0" applyFont="1" applyBorder="1" applyAlignment="1">
      <alignment horizontal="right" vertical="center" wrapText="1" indent="1"/>
    </xf>
    <xf numFmtId="0" fontId="9" fillId="5" borderId="1" xfId="0" applyFont="1" applyFill="1" applyBorder="1" applyAlignment="1">
      <alignment horizontal="right" vertical="center" wrapText="1" indent="1"/>
    </xf>
    <xf numFmtId="214" fontId="8" fillId="0" borderId="1" xfId="0" applyNumberFormat="1" applyFont="1" applyBorder="1" applyAlignment="1">
      <alignment horizontal="right" vertical="center" wrapText="1" indent="1"/>
    </xf>
    <xf numFmtId="215" fontId="9" fillId="5" borderId="1" xfId="0" applyNumberFormat="1" applyFont="1" applyFill="1" applyBorder="1" applyAlignment="1">
      <alignment horizontal="right" vertical="center" wrapText="1"/>
    </xf>
    <xf numFmtId="216" fontId="9" fillId="5" borderId="1" xfId="0" applyNumberFormat="1" applyFont="1" applyFill="1" applyBorder="1" applyAlignment="1">
      <alignment horizontal="right" vertical="center" wrapText="1"/>
    </xf>
    <xf numFmtId="215" fontId="8" fillId="4" borderId="1" xfId="0" applyNumberFormat="1" applyFont="1" applyFill="1" applyBorder="1" applyAlignment="1">
      <alignment horizontal="right" vertical="center" wrapText="1"/>
    </xf>
    <xf numFmtId="216" fontId="8" fillId="0" borderId="1" xfId="0" applyNumberFormat="1" applyFont="1" applyBorder="1" applyAlignment="1">
      <alignment horizontal="right" vertical="center" wrapText="1"/>
    </xf>
    <xf numFmtId="0" fontId="61" fillId="4" borderId="7" xfId="0" applyFont="1" applyFill="1" applyBorder="1" applyAlignment="1">
      <alignment horizontal="left" vertical="center" wrapText="1" indent="2"/>
    </xf>
    <xf numFmtId="180" fontId="8" fillId="4" borderId="1" xfId="0" applyNumberFormat="1" applyFont="1" applyFill="1" applyBorder="1" applyAlignment="1">
      <alignment wrapText="1"/>
    </xf>
    <xf numFmtId="180" fontId="8" fillId="0" borderId="1" xfId="0" applyNumberFormat="1" applyFont="1" applyBorder="1" applyAlignment="1">
      <alignment wrapText="1"/>
    </xf>
    <xf numFmtId="0" fontId="9" fillId="3" borderId="1" xfId="0" applyFont="1" applyFill="1" applyBorder="1" applyAlignment="1">
      <alignment horizontal="left" wrapText="1"/>
    </xf>
    <xf numFmtId="218" fontId="9" fillId="3" borderId="1" xfId="0" applyNumberFormat="1" applyFont="1" applyFill="1" applyBorder="1" applyAlignment="1">
      <alignment vertical="center" wrapText="1" indent="1"/>
    </xf>
    <xf numFmtId="190" fontId="9" fillId="3" borderId="1" xfId="0" applyNumberFormat="1" applyFont="1" applyFill="1" applyBorder="1" applyAlignment="1">
      <alignment vertical="center" wrapText="1" indent="1"/>
    </xf>
    <xf numFmtId="218" fontId="9" fillId="7" borderId="1" xfId="0" applyNumberFormat="1" applyFont="1" applyFill="1" applyBorder="1" applyAlignment="1">
      <alignment vertical="center" wrapText="1" indent="1"/>
    </xf>
    <xf numFmtId="190" fontId="9" fillId="7" borderId="1" xfId="0" applyNumberFormat="1" applyFont="1" applyFill="1" applyBorder="1" applyAlignment="1">
      <alignment vertical="center" wrapText="1" indent="1"/>
    </xf>
    <xf numFmtId="167" fontId="8" fillId="0" borderId="1" xfId="0" applyNumberFormat="1" applyFont="1" applyBorder="1" applyAlignment="1">
      <alignment horizontal="left" vertical="center" wrapText="1"/>
    </xf>
    <xf numFmtId="219" fontId="8" fillId="0" borderId="1" xfId="0" applyNumberFormat="1" applyFont="1" applyBorder="1" applyAlignment="1">
      <alignment horizontal="left" vertical="center" wrapText="1"/>
    </xf>
    <xf numFmtId="220" fontId="8" fillId="0" borderId="1" xfId="0" applyNumberFormat="1" applyFont="1" applyBorder="1" applyAlignment="1">
      <alignment horizontal="left" vertical="center" wrapText="1"/>
    </xf>
    <xf numFmtId="218" fontId="9" fillId="7" borderId="1" xfId="0" applyNumberFormat="1" applyFont="1" applyFill="1" applyBorder="1" applyAlignment="1">
      <alignment vertical="center" wrapText="1"/>
    </xf>
    <xf numFmtId="190" fontId="9" fillId="7" borderId="1" xfId="0" applyNumberFormat="1" applyFont="1" applyFill="1" applyBorder="1" applyAlignment="1">
      <alignment vertical="center" wrapText="1"/>
    </xf>
    <xf numFmtId="218" fontId="9" fillId="0" borderId="1" xfId="0" applyNumberFormat="1" applyFont="1" applyBorder="1" applyAlignment="1">
      <alignment vertical="center" wrapText="1"/>
    </xf>
    <xf numFmtId="190" fontId="9" fillId="0" borderId="1" xfId="0" applyNumberFormat="1" applyFont="1" applyBorder="1" applyAlignment="1">
      <alignment vertical="center" wrapText="1"/>
    </xf>
    <xf numFmtId="219" fontId="8" fillId="4" borderId="1" xfId="0" applyNumberFormat="1" applyFont="1" applyFill="1" applyBorder="1" applyAlignment="1">
      <alignment horizontal="left" vertical="center" wrapText="1" indent="1"/>
    </xf>
    <xf numFmtId="220" fontId="8" fillId="4" borderId="1" xfId="0" applyNumberFormat="1" applyFont="1" applyFill="1" applyBorder="1" applyAlignment="1">
      <alignment horizontal="left" vertical="center" wrapText="1" indent="1"/>
    </xf>
    <xf numFmtId="220" fontId="8" fillId="4" borderId="1" xfId="0" applyNumberFormat="1" applyFont="1" applyFill="1" applyBorder="1" applyAlignment="1">
      <alignment horizontal="left" vertical="center" wrapText="1"/>
    </xf>
    <xf numFmtId="0" fontId="58" fillId="0" borderId="0" xfId="0" applyFont="1" applyAlignment="1">
      <alignment horizontal="left" vertical="center" wrapText="1" indent="2"/>
    </xf>
    <xf numFmtId="0" fontId="59" fillId="0" borderId="0" xfId="0" applyFont="1" applyAlignment="1">
      <alignment wrapText="1"/>
    </xf>
    <xf numFmtId="217" fontId="8" fillId="0" borderId="0" xfId="0" applyNumberFormat="1" applyFont="1" applyAlignment="1">
      <alignment vertical="center" wrapText="1"/>
    </xf>
    <xf numFmtId="0" fontId="8" fillId="0" borderId="0" xfId="0" applyFont="1" applyAlignment="1">
      <alignment horizontal="left" wrapText="1"/>
    </xf>
    <xf numFmtId="217" fontId="9" fillId="0" borderId="0" xfId="0" applyNumberFormat="1" applyFont="1" applyAlignment="1">
      <alignment vertical="center" wrapText="1"/>
    </xf>
    <xf numFmtId="0" fontId="1" fillId="0" borderId="0" xfId="0" applyFont="1" applyAlignment="1">
      <alignment wrapText="1"/>
    </xf>
    <xf numFmtId="0" fontId="59" fillId="0" borderId="7" xfId="0" applyFont="1" applyBorder="1" applyAlignment="1">
      <alignment wrapText="1"/>
    </xf>
    <xf numFmtId="0" fontId="58" fillId="0" borderId="7" xfId="0" applyFont="1" applyBorder="1" applyAlignment="1">
      <alignment horizontal="left" vertical="center" wrapText="1" indent="2"/>
    </xf>
    <xf numFmtId="0" fontId="51" fillId="0" borderId="0" xfId="7"/>
    <xf numFmtId="0" fontId="62" fillId="0" borderId="2" xfId="7" applyFont="1" applyBorder="1" applyAlignment="1">
      <alignment wrapText="1"/>
    </xf>
    <xf numFmtId="174" fontId="47" fillId="7" borderId="1" xfId="7" applyNumberFormat="1" applyFont="1" applyFill="1" applyBorder="1" applyAlignment="1">
      <alignment wrapText="1"/>
    </xf>
    <xf numFmtId="0" fontId="47" fillId="7" borderId="1" xfId="7" applyFont="1" applyFill="1" applyBorder="1" applyAlignment="1">
      <alignment wrapText="1"/>
    </xf>
    <xf numFmtId="0" fontId="47" fillId="0" borderId="1" xfId="7" applyFont="1" applyBorder="1" applyAlignment="1">
      <alignment vertical="center" wrapText="1"/>
    </xf>
    <xf numFmtId="0" fontId="63" fillId="0" borderId="2" xfId="7" applyFont="1" applyBorder="1" applyAlignment="1">
      <alignment horizontal="left" vertical="top" wrapText="1"/>
    </xf>
    <xf numFmtId="174" fontId="45" fillId="0" borderId="1" xfId="7" applyNumberFormat="1" applyFont="1" applyBorder="1" applyAlignment="1">
      <alignment wrapText="1"/>
    </xf>
    <xf numFmtId="0" fontId="45" fillId="4" borderId="1" xfId="7" applyFont="1" applyFill="1" applyBorder="1" applyAlignment="1">
      <alignment horizontal="left" wrapText="1" indent="2"/>
    </xf>
    <xf numFmtId="0" fontId="47" fillId="12" borderId="1" xfId="7" applyFont="1" applyFill="1" applyBorder="1" applyAlignment="1">
      <alignment wrapText="1"/>
    </xf>
    <xf numFmtId="0" fontId="47" fillId="0" borderId="1" xfId="7" applyFont="1" applyBorder="1" applyAlignment="1">
      <alignment wrapText="1"/>
    </xf>
    <xf numFmtId="0" fontId="47" fillId="5" borderId="1" xfId="7" applyFont="1" applyFill="1" applyBorder="1" applyAlignment="1">
      <alignment wrapText="1"/>
    </xf>
    <xf numFmtId="164" fontId="45" fillId="0" borderId="1" xfId="7" applyNumberFormat="1" applyFont="1" applyBorder="1" applyAlignment="1">
      <alignment wrapText="1"/>
    </xf>
    <xf numFmtId="164" fontId="47" fillId="7" borderId="1" xfId="7" applyNumberFormat="1" applyFont="1" applyFill="1" applyBorder="1" applyAlignment="1">
      <alignment wrapText="1"/>
    </xf>
    <xf numFmtId="174" fontId="47" fillId="0" borderId="1" xfId="7" applyNumberFormat="1" applyFont="1" applyBorder="1" applyAlignment="1">
      <alignment wrapText="1"/>
    </xf>
    <xf numFmtId="0" fontId="45" fillId="0" borderId="1" xfId="7" applyFont="1" applyBorder="1" applyAlignment="1">
      <alignment horizontal="right" wrapText="1"/>
    </xf>
    <xf numFmtId="0" fontId="47" fillId="7" borderId="1" xfId="7" applyFont="1" applyFill="1" applyBorder="1" applyAlignment="1">
      <alignment horizontal="right" wrapText="1"/>
    </xf>
    <xf numFmtId="0" fontId="62" fillId="0" borderId="0" xfId="8">
      <alignment wrapText="1"/>
    </xf>
    <xf numFmtId="221" fontId="9" fillId="0" borderId="1" xfId="0" applyNumberFormat="1" applyFont="1" applyBorder="1" applyAlignment="1">
      <alignment wrapText="1"/>
    </xf>
    <xf numFmtId="221" fontId="8" fillId="0" borderId="1" xfId="0" applyNumberFormat="1" applyFont="1" applyBorder="1" applyAlignment="1">
      <alignment wrapText="1"/>
    </xf>
    <xf numFmtId="167" fontId="8" fillId="0" borderId="1" xfId="0" applyNumberFormat="1" applyFont="1" applyBorder="1" applyAlignment="1">
      <alignment vertical="center" wrapText="1"/>
    </xf>
    <xf numFmtId="0" fontId="8" fillId="4" borderId="1" xfId="0" applyFont="1" applyFill="1" applyBorder="1" applyAlignment="1">
      <alignment vertical="center" wrapText="1" indent="1"/>
    </xf>
    <xf numFmtId="0" fontId="8" fillId="0" borderId="1" xfId="0" applyFont="1" applyBorder="1" applyAlignment="1">
      <alignment vertical="center" wrapText="1" indent="1"/>
    </xf>
    <xf numFmtId="205" fontId="8" fillId="0" borderId="1" xfId="0" applyNumberFormat="1" applyFont="1" applyBorder="1" applyAlignment="1">
      <alignment vertical="center" wrapText="1"/>
    </xf>
    <xf numFmtId="0" fontId="8" fillId="0" borderId="0" xfId="0" applyFont="1" applyAlignment="1">
      <alignment horizontal="right" wrapText="1"/>
    </xf>
    <xf numFmtId="222" fontId="8" fillId="0" borderId="1" xfId="0" applyNumberFormat="1" applyFont="1" applyBorder="1" applyAlignment="1">
      <alignment wrapText="1"/>
    </xf>
    <xf numFmtId="222" fontId="9" fillId="3" borderId="1" xfId="0" applyNumberFormat="1" applyFont="1" applyFill="1" applyBorder="1" applyAlignment="1">
      <alignment wrapText="1"/>
    </xf>
    <xf numFmtId="209" fontId="9" fillId="4" borderId="1" xfId="0" applyNumberFormat="1" applyFont="1" applyFill="1" applyBorder="1" applyAlignment="1">
      <alignment horizontal="right" vertical="center" wrapText="1" indent="1"/>
    </xf>
    <xf numFmtId="221" fontId="9" fillId="3" borderId="1" xfId="0" applyNumberFormat="1" applyFont="1" applyFill="1" applyBorder="1" applyAlignment="1">
      <alignment wrapText="1"/>
    </xf>
    <xf numFmtId="205" fontId="9" fillId="0" borderId="1" xfId="0" applyNumberFormat="1" applyFont="1" applyBorder="1" applyAlignment="1">
      <alignment vertical="center" wrapText="1"/>
    </xf>
    <xf numFmtId="222" fontId="9" fillId="7" borderId="1" xfId="0" applyNumberFormat="1" applyFont="1" applyFill="1" applyBorder="1" applyAlignment="1">
      <alignment wrapText="1"/>
    </xf>
    <xf numFmtId="218" fontId="8" fillId="0" borderId="1" xfId="0" applyNumberFormat="1" applyFont="1" applyBorder="1" applyAlignment="1">
      <alignment vertical="center" wrapText="1"/>
    </xf>
    <xf numFmtId="0" fontId="59" fillId="4" borderId="0" xfId="0" applyFont="1" applyFill="1" applyAlignment="1">
      <alignment wrapText="1"/>
    </xf>
    <xf numFmtId="205" fontId="8" fillId="4" borderId="1" xfId="0" applyNumberFormat="1" applyFont="1" applyFill="1" applyBorder="1" applyAlignment="1">
      <alignment horizontal="right" vertical="center" wrapText="1"/>
    </xf>
    <xf numFmtId="205" fontId="9" fillId="5" borderId="1" xfId="0" applyNumberFormat="1" applyFont="1" applyFill="1" applyBorder="1" applyAlignment="1">
      <alignment horizontal="right" vertical="center" wrapText="1"/>
    </xf>
    <xf numFmtId="0" fontId="8" fillId="0" borderId="0" xfId="0" applyFont="1" applyAlignment="1">
      <alignment horizontal="left" vertical="top" wrapText="1"/>
    </xf>
    <xf numFmtId="218" fontId="8" fillId="0" borderId="1" xfId="0" applyNumberFormat="1" applyFont="1" applyBorder="1" applyAlignment="1">
      <alignment vertical="center" wrapText="1" indent="1"/>
    </xf>
    <xf numFmtId="222" fontId="8" fillId="0" borderId="1" xfId="0" applyNumberFormat="1" applyFont="1" applyBorder="1" applyAlignment="1">
      <alignment horizontal="right" wrapText="1"/>
    </xf>
    <xf numFmtId="219" fontId="8" fillId="0" borderId="1" xfId="0" applyNumberFormat="1" applyFont="1" applyBorder="1" applyAlignment="1">
      <alignment horizontal="right" vertical="center" wrapText="1"/>
    </xf>
    <xf numFmtId="167" fontId="8" fillId="0" borderId="1" xfId="0" applyNumberFormat="1" applyFont="1" applyBorder="1" applyAlignment="1">
      <alignment horizontal="right" vertical="center" wrapText="1"/>
    </xf>
    <xf numFmtId="222" fontId="9" fillId="0" borderId="1" xfId="0" applyNumberFormat="1" applyFont="1" applyBorder="1" applyAlignment="1">
      <alignment horizontal="right" wrapText="1"/>
    </xf>
    <xf numFmtId="218" fontId="9" fillId="0" borderId="1" xfId="0" applyNumberFormat="1" applyFont="1" applyBorder="1" applyAlignment="1">
      <alignment horizontal="right" wrapText="1"/>
    </xf>
    <xf numFmtId="218" fontId="9" fillId="7" borderId="1" xfId="0" applyNumberFormat="1" applyFont="1" applyFill="1" applyBorder="1" applyAlignment="1">
      <alignment wrapText="1"/>
    </xf>
    <xf numFmtId="218" fontId="9" fillId="3" borderId="1" xfId="0" applyNumberFormat="1" applyFont="1" applyFill="1" applyBorder="1" applyAlignment="1">
      <alignment wrapText="1"/>
    </xf>
    <xf numFmtId="0" fontId="45" fillId="0" borderId="1" xfId="0" applyFont="1" applyBorder="1" applyAlignment="1">
      <alignment horizontal="right" vertical="center" wrapText="1"/>
    </xf>
    <xf numFmtId="219" fontId="8" fillId="0" borderId="1" xfId="0" applyNumberFormat="1" applyFont="1" applyBorder="1" applyAlignment="1">
      <alignment vertical="center" wrapText="1"/>
    </xf>
    <xf numFmtId="0" fontId="61" fillId="0" borderId="7" xfId="0" applyFont="1" applyBorder="1" applyAlignment="1">
      <alignment horizontal="left" vertical="center" wrapText="1" indent="2"/>
    </xf>
    <xf numFmtId="0" fontId="9" fillId="0" borderId="0" xfId="0" applyFont="1" applyAlignment="1">
      <alignment vertical="center" wrapText="1"/>
    </xf>
    <xf numFmtId="223" fontId="8" fillId="0" borderId="1" xfId="0" applyNumberFormat="1" applyFont="1" applyBorder="1" applyAlignment="1">
      <alignment horizontal="right" vertical="center" wrapText="1"/>
    </xf>
    <xf numFmtId="211" fontId="8" fillId="0" borderId="1" xfId="0" applyNumberFormat="1" applyFont="1" applyBorder="1" applyAlignment="1">
      <alignment horizontal="right" vertical="center" wrapText="1"/>
    </xf>
    <xf numFmtId="224" fontId="8" fillId="0" borderId="1" xfId="0" applyNumberFormat="1" applyFont="1" applyBorder="1" applyAlignment="1">
      <alignment horizontal="right" vertical="center" wrapText="1"/>
    </xf>
    <xf numFmtId="223" fontId="9" fillId="0" borderId="1" xfId="0" applyNumberFormat="1" applyFont="1" applyBorder="1" applyAlignment="1">
      <alignment horizontal="right" vertical="center" wrapText="1"/>
    </xf>
    <xf numFmtId="211" fontId="9" fillId="0" borderId="1" xfId="0" applyNumberFormat="1" applyFont="1" applyBorder="1" applyAlignment="1">
      <alignment horizontal="right" vertical="center" wrapText="1"/>
    </xf>
    <xf numFmtId="222" fontId="9" fillId="13" borderId="1" xfId="0" applyNumberFormat="1" applyFont="1" applyFill="1" applyBorder="1" applyAlignment="1">
      <alignment wrapText="1"/>
    </xf>
    <xf numFmtId="209" fontId="9" fillId="13" borderId="1" xfId="0" applyNumberFormat="1" applyFont="1" applyFill="1" applyBorder="1" applyAlignment="1">
      <alignment horizontal="right" vertical="center" wrapText="1" indent="1"/>
    </xf>
    <xf numFmtId="0" fontId="66" fillId="0" borderId="0" xfId="0" applyFont="1" applyAlignment="1">
      <alignment wrapText="1"/>
    </xf>
    <xf numFmtId="0" fontId="45" fillId="0" borderId="0" xfId="0" applyFont="1" applyAlignment="1">
      <alignment wrapText="1"/>
    </xf>
    <xf numFmtId="0" fontId="44" fillId="0" borderId="0" xfId="0" applyFont="1"/>
    <xf numFmtId="0" fontId="54" fillId="0" borderId="0" xfId="6" applyFont="1" applyAlignment="1">
      <alignment wrapText="1"/>
    </xf>
    <xf numFmtId="0" fontId="54" fillId="0" borderId="0" xfId="6" applyFont="1" applyAlignment="1"/>
    <xf numFmtId="0" fontId="54" fillId="0" borderId="0" xfId="6" applyFont="1" applyAlignment="1">
      <alignment horizontal="left" wrapText="1"/>
    </xf>
    <xf numFmtId="0" fontId="47" fillId="0" borderId="0" xfId="0" applyFont="1" applyAlignment="1">
      <alignment wrapText="1"/>
    </xf>
    <xf numFmtId="0" fontId="7" fillId="0" borderId="0" xfId="0" applyFont="1" applyAlignment="1">
      <alignment horizontal="left" wrapText="1"/>
    </xf>
    <xf numFmtId="0" fontId="8" fillId="0" borderId="0" xfId="0" applyFont="1" applyAlignment="1">
      <alignment wrapText="1"/>
    </xf>
    <xf numFmtId="0" fontId="0" fillId="0" borderId="0" xfId="0"/>
    <xf numFmtId="0" fontId="9" fillId="0" borderId="0" xfId="0" applyFont="1" applyAlignment="1">
      <alignment wrapText="1"/>
    </xf>
    <xf numFmtId="0" fontId="8" fillId="0" borderId="0" xfId="0" applyFont="1" applyAlignment="1">
      <alignment horizontal="center" vertical="center" wrapText="1"/>
    </xf>
    <xf numFmtId="0" fontId="8" fillId="0" borderId="0" xfId="0" applyFont="1" applyAlignment="1">
      <alignment vertical="center" wrapText="1"/>
    </xf>
    <xf numFmtId="0" fontId="11" fillId="2" borderId="0" xfId="0" applyFont="1" applyFill="1" applyAlignment="1">
      <alignment wrapText="1"/>
    </xf>
    <xf numFmtId="0" fontId="55" fillId="0" borderId="0" xfId="6" applyFont="1" applyAlignment="1">
      <alignment horizontal="left" wrapText="1"/>
    </xf>
    <xf numFmtId="0" fontId="45" fillId="0" borderId="0" xfId="0" applyFont="1" applyAlignment="1">
      <alignment vertical="center" wrapText="1"/>
    </xf>
    <xf numFmtId="0" fontId="54" fillId="0" borderId="0" xfId="6" applyFont="1" applyFill="1" applyAlignment="1"/>
    <xf numFmtId="0" fontId="8" fillId="0" borderId="0" xfId="0" applyFont="1" applyAlignment="1">
      <alignment horizontal="left" vertical="center" wrapText="1"/>
    </xf>
    <xf numFmtId="0" fontId="55" fillId="0" borderId="0" xfId="6" applyFont="1" applyAlignment="1">
      <alignment wrapText="1"/>
    </xf>
    <xf numFmtId="0" fontId="55" fillId="0" borderId="0" xfId="6" applyFont="1" applyAlignment="1"/>
    <xf numFmtId="0" fontId="44" fillId="0" borderId="0" xfId="0" applyFont="1" applyAlignment="1">
      <alignment horizontal="left" vertical="center"/>
    </xf>
    <xf numFmtId="0" fontId="7" fillId="0" borderId="0" xfId="0" applyFont="1" applyAlignment="1">
      <alignment wrapText="1"/>
    </xf>
    <xf numFmtId="0" fontId="10" fillId="0" borderId="0" xfId="0" applyFont="1" applyAlignment="1">
      <alignment wrapText="1"/>
    </xf>
    <xf numFmtId="0" fontId="13" fillId="0" borderId="3" xfId="0" applyFont="1" applyBorder="1" applyAlignment="1">
      <alignment wrapText="1"/>
    </xf>
    <xf numFmtId="0" fontId="9" fillId="5" borderId="1" xfId="0" applyFont="1" applyFill="1" applyBorder="1" applyAlignment="1">
      <alignment horizontal="left" wrapText="1" indent="1"/>
    </xf>
    <xf numFmtId="0" fontId="9" fillId="4" borderId="4"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4" borderId="9" xfId="0" applyFont="1" applyFill="1" applyBorder="1" applyAlignment="1">
      <alignment horizontal="left" vertical="center" wrapText="1"/>
    </xf>
    <xf numFmtId="0" fontId="9" fillId="5" borderId="4" xfId="0" applyFont="1" applyFill="1" applyBorder="1" applyAlignment="1">
      <alignment horizontal="left" vertical="center" wrapText="1" indent="1"/>
    </xf>
    <xf numFmtId="0" fontId="9" fillId="5" borderId="8" xfId="0" applyFont="1" applyFill="1" applyBorder="1" applyAlignment="1">
      <alignment horizontal="left" vertical="center" wrapText="1" indent="1"/>
    </xf>
    <xf numFmtId="0" fontId="9" fillId="5" borderId="5" xfId="0" applyFont="1" applyFill="1" applyBorder="1" applyAlignment="1">
      <alignment horizontal="left" vertical="center" wrapText="1" indent="1"/>
    </xf>
    <xf numFmtId="0" fontId="9" fillId="5" borderId="1" xfId="0" applyFont="1" applyFill="1" applyBorder="1" applyAlignment="1">
      <alignment horizontal="left" vertical="center" wrapText="1" indent="1"/>
    </xf>
    <xf numFmtId="0" fontId="48" fillId="2" borderId="0" xfId="0" applyFont="1" applyFill="1" applyAlignment="1">
      <alignment wrapText="1"/>
    </xf>
    <xf numFmtId="0" fontId="13" fillId="4" borderId="3" xfId="0" applyFont="1" applyFill="1" applyBorder="1" applyAlignment="1">
      <alignment wrapText="1"/>
    </xf>
    <xf numFmtId="0" fontId="9" fillId="4" borderId="1" xfId="0" applyFont="1" applyFill="1" applyBorder="1" applyAlignment="1">
      <alignment horizontal="right" wrapText="1"/>
    </xf>
    <xf numFmtId="0" fontId="13" fillId="0" borderId="3" xfId="0" applyFont="1" applyBorder="1" applyAlignment="1">
      <alignment horizontal="left" wrapText="1"/>
    </xf>
    <xf numFmtId="0" fontId="8" fillId="0" borderId="3" xfId="0" applyFont="1" applyBorder="1" applyAlignment="1">
      <alignment wrapText="1"/>
    </xf>
    <xf numFmtId="0" fontId="8" fillId="0" borderId="4" xfId="0" applyFont="1" applyBorder="1" applyAlignment="1">
      <alignment wrapText="1"/>
    </xf>
    <xf numFmtId="0" fontId="8" fillId="0" borderId="8" xfId="0" applyFont="1" applyBorder="1" applyAlignment="1">
      <alignment wrapText="1"/>
    </xf>
    <xf numFmtId="0" fontId="8" fillId="0" borderId="5" xfId="0" applyFont="1" applyBorder="1" applyAlignment="1">
      <alignment wrapText="1"/>
    </xf>
    <xf numFmtId="0" fontId="8" fillId="0" borderId="3" xfId="0" applyFont="1" applyBorder="1" applyAlignment="1">
      <alignment vertical="center" wrapText="1"/>
    </xf>
    <xf numFmtId="0" fontId="9" fillId="5" borderId="1" xfId="0" applyFont="1" applyFill="1" applyBorder="1" applyAlignment="1">
      <alignment wrapText="1"/>
    </xf>
    <xf numFmtId="0" fontId="9" fillId="4" borderId="1" xfId="0" applyFont="1" applyFill="1" applyBorder="1" applyAlignment="1">
      <alignment horizontal="left" wrapText="1"/>
    </xf>
    <xf numFmtId="0" fontId="9" fillId="4" borderId="4" xfId="0" applyFont="1" applyFill="1" applyBorder="1" applyAlignment="1">
      <alignment horizontal="center" wrapText="1"/>
    </xf>
    <xf numFmtId="0" fontId="9" fillId="4" borderId="8" xfId="0" applyFont="1" applyFill="1" applyBorder="1" applyAlignment="1">
      <alignment horizontal="center" wrapText="1"/>
    </xf>
    <xf numFmtId="0" fontId="9" fillId="4" borderId="5" xfId="0" applyFont="1" applyFill="1" applyBorder="1" applyAlignment="1">
      <alignment horizontal="center" wrapText="1"/>
    </xf>
    <xf numFmtId="0" fontId="49" fillId="2" borderId="0" xfId="0" applyFont="1" applyFill="1" applyAlignment="1">
      <alignment wrapText="1"/>
    </xf>
    <xf numFmtId="0" fontId="9" fillId="6" borderId="4" xfId="0" applyFont="1" applyFill="1" applyBorder="1" applyAlignment="1">
      <alignment wrapText="1"/>
    </xf>
    <xf numFmtId="0" fontId="9" fillId="6" borderId="8" xfId="0" applyFont="1" applyFill="1" applyBorder="1" applyAlignment="1">
      <alignment wrapText="1"/>
    </xf>
    <xf numFmtId="0" fontId="9" fillId="6" borderId="5" xfId="0" applyFont="1" applyFill="1" applyBorder="1" applyAlignment="1">
      <alignment wrapText="1"/>
    </xf>
    <xf numFmtId="0" fontId="8" fillId="4" borderId="1" xfId="0" applyFont="1" applyFill="1" applyBorder="1" applyAlignment="1">
      <alignment horizontal="left" vertical="center" wrapText="1"/>
    </xf>
    <xf numFmtId="0" fontId="8" fillId="4" borderId="1" xfId="0" applyFont="1" applyFill="1" applyBorder="1" applyAlignment="1">
      <alignment vertical="center" wrapText="1"/>
    </xf>
    <xf numFmtId="0" fontId="13" fillId="0" borderId="3" xfId="0" applyFont="1" applyBorder="1" applyAlignment="1">
      <alignment horizontal="left" vertical="top" wrapText="1"/>
    </xf>
    <xf numFmtId="0" fontId="8" fillId="0" borderId="10" xfId="0" applyFont="1" applyBorder="1" applyAlignment="1">
      <alignment wrapText="1"/>
    </xf>
    <xf numFmtId="0" fontId="8" fillId="0" borderId="11" xfId="0" applyFont="1" applyBorder="1" applyAlignment="1">
      <alignment wrapText="1"/>
    </xf>
    <xf numFmtId="0" fontId="8" fillId="0" borderId="2" xfId="0" applyFont="1" applyBorder="1" applyAlignment="1">
      <alignment wrapText="1"/>
    </xf>
    <xf numFmtId="0" fontId="8" fillId="0" borderId="12" xfId="0" applyFont="1" applyBorder="1" applyAlignment="1">
      <alignment wrapText="1"/>
    </xf>
    <xf numFmtId="0" fontId="8" fillId="0" borderId="13" xfId="0" applyFont="1" applyBorder="1" applyAlignment="1">
      <alignment wrapText="1"/>
    </xf>
    <xf numFmtId="0" fontId="8" fillId="0" borderId="7" xfId="0" applyFont="1" applyBorder="1" applyAlignment="1">
      <alignment wrapText="1"/>
    </xf>
    <xf numFmtId="0" fontId="8" fillId="0" borderId="14" xfId="0" applyFont="1" applyBorder="1" applyAlignment="1">
      <alignment wrapText="1"/>
    </xf>
    <xf numFmtId="0" fontId="9" fillId="5" borderId="4" xfId="0" applyFont="1" applyFill="1" applyBorder="1" applyAlignment="1">
      <alignment horizontal="left" wrapText="1"/>
    </xf>
    <xf numFmtId="0" fontId="9" fillId="5" borderId="8" xfId="0" applyFont="1" applyFill="1" applyBorder="1" applyAlignment="1">
      <alignment horizontal="left" wrapText="1"/>
    </xf>
    <xf numFmtId="0" fontId="9" fillId="5" borderId="5" xfId="0" applyFont="1" applyFill="1" applyBorder="1" applyAlignment="1">
      <alignment horizontal="left" wrapText="1"/>
    </xf>
    <xf numFmtId="0" fontId="8" fillId="0" borderId="4" xfId="0" applyFont="1" applyBorder="1" applyAlignment="1">
      <alignment horizontal="left" wrapText="1"/>
    </xf>
    <xf numFmtId="0" fontId="8" fillId="0" borderId="8" xfId="0" applyFont="1" applyBorder="1" applyAlignment="1">
      <alignment horizontal="left" wrapText="1"/>
    </xf>
    <xf numFmtId="0" fontId="8" fillId="0" borderId="5" xfId="0" applyFont="1" applyBorder="1" applyAlignment="1">
      <alignment horizontal="left" wrapText="1"/>
    </xf>
    <xf numFmtId="0" fontId="8" fillId="0" borderId="1" xfId="0" applyFont="1" applyBorder="1" applyAlignment="1">
      <alignment horizontal="left" wrapText="1"/>
    </xf>
    <xf numFmtId="0" fontId="8" fillId="0" borderId="6" xfId="0" applyFont="1" applyBorder="1" applyAlignment="1">
      <alignment horizontal="left" vertical="center" wrapText="1"/>
    </xf>
    <xf numFmtId="0" fontId="8" fillId="0" borderId="15" xfId="0" applyFont="1" applyBorder="1" applyAlignment="1">
      <alignment horizontal="left" vertical="center" wrapText="1"/>
    </xf>
    <xf numFmtId="0" fontId="8" fillId="0" borderId="9" xfId="0" applyFont="1" applyBorder="1" applyAlignment="1">
      <alignment horizontal="left" vertical="center" wrapText="1"/>
    </xf>
    <xf numFmtId="0" fontId="8" fillId="0" borderId="1" xfId="0" applyFont="1" applyBorder="1" applyAlignment="1">
      <alignment vertical="center" wrapText="1"/>
    </xf>
    <xf numFmtId="0" fontId="45" fillId="0" borderId="6" xfId="0" applyFont="1" applyBorder="1" applyAlignment="1">
      <alignment horizontal="left" vertical="center" wrapText="1"/>
    </xf>
    <xf numFmtId="0" fontId="9" fillId="0" borderId="1" xfId="0" applyFont="1" applyBorder="1" applyAlignment="1">
      <alignment horizontal="left" wrapText="1"/>
    </xf>
    <xf numFmtId="0" fontId="9" fillId="5" borderId="4" xfId="0" applyFont="1" applyFill="1" applyBorder="1" applyAlignment="1">
      <alignment wrapText="1"/>
    </xf>
    <xf numFmtId="0" fontId="9" fillId="5" borderId="8" xfId="0" applyFont="1" applyFill="1" applyBorder="1" applyAlignment="1">
      <alignment wrapText="1"/>
    </xf>
    <xf numFmtId="0" fontId="9" fillId="5" borderId="5" xfId="0" applyFont="1" applyFill="1" applyBorder="1" applyAlignment="1">
      <alignment wrapText="1"/>
    </xf>
    <xf numFmtId="0" fontId="9" fillId="4" borderId="4" xfId="0" applyFont="1" applyFill="1" applyBorder="1" applyAlignment="1">
      <alignment horizontal="right" vertical="center" wrapText="1"/>
    </xf>
    <xf numFmtId="0" fontId="9" fillId="4" borderId="5" xfId="0" applyFont="1" applyFill="1" applyBorder="1" applyAlignment="1">
      <alignment horizontal="right" vertical="center" wrapText="1"/>
    </xf>
    <xf numFmtId="0" fontId="13" fillId="0" borderId="3" xfId="0" applyFont="1" applyBorder="1" applyAlignment="1">
      <alignment vertical="top" wrapText="1"/>
    </xf>
    <xf numFmtId="0" fontId="9" fillId="7" borderId="1" xfId="0" applyFont="1" applyFill="1" applyBorder="1" applyAlignment="1">
      <alignment horizontal="left" vertical="center" wrapText="1" indent="1"/>
    </xf>
    <xf numFmtId="0" fontId="9" fillId="4" borderId="15" xfId="0" applyFont="1" applyFill="1" applyBorder="1" applyAlignment="1">
      <alignment horizontal="left" vertical="center" wrapText="1"/>
    </xf>
    <xf numFmtId="0" fontId="48" fillId="2" borderId="0" xfId="0" applyFont="1" applyFill="1" applyAlignment="1">
      <alignment horizontal="left" wrapText="1"/>
    </xf>
    <xf numFmtId="0" fontId="9" fillId="4" borderId="0" xfId="0" applyFont="1" applyFill="1" applyAlignment="1">
      <alignment horizontal="left" vertical="center" wrapText="1"/>
    </xf>
    <xf numFmtId="0" fontId="8" fillId="4" borderId="9" xfId="0" applyFont="1" applyFill="1" applyBorder="1" applyAlignment="1">
      <alignment vertical="center" wrapText="1"/>
    </xf>
    <xf numFmtId="0" fontId="17" fillId="2" borderId="0" xfId="0" applyFont="1" applyFill="1" applyAlignment="1">
      <alignment wrapText="1"/>
    </xf>
    <xf numFmtId="0" fontId="8" fillId="4" borderId="15" xfId="0" applyFont="1" applyFill="1" applyBorder="1" applyAlignment="1">
      <alignment vertical="center" wrapText="1"/>
    </xf>
    <xf numFmtId="0" fontId="13" fillId="4" borderId="3" xfId="0" applyFont="1" applyFill="1" applyBorder="1" applyAlignment="1">
      <alignment horizontal="left" wrapText="1"/>
    </xf>
    <xf numFmtId="0" fontId="13" fillId="0" borderId="0" xfId="0" applyFont="1" applyAlignment="1">
      <alignment wrapText="1"/>
    </xf>
    <xf numFmtId="0" fontId="9" fillId="4" borderId="6" xfId="0" applyFont="1" applyFill="1" applyBorder="1" applyAlignment="1">
      <alignment vertical="center" wrapText="1"/>
    </xf>
    <xf numFmtId="0" fontId="9" fillId="4" borderId="15" xfId="0" applyFont="1" applyFill="1" applyBorder="1" applyAlignment="1">
      <alignment vertical="center" wrapText="1"/>
    </xf>
    <xf numFmtId="0" fontId="9" fillId="4" borderId="9" xfId="0" applyFont="1" applyFill="1" applyBorder="1" applyAlignment="1">
      <alignment vertical="center" wrapText="1"/>
    </xf>
    <xf numFmtId="0" fontId="9" fillId="4" borderId="1" xfId="0" applyFont="1" applyFill="1" applyBorder="1" applyAlignment="1">
      <alignment vertical="center" wrapText="1"/>
    </xf>
    <xf numFmtId="0" fontId="13" fillId="4" borderId="0" xfId="0" applyFont="1" applyFill="1" applyAlignment="1">
      <alignment horizontal="left" wrapText="1"/>
    </xf>
    <xf numFmtId="0" fontId="9" fillId="0" borderId="1" xfId="0" applyFont="1" applyBorder="1" applyAlignment="1">
      <alignment horizontal="left" vertical="center" wrapText="1"/>
    </xf>
    <xf numFmtId="0" fontId="8" fillId="4" borderId="4" xfId="0" applyFont="1" applyFill="1" applyBorder="1" applyAlignment="1">
      <alignment horizontal="left" vertical="center" wrapText="1" indent="4"/>
    </xf>
    <xf numFmtId="0" fontId="8" fillId="4" borderId="5" xfId="0" applyFont="1" applyFill="1" applyBorder="1" applyAlignment="1">
      <alignment horizontal="left" vertical="center" wrapText="1" indent="4"/>
    </xf>
    <xf numFmtId="0" fontId="8" fillId="4" borderId="1" xfId="0" applyFont="1" applyFill="1" applyBorder="1" applyAlignment="1">
      <alignment horizontal="left" vertical="center" wrapText="1" indent="4"/>
    </xf>
    <xf numFmtId="0" fontId="9" fillId="3" borderId="1" xfId="0" applyFont="1" applyFill="1" applyBorder="1" applyAlignment="1">
      <alignment vertical="center" wrapText="1"/>
    </xf>
    <xf numFmtId="0" fontId="9" fillId="0" borderId="4" xfId="0" applyFont="1" applyBorder="1" applyAlignment="1">
      <alignment horizontal="left" vertical="center" wrapText="1" indent="1"/>
    </xf>
    <xf numFmtId="0" fontId="9" fillId="0" borderId="8" xfId="0" applyFont="1" applyBorder="1" applyAlignment="1">
      <alignment horizontal="left" vertical="center" wrapText="1" indent="1"/>
    </xf>
    <xf numFmtId="0" fontId="9" fillId="0" borderId="5" xfId="0" applyFont="1" applyBorder="1" applyAlignment="1">
      <alignment horizontal="left" vertical="center" wrapText="1" indent="1"/>
    </xf>
    <xf numFmtId="0" fontId="9" fillId="7" borderId="1" xfId="0" applyFont="1" applyFill="1" applyBorder="1" applyAlignment="1">
      <alignment vertical="center" wrapText="1"/>
    </xf>
    <xf numFmtId="0" fontId="9" fillId="0" borderId="1" xfId="0" applyFont="1" applyBorder="1" applyAlignment="1">
      <alignment horizontal="left" vertical="center" wrapText="1" indent="1"/>
    </xf>
    <xf numFmtId="0" fontId="9" fillId="3" borderId="1" xfId="0" applyFont="1" applyFill="1" applyBorder="1" applyAlignment="1">
      <alignment horizontal="left" wrapText="1"/>
    </xf>
    <xf numFmtId="0" fontId="9" fillId="0" borderId="1" xfId="0" applyFont="1" applyBorder="1" applyAlignment="1">
      <alignment horizontal="left" vertical="center" wrapText="1" indent="2"/>
    </xf>
    <xf numFmtId="0" fontId="9" fillId="0" borderId="6" xfId="0" applyFont="1" applyBorder="1" applyAlignment="1">
      <alignment wrapText="1"/>
    </xf>
    <xf numFmtId="0" fontId="9" fillId="0" borderId="15" xfId="0" applyFont="1" applyBorder="1" applyAlignment="1">
      <alignment wrapText="1"/>
    </xf>
    <xf numFmtId="0" fontId="9" fillId="0" borderId="9" xfId="0" applyFont="1" applyBorder="1" applyAlignment="1">
      <alignment wrapText="1"/>
    </xf>
    <xf numFmtId="0" fontId="9" fillId="0" borderId="4" xfId="0" applyFont="1" applyBorder="1" applyAlignment="1">
      <alignment horizontal="center" wrapText="1"/>
    </xf>
    <xf numFmtId="0" fontId="9" fillId="0" borderId="8" xfId="0" applyFont="1" applyBorder="1" applyAlignment="1">
      <alignment horizontal="center" wrapText="1"/>
    </xf>
    <xf numFmtId="0" fontId="9" fillId="0" borderId="5" xfId="0" applyFont="1" applyBorder="1" applyAlignment="1">
      <alignment horizontal="center" wrapText="1"/>
    </xf>
    <xf numFmtId="0" fontId="9" fillId="0" borderId="1" xfId="0" applyFont="1" applyBorder="1" applyAlignment="1">
      <alignment wrapText="1"/>
    </xf>
    <xf numFmtId="0" fontId="9" fillId="5" borderId="6" xfId="0" applyFont="1" applyFill="1" applyBorder="1" applyAlignment="1">
      <alignment wrapText="1"/>
    </xf>
    <xf numFmtId="0" fontId="9" fillId="5" borderId="9" xfId="0" applyFont="1" applyFill="1" applyBorder="1" applyAlignment="1">
      <alignment wrapText="1"/>
    </xf>
    <xf numFmtId="0" fontId="13" fillId="0" borderId="0" xfId="0" applyFont="1" applyAlignment="1">
      <alignment horizontal="left" wrapText="1"/>
    </xf>
    <xf numFmtId="0" fontId="8" fillId="0" borderId="1" xfId="0" applyFont="1" applyBorder="1" applyAlignment="1">
      <alignment horizontal="left" vertical="center" wrapText="1" indent="4"/>
    </xf>
    <xf numFmtId="0" fontId="65" fillId="0" borderId="7" xfId="0" applyFont="1" applyBorder="1" applyAlignment="1">
      <alignment horizontal="left" wrapText="1"/>
    </xf>
    <xf numFmtId="0" fontId="8" fillId="5" borderId="1" xfId="0" applyFont="1" applyFill="1" applyBorder="1" applyAlignment="1">
      <alignment horizontal="center" wrapText="1"/>
    </xf>
    <xf numFmtId="0" fontId="8" fillId="5" borderId="4" xfId="0" applyFont="1" applyFill="1" applyBorder="1" applyAlignment="1">
      <alignment horizontal="center" wrapText="1"/>
    </xf>
    <xf numFmtId="0" fontId="8" fillId="5" borderId="5" xfId="0" applyFont="1" applyFill="1" applyBorder="1" applyAlignment="1">
      <alignment horizontal="center" wrapText="1"/>
    </xf>
    <xf numFmtId="0" fontId="9" fillId="7" borderId="4" xfId="0" applyFont="1" applyFill="1" applyBorder="1" applyAlignment="1">
      <alignment wrapText="1"/>
    </xf>
    <xf numFmtId="0" fontId="9" fillId="7" borderId="8" xfId="0" applyFont="1" applyFill="1" applyBorder="1" applyAlignment="1">
      <alignment wrapText="1"/>
    </xf>
    <xf numFmtId="0" fontId="9" fillId="7" borderId="5" xfId="0" applyFont="1" applyFill="1" applyBorder="1" applyAlignment="1">
      <alignment wrapText="1"/>
    </xf>
    <xf numFmtId="0" fontId="9" fillId="4" borderId="1" xfId="0" applyFont="1" applyFill="1" applyBorder="1" applyAlignment="1">
      <alignment horizontal="center" wrapText="1"/>
    </xf>
    <xf numFmtId="0" fontId="8" fillId="4" borderId="1" xfId="0" applyFont="1" applyFill="1" applyBorder="1" applyAlignment="1">
      <alignment wrapText="1"/>
    </xf>
    <xf numFmtId="0" fontId="9" fillId="0" borderId="6" xfId="0" applyFont="1" applyBorder="1" applyAlignment="1">
      <alignment horizontal="center" wrapText="1"/>
    </xf>
    <xf numFmtId="0" fontId="9" fillId="0" borderId="9" xfId="0" applyFont="1" applyBorder="1" applyAlignment="1">
      <alignment horizontal="center" wrapText="1"/>
    </xf>
    <xf numFmtId="0" fontId="9" fillId="0" borderId="6"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 xfId="0" applyFont="1" applyBorder="1" applyAlignment="1">
      <alignment vertical="center" wrapText="1"/>
    </xf>
    <xf numFmtId="0" fontId="13" fillId="4" borderId="0" xfId="0" applyFont="1" applyFill="1" applyAlignment="1">
      <alignment wrapText="1"/>
    </xf>
    <xf numFmtId="0" fontId="9" fillId="0" borderId="1" xfId="0" applyFont="1" applyBorder="1" applyAlignment="1">
      <alignment horizontal="right" wrapText="1"/>
    </xf>
    <xf numFmtId="0" fontId="8" fillId="0" borderId="1" xfId="0" applyFont="1" applyBorder="1" applyAlignment="1">
      <alignment wrapText="1"/>
    </xf>
    <xf numFmtId="0" fontId="9" fillId="7" borderId="1" xfId="0" applyFont="1" applyFill="1" applyBorder="1" applyAlignment="1">
      <alignment horizontal="left" wrapText="1"/>
    </xf>
    <xf numFmtId="0" fontId="9" fillId="0" borderId="6" xfId="0" applyFont="1" applyBorder="1" applyAlignment="1">
      <alignment horizontal="left" vertical="center" wrapText="1"/>
    </xf>
    <xf numFmtId="0" fontId="9" fillId="0" borderId="15" xfId="0" applyFont="1" applyBorder="1" applyAlignment="1">
      <alignment horizontal="left" vertical="center" wrapText="1"/>
    </xf>
    <xf numFmtId="0" fontId="9" fillId="0" borderId="9" xfId="0" applyFont="1" applyBorder="1" applyAlignment="1">
      <alignment horizontal="left" vertical="center" wrapText="1"/>
    </xf>
    <xf numFmtId="0" fontId="9" fillId="5" borderId="4" xfId="0" applyFont="1" applyFill="1" applyBorder="1" applyAlignment="1">
      <alignment horizontal="right" vertical="center" wrapText="1"/>
    </xf>
    <xf numFmtId="0" fontId="9" fillId="5" borderId="5" xfId="0" applyFont="1" applyFill="1" applyBorder="1" applyAlignment="1">
      <alignment horizontal="right" vertical="center" wrapText="1"/>
    </xf>
    <xf numFmtId="0" fontId="9" fillId="7" borderId="1" xfId="0" applyFont="1" applyFill="1" applyBorder="1" applyAlignment="1">
      <alignment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164" fontId="9" fillId="0" borderId="1" xfId="0" applyNumberFormat="1" applyFont="1" applyBorder="1" applyAlignment="1">
      <alignment horizontal="left" wrapText="1"/>
    </xf>
    <xf numFmtId="0" fontId="9" fillId="0" borderId="10" xfId="0" applyFont="1" applyBorder="1" applyAlignment="1">
      <alignment horizontal="left" wrapText="1"/>
    </xf>
    <xf numFmtId="0" fontId="9" fillId="0" borderId="11" xfId="0" applyFont="1" applyBorder="1" applyAlignment="1">
      <alignment horizontal="left" wrapText="1"/>
    </xf>
    <xf numFmtId="0" fontId="9" fillId="0" borderId="13" xfId="0" applyFont="1" applyBorder="1" applyAlignment="1">
      <alignment horizontal="left" wrapText="1"/>
    </xf>
    <xf numFmtId="0" fontId="9" fillId="0" borderId="14" xfId="0" applyFont="1" applyBorder="1" applyAlignment="1">
      <alignment horizontal="left" wrapText="1"/>
    </xf>
    <xf numFmtId="164" fontId="9" fillId="0" borderId="10" xfId="0" applyNumberFormat="1" applyFont="1" applyBorder="1" applyAlignment="1">
      <alignment horizontal="left" wrapText="1"/>
    </xf>
    <xf numFmtId="0" fontId="9" fillId="5" borderId="1" xfId="0" applyFont="1" applyFill="1" applyBorder="1" applyAlignment="1">
      <alignment horizontal="left" wrapText="1"/>
    </xf>
    <xf numFmtId="0" fontId="20" fillId="2" borderId="0" xfId="0" applyFont="1" applyFill="1" applyAlignment="1">
      <alignment wrapText="1"/>
    </xf>
    <xf numFmtId="0" fontId="21" fillId="0" borderId="0" xfId="0" applyFont="1" applyAlignment="1">
      <alignment wrapText="1"/>
    </xf>
    <xf numFmtId="0" fontId="22" fillId="4" borderId="6" xfId="0" applyFont="1" applyFill="1" applyBorder="1" applyAlignment="1">
      <alignment horizontal="left" vertical="center" wrapText="1"/>
    </xf>
    <xf numFmtId="0" fontId="1" fillId="4" borderId="15" xfId="0" applyFont="1" applyFill="1" applyBorder="1" applyAlignment="1">
      <alignment vertical="center" wrapText="1"/>
    </xf>
    <xf numFmtId="0" fontId="1" fillId="4" borderId="9" xfId="0" applyFont="1" applyFill="1" applyBorder="1" applyAlignment="1">
      <alignment vertical="center" wrapText="1"/>
    </xf>
    <xf numFmtId="0" fontId="23" fillId="0" borderId="3" xfId="0" applyFont="1" applyBorder="1" applyAlignment="1">
      <alignment wrapText="1"/>
    </xf>
    <xf numFmtId="0" fontId="9" fillId="8" borderId="6" xfId="0" applyFont="1" applyFill="1" applyBorder="1" applyAlignment="1">
      <alignment vertical="center" wrapText="1"/>
    </xf>
    <xf numFmtId="0" fontId="8" fillId="8" borderId="9" xfId="0" applyFont="1" applyFill="1" applyBorder="1" applyAlignment="1">
      <alignment vertical="center" wrapText="1"/>
    </xf>
    <xf numFmtId="0" fontId="9" fillId="8" borderId="6" xfId="0" applyFont="1" applyFill="1" applyBorder="1" applyAlignment="1">
      <alignment horizontal="left" vertical="center" wrapText="1"/>
    </xf>
    <xf numFmtId="0" fontId="8" fillId="8" borderId="15" xfId="0" applyFont="1" applyFill="1" applyBorder="1" applyAlignment="1">
      <alignment vertical="center" wrapText="1"/>
    </xf>
    <xf numFmtId="0" fontId="8" fillId="4" borderId="10" xfId="0" applyFont="1" applyFill="1" applyBorder="1" applyAlignment="1">
      <alignment horizontal="center" wrapText="1"/>
    </xf>
    <xf numFmtId="0" fontId="8" fillId="4" borderId="3" xfId="0" applyFont="1" applyFill="1" applyBorder="1" applyAlignment="1">
      <alignment horizontal="center" wrapText="1"/>
    </xf>
    <xf numFmtId="0" fontId="8" fillId="4" borderId="11" xfId="0" applyFont="1" applyFill="1" applyBorder="1" applyAlignment="1">
      <alignment horizontal="center" wrapText="1"/>
    </xf>
    <xf numFmtId="0" fontId="8" fillId="4" borderId="13" xfId="0" applyFont="1" applyFill="1" applyBorder="1" applyAlignment="1">
      <alignment horizontal="center" wrapText="1"/>
    </xf>
    <xf numFmtId="0" fontId="8" fillId="4" borderId="7" xfId="0" applyFont="1" applyFill="1" applyBorder="1" applyAlignment="1">
      <alignment horizontal="center" wrapText="1"/>
    </xf>
    <xf numFmtId="0" fontId="8" fillId="4" borderId="14" xfId="0" applyFont="1" applyFill="1" applyBorder="1" applyAlignment="1">
      <alignment horizontal="center" wrapText="1"/>
    </xf>
    <xf numFmtId="0" fontId="9" fillId="8" borderId="1" xfId="0" applyFont="1" applyFill="1" applyBorder="1" applyAlignment="1">
      <alignment vertical="center" wrapText="1"/>
    </xf>
    <xf numFmtId="0" fontId="8" fillId="8" borderId="1" xfId="0" applyFont="1" applyFill="1" applyBorder="1" applyAlignment="1">
      <alignment vertical="center" wrapText="1"/>
    </xf>
    <xf numFmtId="0" fontId="8" fillId="0" borderId="3" xfId="0" applyFont="1" applyBorder="1" applyAlignment="1">
      <alignment horizontal="left" wrapText="1"/>
    </xf>
    <xf numFmtId="0" fontId="9" fillId="4" borderId="10" xfId="0" applyFont="1" applyFill="1" applyBorder="1" applyAlignment="1">
      <alignment horizontal="center" wrapText="1"/>
    </xf>
    <xf numFmtId="0" fontId="9" fillId="4" borderId="3" xfId="0" applyFont="1" applyFill="1" applyBorder="1" applyAlignment="1">
      <alignment horizontal="center" wrapText="1"/>
    </xf>
    <xf numFmtId="0" fontId="9" fillId="4" borderId="11" xfId="0" applyFont="1" applyFill="1" applyBorder="1" applyAlignment="1">
      <alignment horizontal="center" wrapText="1"/>
    </xf>
    <xf numFmtId="0" fontId="9" fillId="4" borderId="13" xfId="0" applyFont="1" applyFill="1" applyBorder="1" applyAlignment="1">
      <alignment horizontal="center" wrapText="1"/>
    </xf>
    <xf numFmtId="0" fontId="9" fillId="4" borderId="7" xfId="0" applyFont="1" applyFill="1" applyBorder="1" applyAlignment="1">
      <alignment horizontal="center" wrapText="1"/>
    </xf>
    <xf numFmtId="0" fontId="9" fillId="4" borderId="14" xfId="0" applyFont="1" applyFill="1" applyBorder="1" applyAlignment="1">
      <alignment horizontal="center" wrapText="1"/>
    </xf>
    <xf numFmtId="0" fontId="8" fillId="0" borderId="15" xfId="0" applyFont="1" applyBorder="1" applyAlignment="1">
      <alignment wrapText="1"/>
    </xf>
    <xf numFmtId="0" fontId="8" fillId="0" borderId="9" xfId="0" applyFont="1" applyBorder="1" applyAlignment="1">
      <alignment wrapText="1"/>
    </xf>
    <xf numFmtId="0" fontId="8" fillId="8" borderId="6" xfId="0" applyFont="1" applyFill="1" applyBorder="1" applyAlignment="1">
      <alignment wrapText="1"/>
    </xf>
    <xf numFmtId="0" fontId="8" fillId="8" borderId="15" xfId="0" applyFont="1" applyFill="1" applyBorder="1" applyAlignment="1">
      <alignment wrapText="1"/>
    </xf>
    <xf numFmtId="0" fontId="8" fillId="8" borderId="9" xfId="0" applyFont="1" applyFill="1" applyBorder="1" applyAlignment="1">
      <alignment wrapText="1"/>
    </xf>
    <xf numFmtId="0" fontId="9" fillId="0" borderId="6" xfId="0" applyFont="1" applyBorder="1" applyAlignment="1">
      <alignment vertical="center" wrapText="1"/>
    </xf>
    <xf numFmtId="0" fontId="8" fillId="0" borderId="15" xfId="0" applyFont="1" applyBorder="1" applyAlignment="1">
      <alignment vertical="center" wrapText="1"/>
    </xf>
    <xf numFmtId="0" fontId="8" fillId="0" borderId="9" xfId="0" applyFont="1" applyBorder="1" applyAlignment="1">
      <alignment vertical="center" wrapText="1"/>
    </xf>
    <xf numFmtId="0" fontId="13" fillId="4" borderId="3" xfId="0" applyFont="1" applyFill="1" applyBorder="1" applyAlignment="1">
      <alignment vertical="top" wrapText="1"/>
    </xf>
    <xf numFmtId="0" fontId="8" fillId="4" borderId="1" xfId="0" applyFont="1" applyFill="1" applyBorder="1" applyAlignment="1">
      <alignment horizontal="left" vertical="center" wrapText="1" indent="3"/>
    </xf>
    <xf numFmtId="0" fontId="8" fillId="4" borderId="3" xfId="0" applyFont="1" applyFill="1" applyBorder="1" applyAlignment="1">
      <alignment wrapText="1"/>
    </xf>
    <xf numFmtId="0" fontId="8" fillId="10" borderId="1" xfId="0" applyFont="1" applyFill="1" applyBorder="1" applyAlignment="1">
      <alignment horizontal="right" wrapText="1"/>
    </xf>
    <xf numFmtId="0" fontId="25" fillId="5" borderId="4" xfId="0" applyFont="1" applyFill="1" applyBorder="1" applyAlignment="1">
      <alignment horizontal="left" wrapText="1"/>
    </xf>
    <xf numFmtId="0" fontId="25" fillId="5" borderId="8" xfId="0" applyFont="1" applyFill="1" applyBorder="1" applyAlignment="1">
      <alignment horizontal="left" wrapText="1"/>
    </xf>
    <xf numFmtId="0" fontId="25" fillId="5" borderId="5" xfId="0" applyFont="1" applyFill="1" applyBorder="1" applyAlignment="1">
      <alignment horizontal="left" wrapText="1"/>
    </xf>
    <xf numFmtId="0" fontId="16" fillId="5" borderId="4" xfId="0" applyFont="1" applyFill="1" applyBorder="1" applyAlignment="1">
      <alignment horizontal="left" wrapText="1"/>
    </xf>
    <xf numFmtId="0" fontId="16" fillId="5" borderId="8" xfId="0" applyFont="1" applyFill="1" applyBorder="1" applyAlignment="1">
      <alignment horizontal="left" wrapText="1"/>
    </xf>
    <xf numFmtId="0" fontId="16" fillId="5" borderId="5" xfId="0" applyFont="1" applyFill="1" applyBorder="1" applyAlignment="1">
      <alignment horizontal="left" wrapText="1"/>
    </xf>
    <xf numFmtId="0" fontId="8" fillId="5" borderId="4" xfId="0" applyFont="1" applyFill="1" applyBorder="1" applyAlignment="1">
      <alignment horizontal="left" wrapText="1"/>
    </xf>
    <xf numFmtId="0" fontId="8" fillId="5" borderId="8" xfId="0" applyFont="1" applyFill="1" applyBorder="1" applyAlignment="1">
      <alignment horizontal="left" wrapText="1"/>
    </xf>
    <xf numFmtId="0" fontId="8" fillId="5" borderId="5" xfId="0" applyFont="1" applyFill="1" applyBorder="1" applyAlignment="1">
      <alignment horizontal="left" wrapText="1"/>
    </xf>
    <xf numFmtId="0" fontId="8" fillId="4" borderId="4" xfId="0" applyFont="1" applyFill="1" applyBorder="1" applyAlignment="1">
      <alignment horizontal="left" wrapText="1"/>
    </xf>
    <xf numFmtId="0" fontId="8" fillId="4" borderId="8" xfId="0" applyFont="1" applyFill="1" applyBorder="1" applyAlignment="1">
      <alignment wrapText="1"/>
    </xf>
    <xf numFmtId="0" fontId="8" fillId="4" borderId="5" xfId="0" applyFont="1" applyFill="1" applyBorder="1" applyAlignment="1">
      <alignment wrapText="1"/>
    </xf>
    <xf numFmtId="0" fontId="8" fillId="5" borderId="8" xfId="0" applyFont="1" applyFill="1" applyBorder="1" applyAlignment="1">
      <alignment wrapText="1"/>
    </xf>
    <xf numFmtId="0" fontId="8" fillId="5" borderId="5" xfId="0" applyFont="1" applyFill="1" applyBorder="1" applyAlignment="1">
      <alignment wrapText="1"/>
    </xf>
    <xf numFmtId="0" fontId="9" fillId="4" borderId="4" xfId="0" applyFont="1" applyFill="1" applyBorder="1" applyAlignment="1">
      <alignment horizontal="left" wrapText="1"/>
    </xf>
    <xf numFmtId="0" fontId="9" fillId="4" borderId="8" xfId="0" applyFont="1" applyFill="1" applyBorder="1" applyAlignment="1">
      <alignment horizontal="left" wrapText="1"/>
    </xf>
    <xf numFmtId="0" fontId="9" fillId="4" borderId="5" xfId="0" applyFont="1" applyFill="1" applyBorder="1" applyAlignment="1">
      <alignment horizontal="left" wrapText="1"/>
    </xf>
    <xf numFmtId="0" fontId="6" fillId="4" borderId="4"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9" fillId="4" borderId="6" xfId="0" applyFont="1" applyFill="1" applyBorder="1" applyAlignment="1">
      <alignment horizontal="left" wrapText="1"/>
    </xf>
    <xf numFmtId="0" fontId="9" fillId="4" borderId="9" xfId="0" applyFont="1" applyFill="1" applyBorder="1" applyAlignment="1">
      <alignment horizontal="left" wrapText="1"/>
    </xf>
    <xf numFmtId="0" fontId="8" fillId="5" borderId="6" xfId="0" applyFont="1" applyFill="1" applyBorder="1" applyAlignment="1">
      <alignment wrapText="1"/>
    </xf>
    <xf numFmtId="0" fontId="8" fillId="5" borderId="9" xfId="0" applyFont="1" applyFill="1" applyBorder="1" applyAlignment="1">
      <alignment wrapText="1"/>
    </xf>
    <xf numFmtId="0" fontId="8" fillId="4" borderId="6" xfId="0" applyFont="1" applyFill="1" applyBorder="1" applyAlignment="1">
      <alignment horizontal="left" vertical="center" wrapText="1"/>
    </xf>
    <xf numFmtId="0" fontId="8" fillId="4" borderId="9"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4" borderId="1" xfId="0" applyFont="1" applyFill="1" applyBorder="1" applyAlignment="1">
      <alignment wrapText="1"/>
    </xf>
    <xf numFmtId="0" fontId="10" fillId="4" borderId="4" xfId="0" applyFont="1" applyFill="1" applyBorder="1" applyAlignment="1">
      <alignment horizontal="center" wrapText="1"/>
    </xf>
    <xf numFmtId="0" fontId="10" fillId="4" borderId="8" xfId="0" applyFont="1" applyFill="1" applyBorder="1" applyAlignment="1">
      <alignment horizontal="center" wrapText="1"/>
    </xf>
    <xf numFmtId="0" fontId="10" fillId="4" borderId="5" xfId="0" applyFont="1" applyFill="1" applyBorder="1" applyAlignment="1">
      <alignment horizontal="center" wrapText="1"/>
    </xf>
    <xf numFmtId="0" fontId="9" fillId="4" borderId="6" xfId="0" applyFont="1" applyFill="1" applyBorder="1" applyAlignment="1">
      <alignment wrapText="1"/>
    </xf>
    <xf numFmtId="0" fontId="9" fillId="4" borderId="9" xfId="0" applyFont="1" applyFill="1" applyBorder="1" applyAlignment="1">
      <alignment wrapText="1"/>
    </xf>
    <xf numFmtId="0" fontId="9" fillId="4" borderId="6" xfId="0" applyFont="1" applyFill="1" applyBorder="1" applyAlignment="1">
      <alignment horizontal="center" wrapText="1"/>
    </xf>
    <xf numFmtId="0" fontId="9" fillId="4" borderId="9" xfId="0" applyFont="1" applyFill="1" applyBorder="1" applyAlignment="1">
      <alignment horizontal="center" wrapText="1"/>
    </xf>
    <xf numFmtId="0" fontId="10" fillId="4" borderId="6" xfId="0" applyFont="1" applyFill="1" applyBorder="1" applyAlignment="1">
      <alignment horizontal="left" vertical="center" wrapText="1"/>
    </xf>
    <xf numFmtId="0" fontId="10" fillId="4" borderId="6" xfId="0" applyFont="1" applyFill="1" applyBorder="1" applyAlignment="1">
      <alignment vertical="center" wrapText="1"/>
    </xf>
    <xf numFmtId="0" fontId="8" fillId="0" borderId="3" xfId="0" applyFont="1" applyBorder="1" applyAlignment="1">
      <alignment vertical="top" wrapText="1"/>
    </xf>
    <xf numFmtId="0" fontId="8" fillId="4" borderId="6" xfId="0" applyFont="1" applyFill="1" applyBorder="1" applyAlignment="1">
      <alignment vertical="center" wrapText="1"/>
    </xf>
    <xf numFmtId="0" fontId="52" fillId="0" borderId="3" xfId="0" applyFont="1" applyBorder="1" applyAlignment="1">
      <alignment wrapText="1"/>
    </xf>
    <xf numFmtId="0" fontId="44" fillId="0" borderId="3" xfId="0" applyFont="1" applyBorder="1" applyAlignment="1">
      <alignment wrapText="1"/>
    </xf>
    <xf numFmtId="0" fontId="27" fillId="0" borderId="0" xfId="0" applyFont="1" applyAlignment="1">
      <alignment wrapText="1"/>
    </xf>
    <xf numFmtId="0" fontId="8" fillId="5" borderId="4" xfId="0" applyFont="1" applyFill="1" applyBorder="1" applyAlignment="1">
      <alignment vertical="center" wrapText="1"/>
    </xf>
    <xf numFmtId="0" fontId="8" fillId="5" borderId="5" xfId="0" applyFont="1" applyFill="1" applyBorder="1" applyAlignment="1">
      <alignment vertical="center" wrapText="1"/>
    </xf>
    <xf numFmtId="0" fontId="48" fillId="2" borderId="0" xfId="0" applyFont="1" applyFill="1" applyAlignment="1">
      <alignment vertical="center" wrapText="1"/>
    </xf>
    <xf numFmtId="0" fontId="17" fillId="2" borderId="0" xfId="0" applyFont="1" applyFill="1" applyAlignment="1">
      <alignment vertical="center" wrapText="1"/>
    </xf>
    <xf numFmtId="0" fontId="28" fillId="0" borderId="0" xfId="0" applyFont="1" applyAlignment="1">
      <alignment wrapText="1"/>
    </xf>
    <xf numFmtId="0" fontId="26" fillId="4" borderId="4" xfId="0" applyFont="1" applyFill="1" applyBorder="1" applyAlignment="1">
      <alignment vertical="center" wrapText="1"/>
    </xf>
    <xf numFmtId="0" fontId="8" fillId="4" borderId="8" xfId="0" applyFont="1" applyFill="1" applyBorder="1" applyAlignment="1">
      <alignment vertical="center" wrapText="1"/>
    </xf>
    <xf numFmtId="0" fontId="8" fillId="4" borderId="5" xfId="0" applyFont="1" applyFill="1" applyBorder="1" applyAlignment="1">
      <alignment vertical="center" wrapText="1"/>
    </xf>
    <xf numFmtId="0" fontId="50" fillId="0" borderId="3" xfId="0" applyFont="1" applyBorder="1" applyAlignment="1">
      <alignment wrapText="1"/>
    </xf>
    <xf numFmtId="0" fontId="8" fillId="4" borderId="4" xfId="0" applyFont="1" applyFill="1" applyBorder="1" applyAlignment="1">
      <alignment horizontal="center" wrapText="1"/>
    </xf>
    <xf numFmtId="0" fontId="8" fillId="4" borderId="5" xfId="0" applyFont="1" applyFill="1" applyBorder="1" applyAlignment="1">
      <alignment horizontal="center" wrapText="1"/>
    </xf>
    <xf numFmtId="0" fontId="8" fillId="0" borderId="1" xfId="0" applyFont="1" applyBorder="1" applyAlignment="1">
      <alignment horizontal="center" wrapText="1"/>
    </xf>
    <xf numFmtId="0" fontId="9" fillId="7" borderId="1" xfId="0" applyFont="1" applyFill="1" applyBorder="1" applyAlignment="1">
      <alignment horizontal="left" vertical="center" wrapText="1"/>
    </xf>
    <xf numFmtId="0" fontId="47" fillId="7" borderId="4" xfId="0" applyFont="1" applyFill="1" applyBorder="1" applyAlignment="1">
      <alignment vertical="center" wrapText="1"/>
    </xf>
    <xf numFmtId="0" fontId="47" fillId="7" borderId="8" xfId="0" applyFont="1" applyFill="1" applyBorder="1" applyAlignment="1">
      <alignment vertical="center" wrapText="1"/>
    </xf>
    <xf numFmtId="0" fontId="47" fillId="7" borderId="5" xfId="0" applyFont="1" applyFill="1" applyBorder="1" applyAlignment="1">
      <alignment vertical="center" wrapText="1"/>
    </xf>
    <xf numFmtId="0" fontId="45" fillId="0" borderId="3" xfId="0" applyFont="1" applyBorder="1" applyAlignment="1">
      <alignment horizontal="left" wrapText="1"/>
    </xf>
    <xf numFmtId="0" fontId="45" fillId="0" borderId="3" xfId="0" applyFont="1" applyBorder="1" applyAlignment="1">
      <alignment wrapText="1"/>
    </xf>
    <xf numFmtId="0" fontId="47" fillId="4" borderId="15"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6" xfId="0" applyFont="1" applyFill="1" applyBorder="1" applyAlignment="1">
      <alignment horizontal="center" vertical="center" wrapText="1"/>
    </xf>
    <xf numFmtId="0" fontId="47" fillId="4" borderId="6" xfId="0" applyFont="1" applyFill="1" applyBorder="1" applyAlignment="1">
      <alignment horizontal="center" vertical="center" wrapText="1"/>
    </xf>
    <xf numFmtId="0" fontId="47" fillId="4" borderId="17" xfId="0" applyFont="1" applyFill="1" applyBorder="1" applyAlignment="1">
      <alignment horizontal="center" vertical="center" wrapText="1"/>
    </xf>
    <xf numFmtId="0" fontId="47" fillId="0" borderId="6" xfId="7" applyFont="1" applyBorder="1" applyAlignment="1">
      <alignment vertical="center" wrapText="1"/>
    </xf>
    <xf numFmtId="0" fontId="47" fillId="0" borderId="15" xfId="7" applyFont="1" applyBorder="1" applyAlignment="1">
      <alignment vertical="center" wrapText="1"/>
    </xf>
    <xf numFmtId="0" fontId="47" fillId="0" borderId="9" xfId="7" applyFont="1" applyBorder="1" applyAlignment="1">
      <alignment vertical="center" wrapText="1"/>
    </xf>
    <xf numFmtId="0" fontId="50" fillId="0" borderId="3" xfId="7" applyFont="1" applyBorder="1" applyAlignment="1">
      <alignment wrapText="1"/>
    </xf>
    <xf numFmtId="0" fontId="47" fillId="0" borderId="1" xfId="7" applyFont="1" applyBorder="1" applyAlignment="1">
      <alignment vertical="center" wrapText="1"/>
    </xf>
    <xf numFmtId="0" fontId="50" fillId="0" borderId="3" xfId="7" applyFont="1" applyBorder="1" applyAlignment="1">
      <alignment horizontal="left" vertical="top" wrapText="1"/>
    </xf>
    <xf numFmtId="0" fontId="48" fillId="2" borderId="0" xfId="7" applyFont="1" applyFill="1" applyAlignment="1">
      <alignment wrapText="1"/>
    </xf>
    <xf numFmtId="0" fontId="9" fillId="0" borderId="1" xfId="0" applyFont="1" applyBorder="1" applyAlignment="1">
      <alignment horizontal="center" wrapText="1"/>
    </xf>
    <xf numFmtId="0" fontId="9" fillId="0" borderId="9" xfId="0" applyFont="1" applyBorder="1" applyAlignment="1">
      <alignment vertical="center" wrapText="1"/>
    </xf>
    <xf numFmtId="0" fontId="9" fillId="0" borderId="15" xfId="0" applyFont="1" applyBorder="1" applyAlignment="1">
      <alignment vertical="center" wrapText="1"/>
    </xf>
    <xf numFmtId="0" fontId="9" fillId="0" borderId="4" xfId="0" applyFont="1" applyBorder="1" applyAlignment="1">
      <alignment wrapText="1"/>
    </xf>
    <xf numFmtId="0" fontId="9" fillId="0" borderId="8" xfId="0" applyFont="1" applyBorder="1" applyAlignment="1">
      <alignment wrapText="1"/>
    </xf>
    <xf numFmtId="0" fontId="9" fillId="0" borderId="5" xfId="0" applyFont="1" applyBorder="1" applyAlignment="1">
      <alignment wrapText="1"/>
    </xf>
  </cellXfs>
  <cellStyles count="9">
    <cellStyle name="Heading 1" xfId="3" xr:uid="{00000000-0005-0000-0000-000003000000}"/>
    <cellStyle name="Heading 2" xfId="4" xr:uid="{00000000-0005-0000-0000-000004000000}"/>
    <cellStyle name="Heading 3" xfId="5" xr:uid="{00000000-0005-0000-0000-000005000000}"/>
    <cellStyle name="Hyperlink" xfId="6" builtinId="8"/>
    <cellStyle name="Normal" xfId="0" builtinId="0"/>
    <cellStyle name="Normal 2" xfId="2" xr:uid="{00000000-0005-0000-0000-000002000000}"/>
    <cellStyle name="Normal 3" xfId="7" xr:uid="{AF4E5D7C-EDBD-4F18-9DA5-309CBA5BBC90}"/>
    <cellStyle name="Table (Normal)" xfId="1" xr:uid="{00000000-0005-0000-0000-000001000000}"/>
    <cellStyle name="Table (Normal) 2" xfId="8" xr:uid="{58815D03-2B69-462A-9857-083DFE1CD2AD}"/>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0</xdr:colOff>
      <xdr:row>0</xdr:row>
      <xdr:rowOff>590550</xdr:rowOff>
    </xdr:to>
    <xdr:pic>
      <xdr:nvPicPr>
        <xdr:cNvPr id="3" name="Picture 2">
          <a:extLst>
            <a:ext uri="{FF2B5EF4-FFF2-40B4-BE49-F238E27FC236}">
              <a16:creationId xmlns:a16="http://schemas.microsoft.com/office/drawing/2014/main" id="{34BF901A-F55C-4046-BE1F-FD915A7C686D}"/>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1"/>
        <a:stretch>
          <a:fillRect/>
        </a:stretch>
      </xdr:blipFill>
      <xdr:spPr>
        <a:xfrm>
          <a:off x="0" y="57150"/>
          <a:ext cx="36576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50000</xdr:colOff>
      <xdr:row>1</xdr:row>
      <xdr:rowOff>-520174</xdr:rowOff>
    </xdr:from>
    <xdr:ext cx="3139344" cy="470174"/>
    <xdr:pic>
      <xdr:nvPicPr>
        <xdr:cNvPr id="2" name="Newmont-Color-RGB (2).jpg" descr="Newmont-Color-RGB (2).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3139344" cy="470174"/>
        </a:xfrm>
        <a:prstGeom prst="rect">
          <a:avLst/>
        </a:prstGeom>
      </xdr:spPr>
    </xdr:pic>
    <xdr:clientData/>
  </xdr:oneCellAnchor>
  <xdr:twoCellAnchor editAs="oneCell">
    <xdr:from>
      <xdr:col>0</xdr:col>
      <xdr:colOff>9525</xdr:colOff>
      <xdr:row>0</xdr:row>
      <xdr:rowOff>38100</xdr:rowOff>
    </xdr:from>
    <xdr:to>
      <xdr:col>4</xdr:col>
      <xdr:colOff>9525</xdr:colOff>
      <xdr:row>0</xdr:row>
      <xdr:rowOff>571500</xdr:rowOff>
    </xdr:to>
    <xdr:pic>
      <xdr:nvPicPr>
        <xdr:cNvPr id="3" name="Picture 2">
          <a:extLst>
            <a:ext uri="{FF2B5EF4-FFF2-40B4-BE49-F238E27FC236}">
              <a16:creationId xmlns:a16="http://schemas.microsoft.com/office/drawing/2014/main" id="{A32A8E16-627C-4E6D-8B6C-1F9105F424D8}"/>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a:stretch>
          <a:fillRect/>
        </a:stretch>
      </xdr:blipFill>
      <xdr:spPr>
        <a:xfrm>
          <a:off x="9525" y="38100"/>
          <a:ext cx="365760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s24.q4cdn.com/382246808/files/doc_downloads/2022/sustainability/Newmont_2022_Sustainability_Report_Methodology.pdf" TargetMode="External"/><Relationship Id="rId7" Type="http://schemas.openxmlformats.org/officeDocument/2006/relationships/hyperlink" Target="https://www.newmont.com/about-us/contact-us/default.aspx" TargetMode="External"/><Relationship Id="rId2" Type="http://schemas.openxmlformats.org/officeDocument/2006/relationships/hyperlink" Target="https://www.newmont.com/sustainability/Disclosure-and-Transparency-Hub/default.aspx" TargetMode="External"/><Relationship Id="rId1" Type="http://schemas.openxmlformats.org/officeDocument/2006/relationships/hyperlink" Target="https://www.newmont.com/sustainability/Disclosure-and-Transparency-Hub/default.aspx" TargetMode="External"/><Relationship Id="rId6" Type="http://schemas.openxmlformats.org/officeDocument/2006/relationships/hyperlink" Target="https://www.newmont.com/about-us/governance-and-ethics/default.aspx" TargetMode="External"/><Relationship Id="rId5" Type="http://schemas.openxmlformats.org/officeDocument/2006/relationships/hyperlink" Target="https://d18rn0p25nwr6d.cloudfront.net/CIK-0001164727/05c05b94-703b-4a83-9eb4-387ed274414d.pdf" TargetMode="External"/><Relationship Id="rId4" Type="http://schemas.openxmlformats.org/officeDocument/2006/relationships/hyperlink" Target="https://www.newmont.com/investors/default.asp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showRuler="0" topLeftCell="A5" workbookViewId="0">
      <selection activeCell="A11" sqref="A11:I11"/>
    </sheetView>
  </sheetViews>
  <sheetFormatPr defaultColWidth="13.6640625" defaultRowHeight="13.2" x14ac:dyDescent="0.25"/>
  <sheetData>
    <row r="1" spans="1:9" ht="63" customHeight="1" x14ac:dyDescent="0.3">
      <c r="A1" s="509"/>
      <c r="B1" s="1"/>
      <c r="C1" s="1"/>
      <c r="D1" s="1"/>
    </row>
    <row r="2" spans="1:9" ht="17.25" customHeight="1" x14ac:dyDescent="0.4">
      <c r="A2" s="516" t="s">
        <v>0</v>
      </c>
      <c r="B2" s="516"/>
      <c r="C2" s="516"/>
      <c r="D2" s="516"/>
      <c r="E2" s="516"/>
      <c r="F2" s="516"/>
      <c r="G2" s="516"/>
      <c r="H2" s="516"/>
      <c r="I2" s="516"/>
    </row>
    <row r="3" spans="1:9" ht="86.25" customHeight="1" x14ac:dyDescent="0.3">
      <c r="A3" s="510" t="s">
        <v>1</v>
      </c>
      <c r="B3" s="517"/>
      <c r="C3" s="517"/>
      <c r="D3" s="517"/>
      <c r="E3" s="518"/>
      <c r="F3" s="518"/>
      <c r="G3" s="518"/>
      <c r="H3" s="518"/>
      <c r="I3" s="518"/>
    </row>
    <row r="4" spans="1:9" ht="22.5" customHeight="1" x14ac:dyDescent="0.3">
      <c r="A4" s="519" t="s">
        <v>2</v>
      </c>
      <c r="B4" s="519"/>
      <c r="C4" s="519"/>
      <c r="D4" s="519"/>
      <c r="E4" s="518"/>
      <c r="F4" s="518"/>
      <c r="G4" s="518"/>
      <c r="H4" s="518"/>
      <c r="I4" s="518"/>
    </row>
    <row r="5" spans="1:9" ht="224.4" customHeight="1" x14ac:dyDescent="0.3">
      <c r="A5" s="510" t="s">
        <v>3</v>
      </c>
      <c r="B5" s="517"/>
      <c r="C5" s="517"/>
      <c r="D5" s="517"/>
      <c r="E5" s="518"/>
      <c r="F5" s="518"/>
      <c r="G5" s="518"/>
      <c r="H5" s="518"/>
      <c r="I5" s="518"/>
    </row>
    <row r="6" spans="1:9" ht="139.5" customHeight="1" x14ac:dyDescent="0.3">
      <c r="A6" s="517" t="s">
        <v>4</v>
      </c>
      <c r="B6" s="511"/>
      <c r="C6" s="511"/>
      <c r="D6" s="511"/>
      <c r="E6" s="511"/>
      <c r="F6" s="511"/>
      <c r="G6" s="511"/>
      <c r="H6" s="511"/>
      <c r="I6" s="511"/>
    </row>
    <row r="7" spans="1:9" ht="15.75" customHeight="1" x14ac:dyDescent="0.3">
      <c r="A7" s="514" t="s">
        <v>5</v>
      </c>
      <c r="B7" s="514"/>
      <c r="C7" s="514"/>
      <c r="D7" s="514"/>
      <c r="E7" s="514"/>
      <c r="F7" s="514"/>
      <c r="G7" s="514"/>
      <c r="H7" s="514"/>
      <c r="I7" s="514"/>
    </row>
    <row r="8" spans="1:9" ht="28.5" customHeight="1" x14ac:dyDescent="0.3">
      <c r="A8" s="510" t="s">
        <v>6</v>
      </c>
      <c r="B8" s="511"/>
      <c r="C8" s="511"/>
      <c r="D8" s="511"/>
      <c r="E8" s="511"/>
      <c r="F8" s="511"/>
      <c r="G8" s="511"/>
      <c r="H8" s="511"/>
      <c r="I8" s="511"/>
    </row>
    <row r="9" spans="1:9" ht="15.75" customHeight="1" x14ac:dyDescent="0.3">
      <c r="A9" s="514" t="s">
        <v>7</v>
      </c>
      <c r="B9" s="514"/>
      <c r="C9" s="514"/>
      <c r="D9" s="514"/>
      <c r="E9" s="514"/>
      <c r="F9" s="514"/>
      <c r="G9" s="514"/>
      <c r="H9" s="514"/>
      <c r="I9" s="514"/>
    </row>
    <row r="10" spans="1:9" ht="15.75" customHeight="1" x14ac:dyDescent="0.3">
      <c r="A10" s="514" t="s">
        <v>8</v>
      </c>
      <c r="B10" s="514"/>
      <c r="C10" s="514"/>
      <c r="D10" s="514"/>
      <c r="E10" s="514"/>
      <c r="F10" s="514"/>
      <c r="G10" s="514"/>
      <c r="H10" s="514"/>
      <c r="I10" s="514"/>
    </row>
    <row r="11" spans="1:9" ht="162" customHeight="1" x14ac:dyDescent="0.3">
      <c r="A11" s="510" t="s">
        <v>9</v>
      </c>
      <c r="B11" s="511"/>
      <c r="C11" s="511"/>
      <c r="D11" s="511"/>
      <c r="E11" s="511"/>
      <c r="F11" s="511"/>
      <c r="G11" s="511"/>
      <c r="H11" s="511"/>
      <c r="I11" s="511"/>
    </row>
    <row r="12" spans="1:9" ht="59.4" customHeight="1" x14ac:dyDescent="0.3">
      <c r="A12" s="510" t="s">
        <v>10</v>
      </c>
      <c r="B12" s="511"/>
      <c r="C12" s="511"/>
      <c r="D12" s="511"/>
      <c r="E12" s="511"/>
      <c r="F12" s="511"/>
      <c r="G12" s="511"/>
      <c r="H12" s="511"/>
      <c r="I12" s="511"/>
    </row>
    <row r="13" spans="1:9" ht="63.6" customHeight="1" x14ac:dyDescent="0.3">
      <c r="A13" s="510" t="s">
        <v>11</v>
      </c>
      <c r="B13" s="511"/>
      <c r="C13" s="511"/>
      <c r="D13" s="511"/>
      <c r="E13" s="511"/>
      <c r="F13" s="511"/>
      <c r="G13" s="511"/>
      <c r="H13" s="511"/>
      <c r="I13" s="511"/>
    </row>
    <row r="14" spans="1:9" ht="15" customHeight="1" x14ac:dyDescent="0.3">
      <c r="A14" s="371"/>
      <c r="B14" s="371"/>
      <c r="C14" s="371"/>
      <c r="D14" s="371"/>
      <c r="E14" s="371"/>
      <c r="F14" s="371"/>
      <c r="G14" s="371"/>
      <c r="H14" s="371"/>
      <c r="I14" s="371"/>
    </row>
    <row r="15" spans="1:9" ht="20.100000000000001" customHeight="1" x14ac:dyDescent="0.3">
      <c r="A15" s="515" t="s">
        <v>12</v>
      </c>
      <c r="B15" s="511"/>
      <c r="C15" s="511"/>
      <c r="D15" s="511"/>
      <c r="E15" s="511"/>
      <c r="F15" s="511"/>
      <c r="G15" s="511"/>
      <c r="H15" s="511"/>
      <c r="I15" s="511"/>
    </row>
    <row r="16" spans="1:9" ht="42" customHeight="1" x14ac:dyDescent="0.3">
      <c r="A16" s="510" t="s">
        <v>13</v>
      </c>
      <c r="B16" s="511"/>
      <c r="C16" s="511"/>
      <c r="D16" s="511"/>
      <c r="E16" s="511"/>
      <c r="F16" s="512" t="s">
        <v>14</v>
      </c>
      <c r="G16" s="513"/>
      <c r="H16" s="513"/>
      <c r="I16" s="513"/>
    </row>
    <row r="17" spans="1:9" ht="40.950000000000003" customHeight="1" x14ac:dyDescent="0.3">
      <c r="A17" s="510" t="s">
        <v>15</v>
      </c>
      <c r="B17" s="511"/>
      <c r="C17" s="511"/>
      <c r="D17" s="511"/>
      <c r="E17" s="511"/>
      <c r="F17" s="512" t="s">
        <v>16</v>
      </c>
      <c r="G17" s="513"/>
      <c r="H17" s="513"/>
      <c r="I17" s="513"/>
    </row>
    <row r="18" spans="1:9" ht="59.4" customHeight="1" x14ac:dyDescent="0.3">
      <c r="A18" s="510" t="s">
        <v>17</v>
      </c>
      <c r="B18" s="511"/>
      <c r="C18" s="511"/>
      <c r="D18" s="511"/>
      <c r="E18" s="511"/>
      <c r="F18" s="512" t="s">
        <v>18</v>
      </c>
      <c r="G18" s="513"/>
      <c r="H18" s="513"/>
      <c r="I18" s="513"/>
    </row>
    <row r="19" spans="1:9" ht="15" customHeight="1" x14ac:dyDescent="0.3">
      <c r="A19" s="371"/>
      <c r="B19" s="371"/>
      <c r="C19" s="371"/>
      <c r="D19" s="371"/>
      <c r="E19" s="371"/>
      <c r="F19" s="371"/>
      <c r="G19" s="371"/>
      <c r="H19" s="371"/>
      <c r="I19" s="371"/>
    </row>
    <row r="20" spans="1:9" ht="37.5" customHeight="1" x14ac:dyDescent="0.3">
      <c r="A20" s="510" t="s">
        <v>19</v>
      </c>
      <c r="B20" s="511"/>
      <c r="C20" s="511"/>
      <c r="D20" s="511"/>
      <c r="E20" s="511"/>
      <c r="F20" s="512" t="s">
        <v>20</v>
      </c>
      <c r="G20" s="513"/>
      <c r="H20" s="513"/>
      <c r="I20" s="513"/>
    </row>
    <row r="21" spans="1:9" ht="15" customHeight="1" x14ac:dyDescent="0.25"/>
    <row r="22" spans="1:9" ht="15" customHeight="1" x14ac:dyDescent="0.25"/>
    <row r="23" spans="1:9" ht="15" customHeight="1" x14ac:dyDescent="0.25"/>
    <row r="24" spans="1:9" ht="15" customHeight="1" x14ac:dyDescent="0.25"/>
    <row r="25" spans="1:9" ht="15" customHeight="1" x14ac:dyDescent="0.25"/>
    <row r="26" spans="1:9" ht="15" customHeight="1" x14ac:dyDescent="0.25"/>
    <row r="27" spans="1:9" ht="15" customHeight="1" x14ac:dyDescent="0.25"/>
    <row r="28" spans="1:9" ht="15" customHeight="1" x14ac:dyDescent="0.25"/>
    <row r="29" spans="1:9" ht="15" customHeight="1" x14ac:dyDescent="0.25"/>
    <row r="30" spans="1:9" ht="15" customHeight="1" x14ac:dyDescent="0.25"/>
    <row r="31" spans="1:9" ht="15" customHeight="1" x14ac:dyDescent="0.25"/>
    <row r="32" spans="1: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sheetProtection algorithmName="SHA-512" hashValue="UheghoHGJQEnWsreykgfXEHT7KBzwae5ffQRmp/zCHdL1YM887Ol2wqgVF1dd8jXoTujc/LhZLJF3grklauU1g==" saltValue="FId1KLyANvM5spk+MYuqWw==" spinCount="100000" sheet="1" objects="1" scenarios="1"/>
  <mergeCells count="21">
    <mergeCell ref="A2:I2"/>
    <mergeCell ref="A5:I5"/>
    <mergeCell ref="A6:I6"/>
    <mergeCell ref="A8:I8"/>
    <mergeCell ref="A4:I4"/>
    <mergeCell ref="A3:I3"/>
    <mergeCell ref="A20:E20"/>
    <mergeCell ref="F20:I20"/>
    <mergeCell ref="A7:I7"/>
    <mergeCell ref="A9:I9"/>
    <mergeCell ref="A10:I10"/>
    <mergeCell ref="A11:I11"/>
    <mergeCell ref="F18:I18"/>
    <mergeCell ref="F16:I16"/>
    <mergeCell ref="F17:I17"/>
    <mergeCell ref="A12:I12"/>
    <mergeCell ref="A13:I13"/>
    <mergeCell ref="A15:I15"/>
    <mergeCell ref="A16:E16"/>
    <mergeCell ref="A17:E17"/>
    <mergeCell ref="A18:E18"/>
  </mergeCells>
  <hyperlinks>
    <hyperlink ref="A7:I7" r:id="rId1" display="Newmont Independent Limted Assurance Reports" xr:uid="{5800307B-BCAE-42C6-ADC2-4D7342DEC360}"/>
    <hyperlink ref="A9:I9" r:id="rId2" display="Newmont's 2023 Sustainability Report Methodologies are available on our website. " xr:uid="{99C4B708-8E06-447A-9A7A-6E3843E1FE2C}"/>
    <hyperlink ref="A10:I10" r:id="rId3" display="To review changes in definitions from prior year reporting, see our 2022 Sustainability Report Methodology." xr:uid="{5BBE60F1-4302-46D7-9634-D946CCC1E707}"/>
    <hyperlink ref="F16:I16" r:id="rId4" display="Investors section" xr:uid="{CBC3B97C-A82E-4A36-9BE8-BF640975AA0E}"/>
    <hyperlink ref="F17:I17" r:id="rId5" display="2024 Proxy Statement" xr:uid="{A01A0B22-9B6F-41FB-9F00-8B1F33942C88}"/>
    <hyperlink ref="F18:I18" r:id="rId6" display="Governance and Ethics" xr:uid="{87DBA5ED-9D03-4A80-AEB0-BCB13218598F}"/>
    <hyperlink ref="F20:I20" r:id="rId7" display="Contact Newmont" xr:uid="{E0CD0B21-2367-4389-8C4E-06F138298D04}"/>
  </hyperlinks>
  <pageMargins left="0.75" right="0.75" top="1" bottom="1" header="0.5" footer="0.5"/>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8"/>
  <sheetViews>
    <sheetView showRuler="0" topLeftCell="A39" workbookViewId="0">
      <selection activeCell="C47" sqref="C47:E47"/>
    </sheetView>
  </sheetViews>
  <sheetFormatPr defaultColWidth="13.6640625" defaultRowHeight="13.2" x14ac:dyDescent="0.25"/>
  <sheetData>
    <row r="1" spans="1:12" ht="46.65" customHeight="1" x14ac:dyDescent="0.3">
      <c r="A1" s="302"/>
      <c r="B1" s="2"/>
      <c r="C1" s="2"/>
    </row>
    <row r="2" spans="1:12" ht="24.15" customHeight="1" x14ac:dyDescent="0.4">
      <c r="A2" s="530" t="s">
        <v>21</v>
      </c>
      <c r="B2" s="530"/>
      <c r="C2" s="530"/>
      <c r="D2" s="530"/>
      <c r="E2" s="530"/>
      <c r="F2" s="530"/>
      <c r="G2" s="530"/>
      <c r="H2" s="518"/>
      <c r="I2" s="518"/>
      <c r="J2" s="518"/>
      <c r="K2" s="518"/>
    </row>
    <row r="3" spans="1:12" ht="15" customHeight="1" x14ac:dyDescent="0.3">
      <c r="A3" s="531" t="s">
        <v>22</v>
      </c>
      <c r="B3" s="518"/>
      <c r="C3" s="518"/>
      <c r="D3" s="518"/>
      <c r="E3" s="518"/>
      <c r="G3" s="531" t="s">
        <v>23</v>
      </c>
      <c r="H3" s="531"/>
      <c r="I3" s="531"/>
      <c r="J3" s="531"/>
      <c r="K3" s="531"/>
    </row>
    <row r="4" spans="1:12" ht="15" customHeight="1" x14ac:dyDescent="0.3">
      <c r="A4" s="519" t="s">
        <v>24</v>
      </c>
      <c r="B4" s="519"/>
      <c r="C4" s="519" t="s">
        <v>25</v>
      </c>
      <c r="D4" s="518"/>
      <c r="E4" s="518"/>
      <c r="G4" s="519" t="s">
        <v>24</v>
      </c>
      <c r="H4" s="519"/>
      <c r="I4" s="519" t="s">
        <v>25</v>
      </c>
      <c r="J4" s="519"/>
      <c r="K4" s="519"/>
    </row>
    <row r="5" spans="1:12" ht="15" customHeight="1" x14ac:dyDescent="0.3">
      <c r="A5" s="522" t="s">
        <v>26</v>
      </c>
      <c r="B5" s="522"/>
      <c r="C5" s="522"/>
      <c r="D5" s="522"/>
      <c r="E5" s="522"/>
      <c r="G5" s="522" t="s">
        <v>27</v>
      </c>
      <c r="H5" s="522"/>
      <c r="I5" s="522"/>
      <c r="J5" s="522"/>
      <c r="K5" s="522"/>
    </row>
    <row r="6" spans="1:12" ht="37.5" customHeight="1" x14ac:dyDescent="0.3">
      <c r="A6" s="521" t="s">
        <v>28</v>
      </c>
      <c r="B6" s="521"/>
      <c r="C6" s="512" t="s">
        <v>29</v>
      </c>
      <c r="D6" s="513"/>
      <c r="E6" s="513"/>
      <c r="F6" s="371"/>
      <c r="G6" s="521" t="s">
        <v>30</v>
      </c>
      <c r="H6" s="521"/>
      <c r="I6" s="512" t="s">
        <v>31</v>
      </c>
      <c r="J6" s="512"/>
      <c r="K6" s="512"/>
      <c r="L6" s="371"/>
    </row>
    <row r="7" spans="1:12" ht="26.7" customHeight="1" x14ac:dyDescent="0.3">
      <c r="A7" s="521"/>
      <c r="B7" s="521"/>
      <c r="C7" s="512" t="s">
        <v>32</v>
      </c>
      <c r="D7" s="513"/>
      <c r="E7" s="513"/>
      <c r="F7" s="371"/>
      <c r="G7" s="521"/>
      <c r="H7" s="521"/>
      <c r="I7" s="512" t="s">
        <v>33</v>
      </c>
      <c r="J7" s="512"/>
      <c r="K7" s="512"/>
      <c r="L7" s="371"/>
    </row>
    <row r="8" spans="1:12" ht="37.5" customHeight="1" x14ac:dyDescent="0.3">
      <c r="A8" s="521" t="s">
        <v>34</v>
      </c>
      <c r="B8" s="521"/>
      <c r="C8" s="512" t="s">
        <v>35</v>
      </c>
      <c r="D8" s="513"/>
      <c r="E8" s="513"/>
      <c r="F8" s="371"/>
      <c r="G8" s="518"/>
      <c r="H8" s="518"/>
      <c r="I8" s="512" t="s">
        <v>36</v>
      </c>
      <c r="J8" s="513"/>
      <c r="K8" s="513"/>
      <c r="L8" s="371"/>
    </row>
    <row r="9" spans="1:12" ht="26.7" customHeight="1" x14ac:dyDescent="0.3">
      <c r="A9" s="521"/>
      <c r="B9" s="521"/>
      <c r="C9" s="512" t="s">
        <v>37</v>
      </c>
      <c r="D9" s="513"/>
      <c r="E9" s="513"/>
      <c r="F9" s="371"/>
      <c r="G9" s="522" t="s">
        <v>38</v>
      </c>
      <c r="H9" s="522"/>
      <c r="I9" s="522"/>
      <c r="J9" s="522"/>
      <c r="K9" s="522"/>
    </row>
    <row r="10" spans="1:12" ht="37.5" customHeight="1" x14ac:dyDescent="0.3">
      <c r="A10" s="521"/>
      <c r="B10" s="521"/>
      <c r="C10" s="512" t="s">
        <v>39</v>
      </c>
      <c r="D10" s="513"/>
      <c r="E10" s="513"/>
      <c r="F10" s="371"/>
      <c r="G10" s="529" t="s">
        <v>40</v>
      </c>
      <c r="H10" s="529"/>
      <c r="I10" s="512" t="s">
        <v>41</v>
      </c>
      <c r="J10" s="512"/>
      <c r="K10" s="512"/>
      <c r="L10" s="371"/>
    </row>
    <row r="11" spans="1:12" ht="26.7" customHeight="1" x14ac:dyDescent="0.3">
      <c r="A11" s="521"/>
      <c r="B11" s="521"/>
      <c r="C11" s="512" t="s">
        <v>42</v>
      </c>
      <c r="D11" s="513"/>
      <c r="E11" s="513"/>
      <c r="F11" s="302"/>
      <c r="G11" s="529"/>
      <c r="H11" s="529"/>
      <c r="I11" s="512" t="s">
        <v>43</v>
      </c>
      <c r="J11" s="512"/>
      <c r="K11" s="512"/>
      <c r="L11" s="371"/>
    </row>
    <row r="12" spans="1:12" ht="26.7" customHeight="1" x14ac:dyDescent="0.3">
      <c r="A12" s="521"/>
      <c r="B12" s="521"/>
      <c r="C12" s="512" t="s">
        <v>44</v>
      </c>
      <c r="D12" s="512"/>
      <c r="E12" s="512"/>
      <c r="F12" s="371"/>
      <c r="G12" s="529"/>
      <c r="H12" s="529"/>
      <c r="I12" s="512" t="s">
        <v>45</v>
      </c>
      <c r="J12" s="512"/>
      <c r="K12" s="512"/>
      <c r="L12" s="371"/>
    </row>
    <row r="13" spans="1:12" ht="37.5" customHeight="1" x14ac:dyDescent="0.3">
      <c r="A13" s="521"/>
      <c r="B13" s="521"/>
      <c r="C13" s="512" t="s">
        <v>46</v>
      </c>
      <c r="D13" s="513"/>
      <c r="E13" s="513"/>
      <c r="F13" s="371"/>
      <c r="G13" s="521" t="s">
        <v>47</v>
      </c>
      <c r="H13" s="521"/>
      <c r="I13" s="512" t="s">
        <v>48</v>
      </c>
      <c r="J13" s="512"/>
      <c r="K13" s="512"/>
      <c r="L13" s="383"/>
    </row>
    <row r="14" spans="1:12" ht="37.5" customHeight="1" x14ac:dyDescent="0.3">
      <c r="A14" s="518"/>
      <c r="B14" s="518"/>
      <c r="C14" s="512" t="s">
        <v>49</v>
      </c>
      <c r="D14" s="513"/>
      <c r="E14" s="513"/>
      <c r="F14" s="371"/>
      <c r="G14" s="522" t="s">
        <v>50</v>
      </c>
      <c r="H14" s="522"/>
      <c r="I14" s="522"/>
      <c r="J14" s="522"/>
      <c r="K14" s="522"/>
      <c r="L14" s="371"/>
    </row>
    <row r="15" spans="1:12" ht="37.5" customHeight="1" x14ac:dyDescent="0.3">
      <c r="A15" s="518"/>
      <c r="B15" s="518"/>
      <c r="C15" s="512" t="s">
        <v>51</v>
      </c>
      <c r="D15" s="513"/>
      <c r="E15" s="513"/>
      <c r="F15" s="371"/>
      <c r="G15" s="520" t="s">
        <v>52</v>
      </c>
      <c r="H15" s="520"/>
      <c r="I15" s="527" t="s">
        <v>53</v>
      </c>
      <c r="J15" s="528"/>
      <c r="K15" s="528"/>
      <c r="L15" s="371"/>
    </row>
    <row r="16" spans="1:12" ht="13.8" x14ac:dyDescent="0.3">
      <c r="A16" s="521" t="s">
        <v>54</v>
      </c>
      <c r="B16" s="521"/>
      <c r="C16" s="512" t="s">
        <v>55</v>
      </c>
      <c r="D16" s="513"/>
      <c r="E16" s="513"/>
      <c r="F16" s="371"/>
      <c r="G16" s="520"/>
      <c r="H16" s="520"/>
      <c r="I16" s="523" t="s">
        <v>56</v>
      </c>
      <c r="J16" s="523"/>
      <c r="K16" s="523"/>
      <c r="L16" s="371"/>
    </row>
    <row r="17" spans="1:11" ht="26.7" customHeight="1" x14ac:dyDescent="0.3">
      <c r="A17" s="521"/>
      <c r="B17" s="521"/>
      <c r="C17" s="512" t="s">
        <v>57</v>
      </c>
      <c r="D17" s="513"/>
      <c r="E17" s="513"/>
      <c r="F17" s="371"/>
      <c r="G17" s="520" t="s">
        <v>58</v>
      </c>
      <c r="H17" s="520"/>
      <c r="I17" s="512" t="s">
        <v>59</v>
      </c>
      <c r="J17" s="513"/>
      <c r="K17" s="513"/>
    </row>
    <row r="18" spans="1:11" ht="26.25" customHeight="1" x14ac:dyDescent="0.3">
      <c r="A18" s="521"/>
      <c r="B18" s="521"/>
      <c r="C18" s="512" t="s">
        <v>60</v>
      </c>
      <c r="D18" s="513"/>
      <c r="E18" s="513"/>
      <c r="F18" s="371"/>
      <c r="G18" s="520"/>
      <c r="H18" s="520"/>
      <c r="I18" s="514" t="s">
        <v>61</v>
      </c>
      <c r="J18" s="514"/>
      <c r="K18" s="514"/>
    </row>
    <row r="19" spans="1:11" ht="15.75" customHeight="1" x14ac:dyDescent="0.3">
      <c r="A19" s="521"/>
      <c r="B19" s="521"/>
      <c r="C19" s="512" t="s">
        <v>62</v>
      </c>
      <c r="D19" s="513"/>
      <c r="E19" s="513"/>
      <c r="F19" s="371"/>
    </row>
    <row r="20" spans="1:11" ht="15.75" customHeight="1" x14ac:dyDescent="0.3">
      <c r="A20" s="521"/>
      <c r="B20" s="521"/>
      <c r="C20" s="512" t="s">
        <v>63</v>
      </c>
      <c r="D20" s="513"/>
      <c r="E20" s="513"/>
      <c r="F20" s="371"/>
    </row>
    <row r="21" spans="1:11" ht="26.7" customHeight="1" x14ac:dyDescent="0.3">
      <c r="A21" s="521"/>
      <c r="B21" s="521"/>
      <c r="C21" s="512" t="s">
        <v>64</v>
      </c>
      <c r="D21" s="513"/>
      <c r="E21" s="513"/>
      <c r="F21" s="371"/>
    </row>
    <row r="22" spans="1:11" ht="15" customHeight="1" x14ac:dyDescent="0.3">
      <c r="A22" s="522" t="s">
        <v>65</v>
      </c>
      <c r="B22" s="522"/>
      <c r="C22" s="522"/>
      <c r="D22" s="522"/>
      <c r="E22" s="522"/>
    </row>
    <row r="23" spans="1:11" ht="26.7" customHeight="1" x14ac:dyDescent="0.3">
      <c r="A23" s="521" t="s">
        <v>66</v>
      </c>
      <c r="B23" s="521"/>
      <c r="C23" s="512" t="s">
        <v>67</v>
      </c>
      <c r="D23" s="513"/>
      <c r="E23" s="513"/>
      <c r="F23" s="371"/>
      <c r="G23" s="371"/>
    </row>
    <row r="24" spans="1:11" ht="15.75" customHeight="1" x14ac:dyDescent="0.3">
      <c r="A24" s="521" t="s">
        <v>68</v>
      </c>
      <c r="B24" s="521"/>
      <c r="C24" s="512" t="s">
        <v>69</v>
      </c>
      <c r="D24" s="513"/>
      <c r="E24" s="513"/>
      <c r="F24" s="371"/>
      <c r="G24" s="371"/>
    </row>
    <row r="25" spans="1:11" ht="26.7" customHeight="1" x14ac:dyDescent="0.3">
      <c r="A25" s="521"/>
      <c r="B25" s="521"/>
      <c r="C25" s="512" t="s">
        <v>70</v>
      </c>
      <c r="D25" s="513"/>
      <c r="E25" s="513"/>
      <c r="F25" s="371"/>
      <c r="G25" s="371"/>
    </row>
    <row r="26" spans="1:11" ht="26.7" customHeight="1" x14ac:dyDescent="0.3">
      <c r="A26" s="521"/>
      <c r="B26" s="521"/>
      <c r="C26" s="512" t="s">
        <v>71</v>
      </c>
      <c r="D26" s="513"/>
      <c r="E26" s="513"/>
      <c r="F26" s="371"/>
      <c r="G26" s="371"/>
    </row>
    <row r="27" spans="1:11" ht="15.75" customHeight="1" x14ac:dyDescent="0.3">
      <c r="A27" s="521"/>
      <c r="B27" s="521"/>
      <c r="C27" s="512" t="s">
        <v>72</v>
      </c>
      <c r="D27" s="513"/>
      <c r="E27" s="513"/>
      <c r="F27" s="371"/>
      <c r="G27" s="371"/>
    </row>
    <row r="28" spans="1:11" ht="26.7" customHeight="1" x14ac:dyDescent="0.3">
      <c r="A28" s="521" t="s">
        <v>73</v>
      </c>
      <c r="B28" s="521"/>
      <c r="C28" s="512" t="s">
        <v>74</v>
      </c>
      <c r="D28" s="513"/>
      <c r="E28" s="513"/>
      <c r="F28" s="371"/>
      <c r="G28" s="371"/>
    </row>
    <row r="29" spans="1:11" ht="37.5" customHeight="1" x14ac:dyDescent="0.3">
      <c r="A29" s="521"/>
      <c r="B29" s="521"/>
      <c r="C29" s="512" t="s">
        <v>75</v>
      </c>
      <c r="D29" s="513"/>
      <c r="E29" s="513"/>
      <c r="F29" s="371"/>
      <c r="G29" s="371"/>
    </row>
    <row r="30" spans="1:11" ht="15.75" customHeight="1" x14ac:dyDescent="0.3">
      <c r="A30" s="521"/>
      <c r="B30" s="521"/>
      <c r="C30" s="512" t="s">
        <v>76</v>
      </c>
      <c r="D30" s="513"/>
      <c r="E30" s="513"/>
      <c r="F30" s="371"/>
      <c r="G30" s="371"/>
    </row>
    <row r="31" spans="1:11" ht="26.7" customHeight="1" x14ac:dyDescent="0.3">
      <c r="A31" s="521" t="s">
        <v>77</v>
      </c>
      <c r="B31" s="521"/>
      <c r="C31" s="512" t="s">
        <v>78</v>
      </c>
      <c r="D31" s="513"/>
      <c r="E31" s="513"/>
      <c r="F31" s="371"/>
      <c r="G31" s="371"/>
    </row>
    <row r="32" spans="1:11" ht="26.7" customHeight="1" x14ac:dyDescent="0.3">
      <c r="A32" s="521"/>
      <c r="B32" s="521"/>
      <c r="C32" s="512" t="s">
        <v>79</v>
      </c>
      <c r="D32" s="513"/>
      <c r="E32" s="513"/>
      <c r="F32" s="371"/>
      <c r="G32" s="371"/>
    </row>
    <row r="33" spans="1:7" ht="26.7" customHeight="1" x14ac:dyDescent="0.3">
      <c r="A33" s="526" t="s">
        <v>80</v>
      </c>
      <c r="B33" s="526"/>
      <c r="C33" s="512" t="s">
        <v>81</v>
      </c>
      <c r="D33" s="512"/>
      <c r="E33" s="512"/>
      <c r="F33" s="371"/>
      <c r="G33" s="371"/>
    </row>
    <row r="34" spans="1:7" ht="26.7" customHeight="1" x14ac:dyDescent="0.3">
      <c r="A34" s="526"/>
      <c r="B34" s="526"/>
      <c r="C34" s="512" t="s">
        <v>82</v>
      </c>
      <c r="D34" s="512"/>
      <c r="E34" s="512"/>
      <c r="F34" s="371"/>
      <c r="G34" s="371"/>
    </row>
    <row r="35" spans="1:7" ht="26.7" customHeight="1" x14ac:dyDescent="0.3">
      <c r="A35" s="526"/>
      <c r="B35" s="526"/>
      <c r="C35" s="512" t="s">
        <v>83</v>
      </c>
      <c r="D35" s="512"/>
      <c r="E35" s="512"/>
      <c r="F35" s="371"/>
      <c r="G35" s="371"/>
    </row>
    <row r="36" spans="1:7" ht="26.7" customHeight="1" x14ac:dyDescent="0.3">
      <c r="A36" s="526"/>
      <c r="B36" s="526"/>
      <c r="C36" s="512" t="s">
        <v>84</v>
      </c>
      <c r="D36" s="512"/>
      <c r="E36" s="512"/>
      <c r="F36" s="371"/>
      <c r="G36" s="371"/>
    </row>
    <row r="37" spans="1:7" ht="26.7" customHeight="1" x14ac:dyDescent="0.3">
      <c r="A37" s="526"/>
      <c r="B37" s="526"/>
      <c r="C37" s="512" t="s">
        <v>85</v>
      </c>
      <c r="D37" s="512"/>
      <c r="E37" s="512"/>
      <c r="F37" s="371"/>
      <c r="G37" s="371"/>
    </row>
    <row r="38" spans="1:7" ht="26.7" customHeight="1" x14ac:dyDescent="0.3">
      <c r="A38" s="526"/>
      <c r="B38" s="526"/>
      <c r="C38" s="512" t="s">
        <v>86</v>
      </c>
      <c r="D38" s="512"/>
      <c r="E38" s="512"/>
      <c r="F38" s="371"/>
      <c r="G38" s="371"/>
    </row>
    <row r="39" spans="1:7" ht="26.7" customHeight="1" x14ac:dyDescent="0.3">
      <c r="A39" s="526"/>
      <c r="B39" s="526"/>
      <c r="C39" s="512" t="s">
        <v>87</v>
      </c>
      <c r="D39" s="512"/>
      <c r="E39" s="512"/>
      <c r="F39" s="371"/>
      <c r="G39" s="371"/>
    </row>
    <row r="40" spans="1:7" ht="26.7" customHeight="1" x14ac:dyDescent="0.3">
      <c r="A40" s="526"/>
      <c r="B40" s="526"/>
      <c r="C40" s="512" t="s">
        <v>88</v>
      </c>
      <c r="D40" s="512"/>
      <c r="E40" s="512"/>
      <c r="F40" s="371"/>
      <c r="G40" s="371"/>
    </row>
    <row r="41" spans="1:7" ht="26.7" customHeight="1" x14ac:dyDescent="0.3">
      <c r="A41" s="526"/>
      <c r="B41" s="526"/>
      <c r="C41" s="512" t="s">
        <v>89</v>
      </c>
      <c r="D41" s="512"/>
      <c r="E41" s="512"/>
      <c r="F41" s="371"/>
      <c r="G41" s="371"/>
    </row>
    <row r="42" spans="1:7" ht="26.7" customHeight="1" x14ac:dyDescent="0.3">
      <c r="A42" s="526"/>
      <c r="B42" s="526"/>
      <c r="C42" s="512" t="s">
        <v>90</v>
      </c>
      <c r="D42" s="512"/>
      <c r="E42" s="512"/>
      <c r="F42" s="371"/>
      <c r="G42" s="371"/>
    </row>
    <row r="43" spans="1:7" ht="26.7" customHeight="1" x14ac:dyDescent="0.3">
      <c r="A43" s="526"/>
      <c r="B43" s="526"/>
      <c r="C43" s="512" t="s">
        <v>91</v>
      </c>
      <c r="D43" s="512"/>
      <c r="E43" s="512"/>
      <c r="F43" s="371"/>
      <c r="G43" s="371"/>
    </row>
    <row r="44" spans="1:7" ht="26.7" customHeight="1" x14ac:dyDescent="0.3">
      <c r="A44" s="526"/>
      <c r="B44" s="526"/>
      <c r="C44" s="512" t="s">
        <v>92</v>
      </c>
      <c r="D44" s="512"/>
      <c r="E44" s="512"/>
      <c r="F44" s="371"/>
      <c r="G44" s="371"/>
    </row>
    <row r="45" spans="1:7" ht="26.7" customHeight="1" x14ac:dyDescent="0.3">
      <c r="A45" s="526"/>
      <c r="B45" s="526"/>
      <c r="C45" s="512" t="s">
        <v>93</v>
      </c>
      <c r="D45" s="512"/>
      <c r="E45" s="512"/>
      <c r="F45" s="371"/>
      <c r="G45" s="371"/>
    </row>
    <row r="46" spans="1:7" ht="26.7" customHeight="1" x14ac:dyDescent="0.3">
      <c r="A46" s="526"/>
      <c r="B46" s="526"/>
      <c r="C46" s="512" t="s">
        <v>94</v>
      </c>
      <c r="D46" s="512"/>
      <c r="E46" s="512"/>
      <c r="F46" s="371"/>
      <c r="G46" s="371"/>
    </row>
    <row r="47" spans="1:7" ht="26.7" customHeight="1" x14ac:dyDescent="0.3">
      <c r="A47" s="520" t="s">
        <v>95</v>
      </c>
      <c r="B47" s="520"/>
      <c r="C47" s="512" t="s">
        <v>81</v>
      </c>
      <c r="D47" s="512"/>
      <c r="E47" s="512"/>
      <c r="F47" s="371"/>
      <c r="G47" s="371"/>
    </row>
    <row r="48" spans="1:7" ht="26.7" customHeight="1" x14ac:dyDescent="0.3">
      <c r="A48" s="520"/>
      <c r="B48" s="520"/>
      <c r="C48" s="512" t="s">
        <v>82</v>
      </c>
      <c r="D48" s="512"/>
      <c r="E48" s="512"/>
      <c r="F48" s="371"/>
      <c r="G48" s="371"/>
    </row>
    <row r="49" spans="1:7" ht="26.7" customHeight="1" x14ac:dyDescent="0.3">
      <c r="A49" s="520"/>
      <c r="B49" s="520"/>
      <c r="C49" s="512" t="s">
        <v>83</v>
      </c>
      <c r="D49" s="512"/>
      <c r="E49" s="512"/>
      <c r="F49" s="371"/>
      <c r="G49" s="371"/>
    </row>
    <row r="50" spans="1:7" ht="26.7" customHeight="1" x14ac:dyDescent="0.3">
      <c r="A50" s="520"/>
      <c r="B50" s="520"/>
      <c r="C50" s="512" t="s">
        <v>84</v>
      </c>
      <c r="D50" s="512"/>
      <c r="E50" s="512"/>
      <c r="F50" s="371"/>
      <c r="G50" s="371"/>
    </row>
    <row r="51" spans="1:7" ht="26.7" customHeight="1" x14ac:dyDescent="0.3">
      <c r="A51" s="520"/>
      <c r="B51" s="520"/>
      <c r="C51" s="512" t="s">
        <v>85</v>
      </c>
      <c r="D51" s="512"/>
      <c r="E51" s="512"/>
      <c r="F51" s="371"/>
      <c r="G51" s="371"/>
    </row>
    <row r="52" spans="1:7" ht="26.7" customHeight="1" x14ac:dyDescent="0.3">
      <c r="A52" s="520"/>
      <c r="B52" s="520"/>
      <c r="C52" s="512" t="s">
        <v>86</v>
      </c>
      <c r="D52" s="512"/>
      <c r="E52" s="512"/>
      <c r="F52" s="371"/>
      <c r="G52" s="371"/>
    </row>
    <row r="53" spans="1:7" ht="26.7" customHeight="1" x14ac:dyDescent="0.3">
      <c r="A53" s="520"/>
      <c r="B53" s="520"/>
      <c r="C53" s="512" t="s">
        <v>87</v>
      </c>
      <c r="D53" s="512"/>
      <c r="E53" s="512"/>
      <c r="F53" s="371"/>
      <c r="G53" s="371"/>
    </row>
    <row r="54" spans="1:7" ht="26.7" customHeight="1" x14ac:dyDescent="0.3">
      <c r="A54" s="520"/>
      <c r="B54" s="520"/>
      <c r="C54" s="512" t="s">
        <v>88</v>
      </c>
      <c r="D54" s="512"/>
      <c r="E54" s="512"/>
      <c r="F54" s="371"/>
      <c r="G54" s="371"/>
    </row>
    <row r="55" spans="1:7" ht="26.7" customHeight="1" x14ac:dyDescent="0.3">
      <c r="A55" s="520"/>
      <c r="B55" s="520"/>
      <c r="C55" s="512" t="s">
        <v>89</v>
      </c>
      <c r="D55" s="512"/>
      <c r="E55" s="512"/>
      <c r="F55" s="371"/>
      <c r="G55" s="371"/>
    </row>
    <row r="56" spans="1:7" ht="26.7" customHeight="1" x14ac:dyDescent="0.3">
      <c r="A56" s="520"/>
      <c r="B56" s="520"/>
      <c r="C56" s="512" t="s">
        <v>90</v>
      </c>
      <c r="D56" s="512"/>
      <c r="E56" s="512"/>
      <c r="F56" s="371"/>
      <c r="G56" s="371"/>
    </row>
    <row r="57" spans="1:7" ht="26.7" customHeight="1" x14ac:dyDescent="0.3">
      <c r="A57" s="520"/>
      <c r="B57" s="520"/>
      <c r="C57" s="512" t="s">
        <v>91</v>
      </c>
      <c r="D57" s="512"/>
      <c r="E57" s="512"/>
      <c r="F57" s="371"/>
      <c r="G57" s="371"/>
    </row>
    <row r="58" spans="1:7" ht="26.7" customHeight="1" x14ac:dyDescent="0.3">
      <c r="A58" s="520"/>
      <c r="B58" s="520"/>
      <c r="C58" s="512" t="s">
        <v>92</v>
      </c>
      <c r="D58" s="512"/>
      <c r="E58" s="512"/>
      <c r="F58" s="371"/>
      <c r="G58" s="371"/>
    </row>
    <row r="59" spans="1:7" ht="26.7" customHeight="1" x14ac:dyDescent="0.3">
      <c r="A59" s="520"/>
      <c r="B59" s="520"/>
      <c r="C59" s="512" t="s">
        <v>93</v>
      </c>
      <c r="D59" s="512"/>
      <c r="E59" s="512"/>
      <c r="F59" s="371"/>
      <c r="G59" s="371"/>
    </row>
    <row r="60" spans="1:7" ht="26.7" customHeight="1" x14ac:dyDescent="0.3">
      <c r="A60" s="520"/>
      <c r="B60" s="520"/>
      <c r="C60" s="512" t="s">
        <v>94</v>
      </c>
      <c r="D60" s="512"/>
      <c r="E60" s="512"/>
      <c r="F60" s="371"/>
      <c r="G60" s="371"/>
    </row>
    <row r="61" spans="1:7" ht="15.75" customHeight="1" x14ac:dyDescent="0.3">
      <c r="A61" s="521" t="s">
        <v>96</v>
      </c>
      <c r="B61" s="521"/>
      <c r="C61" s="525" t="s">
        <v>97</v>
      </c>
      <c r="D61" s="525"/>
      <c r="E61" s="525"/>
      <c r="F61" s="371"/>
      <c r="G61" s="371"/>
    </row>
    <row r="62" spans="1:7" ht="15.75" customHeight="1" x14ac:dyDescent="0.3">
      <c r="A62" s="521"/>
      <c r="B62" s="521"/>
      <c r="C62" s="512" t="s">
        <v>98</v>
      </c>
      <c r="D62" s="513"/>
      <c r="E62" s="513"/>
      <c r="F62" s="371"/>
      <c r="G62" s="371"/>
    </row>
    <row r="63" spans="1:7" ht="26.7" customHeight="1" x14ac:dyDescent="0.3">
      <c r="A63" s="521" t="s">
        <v>99</v>
      </c>
      <c r="B63" s="521"/>
      <c r="C63" s="512" t="s">
        <v>100</v>
      </c>
      <c r="D63" s="513"/>
      <c r="E63" s="513"/>
      <c r="F63" s="371"/>
      <c r="G63" s="371"/>
    </row>
    <row r="64" spans="1:7" ht="26.7" customHeight="1" x14ac:dyDescent="0.3">
      <c r="A64" s="521"/>
      <c r="B64" s="521"/>
      <c r="C64" s="512" t="s">
        <v>101</v>
      </c>
      <c r="D64" s="513"/>
      <c r="E64" s="513"/>
      <c r="F64" s="371"/>
      <c r="G64" s="371"/>
    </row>
    <row r="65" spans="1:7" ht="26.7" customHeight="1" x14ac:dyDescent="0.3">
      <c r="A65" s="521" t="s">
        <v>102</v>
      </c>
      <c r="B65" s="521"/>
      <c r="C65" s="512" t="s">
        <v>103</v>
      </c>
      <c r="D65" s="513"/>
      <c r="E65" s="513"/>
      <c r="F65" s="371"/>
      <c r="G65" s="371"/>
    </row>
    <row r="66" spans="1:7" ht="26.7" customHeight="1" x14ac:dyDescent="0.3">
      <c r="A66" s="521"/>
      <c r="B66" s="521"/>
      <c r="C66" s="512" t="s">
        <v>104</v>
      </c>
      <c r="D66" s="513"/>
      <c r="E66" s="513"/>
      <c r="F66" s="371"/>
      <c r="G66" s="371"/>
    </row>
    <row r="67" spans="1:7" ht="15.75" customHeight="1" x14ac:dyDescent="0.3">
      <c r="A67" s="521"/>
      <c r="B67" s="521"/>
      <c r="C67" s="512" t="s">
        <v>105</v>
      </c>
      <c r="D67" s="513"/>
      <c r="E67" s="513"/>
      <c r="F67" s="371"/>
      <c r="G67" s="371"/>
    </row>
    <row r="68" spans="1:7" ht="26.7" customHeight="1" x14ac:dyDescent="0.3">
      <c r="A68" s="521" t="s">
        <v>106</v>
      </c>
      <c r="B68" s="521"/>
      <c r="C68" s="512" t="s">
        <v>107</v>
      </c>
      <c r="D68" s="513"/>
      <c r="E68" s="513"/>
      <c r="F68" s="371"/>
      <c r="G68" s="371"/>
    </row>
    <row r="69" spans="1:7" ht="26.7" customHeight="1" x14ac:dyDescent="0.3">
      <c r="A69" s="521"/>
      <c r="B69" s="521"/>
      <c r="C69" s="512" t="s">
        <v>108</v>
      </c>
      <c r="D69" s="513"/>
      <c r="E69" s="513"/>
      <c r="F69" s="371"/>
      <c r="G69" s="371"/>
    </row>
    <row r="70" spans="1:7" ht="26.7" customHeight="1" x14ac:dyDescent="0.3">
      <c r="A70" s="521"/>
      <c r="B70" s="521"/>
      <c r="C70" s="512" t="s">
        <v>109</v>
      </c>
      <c r="D70" s="513"/>
      <c r="E70" s="513"/>
      <c r="F70" s="371"/>
      <c r="G70" s="371"/>
    </row>
    <row r="71" spans="1:7" ht="26.7" customHeight="1" x14ac:dyDescent="0.3">
      <c r="A71" s="521"/>
      <c r="B71" s="521"/>
      <c r="C71" s="512" t="s">
        <v>110</v>
      </c>
      <c r="D71" s="513"/>
      <c r="E71" s="513"/>
      <c r="F71" s="371"/>
      <c r="G71" s="371"/>
    </row>
    <row r="72" spans="1:7" ht="26.7" customHeight="1" x14ac:dyDescent="0.3">
      <c r="A72" s="521"/>
      <c r="B72" s="521"/>
      <c r="C72" s="512" t="s">
        <v>111</v>
      </c>
      <c r="D72" s="513"/>
      <c r="E72" s="513"/>
      <c r="F72" s="371"/>
      <c r="G72" s="371"/>
    </row>
    <row r="73" spans="1:7" ht="26.7" customHeight="1" x14ac:dyDescent="0.3">
      <c r="A73" s="521"/>
      <c r="B73" s="521"/>
      <c r="C73" s="512" t="s">
        <v>112</v>
      </c>
      <c r="D73" s="513"/>
      <c r="E73" s="513"/>
      <c r="F73" s="371"/>
      <c r="G73" s="371"/>
    </row>
    <row r="74" spans="1:7" ht="15.75" customHeight="1" x14ac:dyDescent="0.3">
      <c r="A74" s="521"/>
      <c r="B74" s="521"/>
      <c r="C74" s="512" t="s">
        <v>113</v>
      </c>
      <c r="D74" s="513"/>
      <c r="E74" s="513"/>
      <c r="F74" s="371"/>
      <c r="G74" s="371"/>
    </row>
    <row r="75" spans="1:7" ht="15.75" customHeight="1" x14ac:dyDescent="0.3">
      <c r="A75" s="521" t="s">
        <v>47</v>
      </c>
      <c r="B75" s="521"/>
      <c r="C75" s="512" t="s">
        <v>114</v>
      </c>
      <c r="D75" s="513"/>
      <c r="E75" s="513"/>
      <c r="F75" s="371"/>
      <c r="G75" s="371"/>
    </row>
    <row r="76" spans="1:7" ht="26.7" customHeight="1" x14ac:dyDescent="0.3">
      <c r="A76" s="521"/>
      <c r="B76" s="521"/>
      <c r="C76" s="512" t="s">
        <v>115</v>
      </c>
      <c r="D76" s="513"/>
      <c r="E76" s="513"/>
      <c r="F76" s="371"/>
      <c r="G76" s="371"/>
    </row>
    <row r="77" spans="1:7" ht="26.7" customHeight="1" x14ac:dyDescent="0.3">
      <c r="A77" s="521"/>
      <c r="B77" s="521"/>
      <c r="C77" s="512" t="s">
        <v>116</v>
      </c>
      <c r="D77" s="513"/>
      <c r="E77" s="513"/>
      <c r="F77" s="371"/>
      <c r="G77" s="371"/>
    </row>
    <row r="78" spans="1:7" ht="26.7" customHeight="1" x14ac:dyDescent="0.3">
      <c r="A78" s="518"/>
      <c r="B78" s="518"/>
      <c r="C78" s="512" t="s">
        <v>117</v>
      </c>
      <c r="D78" s="513"/>
      <c r="E78" s="513"/>
      <c r="F78" s="371"/>
      <c r="G78" s="371"/>
    </row>
    <row r="79" spans="1:7" ht="26.7" customHeight="1" x14ac:dyDescent="0.3">
      <c r="A79" s="521"/>
      <c r="B79" s="521"/>
      <c r="C79" s="512" t="s">
        <v>118</v>
      </c>
      <c r="D79" s="513"/>
      <c r="E79" s="513"/>
      <c r="F79" s="371"/>
      <c r="G79" s="371"/>
    </row>
    <row r="80" spans="1:7" ht="15.75" customHeight="1" x14ac:dyDescent="0.3">
      <c r="A80" s="521"/>
      <c r="B80" s="521"/>
      <c r="C80" s="512" t="s">
        <v>119</v>
      </c>
      <c r="D80" s="513"/>
      <c r="E80" s="513"/>
      <c r="F80" s="371"/>
      <c r="G80" s="371"/>
    </row>
    <row r="81" spans="1:7" ht="15.75" customHeight="1" x14ac:dyDescent="0.3">
      <c r="A81" s="521"/>
      <c r="B81" s="521"/>
      <c r="C81" s="512" t="s">
        <v>120</v>
      </c>
      <c r="D81" s="513"/>
      <c r="E81" s="513"/>
      <c r="F81" s="371"/>
      <c r="G81" s="371"/>
    </row>
    <row r="82" spans="1:7" ht="15.75" customHeight="1" x14ac:dyDescent="0.3">
      <c r="A82" s="521"/>
      <c r="B82" s="521"/>
      <c r="C82" s="512" t="s">
        <v>121</v>
      </c>
      <c r="D82" s="513"/>
      <c r="E82" s="513"/>
      <c r="F82" s="371"/>
      <c r="G82" s="371"/>
    </row>
    <row r="83" spans="1:7" ht="15.75" customHeight="1" x14ac:dyDescent="0.3">
      <c r="A83" s="521"/>
      <c r="B83" s="521"/>
      <c r="C83" s="512" t="s">
        <v>122</v>
      </c>
      <c r="D83" s="513"/>
      <c r="E83" s="513"/>
      <c r="F83" s="371"/>
      <c r="G83" s="371"/>
    </row>
    <row r="84" spans="1:7" ht="26.7" customHeight="1" x14ac:dyDescent="0.3">
      <c r="A84" s="521"/>
      <c r="B84" s="521"/>
      <c r="C84" s="512" t="s">
        <v>123</v>
      </c>
      <c r="D84" s="513"/>
      <c r="E84" s="513"/>
      <c r="F84" s="371"/>
      <c r="G84" s="371"/>
    </row>
    <row r="85" spans="1:7" ht="26.7" customHeight="1" x14ac:dyDescent="0.3">
      <c r="A85" s="521"/>
      <c r="B85" s="521"/>
      <c r="C85" s="512" t="s">
        <v>124</v>
      </c>
      <c r="D85" s="513"/>
      <c r="E85" s="513"/>
      <c r="F85" s="371"/>
      <c r="G85" s="371"/>
    </row>
    <row r="86" spans="1:7" ht="15.75" customHeight="1" x14ac:dyDescent="0.3">
      <c r="A86" s="521"/>
      <c r="B86" s="521"/>
      <c r="C86" s="512" t="s">
        <v>125</v>
      </c>
      <c r="D86" s="513"/>
      <c r="E86" s="513"/>
      <c r="F86" s="371"/>
      <c r="G86" s="371"/>
    </row>
    <row r="87" spans="1:7" ht="15" customHeight="1" x14ac:dyDescent="0.3">
      <c r="A87" s="522" t="s">
        <v>126</v>
      </c>
      <c r="B87" s="522"/>
      <c r="C87" s="522"/>
      <c r="D87" s="522"/>
      <c r="E87" s="522"/>
    </row>
    <row r="88" spans="1:7" ht="15.75" customHeight="1" x14ac:dyDescent="0.3">
      <c r="A88" s="521" t="s">
        <v>127</v>
      </c>
      <c r="B88" s="521"/>
      <c r="C88" s="512" t="s">
        <v>128</v>
      </c>
      <c r="D88" s="513"/>
      <c r="E88" s="513"/>
      <c r="F88" s="371"/>
    </row>
    <row r="89" spans="1:7" ht="26.7" customHeight="1" x14ac:dyDescent="0.3">
      <c r="A89" s="521" t="s">
        <v>129</v>
      </c>
      <c r="B89" s="521"/>
      <c r="C89" s="512" t="s">
        <v>130</v>
      </c>
      <c r="D89" s="513"/>
      <c r="E89" s="513"/>
      <c r="F89" s="371"/>
    </row>
    <row r="90" spans="1:7" ht="15.75" customHeight="1" x14ac:dyDescent="0.3">
      <c r="A90" s="521"/>
      <c r="B90" s="521"/>
      <c r="C90" s="512" t="s">
        <v>31</v>
      </c>
      <c r="D90" s="513"/>
      <c r="E90" s="513"/>
      <c r="F90" s="371"/>
    </row>
    <row r="91" spans="1:7" ht="26.7" customHeight="1" x14ac:dyDescent="0.3">
      <c r="A91" s="521"/>
      <c r="B91" s="521"/>
      <c r="C91" s="512" t="s">
        <v>131</v>
      </c>
      <c r="D91" s="513"/>
      <c r="E91" s="513"/>
      <c r="F91" s="371"/>
    </row>
    <row r="92" spans="1:7" ht="15.75" customHeight="1" x14ac:dyDescent="0.3">
      <c r="A92" s="521"/>
      <c r="B92" s="521"/>
      <c r="C92" s="512" t="s">
        <v>33</v>
      </c>
      <c r="D92" s="513"/>
      <c r="E92" s="513"/>
      <c r="F92" s="371"/>
    </row>
    <row r="93" spans="1:7" ht="26.7" customHeight="1" x14ac:dyDescent="0.3">
      <c r="A93" s="521"/>
      <c r="B93" s="521"/>
      <c r="C93" s="512" t="s">
        <v>132</v>
      </c>
      <c r="D93" s="513"/>
      <c r="E93" s="513"/>
      <c r="F93" s="371"/>
    </row>
    <row r="94" spans="1:7" ht="26.7" customHeight="1" x14ac:dyDescent="0.3">
      <c r="A94" s="521"/>
      <c r="B94" s="521"/>
      <c r="C94" s="512" t="s">
        <v>133</v>
      </c>
      <c r="D94" s="513"/>
      <c r="E94" s="513"/>
      <c r="F94" s="371"/>
    </row>
    <row r="95" spans="1:7" ht="15.75" customHeight="1" x14ac:dyDescent="0.3">
      <c r="A95" s="521"/>
      <c r="B95" s="521"/>
      <c r="C95" s="512" t="s">
        <v>134</v>
      </c>
      <c r="D95" s="513"/>
      <c r="E95" s="513"/>
      <c r="F95" s="371"/>
    </row>
    <row r="96" spans="1:7" ht="15" customHeight="1" x14ac:dyDescent="0.3">
      <c r="A96" s="522" t="s">
        <v>135</v>
      </c>
      <c r="B96" s="522"/>
      <c r="C96" s="522"/>
      <c r="D96" s="522"/>
      <c r="E96" s="522"/>
    </row>
    <row r="97" spans="1:6" ht="26.7" customHeight="1" x14ac:dyDescent="0.3">
      <c r="A97" s="521" t="s">
        <v>136</v>
      </c>
      <c r="B97" s="521"/>
      <c r="C97" s="512" t="s">
        <v>137</v>
      </c>
      <c r="D97" s="513"/>
      <c r="E97" s="513"/>
      <c r="F97" s="371"/>
    </row>
    <row r="98" spans="1:6" ht="26.7" customHeight="1" x14ac:dyDescent="0.3">
      <c r="A98" s="521" t="s">
        <v>138</v>
      </c>
      <c r="B98" s="521"/>
      <c r="C98" s="512" t="s">
        <v>139</v>
      </c>
      <c r="D98" s="513"/>
      <c r="E98" s="513"/>
      <c r="F98" s="371"/>
    </row>
    <row r="99" spans="1:6" ht="15" customHeight="1" x14ac:dyDescent="0.3">
      <c r="A99" s="521" t="s">
        <v>140</v>
      </c>
      <c r="B99" s="521"/>
      <c r="C99" s="512" t="s">
        <v>141</v>
      </c>
      <c r="D99" s="513"/>
      <c r="E99" s="513"/>
      <c r="F99" s="371"/>
    </row>
    <row r="100" spans="1:6" ht="15" customHeight="1" x14ac:dyDescent="0.3">
      <c r="A100" s="521"/>
      <c r="B100" s="521"/>
      <c r="C100" s="512" t="s">
        <v>142</v>
      </c>
      <c r="D100" s="513"/>
      <c r="E100" s="513"/>
      <c r="F100" s="371"/>
    </row>
    <row r="101" spans="1:6" ht="26.7" customHeight="1" x14ac:dyDescent="0.3">
      <c r="A101" s="521" t="s">
        <v>143</v>
      </c>
      <c r="B101" s="521"/>
      <c r="C101" s="512" t="s">
        <v>144</v>
      </c>
      <c r="D101" s="513"/>
      <c r="E101" s="513"/>
      <c r="F101" s="371"/>
    </row>
    <row r="102" spans="1:6" ht="15" customHeight="1" x14ac:dyDescent="0.3">
      <c r="A102" s="521" t="s">
        <v>145</v>
      </c>
      <c r="B102" s="521"/>
      <c r="C102" s="512" t="s">
        <v>146</v>
      </c>
      <c r="D102" s="513"/>
      <c r="E102" s="513"/>
      <c r="F102" s="371"/>
    </row>
    <row r="103" spans="1:6" ht="26.7" customHeight="1" x14ac:dyDescent="0.3">
      <c r="A103" s="521" t="s">
        <v>147</v>
      </c>
      <c r="B103" s="521"/>
      <c r="C103" s="512" t="s">
        <v>148</v>
      </c>
      <c r="D103" s="513"/>
      <c r="E103" s="513"/>
      <c r="F103" s="371"/>
    </row>
    <row r="104" spans="1:6" ht="26.7" customHeight="1" x14ac:dyDescent="0.3">
      <c r="A104" s="521" t="s">
        <v>149</v>
      </c>
      <c r="B104" s="521"/>
      <c r="C104" s="512" t="s">
        <v>150</v>
      </c>
      <c r="D104" s="513"/>
      <c r="E104" s="513"/>
      <c r="F104" s="371"/>
    </row>
    <row r="105" spans="1:6" ht="37.5" customHeight="1" x14ac:dyDescent="0.3">
      <c r="A105" s="521" t="s">
        <v>151</v>
      </c>
      <c r="B105" s="521"/>
      <c r="C105" s="512" t="s">
        <v>152</v>
      </c>
      <c r="D105" s="513"/>
      <c r="E105" s="513"/>
      <c r="F105" s="371"/>
    </row>
    <row r="106" spans="1:6" ht="26.7" customHeight="1" x14ac:dyDescent="0.3">
      <c r="A106" s="521" t="s">
        <v>153</v>
      </c>
      <c r="B106" s="521"/>
      <c r="C106" s="512" t="s">
        <v>154</v>
      </c>
      <c r="D106" s="513"/>
      <c r="E106" s="513"/>
      <c r="F106" s="371"/>
    </row>
    <row r="107" spans="1:6" ht="26.7" customHeight="1" x14ac:dyDescent="0.3">
      <c r="A107" s="521" t="s">
        <v>155</v>
      </c>
      <c r="B107" s="521"/>
      <c r="C107" s="512" t="s">
        <v>156</v>
      </c>
      <c r="D107" s="513"/>
      <c r="E107" s="513"/>
      <c r="F107" s="371"/>
    </row>
    <row r="108" spans="1:6" ht="26.7" customHeight="1" x14ac:dyDescent="0.3">
      <c r="A108" s="521" t="s">
        <v>157</v>
      </c>
      <c r="B108" s="521"/>
      <c r="C108" s="512" t="s">
        <v>158</v>
      </c>
      <c r="D108" s="513"/>
      <c r="E108" s="513"/>
      <c r="F108" s="371"/>
    </row>
    <row r="109" spans="1:6" ht="15" customHeight="1" x14ac:dyDescent="0.3">
      <c r="A109" s="522" t="s">
        <v>159</v>
      </c>
      <c r="B109" s="522"/>
      <c r="C109" s="522"/>
      <c r="D109" s="522"/>
      <c r="E109" s="522"/>
    </row>
    <row r="110" spans="1:6" ht="26.7" customHeight="1" x14ac:dyDescent="0.3">
      <c r="A110" s="521" t="s">
        <v>160</v>
      </c>
      <c r="B110" s="521"/>
      <c r="C110" s="512" t="s">
        <v>161</v>
      </c>
      <c r="D110" s="513"/>
      <c r="E110" s="513"/>
      <c r="F110" s="371"/>
    </row>
    <row r="111" spans="1:6" ht="15.75" customHeight="1" x14ac:dyDescent="0.3">
      <c r="A111" s="521" t="s">
        <v>162</v>
      </c>
      <c r="B111" s="521"/>
      <c r="C111" s="512" t="s">
        <v>163</v>
      </c>
      <c r="D111" s="513"/>
      <c r="E111" s="513"/>
      <c r="F111" s="371"/>
    </row>
    <row r="112" spans="1:6" ht="26.7" customHeight="1" x14ac:dyDescent="0.3">
      <c r="A112" s="518"/>
      <c r="B112" s="518"/>
      <c r="C112" s="512" t="s">
        <v>164</v>
      </c>
      <c r="D112" s="513"/>
      <c r="E112" s="513"/>
      <c r="F112" s="371"/>
    </row>
    <row r="113" spans="1:6" ht="26.7" customHeight="1" x14ac:dyDescent="0.3">
      <c r="A113" s="521" t="s">
        <v>165</v>
      </c>
      <c r="B113" s="521"/>
      <c r="C113" s="512" t="s">
        <v>166</v>
      </c>
      <c r="D113" s="513"/>
      <c r="E113" s="513"/>
      <c r="F113" s="371"/>
    </row>
    <row r="114" spans="1:6" ht="26.7" customHeight="1" x14ac:dyDescent="0.3">
      <c r="A114" s="521"/>
      <c r="B114" s="521"/>
      <c r="C114" s="512" t="s">
        <v>167</v>
      </c>
      <c r="D114" s="513"/>
      <c r="E114" s="513"/>
      <c r="F114" s="371"/>
    </row>
    <row r="115" spans="1:6" ht="15.75" customHeight="1" x14ac:dyDescent="0.3">
      <c r="A115" s="521" t="s">
        <v>168</v>
      </c>
      <c r="B115" s="521"/>
      <c r="C115" s="512" t="s">
        <v>169</v>
      </c>
      <c r="D115" s="513"/>
      <c r="E115" s="513"/>
      <c r="F115" s="371"/>
    </row>
    <row r="116" spans="1:6" ht="26.7" customHeight="1" x14ac:dyDescent="0.3">
      <c r="A116" s="521"/>
      <c r="B116" s="521"/>
      <c r="C116" s="512" t="s">
        <v>170</v>
      </c>
      <c r="D116" s="513"/>
      <c r="E116" s="513"/>
      <c r="F116" s="371"/>
    </row>
    <row r="117" spans="1:6" ht="26.7" customHeight="1" x14ac:dyDescent="0.3">
      <c r="A117" s="521"/>
      <c r="B117" s="521"/>
      <c r="C117" s="512" t="s">
        <v>171</v>
      </c>
      <c r="D117" s="513"/>
      <c r="E117" s="513"/>
      <c r="F117" s="371"/>
    </row>
    <row r="118" spans="1:6" ht="26.7" customHeight="1" x14ac:dyDescent="0.3">
      <c r="A118" s="521"/>
      <c r="B118" s="521"/>
      <c r="C118" s="512" t="s">
        <v>172</v>
      </c>
      <c r="D118" s="513"/>
      <c r="E118" s="513"/>
      <c r="F118" s="371"/>
    </row>
    <row r="119" spans="1:6" ht="26.7" customHeight="1" x14ac:dyDescent="0.3">
      <c r="A119" s="521" t="s">
        <v>173</v>
      </c>
      <c r="B119" s="521"/>
      <c r="C119" s="512" t="s">
        <v>174</v>
      </c>
      <c r="D119" s="513"/>
      <c r="E119" s="513"/>
      <c r="F119" s="371"/>
    </row>
    <row r="120" spans="1:6" ht="15" customHeight="1" x14ac:dyDescent="0.3">
      <c r="A120" s="521"/>
      <c r="B120" s="521"/>
      <c r="C120" s="512" t="s">
        <v>175</v>
      </c>
      <c r="D120" s="513"/>
      <c r="E120" s="513"/>
      <c r="F120" s="371"/>
    </row>
    <row r="121" spans="1:6" ht="15" customHeight="1" x14ac:dyDescent="0.3">
      <c r="A121" s="522" t="s">
        <v>176</v>
      </c>
      <c r="B121" s="522"/>
      <c r="C121" s="522"/>
      <c r="D121" s="522"/>
      <c r="E121" s="522"/>
    </row>
    <row r="122" spans="1:6" ht="26.7" customHeight="1" x14ac:dyDescent="0.3">
      <c r="A122" s="524" t="s">
        <v>177</v>
      </c>
      <c r="B122" s="521"/>
      <c r="C122" s="512" t="s">
        <v>178</v>
      </c>
      <c r="D122" s="513"/>
      <c r="E122" s="513"/>
      <c r="F122" s="371"/>
    </row>
    <row r="123" spans="1:6" ht="26.7" customHeight="1" x14ac:dyDescent="0.3">
      <c r="A123" s="521" t="s">
        <v>58</v>
      </c>
      <c r="B123" s="521"/>
      <c r="C123" s="512" t="s">
        <v>179</v>
      </c>
      <c r="D123" s="513"/>
      <c r="E123" s="513"/>
      <c r="F123" s="371"/>
    </row>
    <row r="124" spans="1:6" ht="26.7" customHeight="1" x14ac:dyDescent="0.3">
      <c r="A124" s="521"/>
      <c r="B124" s="521"/>
      <c r="C124" s="512" t="s">
        <v>180</v>
      </c>
      <c r="D124" s="513"/>
      <c r="E124" s="513"/>
      <c r="F124" s="371"/>
    </row>
    <row r="125" spans="1:6" ht="15.75" customHeight="1" x14ac:dyDescent="0.3">
      <c r="A125" s="524" t="s">
        <v>181</v>
      </c>
      <c r="B125" s="521"/>
      <c r="C125" s="512" t="s">
        <v>182</v>
      </c>
      <c r="D125" s="513"/>
      <c r="E125" s="513"/>
      <c r="F125" s="371"/>
    </row>
    <row r="126" spans="1:6" ht="26.7" customHeight="1" x14ac:dyDescent="0.3">
      <c r="A126" s="521"/>
      <c r="B126" s="521"/>
      <c r="C126" s="512" t="s">
        <v>183</v>
      </c>
      <c r="D126" s="513"/>
      <c r="E126" s="513"/>
      <c r="F126" s="371"/>
    </row>
    <row r="127" spans="1:6" ht="26.7" customHeight="1" x14ac:dyDescent="0.3">
      <c r="A127" s="521"/>
      <c r="B127" s="521"/>
      <c r="C127" s="512" t="s">
        <v>184</v>
      </c>
      <c r="D127" s="513"/>
      <c r="E127" s="513"/>
      <c r="F127" s="371"/>
    </row>
    <row r="128" spans="1:6" ht="26.7" customHeight="1" x14ac:dyDescent="0.3">
      <c r="A128" s="521"/>
      <c r="B128" s="521"/>
      <c r="C128" s="512" t="s">
        <v>185</v>
      </c>
      <c r="D128" s="513"/>
      <c r="E128" s="513"/>
      <c r="F128" s="371"/>
    </row>
    <row r="129" spans="1:6" ht="26.7" customHeight="1" x14ac:dyDescent="0.3">
      <c r="A129" s="521" t="s">
        <v>186</v>
      </c>
      <c r="B129" s="521"/>
      <c r="C129" s="512" t="s">
        <v>187</v>
      </c>
      <c r="D129" s="513"/>
      <c r="E129" s="513"/>
      <c r="F129" s="371"/>
    </row>
    <row r="130" spans="1:6" ht="26.7" customHeight="1" x14ac:dyDescent="0.3">
      <c r="A130" s="521"/>
      <c r="B130" s="521"/>
      <c r="C130" s="512" t="s">
        <v>188</v>
      </c>
      <c r="D130" s="513"/>
      <c r="E130" s="513"/>
      <c r="F130" s="371"/>
    </row>
    <row r="131" spans="1:6" ht="26.7" customHeight="1" x14ac:dyDescent="0.3">
      <c r="A131" s="521"/>
      <c r="B131" s="521"/>
      <c r="C131" s="512" t="s">
        <v>189</v>
      </c>
      <c r="D131" s="513"/>
      <c r="E131" s="513"/>
      <c r="F131" s="371"/>
    </row>
    <row r="132" spans="1:6" ht="26.7" customHeight="1" x14ac:dyDescent="0.3">
      <c r="A132" s="521"/>
      <c r="B132" s="521"/>
      <c r="C132" s="512" t="s">
        <v>190</v>
      </c>
      <c r="D132" s="513"/>
      <c r="E132" s="513"/>
      <c r="F132" s="371"/>
    </row>
    <row r="133" spans="1:6" ht="15.75" customHeight="1" x14ac:dyDescent="0.3">
      <c r="A133" s="521" t="s">
        <v>191</v>
      </c>
      <c r="B133" s="521"/>
      <c r="C133" s="512" t="s">
        <v>192</v>
      </c>
      <c r="D133" s="513"/>
      <c r="E133" s="513"/>
      <c r="F133" s="371"/>
    </row>
    <row r="134" spans="1:6" ht="15.75" customHeight="1" x14ac:dyDescent="0.3">
      <c r="A134" s="521"/>
      <c r="B134" s="521"/>
      <c r="C134" s="512" t="s">
        <v>193</v>
      </c>
      <c r="D134" s="513"/>
      <c r="E134" s="513"/>
      <c r="F134" s="371"/>
    </row>
    <row r="135" spans="1:6" ht="15.75" customHeight="1" x14ac:dyDescent="0.3">
      <c r="A135" s="521"/>
      <c r="B135" s="521"/>
      <c r="C135" s="512" t="s">
        <v>194</v>
      </c>
      <c r="D135" s="513"/>
      <c r="E135" s="513"/>
      <c r="F135" s="371"/>
    </row>
    <row r="136" spans="1:6" ht="26.7" customHeight="1" x14ac:dyDescent="0.3">
      <c r="A136" s="521"/>
      <c r="B136" s="521"/>
      <c r="C136" s="512" t="s">
        <v>195</v>
      </c>
      <c r="D136" s="513"/>
      <c r="E136" s="513"/>
      <c r="F136" s="371"/>
    </row>
    <row r="137" spans="1:6" ht="15.75" customHeight="1" x14ac:dyDescent="0.3">
      <c r="A137" s="521"/>
      <c r="B137" s="521"/>
      <c r="C137" s="512" t="s">
        <v>196</v>
      </c>
      <c r="D137" s="513"/>
      <c r="E137" s="513"/>
      <c r="F137" s="371"/>
    </row>
    <row r="138" spans="1:6" ht="37.5" customHeight="1" x14ac:dyDescent="0.3">
      <c r="A138" s="521" t="s">
        <v>197</v>
      </c>
      <c r="B138" s="521"/>
      <c r="C138" s="512" t="s">
        <v>198</v>
      </c>
      <c r="D138" s="513"/>
      <c r="E138" s="513"/>
      <c r="F138" s="371"/>
    </row>
    <row r="139" spans="1:6" ht="26.7" customHeight="1" x14ac:dyDescent="0.3">
      <c r="A139" s="521"/>
      <c r="B139" s="521"/>
      <c r="C139" s="512" t="s">
        <v>199</v>
      </c>
      <c r="D139" s="513"/>
      <c r="E139" s="513"/>
      <c r="F139" s="371"/>
    </row>
    <row r="140" spans="1:6" ht="26.7" customHeight="1" x14ac:dyDescent="0.3">
      <c r="A140" s="521"/>
      <c r="B140" s="521"/>
      <c r="C140" s="512" t="s">
        <v>200</v>
      </c>
      <c r="D140" s="513"/>
      <c r="E140" s="513"/>
      <c r="F140" s="371"/>
    </row>
    <row r="141" spans="1:6" ht="26.7" customHeight="1" x14ac:dyDescent="0.3">
      <c r="A141" s="521"/>
      <c r="B141" s="521"/>
      <c r="C141" s="512" t="s">
        <v>201</v>
      </c>
      <c r="D141" s="513"/>
      <c r="E141" s="513"/>
      <c r="F141" s="371"/>
    </row>
    <row r="142" spans="1:6" ht="15" customHeight="1" x14ac:dyDescent="0.3">
      <c r="A142" s="522" t="s">
        <v>202</v>
      </c>
      <c r="B142" s="522"/>
      <c r="C142" s="522"/>
      <c r="D142" s="522"/>
      <c r="E142" s="522"/>
    </row>
    <row r="143" spans="1:6" ht="15" customHeight="1" x14ac:dyDescent="0.3">
      <c r="A143" s="521" t="s">
        <v>203</v>
      </c>
      <c r="B143" s="521"/>
      <c r="C143" s="512" t="s">
        <v>204</v>
      </c>
      <c r="D143" s="513"/>
      <c r="E143" s="513"/>
      <c r="F143" s="371"/>
    </row>
    <row r="144" spans="1:6" ht="15" customHeight="1" x14ac:dyDescent="0.25"/>
    <row r="145" ht="15" customHeight="1" x14ac:dyDescent="0.25"/>
    <row r="146" ht="15" customHeight="1" x14ac:dyDescent="0.25"/>
    <row r="147" ht="15" customHeight="1" x14ac:dyDescent="0.25"/>
    <row r="148" ht="15" customHeight="1" x14ac:dyDescent="0.25"/>
  </sheetData>
  <sheetProtection algorithmName="SHA-512" hashValue="viXb9BbfkIZYMWa1BJJeHiUOPfIainY+Y5lRnV5A2sbcccn4HySnXt+QauTuCXJn/j8nc+7qde1FX5zxq9t13g==" saltValue="8BesNdvA9klYTCiZjF5GHw==" spinCount="100000" sheet="1" objects="1" scenarios="1"/>
  <mergeCells count="204">
    <mergeCell ref="C45:E45"/>
    <mergeCell ref="C46:E46"/>
    <mergeCell ref="G10:H12"/>
    <mergeCell ref="I10:K10"/>
    <mergeCell ref="I11:K11"/>
    <mergeCell ref="I12:K12"/>
    <mergeCell ref="A2:K2"/>
    <mergeCell ref="G3:K3"/>
    <mergeCell ref="I4:K4"/>
    <mergeCell ref="I6:K6"/>
    <mergeCell ref="G5:K5"/>
    <mergeCell ref="I7:K7"/>
    <mergeCell ref="I8:K8"/>
    <mergeCell ref="A3:E3"/>
    <mergeCell ref="C4:E4"/>
    <mergeCell ref="A5:E5"/>
    <mergeCell ref="A4:B4"/>
    <mergeCell ref="A6:B7"/>
    <mergeCell ref="C8:E8"/>
    <mergeCell ref="C7:E7"/>
    <mergeCell ref="C6:E6"/>
    <mergeCell ref="G9:K9"/>
    <mergeCell ref="I13:K13"/>
    <mergeCell ref="G14:K14"/>
    <mergeCell ref="I17:K17"/>
    <mergeCell ref="I15:K15"/>
    <mergeCell ref="G13:H13"/>
    <mergeCell ref="G6:H8"/>
    <mergeCell ref="G4:H4"/>
    <mergeCell ref="G15:H16"/>
    <mergeCell ref="G17:H18"/>
    <mergeCell ref="C13:E13"/>
    <mergeCell ref="C12:E12"/>
    <mergeCell ref="C11:E11"/>
    <mergeCell ref="C10:E10"/>
    <mergeCell ref="A8:B15"/>
    <mergeCell ref="C16:E16"/>
    <mergeCell ref="C14:E14"/>
    <mergeCell ref="C17:E17"/>
    <mergeCell ref="C15:E15"/>
    <mergeCell ref="C9:E9"/>
    <mergeCell ref="C18:E18"/>
    <mergeCell ref="C19:E19"/>
    <mergeCell ref="A16:B21"/>
    <mergeCell ref="C23:E23"/>
    <mergeCell ref="C21:E21"/>
    <mergeCell ref="C20:E20"/>
    <mergeCell ref="C27:E27"/>
    <mergeCell ref="C26:E26"/>
    <mergeCell ref="C25:E25"/>
    <mergeCell ref="C24:E24"/>
    <mergeCell ref="A22:E22"/>
    <mergeCell ref="A23:B23"/>
    <mergeCell ref="A24:B27"/>
    <mergeCell ref="C28:E28"/>
    <mergeCell ref="C29:E29"/>
    <mergeCell ref="C30:E30"/>
    <mergeCell ref="C31:E31"/>
    <mergeCell ref="A28:B30"/>
    <mergeCell ref="A31:B32"/>
    <mergeCell ref="A61:B62"/>
    <mergeCell ref="C63:E63"/>
    <mergeCell ref="C62:E62"/>
    <mergeCell ref="C61:E61"/>
    <mergeCell ref="C32:E32"/>
    <mergeCell ref="A33:B46"/>
    <mergeCell ref="C33:E33"/>
    <mergeCell ref="C34:E34"/>
    <mergeCell ref="C35:E35"/>
    <mergeCell ref="C36:E36"/>
    <mergeCell ref="C37:E37"/>
    <mergeCell ref="C38:E38"/>
    <mergeCell ref="C39:E39"/>
    <mergeCell ref="C40:E40"/>
    <mergeCell ref="C41:E41"/>
    <mergeCell ref="C42:E42"/>
    <mergeCell ref="C43:E43"/>
    <mergeCell ref="C44:E44"/>
    <mergeCell ref="C67:E67"/>
    <mergeCell ref="C66:E66"/>
    <mergeCell ref="C65:E65"/>
    <mergeCell ref="C64:E64"/>
    <mergeCell ref="A63:B64"/>
    <mergeCell ref="A65:B67"/>
    <mergeCell ref="C68:E68"/>
    <mergeCell ref="C69:E69"/>
    <mergeCell ref="C70:E70"/>
    <mergeCell ref="A68:B74"/>
    <mergeCell ref="C74:E74"/>
    <mergeCell ref="C73:E73"/>
    <mergeCell ref="C72:E72"/>
    <mergeCell ref="C71:E71"/>
    <mergeCell ref="C77:E77"/>
    <mergeCell ref="C76:E76"/>
    <mergeCell ref="C75:E75"/>
    <mergeCell ref="C79:E79"/>
    <mergeCell ref="C78:E78"/>
    <mergeCell ref="C80:E80"/>
    <mergeCell ref="A75:B86"/>
    <mergeCell ref="C83:E83"/>
    <mergeCell ref="C82:E82"/>
    <mergeCell ref="C81:E81"/>
    <mergeCell ref="A87:E87"/>
    <mergeCell ref="C86:E86"/>
    <mergeCell ref="C85:E85"/>
    <mergeCell ref="C84:E84"/>
    <mergeCell ref="A88:B88"/>
    <mergeCell ref="C88:E88"/>
    <mergeCell ref="C89:E89"/>
    <mergeCell ref="C90:E90"/>
    <mergeCell ref="C91:E91"/>
    <mergeCell ref="A89:B95"/>
    <mergeCell ref="A97:B97"/>
    <mergeCell ref="A96:E96"/>
    <mergeCell ref="C95:E95"/>
    <mergeCell ref="C94:E94"/>
    <mergeCell ref="C93:E93"/>
    <mergeCell ref="C92:E92"/>
    <mergeCell ref="C99:E99"/>
    <mergeCell ref="C98:E98"/>
    <mergeCell ref="C97:E97"/>
    <mergeCell ref="A98:B98"/>
    <mergeCell ref="A99:B100"/>
    <mergeCell ref="A101:B101"/>
    <mergeCell ref="A102:B102"/>
    <mergeCell ref="A103:B103"/>
    <mergeCell ref="C100:E100"/>
    <mergeCell ref="C101:E101"/>
    <mergeCell ref="C102:E102"/>
    <mergeCell ref="C103:E103"/>
    <mergeCell ref="A104:B104"/>
    <mergeCell ref="A105:B105"/>
    <mergeCell ref="A106:B106"/>
    <mergeCell ref="A107:B107"/>
    <mergeCell ref="A108:B108"/>
    <mergeCell ref="C107:E107"/>
    <mergeCell ref="C106:E106"/>
    <mergeCell ref="C105:E105"/>
    <mergeCell ref="C104:E104"/>
    <mergeCell ref="C111:E111"/>
    <mergeCell ref="C110:E110"/>
    <mergeCell ref="C112:E112"/>
    <mergeCell ref="C108:E108"/>
    <mergeCell ref="A109:E109"/>
    <mergeCell ref="A110:B110"/>
    <mergeCell ref="A111:B112"/>
    <mergeCell ref="A113:B114"/>
    <mergeCell ref="C113:E113"/>
    <mergeCell ref="C114:E114"/>
    <mergeCell ref="C115:E115"/>
    <mergeCell ref="C130:E130"/>
    <mergeCell ref="C129:E129"/>
    <mergeCell ref="C116:E116"/>
    <mergeCell ref="A115:B118"/>
    <mergeCell ref="A119:B120"/>
    <mergeCell ref="C120:E120"/>
    <mergeCell ref="C119:E119"/>
    <mergeCell ref="C118:E118"/>
    <mergeCell ref="C117:E117"/>
    <mergeCell ref="C124:E124"/>
    <mergeCell ref="C123:E123"/>
    <mergeCell ref="C122:E122"/>
    <mergeCell ref="A121:E121"/>
    <mergeCell ref="A122:B122"/>
    <mergeCell ref="A123:B124"/>
    <mergeCell ref="A143:B143"/>
    <mergeCell ref="C143:E143"/>
    <mergeCell ref="A142:E142"/>
    <mergeCell ref="C141:E141"/>
    <mergeCell ref="I16:K16"/>
    <mergeCell ref="I18:K18"/>
    <mergeCell ref="C136:E136"/>
    <mergeCell ref="C135:E135"/>
    <mergeCell ref="C134:E134"/>
    <mergeCell ref="C133:E133"/>
    <mergeCell ref="A133:B137"/>
    <mergeCell ref="A138:B141"/>
    <mergeCell ref="C137:E137"/>
    <mergeCell ref="C138:E138"/>
    <mergeCell ref="C139:E139"/>
    <mergeCell ref="C140:E140"/>
    <mergeCell ref="A125:B128"/>
    <mergeCell ref="C125:E125"/>
    <mergeCell ref="C126:E126"/>
    <mergeCell ref="C127:E127"/>
    <mergeCell ref="C128:E128"/>
    <mergeCell ref="A129:B132"/>
    <mergeCell ref="C132:E132"/>
    <mergeCell ref="C131:E131"/>
    <mergeCell ref="A47:B60"/>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s>
  <hyperlinks>
    <hyperlink ref="C6:E6" location="'Compliance-Significant Events'!A3" display="Fines and sanctions for non-compliance with environmental, social or economic laws and regulations: Site level" xr:uid="{D7E6C5A2-3032-4EE1-A442-6FF064907058}"/>
    <hyperlink ref="C7:E7" location="'Compliance-Significant Events'!A19" display="Significant environmental and/or social events: Site level" xr:uid="{87D2BEA0-250F-4636-A78A-213D4CC1BBF1}"/>
    <hyperlink ref="C8:E8" location="'Integrity-Anti-Corruption'!A3" display="Production in countries that have the 20 lowest rankings in the Transparency International Corruption Perception Index" xr:uid="{5532BE4D-633C-48DD-B6AF-591DB7A366A0}"/>
    <hyperlink ref="C9:E9" location="'Integrity-Anti-Corruption'!A8" display="Total integrity matters addressed and substantiated: Trailing five year data" xr:uid="{04A25292-FD7D-4F6A-9871-9F727AFDDADC}"/>
    <hyperlink ref="C10:E10" location="'Integrity-Anti-Corruption'!A14" display="Number and outcomes of integrity cases opened, closed, substantiated and addressed: Trailing five year data" xr:uid="{49BC3861-4386-4AEC-9B9E-129D5D862E46}"/>
    <hyperlink ref="C11:E11" location="'Integrity-Anti-Corruption'!A31" display="Nature of matters (all matters) captured in the Integrity Helpline in 2023" xr:uid="{523ED29E-4AE4-47C7-A9C2-B59BCE11C1FE}"/>
    <hyperlink ref="C12:E12" location="'Integrity-Anti-Corruption'!A45" display="Number and outcomes of substantiated escalated matters: Country level" xr:uid="{8DD329DE-5AB0-4575-824E-04F9F6A83955}"/>
    <hyperlink ref="C13:E13" location="'Integrity-Anti-Corruption'!A63" display="Percentage of employees attending in-person and virtual integrity training: Trailing five year data" xr:uid="{1A7C344C-2889-41F6-9A8C-0FDFDD930627}"/>
    <hyperlink ref="C14:E14" location="'Integrity-Anti-Corruption'!A69" display="Employee online integrity training: Gender and employee category" xr:uid="{93CF4D63-1572-48EA-9158-B3DDD549CFD5}"/>
    <hyperlink ref="C15:E15" location="'Integrity-Anti-Corruption'!A77" display="Employee online integrity training: Business unit level" xr:uid="{C3C07A7E-2F95-47A6-8EEA-5B2ED5A6A6A0}"/>
    <hyperlink ref="C16:E16" location="'Policy Influence'!A3" display="Political contributions" xr:uid="{D8F61294-D2DB-4247-B999-736A7D9C76E1}"/>
    <hyperlink ref="C17:E17" location="'Policy Influence'!A11" display="Trade association dues: Amount and percentage attributable to political advocacy" xr:uid="{4894B07F-815C-4EC2-9B0F-FA7FC6725A04}"/>
    <hyperlink ref="C18:E18" location="'Policy Influence'!A19" display="U.S. lobbying activities" xr:uid="{AD48D350-C5EF-4268-8E6C-E360B0033AA1}"/>
    <hyperlink ref="C19:E19" location="'Policy Influence'!A28" display="NEWPAC contributions" xr:uid="{D8DD6E26-DCDE-4933-89A2-D0B97D840C99}"/>
    <hyperlink ref="C20:E20" location="'Policy Influence'!A33" display="Largest individual contributions and main topics" xr:uid="{D9235B83-BEFE-4FFE-BD58-1E0297390B50}"/>
    <hyperlink ref="C21:E21" location="'Policy Influence'!A45" display="Total monetary contributions and expenditures: Trailing five year data" xr:uid="{3F73995F-B613-4223-8BF6-ADB7F451579D}"/>
    <hyperlink ref="C23:E23" location="'Air Emissions'!A3" display="Site air emissions management plan data: Site level (tonnes)" xr:uid="{5BC74249-9B0E-4B48-A9E9-F187E518DB73}"/>
    <hyperlink ref="C24:E24" location="Biodiversity!A3" display="Total wildlife mortalities: Site level" xr:uid="{898F35AF-8DEA-4195-BCAE-52527A85789B}"/>
    <hyperlink ref="C25:E25" location="Biodiversity!A28" display="Number of wildlife mortalities: Trailing five year data" xr:uid="{CEC46152-05F1-416C-9D6A-C337BD48B5EB}"/>
    <hyperlink ref="C26:E26" location="Biodiversity!A38" display="Operations in relation to Key Biodiversity Areas (KBAs): Site level" xr:uid="{2F571F64-5BDB-44D2-9ED7-16D5942BABEC}"/>
    <hyperlink ref="C27:E27" location="Biodiversity!A59" display="Status of acid rock drainage: Site level" xr:uid="{3F45E438-B3A6-411D-9FB1-92FCDF124E2A}"/>
    <hyperlink ref="C28:E28" location="'Closure and Reclamation'!A3" display="Amount of land disturbed and reclaimed: Site level (hectares)" xr:uid="{7128C002-1DB3-4A85-92A5-1E1A7E47F79F}"/>
    <hyperlink ref="C29:E29" location="'Closure and Reclamation'!A29" display="Total disturbance not yet reclaimed to agreed upon end use: Trailing five year data (thousand hectares)" xr:uid="{A821DB7F-58C1-4E8C-89DD-BDEAADAE7117}"/>
    <hyperlink ref="C30:E30" location="'Closure and Reclamation'!A35" display="Mine lease area: Site level" xr:uid="{67258B1F-9827-4917-81F1-DA14E7A6DBCD}"/>
    <hyperlink ref="C31:E31" location="'Cyanide Management'!A3" display="Estimated cyanide use: Trailing five year data (thousand tonnes)" xr:uid="{FCF84F2B-6110-46B8-BD94-A4B9799AAFE4}"/>
    <hyperlink ref="C32:E32" location="'Cyanide Management'!A8" display="Cyanide-related incidents: Site level (number of incidents)" xr:uid="{3F28FADD-9105-4E5A-B280-E375E1839A64}"/>
    <hyperlink ref="C62:E62" location="'Significant Materials Consumpti'!A29" display="Estimated materials usage: Trailing five year data" xr:uid="{9E40E77E-1882-4CED-AA28-75346FDEDFA7}"/>
    <hyperlink ref="C61:E61" location="'Significant Materials Consumpti'!A3" display="Estimated materials usage: Site level" xr:uid="{532EB9E5-9B20-44DF-8ACF-378D479E6A2F}"/>
    <hyperlink ref="C63:E63" location="Spills!A3" display="Environmental spills by number of incidents: Trailing five year data" xr:uid="{C909E7B0-AB0C-455E-B55B-28529F12E8C1}"/>
    <hyperlink ref="C64:E64" location="Spills!A15" display="Environmental spills by estimated volume: Trailing five year data" xr:uid="{2D88291B-4FF2-4A3E-8C81-7D60568711DE}"/>
    <hyperlink ref="C65:E65" location="'Tailings Management'!A3" display="Tailings generated and managed: Site level (tonnes)" xr:uid="{CBD14E65-D41E-4552-A05C-CBD1501F59CD}"/>
    <hyperlink ref="C66:E66" location="'Tailings Management'!A29" display="Total waste rock/tailings generated: Trailing five year data (million tonnes)" xr:uid="{863F16DE-5F95-4CBC-85A2-55EAB7F0F42C}"/>
    <hyperlink ref="C67:E67" location="'Tailings Management'!A36" display="Tailings inventory and disclosures" xr:uid="{718D38EF-C2CE-4730-B2D6-851EBE272DC9}"/>
    <hyperlink ref="C68:E68" location="Waste!A3" display="Estimated waste rock generated: Site level (tonnes)" xr:uid="{D77607CF-9AC4-4F6E-AF15-B2B9CCE03B2D}"/>
    <hyperlink ref="C69:E69" location="Waste!A29" display="Estimated mercury waste generated by type: Site level (kilograms)" xr:uid="{7A70DEF6-B46B-4D93-9258-88D2CE18A5B6}"/>
    <hyperlink ref="C70:E70" location="Waste!A56" display="Estimated hazardous waste diverted from disposal: Site level (tonnes)" xr:uid="{0DE15B35-BD79-45BF-9EC4-2A488CB40680}"/>
    <hyperlink ref="C71:E71" location="Waste!A83" display="Estimated non-hazardous waste diverted from disposal: Site level (tonnes)" xr:uid="{D2FE8A18-AD04-46A8-9251-E92B530A262D}"/>
    <hyperlink ref="C72:E72" location="Waste!A110" display="Estimated hazardous waste disposed: Site level (tonnes)" xr:uid="{281CDA4B-78D3-4FD1-B9D7-2357B4ACDFF0}"/>
    <hyperlink ref="C73:E73" location="Waste!A137" display="Estimated non-hazardous waste disposed: Site level (tonnes)" xr:uid="{6C6A20B0-C05B-4FE2-A891-8FB2C87EBF23}"/>
    <hyperlink ref="C74:E74" location="Waste!A163" display="Estimated waste by type: Trailing five year data" xr:uid="{CE1454C5-4BDD-45D7-AFC0-21BC5011978B}"/>
    <hyperlink ref="C75:E75" location="'Water Stewardship'!A3" display="Water summary: Site level (megaliters (ML))" xr:uid="{16A4A4F5-AC37-4FAD-99E8-84FCD65ACB56}"/>
    <hyperlink ref="C76:E76" location="'Water Stewardship'!A29" display="Total water withdrawn and discharged by category: Site level (megaliters)" xr:uid="{50FFA27E-50DD-46DE-BBFB-F6D4D0F083AE}"/>
    <hyperlink ref="C77:E77" location="'Water Stewardship'!A57" display="Total water withdrawn: Site level (megaliters)" xr:uid="{41BA1B40-28E6-44AC-82C8-250F8CACC00E}"/>
    <hyperlink ref="C78:E78" location="'Water Stewardship'!A83" display="Total water discharge by level of treatment: Site level (megaliters)" xr:uid="{BE61BD5C-AF5C-4EFE-B026-0529E6104E32}"/>
    <hyperlink ref="C79:E79" location="'Water Stewardship'!A109" display="Water summary: Trailing five year data (megaliters)" xr:uid="{634CE767-ACE4-47D7-BC20-2E7001FDF3C8}"/>
    <hyperlink ref="C80:E80" location="'Water Stewardship'!A125" display="Water consumed by water quality (megaliters)" xr:uid="{44D3C33E-1AFF-4447-A639-EADD7220C30A}"/>
    <hyperlink ref="C81:E81" location="'Water Stewardship'!A133" display="Water balance" xr:uid="{C8FE480A-F694-4359-94A1-921442349DA6}"/>
    <hyperlink ref="C82:E82" location="'Water Stewardship'!A150" display="Water intensity: Trailing five year data" xr:uid="{55BE012B-BC92-4E29-B4E3-6334D387B808}"/>
    <hyperlink ref="C83:E83" location="'Water Stewardship'!A157" display="Water-related risk: Site level" xr:uid="{BD7C5CC0-5870-4388-A253-40FC816CF9E3}"/>
    <hyperlink ref="C84:E84" location="'Water Stewardship'!A178" display="Water consumed by water quality categories: Trailing five year data (megaliters)" xr:uid="{18CFD3F5-B7DB-43DF-BBB9-A4A0CB166304}"/>
    <hyperlink ref="C85:E85" location="'Water Stewardship'!A188" display="Water-stressed sites summary (megaliters)" xr:uid="{D2992B93-BAED-4523-B6DF-4DDCBB0F5FE6}"/>
    <hyperlink ref="C86:E86" location="'Water Stewardship'!A197" display="Water balance summary (megaliters)" xr:uid="{E237E003-12A2-4DEA-924A-655CFD3840EF}"/>
    <hyperlink ref="C88:E88" location="'Emergency Preparedness'!A3" display="Rapid Response performance data: Country level " xr:uid="{5CEE3150-7249-4BFC-B75F-038FF3557A56}"/>
    <hyperlink ref="C89:E89" location="'Workforce Safety Stats'!A3" display="Employee-only safety rates: Trailing five year data" xr:uid="{38DA758E-ADE3-44E9-82C9-07541FC5FC37}"/>
    <hyperlink ref="C90:E90" location="'Workforce Safety Stats'!A11" display="Employee-only safety data: Site level" xr:uid="{488A2547-E649-4134-A359-B00DDC8FD3EA}"/>
    <hyperlink ref="C91:E91" location="'Workforce Safety Stats'!A55" display="Contractor-only safety rates: Trailing five year data" xr:uid="{BCAC6E14-AD84-4404-BA31-1E4F66B9236D}"/>
    <hyperlink ref="C92:E92" location="'Workforce Safety Stats'!A66" display="Contractor-only safety data: Site level" xr:uid="{9C2EDEA3-0FDB-4ED2-8D66-DBF873C4A067}"/>
    <hyperlink ref="C93:E93" location="'Workforce Safety Stats'!A114" display="Combined employee and contractor safety rates: Trailing five year data" xr:uid="{BBB2CD37-2147-416B-BD59-73471B7B64F2}"/>
    <hyperlink ref="C94:E94" location="'Workforce Safety Stats'!A123" display="Combined employee and contractor safety rates: Site level" xr:uid="{D3394422-58C3-4B27-A375-202DF59462E5}"/>
    <hyperlink ref="C95:E95" location="'Workforce Safety Stats'!A171" display="Safety trainings: Site level" xr:uid="{06F17300-2102-46AC-B1B5-D7F53F263798}"/>
    <hyperlink ref="C97:E97" location="ASM!A3" display="Artisanal and small-scale mining (ASM) activity: Site level" xr:uid="{5D341489-DF44-4648-B9DD-164466B013DD}"/>
    <hyperlink ref="C98:E98" location="'Community Impacts'!A3" display="Community impacts- top three actual and/or potential: Site level" xr:uid="{B10F1A58-A691-48B4-9032-B5D2724118F2}"/>
    <hyperlink ref="C99:E99" location="Complaints!A3" display="Tier 1 complaints: Site level" xr:uid="{A7DBF854-8476-4DD3-9ACB-07BBE180F190}"/>
    <hyperlink ref="C100:E100" location="Complaints!A15" display="Tier 1 complaints by category: Top 10 categories" xr:uid="{E0B9FF15-2405-4B81-9CD4-8D0737E19A43}"/>
    <hyperlink ref="C101:E101" location="'HumRts-Assessments'!A3" display="Human rights assessments or reviews conducted: Site level" xr:uid="{B7E2A4A3-2FE8-4030-9C99-2AB5C05D107D}"/>
    <hyperlink ref="C102:E102" location="'HumRts-Supplier Screening'!A3" display="Human rights supplier screening: Country level" xr:uid="{1446B449-B14F-417C-B419-C7A51CBD9470}"/>
    <hyperlink ref="C103:E103" location="'HumRts-Training-Security Person'!A3" display="Voluntary Principles on Security and Human Rights training: Site level" xr:uid="{1DD72E2B-DF24-4983-83BC-B524E9866105}"/>
    <hyperlink ref="C104:E104" location="'HumRts-Training-Workforce'!A3" display="In-person human rights workforce trainings: Site level" xr:uid="{C0FBEB51-560F-4B20-BCA6-3A7B477C6785}"/>
    <hyperlink ref="C105:E105" location="'Indigenous Peoples'!A3" display="Operating sites on/near Indigenous peoples' territories and formal agreements in place: Site level" xr:uid="{2FC0F589-E2C7-47D1-A66B-114CE2293C3A}"/>
    <hyperlink ref="C106:E106" location="'Land or Resource Use Disputes'!A3" display="Significant disputes related to land or resource use: Site level" xr:uid="{485402AE-640B-47B5-B499-639297D8D2A0}"/>
    <hyperlink ref="C107:E107" location="Resettlement!A3" display="Resettlement and/or relocation activity: Site level" xr:uid="{B9D60A2B-84EE-4AF5-9BB9-843D3023FDD8}"/>
    <hyperlink ref="C108:E108" location="'SIA and Engagement'!A3" display="Social impact assessments and engagement practices: Site level" xr:uid="{26B640E3-6720-415D-BAFC-BFCCD24990D3}"/>
    <hyperlink ref="C110:E110" location="'COVID Global Community Support '!A3" display="COVID-19 Global Community Support Fund: Site level (thousands)" xr:uid="{9B992006-DCB9-4406-9D18-4DB1FBF883C6}"/>
    <hyperlink ref="C111:E111" location="'Community Investments'!A3" display="Community investments: Site level (thousands)" xr:uid="{5664C1C1-99C8-47A6-BC8A-0C2C924D83A9}"/>
    <hyperlink ref="C112:E112" location="'Community Investments'!A35" display="Community investment programs related to training and education" xr:uid="{34CFD0C5-A0E5-4E18-B1A6-C5920CEE1221}"/>
    <hyperlink ref="C113:E113" location="'Economic Value Gen-Distri'!A3" display="Economic value distributed: Country level (millions)" xr:uid="{49676E08-450E-4735-A919-08C9E34C1E0A}"/>
    <hyperlink ref="C114:E114" location="'Economic Value Gen-Distri'!A18" display="Economic value generated: Country level (millions)" xr:uid="{42169437-C2E0-40DE-9356-CE25C546423A}"/>
    <hyperlink ref="C115:E115" location="'Supply Chain Spending'!A3" display="Number of suppliers" xr:uid="{C3151424-9201-4556-A475-3D5E7EAA4BEC}"/>
    <hyperlink ref="C116:E116" location="'Supply Chain Spending'!A9" display="Spending with local suppliers: Site level (thousands)" xr:uid="{32F5585C-0EA9-4804-BF0F-7E15512DF489}"/>
    <hyperlink ref="C117:E117" location="'Supply Chain Spending'!A35" display="Local/Indigenous procurement targets by site (thousands)" xr:uid="{69394B35-C3B0-440E-88C7-1F45B5709ED3}"/>
    <hyperlink ref="C118:E118" location="'Supply Chain Spending'!A61" display="Spending on Indigenous suppliers: Site level (thousands)" xr:uid="{74877F92-DD25-4907-8E71-D2AE36171FE1}"/>
    <hyperlink ref="C119:E119" location="'Tax Transparency'!A3" display="Payments to governments: Country level (millions)" xr:uid="{2FC8B5E6-25F7-4C43-9EF8-8E1156299918}"/>
    <hyperlink ref="C120:E120" location="'Tax Transparency'!A18" display="Effective tax rates: Country level" xr:uid="{30D2FD96-2256-4F7C-A5B7-654AE730C455}"/>
    <hyperlink ref="C122:E122" location="'Breakout of Total Workforce'!A3" display="Total workforce by business unit: Trailing five year data" xr:uid="{646376F7-00E9-4CEC-8794-565383BCB13A}"/>
    <hyperlink ref="C123:E123" location="'Compensation and Equal Remunera'!A3" display="Ratio of average female salary to average male salary: Employee category" xr:uid="{68EE84CA-4DCE-4F0D-94C3-B4B500F816B5}"/>
    <hyperlink ref="C124:E124" location="'Compensation and Equal Remunera'!A12" display="Ratio of average female salary to average male salary: Country level" xr:uid="{AF553CEF-C084-48D4-AF93-74E788DB3886}"/>
    <hyperlink ref="C125:E125" location="Diversity!A3" display="Employee gender breakout: Country level" xr:uid="{199FF098-3D5D-4B5A-8183-B50A9F0CCD90}"/>
    <hyperlink ref="C126:E126" location="Diversity!A18" display="Employee gender breakout by employee category (number)" xr:uid="{A9BB6E57-C405-449D-AF92-A8E5D78C5810}"/>
    <hyperlink ref="C127:E127" location="Diversity!A27" display="Percentage of females by employee category: Trailing five year data" xr:uid="{79B25E28-D96B-46AC-9B0D-5D485ADC1FBB}"/>
    <hyperlink ref="C128:E128" location="Diversity!A38" display="Employee age distribution: Age range and category (number and percentage)" xr:uid="{D9D51042-F099-4210-95D7-1AA5FF60BBCF}"/>
    <hyperlink ref="C129:E129" location="'Labor-Mgmt Relations'!A3" display="Percentage of workforce represented by union or workplace agreement: Trailing five year data" xr:uid="{A69922B1-ADA6-4CBD-92F1-FA4575F7C190}"/>
    <hyperlink ref="C130:E130" location="'Labor-Mgmt Relations'!A20" display="Minimum notice periods regarding operational changes: Site level" xr:uid="{429697CE-1E71-4008-90AD-3A9592B1DB8D}"/>
    <hyperlink ref="C131:E131" location="'Labor-Mgmt Relations'!A52" display="Strikes and lockouts exceeding one week's duration: Site level" xr:uid="{34D0C17B-CD62-43D9-A07B-8E430794931A}"/>
    <hyperlink ref="C132:E132" location="'Labor-Mgmt Relations'!A59" display="Number and duration of non-technical delays: Site level" xr:uid="{E4C522CF-7A11-4706-984F-D9DFD2D27E5A}"/>
    <hyperlink ref="C133:E133" location="'Talent Attraction and Retention'!A3" display="Employee turnover: Business unit level" xr:uid="{4C5A9865-E492-46DF-BF98-F2A73EED4DAE}"/>
    <hyperlink ref="C134:E134" location="'Talent Attraction and Retention'!A12" display="Employee turnover: Age group" xr:uid="{238E397D-0056-4DC0-A3EC-F54866856743}"/>
    <hyperlink ref="C135:E135" location="'Talent Attraction and Retention'!A27" display="Employee turnover: Trailing five year data" xr:uid="{3AA52094-A77D-4F9F-B517-C3EB97248CF1}"/>
    <hyperlink ref="C136:E136" location="'Talent Attraction and Retention'!A40" display="Employee turnover by gender and initiation: Trailing five year data" xr:uid="{EBADC056-7F04-4A56-9723-14492949B209}"/>
    <hyperlink ref="C137:E137" location="'Talent Attraction and Retention'!A45" display="New hires: Country, gender and age group" xr:uid="{D6C11424-45E5-47D0-AC49-593A5433F163}"/>
    <hyperlink ref="C138:E138" location="'Training and Professional Devel'!A3" display="Percentage of employees who received performance reviews by gender and employee category" xr:uid="{B0962A06-8831-4061-B054-A8503D5F14D7}"/>
    <hyperlink ref="C139:E139" location="'Training and Professional Devel'!A12" display="Training and development investment spending and hours" xr:uid="{98B24175-E66D-4EC8-A153-B7322BA21D27}"/>
    <hyperlink ref="C140:E140" location="'Training and Professional Devel'!A16" display="Average hours of training per year, per employee by employee category: Trailing five year data" xr:uid="{5A54DF81-1221-42AB-AEAB-C4990949F14E}"/>
    <hyperlink ref="C141:E141" location="'Training and Professional Devel'!A25" display="Average hours of training per year by employee category: Trailing five year data" xr:uid="{7B17450A-5B61-4364-91DD-8286833BE981}"/>
    <hyperlink ref="C143:E143" location="'2023 Normalizing Denominators'!A3" display="2023 Normalizing Denominators: Site level" xr:uid="{060882BC-48C6-4B04-9E4F-9C8A8437A8F9}"/>
    <hyperlink ref="I6:K6" location="'403-9 Work-related injuries'!A3" display="Employee-only safety data: Site level" xr:uid="{D00BE5E6-6C11-4AAB-A4EE-EEC01C0EBABB}"/>
    <hyperlink ref="I7:K7" location="'403-9 Work-related injuries'!A15" display="Contractor-only safety data: Site level" xr:uid="{E7875946-385D-43B0-92B4-0062B1146640}"/>
    <hyperlink ref="I8:K8" location="'403-9 Work-related injuries'!A27" display="Combined employee and contractor safety data: Site level" xr:uid="{256C79B3-641B-4558-B772-B7D709463E80}"/>
    <hyperlink ref="I13:K13" location="'303-3 Water withdrawal     '!A3" display="Water withdrawal by category: Site level" xr:uid="{85970042-850A-40D1-A5F4-0957CA55923D}"/>
    <hyperlink ref="I17:K17" location="'405-2 Ratio of basic salary a'!A3" display="Ratio of average female salary to average male salary: Site level" xr:uid="{F077A318-F89A-4B5D-8503-ED812ABABECC}"/>
    <hyperlink ref="I15:K15" location="'2-7 Employees'!A3" display="Employee gender breakout by employment type: Site level" xr:uid="{FB5F86CF-343E-4DB4-96B3-51D3160100D2}"/>
    <hyperlink ref="I16:K16" location="'2-7 Employees'!A37" display="Employee gender breakout by employee category: Site level" xr:uid="{6A410738-4E1A-4FBE-A4FD-5877697D5CE8}"/>
    <hyperlink ref="I18:K18" location="'405-2 Ratio of basic salary a'!A15" display="Ratio of basic salary by gender and employee category" xr:uid="{EFE4A0D5-934A-479E-AF46-A587E69E4C66}"/>
    <hyperlink ref="I10:K10" location="'305 Scope 1 &amp; 2'!A3" display="Direct (Scope 1) GHG emissions by source (tCO2-e)" xr:uid="{83622457-9831-422D-AB76-3A50EF60EBEE}"/>
    <hyperlink ref="I11:K11" location="'305 Scope 1 &amp; 2'!A16" display="Indirect (Scope 2 location-based) GHG emissions (tCo2-e)" xr:uid="{88E3E2D4-9AC5-48F5-AFC7-DDBBFC82C085}"/>
    <hyperlink ref="I12:K12" location="'305 Scope 1 &amp; 2'!A29" display="GHG emissions intensity by ore milled (kg CO2-e/t)" xr:uid="{B14D2258-1A20-45F9-9CA7-D671710164D2}"/>
    <hyperlink ref="C33:E33" location="'Climate Change'!A3" display="Direct and indirect energy consumed by source: Site level (GJ)" xr:uid="{2FF9562C-FC7D-40D8-A281-33E52F195D58}"/>
    <hyperlink ref="C34:E34" location="'Climate Change'!A31" display="Direct and indirect energy consumed by source: Trailing six year data (million GJ)" xr:uid="{C40DD129-D63B-4235-8EB6-2FCC3C53AEF2}"/>
    <hyperlink ref="C35:E35" location="'Climate Change'!A58" display="Energy intensity: Trailing six year data" xr:uid="{49F187EB-3580-4D4F-95CC-52614EF40A18}"/>
    <hyperlink ref="C36:E36" location="'Climate Change'!A66" display="Direct (on-site) electricity generated and consumed by source: Site level (GJ)" xr:uid="{555AC1F0-2A04-4CBD-B829-CB6E368E4F9D}"/>
    <hyperlink ref="C37:E37" location="'Climate Change'!A92" display="Direct (on-site) electricity generated and consumed by source: Trailing six year data (million GJ)" xr:uid="{667F717A-E015-40CA-9603-EAFABE962953}"/>
    <hyperlink ref="C38:E38" location="'Climate Change'!A105" display="Direct non-renewable energy consumed by source: Site level (percentage)" xr:uid="{0C66F0E9-8B54-40EC-911D-B6C06B045D4C}"/>
    <hyperlink ref="C39:E39" location="'Climate Change'!A130" display="Scope 1 and 2 greenhouse gas (GHG) emissions: Site level (tonnes CO2e)" xr:uid="{9596FBF5-901D-466A-ACD8-2A64092E0EBB}"/>
    <hyperlink ref="C40:E40" location="'Climate Change'!A157" display="Scope 1 and 2 GHG emissions: Trailing six year data (million t CO2e)" xr:uid="{5244E7C1-1151-41B8-977A-E734F565F8D8}"/>
    <hyperlink ref="C41:E41" location="'Climate Change'!A183" display="Scope 1 and 2 (market-based) GHG emissions intensity (t CO2e / GEO): Trailing six year site level" xr:uid="{53433174-0274-48A5-9CF5-79A79DA1FA6B}"/>
    <hyperlink ref="C42:E42" location="'Climate Change'!A208" display="Scope 1 and 2 GHG emissions intensity (t CO2e / GEO): Trailing six year data" xr:uid="{19A6BC99-F2A4-474A-91B9-E8568E99361D}"/>
    <hyperlink ref="C43:E43" location="'Climate Change'!A216" display="Direct CO2 emissions from the combustion of biomass: Site level (t CO2)" xr:uid="{B2185445-2D27-4EE5-B527-64DCFA9FB58E}"/>
    <hyperlink ref="C44:E44" location="'Climate Change'!A241" display="Global Scope 1 emissions subject to emissions-limiting regulations: Site level" xr:uid="{7FA94B5D-0194-4FAE-A748-DC9D9EE2DF7D}"/>
    <hyperlink ref="C45:E45" location="'Climate Change'!A266" display="Total Scope 3 GHG emissions: Site level" xr:uid="{BAC3DE5A-3539-46C2-B471-BE87B3430016}"/>
    <hyperlink ref="C46:E46" location="'Climate Change'!A293" display="Scope 3 GHG emissions by Category: Trailing five year data (Mt CO2e)" xr:uid="{9C03A7EE-5865-4991-BCDC-09312D9CF77A}"/>
    <hyperlink ref="C47:E47" location="'Pro forma Climate Change'!A3" display="Direct and indirect energy consumed by source: Site level (GJ)" xr:uid="{F8C3B232-738A-43E2-A193-343AA6ABD35F}"/>
    <hyperlink ref="C48:E48" location="'Pro forma Climate Change'!A37" display="Direct and indirect energy consumed by source: Trailing six year data (million GJ)" xr:uid="{C8B54B05-3C62-4E3E-9F24-83990CB3AA95}"/>
    <hyperlink ref="C49:E49" location="'Pro forma Climate Change'!A65" display="Energy intensity: Trailing six year data" xr:uid="{E2462964-EB18-4B2D-87D6-2B3FA52B20F8}"/>
    <hyperlink ref="C50:E50" location="'Pro forma Climate Change'!A73" display="Direct (on-site) electricity generated and consumed by source: Site level (GJ)" xr:uid="{D7533E5B-FA58-4795-8C87-2C4BDD1725D1}"/>
    <hyperlink ref="C51:E51" location="'Pro forma Climate Change'!A105" display="Direct (on-site) electricity generated and consumed by source: Trailing six year data (million GJ)" xr:uid="{AE33CEB7-5752-4822-8DB1-876B555D2F1C}"/>
    <hyperlink ref="C52:E52" location="'Pro forma Climate Change'!A118" display="Direct non-renewable energy consumed by source: Site level (percentage)" xr:uid="{489FAF2D-DBC3-4E43-9540-D19924C64A4F}"/>
    <hyperlink ref="C53:E53" location="'Pro forma Climate Change'!A149" display="Scope 1 and 2 greenhouse gas (GHG) emissions: Site level (tonnes CO2e)" xr:uid="{54C9B439-641C-4EF1-994C-A76BFBC1F70D}"/>
    <hyperlink ref="C54:E54" location="'Pro forma Climate Change'!A182" display="Scope 1 and 2 GHG emissions: Trailing six year data (million t CO2e)" xr:uid="{6C60D2E5-63EE-4DDE-9BA8-B18B33900F6D}"/>
    <hyperlink ref="C55:E55" location="'Pro forma Climate Change'!A209" display="Scope 1 and 2 (market-based) GHG emissions intensity (t CO2e / GEO): Trailing six year site level" xr:uid="{AFC92141-D4CB-42BA-9043-DCF88E227112}"/>
    <hyperlink ref="C56:E56" location="'Pro forma Climate Change'!A240" display="Scope 1 and 2 GHG emissions intensity (t CO2e / GEO): Trailing six year data" xr:uid="{85DFCF85-1292-42AE-9AE4-ED216406709C}"/>
    <hyperlink ref="C57:E57" location="'Pro forma Climate Change'!A248" display="Direct CO2 emissions from the combustion of biomass: Site level (t CO2)" xr:uid="{C06F04BC-E45C-43F2-8192-1D75C256FCF4}"/>
    <hyperlink ref="C58:E58" location="'Pro forma Climate Change'!A279" display="Global Scope 1 emissions subject to emissions-limiting regulations: Site level" xr:uid="{43B75DF8-764A-4EF6-9284-F9645DD5C67C}"/>
    <hyperlink ref="C59:E59" location="'Pro forma Climate Change'!A310" display="Total Scope 3 GHG emissions: Site level" xr:uid="{AA86C81A-93B0-443C-8669-106AABBB82C8}"/>
    <hyperlink ref="C60:E60" location="'Pro forma Climate Change'!A343" display="Scope 3 GHG emissions by Category: Trailing five year data (Mt CO2e)" xr:uid="{08193157-CADE-40A8-9303-54B97EBD9B87}"/>
  </hyperlink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8"/>
  <sheetViews>
    <sheetView showRuler="0" workbookViewId="0">
      <selection sqref="A1:G1"/>
    </sheetView>
  </sheetViews>
  <sheetFormatPr defaultColWidth="13.6640625" defaultRowHeight="13.2" x14ac:dyDescent="0.25"/>
  <cols>
    <col min="1" max="1" width="29.33203125" customWidth="1"/>
    <col min="2" max="2" width="20.5546875" customWidth="1"/>
    <col min="3" max="4" width="29.33203125" customWidth="1"/>
    <col min="5" max="5" width="30.6640625" customWidth="1"/>
    <col min="6" max="6" width="52.109375" customWidth="1"/>
    <col min="7" max="7" width="17.44140625" customWidth="1"/>
    <col min="8" max="8" width="10.6640625" customWidth="1"/>
    <col min="9" max="9" width="83.44140625" customWidth="1"/>
    <col min="10" max="10" width="25.33203125" customWidth="1"/>
    <col min="11" max="11" width="14.33203125" customWidth="1"/>
  </cols>
  <sheetData>
    <row r="1" spans="1:15" ht="24.9" customHeight="1" x14ac:dyDescent="0.3">
      <c r="A1" s="543" t="s">
        <v>205</v>
      </c>
      <c r="B1" s="543"/>
      <c r="C1" s="543"/>
      <c r="D1" s="543"/>
      <c r="E1" s="543"/>
      <c r="F1" s="543"/>
      <c r="G1" s="543"/>
      <c r="H1" s="17"/>
      <c r="I1" s="17"/>
    </row>
    <row r="2" spans="1:15" ht="39.15" customHeight="1" x14ac:dyDescent="0.3">
      <c r="B2" s="64"/>
      <c r="C2" s="64"/>
      <c r="D2" s="64"/>
      <c r="E2" s="64"/>
      <c r="F2" s="315"/>
      <c r="G2" s="64"/>
      <c r="H2" s="17"/>
      <c r="I2" s="17"/>
    </row>
    <row r="3" spans="1:15" ht="60" customHeight="1" x14ac:dyDescent="0.3">
      <c r="A3" s="4" t="s">
        <v>206</v>
      </c>
      <c r="B3" s="5" t="s">
        <v>207</v>
      </c>
      <c r="C3" s="5" t="s">
        <v>208</v>
      </c>
      <c r="D3" s="5" t="s">
        <v>209</v>
      </c>
      <c r="E3" s="5" t="s">
        <v>210</v>
      </c>
      <c r="F3" s="5" t="s">
        <v>211</v>
      </c>
      <c r="G3" s="5" t="s">
        <v>212</v>
      </c>
      <c r="H3" s="13"/>
      <c r="I3" s="17"/>
      <c r="J3" s="17"/>
    </row>
    <row r="4" spans="1:15" ht="15.75" customHeight="1" x14ac:dyDescent="0.3">
      <c r="A4" s="536" t="s">
        <v>213</v>
      </c>
      <c r="B4" s="533" t="s">
        <v>214</v>
      </c>
      <c r="C4" s="533"/>
      <c r="D4" s="533"/>
      <c r="E4" s="533"/>
      <c r="F4" s="533"/>
      <c r="G4" s="533"/>
      <c r="H4" s="13"/>
      <c r="J4" s="14"/>
    </row>
    <row r="5" spans="1:15" ht="93.45" customHeight="1" x14ac:dyDescent="0.3">
      <c r="A5" s="536"/>
      <c r="B5" s="8" t="s">
        <v>215</v>
      </c>
      <c r="C5" s="9" t="s">
        <v>216</v>
      </c>
      <c r="D5" s="10" t="s">
        <v>217</v>
      </c>
      <c r="E5" s="11" t="s">
        <v>218</v>
      </c>
      <c r="F5" s="9" t="s">
        <v>219</v>
      </c>
      <c r="G5" s="12">
        <v>32503.116000000002</v>
      </c>
      <c r="H5" s="13"/>
      <c r="J5" s="14"/>
    </row>
    <row r="6" spans="1:15" ht="70.95" customHeight="1" x14ac:dyDescent="0.3">
      <c r="A6" s="536"/>
      <c r="B6" s="8" t="s">
        <v>215</v>
      </c>
      <c r="C6" s="9" t="s">
        <v>216</v>
      </c>
      <c r="D6" s="10" t="s">
        <v>217</v>
      </c>
      <c r="E6" s="11" t="s">
        <v>220</v>
      </c>
      <c r="F6" s="11" t="s">
        <v>221</v>
      </c>
      <c r="G6" s="12">
        <v>5417.2986000000001</v>
      </c>
      <c r="H6" s="13"/>
      <c r="J6" s="14"/>
    </row>
    <row r="7" spans="1:15" ht="70.95" customHeight="1" x14ac:dyDescent="0.3">
      <c r="A7" s="536"/>
      <c r="B7" s="8" t="s">
        <v>215</v>
      </c>
      <c r="C7" s="9" t="s">
        <v>216</v>
      </c>
      <c r="D7" s="10" t="s">
        <v>222</v>
      </c>
      <c r="E7" s="11" t="s">
        <v>218</v>
      </c>
      <c r="F7" s="9" t="s">
        <v>223</v>
      </c>
      <c r="G7" s="12">
        <v>5840.5619999999999</v>
      </c>
      <c r="H7" s="13"/>
      <c r="J7" s="14"/>
    </row>
    <row r="8" spans="1:15" ht="15.75" customHeight="1" x14ac:dyDescent="0.3">
      <c r="A8" s="536" t="s">
        <v>224</v>
      </c>
      <c r="B8" s="533" t="s">
        <v>225</v>
      </c>
      <c r="C8" s="533"/>
      <c r="D8" s="533"/>
      <c r="E8" s="533"/>
      <c r="F8" s="533"/>
      <c r="G8" s="533"/>
      <c r="H8" s="13"/>
      <c r="I8" s="2"/>
      <c r="J8" s="14"/>
      <c r="K8" s="2"/>
      <c r="L8" s="2"/>
      <c r="M8" s="2"/>
      <c r="N8" s="2"/>
      <c r="O8" s="2"/>
    </row>
    <row r="9" spans="1:15" ht="104.1" customHeight="1" x14ac:dyDescent="0.3">
      <c r="A9" s="536"/>
      <c r="B9" s="8" t="s">
        <v>226</v>
      </c>
      <c r="C9" s="9" t="s">
        <v>216</v>
      </c>
      <c r="D9" s="10" t="s">
        <v>227</v>
      </c>
      <c r="E9" s="11" t="s">
        <v>228</v>
      </c>
      <c r="F9" s="11" t="s">
        <v>229</v>
      </c>
      <c r="G9" s="15">
        <v>0</v>
      </c>
      <c r="H9" s="16"/>
      <c r="I9" s="17"/>
      <c r="J9" s="17"/>
      <c r="K9" s="2"/>
      <c r="L9" s="2"/>
      <c r="M9" s="2"/>
      <c r="N9" s="2"/>
      <c r="O9" s="2"/>
    </row>
    <row r="10" spans="1:15" ht="115.95" customHeight="1" x14ac:dyDescent="0.3">
      <c r="A10" s="536"/>
      <c r="B10" s="8" t="s">
        <v>230</v>
      </c>
      <c r="C10" s="9" t="s">
        <v>216</v>
      </c>
      <c r="D10" s="10" t="s">
        <v>227</v>
      </c>
      <c r="E10" s="11" t="s">
        <v>231</v>
      </c>
      <c r="F10" s="11" t="s">
        <v>232</v>
      </c>
      <c r="G10" s="12">
        <v>0</v>
      </c>
      <c r="H10" s="13"/>
      <c r="I10" s="17"/>
      <c r="J10" s="17"/>
    </row>
    <row r="11" spans="1:15" ht="115.95" customHeight="1" x14ac:dyDescent="0.3">
      <c r="A11" s="536"/>
      <c r="B11" s="8" t="s">
        <v>230</v>
      </c>
      <c r="C11" s="9" t="s">
        <v>216</v>
      </c>
      <c r="D11" s="10" t="s">
        <v>217</v>
      </c>
      <c r="E11" s="11" t="s">
        <v>231</v>
      </c>
      <c r="F11" s="11" t="s">
        <v>233</v>
      </c>
      <c r="G11" s="12">
        <v>24011.64</v>
      </c>
      <c r="H11" s="13"/>
      <c r="I11" s="17"/>
      <c r="J11" s="17"/>
    </row>
    <row r="12" spans="1:15" ht="15.75" customHeight="1" x14ac:dyDescent="0.3">
      <c r="A12" s="536" t="s">
        <v>234</v>
      </c>
      <c r="B12" s="533" t="s">
        <v>235</v>
      </c>
      <c r="C12" s="533"/>
      <c r="D12" s="533"/>
      <c r="E12" s="533"/>
      <c r="F12" s="533"/>
      <c r="G12" s="533"/>
      <c r="H12" s="13"/>
      <c r="I12" s="17"/>
      <c r="J12" s="17"/>
      <c r="K12" s="2"/>
      <c r="L12" s="2"/>
      <c r="M12" s="2"/>
      <c r="N12" s="2"/>
      <c r="O12" s="2"/>
    </row>
    <row r="13" spans="1:15" ht="93.45" customHeight="1" x14ac:dyDescent="0.3">
      <c r="A13" s="536"/>
      <c r="B13" s="8" t="s">
        <v>236</v>
      </c>
      <c r="C13" s="9" t="s">
        <v>216</v>
      </c>
      <c r="D13" s="10" t="s">
        <v>222</v>
      </c>
      <c r="E13" s="11" t="s">
        <v>237</v>
      </c>
      <c r="F13" s="9" t="s">
        <v>238</v>
      </c>
      <c r="G13" s="12">
        <v>85560.940424</v>
      </c>
      <c r="H13" s="13"/>
      <c r="I13" s="17"/>
      <c r="J13" s="17"/>
    </row>
    <row r="14" spans="1:15" ht="104.1" customHeight="1" x14ac:dyDescent="0.3">
      <c r="A14" s="536"/>
      <c r="B14" s="8" t="s">
        <v>236</v>
      </c>
      <c r="C14" s="9" t="s">
        <v>216</v>
      </c>
      <c r="D14" s="10" t="s">
        <v>239</v>
      </c>
      <c r="E14" s="11" t="s">
        <v>237</v>
      </c>
      <c r="F14" s="9" t="s">
        <v>240</v>
      </c>
      <c r="G14" s="12">
        <v>158479.20000000001</v>
      </c>
      <c r="H14" s="13"/>
      <c r="I14" s="17"/>
      <c r="J14" s="17"/>
      <c r="K14" s="2"/>
      <c r="L14" s="2"/>
      <c r="M14" s="2"/>
      <c r="N14" s="2"/>
      <c r="O14" s="2"/>
    </row>
    <row r="15" spans="1:15" ht="15.75" customHeight="1" x14ac:dyDescent="0.3">
      <c r="A15" s="545" t="s">
        <v>241</v>
      </c>
      <c r="B15" s="545"/>
      <c r="C15" s="545"/>
      <c r="D15" s="545"/>
      <c r="E15" s="545"/>
      <c r="F15" s="545"/>
      <c r="G15" s="19">
        <v>311812.75702399999</v>
      </c>
      <c r="H15" s="13"/>
      <c r="I15" s="14"/>
      <c r="J15" s="14"/>
    </row>
    <row r="16" spans="1:15" ht="15" customHeight="1" x14ac:dyDescent="0.25">
      <c r="A16" s="544"/>
      <c r="B16" s="544"/>
      <c r="C16" s="544"/>
      <c r="D16" s="544"/>
      <c r="E16" s="544"/>
      <c r="F16" s="544"/>
      <c r="G16" s="544"/>
      <c r="I16" s="14"/>
    </row>
    <row r="17" spans="1:15" ht="15" customHeight="1" x14ac:dyDescent="0.3">
      <c r="A17" s="17"/>
      <c r="B17" s="17"/>
      <c r="C17" s="17"/>
      <c r="D17" s="17"/>
      <c r="E17" s="17"/>
      <c r="F17" s="17"/>
      <c r="G17" s="17"/>
      <c r="H17" s="17"/>
      <c r="I17" s="17"/>
      <c r="K17" s="14"/>
    </row>
    <row r="18" spans="1:15" ht="15" customHeight="1" x14ac:dyDescent="0.25">
      <c r="K18" s="14"/>
    </row>
    <row r="19" spans="1:15" ht="37.5" customHeight="1" x14ac:dyDescent="0.3">
      <c r="A19" s="4" t="s">
        <v>242</v>
      </c>
      <c r="B19" s="20" t="s">
        <v>207</v>
      </c>
      <c r="C19" s="21" t="s">
        <v>243</v>
      </c>
      <c r="D19" s="22" t="s">
        <v>244</v>
      </c>
      <c r="E19" s="22" t="s">
        <v>211</v>
      </c>
      <c r="F19" s="13"/>
      <c r="J19" s="14"/>
    </row>
    <row r="20" spans="1:15" ht="15.75" customHeight="1" x14ac:dyDescent="0.3">
      <c r="A20" s="537" t="s">
        <v>245</v>
      </c>
      <c r="B20" s="539" t="s">
        <v>246</v>
      </c>
      <c r="C20" s="540"/>
      <c r="D20" s="540"/>
      <c r="E20" s="541"/>
      <c r="F20" s="13"/>
      <c r="G20" s="2"/>
      <c r="H20" s="2"/>
      <c r="I20" s="2"/>
      <c r="J20" s="14"/>
      <c r="K20" s="2"/>
      <c r="L20" s="2"/>
      <c r="M20" s="2"/>
      <c r="N20" s="2"/>
      <c r="O20" s="2"/>
    </row>
    <row r="21" spans="1:15" ht="93.45" customHeight="1" x14ac:dyDescent="0.3">
      <c r="A21" s="538"/>
      <c r="B21" s="8" t="s">
        <v>247</v>
      </c>
      <c r="C21" s="9" t="s">
        <v>248</v>
      </c>
      <c r="D21" s="11" t="s">
        <v>249</v>
      </c>
      <c r="E21" s="9" t="s">
        <v>250</v>
      </c>
      <c r="F21" s="13"/>
      <c r="G21" s="2"/>
      <c r="H21" s="2"/>
      <c r="I21" s="2"/>
      <c r="J21" s="14"/>
      <c r="K21" s="2"/>
      <c r="L21" s="2"/>
      <c r="M21" s="2"/>
      <c r="N21" s="2"/>
      <c r="O21" s="2"/>
    </row>
    <row r="22" spans="1:15" ht="15.75" customHeight="1" x14ac:dyDescent="0.3">
      <c r="A22" s="536" t="s">
        <v>251</v>
      </c>
      <c r="B22" s="542" t="s">
        <v>252</v>
      </c>
      <c r="C22" s="542"/>
      <c r="D22" s="542"/>
      <c r="E22" s="542"/>
      <c r="F22" s="13"/>
      <c r="G22" s="2"/>
      <c r="H22" s="2"/>
      <c r="I22" s="2"/>
      <c r="J22" s="14"/>
      <c r="K22" s="2"/>
      <c r="L22" s="2"/>
      <c r="M22" s="2"/>
      <c r="N22" s="2"/>
      <c r="O22" s="2"/>
    </row>
    <row r="23" spans="1:15" ht="249.15" customHeight="1" x14ac:dyDescent="0.3">
      <c r="A23" s="536"/>
      <c r="B23" s="24" t="s">
        <v>253</v>
      </c>
      <c r="C23" s="9" t="s">
        <v>254</v>
      </c>
      <c r="D23" s="11" t="s">
        <v>249</v>
      </c>
      <c r="E23" s="9" t="s">
        <v>255</v>
      </c>
      <c r="F23" s="13"/>
      <c r="J23" s="14"/>
    </row>
    <row r="24" spans="1:15" ht="149.1" customHeight="1" x14ac:dyDescent="0.3">
      <c r="A24" s="536"/>
      <c r="B24" s="24" t="s">
        <v>256</v>
      </c>
      <c r="C24" s="9" t="s">
        <v>257</v>
      </c>
      <c r="D24" s="11" t="s">
        <v>249</v>
      </c>
      <c r="E24" s="9" t="s">
        <v>258</v>
      </c>
      <c r="F24" s="13"/>
      <c r="J24" s="14"/>
    </row>
    <row r="25" spans="1:15" ht="182.4" customHeight="1" x14ac:dyDescent="0.3">
      <c r="A25" s="536"/>
      <c r="B25" s="24" t="s">
        <v>256</v>
      </c>
      <c r="C25" s="9" t="s">
        <v>259</v>
      </c>
      <c r="D25" s="11" t="s">
        <v>249</v>
      </c>
      <c r="E25" s="9" t="s">
        <v>260</v>
      </c>
      <c r="F25" s="13"/>
      <c r="J25" s="14"/>
    </row>
    <row r="26" spans="1:15" ht="149.1" customHeight="1" x14ac:dyDescent="0.3">
      <c r="A26" s="536"/>
      <c r="B26" s="24" t="s">
        <v>256</v>
      </c>
      <c r="C26" s="9" t="s">
        <v>261</v>
      </c>
      <c r="D26" s="11" t="s">
        <v>249</v>
      </c>
      <c r="E26" s="9" t="s">
        <v>262</v>
      </c>
      <c r="F26" s="13"/>
      <c r="J26" s="14"/>
    </row>
    <row r="27" spans="1:15" ht="115.95" customHeight="1" x14ac:dyDescent="0.3">
      <c r="A27" s="536"/>
      <c r="B27" s="24" t="s">
        <v>256</v>
      </c>
      <c r="C27" s="9" t="s">
        <v>263</v>
      </c>
      <c r="D27" s="11" t="s">
        <v>249</v>
      </c>
      <c r="E27" s="9" t="s">
        <v>264</v>
      </c>
      <c r="F27" s="13"/>
      <c r="J27" s="14"/>
    </row>
    <row r="28" spans="1:15" ht="15.75" customHeight="1" x14ac:dyDescent="0.3">
      <c r="A28" s="537" t="s">
        <v>213</v>
      </c>
      <c r="B28" s="533" t="s">
        <v>265</v>
      </c>
      <c r="C28" s="533"/>
      <c r="D28" s="533"/>
      <c r="E28" s="533"/>
      <c r="F28" s="13"/>
      <c r="J28" s="14"/>
    </row>
    <row r="29" spans="1:15" ht="115.95" customHeight="1" x14ac:dyDescent="0.3">
      <c r="A29" s="538"/>
      <c r="B29" s="24" t="s">
        <v>266</v>
      </c>
      <c r="C29" s="9" t="s">
        <v>267</v>
      </c>
      <c r="D29" s="11" t="s">
        <v>249</v>
      </c>
      <c r="E29" s="9" t="s">
        <v>268</v>
      </c>
      <c r="F29" s="13"/>
      <c r="J29" s="14"/>
    </row>
    <row r="30" spans="1:15" ht="15.75" customHeight="1" x14ac:dyDescent="0.3">
      <c r="A30" s="536" t="s">
        <v>224</v>
      </c>
      <c r="B30" s="533" t="s">
        <v>225</v>
      </c>
      <c r="C30" s="533"/>
      <c r="D30" s="533"/>
      <c r="E30" s="533"/>
      <c r="F30" s="13"/>
      <c r="J30" s="14"/>
    </row>
    <row r="31" spans="1:15" ht="170.85" customHeight="1" x14ac:dyDescent="0.3">
      <c r="A31" s="536"/>
      <c r="B31" s="24" t="s">
        <v>226</v>
      </c>
      <c r="C31" s="9" t="s">
        <v>269</v>
      </c>
      <c r="D31" s="11" t="s">
        <v>249</v>
      </c>
      <c r="E31" s="9" t="s">
        <v>270</v>
      </c>
      <c r="F31" s="13"/>
      <c r="J31" s="14"/>
    </row>
    <row r="32" spans="1:15" ht="204.15" customHeight="1" x14ac:dyDescent="0.3">
      <c r="A32" s="536"/>
      <c r="B32" s="24" t="s">
        <v>230</v>
      </c>
      <c r="C32" s="9" t="s">
        <v>271</v>
      </c>
      <c r="D32" s="11" t="s">
        <v>249</v>
      </c>
      <c r="E32" s="9" t="s">
        <v>272</v>
      </c>
      <c r="F32" s="13"/>
      <c r="J32" s="14"/>
    </row>
    <row r="33" spans="1:11" ht="170.85" customHeight="1" x14ac:dyDescent="0.3">
      <c r="A33" s="536"/>
      <c r="B33" s="24" t="s">
        <v>230</v>
      </c>
      <c r="C33" s="9" t="s">
        <v>273</v>
      </c>
      <c r="D33" s="11" t="s">
        <v>249</v>
      </c>
      <c r="E33" s="9" t="s">
        <v>274</v>
      </c>
      <c r="F33" s="13"/>
      <c r="J33" s="14"/>
    </row>
    <row r="34" spans="1:11" ht="231.75" customHeight="1" x14ac:dyDescent="0.3">
      <c r="A34" s="536"/>
      <c r="B34" s="24" t="s">
        <v>230</v>
      </c>
      <c r="C34" s="9" t="s">
        <v>254</v>
      </c>
      <c r="D34" s="11" t="s">
        <v>249</v>
      </c>
      <c r="E34" s="9" t="s">
        <v>275</v>
      </c>
      <c r="F34" s="13"/>
      <c r="J34" s="14"/>
    </row>
    <row r="35" spans="1:11" ht="15.75" customHeight="1" x14ac:dyDescent="0.3">
      <c r="A35" s="536"/>
      <c r="B35" s="533" t="s">
        <v>276</v>
      </c>
      <c r="C35" s="533"/>
      <c r="D35" s="533"/>
      <c r="E35" s="533"/>
      <c r="F35" s="13"/>
      <c r="J35" s="14"/>
    </row>
    <row r="36" spans="1:11" ht="93.45" customHeight="1" x14ac:dyDescent="0.3">
      <c r="A36" s="536"/>
      <c r="B36" s="24" t="s">
        <v>277</v>
      </c>
      <c r="C36" s="9" t="s">
        <v>263</v>
      </c>
      <c r="D36" s="11" t="s">
        <v>249</v>
      </c>
      <c r="E36" s="9" t="s">
        <v>278</v>
      </c>
      <c r="F36" s="13"/>
      <c r="J36" s="14"/>
    </row>
    <row r="37" spans="1:11" ht="104.1" customHeight="1" x14ac:dyDescent="0.3">
      <c r="A37" s="536"/>
      <c r="B37" s="24" t="s">
        <v>277</v>
      </c>
      <c r="C37" s="9" t="s">
        <v>263</v>
      </c>
      <c r="D37" s="11" t="s">
        <v>249</v>
      </c>
      <c r="E37" s="9" t="s">
        <v>279</v>
      </c>
      <c r="F37" s="13"/>
      <c r="J37" s="14"/>
    </row>
    <row r="38" spans="1:11" ht="15.75" customHeight="1" x14ac:dyDescent="0.3">
      <c r="A38" s="536" t="s">
        <v>234</v>
      </c>
      <c r="B38" s="533" t="s">
        <v>235</v>
      </c>
      <c r="C38" s="533"/>
      <c r="D38" s="533"/>
      <c r="E38" s="533"/>
      <c r="F38" s="13"/>
      <c r="J38" s="14"/>
    </row>
    <row r="39" spans="1:11" ht="137.4" customHeight="1" x14ac:dyDescent="0.3">
      <c r="A39" s="536"/>
      <c r="B39" s="24" t="s">
        <v>236</v>
      </c>
      <c r="C39" s="9" t="s">
        <v>280</v>
      </c>
      <c r="D39" s="11" t="s">
        <v>249</v>
      </c>
      <c r="E39" s="9" t="s">
        <v>281</v>
      </c>
      <c r="F39" s="13"/>
      <c r="J39" s="14"/>
    </row>
    <row r="40" spans="1:11" ht="20.100000000000001" customHeight="1" x14ac:dyDescent="0.3">
      <c r="A40" s="534" t="s">
        <v>282</v>
      </c>
      <c r="B40" s="535"/>
      <c r="C40" s="25">
        <v>14</v>
      </c>
      <c r="D40" s="26"/>
      <c r="E40" s="26"/>
      <c r="F40" s="13"/>
      <c r="I40" s="17"/>
      <c r="J40" s="17"/>
    </row>
    <row r="41" spans="1:11" ht="58.5" customHeight="1" x14ac:dyDescent="0.3">
      <c r="A41" s="532" t="s">
        <v>283</v>
      </c>
      <c r="B41" s="532"/>
      <c r="C41" s="532"/>
      <c r="D41" s="532"/>
      <c r="E41" s="532"/>
      <c r="F41" s="27"/>
      <c r="G41" s="27"/>
      <c r="J41" s="17"/>
      <c r="K41" s="17"/>
    </row>
    <row r="42" spans="1:11" ht="43.35" customHeight="1" x14ac:dyDescent="0.3">
      <c r="J42" s="17"/>
      <c r="K42" s="17"/>
    </row>
    <row r="43" spans="1:11" ht="69.150000000000006" customHeight="1" x14ac:dyDescent="0.3">
      <c r="J43" s="17"/>
      <c r="K43" s="17"/>
    </row>
    <row r="44" spans="1:11" ht="66.599999999999994" customHeight="1" x14ac:dyDescent="0.3">
      <c r="J44" s="17"/>
      <c r="K44" s="17"/>
    </row>
    <row r="45" spans="1:11" ht="58.35" customHeight="1" x14ac:dyDescent="0.3">
      <c r="J45" s="29"/>
      <c r="K45" s="17"/>
    </row>
    <row r="46" spans="1:11" ht="44.1" customHeight="1" x14ac:dyDescent="0.3">
      <c r="J46" s="17"/>
      <c r="K46" s="17"/>
    </row>
    <row r="47" spans="1:11" ht="134.1" customHeight="1" x14ac:dyDescent="0.3">
      <c r="J47" s="17"/>
      <c r="K47" s="17"/>
    </row>
    <row r="48" spans="1:11" ht="39.9" customHeight="1" x14ac:dyDescent="0.3">
      <c r="J48" s="30"/>
      <c r="K48" s="1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heetProtection algorithmName="SHA-512" hashValue="+V9pagEbmYgc9cnzwqAoX0lko5l8V/lfRFRKss1FefY52KvJ+q3DKOwPO6ZFz0aFH3TVJOWI1x28nrPfH9N3Pg==" saltValue="qSDJm4QY92lUuku0IdjHyw==" spinCount="100000" sheet="1" objects="1" scenarios="1" formatColumns="0" formatRows="0"/>
  <mergeCells count="22">
    <mergeCell ref="A1:G1"/>
    <mergeCell ref="B8:G8"/>
    <mergeCell ref="A16:G16"/>
    <mergeCell ref="A15:F15"/>
    <mergeCell ref="B4:G4"/>
    <mergeCell ref="A8:A11"/>
    <mergeCell ref="A4:A7"/>
    <mergeCell ref="B12:G12"/>
    <mergeCell ref="A12:A14"/>
    <mergeCell ref="A20:A21"/>
    <mergeCell ref="B20:E20"/>
    <mergeCell ref="B22:E22"/>
    <mergeCell ref="A22:A27"/>
    <mergeCell ref="A28:A29"/>
    <mergeCell ref="B28:E28"/>
    <mergeCell ref="A41:E41"/>
    <mergeCell ref="B30:E30"/>
    <mergeCell ref="A40:B40"/>
    <mergeCell ref="A30:A37"/>
    <mergeCell ref="B38:E38"/>
    <mergeCell ref="B35:E35"/>
    <mergeCell ref="A38:A3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88"/>
  <sheetViews>
    <sheetView showRuler="0" workbookViewId="0">
      <selection sqref="A1:F1"/>
    </sheetView>
  </sheetViews>
  <sheetFormatPr defaultColWidth="13.6640625" defaultRowHeight="13.2" x14ac:dyDescent="0.25"/>
  <cols>
    <col min="1" max="1" width="29.33203125" customWidth="1"/>
    <col min="2" max="6" width="12.88671875" customWidth="1"/>
    <col min="8" max="8" width="23.5546875" customWidth="1"/>
  </cols>
  <sheetData>
    <row r="1" spans="1:23" ht="23.25" customHeight="1" x14ac:dyDescent="0.3">
      <c r="A1" s="543" t="s">
        <v>284</v>
      </c>
      <c r="B1" s="543"/>
      <c r="C1" s="543"/>
      <c r="D1" s="557"/>
      <c r="E1" s="557"/>
      <c r="F1" s="557"/>
    </row>
    <row r="2" spans="1:23" ht="19.2" customHeight="1" x14ac:dyDescent="0.3">
      <c r="B2" s="28"/>
      <c r="C2" s="28"/>
      <c r="D2" s="28"/>
      <c r="E2" s="28"/>
      <c r="F2" s="28"/>
      <c r="G2" s="2"/>
      <c r="H2" s="2"/>
    </row>
    <row r="3" spans="1:23" ht="25.95" customHeight="1" x14ac:dyDescent="0.3">
      <c r="A3" s="558" t="s">
        <v>285</v>
      </c>
      <c r="B3" s="559"/>
      <c r="C3" s="559"/>
      <c r="D3" s="559"/>
      <c r="E3" s="559"/>
      <c r="F3" s="560"/>
      <c r="G3" s="13"/>
      <c r="I3" s="303"/>
      <c r="J3" s="303"/>
      <c r="K3" s="303"/>
      <c r="L3" s="303"/>
      <c r="M3" s="303"/>
      <c r="N3" s="303"/>
      <c r="O3" s="303"/>
      <c r="P3" s="303"/>
      <c r="Q3" s="303"/>
      <c r="R3" s="303"/>
      <c r="S3" s="303"/>
      <c r="T3" s="303"/>
      <c r="U3" s="303"/>
      <c r="V3" s="303"/>
      <c r="W3" s="303"/>
    </row>
    <row r="4" spans="1:23" ht="55.95" customHeight="1" x14ac:dyDescent="0.3">
      <c r="A4" s="561" t="s">
        <v>286</v>
      </c>
      <c r="B4" s="562"/>
      <c r="C4" s="562"/>
      <c r="D4" s="562"/>
      <c r="E4" s="562"/>
      <c r="F4" s="562"/>
      <c r="G4" s="304"/>
      <c r="I4" s="232"/>
      <c r="J4" s="232"/>
      <c r="K4" s="232"/>
      <c r="L4" s="232"/>
      <c r="M4" s="232"/>
      <c r="N4" s="232"/>
      <c r="O4" s="232"/>
      <c r="P4" s="232"/>
      <c r="Q4" s="232"/>
      <c r="R4" s="232"/>
      <c r="S4" s="232"/>
      <c r="T4" s="232"/>
      <c r="U4" s="232"/>
      <c r="V4" s="232"/>
      <c r="W4" s="232"/>
    </row>
    <row r="5" spans="1:23" ht="36.6" customHeight="1" x14ac:dyDescent="0.3">
      <c r="A5" s="546" t="s">
        <v>287</v>
      </c>
      <c r="B5" s="546"/>
      <c r="C5" s="546"/>
      <c r="D5" s="546"/>
      <c r="E5" s="546"/>
      <c r="F5" s="546"/>
      <c r="G5" s="2"/>
      <c r="I5" s="305"/>
      <c r="J5" s="305"/>
      <c r="K5" s="305"/>
      <c r="L5" s="305"/>
      <c r="M5" s="305"/>
      <c r="N5" s="305"/>
      <c r="O5" s="305"/>
      <c r="P5" s="305"/>
      <c r="Q5" s="305"/>
      <c r="R5" s="305"/>
      <c r="S5" s="305"/>
      <c r="T5" s="305"/>
      <c r="U5" s="305"/>
      <c r="V5" s="305"/>
      <c r="W5" s="305"/>
    </row>
    <row r="6" spans="1:23" ht="19.2" customHeight="1" x14ac:dyDescent="0.3">
      <c r="A6" s="2"/>
      <c r="B6" s="2"/>
      <c r="C6" s="2"/>
      <c r="D6" s="2"/>
      <c r="E6" s="2"/>
      <c r="F6" s="2"/>
      <c r="G6" s="2"/>
      <c r="I6" s="305"/>
      <c r="J6" s="305"/>
      <c r="K6" s="305"/>
      <c r="L6" s="305"/>
      <c r="M6" s="305"/>
      <c r="N6" s="305"/>
      <c r="O6" s="305"/>
      <c r="P6" s="305"/>
      <c r="Q6" s="305"/>
      <c r="R6" s="305"/>
      <c r="S6" s="305"/>
      <c r="T6" s="305"/>
      <c r="U6" s="305"/>
      <c r="V6" s="305"/>
      <c r="W6" s="305"/>
    </row>
    <row r="7" spans="1:23" ht="22.5" customHeight="1" x14ac:dyDescent="0.3">
      <c r="H7" s="2"/>
      <c r="I7" s="305"/>
      <c r="J7" s="305"/>
      <c r="K7" s="305"/>
      <c r="L7" s="305"/>
      <c r="M7" s="305"/>
      <c r="N7" s="305"/>
      <c r="O7" s="305"/>
      <c r="P7" s="305"/>
      <c r="Q7" s="305"/>
      <c r="R7" s="305"/>
      <c r="S7" s="305"/>
      <c r="T7" s="305"/>
      <c r="U7" s="305"/>
      <c r="V7" s="305"/>
      <c r="W7" s="305"/>
    </row>
    <row r="8" spans="1:23" ht="45.75" customHeight="1" x14ac:dyDescent="0.3">
      <c r="A8" s="33" t="s">
        <v>37</v>
      </c>
      <c r="B8" s="25">
        <v>2019</v>
      </c>
      <c r="C8" s="25">
        <v>2020</v>
      </c>
      <c r="D8" s="25">
        <v>2021</v>
      </c>
      <c r="E8" s="34">
        <v>2022</v>
      </c>
      <c r="F8" s="22" t="s">
        <v>288</v>
      </c>
      <c r="G8" s="13"/>
      <c r="H8" s="2"/>
      <c r="I8" s="305"/>
      <c r="J8" s="305"/>
      <c r="K8" s="305"/>
      <c r="L8" s="305"/>
      <c r="M8" s="305"/>
      <c r="N8" s="305"/>
      <c r="O8" s="305"/>
      <c r="P8" s="305"/>
      <c r="Q8" s="305"/>
      <c r="R8" s="305"/>
      <c r="S8" s="305"/>
      <c r="T8" s="305"/>
      <c r="U8" s="305"/>
      <c r="V8" s="305"/>
      <c r="W8" s="305"/>
    </row>
    <row r="9" spans="1:23" ht="25.95" customHeight="1" x14ac:dyDescent="0.3">
      <c r="A9" s="32" t="s">
        <v>289</v>
      </c>
      <c r="B9" s="35">
        <v>534</v>
      </c>
      <c r="C9" s="35">
        <v>384</v>
      </c>
      <c r="D9" s="35">
        <v>401</v>
      </c>
      <c r="E9" s="35">
        <v>702</v>
      </c>
      <c r="F9" s="35">
        <v>952</v>
      </c>
      <c r="G9" s="13"/>
      <c r="H9" s="2"/>
      <c r="I9" s="305"/>
      <c r="J9" s="305"/>
      <c r="K9" s="305"/>
      <c r="L9" s="305"/>
      <c r="M9" s="305"/>
      <c r="N9" s="305"/>
      <c r="O9" s="305"/>
      <c r="P9" s="305"/>
      <c r="Q9" s="305"/>
      <c r="R9" s="305"/>
      <c r="S9" s="305"/>
      <c r="T9" s="305"/>
      <c r="U9" s="305"/>
      <c r="V9" s="305"/>
      <c r="W9" s="305"/>
    </row>
    <row r="10" spans="1:23" ht="25.95" customHeight="1" x14ac:dyDescent="0.3">
      <c r="A10" s="32" t="s">
        <v>290</v>
      </c>
      <c r="B10" s="35">
        <v>167</v>
      </c>
      <c r="C10" s="35">
        <v>71</v>
      </c>
      <c r="D10" s="35">
        <v>102</v>
      </c>
      <c r="E10" s="35">
        <v>163</v>
      </c>
      <c r="F10" s="35">
        <v>184</v>
      </c>
      <c r="G10" s="13"/>
      <c r="H10" s="2"/>
      <c r="I10" s="305"/>
      <c r="J10" s="305"/>
      <c r="K10" s="305"/>
      <c r="L10" s="305"/>
      <c r="M10" s="305"/>
      <c r="N10" s="305"/>
      <c r="O10" s="305"/>
      <c r="P10" s="305"/>
      <c r="Q10" s="305"/>
      <c r="R10" s="305"/>
      <c r="S10" s="305"/>
      <c r="T10" s="305"/>
      <c r="U10" s="305"/>
      <c r="V10" s="305"/>
      <c r="W10" s="305"/>
    </row>
    <row r="11" spans="1:23" ht="39" customHeight="1" x14ac:dyDescent="0.3">
      <c r="A11" s="532" t="s">
        <v>291</v>
      </c>
      <c r="B11" s="532"/>
      <c r="C11" s="532"/>
      <c r="D11" s="532"/>
      <c r="E11" s="532"/>
      <c r="F11" s="532"/>
      <c r="G11" s="2"/>
      <c r="H11" s="2"/>
      <c r="I11" s="305"/>
      <c r="J11" s="305"/>
      <c r="K11" s="305"/>
      <c r="L11" s="305"/>
      <c r="M11" s="305"/>
      <c r="N11" s="305"/>
      <c r="O11" s="305"/>
      <c r="P11" s="305"/>
      <c r="Q11" s="305"/>
      <c r="R11" s="305"/>
      <c r="S11" s="305"/>
      <c r="T11" s="305"/>
      <c r="U11" s="305"/>
      <c r="V11" s="305"/>
      <c r="W11" s="305"/>
    </row>
    <row r="12" spans="1:23" ht="22.5" customHeight="1" x14ac:dyDescent="0.3">
      <c r="H12" s="232"/>
      <c r="I12" s="305"/>
      <c r="J12" s="305"/>
      <c r="K12" s="305"/>
      <c r="L12" s="305"/>
      <c r="M12" s="305"/>
      <c r="N12" s="305"/>
      <c r="O12" s="305"/>
      <c r="P12" s="305"/>
      <c r="Q12" s="305"/>
      <c r="R12" s="305"/>
      <c r="S12" s="305"/>
      <c r="T12" s="305"/>
      <c r="U12" s="305"/>
      <c r="V12" s="305"/>
      <c r="W12" s="305"/>
    </row>
    <row r="13" spans="1:23" ht="24.15" customHeight="1" x14ac:dyDescent="0.25">
      <c r="H13" s="306"/>
      <c r="I13" s="305"/>
      <c r="J13" s="305"/>
      <c r="K13" s="305"/>
      <c r="L13" s="305"/>
      <c r="M13" s="305"/>
      <c r="N13" s="305"/>
      <c r="O13" s="305"/>
      <c r="P13" s="305"/>
      <c r="Q13" s="305"/>
      <c r="R13" s="305"/>
      <c r="S13" s="305"/>
      <c r="T13" s="305"/>
      <c r="U13" s="305"/>
      <c r="V13" s="305"/>
      <c r="W13" s="305"/>
    </row>
    <row r="14" spans="1:23" ht="60" customHeight="1" x14ac:dyDescent="0.3">
      <c r="A14" s="33" t="s">
        <v>39</v>
      </c>
      <c r="B14" s="25">
        <v>2019</v>
      </c>
      <c r="C14" s="25">
        <v>2020</v>
      </c>
      <c r="D14" s="25">
        <v>2021</v>
      </c>
      <c r="E14" s="25">
        <v>2022</v>
      </c>
      <c r="F14" s="36" t="s">
        <v>292</v>
      </c>
      <c r="G14" s="13"/>
      <c r="H14" s="306"/>
      <c r="I14" s="305"/>
      <c r="J14" s="305"/>
      <c r="K14" s="305"/>
      <c r="L14" s="305"/>
      <c r="M14" s="305"/>
      <c r="N14" s="305"/>
      <c r="O14" s="305"/>
      <c r="P14" s="305"/>
      <c r="Q14" s="305"/>
      <c r="R14" s="305"/>
      <c r="S14" s="305"/>
      <c r="T14" s="305"/>
      <c r="U14" s="305"/>
      <c r="V14" s="305"/>
      <c r="W14" s="305"/>
    </row>
    <row r="15" spans="1:23" ht="60" customHeight="1" x14ac:dyDescent="0.3">
      <c r="A15" s="6" t="s">
        <v>293</v>
      </c>
      <c r="B15" s="37">
        <v>541</v>
      </c>
      <c r="C15" s="37">
        <v>384</v>
      </c>
      <c r="D15" s="37">
        <v>466</v>
      </c>
      <c r="E15" s="37">
        <v>779</v>
      </c>
      <c r="F15" s="37">
        <v>1066</v>
      </c>
      <c r="G15" s="13"/>
      <c r="H15" s="306"/>
      <c r="I15" s="306"/>
      <c r="J15" s="306"/>
      <c r="K15" s="306"/>
      <c r="L15" s="306"/>
      <c r="M15" s="306"/>
      <c r="N15" s="306"/>
      <c r="O15" s="306"/>
      <c r="P15" s="306"/>
      <c r="Q15" s="306"/>
      <c r="R15" s="306"/>
      <c r="S15" s="306"/>
      <c r="T15" s="306"/>
      <c r="U15" s="306"/>
      <c r="V15" s="306"/>
      <c r="W15" s="306"/>
    </row>
    <row r="16" spans="1:23" ht="60" customHeight="1" x14ac:dyDescent="0.3">
      <c r="A16" s="6" t="s">
        <v>294</v>
      </c>
      <c r="B16" s="37">
        <v>105</v>
      </c>
      <c r="C16" s="37">
        <v>128</v>
      </c>
      <c r="D16" s="37">
        <v>49</v>
      </c>
      <c r="E16" s="37">
        <v>114</v>
      </c>
      <c r="F16" s="37">
        <v>194</v>
      </c>
      <c r="G16" s="13"/>
      <c r="H16" s="306"/>
      <c r="I16" s="307"/>
      <c r="J16" s="307"/>
      <c r="K16" s="307"/>
      <c r="L16" s="307"/>
      <c r="M16" s="307"/>
      <c r="N16" s="307"/>
      <c r="O16" s="307"/>
      <c r="P16" s="307"/>
      <c r="Q16" s="307"/>
      <c r="R16" s="307"/>
      <c r="S16" s="307"/>
      <c r="T16" s="307"/>
      <c r="U16" s="307"/>
      <c r="V16" s="307"/>
      <c r="W16" s="307"/>
    </row>
    <row r="17" spans="1:8" ht="60" customHeight="1" x14ac:dyDescent="0.3">
      <c r="A17" s="6" t="s">
        <v>295</v>
      </c>
      <c r="B17" s="37">
        <v>518</v>
      </c>
      <c r="C17" s="37">
        <v>460</v>
      </c>
      <c r="D17" s="37">
        <v>401</v>
      </c>
      <c r="E17" s="37">
        <v>702</v>
      </c>
      <c r="F17" s="37">
        <v>952</v>
      </c>
      <c r="G17" s="13"/>
      <c r="H17" s="306"/>
    </row>
    <row r="18" spans="1:8" ht="60" customHeight="1" x14ac:dyDescent="0.3">
      <c r="A18" s="6" t="s">
        <v>296</v>
      </c>
      <c r="B18" s="37">
        <v>130</v>
      </c>
      <c r="C18" s="37">
        <v>52</v>
      </c>
      <c r="D18" s="37">
        <v>114</v>
      </c>
      <c r="E18" s="37">
        <v>191</v>
      </c>
      <c r="F18" s="37">
        <v>308</v>
      </c>
      <c r="G18" s="13"/>
      <c r="H18" s="306"/>
    </row>
    <row r="19" spans="1:8" ht="60" customHeight="1" x14ac:dyDescent="0.3">
      <c r="A19" s="6" t="s">
        <v>297</v>
      </c>
      <c r="B19" s="37">
        <v>534</v>
      </c>
      <c r="C19" s="37">
        <v>171</v>
      </c>
      <c r="D19" s="37">
        <v>221</v>
      </c>
      <c r="E19" s="37">
        <v>315</v>
      </c>
      <c r="F19" s="37">
        <v>375</v>
      </c>
      <c r="G19" s="13"/>
      <c r="H19" s="306"/>
    </row>
    <row r="20" spans="1:8" ht="60" customHeight="1" x14ac:dyDescent="0.3">
      <c r="A20" s="6" t="s">
        <v>298</v>
      </c>
      <c r="B20" s="37">
        <v>365</v>
      </c>
      <c r="C20" s="37">
        <v>100</v>
      </c>
      <c r="D20" s="37">
        <v>119</v>
      </c>
      <c r="E20" s="37">
        <v>152</v>
      </c>
      <c r="F20" s="37">
        <v>191</v>
      </c>
      <c r="G20" s="13"/>
      <c r="H20" s="305"/>
    </row>
    <row r="21" spans="1:8" ht="60" customHeight="1" x14ac:dyDescent="0.3">
      <c r="A21" s="6" t="s">
        <v>290</v>
      </c>
      <c r="B21" s="37">
        <v>169</v>
      </c>
      <c r="C21" s="37">
        <v>71</v>
      </c>
      <c r="D21" s="37">
        <v>102</v>
      </c>
      <c r="E21" s="37">
        <v>163</v>
      </c>
      <c r="F21" s="37">
        <v>184</v>
      </c>
      <c r="G21" s="13"/>
      <c r="H21" s="305"/>
    </row>
    <row r="22" spans="1:8" ht="60" customHeight="1" x14ac:dyDescent="0.3">
      <c r="A22" s="6" t="s">
        <v>299</v>
      </c>
      <c r="B22" s="38">
        <v>51</v>
      </c>
      <c r="C22" s="38">
        <v>7</v>
      </c>
      <c r="D22" s="38">
        <v>10</v>
      </c>
      <c r="E22" s="38">
        <v>18</v>
      </c>
      <c r="F22" s="38">
        <v>29</v>
      </c>
      <c r="G22" s="13"/>
      <c r="H22" s="305"/>
    </row>
    <row r="23" spans="1:8" ht="66.599999999999994" customHeight="1" x14ac:dyDescent="0.3">
      <c r="A23" s="6" t="s">
        <v>300</v>
      </c>
      <c r="B23" s="38">
        <v>118</v>
      </c>
      <c r="C23" s="38">
        <v>63</v>
      </c>
      <c r="D23" s="38">
        <v>77</v>
      </c>
      <c r="E23" s="38">
        <v>153</v>
      </c>
      <c r="F23" s="38">
        <v>140</v>
      </c>
      <c r="G23" s="13"/>
      <c r="H23" s="306"/>
    </row>
    <row r="24" spans="1:8" ht="60" customHeight="1" x14ac:dyDescent="0.3">
      <c r="A24" s="39" t="s">
        <v>301</v>
      </c>
      <c r="B24" s="38">
        <v>54</v>
      </c>
      <c r="C24" s="38">
        <v>24</v>
      </c>
      <c r="D24" s="38">
        <v>16</v>
      </c>
      <c r="E24" s="38">
        <v>50</v>
      </c>
      <c r="F24" s="38">
        <v>33</v>
      </c>
      <c r="G24" s="13"/>
      <c r="H24" s="306"/>
    </row>
    <row r="25" spans="1:8" ht="60" customHeight="1" x14ac:dyDescent="0.3">
      <c r="A25" s="39" t="s">
        <v>302</v>
      </c>
      <c r="B25" s="37">
        <v>29</v>
      </c>
      <c r="C25" s="37">
        <v>14</v>
      </c>
      <c r="D25" s="37">
        <v>33</v>
      </c>
      <c r="E25" s="37">
        <v>64</v>
      </c>
      <c r="F25" s="37">
        <v>61</v>
      </c>
      <c r="G25" s="13"/>
      <c r="H25" s="306"/>
    </row>
    <row r="26" spans="1:8" ht="60" customHeight="1" x14ac:dyDescent="0.3">
      <c r="A26" s="39" t="s">
        <v>303</v>
      </c>
      <c r="B26" s="37">
        <v>25</v>
      </c>
      <c r="C26" s="37">
        <v>26</v>
      </c>
      <c r="D26" s="37">
        <v>28</v>
      </c>
      <c r="E26" s="37">
        <v>69</v>
      </c>
      <c r="F26" s="37">
        <v>63</v>
      </c>
      <c r="G26" s="13"/>
      <c r="H26" s="308"/>
    </row>
    <row r="27" spans="1:8" ht="60" customHeight="1" x14ac:dyDescent="0.3">
      <c r="A27" s="40" t="s">
        <v>304</v>
      </c>
      <c r="B27" s="37">
        <v>68</v>
      </c>
      <c r="C27" s="37">
        <v>80</v>
      </c>
      <c r="D27" s="37">
        <v>86</v>
      </c>
      <c r="E27" s="37">
        <v>72</v>
      </c>
      <c r="F27" s="37">
        <v>80</v>
      </c>
      <c r="G27" s="13"/>
      <c r="H27" s="2"/>
    </row>
    <row r="28" spans="1:8" ht="102.6" customHeight="1" x14ac:dyDescent="0.25">
      <c r="A28" s="546" t="s">
        <v>305</v>
      </c>
      <c r="B28" s="546"/>
      <c r="C28" s="546"/>
      <c r="D28" s="546"/>
      <c r="E28" s="546"/>
      <c r="F28" s="546"/>
    </row>
    <row r="29" spans="1:8" ht="24.15" customHeight="1" x14ac:dyDescent="0.25">
      <c r="A29" s="309"/>
      <c r="B29" s="309"/>
      <c r="C29" s="309"/>
      <c r="D29" s="309"/>
      <c r="E29" s="309"/>
      <c r="F29" s="309"/>
    </row>
    <row r="30" spans="1:8" ht="24.15" customHeight="1" x14ac:dyDescent="0.25">
      <c r="A30" s="310"/>
      <c r="B30" s="310"/>
      <c r="C30" s="310"/>
      <c r="D30" s="309"/>
      <c r="E30" s="309"/>
      <c r="F30" s="309"/>
    </row>
    <row r="31" spans="1:8" ht="49.2" customHeight="1" x14ac:dyDescent="0.3">
      <c r="A31" s="33" t="s">
        <v>306</v>
      </c>
      <c r="B31" s="5" t="s">
        <v>307</v>
      </c>
      <c r="C31" s="5" t="s">
        <v>308</v>
      </c>
      <c r="D31" s="311"/>
      <c r="E31" s="309"/>
      <c r="F31" s="309"/>
    </row>
    <row r="32" spans="1:8" ht="36.6" customHeight="1" x14ac:dyDescent="0.25">
      <c r="A32" s="31" t="s">
        <v>309</v>
      </c>
      <c r="B32" s="35">
        <v>18</v>
      </c>
      <c r="C32" s="41">
        <v>1.6885553470919301E-2</v>
      </c>
      <c r="D32" s="311"/>
      <c r="E32" s="309"/>
      <c r="F32" s="309"/>
    </row>
    <row r="33" spans="1:8" ht="36.6" customHeight="1" x14ac:dyDescent="0.25">
      <c r="A33" s="31" t="s">
        <v>310</v>
      </c>
      <c r="B33" s="35">
        <v>29</v>
      </c>
      <c r="C33" s="41">
        <v>2.7204502814258898E-2</v>
      </c>
      <c r="D33" s="311"/>
      <c r="E33" s="309"/>
      <c r="F33" s="309"/>
    </row>
    <row r="34" spans="1:8" ht="36.6" customHeight="1" x14ac:dyDescent="0.25">
      <c r="A34" s="31" t="s">
        <v>311</v>
      </c>
      <c r="B34" s="35">
        <v>68</v>
      </c>
      <c r="C34" s="41">
        <v>6.3789868667917402E-2</v>
      </c>
      <c r="D34" s="311"/>
      <c r="E34" s="309"/>
      <c r="F34" s="309"/>
    </row>
    <row r="35" spans="1:8" ht="36.6" customHeight="1" x14ac:dyDescent="0.25">
      <c r="A35" s="31" t="s">
        <v>312</v>
      </c>
      <c r="B35" s="35">
        <v>47</v>
      </c>
      <c r="C35" s="41">
        <v>4.4090056285178203E-2</v>
      </c>
      <c r="D35" s="311"/>
      <c r="E35" s="309"/>
      <c r="F35" s="309"/>
    </row>
    <row r="36" spans="1:8" ht="36.6" customHeight="1" x14ac:dyDescent="0.25">
      <c r="A36" s="31" t="s">
        <v>313</v>
      </c>
      <c r="B36" s="35">
        <v>341</v>
      </c>
      <c r="C36" s="41">
        <v>0.31988742964352701</v>
      </c>
      <c r="D36" s="311"/>
      <c r="E36" s="309"/>
      <c r="F36" s="309"/>
    </row>
    <row r="37" spans="1:8" ht="36.6" customHeight="1" x14ac:dyDescent="0.25">
      <c r="A37" s="31" t="s">
        <v>314</v>
      </c>
      <c r="B37" s="35">
        <v>478</v>
      </c>
      <c r="C37" s="41">
        <v>0.448405253283302</v>
      </c>
      <c r="D37" s="311"/>
      <c r="E37" s="309"/>
      <c r="F37" s="309"/>
    </row>
    <row r="38" spans="1:8" ht="36.6" customHeight="1" x14ac:dyDescent="0.25">
      <c r="A38" s="31" t="s">
        <v>315</v>
      </c>
      <c r="B38" s="35">
        <v>47</v>
      </c>
      <c r="C38" s="41">
        <v>4.4090056285178203E-2</v>
      </c>
      <c r="D38" s="311"/>
      <c r="E38" s="309"/>
      <c r="F38" s="309"/>
    </row>
    <row r="39" spans="1:8" ht="36.6" customHeight="1" x14ac:dyDescent="0.25">
      <c r="A39" s="31" t="s">
        <v>316</v>
      </c>
      <c r="B39" s="35">
        <v>22</v>
      </c>
      <c r="C39" s="41">
        <v>2.0637898686679201E-2</v>
      </c>
      <c r="D39" s="311"/>
      <c r="E39" s="309"/>
      <c r="F39" s="309"/>
    </row>
    <row r="40" spans="1:8" ht="36.6" customHeight="1" x14ac:dyDescent="0.25">
      <c r="A40" s="31" t="s">
        <v>317</v>
      </c>
      <c r="B40" s="35">
        <v>16</v>
      </c>
      <c r="C40" s="41">
        <v>1.50093808630394E-2</v>
      </c>
      <c r="D40" s="311"/>
      <c r="E40" s="309"/>
      <c r="F40" s="309"/>
    </row>
    <row r="41" spans="1:8" ht="36.6" customHeight="1" x14ac:dyDescent="0.25">
      <c r="A41" s="6" t="s">
        <v>318</v>
      </c>
      <c r="B41" s="42">
        <v>1066</v>
      </c>
      <c r="C41" s="43">
        <v>1</v>
      </c>
      <c r="D41" s="311"/>
      <c r="E41" s="309"/>
      <c r="F41" s="309"/>
    </row>
    <row r="42" spans="1:8" ht="66.599999999999994" customHeight="1" x14ac:dyDescent="0.3">
      <c r="A42" s="547" t="s">
        <v>319</v>
      </c>
      <c r="B42" s="547"/>
      <c r="C42" s="547"/>
      <c r="D42" s="309"/>
      <c r="E42" s="309"/>
      <c r="F42" s="309"/>
    </row>
    <row r="43" spans="1:8" ht="24.15" customHeight="1" x14ac:dyDescent="0.25">
      <c r="A43" s="309"/>
      <c r="B43" s="309"/>
      <c r="C43" s="309"/>
      <c r="D43" s="309"/>
      <c r="E43" s="309"/>
      <c r="F43" s="309"/>
    </row>
    <row r="44" spans="1:8" ht="26.7" customHeight="1" x14ac:dyDescent="0.25"/>
    <row r="45" spans="1:8" ht="39.9" customHeight="1" x14ac:dyDescent="0.3">
      <c r="A45" s="552" t="s">
        <v>320</v>
      </c>
      <c r="B45" s="553" t="s">
        <v>321</v>
      </c>
      <c r="C45" s="553" t="s">
        <v>322</v>
      </c>
      <c r="D45" s="554" t="s">
        <v>323</v>
      </c>
      <c r="E45" s="555"/>
      <c r="F45" s="555"/>
      <c r="G45" s="556"/>
      <c r="H45" s="13"/>
    </row>
    <row r="46" spans="1:8" ht="69.150000000000006" customHeight="1" x14ac:dyDescent="0.3">
      <c r="A46" s="552"/>
      <c r="B46" s="553"/>
      <c r="C46" s="553"/>
      <c r="D46" s="5" t="s">
        <v>324</v>
      </c>
      <c r="E46" s="5" t="s">
        <v>325</v>
      </c>
      <c r="F46" s="5" t="s">
        <v>326</v>
      </c>
      <c r="G46" s="5" t="s">
        <v>327</v>
      </c>
      <c r="H46" s="13"/>
    </row>
    <row r="47" spans="1:8" ht="25.95" customHeight="1" x14ac:dyDescent="0.3">
      <c r="A47" s="32" t="s">
        <v>328</v>
      </c>
      <c r="B47" s="35">
        <v>35</v>
      </c>
      <c r="C47" s="35">
        <v>15</v>
      </c>
      <c r="D47" s="35">
        <v>5</v>
      </c>
      <c r="E47" s="35">
        <v>7</v>
      </c>
      <c r="F47" s="35">
        <v>11</v>
      </c>
      <c r="G47" s="35">
        <v>2</v>
      </c>
      <c r="H47" s="13"/>
    </row>
    <row r="48" spans="1:8" ht="25.95" customHeight="1" x14ac:dyDescent="0.3">
      <c r="A48" s="32" t="s">
        <v>252</v>
      </c>
      <c r="B48" s="35">
        <v>56</v>
      </c>
      <c r="C48" s="35">
        <v>27</v>
      </c>
      <c r="D48" s="35">
        <v>5</v>
      </c>
      <c r="E48" s="35">
        <v>2</v>
      </c>
      <c r="F48" s="35">
        <v>19</v>
      </c>
      <c r="G48" s="35">
        <v>8</v>
      </c>
      <c r="H48" s="13"/>
    </row>
    <row r="49" spans="1:9" ht="25.95" customHeight="1" x14ac:dyDescent="0.3">
      <c r="A49" s="32" t="s">
        <v>225</v>
      </c>
      <c r="B49" s="35">
        <v>56</v>
      </c>
      <c r="C49" s="35">
        <v>31</v>
      </c>
      <c r="D49" s="35">
        <v>0</v>
      </c>
      <c r="E49" s="35">
        <v>9</v>
      </c>
      <c r="F49" s="35">
        <v>9</v>
      </c>
      <c r="G49" s="35">
        <v>10</v>
      </c>
      <c r="H49" s="13"/>
    </row>
    <row r="50" spans="1:9" ht="25.95" customHeight="1" x14ac:dyDescent="0.3">
      <c r="A50" s="32" t="s">
        <v>329</v>
      </c>
      <c r="B50" s="35">
        <v>4</v>
      </c>
      <c r="C50" s="35">
        <v>4</v>
      </c>
      <c r="D50" s="35">
        <v>0</v>
      </c>
      <c r="E50" s="35">
        <v>0</v>
      </c>
      <c r="F50" s="35">
        <v>0</v>
      </c>
      <c r="G50" s="35">
        <v>2</v>
      </c>
      <c r="H50" s="13"/>
    </row>
    <row r="51" spans="1:9" ht="25.95" customHeight="1" x14ac:dyDescent="0.3">
      <c r="A51" s="32" t="s">
        <v>330</v>
      </c>
      <c r="B51" s="35">
        <v>3</v>
      </c>
      <c r="C51" s="35">
        <v>2</v>
      </c>
      <c r="D51" s="35">
        <v>0</v>
      </c>
      <c r="E51" s="35">
        <v>0</v>
      </c>
      <c r="F51" s="35">
        <v>0</v>
      </c>
      <c r="G51" s="35">
        <v>0</v>
      </c>
      <c r="H51" s="13"/>
    </row>
    <row r="52" spans="1:9" ht="25.95" customHeight="1" x14ac:dyDescent="0.3">
      <c r="A52" s="32" t="s">
        <v>246</v>
      </c>
      <c r="B52" s="35">
        <v>31</v>
      </c>
      <c r="C52" s="35">
        <v>10</v>
      </c>
      <c r="D52" s="35">
        <v>1</v>
      </c>
      <c r="E52" s="35">
        <v>1</v>
      </c>
      <c r="F52" s="35">
        <v>5</v>
      </c>
      <c r="G52" s="35">
        <v>4</v>
      </c>
      <c r="H52" s="13"/>
    </row>
    <row r="53" spans="1:9" ht="25.95" customHeight="1" x14ac:dyDescent="0.3">
      <c r="A53" s="32" t="s">
        <v>331</v>
      </c>
      <c r="B53" s="35">
        <v>0</v>
      </c>
      <c r="C53" s="35">
        <v>0</v>
      </c>
      <c r="D53" s="35">
        <v>0</v>
      </c>
      <c r="E53" s="35">
        <v>0</v>
      </c>
      <c r="F53" s="35">
        <v>0</v>
      </c>
      <c r="G53" s="35">
        <v>0</v>
      </c>
      <c r="H53" s="13"/>
    </row>
    <row r="54" spans="1:9" ht="25.95" customHeight="1" x14ac:dyDescent="0.3">
      <c r="A54" s="32" t="s">
        <v>214</v>
      </c>
      <c r="B54" s="35">
        <v>58</v>
      </c>
      <c r="C54" s="35">
        <v>24</v>
      </c>
      <c r="D54" s="35">
        <v>1</v>
      </c>
      <c r="E54" s="35">
        <v>8</v>
      </c>
      <c r="F54" s="35">
        <v>8</v>
      </c>
      <c r="G54" s="35">
        <v>10</v>
      </c>
      <c r="H54" s="13"/>
    </row>
    <row r="55" spans="1:9" ht="25.95" customHeight="1" x14ac:dyDescent="0.3">
      <c r="A55" s="31" t="s">
        <v>332</v>
      </c>
      <c r="B55" s="35">
        <v>3</v>
      </c>
      <c r="C55" s="35">
        <v>1</v>
      </c>
      <c r="D55" s="35">
        <v>0</v>
      </c>
      <c r="E55" s="35">
        <v>0</v>
      </c>
      <c r="F55" s="35">
        <v>0</v>
      </c>
      <c r="G55" s="35">
        <v>0</v>
      </c>
      <c r="H55" s="13"/>
    </row>
    <row r="56" spans="1:9" ht="25.95" customHeight="1" x14ac:dyDescent="0.3">
      <c r="A56" s="31" t="s">
        <v>235</v>
      </c>
      <c r="B56" s="35">
        <v>28</v>
      </c>
      <c r="C56" s="35">
        <v>19</v>
      </c>
      <c r="D56" s="35">
        <v>1</v>
      </c>
      <c r="E56" s="35">
        <v>1</v>
      </c>
      <c r="F56" s="35">
        <v>3</v>
      </c>
      <c r="G56" s="35">
        <v>3</v>
      </c>
      <c r="H56" s="13"/>
    </row>
    <row r="57" spans="1:9" ht="25.95" customHeight="1" x14ac:dyDescent="0.3">
      <c r="A57" s="31" t="s">
        <v>265</v>
      </c>
      <c r="B57" s="35">
        <v>52</v>
      </c>
      <c r="C57" s="35">
        <v>23</v>
      </c>
      <c r="D57" s="35">
        <v>6</v>
      </c>
      <c r="E57" s="35">
        <v>13</v>
      </c>
      <c r="F57" s="35">
        <v>7</v>
      </c>
      <c r="G57" s="35">
        <v>4</v>
      </c>
      <c r="H57" s="13"/>
    </row>
    <row r="58" spans="1:9" ht="25.95" customHeight="1" x14ac:dyDescent="0.3">
      <c r="A58" s="31" t="s">
        <v>276</v>
      </c>
      <c r="B58" s="35">
        <v>49</v>
      </c>
      <c r="C58" s="35">
        <v>28</v>
      </c>
      <c r="D58" s="35">
        <v>10</v>
      </c>
      <c r="E58" s="35">
        <v>10</v>
      </c>
      <c r="F58" s="35">
        <v>10</v>
      </c>
      <c r="G58" s="35">
        <v>5</v>
      </c>
      <c r="H58" s="13"/>
    </row>
    <row r="59" spans="1:9" ht="25.95" customHeight="1" x14ac:dyDescent="0.3">
      <c r="A59" s="40" t="s">
        <v>318</v>
      </c>
      <c r="B59" s="42">
        <v>375</v>
      </c>
      <c r="C59" s="42">
        <v>184</v>
      </c>
      <c r="D59" s="42">
        <v>29</v>
      </c>
      <c r="E59" s="42">
        <v>51</v>
      </c>
      <c r="F59" s="42">
        <v>72</v>
      </c>
      <c r="G59" s="42">
        <v>48</v>
      </c>
      <c r="H59" s="13"/>
    </row>
    <row r="60" spans="1:9" ht="68.25" customHeight="1" x14ac:dyDescent="0.3">
      <c r="A60" s="546" t="s">
        <v>333</v>
      </c>
      <c r="B60" s="546"/>
      <c r="C60" s="546"/>
      <c r="D60" s="546"/>
      <c r="E60" s="546"/>
      <c r="F60" s="546"/>
      <c r="G60" s="546"/>
      <c r="H60" s="2"/>
    </row>
    <row r="61" spans="1:9" ht="21.6" customHeight="1" x14ac:dyDescent="0.3">
      <c r="D61" s="2"/>
      <c r="E61" s="2"/>
      <c r="F61" s="2"/>
      <c r="G61" s="2"/>
      <c r="H61" s="2"/>
    </row>
    <row r="62" spans="1:9" ht="15" customHeight="1" x14ac:dyDescent="0.3">
      <c r="B62" s="312"/>
      <c r="C62" s="312"/>
      <c r="D62" s="312"/>
      <c r="E62" s="312"/>
      <c r="F62" s="312"/>
      <c r="G62" s="2"/>
      <c r="H62" s="2"/>
      <c r="I62" s="2"/>
    </row>
    <row r="63" spans="1:9" ht="63.45" customHeight="1" x14ac:dyDescent="0.3">
      <c r="A63" s="45" t="s">
        <v>334</v>
      </c>
      <c r="B63" s="25">
        <v>2019</v>
      </c>
      <c r="C63" s="25">
        <v>2020</v>
      </c>
      <c r="D63" s="25">
        <v>2021</v>
      </c>
      <c r="E63" s="25">
        <v>2022</v>
      </c>
      <c r="F63" s="5" t="s">
        <v>335</v>
      </c>
      <c r="G63" s="13"/>
      <c r="H63" s="2"/>
      <c r="I63" s="2"/>
    </row>
    <row r="64" spans="1:9" ht="52.5" customHeight="1" x14ac:dyDescent="0.3">
      <c r="A64" s="32" t="s">
        <v>336</v>
      </c>
      <c r="B64" s="46">
        <v>0.93</v>
      </c>
      <c r="C64" s="46">
        <v>0.28000000000000003</v>
      </c>
      <c r="D64" s="47">
        <v>0.34</v>
      </c>
      <c r="E64" s="47">
        <v>0.25</v>
      </c>
      <c r="F64" s="47">
        <v>0.4</v>
      </c>
      <c r="G64" s="13"/>
      <c r="H64" s="2"/>
      <c r="I64" s="2"/>
    </row>
    <row r="65" spans="1:9" ht="60" customHeight="1" x14ac:dyDescent="0.3">
      <c r="A65" s="32" t="s">
        <v>337</v>
      </c>
      <c r="B65" s="46">
        <v>0.93</v>
      </c>
      <c r="C65" s="46">
        <v>0.86</v>
      </c>
      <c r="D65" s="48">
        <v>0.89</v>
      </c>
      <c r="E65" s="48">
        <v>0.96</v>
      </c>
      <c r="F65" s="48">
        <v>0.98</v>
      </c>
      <c r="G65" s="13"/>
      <c r="H65" s="2"/>
      <c r="I65" s="2"/>
    </row>
    <row r="66" spans="1:9" ht="69.150000000000006" customHeight="1" x14ac:dyDescent="0.3">
      <c r="A66" s="547" t="s">
        <v>338</v>
      </c>
      <c r="B66" s="547"/>
      <c r="C66" s="547"/>
      <c r="D66" s="547"/>
      <c r="E66" s="547"/>
      <c r="F66" s="547"/>
      <c r="G66" s="2"/>
      <c r="H66" s="2"/>
    </row>
    <row r="67" spans="1:9" ht="15" customHeight="1" x14ac:dyDescent="0.3">
      <c r="G67" s="2"/>
      <c r="H67" s="2"/>
    </row>
    <row r="68" spans="1:9" ht="15" customHeight="1" x14ac:dyDescent="0.25">
      <c r="A68" s="314"/>
      <c r="B68" s="314"/>
      <c r="C68" s="314"/>
      <c r="D68" s="314"/>
      <c r="E68" s="314"/>
      <c r="F68" s="313"/>
      <c r="G68" s="313"/>
      <c r="H68" s="313"/>
    </row>
    <row r="69" spans="1:9" ht="49.2" customHeight="1" x14ac:dyDescent="0.3">
      <c r="A69" s="49" t="s">
        <v>339</v>
      </c>
      <c r="B69" s="5" t="s">
        <v>340</v>
      </c>
      <c r="C69" s="5" t="s">
        <v>341</v>
      </c>
      <c r="D69" s="5" t="s">
        <v>342</v>
      </c>
      <c r="E69" s="5" t="s">
        <v>343</v>
      </c>
      <c r="F69" s="13"/>
    </row>
    <row r="70" spans="1:9" ht="19.2" customHeight="1" x14ac:dyDescent="0.3">
      <c r="A70" s="50" t="s">
        <v>344</v>
      </c>
      <c r="B70" s="10">
        <v>32</v>
      </c>
      <c r="C70" s="10">
        <v>68</v>
      </c>
      <c r="D70" s="10">
        <v>100</v>
      </c>
      <c r="E70" s="51">
        <v>0.98</v>
      </c>
      <c r="F70" s="13"/>
    </row>
    <row r="71" spans="1:9" ht="19.2" customHeight="1" x14ac:dyDescent="0.3">
      <c r="A71" s="50" t="s">
        <v>345</v>
      </c>
      <c r="B71" s="10">
        <v>337</v>
      </c>
      <c r="C71" s="10">
        <v>1712</v>
      </c>
      <c r="D71" s="10">
        <v>2049</v>
      </c>
      <c r="E71" s="51">
        <v>0.98299999999999998</v>
      </c>
      <c r="F71" s="13"/>
    </row>
    <row r="72" spans="1:9" ht="19.2" customHeight="1" x14ac:dyDescent="0.3">
      <c r="A72" s="50" t="s">
        <v>346</v>
      </c>
      <c r="B72" s="10">
        <v>979</v>
      </c>
      <c r="C72" s="10">
        <v>2334</v>
      </c>
      <c r="D72" s="10">
        <v>3317</v>
      </c>
      <c r="E72" s="51">
        <v>0.97299999999999998</v>
      </c>
      <c r="F72" s="13"/>
    </row>
    <row r="73" spans="1:9" ht="19.2" customHeight="1" x14ac:dyDescent="0.3">
      <c r="A73" s="50" t="s">
        <v>347</v>
      </c>
      <c r="B73" s="10">
        <v>62</v>
      </c>
      <c r="C73" s="10">
        <v>131</v>
      </c>
      <c r="D73" s="10">
        <v>193</v>
      </c>
      <c r="E73" s="51">
        <v>0.93200000000000005</v>
      </c>
      <c r="F73" s="13"/>
    </row>
    <row r="74" spans="1:9" ht="60.75" customHeight="1" x14ac:dyDescent="0.3">
      <c r="A74" s="548" t="s">
        <v>348</v>
      </c>
      <c r="B74" s="549"/>
      <c r="C74" s="549"/>
      <c r="D74" s="549"/>
      <c r="E74" s="550"/>
      <c r="F74" s="13"/>
    </row>
    <row r="75" spans="1:9" ht="15" customHeight="1" x14ac:dyDescent="0.3">
      <c r="A75" s="44"/>
      <c r="B75" s="44"/>
      <c r="C75" s="44"/>
      <c r="D75" s="44"/>
      <c r="E75" s="44"/>
    </row>
    <row r="76" spans="1:9" ht="15" customHeight="1" x14ac:dyDescent="0.25"/>
    <row r="77" spans="1:9" ht="26.7" customHeight="1" x14ac:dyDescent="0.3">
      <c r="A77" s="33" t="s">
        <v>51</v>
      </c>
      <c r="B77" s="5" t="s">
        <v>349</v>
      </c>
      <c r="C77" s="5" t="s">
        <v>343</v>
      </c>
      <c r="D77" s="13"/>
    </row>
    <row r="78" spans="1:9" ht="15.75" customHeight="1" x14ac:dyDescent="0.3">
      <c r="A78" s="6" t="s">
        <v>350</v>
      </c>
      <c r="B78" s="10">
        <v>872</v>
      </c>
      <c r="C78" s="51">
        <v>0.98799999999999999</v>
      </c>
      <c r="D78" s="13"/>
    </row>
    <row r="79" spans="1:9" ht="15.75" customHeight="1" x14ac:dyDescent="0.3">
      <c r="A79" s="6" t="s">
        <v>252</v>
      </c>
      <c r="B79" s="10">
        <v>1015</v>
      </c>
      <c r="C79" s="51">
        <v>0.95099999999999996</v>
      </c>
      <c r="D79" s="13"/>
    </row>
    <row r="80" spans="1:9" ht="15.75" customHeight="1" x14ac:dyDescent="0.3">
      <c r="A80" s="6" t="s">
        <v>213</v>
      </c>
      <c r="B80" s="10">
        <v>1702</v>
      </c>
      <c r="C80" s="51">
        <v>0.98</v>
      </c>
      <c r="D80" s="13"/>
    </row>
    <row r="81" spans="1:5" ht="15.75" customHeight="1" x14ac:dyDescent="0.3">
      <c r="A81" s="6" t="s">
        <v>351</v>
      </c>
      <c r="B81" s="10">
        <v>1591</v>
      </c>
      <c r="C81" s="51">
        <v>0.97799999999999998</v>
      </c>
      <c r="D81" s="13"/>
    </row>
    <row r="82" spans="1:5" ht="15.75" customHeight="1" x14ac:dyDescent="0.3">
      <c r="A82" s="6" t="s">
        <v>235</v>
      </c>
      <c r="B82" s="10">
        <v>479</v>
      </c>
      <c r="C82" s="51">
        <v>0.98</v>
      </c>
      <c r="D82" s="13"/>
    </row>
    <row r="83" spans="1:5" ht="15.75" customHeight="1" x14ac:dyDescent="0.3">
      <c r="A83" s="6" t="s">
        <v>352</v>
      </c>
      <c r="B83" s="52">
        <v>5659</v>
      </c>
      <c r="C83" s="53">
        <v>0.97499999999999998</v>
      </c>
      <c r="D83" s="13"/>
    </row>
    <row r="84" spans="1:5" ht="49.2" customHeight="1" x14ac:dyDescent="0.25">
      <c r="A84" s="551" t="s">
        <v>353</v>
      </c>
      <c r="B84" s="551"/>
      <c r="C84" s="551"/>
    </row>
    <row r="85" spans="1:5" ht="15" customHeight="1" x14ac:dyDescent="0.25"/>
    <row r="86" spans="1:5" ht="15" customHeight="1" x14ac:dyDescent="0.25"/>
    <row r="87" spans="1:5" ht="15" customHeight="1" x14ac:dyDescent="0.25"/>
    <row r="88" spans="1:5" ht="15" customHeight="1" x14ac:dyDescent="0.3">
      <c r="A88" s="2"/>
      <c r="B88" s="2"/>
      <c r="C88" s="2"/>
      <c r="D88" s="2"/>
      <c r="E88" s="2"/>
    </row>
  </sheetData>
  <sheetProtection algorithmName="SHA-512" hashValue="0wwqTqPv2nbWEfmFaq5ko41EBlfC5MgJgQluGK9mjamoUKAzHnjZlUySwqOySy6thZxTzbTHUSg6gLVHQgBcFg==" saltValue="NZWOJyDnXCrKSfkT3onJIw==" spinCount="100000" sheet="1" objects="1" scenarios="1" formatRows="0" insertColumns="0"/>
  <mergeCells count="15">
    <mergeCell ref="A1:F1"/>
    <mergeCell ref="A3:F3"/>
    <mergeCell ref="A4:F4"/>
    <mergeCell ref="A5:F5"/>
    <mergeCell ref="A11:F11"/>
    <mergeCell ref="A60:G60"/>
    <mergeCell ref="A66:F66"/>
    <mergeCell ref="A74:E74"/>
    <mergeCell ref="A84:C84"/>
    <mergeCell ref="A28:F28"/>
    <mergeCell ref="A45:A46"/>
    <mergeCell ref="B45:B46"/>
    <mergeCell ref="C45:C46"/>
    <mergeCell ref="D45:G45"/>
    <mergeCell ref="A42:C4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3"/>
  <sheetViews>
    <sheetView showRuler="0" topLeftCell="A28" workbookViewId="0">
      <selection sqref="A1:F1"/>
    </sheetView>
  </sheetViews>
  <sheetFormatPr defaultColWidth="13.6640625" defaultRowHeight="13.2" x14ac:dyDescent="0.25"/>
  <cols>
    <col min="1" max="1" width="35.33203125" customWidth="1"/>
    <col min="2" max="4" width="14.33203125" customWidth="1"/>
    <col min="5" max="5" width="17" customWidth="1"/>
    <col min="6" max="8" width="17.5546875" customWidth="1"/>
    <col min="21" max="21" width="28.88671875" customWidth="1"/>
    <col min="22" max="23" width="21.6640625" customWidth="1"/>
  </cols>
  <sheetData>
    <row r="1" spans="1:7" ht="25.95" customHeight="1" x14ac:dyDescent="0.3">
      <c r="A1" s="543" t="s">
        <v>354</v>
      </c>
      <c r="B1" s="543"/>
      <c r="C1" s="543"/>
      <c r="D1" s="543"/>
      <c r="E1" s="543"/>
      <c r="F1" s="543"/>
      <c r="G1" s="17"/>
    </row>
    <row r="2" spans="1:7" ht="24.15" customHeight="1" x14ac:dyDescent="0.3">
      <c r="B2" s="64"/>
      <c r="C2" s="64"/>
      <c r="D2" s="2"/>
      <c r="E2" s="2"/>
      <c r="F2" s="2"/>
      <c r="G2" s="2"/>
    </row>
    <row r="3" spans="1:7" ht="39.15" customHeight="1" x14ac:dyDescent="0.3">
      <c r="A3" s="33" t="s">
        <v>55</v>
      </c>
      <c r="B3" s="58" t="s">
        <v>355</v>
      </c>
      <c r="C3" s="58" t="s">
        <v>356</v>
      </c>
      <c r="D3" s="13"/>
    </row>
    <row r="4" spans="1:7" ht="29.1" customHeight="1" x14ac:dyDescent="0.3">
      <c r="A4" s="31" t="s">
        <v>357</v>
      </c>
      <c r="B4" s="31" t="s">
        <v>358</v>
      </c>
      <c r="C4" s="59">
        <v>15000</v>
      </c>
      <c r="D4" s="13"/>
    </row>
    <row r="5" spans="1:7" ht="29.1" customHeight="1" x14ac:dyDescent="0.3">
      <c r="A5" s="31" t="s">
        <v>359</v>
      </c>
      <c r="B5" s="31" t="s">
        <v>358</v>
      </c>
      <c r="C5" s="59">
        <v>10000</v>
      </c>
      <c r="D5" s="13"/>
    </row>
    <row r="6" spans="1:7" ht="29.1" customHeight="1" x14ac:dyDescent="0.3">
      <c r="A6" s="31" t="s">
        <v>360</v>
      </c>
      <c r="B6" s="31" t="s">
        <v>361</v>
      </c>
      <c r="C6" s="59">
        <v>10000</v>
      </c>
      <c r="D6" s="13"/>
    </row>
    <row r="7" spans="1:7" ht="25.95" customHeight="1" x14ac:dyDescent="0.3">
      <c r="A7" s="587" t="s">
        <v>362</v>
      </c>
      <c r="B7" s="588"/>
      <c r="C7" s="60">
        <v>35000</v>
      </c>
      <c r="D7" s="13"/>
    </row>
    <row r="8" spans="1:7" ht="25.95" customHeight="1" x14ac:dyDescent="0.25">
      <c r="A8" s="563"/>
      <c r="B8" s="589"/>
      <c r="C8" s="589"/>
      <c r="D8" s="316"/>
    </row>
    <row r="9" spans="1:7" ht="19.2" customHeight="1" x14ac:dyDescent="0.3">
      <c r="A9" s="316"/>
      <c r="B9" s="316"/>
      <c r="C9" s="316"/>
      <c r="D9" s="316"/>
      <c r="E9" s="2"/>
      <c r="F9" s="2"/>
      <c r="G9" s="2"/>
    </row>
    <row r="10" spans="1:7" ht="19.2" customHeight="1" x14ac:dyDescent="0.3">
      <c r="D10" s="64"/>
      <c r="F10" s="2"/>
      <c r="G10" s="2"/>
    </row>
    <row r="11" spans="1:7" ht="55.95" customHeight="1" x14ac:dyDescent="0.3">
      <c r="A11" s="33" t="s">
        <v>57</v>
      </c>
      <c r="B11" s="5" t="s">
        <v>363</v>
      </c>
      <c r="C11" s="5" t="s">
        <v>364</v>
      </c>
      <c r="D11" s="22" t="s">
        <v>365</v>
      </c>
      <c r="E11" s="13"/>
      <c r="F11" s="2"/>
      <c r="G11" s="2"/>
    </row>
    <row r="12" spans="1:7" ht="22.5" customHeight="1" x14ac:dyDescent="0.3">
      <c r="A12" s="61" t="s">
        <v>366</v>
      </c>
      <c r="B12" s="62">
        <v>626000</v>
      </c>
      <c r="C12" s="62">
        <v>125200</v>
      </c>
      <c r="D12" s="317">
        <v>0.2</v>
      </c>
      <c r="E12" s="13"/>
      <c r="F12" s="2"/>
      <c r="G12" s="2"/>
    </row>
    <row r="13" spans="1:7" ht="22.5" customHeight="1" x14ac:dyDescent="0.3">
      <c r="A13" s="61" t="s">
        <v>367</v>
      </c>
      <c r="B13" s="62">
        <v>12500</v>
      </c>
      <c r="C13" s="62">
        <v>1250</v>
      </c>
      <c r="D13" s="317">
        <v>0.1</v>
      </c>
      <c r="E13" s="13"/>
      <c r="F13" s="2"/>
      <c r="G13" s="2"/>
    </row>
    <row r="14" spans="1:7" ht="22.5" customHeight="1" x14ac:dyDescent="0.3">
      <c r="A14" s="61" t="s">
        <v>368</v>
      </c>
      <c r="B14" s="62">
        <v>78750</v>
      </c>
      <c r="C14" s="62">
        <v>31500</v>
      </c>
      <c r="D14" s="317">
        <v>0.4</v>
      </c>
      <c r="E14" s="13"/>
      <c r="F14" s="2"/>
      <c r="G14" s="2"/>
    </row>
    <row r="15" spans="1:7" ht="26.7" customHeight="1" x14ac:dyDescent="0.3">
      <c r="A15" s="61" t="s">
        <v>369</v>
      </c>
      <c r="B15" s="62">
        <v>40425</v>
      </c>
      <c r="C15" s="62">
        <v>10106</v>
      </c>
      <c r="D15" s="317">
        <v>0.25</v>
      </c>
      <c r="E15" s="13"/>
      <c r="F15" s="2"/>
      <c r="G15" s="2"/>
    </row>
    <row r="16" spans="1:7" ht="19.2" customHeight="1" x14ac:dyDescent="0.3">
      <c r="A16" s="589"/>
      <c r="B16" s="589"/>
      <c r="C16" s="589"/>
      <c r="D16" s="589"/>
      <c r="E16" s="2"/>
      <c r="F16" s="2"/>
      <c r="G16" s="2"/>
    </row>
    <row r="17" spans="1:7" ht="13.35" customHeight="1" x14ac:dyDescent="0.3">
      <c r="A17" s="2"/>
      <c r="B17" s="2"/>
      <c r="C17" s="2"/>
      <c r="G17" s="2"/>
    </row>
    <row r="18" spans="1:7" ht="15.75" customHeight="1" x14ac:dyDescent="0.3">
      <c r="A18" s="64"/>
      <c r="B18" s="64"/>
      <c r="C18" s="64"/>
      <c r="G18" s="2"/>
    </row>
    <row r="19" spans="1:7" ht="35.85" customHeight="1" x14ac:dyDescent="0.3">
      <c r="A19" s="552" t="s">
        <v>370</v>
      </c>
      <c r="B19" s="552"/>
      <c r="C19" s="552"/>
      <c r="D19" s="552"/>
      <c r="E19" s="552"/>
      <c r="F19" s="552"/>
      <c r="G19" s="13"/>
    </row>
    <row r="20" spans="1:7" ht="14.1" customHeight="1" x14ac:dyDescent="0.3">
      <c r="A20" s="581" t="s">
        <v>371</v>
      </c>
      <c r="B20" s="581"/>
      <c r="C20" s="581"/>
      <c r="D20" s="581"/>
      <c r="E20" s="581"/>
      <c r="F20" s="581"/>
      <c r="G20" s="13"/>
    </row>
    <row r="21" spans="1:7" ht="14.1" customHeight="1" x14ac:dyDescent="0.3">
      <c r="A21" s="581"/>
      <c r="B21" s="581"/>
      <c r="C21" s="581"/>
      <c r="D21" s="581"/>
      <c r="E21" s="581"/>
      <c r="F21" s="581"/>
      <c r="G21" s="13"/>
    </row>
    <row r="22" spans="1:7" ht="14.1" customHeight="1" x14ac:dyDescent="0.3">
      <c r="A22" s="581"/>
      <c r="B22" s="581"/>
      <c r="C22" s="581"/>
      <c r="D22" s="581"/>
      <c r="E22" s="581"/>
      <c r="F22" s="581"/>
      <c r="G22" s="13"/>
    </row>
    <row r="23" spans="1:7" ht="14.1" customHeight="1" x14ac:dyDescent="0.3">
      <c r="A23" s="581"/>
      <c r="B23" s="581"/>
      <c r="C23" s="581"/>
      <c r="D23" s="581"/>
      <c r="E23" s="581"/>
      <c r="F23" s="581"/>
      <c r="G23" s="13"/>
    </row>
    <row r="24" spans="1:7" ht="14.1" customHeight="1" x14ac:dyDescent="0.3">
      <c r="A24" s="581"/>
      <c r="B24" s="581"/>
      <c r="C24" s="581"/>
      <c r="D24" s="581"/>
      <c r="E24" s="581"/>
      <c r="F24" s="581"/>
      <c r="G24" s="13"/>
    </row>
    <row r="25" spans="1:7" ht="47.25" customHeight="1" x14ac:dyDescent="0.3">
      <c r="A25" s="532" t="s">
        <v>372</v>
      </c>
      <c r="B25" s="532"/>
      <c r="C25" s="532"/>
      <c r="D25" s="532"/>
      <c r="E25" s="532"/>
      <c r="F25" s="532"/>
      <c r="G25" s="2"/>
    </row>
    <row r="26" spans="1:7" ht="15" customHeight="1" x14ac:dyDescent="0.25"/>
    <row r="27" spans="1:7" ht="15" customHeight="1" x14ac:dyDescent="0.25"/>
    <row r="28" spans="1:7" ht="27.6" customHeight="1" x14ac:dyDescent="0.3">
      <c r="A28" s="63" t="s">
        <v>373</v>
      </c>
      <c r="B28" s="5" t="s">
        <v>374</v>
      </c>
      <c r="C28" s="5" t="s">
        <v>375</v>
      </c>
      <c r="D28" s="13"/>
    </row>
    <row r="29" spans="1:7" ht="15" customHeight="1" x14ac:dyDescent="0.3">
      <c r="A29" s="31" t="s">
        <v>376</v>
      </c>
      <c r="B29" s="35">
        <v>25</v>
      </c>
      <c r="C29" s="59">
        <v>6570</v>
      </c>
      <c r="D29" s="13"/>
    </row>
    <row r="30" spans="1:7" ht="26.7" customHeight="1" x14ac:dyDescent="0.3">
      <c r="A30" s="547" t="s">
        <v>377</v>
      </c>
      <c r="B30" s="547"/>
      <c r="C30" s="547"/>
    </row>
    <row r="31" spans="1:7" ht="15" customHeight="1" x14ac:dyDescent="0.25"/>
    <row r="32" spans="1:7" ht="15" customHeight="1" x14ac:dyDescent="0.25"/>
    <row r="33" spans="1:7" ht="15" customHeight="1" x14ac:dyDescent="0.3">
      <c r="A33" s="584" t="s">
        <v>63</v>
      </c>
      <c r="B33" s="585"/>
      <c r="C33" s="585"/>
      <c r="D33" s="585"/>
      <c r="E33" s="585"/>
      <c r="F33" s="586"/>
      <c r="G33" s="13"/>
    </row>
    <row r="34" spans="1:7" ht="15.75" customHeight="1" x14ac:dyDescent="0.3">
      <c r="A34" s="582" t="s">
        <v>378</v>
      </c>
      <c r="B34" s="583" t="s">
        <v>379</v>
      </c>
      <c r="C34" s="583"/>
      <c r="D34" s="583"/>
      <c r="E34" s="583"/>
      <c r="F34" s="22" t="s">
        <v>380</v>
      </c>
      <c r="G34" s="13"/>
    </row>
    <row r="35" spans="1:7" ht="15.75" customHeight="1" x14ac:dyDescent="0.3">
      <c r="A35" s="579"/>
      <c r="B35" s="577" t="s">
        <v>366</v>
      </c>
      <c r="C35" s="577"/>
      <c r="D35" s="577"/>
      <c r="E35" s="577"/>
      <c r="F35" s="12">
        <v>626000</v>
      </c>
      <c r="G35" s="13"/>
    </row>
    <row r="36" spans="1:7" ht="15.75" customHeight="1" x14ac:dyDescent="0.3">
      <c r="A36" s="579"/>
      <c r="B36" s="574" t="s">
        <v>381</v>
      </c>
      <c r="C36" s="575"/>
      <c r="D36" s="575"/>
      <c r="E36" s="576"/>
      <c r="F36" s="12">
        <v>180000</v>
      </c>
      <c r="G36" s="13"/>
    </row>
    <row r="37" spans="1:7" ht="15.75" customHeight="1" x14ac:dyDescent="0.3">
      <c r="A37" s="580"/>
      <c r="B37" s="577" t="s">
        <v>382</v>
      </c>
      <c r="C37" s="577"/>
      <c r="D37" s="577"/>
      <c r="E37" s="577"/>
      <c r="F37" s="12">
        <v>150000</v>
      </c>
      <c r="G37" s="13"/>
    </row>
    <row r="38" spans="1:7" ht="36.6" customHeight="1" x14ac:dyDescent="0.3">
      <c r="A38" s="578" t="s">
        <v>383</v>
      </c>
      <c r="B38" s="564" t="s">
        <v>384</v>
      </c>
      <c r="C38" s="547"/>
      <c r="D38" s="547"/>
      <c r="E38" s="547"/>
      <c r="F38" s="565"/>
      <c r="G38" s="13"/>
    </row>
    <row r="39" spans="1:7" ht="36.6" customHeight="1" x14ac:dyDescent="0.3">
      <c r="A39" s="579"/>
      <c r="B39" s="566"/>
      <c r="C39" s="517"/>
      <c r="D39" s="517"/>
      <c r="E39" s="517"/>
      <c r="F39" s="567"/>
      <c r="G39" s="13"/>
    </row>
    <row r="40" spans="1:7" ht="36.6" customHeight="1" x14ac:dyDescent="0.3">
      <c r="A40" s="579"/>
      <c r="B40" s="566"/>
      <c r="C40" s="517"/>
      <c r="D40" s="517"/>
      <c r="E40" s="517"/>
      <c r="F40" s="567"/>
      <c r="G40" s="13"/>
    </row>
    <row r="41" spans="1:7" ht="45.75" customHeight="1" x14ac:dyDescent="0.3">
      <c r="A41" s="580"/>
      <c r="B41" s="568"/>
      <c r="C41" s="569"/>
      <c r="D41" s="569"/>
      <c r="E41" s="569"/>
      <c r="F41" s="570"/>
      <c r="G41" s="13"/>
    </row>
    <row r="42" spans="1:7" ht="35.85" customHeight="1" x14ac:dyDescent="0.3">
      <c r="A42" s="563" t="s">
        <v>385</v>
      </c>
      <c r="B42" s="563"/>
      <c r="C42" s="563"/>
      <c r="D42" s="563"/>
      <c r="E42" s="563"/>
      <c r="F42" s="563"/>
      <c r="G42" s="2"/>
    </row>
    <row r="43" spans="1:7" ht="15" customHeight="1" x14ac:dyDescent="0.25"/>
    <row r="44" spans="1:7" ht="15" customHeight="1" x14ac:dyDescent="0.25"/>
    <row r="45" spans="1:7" ht="22.5" customHeight="1" x14ac:dyDescent="0.3">
      <c r="A45" s="571" t="s">
        <v>64</v>
      </c>
      <c r="B45" s="572"/>
      <c r="C45" s="572"/>
      <c r="D45" s="572"/>
      <c r="E45" s="572"/>
      <c r="F45" s="573"/>
      <c r="G45" s="13"/>
    </row>
    <row r="46" spans="1:7" ht="26.7" customHeight="1" x14ac:dyDescent="0.3">
      <c r="A46" s="65" t="s">
        <v>386</v>
      </c>
      <c r="B46" s="52" t="s">
        <v>239</v>
      </c>
      <c r="C46" s="52" t="s">
        <v>222</v>
      </c>
      <c r="D46" s="52" t="s">
        <v>387</v>
      </c>
      <c r="E46" s="52" t="s">
        <v>217</v>
      </c>
      <c r="F46" s="66" t="s">
        <v>227</v>
      </c>
      <c r="G46" s="13"/>
    </row>
    <row r="47" spans="1:7" ht="26.7" customHeight="1" x14ac:dyDescent="0.3">
      <c r="A47" s="50" t="s">
        <v>388</v>
      </c>
      <c r="B47" s="12">
        <v>1282593</v>
      </c>
      <c r="C47" s="12">
        <v>1352400</v>
      </c>
      <c r="D47" s="12">
        <v>1422236.13</v>
      </c>
      <c r="E47" s="12">
        <v>1210000</v>
      </c>
      <c r="F47" s="12">
        <v>1090000</v>
      </c>
      <c r="G47" s="13"/>
    </row>
    <row r="48" spans="1:7" ht="26.7" customHeight="1" x14ac:dyDescent="0.3">
      <c r="A48" s="50" t="s">
        <v>389</v>
      </c>
      <c r="B48" s="12">
        <v>66700</v>
      </c>
      <c r="C48" s="12">
        <v>60000</v>
      </c>
      <c r="D48" s="12">
        <v>35000</v>
      </c>
      <c r="E48" s="12">
        <v>70625</v>
      </c>
      <c r="F48" s="12">
        <v>35000</v>
      </c>
      <c r="G48" s="13"/>
    </row>
    <row r="49" spans="1:7" ht="43.35" customHeight="1" x14ac:dyDescent="0.3">
      <c r="A49" s="11" t="s">
        <v>390</v>
      </c>
      <c r="B49" s="12">
        <v>1006398</v>
      </c>
      <c r="C49" s="12">
        <v>682000</v>
      </c>
      <c r="D49" s="12">
        <v>699000</v>
      </c>
      <c r="E49" s="12">
        <v>719500</v>
      </c>
      <c r="F49" s="12">
        <v>757675</v>
      </c>
      <c r="G49" s="13"/>
    </row>
    <row r="50" spans="1:7" ht="43.5" customHeight="1" x14ac:dyDescent="0.25">
      <c r="A50" s="546" t="s">
        <v>391</v>
      </c>
      <c r="B50" s="546"/>
      <c r="C50" s="546"/>
      <c r="D50" s="546"/>
      <c r="E50" s="546"/>
      <c r="F50" s="546"/>
    </row>
    <row r="51" spans="1:7" ht="15" customHeight="1" x14ac:dyDescent="0.25"/>
    <row r="52" spans="1:7" ht="15" customHeight="1" x14ac:dyDescent="0.25"/>
    <row r="53" spans="1:7" ht="15" customHeight="1" x14ac:dyDescent="0.25"/>
  </sheetData>
  <sheetProtection algorithmName="SHA-512" hashValue="b8eDr0u64HseyfOZeOYfc47atiFugqvv4UahGpmvKRZrW3ztQpzPu3ZQk4GwnxrjUOETcd69wa/yxSoEi4II4g==" saltValue="0M8G7UK0IEi0xpnjIHq0vQ==" spinCount="100000" sheet="1" objects="1" scenarios="1" formatColumns="0" formatRows="0"/>
  <mergeCells count="19">
    <mergeCell ref="A1:F1"/>
    <mergeCell ref="A7:B7"/>
    <mergeCell ref="A8:C8"/>
    <mergeCell ref="A16:D16"/>
    <mergeCell ref="A19:F19"/>
    <mergeCell ref="A20:F24"/>
    <mergeCell ref="A25:F25"/>
    <mergeCell ref="A30:C30"/>
    <mergeCell ref="A34:A37"/>
    <mergeCell ref="B34:E34"/>
    <mergeCell ref="B35:E35"/>
    <mergeCell ref="A33:F33"/>
    <mergeCell ref="A50:F50"/>
    <mergeCell ref="A42:F42"/>
    <mergeCell ref="B38:F41"/>
    <mergeCell ref="A45:F45"/>
    <mergeCell ref="B36:E36"/>
    <mergeCell ref="B37:E37"/>
    <mergeCell ref="A38:A4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57"/>
  <sheetViews>
    <sheetView showRuler="0" topLeftCell="A23" workbookViewId="0">
      <selection sqref="A1:F1"/>
    </sheetView>
  </sheetViews>
  <sheetFormatPr defaultColWidth="13.6640625" defaultRowHeight="13.2" x14ac:dyDescent="0.25"/>
  <cols>
    <col min="1" max="1" width="9.109375" customWidth="1"/>
    <col min="2" max="2" width="25.6640625" customWidth="1"/>
    <col min="3" max="3" width="28" customWidth="1"/>
    <col min="13" max="13" width="16.44140625" customWidth="1"/>
  </cols>
  <sheetData>
    <row r="1" spans="1:16" ht="24.15" customHeight="1" x14ac:dyDescent="0.3">
      <c r="A1" s="592" t="s">
        <v>392</v>
      </c>
      <c r="B1" s="592"/>
      <c r="C1" s="592"/>
      <c r="D1" s="592"/>
      <c r="E1" s="592"/>
      <c r="F1" s="592"/>
    </row>
    <row r="2" spans="1:16" ht="25.95" customHeight="1" x14ac:dyDescent="0.25"/>
    <row r="3" spans="1:16" ht="52.5" customHeight="1" x14ac:dyDescent="0.35">
      <c r="B3" s="33" t="s">
        <v>393</v>
      </c>
      <c r="C3" s="5" t="s">
        <v>394</v>
      </c>
      <c r="D3" s="58" t="s">
        <v>395</v>
      </c>
      <c r="E3" s="58" t="s">
        <v>396</v>
      </c>
      <c r="F3" s="58" t="s">
        <v>397</v>
      </c>
      <c r="G3" s="58" t="s">
        <v>398</v>
      </c>
      <c r="H3" s="58" t="s">
        <v>399</v>
      </c>
      <c r="I3" s="58" t="s">
        <v>400</v>
      </c>
      <c r="J3" s="58" t="s">
        <v>401</v>
      </c>
      <c r="K3" s="58" t="s">
        <v>402</v>
      </c>
      <c r="L3" s="58" t="s">
        <v>403</v>
      </c>
      <c r="M3" s="58" t="s">
        <v>404</v>
      </c>
      <c r="N3" s="58" t="s">
        <v>405</v>
      </c>
      <c r="O3" s="58" t="s">
        <v>406</v>
      </c>
      <c r="P3" s="80"/>
    </row>
    <row r="4" spans="1:16" ht="15" customHeight="1" x14ac:dyDescent="0.3">
      <c r="B4" s="536" t="s">
        <v>245</v>
      </c>
      <c r="C4" s="590" t="s">
        <v>246</v>
      </c>
      <c r="D4" s="590"/>
      <c r="E4" s="590"/>
      <c r="F4" s="590"/>
      <c r="G4" s="590"/>
      <c r="H4" s="590"/>
      <c r="I4" s="590"/>
      <c r="J4" s="590"/>
      <c r="K4" s="590"/>
      <c r="L4" s="590"/>
      <c r="M4" s="590"/>
      <c r="N4" s="590"/>
      <c r="O4" s="590"/>
      <c r="P4" s="13"/>
    </row>
    <row r="5" spans="1:16" ht="15" customHeight="1" x14ac:dyDescent="0.3">
      <c r="B5" s="536"/>
      <c r="C5" s="68" t="s">
        <v>407</v>
      </c>
      <c r="D5" s="69">
        <v>36.6</v>
      </c>
      <c r="E5" s="69">
        <v>38.65</v>
      </c>
      <c r="F5" s="69">
        <v>4.03</v>
      </c>
      <c r="G5" s="70" t="s">
        <v>408</v>
      </c>
      <c r="H5" s="69">
        <v>91.02</v>
      </c>
      <c r="I5" s="71">
        <v>8.0000000000000002E-3</v>
      </c>
      <c r="J5" s="71">
        <v>1E-4</v>
      </c>
      <c r="K5" s="71">
        <v>3.0000000000000001E-3</v>
      </c>
      <c r="L5" s="71">
        <v>2.0999999999999999E-3</v>
      </c>
      <c r="M5" s="70" t="s">
        <v>409</v>
      </c>
      <c r="N5" s="71">
        <v>0.15</v>
      </c>
      <c r="O5" s="70" t="s">
        <v>410</v>
      </c>
      <c r="P5" s="13"/>
    </row>
    <row r="6" spans="1:16" ht="15" customHeight="1" x14ac:dyDescent="0.3">
      <c r="B6" s="536"/>
      <c r="C6" s="72" t="s">
        <v>411</v>
      </c>
      <c r="D6" s="73">
        <v>36.6</v>
      </c>
      <c r="E6" s="73">
        <v>38.65</v>
      </c>
      <c r="F6" s="73">
        <v>4.03</v>
      </c>
      <c r="G6" s="74" t="s">
        <v>408</v>
      </c>
      <c r="H6" s="73">
        <v>91.02</v>
      </c>
      <c r="I6" s="75">
        <v>8.0000000000000002E-3</v>
      </c>
      <c r="J6" s="75">
        <v>1E-4</v>
      </c>
      <c r="K6" s="75">
        <v>3.0000000000000001E-3</v>
      </c>
      <c r="L6" s="75">
        <v>2.0999999999999999E-3</v>
      </c>
      <c r="M6" s="74" t="s">
        <v>409</v>
      </c>
      <c r="N6" s="75">
        <v>0.15</v>
      </c>
      <c r="O6" s="74" t="s">
        <v>410</v>
      </c>
      <c r="P6" s="13"/>
    </row>
    <row r="7" spans="1:16" ht="15" customHeight="1" x14ac:dyDescent="0.3">
      <c r="B7" s="536"/>
      <c r="C7" s="72" t="s">
        <v>412</v>
      </c>
      <c r="D7" s="76" t="s">
        <v>408</v>
      </c>
      <c r="E7" s="76" t="s">
        <v>408</v>
      </c>
      <c r="F7" s="76" t="s">
        <v>408</v>
      </c>
      <c r="G7" s="76" t="s">
        <v>408</v>
      </c>
      <c r="H7" s="76" t="s">
        <v>408</v>
      </c>
      <c r="I7" s="74" t="s">
        <v>410</v>
      </c>
      <c r="J7" s="74" t="s">
        <v>410</v>
      </c>
      <c r="K7" s="74" t="s">
        <v>410</v>
      </c>
      <c r="L7" s="74" t="s">
        <v>410</v>
      </c>
      <c r="M7" s="74" t="s">
        <v>410</v>
      </c>
      <c r="N7" s="74" t="s">
        <v>410</v>
      </c>
      <c r="O7" s="74" t="s">
        <v>410</v>
      </c>
      <c r="P7" s="13"/>
    </row>
    <row r="8" spans="1:16" ht="15" customHeight="1" x14ac:dyDescent="0.3">
      <c r="B8" s="536"/>
      <c r="C8" s="77" t="s">
        <v>413</v>
      </c>
      <c r="D8" s="69">
        <v>86.09</v>
      </c>
      <c r="E8" s="69">
        <v>36.31</v>
      </c>
      <c r="F8" s="69">
        <v>5.51</v>
      </c>
      <c r="G8" s="70" t="s">
        <v>408</v>
      </c>
      <c r="H8" s="69">
        <v>74.599999999999994</v>
      </c>
      <c r="I8" s="70" t="s">
        <v>414</v>
      </c>
      <c r="J8" s="71">
        <v>0</v>
      </c>
      <c r="K8" s="71">
        <v>0.02</v>
      </c>
      <c r="L8" s="70" t="s">
        <v>410</v>
      </c>
      <c r="M8" s="70" t="s">
        <v>410</v>
      </c>
      <c r="N8" s="69">
        <v>3.61</v>
      </c>
      <c r="O8" s="70" t="s">
        <v>410</v>
      </c>
      <c r="P8" s="13"/>
    </row>
    <row r="9" spans="1:16" ht="15" customHeight="1" x14ac:dyDescent="0.3">
      <c r="B9" s="536"/>
      <c r="C9" s="72" t="s">
        <v>415</v>
      </c>
      <c r="D9" s="73">
        <v>86.09</v>
      </c>
      <c r="E9" s="73">
        <v>36.31</v>
      </c>
      <c r="F9" s="73">
        <v>5.51</v>
      </c>
      <c r="G9" s="74" t="s">
        <v>408</v>
      </c>
      <c r="H9" s="73">
        <v>74.599999999999994</v>
      </c>
      <c r="I9" s="74" t="s">
        <v>414</v>
      </c>
      <c r="J9" s="75">
        <v>0</v>
      </c>
      <c r="K9" s="75">
        <v>0.02</v>
      </c>
      <c r="L9" s="74" t="s">
        <v>410</v>
      </c>
      <c r="M9" s="74" t="s">
        <v>410</v>
      </c>
      <c r="N9" s="73">
        <v>3.61</v>
      </c>
      <c r="O9" s="74" t="s">
        <v>410</v>
      </c>
      <c r="P9" s="13"/>
    </row>
    <row r="10" spans="1:16" ht="15" customHeight="1" x14ac:dyDescent="0.3">
      <c r="B10" s="536"/>
      <c r="C10" s="72" t="s">
        <v>416</v>
      </c>
      <c r="D10" s="76" t="s">
        <v>408</v>
      </c>
      <c r="E10" s="76" t="s">
        <v>408</v>
      </c>
      <c r="F10" s="76" t="s">
        <v>408</v>
      </c>
      <c r="G10" s="76" t="s">
        <v>408</v>
      </c>
      <c r="H10" s="76" t="s">
        <v>410</v>
      </c>
      <c r="I10" s="74" t="s">
        <v>410</v>
      </c>
      <c r="J10" s="74" t="s">
        <v>410</v>
      </c>
      <c r="K10" s="74" t="s">
        <v>410</v>
      </c>
      <c r="L10" s="74" t="s">
        <v>410</v>
      </c>
      <c r="M10" s="74" t="s">
        <v>410</v>
      </c>
      <c r="N10" s="74" t="s">
        <v>410</v>
      </c>
      <c r="O10" s="76" t="s">
        <v>410</v>
      </c>
      <c r="P10" s="13"/>
    </row>
    <row r="11" spans="1:16" ht="15" customHeight="1" x14ac:dyDescent="0.3">
      <c r="B11" s="537" t="s">
        <v>417</v>
      </c>
      <c r="C11" s="590" t="s">
        <v>252</v>
      </c>
      <c r="D11" s="590"/>
      <c r="E11" s="590"/>
      <c r="F11" s="590"/>
      <c r="G11" s="590"/>
      <c r="H11" s="590"/>
      <c r="I11" s="590"/>
      <c r="J11" s="590"/>
      <c r="K11" s="590"/>
      <c r="L11" s="590"/>
      <c r="M11" s="590"/>
      <c r="N11" s="590"/>
      <c r="O11" s="590"/>
      <c r="P11" s="13"/>
    </row>
    <row r="12" spans="1:16" ht="15" customHeight="1" x14ac:dyDescent="0.3">
      <c r="B12" s="591"/>
      <c r="C12" s="68" t="s">
        <v>418</v>
      </c>
      <c r="D12" s="69">
        <v>8.5869999999999997</v>
      </c>
      <c r="E12" s="69">
        <v>1544.07</v>
      </c>
      <c r="F12" s="69">
        <v>9594</v>
      </c>
      <c r="G12" s="69">
        <v>104.74</v>
      </c>
      <c r="H12" s="69">
        <v>646.4</v>
      </c>
      <c r="I12" s="71">
        <v>1.1720000000000001E-3</v>
      </c>
      <c r="J12" s="71">
        <v>0.90098999999999996</v>
      </c>
      <c r="K12" s="71">
        <v>0.311554</v>
      </c>
      <c r="L12" s="71">
        <v>4.7199999999999999E-2</v>
      </c>
      <c r="M12" s="70" t="s">
        <v>410</v>
      </c>
      <c r="N12" s="69">
        <v>116.49</v>
      </c>
      <c r="O12" s="71">
        <v>0.1363</v>
      </c>
      <c r="P12" s="13"/>
    </row>
    <row r="13" spans="1:16" ht="15" customHeight="1" x14ac:dyDescent="0.3">
      <c r="B13" s="591"/>
      <c r="C13" s="72" t="s">
        <v>419</v>
      </c>
      <c r="D13" s="73">
        <v>7.63</v>
      </c>
      <c r="E13" s="73">
        <v>4.07</v>
      </c>
      <c r="F13" s="73">
        <v>24</v>
      </c>
      <c r="G13" s="73">
        <v>3.74</v>
      </c>
      <c r="H13" s="73">
        <v>32.4</v>
      </c>
      <c r="I13" s="75">
        <v>4.7899999999999999E-4</v>
      </c>
      <c r="J13" s="75">
        <v>3.9899999999999996E-3</v>
      </c>
      <c r="K13" s="75">
        <v>5.5400000000000002E-4</v>
      </c>
      <c r="L13" s="75">
        <v>1.15E-2</v>
      </c>
      <c r="M13" s="74" t="s">
        <v>410</v>
      </c>
      <c r="N13" s="73">
        <v>6.49</v>
      </c>
      <c r="O13" s="75">
        <v>8.8400000000000006E-2</v>
      </c>
      <c r="P13" s="13"/>
    </row>
    <row r="14" spans="1:16" ht="15" customHeight="1" x14ac:dyDescent="0.3">
      <c r="B14" s="591"/>
      <c r="C14" s="72" t="s">
        <v>420</v>
      </c>
      <c r="D14" s="73">
        <v>0.95699999999999996</v>
      </c>
      <c r="E14" s="73">
        <v>1540</v>
      </c>
      <c r="F14" s="73">
        <v>9570</v>
      </c>
      <c r="G14" s="73">
        <v>101</v>
      </c>
      <c r="H14" s="73">
        <v>614</v>
      </c>
      <c r="I14" s="75">
        <v>6.9300000000000004E-4</v>
      </c>
      <c r="J14" s="75">
        <v>0.89700000000000002</v>
      </c>
      <c r="K14" s="75">
        <v>0.311</v>
      </c>
      <c r="L14" s="75">
        <v>3.5700000000000003E-2</v>
      </c>
      <c r="M14" s="74" t="s">
        <v>410</v>
      </c>
      <c r="N14" s="73">
        <v>110</v>
      </c>
      <c r="O14" s="75">
        <v>4.7899999999999998E-2</v>
      </c>
      <c r="P14" s="13"/>
    </row>
    <row r="15" spans="1:16" ht="15" customHeight="1" x14ac:dyDescent="0.3">
      <c r="B15" s="591"/>
      <c r="C15" s="68" t="s">
        <v>421</v>
      </c>
      <c r="D15" s="69">
        <v>1.1861999999999999</v>
      </c>
      <c r="E15" s="69">
        <v>1371</v>
      </c>
      <c r="F15" s="69">
        <v>1528.463</v>
      </c>
      <c r="G15" s="69">
        <v>27.143999999999998</v>
      </c>
      <c r="H15" s="69">
        <v>795.4</v>
      </c>
      <c r="I15" s="71">
        <v>1.5363E-4</v>
      </c>
      <c r="J15" s="71">
        <v>1.0840000000000001</v>
      </c>
      <c r="K15" s="71">
        <v>8.0600000000000005E-2</v>
      </c>
      <c r="L15" s="70" t="s">
        <v>410</v>
      </c>
      <c r="M15" s="70" t="s">
        <v>410</v>
      </c>
      <c r="N15" s="69">
        <v>161.69</v>
      </c>
      <c r="O15" s="69">
        <v>72.001480099999995</v>
      </c>
      <c r="P15" s="13"/>
    </row>
    <row r="16" spans="1:16" ht="15" customHeight="1" x14ac:dyDescent="0.3">
      <c r="B16" s="591"/>
      <c r="C16" s="72" t="s">
        <v>422</v>
      </c>
      <c r="D16" s="73">
        <v>0.97</v>
      </c>
      <c r="E16" s="73">
        <v>986</v>
      </c>
      <c r="F16" s="73">
        <v>1.4630000000000001</v>
      </c>
      <c r="G16" s="73">
        <v>1.3839999999999999</v>
      </c>
      <c r="H16" s="73">
        <v>660</v>
      </c>
      <c r="I16" s="75">
        <v>1.3E-7</v>
      </c>
      <c r="J16" s="38">
        <v>0</v>
      </c>
      <c r="K16" s="38">
        <v>0</v>
      </c>
      <c r="L16" s="74" t="s">
        <v>410</v>
      </c>
      <c r="M16" s="74" t="s">
        <v>410</v>
      </c>
      <c r="N16" s="73">
        <v>132.6</v>
      </c>
      <c r="O16" s="73">
        <v>61.125792099999998</v>
      </c>
      <c r="P16" s="13"/>
    </row>
    <row r="17" spans="2:29" ht="15" customHeight="1" x14ac:dyDescent="0.3">
      <c r="B17" s="538"/>
      <c r="C17" s="72" t="s">
        <v>423</v>
      </c>
      <c r="D17" s="73">
        <v>0.2162</v>
      </c>
      <c r="E17" s="73">
        <v>385</v>
      </c>
      <c r="F17" s="73">
        <v>1527</v>
      </c>
      <c r="G17" s="73">
        <v>25.76</v>
      </c>
      <c r="H17" s="73">
        <v>135.4</v>
      </c>
      <c r="I17" s="75">
        <v>1.5349999999999999E-4</v>
      </c>
      <c r="J17" s="75">
        <v>1.0840000000000001</v>
      </c>
      <c r="K17" s="75">
        <v>8.0600000000000005E-2</v>
      </c>
      <c r="L17" s="74" t="s">
        <v>410</v>
      </c>
      <c r="M17" s="74" t="s">
        <v>410</v>
      </c>
      <c r="N17" s="73">
        <v>29.09</v>
      </c>
      <c r="O17" s="73">
        <v>10.875688</v>
      </c>
      <c r="P17" s="13"/>
    </row>
    <row r="18" spans="2:29" ht="15" customHeight="1" x14ac:dyDescent="0.3">
      <c r="B18" s="537" t="s">
        <v>213</v>
      </c>
      <c r="C18" s="590" t="s">
        <v>328</v>
      </c>
      <c r="D18" s="590"/>
      <c r="E18" s="590"/>
      <c r="F18" s="590"/>
      <c r="G18" s="590"/>
      <c r="H18" s="590"/>
      <c r="I18" s="590"/>
      <c r="J18" s="590"/>
      <c r="K18" s="590"/>
      <c r="L18" s="590"/>
      <c r="M18" s="590"/>
      <c r="N18" s="590"/>
      <c r="O18" s="590"/>
      <c r="P18" s="13"/>
    </row>
    <row r="19" spans="2:29" ht="15" customHeight="1" x14ac:dyDescent="0.3">
      <c r="B19" s="591"/>
      <c r="C19" s="68" t="s">
        <v>424</v>
      </c>
      <c r="D19" s="71">
        <v>0.17759112699999999</v>
      </c>
      <c r="E19" s="69">
        <v>250.018866</v>
      </c>
      <c r="F19" s="69">
        <v>427.96534539599998</v>
      </c>
      <c r="G19" s="69">
        <v>46.04</v>
      </c>
      <c r="H19" s="69">
        <v>174.42</v>
      </c>
      <c r="I19" s="71">
        <v>1.7999999999999999E-2</v>
      </c>
      <c r="J19" s="71">
        <v>2E-3</v>
      </c>
      <c r="K19" s="71">
        <v>2E-3</v>
      </c>
      <c r="L19" s="71">
        <v>2E-3</v>
      </c>
      <c r="M19" s="70" t="s">
        <v>410</v>
      </c>
      <c r="N19" s="69">
        <v>3.38</v>
      </c>
      <c r="O19" s="70" t="s">
        <v>410</v>
      </c>
      <c r="P19" s="13"/>
    </row>
    <row r="20" spans="2:29" ht="15" customHeight="1" x14ac:dyDescent="0.3">
      <c r="B20" s="591"/>
      <c r="C20" s="72" t="s">
        <v>425</v>
      </c>
      <c r="D20" s="73">
        <v>5.7535927000000001E-2</v>
      </c>
      <c r="E20" s="73">
        <v>138.68886599999999</v>
      </c>
      <c r="F20" s="73">
        <v>2.675345396</v>
      </c>
      <c r="G20" s="73">
        <v>2.29</v>
      </c>
      <c r="H20" s="73">
        <v>31.38</v>
      </c>
      <c r="I20" s="75">
        <v>1.7999999999999999E-2</v>
      </c>
      <c r="J20" s="75">
        <v>2E-3</v>
      </c>
      <c r="K20" s="75">
        <v>2E-3</v>
      </c>
      <c r="L20" s="75">
        <v>2E-3</v>
      </c>
      <c r="M20" s="74" t="s">
        <v>410</v>
      </c>
      <c r="N20" s="73">
        <v>3.38</v>
      </c>
      <c r="O20" s="74" t="s">
        <v>410</v>
      </c>
      <c r="P20" s="81"/>
    </row>
    <row r="21" spans="2:29" ht="15" customHeight="1" x14ac:dyDescent="0.3">
      <c r="B21" s="591"/>
      <c r="C21" s="72" t="s">
        <v>426</v>
      </c>
      <c r="D21" s="73">
        <v>0.1200552</v>
      </c>
      <c r="E21" s="73">
        <v>111.33</v>
      </c>
      <c r="F21" s="73">
        <v>425.29</v>
      </c>
      <c r="G21" s="73">
        <v>43.75</v>
      </c>
      <c r="H21" s="73">
        <v>143.04</v>
      </c>
      <c r="I21" s="74" t="s">
        <v>410</v>
      </c>
      <c r="J21" s="74" t="s">
        <v>410</v>
      </c>
      <c r="K21" s="74" t="s">
        <v>410</v>
      </c>
      <c r="L21" s="74" t="s">
        <v>410</v>
      </c>
      <c r="M21" s="74" t="s">
        <v>410</v>
      </c>
      <c r="N21" s="74" t="s">
        <v>410</v>
      </c>
      <c r="O21" s="74" t="s">
        <v>410</v>
      </c>
      <c r="P21" s="13"/>
    </row>
    <row r="22" spans="2:29" ht="15" customHeight="1" x14ac:dyDescent="0.3">
      <c r="B22" s="591"/>
      <c r="C22" s="590" t="s">
        <v>214</v>
      </c>
      <c r="D22" s="590"/>
      <c r="E22" s="590"/>
      <c r="F22" s="590"/>
      <c r="G22" s="590"/>
      <c r="H22" s="590"/>
      <c r="I22" s="590"/>
      <c r="J22" s="590"/>
      <c r="K22" s="590"/>
      <c r="L22" s="590"/>
      <c r="M22" s="590"/>
      <c r="N22" s="590"/>
      <c r="O22" s="590"/>
      <c r="P22" s="13"/>
    </row>
    <row r="23" spans="2:29" ht="15" customHeight="1" x14ac:dyDescent="0.3">
      <c r="B23" s="591"/>
      <c r="C23" s="68" t="s">
        <v>427</v>
      </c>
      <c r="D23" s="69">
        <v>2.4106999999999998</v>
      </c>
      <c r="E23" s="69">
        <v>2198.5129999999999</v>
      </c>
      <c r="F23" s="69">
        <v>2652.16</v>
      </c>
      <c r="G23" s="69">
        <v>320.39999999999998</v>
      </c>
      <c r="H23" s="69">
        <v>1548.06</v>
      </c>
      <c r="I23" s="70" t="s">
        <v>409</v>
      </c>
      <c r="J23" s="70" t="s">
        <v>410</v>
      </c>
      <c r="K23" s="69">
        <v>1.986</v>
      </c>
      <c r="L23" s="70" t="s">
        <v>410</v>
      </c>
      <c r="M23" s="70" t="s">
        <v>410</v>
      </c>
      <c r="N23" s="69">
        <v>8.2944999999999993</v>
      </c>
      <c r="O23" s="69">
        <v>8.3652099999999994</v>
      </c>
      <c r="P23" s="13"/>
    </row>
    <row r="24" spans="2:29" ht="15" customHeight="1" x14ac:dyDescent="0.3">
      <c r="B24" s="591"/>
      <c r="C24" s="72" t="s">
        <v>428</v>
      </c>
      <c r="D24" s="73">
        <v>6.9999999999999999E-4</v>
      </c>
      <c r="E24" s="75">
        <v>0.153</v>
      </c>
      <c r="F24" s="73">
        <v>37.090000000000003</v>
      </c>
      <c r="G24" s="73">
        <v>37.090000000000003</v>
      </c>
      <c r="H24" s="73">
        <v>3.09</v>
      </c>
      <c r="I24" s="74" t="s">
        <v>409</v>
      </c>
      <c r="J24" s="74" t="s">
        <v>410</v>
      </c>
      <c r="K24" s="75">
        <v>2.5999999999999999E-2</v>
      </c>
      <c r="L24" s="74" t="s">
        <v>410</v>
      </c>
      <c r="M24" s="74" t="s">
        <v>410</v>
      </c>
      <c r="N24" s="75">
        <v>4.4999999999999997E-3</v>
      </c>
      <c r="O24" s="75">
        <v>9.1E-4</v>
      </c>
      <c r="P24" s="13"/>
    </row>
    <row r="25" spans="2:29" ht="15" customHeight="1" x14ac:dyDescent="0.3">
      <c r="B25" s="591"/>
      <c r="C25" s="72" t="s">
        <v>429</v>
      </c>
      <c r="D25" s="73">
        <v>2.41</v>
      </c>
      <c r="E25" s="73">
        <v>2198.36</v>
      </c>
      <c r="F25" s="73">
        <v>2615.0700000000002</v>
      </c>
      <c r="G25" s="73">
        <v>283.35000000000002</v>
      </c>
      <c r="H25" s="73">
        <v>1544.97</v>
      </c>
      <c r="I25" s="74" t="s">
        <v>410</v>
      </c>
      <c r="J25" s="74" t="s">
        <v>410</v>
      </c>
      <c r="K25" s="73">
        <v>1.96</v>
      </c>
      <c r="L25" s="74" t="s">
        <v>410</v>
      </c>
      <c r="M25" s="74" t="s">
        <v>410</v>
      </c>
      <c r="N25" s="73">
        <v>8.2899999999999991</v>
      </c>
      <c r="O25" s="73">
        <v>8.3643000000000001</v>
      </c>
      <c r="P25" s="13"/>
    </row>
    <row r="26" spans="2:29" ht="15" customHeight="1" x14ac:dyDescent="0.3">
      <c r="B26" s="591"/>
      <c r="C26" s="590" t="s">
        <v>265</v>
      </c>
      <c r="D26" s="590"/>
      <c r="E26" s="590"/>
      <c r="F26" s="590"/>
      <c r="G26" s="590"/>
      <c r="H26" s="590"/>
      <c r="I26" s="590"/>
      <c r="J26" s="590"/>
      <c r="K26" s="590"/>
      <c r="L26" s="590"/>
      <c r="M26" s="590"/>
      <c r="N26" s="590"/>
      <c r="O26" s="590"/>
      <c r="P26" s="13"/>
    </row>
    <row r="27" spans="2:29" ht="15" customHeight="1" x14ac:dyDescent="0.3">
      <c r="B27" s="591"/>
      <c r="C27" s="68" t="s">
        <v>430</v>
      </c>
      <c r="D27" s="69">
        <v>1611.74944</v>
      </c>
      <c r="E27" s="69">
        <v>2637.6468100000002</v>
      </c>
      <c r="F27" s="69">
        <v>80.039699999999996</v>
      </c>
      <c r="G27" s="70" t="s">
        <v>408</v>
      </c>
      <c r="H27" s="69">
        <v>173.39696000000001</v>
      </c>
      <c r="I27" s="71">
        <v>1.2342160000000001E-4</v>
      </c>
      <c r="J27" s="70" t="s">
        <v>409</v>
      </c>
      <c r="K27" s="70" t="s">
        <v>410</v>
      </c>
      <c r="L27" s="70" t="s">
        <v>410</v>
      </c>
      <c r="M27" s="70" t="s">
        <v>410</v>
      </c>
      <c r="N27" s="70" t="s">
        <v>408</v>
      </c>
      <c r="O27" s="70" t="s">
        <v>410</v>
      </c>
      <c r="P27" s="13"/>
      <c r="Q27" s="2"/>
      <c r="R27" s="2"/>
      <c r="S27" s="2"/>
      <c r="T27" s="2"/>
      <c r="U27" s="2"/>
      <c r="V27" s="2"/>
      <c r="W27" s="2"/>
      <c r="X27" s="2"/>
      <c r="Y27" s="2"/>
      <c r="Z27" s="2"/>
      <c r="AA27" s="2"/>
      <c r="AB27" s="2"/>
      <c r="AC27" s="2"/>
    </row>
    <row r="28" spans="2:29" ht="15" customHeight="1" x14ac:dyDescent="0.3">
      <c r="B28" s="591"/>
      <c r="C28" s="72" t="s">
        <v>431</v>
      </c>
      <c r="D28" s="73">
        <v>1611.74944</v>
      </c>
      <c r="E28" s="73">
        <v>2637.6468100000002</v>
      </c>
      <c r="F28" s="73">
        <v>80.039699999999996</v>
      </c>
      <c r="G28" s="74" t="s">
        <v>408</v>
      </c>
      <c r="H28" s="73">
        <v>173.39696000000001</v>
      </c>
      <c r="I28" s="75">
        <v>1.2342160000000001E-4</v>
      </c>
      <c r="J28" s="74" t="s">
        <v>409</v>
      </c>
      <c r="K28" s="74" t="s">
        <v>410</v>
      </c>
      <c r="L28" s="74" t="s">
        <v>410</v>
      </c>
      <c r="M28" s="74" t="s">
        <v>410</v>
      </c>
      <c r="N28" s="74" t="s">
        <v>408</v>
      </c>
      <c r="O28" s="74" t="s">
        <v>410</v>
      </c>
      <c r="P28" s="13"/>
      <c r="Q28" s="2"/>
      <c r="R28" s="2"/>
      <c r="S28" s="2"/>
      <c r="T28" s="2"/>
      <c r="U28" s="2"/>
      <c r="V28" s="2"/>
      <c r="W28" s="2"/>
      <c r="X28" s="2"/>
      <c r="Y28" s="2"/>
      <c r="Z28" s="2"/>
      <c r="AA28" s="2"/>
      <c r="AB28" s="2"/>
      <c r="AC28" s="2"/>
    </row>
    <row r="29" spans="2:29" ht="15" customHeight="1" x14ac:dyDescent="0.3">
      <c r="B29" s="538"/>
      <c r="C29" s="72" t="s">
        <v>432</v>
      </c>
      <c r="D29" s="78" t="s">
        <v>408</v>
      </c>
      <c r="E29" s="74" t="s">
        <v>408</v>
      </c>
      <c r="F29" s="74" t="s">
        <v>408</v>
      </c>
      <c r="G29" s="74" t="s">
        <v>408</v>
      </c>
      <c r="H29" s="74" t="s">
        <v>408</v>
      </c>
      <c r="I29" s="74" t="s">
        <v>408</v>
      </c>
      <c r="J29" s="74" t="s">
        <v>408</v>
      </c>
      <c r="K29" s="74" t="s">
        <v>410</v>
      </c>
      <c r="L29" s="74" t="s">
        <v>410</v>
      </c>
      <c r="M29" s="74" t="s">
        <v>410</v>
      </c>
      <c r="N29" s="74" t="s">
        <v>408</v>
      </c>
      <c r="O29" s="74" t="s">
        <v>410</v>
      </c>
      <c r="P29" s="13"/>
      <c r="Q29" s="2"/>
      <c r="R29" s="2"/>
      <c r="S29" s="2"/>
      <c r="T29" s="2"/>
      <c r="U29" s="2"/>
      <c r="V29" s="2"/>
      <c r="W29" s="2"/>
      <c r="X29" s="2"/>
      <c r="Y29" s="2"/>
      <c r="Z29" s="2"/>
      <c r="AA29" s="2"/>
      <c r="AB29" s="2"/>
      <c r="AC29" s="2"/>
    </row>
    <row r="30" spans="2:29" ht="15" customHeight="1" x14ac:dyDescent="0.25">
      <c r="B30" s="537" t="s">
        <v>224</v>
      </c>
      <c r="C30" s="590" t="s">
        <v>225</v>
      </c>
      <c r="D30" s="590"/>
      <c r="E30" s="590"/>
      <c r="F30" s="590"/>
      <c r="G30" s="590"/>
      <c r="H30" s="590"/>
      <c r="I30" s="590"/>
      <c r="J30" s="590"/>
      <c r="K30" s="590"/>
      <c r="L30" s="590"/>
      <c r="M30" s="590"/>
      <c r="N30" s="590"/>
      <c r="O30" s="590"/>
      <c r="P30" s="82"/>
    </row>
    <row r="31" spans="2:29" ht="15" customHeight="1" x14ac:dyDescent="0.3">
      <c r="B31" s="591"/>
      <c r="C31" s="68" t="s">
        <v>433</v>
      </c>
      <c r="D31" s="69">
        <v>4.76</v>
      </c>
      <c r="E31" s="69">
        <v>111.25</v>
      </c>
      <c r="F31" s="69">
        <v>900.03</v>
      </c>
      <c r="G31" s="69">
        <v>321.66000000000003</v>
      </c>
      <c r="H31" s="69">
        <v>159.24</v>
      </c>
      <c r="I31" s="70" t="s">
        <v>410</v>
      </c>
      <c r="J31" s="70" t="s">
        <v>410</v>
      </c>
      <c r="K31" s="70" t="s">
        <v>410</v>
      </c>
      <c r="L31" s="70" t="s">
        <v>410</v>
      </c>
      <c r="M31" s="70" t="s">
        <v>410</v>
      </c>
      <c r="N31" s="69">
        <v>2.42</v>
      </c>
      <c r="O31" s="71">
        <v>1.07E-3</v>
      </c>
      <c r="P31" s="13"/>
      <c r="Q31" s="2"/>
      <c r="R31" s="2"/>
      <c r="S31" s="2"/>
      <c r="T31" s="2"/>
      <c r="U31" s="2"/>
      <c r="V31" s="2"/>
      <c r="W31" s="2"/>
      <c r="X31" s="2"/>
      <c r="Y31" s="2"/>
      <c r="Z31" s="2"/>
      <c r="AA31" s="2"/>
      <c r="AB31" s="2"/>
    </row>
    <row r="32" spans="2:29" ht="15" customHeight="1" x14ac:dyDescent="0.3">
      <c r="B32" s="591"/>
      <c r="C32" s="72" t="s">
        <v>434</v>
      </c>
      <c r="D32" s="74" t="s">
        <v>408</v>
      </c>
      <c r="E32" s="74" t="s">
        <v>408</v>
      </c>
      <c r="F32" s="74" t="s">
        <v>408</v>
      </c>
      <c r="G32" s="74" t="s">
        <v>408</v>
      </c>
      <c r="H32" s="74" t="s">
        <v>408</v>
      </c>
      <c r="I32" s="76" t="s">
        <v>410</v>
      </c>
      <c r="J32" s="76" t="s">
        <v>410</v>
      </c>
      <c r="K32" s="76" t="s">
        <v>410</v>
      </c>
      <c r="L32" s="76" t="s">
        <v>410</v>
      </c>
      <c r="M32" s="76" t="s">
        <v>410</v>
      </c>
      <c r="N32" s="74" t="s">
        <v>408</v>
      </c>
      <c r="O32" s="74" t="s">
        <v>408</v>
      </c>
      <c r="P32" s="13"/>
      <c r="Q32" s="2"/>
      <c r="R32" s="2"/>
      <c r="S32" s="2"/>
      <c r="T32" s="2"/>
      <c r="U32" s="2"/>
      <c r="V32" s="2"/>
      <c r="W32" s="2"/>
      <c r="X32" s="2"/>
      <c r="Y32" s="2"/>
      <c r="Z32" s="2"/>
      <c r="AA32" s="2"/>
      <c r="AB32" s="2"/>
    </row>
    <row r="33" spans="2:28" ht="15" customHeight="1" x14ac:dyDescent="0.3">
      <c r="B33" s="591"/>
      <c r="C33" s="72" t="s">
        <v>435</v>
      </c>
      <c r="D33" s="73">
        <v>4.76</v>
      </c>
      <c r="E33" s="73">
        <v>111.25</v>
      </c>
      <c r="F33" s="73">
        <v>900.03</v>
      </c>
      <c r="G33" s="73">
        <v>321.66000000000003</v>
      </c>
      <c r="H33" s="73">
        <v>159.24</v>
      </c>
      <c r="I33" s="74" t="s">
        <v>410</v>
      </c>
      <c r="J33" s="74" t="s">
        <v>410</v>
      </c>
      <c r="K33" s="74" t="s">
        <v>410</v>
      </c>
      <c r="L33" s="74" t="s">
        <v>410</v>
      </c>
      <c r="M33" s="74" t="s">
        <v>410</v>
      </c>
      <c r="N33" s="73">
        <v>2.42</v>
      </c>
      <c r="O33" s="79">
        <v>1.07E-3</v>
      </c>
      <c r="P33" s="13"/>
      <c r="Q33" s="2"/>
      <c r="R33" s="2"/>
      <c r="S33" s="2"/>
      <c r="T33" s="2"/>
      <c r="U33" s="2"/>
      <c r="V33" s="2"/>
      <c r="W33" s="2"/>
      <c r="X33" s="2"/>
      <c r="Y33" s="2"/>
      <c r="Z33" s="2"/>
      <c r="AA33" s="2"/>
      <c r="AB33" s="2"/>
    </row>
    <row r="34" spans="2:28" ht="15" customHeight="1" x14ac:dyDescent="0.3">
      <c r="B34" s="591"/>
      <c r="C34" s="68" t="s">
        <v>436</v>
      </c>
      <c r="D34" s="69">
        <v>1.8779999999999999</v>
      </c>
      <c r="E34" s="69">
        <v>298.29599999999999</v>
      </c>
      <c r="F34" s="69">
        <v>72.34</v>
      </c>
      <c r="G34" s="69">
        <v>36.22</v>
      </c>
      <c r="H34" s="69">
        <v>226.22</v>
      </c>
      <c r="I34" s="71">
        <v>2.7129999999999998E-4</v>
      </c>
      <c r="J34" s="71">
        <v>5.6701E-3</v>
      </c>
      <c r="K34" s="71">
        <v>8.9913300000000002E-2</v>
      </c>
      <c r="L34" s="71">
        <v>7.1409999999999996E-4</v>
      </c>
      <c r="M34" s="70" t="s">
        <v>410</v>
      </c>
      <c r="N34" s="69">
        <v>4.625</v>
      </c>
      <c r="O34" s="70" t="s">
        <v>410</v>
      </c>
      <c r="P34" s="13"/>
    </row>
    <row r="35" spans="2:28" ht="15" customHeight="1" x14ac:dyDescent="0.3">
      <c r="B35" s="591"/>
      <c r="C35" s="72" t="s">
        <v>437</v>
      </c>
      <c r="D35" s="73">
        <v>1.8779999999999999</v>
      </c>
      <c r="E35" s="73">
        <v>298.17599999999999</v>
      </c>
      <c r="F35" s="73">
        <v>28.31</v>
      </c>
      <c r="G35" s="73">
        <v>26.9</v>
      </c>
      <c r="H35" s="73">
        <v>192.69</v>
      </c>
      <c r="I35" s="75">
        <v>2.7129999999999998E-4</v>
      </c>
      <c r="J35" s="75">
        <v>1.7600999999999999E-3</v>
      </c>
      <c r="K35" s="75">
        <v>7.6863299999999996E-2</v>
      </c>
      <c r="L35" s="75">
        <v>4.328E-4</v>
      </c>
      <c r="M35" s="74" t="s">
        <v>410</v>
      </c>
      <c r="N35" s="75">
        <v>0.16500000000000001</v>
      </c>
      <c r="O35" s="74" t="s">
        <v>410</v>
      </c>
      <c r="P35" s="13"/>
    </row>
    <row r="36" spans="2:28" ht="15" customHeight="1" x14ac:dyDescent="0.3">
      <c r="B36" s="591"/>
      <c r="C36" s="72" t="s">
        <v>438</v>
      </c>
      <c r="D36" s="74" t="s">
        <v>408</v>
      </c>
      <c r="E36" s="73">
        <v>0.12</v>
      </c>
      <c r="F36" s="73">
        <v>44.03</v>
      </c>
      <c r="G36" s="73">
        <v>9.32</v>
      </c>
      <c r="H36" s="73">
        <v>33.53</v>
      </c>
      <c r="I36" s="74" t="s">
        <v>409</v>
      </c>
      <c r="J36" s="75">
        <v>3.9100000000000003E-3</v>
      </c>
      <c r="K36" s="75">
        <v>1.3050000000000001E-2</v>
      </c>
      <c r="L36" s="75">
        <v>2.8130000000000001E-4</v>
      </c>
      <c r="M36" s="74" t="s">
        <v>410</v>
      </c>
      <c r="N36" s="73">
        <v>4.46</v>
      </c>
      <c r="O36" s="74" t="s">
        <v>410</v>
      </c>
      <c r="P36" s="13"/>
    </row>
    <row r="37" spans="2:28" ht="15" customHeight="1" x14ac:dyDescent="0.3">
      <c r="B37" s="591"/>
      <c r="C37" s="68" t="s">
        <v>439</v>
      </c>
      <c r="D37" s="69">
        <v>0.44</v>
      </c>
      <c r="E37" s="69">
        <v>113.09</v>
      </c>
      <c r="F37" s="69">
        <v>25.99</v>
      </c>
      <c r="G37" s="69">
        <v>13.74</v>
      </c>
      <c r="H37" s="69">
        <v>58.1</v>
      </c>
      <c r="I37" s="71">
        <v>0.09</v>
      </c>
      <c r="J37" s="71">
        <v>0.03</v>
      </c>
      <c r="K37" s="71">
        <v>0.06</v>
      </c>
      <c r="L37" s="70" t="s">
        <v>408</v>
      </c>
      <c r="M37" s="70" t="s">
        <v>410</v>
      </c>
      <c r="N37" s="70" t="s">
        <v>410</v>
      </c>
      <c r="O37" s="70" t="s">
        <v>410</v>
      </c>
      <c r="P37" s="13"/>
    </row>
    <row r="38" spans="2:28" ht="15" customHeight="1" x14ac:dyDescent="0.3">
      <c r="B38" s="591"/>
      <c r="C38" s="72" t="s">
        <v>440</v>
      </c>
      <c r="D38" s="73">
        <v>0.42</v>
      </c>
      <c r="E38" s="73">
        <v>106.28</v>
      </c>
      <c r="F38" s="73">
        <v>17.190000000000001</v>
      </c>
      <c r="G38" s="73">
        <v>12.36</v>
      </c>
      <c r="H38" s="73">
        <v>28.68</v>
      </c>
      <c r="I38" s="75">
        <v>0.09</v>
      </c>
      <c r="J38" s="75">
        <v>0.01</v>
      </c>
      <c r="K38" s="75">
        <v>0.06</v>
      </c>
      <c r="L38" s="74" t="s">
        <v>408</v>
      </c>
      <c r="M38" s="74" t="s">
        <v>410</v>
      </c>
      <c r="N38" s="74" t="s">
        <v>410</v>
      </c>
      <c r="O38" s="74" t="s">
        <v>410</v>
      </c>
      <c r="P38" s="13"/>
    </row>
    <row r="39" spans="2:28" ht="15" customHeight="1" x14ac:dyDescent="0.3">
      <c r="B39" s="591"/>
      <c r="C39" s="72" t="s">
        <v>441</v>
      </c>
      <c r="D39" s="73">
        <v>0.02</v>
      </c>
      <c r="E39" s="73">
        <v>6.81</v>
      </c>
      <c r="F39" s="73">
        <v>8.8000000000000007</v>
      </c>
      <c r="G39" s="73">
        <v>1.38</v>
      </c>
      <c r="H39" s="73">
        <v>29.42</v>
      </c>
      <c r="I39" s="74" t="s">
        <v>408</v>
      </c>
      <c r="J39" s="75">
        <v>0.02</v>
      </c>
      <c r="K39" s="74" t="s">
        <v>408</v>
      </c>
      <c r="L39" s="76" t="s">
        <v>408</v>
      </c>
      <c r="M39" s="76" t="s">
        <v>410</v>
      </c>
      <c r="N39" s="76" t="s">
        <v>410</v>
      </c>
      <c r="O39" s="74" t="s">
        <v>410</v>
      </c>
      <c r="P39" s="13"/>
    </row>
    <row r="40" spans="2:28" ht="15" customHeight="1" x14ac:dyDescent="0.3">
      <c r="B40" s="591"/>
      <c r="C40" s="590" t="s">
        <v>276</v>
      </c>
      <c r="D40" s="590"/>
      <c r="E40" s="590"/>
      <c r="F40" s="590"/>
      <c r="G40" s="590"/>
      <c r="H40" s="590"/>
      <c r="I40" s="590"/>
      <c r="J40" s="590"/>
      <c r="K40" s="590"/>
      <c r="L40" s="590"/>
      <c r="M40" s="590"/>
      <c r="N40" s="590"/>
      <c r="O40" s="590"/>
      <c r="P40" s="13"/>
    </row>
    <row r="41" spans="2:28" ht="15" customHeight="1" x14ac:dyDescent="0.3">
      <c r="B41" s="591"/>
      <c r="C41" s="68" t="s">
        <v>442</v>
      </c>
      <c r="D41" s="69">
        <v>3.2744833190299998</v>
      </c>
      <c r="E41" s="69">
        <v>653.18208464739996</v>
      </c>
      <c r="F41" s="69">
        <v>348.34079646520001</v>
      </c>
      <c r="G41" s="69">
        <v>54.349437773399998</v>
      </c>
      <c r="H41" s="69">
        <v>413.34058308620001</v>
      </c>
      <c r="I41" s="71">
        <v>1.48779824004355E-3</v>
      </c>
      <c r="J41" s="70" t="s">
        <v>410</v>
      </c>
      <c r="K41" s="70" t="s">
        <v>410</v>
      </c>
      <c r="L41" s="70" t="s">
        <v>410</v>
      </c>
      <c r="M41" s="70" t="s">
        <v>410</v>
      </c>
      <c r="N41" s="69">
        <v>277.80718293019999</v>
      </c>
      <c r="O41" s="70" t="s">
        <v>410</v>
      </c>
      <c r="P41" s="13"/>
    </row>
    <row r="42" spans="2:28" ht="15" customHeight="1" x14ac:dyDescent="0.3">
      <c r="B42" s="591"/>
      <c r="C42" s="72" t="s">
        <v>443</v>
      </c>
      <c r="D42" s="73">
        <v>3.2685866182200001</v>
      </c>
      <c r="E42" s="73">
        <v>650.45145858000001</v>
      </c>
      <c r="F42" s="73">
        <v>6.214215469</v>
      </c>
      <c r="G42" s="73">
        <v>4.0460439403999997</v>
      </c>
      <c r="H42" s="73">
        <v>381.92477553999998</v>
      </c>
      <c r="I42" s="75">
        <v>1.48779824004355E-3</v>
      </c>
      <c r="J42" s="74" t="s">
        <v>410</v>
      </c>
      <c r="K42" s="74" t="s">
        <v>410</v>
      </c>
      <c r="L42" s="74" t="s">
        <v>410</v>
      </c>
      <c r="M42" s="74" t="s">
        <v>410</v>
      </c>
      <c r="N42" s="73">
        <v>277.80718293019999</v>
      </c>
      <c r="O42" s="74" t="s">
        <v>410</v>
      </c>
      <c r="P42" s="13"/>
    </row>
    <row r="43" spans="2:28" ht="15" customHeight="1" x14ac:dyDescent="0.3">
      <c r="B43" s="538"/>
      <c r="C43" s="72" t="s">
        <v>444</v>
      </c>
      <c r="D43" s="73">
        <v>5.8967008099999997E-3</v>
      </c>
      <c r="E43" s="73">
        <v>2.7306260673999998</v>
      </c>
      <c r="F43" s="73">
        <v>342.1265809962</v>
      </c>
      <c r="G43" s="73">
        <v>50.303393833000001</v>
      </c>
      <c r="H43" s="73">
        <v>31.4158075462</v>
      </c>
      <c r="I43" s="74" t="s">
        <v>410</v>
      </c>
      <c r="J43" s="74" t="s">
        <v>410</v>
      </c>
      <c r="K43" s="74" t="s">
        <v>410</v>
      </c>
      <c r="L43" s="74" t="s">
        <v>410</v>
      </c>
      <c r="M43" s="74" t="s">
        <v>410</v>
      </c>
      <c r="N43" s="75">
        <v>0</v>
      </c>
      <c r="O43" s="76" t="s">
        <v>410</v>
      </c>
      <c r="P43" s="13"/>
    </row>
    <row r="44" spans="2:28" ht="15" customHeight="1" x14ac:dyDescent="0.3">
      <c r="B44" s="537" t="s">
        <v>234</v>
      </c>
      <c r="C44" s="590" t="s">
        <v>235</v>
      </c>
      <c r="D44" s="590"/>
      <c r="E44" s="590"/>
      <c r="F44" s="590"/>
      <c r="G44" s="590"/>
      <c r="H44" s="590"/>
      <c r="I44" s="590"/>
      <c r="J44" s="590"/>
      <c r="K44" s="590"/>
      <c r="L44" s="590"/>
      <c r="M44" s="590"/>
      <c r="N44" s="590"/>
      <c r="O44" s="590"/>
      <c r="P44" s="13"/>
    </row>
    <row r="45" spans="2:28" ht="15" customHeight="1" x14ac:dyDescent="0.3">
      <c r="B45" s="591"/>
      <c r="C45" s="68" t="s">
        <v>445</v>
      </c>
      <c r="D45" s="69">
        <v>0.15</v>
      </c>
      <c r="E45" s="69">
        <v>0.15</v>
      </c>
      <c r="F45" s="69">
        <v>0.59</v>
      </c>
      <c r="G45" s="70" t="s">
        <v>408</v>
      </c>
      <c r="H45" s="69">
        <v>0.1</v>
      </c>
      <c r="I45" s="71">
        <v>0.01</v>
      </c>
      <c r="J45" s="71">
        <v>2.5999999999999998E-4</v>
      </c>
      <c r="K45" s="71">
        <v>4.0999999999999999E-4</v>
      </c>
      <c r="L45" s="70" t="s">
        <v>410</v>
      </c>
      <c r="M45" s="70" t="s">
        <v>410</v>
      </c>
      <c r="N45" s="70" t="s">
        <v>410</v>
      </c>
      <c r="O45" s="70" t="s">
        <v>410</v>
      </c>
      <c r="P45" s="13"/>
    </row>
    <row r="46" spans="2:28" ht="15" customHeight="1" x14ac:dyDescent="0.3">
      <c r="B46" s="591"/>
      <c r="C46" s="72" t="s">
        <v>446</v>
      </c>
      <c r="D46" s="73">
        <v>0.15</v>
      </c>
      <c r="E46" s="73">
        <v>0.15</v>
      </c>
      <c r="F46" s="73">
        <v>0.59</v>
      </c>
      <c r="G46" s="74" t="s">
        <v>408</v>
      </c>
      <c r="H46" s="73">
        <v>0.1</v>
      </c>
      <c r="I46" s="75">
        <v>0.01</v>
      </c>
      <c r="J46" s="75">
        <v>2.5999999999999998E-4</v>
      </c>
      <c r="K46" s="75">
        <v>4.0999999999999999E-4</v>
      </c>
      <c r="L46" s="74" t="s">
        <v>410</v>
      </c>
      <c r="M46" s="74" t="s">
        <v>410</v>
      </c>
      <c r="N46" s="74" t="s">
        <v>410</v>
      </c>
      <c r="O46" s="74" t="s">
        <v>410</v>
      </c>
      <c r="P46" s="13"/>
    </row>
    <row r="47" spans="2:28" ht="15" customHeight="1" x14ac:dyDescent="0.3">
      <c r="B47" s="538"/>
      <c r="C47" s="72" t="s">
        <v>447</v>
      </c>
      <c r="D47" s="78" t="s">
        <v>408</v>
      </c>
      <c r="E47" s="74" t="s">
        <v>408</v>
      </c>
      <c r="F47" s="74" t="s">
        <v>408</v>
      </c>
      <c r="G47" s="74" t="s">
        <v>408</v>
      </c>
      <c r="H47" s="74" t="s">
        <v>408</v>
      </c>
      <c r="I47" s="74" t="s">
        <v>408</v>
      </c>
      <c r="J47" s="74" t="s">
        <v>408</v>
      </c>
      <c r="K47" s="74" t="s">
        <v>408</v>
      </c>
      <c r="L47" s="74" t="s">
        <v>410</v>
      </c>
      <c r="M47" s="74" t="s">
        <v>410</v>
      </c>
      <c r="N47" s="74" t="s">
        <v>410</v>
      </c>
      <c r="O47" s="74" t="s">
        <v>410</v>
      </c>
      <c r="P47" s="13"/>
    </row>
    <row r="48" spans="2:28" ht="61.5" customHeight="1" x14ac:dyDescent="0.25">
      <c r="B48" s="532" t="s">
        <v>448</v>
      </c>
      <c r="C48" s="532"/>
      <c r="D48" s="532"/>
      <c r="E48" s="532"/>
      <c r="F48" s="532"/>
      <c r="G48" s="532"/>
      <c r="H48" s="532"/>
      <c r="I48" s="532"/>
      <c r="J48" s="532"/>
      <c r="K48" s="532"/>
      <c r="L48" s="532"/>
      <c r="M48" s="532"/>
      <c r="N48" s="532"/>
      <c r="O48" s="532"/>
    </row>
    <row r="49" spans="2:15" ht="61.5" customHeight="1" x14ac:dyDescent="0.25">
      <c r="B49" s="518"/>
      <c r="C49" s="518"/>
      <c r="D49" s="518"/>
      <c r="E49" s="518"/>
      <c r="F49" s="518"/>
      <c r="G49" s="518"/>
      <c r="H49" s="518"/>
      <c r="I49" s="518"/>
      <c r="J49" s="518"/>
      <c r="K49" s="518"/>
      <c r="L49" s="518"/>
      <c r="M49" s="518"/>
      <c r="N49" s="518"/>
      <c r="O49" s="518"/>
    </row>
    <row r="50" spans="2:15" ht="15" customHeight="1" x14ac:dyDescent="0.25"/>
    <row r="51" spans="2:15" ht="15" customHeight="1" x14ac:dyDescent="0.25"/>
    <row r="52" spans="2:15" ht="15" customHeight="1" x14ac:dyDescent="0.25"/>
    <row r="53" spans="2:15" ht="15" customHeight="1" x14ac:dyDescent="0.25"/>
    <row r="54" spans="2:15" ht="15" customHeight="1" x14ac:dyDescent="0.25"/>
    <row r="55" spans="2:15" ht="15" customHeight="1" x14ac:dyDescent="0.25"/>
    <row r="56" spans="2:15" ht="15" customHeight="1" x14ac:dyDescent="0.25"/>
    <row r="57" spans="2:15" ht="15" customHeight="1" x14ac:dyDescent="0.25"/>
  </sheetData>
  <sheetProtection algorithmName="SHA-512" hashValue="oQAhN6g/khqWY1iSZlZKHMCI/qxBIy8rZLp2z5gckHyJCCtcgyU2C0L5c5lKqboGQhud8LQOjHIumGuNba8Zdg==" saltValue="0Cfpc57jeT+TAoCWCuufzg==" spinCount="100000" sheet="1" objects="1" scenarios="1" formatColumns="0" formatRows="0"/>
  <mergeCells count="15">
    <mergeCell ref="A1:F1"/>
    <mergeCell ref="B4:B10"/>
    <mergeCell ref="C4:O4"/>
    <mergeCell ref="C11:O11"/>
    <mergeCell ref="B11:B17"/>
    <mergeCell ref="B18:B29"/>
    <mergeCell ref="C26:O26"/>
    <mergeCell ref="C30:O30"/>
    <mergeCell ref="C22:O22"/>
    <mergeCell ref="C18:O18"/>
    <mergeCell ref="C44:O44"/>
    <mergeCell ref="C40:O40"/>
    <mergeCell ref="B48:O49"/>
    <mergeCell ref="B30:B43"/>
    <mergeCell ref="B44:B4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9"/>
  <sheetViews>
    <sheetView showRuler="0" topLeftCell="A55" workbookViewId="0">
      <selection activeCell="A26" sqref="A26:XFD26"/>
    </sheetView>
  </sheetViews>
  <sheetFormatPr defaultColWidth="13.6640625" defaultRowHeight="13.2" x14ac:dyDescent="0.25"/>
  <cols>
    <col min="1" max="1" width="25.88671875" customWidth="1"/>
    <col min="2" max="3" width="19.88671875" customWidth="1"/>
    <col min="4" max="4" width="21.6640625" customWidth="1"/>
    <col min="5" max="5" width="29.88671875" customWidth="1"/>
    <col min="6" max="6" width="32.6640625" customWidth="1"/>
    <col min="7" max="8" width="34.33203125" customWidth="1"/>
    <col min="9" max="10" width="11.88671875" customWidth="1"/>
    <col min="11" max="11" width="14.33203125" customWidth="1"/>
    <col min="12" max="12" width="29.88671875" customWidth="1"/>
    <col min="13" max="13" width="51.44140625" customWidth="1"/>
    <col min="14" max="14" width="23.6640625" customWidth="1"/>
    <col min="15" max="15" width="69" customWidth="1"/>
    <col min="16" max="16" width="51.44140625" customWidth="1"/>
    <col min="17" max="17" width="91" customWidth="1"/>
    <col min="18" max="18" width="115.6640625" customWidth="1"/>
    <col min="20" max="20" width="33.88671875" customWidth="1"/>
    <col min="21" max="21" width="26.33203125" customWidth="1"/>
    <col min="27" max="27" width="35.5546875" customWidth="1"/>
  </cols>
  <sheetData>
    <row r="1" spans="1:18" ht="23.25" customHeight="1" x14ac:dyDescent="0.3">
      <c r="A1" s="595" t="s">
        <v>449</v>
      </c>
      <c r="B1" s="595"/>
      <c r="C1" s="595"/>
      <c r="D1" s="595"/>
      <c r="E1" s="595"/>
      <c r="F1" s="595"/>
      <c r="G1" s="17"/>
      <c r="H1" s="17"/>
      <c r="I1" s="17"/>
      <c r="J1" s="17"/>
      <c r="K1" s="17"/>
      <c r="L1" s="17"/>
    </row>
    <row r="2" spans="1:18" ht="23.25" customHeight="1" x14ac:dyDescent="0.3">
      <c r="B2" s="28"/>
      <c r="C2" s="28"/>
      <c r="D2" s="17"/>
      <c r="E2" s="17"/>
      <c r="F2" s="17"/>
      <c r="G2" s="2"/>
      <c r="H2" s="2"/>
      <c r="I2" s="2"/>
      <c r="J2" s="2"/>
      <c r="K2" s="2"/>
      <c r="L2" s="2"/>
    </row>
    <row r="3" spans="1:18" ht="40.950000000000003" customHeight="1" x14ac:dyDescent="0.3">
      <c r="A3" s="33" t="s">
        <v>69</v>
      </c>
      <c r="B3" s="5" t="s">
        <v>450</v>
      </c>
      <c r="C3" s="5" t="s">
        <v>451</v>
      </c>
      <c r="D3" s="13"/>
      <c r="K3" s="2"/>
    </row>
    <row r="4" spans="1:18" ht="23.25" customHeight="1" x14ac:dyDescent="0.3">
      <c r="A4" s="537" t="s">
        <v>245</v>
      </c>
      <c r="B4" s="23" t="s">
        <v>246</v>
      </c>
      <c r="C4" s="83">
        <v>175</v>
      </c>
      <c r="D4" s="13"/>
      <c r="K4" s="2"/>
    </row>
    <row r="5" spans="1:18" ht="23.25" customHeight="1" x14ac:dyDescent="0.3">
      <c r="A5" s="591"/>
      <c r="B5" s="32" t="s">
        <v>452</v>
      </c>
      <c r="C5" s="84">
        <v>151</v>
      </c>
      <c r="D5" s="13"/>
      <c r="K5" s="2"/>
    </row>
    <row r="6" spans="1:18" ht="23.25" customHeight="1" x14ac:dyDescent="0.3">
      <c r="A6" s="538"/>
      <c r="B6" s="85" t="s">
        <v>247</v>
      </c>
      <c r="C6" s="84">
        <v>24</v>
      </c>
      <c r="D6" s="13"/>
      <c r="K6" s="2"/>
    </row>
    <row r="7" spans="1:18" ht="23.25" customHeight="1" x14ac:dyDescent="0.3">
      <c r="A7" s="537" t="s">
        <v>251</v>
      </c>
      <c r="B7" s="23" t="s">
        <v>252</v>
      </c>
      <c r="C7" s="83">
        <v>27</v>
      </c>
      <c r="D7" s="13"/>
      <c r="K7" s="2"/>
    </row>
    <row r="8" spans="1:18" ht="23.25" customHeight="1" x14ac:dyDescent="0.3">
      <c r="A8" s="596"/>
      <c r="B8" s="85" t="s">
        <v>253</v>
      </c>
      <c r="C8" s="84">
        <v>24</v>
      </c>
      <c r="D8" s="13"/>
      <c r="K8" s="2"/>
    </row>
    <row r="9" spans="1:18" ht="23.25" customHeight="1" x14ac:dyDescent="0.3">
      <c r="A9" s="594"/>
      <c r="B9" s="85" t="s">
        <v>256</v>
      </c>
      <c r="C9" s="84">
        <v>3</v>
      </c>
      <c r="D9" s="13"/>
      <c r="K9" s="2"/>
    </row>
    <row r="10" spans="1:18" ht="23.25" customHeight="1" x14ac:dyDescent="0.3">
      <c r="A10" s="537" t="s">
        <v>213</v>
      </c>
      <c r="B10" s="23" t="s">
        <v>328</v>
      </c>
      <c r="C10" s="83">
        <v>4</v>
      </c>
      <c r="D10" s="13"/>
      <c r="K10" s="2"/>
    </row>
    <row r="11" spans="1:18" ht="23.25" customHeight="1" x14ac:dyDescent="0.3">
      <c r="A11" s="596"/>
      <c r="B11" s="85" t="s">
        <v>453</v>
      </c>
      <c r="C11" s="84">
        <v>4</v>
      </c>
      <c r="D11" s="13"/>
      <c r="K11" s="2"/>
    </row>
    <row r="12" spans="1:18" ht="23.25" customHeight="1" x14ac:dyDescent="0.3">
      <c r="A12" s="596"/>
      <c r="B12" s="23" t="s">
        <v>214</v>
      </c>
      <c r="C12" s="83">
        <v>1</v>
      </c>
      <c r="D12" s="13"/>
      <c r="K12" s="2"/>
    </row>
    <row r="13" spans="1:18" ht="23.25" customHeight="1" x14ac:dyDescent="0.3">
      <c r="A13" s="596"/>
      <c r="B13" s="85" t="s">
        <v>215</v>
      </c>
      <c r="C13" s="84">
        <v>1</v>
      </c>
      <c r="D13" s="13"/>
      <c r="E13" s="316"/>
      <c r="F13" s="316"/>
      <c r="G13" s="316"/>
      <c r="H13" s="316"/>
      <c r="I13" s="316"/>
      <c r="J13" s="316"/>
      <c r="K13" s="2"/>
    </row>
    <row r="14" spans="1:18" ht="23.25" customHeight="1" x14ac:dyDescent="0.3">
      <c r="A14" s="596"/>
      <c r="B14" s="23" t="s">
        <v>265</v>
      </c>
      <c r="C14" s="83">
        <v>11</v>
      </c>
      <c r="D14" s="13"/>
      <c r="E14" s="316"/>
      <c r="F14" s="316"/>
      <c r="G14" s="316"/>
      <c r="H14" s="316"/>
      <c r="I14" s="316"/>
      <c r="J14" s="316"/>
      <c r="K14" s="2"/>
      <c r="L14" s="316"/>
      <c r="M14" s="67"/>
      <c r="N14" s="67"/>
      <c r="O14" s="67"/>
      <c r="P14" s="67"/>
      <c r="Q14" s="67"/>
      <c r="R14" s="67"/>
    </row>
    <row r="15" spans="1:18" ht="23.25" customHeight="1" x14ac:dyDescent="0.3">
      <c r="A15" s="594"/>
      <c r="B15" s="85" t="s">
        <v>266</v>
      </c>
      <c r="C15" s="84">
        <v>11</v>
      </c>
      <c r="D15" s="13"/>
      <c r="E15" s="2"/>
      <c r="F15" s="2"/>
      <c r="G15" s="2"/>
      <c r="H15" s="2"/>
      <c r="I15" s="2"/>
      <c r="J15" s="2"/>
      <c r="K15" s="2"/>
      <c r="L15" s="2"/>
    </row>
    <row r="16" spans="1:18" ht="23.25" customHeight="1" x14ac:dyDescent="0.3">
      <c r="A16" s="537" t="s">
        <v>224</v>
      </c>
      <c r="B16" s="23" t="s">
        <v>225</v>
      </c>
      <c r="C16" s="83">
        <v>12</v>
      </c>
      <c r="D16" s="13"/>
      <c r="E16" s="2"/>
      <c r="F16" s="2"/>
      <c r="G16" s="2"/>
      <c r="H16" s="2"/>
      <c r="I16" s="2"/>
      <c r="J16" s="2"/>
      <c r="K16" s="2"/>
      <c r="L16" s="2"/>
    </row>
    <row r="17" spans="1:12" ht="23.25" customHeight="1" x14ac:dyDescent="0.3">
      <c r="A17" s="596"/>
      <c r="B17" s="85" t="s">
        <v>226</v>
      </c>
      <c r="C17" s="84">
        <v>3</v>
      </c>
      <c r="D17" s="13"/>
      <c r="E17" s="301"/>
      <c r="F17" s="2"/>
      <c r="G17" s="2"/>
      <c r="H17" s="2"/>
      <c r="I17" s="2"/>
      <c r="J17" s="2"/>
      <c r="K17" s="2"/>
      <c r="L17" s="2"/>
    </row>
    <row r="18" spans="1:12" ht="23.25" customHeight="1" x14ac:dyDescent="0.3">
      <c r="A18" s="596"/>
      <c r="B18" s="85" t="s">
        <v>454</v>
      </c>
      <c r="C18" s="84">
        <v>5</v>
      </c>
      <c r="D18" s="13"/>
      <c r="E18" s="2"/>
      <c r="F18" s="2"/>
      <c r="G18" s="2"/>
      <c r="H18" s="2"/>
      <c r="I18" s="2"/>
      <c r="J18" s="2"/>
      <c r="K18" s="2"/>
      <c r="L18" s="2"/>
    </row>
    <row r="19" spans="1:12" ht="23.25" customHeight="1" x14ac:dyDescent="0.3">
      <c r="A19" s="596"/>
      <c r="B19" s="85" t="s">
        <v>230</v>
      </c>
      <c r="C19" s="84">
        <v>4</v>
      </c>
      <c r="D19" s="13"/>
      <c r="E19" s="2"/>
      <c r="F19" s="2"/>
      <c r="G19" s="2"/>
      <c r="H19" s="2"/>
      <c r="I19" s="2"/>
      <c r="J19" s="2"/>
      <c r="K19" s="2"/>
      <c r="L19" s="2"/>
    </row>
    <row r="20" spans="1:12" ht="23.25" customHeight="1" x14ac:dyDescent="0.3">
      <c r="A20" s="596"/>
      <c r="B20" s="23" t="s">
        <v>276</v>
      </c>
      <c r="C20" s="83">
        <v>11</v>
      </c>
      <c r="D20" s="13"/>
      <c r="E20" s="2"/>
      <c r="F20" s="2"/>
      <c r="G20" s="2"/>
      <c r="H20" s="2"/>
      <c r="I20" s="2"/>
      <c r="J20" s="2"/>
      <c r="K20" s="2"/>
      <c r="L20" s="2"/>
    </row>
    <row r="21" spans="1:12" ht="23.25" customHeight="1" x14ac:dyDescent="0.3">
      <c r="A21" s="594"/>
      <c r="B21" s="85" t="s">
        <v>277</v>
      </c>
      <c r="C21" s="84">
        <v>11</v>
      </c>
      <c r="D21" s="13"/>
      <c r="E21" s="2"/>
      <c r="F21" s="301"/>
      <c r="G21" s="2"/>
      <c r="H21" s="2"/>
      <c r="I21" s="2"/>
      <c r="J21" s="2"/>
      <c r="K21" s="2"/>
      <c r="L21" s="2"/>
    </row>
    <row r="22" spans="1:12" ht="23.25" customHeight="1" x14ac:dyDescent="0.3">
      <c r="A22" s="537" t="s">
        <v>234</v>
      </c>
      <c r="B22" s="23" t="s">
        <v>235</v>
      </c>
      <c r="C22" s="83">
        <v>4</v>
      </c>
      <c r="D22" s="13"/>
      <c r="E22" s="2"/>
      <c r="F22" s="301"/>
      <c r="G22" s="2"/>
      <c r="H22" s="2"/>
      <c r="I22" s="2"/>
      <c r="J22" s="2"/>
      <c r="K22" s="2"/>
      <c r="L22" s="2"/>
    </row>
    <row r="23" spans="1:12" ht="23.25" customHeight="1" x14ac:dyDescent="0.3">
      <c r="A23" s="594"/>
      <c r="B23" s="85" t="s">
        <v>236</v>
      </c>
      <c r="C23" s="84">
        <v>4</v>
      </c>
      <c r="D23" s="13"/>
      <c r="E23" s="2"/>
      <c r="F23" s="301"/>
      <c r="G23" s="2"/>
      <c r="H23" s="2"/>
      <c r="I23" s="2"/>
      <c r="J23" s="2"/>
      <c r="K23" s="2"/>
      <c r="L23" s="2"/>
    </row>
    <row r="24" spans="1:12" ht="23.25" customHeight="1" x14ac:dyDescent="0.3">
      <c r="A24" s="6" t="s">
        <v>455</v>
      </c>
      <c r="B24" s="86" t="s">
        <v>318</v>
      </c>
      <c r="C24" s="87">
        <v>245</v>
      </c>
      <c r="D24" s="13"/>
      <c r="E24" s="2"/>
      <c r="F24" s="301"/>
      <c r="G24" s="2"/>
      <c r="H24" s="2"/>
      <c r="I24" s="2"/>
      <c r="J24" s="2"/>
      <c r="K24" s="2"/>
      <c r="L24" s="2"/>
    </row>
    <row r="25" spans="1:12" ht="90.75" customHeight="1" x14ac:dyDescent="0.3">
      <c r="A25" s="547" t="s">
        <v>456</v>
      </c>
      <c r="B25" s="547"/>
      <c r="C25" s="547"/>
      <c r="D25" s="2"/>
      <c r="E25" s="2"/>
      <c r="F25" s="301"/>
      <c r="G25" s="2"/>
      <c r="H25" s="2"/>
      <c r="I25" s="2"/>
      <c r="J25" s="2"/>
      <c r="K25" s="2"/>
      <c r="L25" s="2"/>
    </row>
    <row r="26" spans="1:12" ht="19.2" customHeight="1" x14ac:dyDescent="0.3">
      <c r="D26" s="2"/>
      <c r="G26" s="2"/>
      <c r="H26" s="2"/>
      <c r="I26" s="2"/>
      <c r="J26" s="2"/>
      <c r="K26" s="2"/>
      <c r="L26" s="2"/>
    </row>
    <row r="27" spans="1:12" ht="15" customHeight="1" x14ac:dyDescent="0.3">
      <c r="D27" s="318"/>
      <c r="G27" s="2"/>
      <c r="H27" s="2"/>
      <c r="I27" s="2"/>
      <c r="J27" s="2"/>
      <c r="K27" s="2"/>
      <c r="L27" s="2"/>
    </row>
    <row r="28" spans="1:12" ht="42.6" customHeight="1" x14ac:dyDescent="0.3">
      <c r="A28" s="49" t="s">
        <v>457</v>
      </c>
      <c r="B28" s="25">
        <v>2019</v>
      </c>
      <c r="C28" s="25">
        <v>2020</v>
      </c>
      <c r="D28" s="25">
        <v>2021</v>
      </c>
      <c r="E28" s="61" t="s">
        <v>458</v>
      </c>
      <c r="F28" s="61" t="s">
        <v>459</v>
      </c>
      <c r="G28" s="13"/>
      <c r="H28" s="2"/>
      <c r="I28" s="2"/>
      <c r="J28" s="2"/>
      <c r="K28" s="2"/>
      <c r="L28" s="2"/>
    </row>
    <row r="29" spans="1:12" ht="21.6" customHeight="1" x14ac:dyDescent="0.3">
      <c r="A29" s="40" t="s">
        <v>460</v>
      </c>
      <c r="B29" s="88">
        <v>1</v>
      </c>
      <c r="C29" s="88">
        <v>0</v>
      </c>
      <c r="D29" s="88">
        <v>0</v>
      </c>
      <c r="E29" s="88">
        <v>0</v>
      </c>
      <c r="F29" s="88">
        <v>0</v>
      </c>
      <c r="G29" s="13"/>
      <c r="H29" s="2"/>
      <c r="I29" s="2"/>
      <c r="J29" s="2"/>
      <c r="K29" s="2"/>
      <c r="L29" s="2"/>
    </row>
    <row r="30" spans="1:12" ht="21.6" customHeight="1" x14ac:dyDescent="0.3">
      <c r="A30" s="40" t="s">
        <v>461</v>
      </c>
      <c r="B30" s="88">
        <v>0</v>
      </c>
      <c r="C30" s="88">
        <v>0</v>
      </c>
      <c r="D30" s="88">
        <v>0</v>
      </c>
      <c r="E30" s="88">
        <v>1</v>
      </c>
      <c r="F30" s="88">
        <v>0</v>
      </c>
      <c r="G30" s="13"/>
      <c r="H30" s="2"/>
      <c r="I30" s="2"/>
      <c r="J30" s="2"/>
      <c r="K30" s="2"/>
      <c r="L30" s="2"/>
    </row>
    <row r="31" spans="1:12" ht="21.6" customHeight="1" x14ac:dyDescent="0.3">
      <c r="A31" s="40" t="s">
        <v>462</v>
      </c>
      <c r="B31" s="88">
        <v>3</v>
      </c>
      <c r="C31" s="88">
        <v>0</v>
      </c>
      <c r="D31" s="88">
        <v>1</v>
      </c>
      <c r="E31" s="88">
        <v>5</v>
      </c>
      <c r="F31" s="88">
        <v>4</v>
      </c>
      <c r="G31" s="13"/>
      <c r="H31" s="2"/>
      <c r="I31" s="2"/>
      <c r="J31" s="2"/>
      <c r="K31" s="2"/>
      <c r="L31" s="2"/>
    </row>
    <row r="32" spans="1:12" ht="21.6" customHeight="1" x14ac:dyDescent="0.3">
      <c r="A32" s="40" t="s">
        <v>463</v>
      </c>
      <c r="B32" s="88">
        <v>3</v>
      </c>
      <c r="C32" s="88">
        <v>3</v>
      </c>
      <c r="D32" s="88">
        <v>2</v>
      </c>
      <c r="E32" s="88">
        <v>1</v>
      </c>
      <c r="F32" s="88">
        <v>3</v>
      </c>
      <c r="G32" s="13"/>
      <c r="H32" s="2"/>
      <c r="I32" s="2"/>
      <c r="J32" s="2"/>
      <c r="K32" s="2"/>
      <c r="L32" s="2"/>
    </row>
    <row r="33" spans="1:12" ht="21.6" customHeight="1" x14ac:dyDescent="0.3">
      <c r="A33" s="40" t="s">
        <v>464</v>
      </c>
      <c r="B33" s="88">
        <v>74</v>
      </c>
      <c r="C33" s="88">
        <v>1077</v>
      </c>
      <c r="D33" s="88">
        <v>202</v>
      </c>
      <c r="E33" s="88">
        <v>311</v>
      </c>
      <c r="F33" s="88">
        <v>238</v>
      </c>
      <c r="G33" s="13"/>
      <c r="H33" s="2"/>
      <c r="I33" s="2"/>
      <c r="J33" s="2"/>
      <c r="K33" s="2"/>
      <c r="L33" s="2"/>
    </row>
    <row r="34" spans="1:12" ht="21.6" customHeight="1" x14ac:dyDescent="0.3">
      <c r="A34" s="40" t="s">
        <v>318</v>
      </c>
      <c r="B34" s="89">
        <v>171</v>
      </c>
      <c r="C34" s="89">
        <v>1225</v>
      </c>
      <c r="D34" s="89">
        <v>214</v>
      </c>
      <c r="E34" s="89">
        <v>318</v>
      </c>
      <c r="F34" s="89">
        <v>245</v>
      </c>
      <c r="G34" s="13"/>
      <c r="H34" s="2"/>
      <c r="I34" s="2"/>
      <c r="J34" s="2"/>
      <c r="K34" s="2"/>
      <c r="L34" s="2"/>
    </row>
    <row r="35" spans="1:12" ht="60.75" customHeight="1" x14ac:dyDescent="0.3">
      <c r="A35" s="547" t="s">
        <v>465</v>
      </c>
      <c r="B35" s="547"/>
      <c r="C35" s="547"/>
      <c r="D35" s="547"/>
      <c r="E35" s="547"/>
      <c r="F35" s="547"/>
      <c r="G35" s="301"/>
      <c r="H35" s="2"/>
      <c r="I35" s="2"/>
      <c r="J35" s="2"/>
      <c r="K35" s="2"/>
      <c r="L35" s="2"/>
    </row>
    <row r="36" spans="1:12" ht="32.4" customHeight="1" x14ac:dyDescent="0.3">
      <c r="A36" s="27"/>
      <c r="B36" s="27"/>
      <c r="C36" s="27"/>
      <c r="D36" s="27"/>
      <c r="E36" s="27"/>
      <c r="F36" s="27"/>
      <c r="G36" s="301"/>
      <c r="H36" s="2"/>
      <c r="I36" s="2"/>
      <c r="J36" s="2"/>
      <c r="K36" s="2"/>
      <c r="L36" s="2"/>
    </row>
    <row r="37" spans="1:12" ht="22.5" customHeight="1" x14ac:dyDescent="0.3">
      <c r="F37" s="301"/>
      <c r="G37" s="301"/>
      <c r="H37" s="2"/>
      <c r="I37" s="2"/>
      <c r="J37" s="2"/>
      <c r="K37" s="2"/>
      <c r="L37" s="2"/>
    </row>
    <row r="38" spans="1:12" ht="47.25" customHeight="1" x14ac:dyDescent="0.3">
      <c r="A38" s="4" t="s">
        <v>466</v>
      </c>
      <c r="B38" s="5" t="s">
        <v>450</v>
      </c>
      <c r="C38" s="22" t="s">
        <v>467</v>
      </c>
      <c r="D38" s="22" t="s">
        <v>468</v>
      </c>
      <c r="E38" s="22" t="s">
        <v>469</v>
      </c>
      <c r="F38" s="22" t="s">
        <v>470</v>
      </c>
      <c r="G38" s="22" t="s">
        <v>471</v>
      </c>
      <c r="H38" s="13"/>
      <c r="I38" s="2"/>
      <c r="J38" s="2"/>
      <c r="K38" s="2"/>
      <c r="L38" s="2"/>
    </row>
    <row r="39" spans="1:12" ht="15.75" customHeight="1" x14ac:dyDescent="0.3">
      <c r="A39" s="536" t="s">
        <v>245</v>
      </c>
      <c r="B39" s="23" t="s">
        <v>246</v>
      </c>
      <c r="C39" s="90">
        <v>84.9</v>
      </c>
      <c r="D39" s="23"/>
      <c r="E39" s="23"/>
      <c r="F39" s="23"/>
      <c r="G39" s="23"/>
      <c r="H39" s="13"/>
      <c r="I39" s="2"/>
      <c r="J39" s="2"/>
      <c r="K39" s="2"/>
      <c r="L39" s="2"/>
    </row>
    <row r="40" spans="1:12" ht="204.15" customHeight="1" x14ac:dyDescent="0.3">
      <c r="A40" s="536"/>
      <c r="B40" s="85" t="s">
        <v>472</v>
      </c>
      <c r="C40" s="91">
        <v>84.9</v>
      </c>
      <c r="D40" s="92" t="s">
        <v>473</v>
      </c>
      <c r="E40" s="92" t="s">
        <v>474</v>
      </c>
      <c r="F40" s="92" t="s">
        <v>475</v>
      </c>
      <c r="G40" s="92" t="s">
        <v>476</v>
      </c>
      <c r="H40" s="13"/>
      <c r="I40" s="2"/>
      <c r="J40" s="2"/>
      <c r="K40" s="2"/>
      <c r="L40" s="2"/>
    </row>
    <row r="41" spans="1:12" ht="15.75" customHeight="1" x14ac:dyDescent="0.3">
      <c r="A41" s="536" t="s">
        <v>251</v>
      </c>
      <c r="B41" s="23" t="s">
        <v>252</v>
      </c>
      <c r="C41" s="90">
        <v>6290.5</v>
      </c>
      <c r="D41" s="23"/>
      <c r="E41" s="23"/>
      <c r="F41" s="23"/>
      <c r="G41" s="23"/>
      <c r="H41" s="13"/>
      <c r="I41" s="2"/>
      <c r="J41" s="2"/>
      <c r="K41" s="2"/>
      <c r="L41" s="2"/>
    </row>
    <row r="42" spans="1:12" ht="249.15" customHeight="1" x14ac:dyDescent="0.3">
      <c r="A42" s="536"/>
      <c r="B42" s="85" t="s">
        <v>253</v>
      </c>
      <c r="C42" s="91">
        <v>4487.37</v>
      </c>
      <c r="D42" s="92" t="s">
        <v>477</v>
      </c>
      <c r="E42" s="92" t="s">
        <v>478</v>
      </c>
      <c r="F42" s="92" t="s">
        <v>479</v>
      </c>
      <c r="G42" s="92" t="s">
        <v>480</v>
      </c>
      <c r="H42" s="13"/>
      <c r="I42" s="2"/>
      <c r="J42" s="2"/>
      <c r="K42" s="2"/>
      <c r="L42" s="2"/>
    </row>
    <row r="43" spans="1:12" ht="215.85" customHeight="1" x14ac:dyDescent="0.3">
      <c r="A43" s="536"/>
      <c r="B43" s="85" t="s">
        <v>256</v>
      </c>
      <c r="C43" s="91">
        <v>1803.13</v>
      </c>
      <c r="D43" s="92" t="s">
        <v>477</v>
      </c>
      <c r="E43" s="92" t="s">
        <v>481</v>
      </c>
      <c r="F43" s="72" t="s">
        <v>482</v>
      </c>
      <c r="G43" s="92" t="s">
        <v>483</v>
      </c>
      <c r="H43" s="13"/>
      <c r="I43" s="2"/>
      <c r="J43" s="2"/>
      <c r="K43" s="2"/>
      <c r="L43" s="2"/>
    </row>
    <row r="44" spans="1:12" ht="15.75" customHeight="1" x14ac:dyDescent="0.3">
      <c r="A44" s="536" t="s">
        <v>213</v>
      </c>
      <c r="B44" s="23" t="s">
        <v>328</v>
      </c>
      <c r="C44" s="90">
        <v>16.41</v>
      </c>
      <c r="D44" s="23"/>
      <c r="E44" s="23"/>
      <c r="F44" s="23"/>
      <c r="G44" s="23"/>
      <c r="H44" s="13"/>
      <c r="I44" s="2"/>
      <c r="J44" s="2"/>
      <c r="K44" s="2"/>
      <c r="L44" s="2"/>
    </row>
    <row r="45" spans="1:12" ht="70.95" customHeight="1" x14ac:dyDescent="0.3">
      <c r="A45" s="536"/>
      <c r="B45" s="85" t="s">
        <v>453</v>
      </c>
      <c r="C45" s="91">
        <v>16.41</v>
      </c>
      <c r="D45" s="92" t="s">
        <v>473</v>
      </c>
      <c r="E45" s="92" t="s">
        <v>484</v>
      </c>
      <c r="F45" s="93" t="s">
        <v>485</v>
      </c>
      <c r="G45" s="93" t="s">
        <v>486</v>
      </c>
      <c r="H45" s="13"/>
      <c r="I45" s="2"/>
      <c r="J45" s="2"/>
      <c r="K45" s="2"/>
      <c r="L45" s="2"/>
    </row>
    <row r="46" spans="1:12" ht="15.75" customHeight="1" x14ac:dyDescent="0.3">
      <c r="A46" s="536"/>
      <c r="B46" s="23" t="s">
        <v>265</v>
      </c>
      <c r="C46" s="90">
        <v>2414.65</v>
      </c>
      <c r="D46" s="23"/>
      <c r="E46" s="23"/>
      <c r="F46" s="23"/>
      <c r="G46" s="23"/>
      <c r="H46" s="13"/>
      <c r="I46" s="2"/>
      <c r="J46" s="2"/>
      <c r="K46" s="2"/>
      <c r="L46" s="2"/>
    </row>
    <row r="47" spans="1:12" ht="115.95" customHeight="1" x14ac:dyDescent="0.3">
      <c r="A47" s="536"/>
      <c r="B47" s="85" t="s">
        <v>266</v>
      </c>
      <c r="C47" s="91">
        <v>2414.65</v>
      </c>
      <c r="D47" s="92" t="s">
        <v>487</v>
      </c>
      <c r="E47" s="92" t="s">
        <v>488</v>
      </c>
      <c r="F47" s="92" t="s">
        <v>489</v>
      </c>
      <c r="G47" s="92" t="s">
        <v>490</v>
      </c>
      <c r="H47" s="13"/>
      <c r="I47" s="2"/>
      <c r="J47" s="2"/>
      <c r="K47" s="2"/>
      <c r="L47" s="2"/>
    </row>
    <row r="48" spans="1:12" ht="15.75" customHeight="1" x14ac:dyDescent="0.3">
      <c r="A48" s="536" t="s">
        <v>224</v>
      </c>
      <c r="B48" s="23" t="s">
        <v>225</v>
      </c>
      <c r="C48" s="90">
        <v>608.66999999999996</v>
      </c>
      <c r="D48" s="23"/>
      <c r="E48" s="23"/>
      <c r="F48" s="23"/>
      <c r="G48" s="23"/>
      <c r="H48" s="13"/>
      <c r="I48" s="2"/>
      <c r="J48" s="2"/>
      <c r="K48" s="2"/>
      <c r="L48" s="2"/>
    </row>
    <row r="49" spans="1:12" ht="150" customHeight="1" x14ac:dyDescent="0.3">
      <c r="A49" s="536"/>
      <c r="B49" s="85" t="s">
        <v>226</v>
      </c>
      <c r="C49" s="91">
        <v>357.57</v>
      </c>
      <c r="D49" s="92" t="s">
        <v>473</v>
      </c>
      <c r="E49" s="92" t="s">
        <v>491</v>
      </c>
      <c r="F49" s="93" t="s">
        <v>492</v>
      </c>
      <c r="G49" s="93" t="s">
        <v>493</v>
      </c>
      <c r="H49" s="13"/>
      <c r="I49" s="2"/>
      <c r="J49" s="2"/>
      <c r="K49" s="2"/>
      <c r="L49" s="2"/>
    </row>
    <row r="50" spans="1:12" ht="104.1" customHeight="1" x14ac:dyDescent="0.3">
      <c r="A50" s="536"/>
      <c r="B50" s="85" t="s">
        <v>494</v>
      </c>
      <c r="C50" s="91">
        <v>0</v>
      </c>
      <c r="D50" s="92" t="s">
        <v>495</v>
      </c>
      <c r="E50" s="92" t="s">
        <v>496</v>
      </c>
      <c r="F50" s="72" t="s">
        <v>497</v>
      </c>
      <c r="G50" s="93" t="s">
        <v>498</v>
      </c>
      <c r="H50" s="13"/>
      <c r="I50" s="2"/>
      <c r="J50" s="2"/>
      <c r="K50" s="2"/>
      <c r="L50" s="2"/>
    </row>
    <row r="51" spans="1:12" ht="146.25" customHeight="1" x14ac:dyDescent="0.3">
      <c r="A51" s="536"/>
      <c r="B51" s="85" t="s">
        <v>230</v>
      </c>
      <c r="C51" s="91">
        <v>251.1</v>
      </c>
      <c r="D51" s="92" t="s">
        <v>473</v>
      </c>
      <c r="E51" s="92" t="s">
        <v>499</v>
      </c>
      <c r="F51" s="72" t="s">
        <v>500</v>
      </c>
      <c r="G51" s="93" t="s">
        <v>501</v>
      </c>
      <c r="H51" s="13"/>
      <c r="I51" s="2"/>
      <c r="J51" s="2"/>
      <c r="K51" s="2"/>
      <c r="L51" s="2"/>
    </row>
    <row r="52" spans="1:12" ht="15.75" customHeight="1" x14ac:dyDescent="0.3">
      <c r="A52" s="536"/>
      <c r="B52" s="23" t="s">
        <v>276</v>
      </c>
      <c r="C52" s="90">
        <v>22.38</v>
      </c>
      <c r="D52" s="23"/>
      <c r="E52" s="23"/>
      <c r="F52" s="23"/>
      <c r="G52" s="23"/>
      <c r="H52" s="13"/>
      <c r="I52" s="2"/>
      <c r="J52" s="2"/>
      <c r="K52" s="2"/>
      <c r="L52" s="2"/>
    </row>
    <row r="53" spans="1:12" ht="82.5" customHeight="1" x14ac:dyDescent="0.3">
      <c r="A53" s="536"/>
      <c r="B53" s="85" t="s">
        <v>277</v>
      </c>
      <c r="C53" s="91">
        <v>22.38</v>
      </c>
      <c r="D53" s="92" t="s">
        <v>473</v>
      </c>
      <c r="E53" s="92" t="s">
        <v>502</v>
      </c>
      <c r="F53" s="72" t="s">
        <v>503</v>
      </c>
      <c r="G53" s="72" t="s">
        <v>504</v>
      </c>
      <c r="H53" s="13"/>
      <c r="I53" s="2"/>
      <c r="J53" s="2"/>
      <c r="K53" s="2"/>
      <c r="L53" s="2"/>
    </row>
    <row r="54" spans="1:12" ht="15.75" customHeight="1" x14ac:dyDescent="0.3">
      <c r="A54" s="536" t="s">
        <v>234</v>
      </c>
      <c r="B54" s="23" t="s">
        <v>235</v>
      </c>
      <c r="C54" s="90">
        <v>0</v>
      </c>
      <c r="D54" s="23"/>
      <c r="E54" s="23"/>
      <c r="F54" s="23"/>
      <c r="G54" s="23"/>
      <c r="H54" s="13"/>
      <c r="I54" s="2"/>
      <c r="J54" s="2"/>
      <c r="K54" s="2"/>
      <c r="L54" s="2"/>
    </row>
    <row r="55" spans="1:12" ht="159.9" customHeight="1" x14ac:dyDescent="0.3">
      <c r="A55" s="536"/>
      <c r="B55" s="85" t="s">
        <v>236</v>
      </c>
      <c r="C55" s="91">
        <v>0</v>
      </c>
      <c r="D55" s="94" t="s">
        <v>495</v>
      </c>
      <c r="E55" s="92" t="s">
        <v>505</v>
      </c>
      <c r="F55" s="92" t="s">
        <v>506</v>
      </c>
      <c r="G55" s="92" t="s">
        <v>507</v>
      </c>
      <c r="H55" s="13"/>
      <c r="I55" s="2"/>
      <c r="J55" s="2"/>
      <c r="K55" s="2"/>
      <c r="L55" s="2"/>
    </row>
    <row r="56" spans="1:12" ht="69.150000000000006" customHeight="1" x14ac:dyDescent="0.25">
      <c r="A56" s="532" t="s">
        <v>508</v>
      </c>
      <c r="B56" s="532"/>
      <c r="C56" s="532"/>
      <c r="D56" s="532"/>
      <c r="E56" s="532"/>
      <c r="F56" s="532"/>
      <c r="G56" s="532"/>
      <c r="H56" s="27"/>
      <c r="I56" s="27"/>
    </row>
    <row r="57" spans="1:12" ht="15" customHeight="1" x14ac:dyDescent="0.3">
      <c r="A57" s="3"/>
      <c r="B57" s="232"/>
    </row>
    <row r="58" spans="1:12" ht="15" customHeight="1" x14ac:dyDescent="0.3">
      <c r="B58" s="312"/>
    </row>
    <row r="59" spans="1:12" ht="37.5" customHeight="1" x14ac:dyDescent="0.3">
      <c r="A59" s="33" t="s">
        <v>509</v>
      </c>
      <c r="B59" s="5" t="s">
        <v>207</v>
      </c>
      <c r="C59" s="95" t="s">
        <v>510</v>
      </c>
      <c r="D59" s="95" t="s">
        <v>511</v>
      </c>
      <c r="E59" s="95" t="s">
        <v>512</v>
      </c>
      <c r="F59" s="95" t="s">
        <v>513</v>
      </c>
      <c r="G59" s="13"/>
    </row>
    <row r="60" spans="1:12" ht="15" customHeight="1" x14ac:dyDescent="0.3">
      <c r="A60" s="536" t="s">
        <v>245</v>
      </c>
      <c r="B60" s="23" t="s">
        <v>246</v>
      </c>
      <c r="C60" s="23"/>
      <c r="D60" s="23"/>
      <c r="E60" s="23"/>
      <c r="F60" s="23"/>
      <c r="G60" s="13"/>
    </row>
    <row r="61" spans="1:12" ht="15" customHeight="1" x14ac:dyDescent="0.3">
      <c r="A61" s="536"/>
      <c r="B61" s="39" t="s">
        <v>514</v>
      </c>
      <c r="C61" s="96" t="s">
        <v>515</v>
      </c>
      <c r="D61" s="74"/>
      <c r="E61" s="74"/>
      <c r="F61" s="74"/>
      <c r="G61" s="13"/>
    </row>
    <row r="62" spans="1:12" ht="15" customHeight="1" x14ac:dyDescent="0.3">
      <c r="A62" s="536"/>
      <c r="B62" s="97" t="s">
        <v>247</v>
      </c>
      <c r="C62" s="96" t="s">
        <v>515</v>
      </c>
      <c r="D62" s="74"/>
      <c r="E62" s="96"/>
      <c r="F62" s="74"/>
      <c r="G62" s="13"/>
    </row>
    <row r="63" spans="1:12" ht="15" customHeight="1" x14ac:dyDescent="0.3">
      <c r="A63" s="536" t="s">
        <v>251</v>
      </c>
      <c r="B63" s="542" t="s">
        <v>252</v>
      </c>
      <c r="C63" s="542"/>
      <c r="D63" s="542"/>
      <c r="E63" s="542"/>
      <c r="F63" s="542"/>
      <c r="G63" s="13"/>
    </row>
    <row r="64" spans="1:12" ht="15" customHeight="1" x14ac:dyDescent="0.3">
      <c r="A64" s="536"/>
      <c r="B64" s="39" t="s">
        <v>253</v>
      </c>
      <c r="C64" s="74"/>
      <c r="D64" s="74"/>
      <c r="E64" s="96" t="s">
        <v>515</v>
      </c>
      <c r="F64" s="74"/>
      <c r="G64" s="13"/>
    </row>
    <row r="65" spans="1:9" ht="15" customHeight="1" x14ac:dyDescent="0.3">
      <c r="A65" s="536"/>
      <c r="B65" s="39" t="s">
        <v>256</v>
      </c>
      <c r="C65" s="74"/>
      <c r="D65" s="74"/>
      <c r="E65" s="96" t="s">
        <v>515</v>
      </c>
      <c r="F65" s="74"/>
      <c r="G65" s="13"/>
    </row>
    <row r="66" spans="1:9" ht="15" customHeight="1" x14ac:dyDescent="0.3">
      <c r="A66" s="536" t="s">
        <v>213</v>
      </c>
      <c r="B66" s="542" t="s">
        <v>328</v>
      </c>
      <c r="C66" s="542"/>
      <c r="D66" s="542"/>
      <c r="E66" s="542"/>
      <c r="F66" s="542"/>
      <c r="G66" s="13"/>
    </row>
    <row r="67" spans="1:9" ht="15" customHeight="1" x14ac:dyDescent="0.3">
      <c r="A67" s="536"/>
      <c r="B67" s="39" t="s">
        <v>453</v>
      </c>
      <c r="C67" s="74"/>
      <c r="D67" s="96" t="s">
        <v>515</v>
      </c>
      <c r="E67" s="96"/>
      <c r="F67" s="74"/>
      <c r="G67" s="13"/>
    </row>
    <row r="68" spans="1:9" ht="15" customHeight="1" x14ac:dyDescent="0.3">
      <c r="A68" s="536"/>
      <c r="B68" s="542" t="s">
        <v>214</v>
      </c>
      <c r="C68" s="542"/>
      <c r="D68" s="542"/>
      <c r="E68" s="542"/>
      <c r="F68" s="542"/>
      <c r="G68" s="13"/>
    </row>
    <row r="69" spans="1:9" ht="15" customHeight="1" x14ac:dyDescent="0.3">
      <c r="A69" s="536"/>
      <c r="B69" s="39" t="s">
        <v>215</v>
      </c>
      <c r="C69" s="74"/>
      <c r="D69" s="96" t="s">
        <v>515</v>
      </c>
      <c r="E69" s="74"/>
      <c r="F69" s="74"/>
      <c r="G69" s="13"/>
    </row>
    <row r="70" spans="1:9" ht="15" customHeight="1" x14ac:dyDescent="0.3">
      <c r="A70" s="536"/>
      <c r="B70" s="542" t="s">
        <v>265</v>
      </c>
      <c r="C70" s="542"/>
      <c r="D70" s="542"/>
      <c r="E70" s="542"/>
      <c r="F70" s="539"/>
      <c r="G70" s="2"/>
    </row>
    <row r="71" spans="1:9" ht="15" customHeight="1" x14ac:dyDescent="0.3">
      <c r="A71" s="536"/>
      <c r="B71" s="39" t="s">
        <v>266</v>
      </c>
      <c r="C71" s="96" t="s">
        <v>515</v>
      </c>
      <c r="D71" s="74"/>
      <c r="E71" s="74"/>
      <c r="F71" s="74"/>
      <c r="G71" s="13"/>
      <c r="I71" s="2"/>
    </row>
    <row r="72" spans="1:9" ht="15" customHeight="1" x14ac:dyDescent="0.3">
      <c r="A72" s="536" t="s">
        <v>224</v>
      </c>
      <c r="B72" s="542" t="s">
        <v>225</v>
      </c>
      <c r="C72" s="542"/>
      <c r="D72" s="542"/>
      <c r="E72" s="542"/>
      <c r="F72" s="542"/>
      <c r="G72" s="13"/>
    </row>
    <row r="73" spans="1:9" ht="15" customHeight="1" x14ac:dyDescent="0.3">
      <c r="A73" s="536"/>
      <c r="B73" s="39" t="s">
        <v>226</v>
      </c>
      <c r="C73" s="74"/>
      <c r="D73" s="96"/>
      <c r="E73" s="96" t="s">
        <v>515</v>
      </c>
      <c r="F73" s="74"/>
      <c r="G73" s="13"/>
    </row>
    <row r="74" spans="1:9" ht="15" customHeight="1" x14ac:dyDescent="0.3">
      <c r="A74" s="536"/>
      <c r="B74" s="39" t="s">
        <v>454</v>
      </c>
      <c r="C74" s="96"/>
      <c r="D74" s="96" t="s">
        <v>515</v>
      </c>
      <c r="E74" s="96"/>
      <c r="F74" s="74"/>
      <c r="G74" s="13"/>
    </row>
    <row r="75" spans="1:9" ht="15" customHeight="1" x14ac:dyDescent="0.3">
      <c r="A75" s="536"/>
      <c r="B75" s="39" t="s">
        <v>230</v>
      </c>
      <c r="C75" s="96"/>
      <c r="D75" s="96" t="s">
        <v>515</v>
      </c>
      <c r="E75" s="96"/>
      <c r="F75" s="74"/>
      <c r="G75" s="13"/>
    </row>
    <row r="76" spans="1:9" ht="15" customHeight="1" x14ac:dyDescent="0.3">
      <c r="A76" s="536"/>
      <c r="B76" s="23" t="s">
        <v>276</v>
      </c>
      <c r="C76" s="98"/>
      <c r="D76" s="98"/>
      <c r="E76" s="98"/>
      <c r="F76" s="98"/>
      <c r="G76" s="13"/>
    </row>
    <row r="77" spans="1:9" ht="15" customHeight="1" x14ac:dyDescent="0.3">
      <c r="A77" s="536"/>
      <c r="B77" s="39" t="s">
        <v>277</v>
      </c>
      <c r="C77" s="74"/>
      <c r="D77" s="96"/>
      <c r="E77" s="96" t="s">
        <v>515</v>
      </c>
      <c r="F77" s="74"/>
      <c r="G77" s="13"/>
    </row>
    <row r="78" spans="1:9" ht="15" customHeight="1" x14ac:dyDescent="0.3">
      <c r="A78" s="536" t="s">
        <v>234</v>
      </c>
      <c r="B78" s="542" t="s">
        <v>235</v>
      </c>
      <c r="C78" s="542"/>
      <c r="D78" s="542"/>
      <c r="E78" s="542"/>
      <c r="F78" s="542"/>
      <c r="G78" s="13"/>
    </row>
    <row r="79" spans="1:9" ht="15" customHeight="1" x14ac:dyDescent="0.3">
      <c r="A79" s="536"/>
      <c r="B79" s="39" t="s">
        <v>236</v>
      </c>
      <c r="C79" s="74"/>
      <c r="D79" s="74"/>
      <c r="E79" s="74"/>
      <c r="F79" s="96" t="s">
        <v>515</v>
      </c>
      <c r="G79" s="13"/>
    </row>
    <row r="80" spans="1:9" ht="15" customHeight="1" x14ac:dyDescent="0.3">
      <c r="A80" s="6" t="s">
        <v>455</v>
      </c>
      <c r="B80" s="86" t="s">
        <v>318</v>
      </c>
      <c r="C80" s="99">
        <v>0.25</v>
      </c>
      <c r="D80" s="99">
        <v>0.33333333333333298</v>
      </c>
      <c r="E80" s="99">
        <v>0.33333333333333298</v>
      </c>
      <c r="F80" s="99">
        <v>8.3333333333333301E-2</v>
      </c>
      <c r="G80" s="13"/>
    </row>
    <row r="81" spans="1:6" ht="16.649999999999999" customHeight="1" x14ac:dyDescent="0.25">
      <c r="A81" s="532" t="s">
        <v>516</v>
      </c>
      <c r="B81" s="532"/>
      <c r="C81" s="532"/>
      <c r="D81" s="532"/>
      <c r="E81" s="532"/>
      <c r="F81" s="532"/>
    </row>
    <row r="82" spans="1:6" ht="16.649999999999999" customHeight="1" x14ac:dyDescent="0.25">
      <c r="A82" s="518"/>
      <c r="B82" s="518"/>
      <c r="C82" s="518"/>
      <c r="D82" s="518"/>
      <c r="E82" s="518"/>
      <c r="F82" s="518"/>
    </row>
    <row r="83" spans="1:6" ht="16.649999999999999" customHeight="1" x14ac:dyDescent="0.25"/>
    <row r="84" spans="1:6" ht="16.649999999999999" customHeight="1" x14ac:dyDescent="0.25"/>
    <row r="85" spans="1:6" ht="59.1" hidden="1" customHeight="1" x14ac:dyDescent="0.3">
      <c r="A85" s="320" t="s">
        <v>517</v>
      </c>
      <c r="B85" s="54" t="s">
        <v>207</v>
      </c>
      <c r="C85" s="233" t="s">
        <v>518</v>
      </c>
      <c r="D85" s="2"/>
    </row>
    <row r="86" spans="1:6" ht="16.649999999999999" hidden="1" customHeight="1" x14ac:dyDescent="0.3">
      <c r="A86" s="593" t="s">
        <v>245</v>
      </c>
      <c r="B86" s="322" t="s">
        <v>246</v>
      </c>
      <c r="C86" s="322"/>
      <c r="D86" s="2"/>
    </row>
    <row r="87" spans="1:6" ht="20.85" hidden="1" customHeight="1" x14ac:dyDescent="0.3">
      <c r="A87" s="593"/>
      <c r="B87" s="323" t="s">
        <v>519</v>
      </c>
      <c r="C87" s="324" t="s">
        <v>510</v>
      </c>
      <c r="D87" s="2"/>
    </row>
    <row r="88" spans="1:6" ht="23.25" hidden="1" customHeight="1" x14ac:dyDescent="0.3">
      <c r="A88" s="593"/>
      <c r="B88" s="325" t="s">
        <v>247</v>
      </c>
      <c r="C88" s="326" t="s">
        <v>510</v>
      </c>
      <c r="D88" s="2"/>
    </row>
    <row r="89" spans="1:6" ht="16.649999999999999" hidden="1" customHeight="1" x14ac:dyDescent="0.3">
      <c r="A89" s="593" t="s">
        <v>251</v>
      </c>
      <c r="B89" s="322" t="s">
        <v>252</v>
      </c>
      <c r="C89" s="322"/>
      <c r="D89" s="2"/>
    </row>
    <row r="90" spans="1:6" ht="16.649999999999999" hidden="1" customHeight="1" x14ac:dyDescent="0.3">
      <c r="A90" s="593"/>
      <c r="B90" s="323" t="s">
        <v>253</v>
      </c>
      <c r="C90" s="327" t="s">
        <v>512</v>
      </c>
      <c r="D90" s="2"/>
    </row>
    <row r="91" spans="1:6" ht="16.649999999999999" hidden="1" customHeight="1" x14ac:dyDescent="0.3">
      <c r="A91" s="593"/>
      <c r="B91" s="323" t="s">
        <v>256</v>
      </c>
      <c r="C91" s="327" t="s">
        <v>512</v>
      </c>
      <c r="D91" s="2"/>
    </row>
    <row r="92" spans="1:6" ht="16.649999999999999" hidden="1" customHeight="1" x14ac:dyDescent="0.3">
      <c r="A92" s="593" t="s">
        <v>213</v>
      </c>
      <c r="B92" s="322" t="s">
        <v>328</v>
      </c>
      <c r="C92" s="322"/>
      <c r="D92" s="2"/>
    </row>
    <row r="93" spans="1:6" ht="16.649999999999999" hidden="1" customHeight="1" x14ac:dyDescent="0.3">
      <c r="A93" s="593"/>
      <c r="B93" s="323" t="s">
        <v>453</v>
      </c>
      <c r="C93" s="327" t="s">
        <v>511</v>
      </c>
      <c r="D93" s="2"/>
    </row>
    <row r="94" spans="1:6" ht="16.649999999999999" hidden="1" customHeight="1" x14ac:dyDescent="0.3">
      <c r="A94" s="593"/>
      <c r="B94" s="322" t="s">
        <v>214</v>
      </c>
      <c r="C94" s="322"/>
      <c r="D94" s="2"/>
      <c r="E94" s="2"/>
    </row>
    <row r="95" spans="1:6" ht="16.649999999999999" hidden="1" customHeight="1" x14ac:dyDescent="0.3">
      <c r="A95" s="593"/>
      <c r="B95" s="323" t="s">
        <v>215</v>
      </c>
      <c r="C95" s="327" t="s">
        <v>511</v>
      </c>
      <c r="D95" s="2"/>
      <c r="E95" s="2"/>
    </row>
    <row r="96" spans="1:6" ht="16.649999999999999" hidden="1" customHeight="1" x14ac:dyDescent="0.3">
      <c r="A96" s="593"/>
      <c r="B96" s="322" t="s">
        <v>265</v>
      </c>
      <c r="C96" s="322"/>
      <c r="D96" s="2"/>
    </row>
    <row r="97" spans="1:6" ht="16.649999999999999" hidden="1" customHeight="1" x14ac:dyDescent="0.3">
      <c r="A97" s="593"/>
      <c r="B97" s="323" t="s">
        <v>266</v>
      </c>
      <c r="C97" s="324" t="s">
        <v>510</v>
      </c>
      <c r="D97" s="2"/>
    </row>
    <row r="98" spans="1:6" ht="16.649999999999999" hidden="1" customHeight="1" x14ac:dyDescent="0.3">
      <c r="A98" s="593" t="s">
        <v>224</v>
      </c>
      <c r="B98" s="322" t="s">
        <v>225</v>
      </c>
      <c r="C98" s="322"/>
      <c r="D98" s="2"/>
    </row>
    <row r="99" spans="1:6" ht="16.649999999999999" hidden="1" customHeight="1" x14ac:dyDescent="0.3">
      <c r="A99" s="593"/>
      <c r="B99" s="323" t="s">
        <v>226</v>
      </c>
      <c r="C99" s="327" t="s">
        <v>512</v>
      </c>
      <c r="D99" s="2"/>
    </row>
    <row r="100" spans="1:6" ht="16.649999999999999" hidden="1" customHeight="1" x14ac:dyDescent="0.3">
      <c r="A100" s="593"/>
      <c r="B100" s="323" t="s">
        <v>454</v>
      </c>
      <c r="C100" s="327" t="s">
        <v>511</v>
      </c>
      <c r="D100" s="2"/>
    </row>
    <row r="101" spans="1:6" ht="16.649999999999999" hidden="1" customHeight="1" x14ac:dyDescent="0.3">
      <c r="A101" s="593"/>
      <c r="B101" s="323" t="s">
        <v>230</v>
      </c>
      <c r="C101" s="327" t="s">
        <v>511</v>
      </c>
      <c r="D101" s="2"/>
    </row>
    <row r="102" spans="1:6" ht="16.649999999999999" hidden="1" customHeight="1" x14ac:dyDescent="0.3">
      <c r="A102" s="593"/>
      <c r="B102" s="322" t="s">
        <v>276</v>
      </c>
      <c r="C102" s="328"/>
      <c r="D102" s="2"/>
    </row>
    <row r="103" spans="1:6" ht="16.649999999999999" hidden="1" customHeight="1" x14ac:dyDescent="0.3">
      <c r="A103" s="593"/>
      <c r="B103" s="323" t="s">
        <v>277</v>
      </c>
      <c r="C103" s="2" t="s">
        <v>512</v>
      </c>
      <c r="D103" s="2"/>
    </row>
    <row r="104" spans="1:6" ht="16.649999999999999" hidden="1" customHeight="1" x14ac:dyDescent="0.3">
      <c r="A104" s="593" t="s">
        <v>234</v>
      </c>
      <c r="B104" s="322" t="s">
        <v>235</v>
      </c>
      <c r="C104" s="322"/>
      <c r="D104" s="2"/>
    </row>
    <row r="105" spans="1:6" ht="16.649999999999999" hidden="1" customHeight="1" x14ac:dyDescent="0.3">
      <c r="A105" s="593"/>
      <c r="B105" s="323" t="s">
        <v>236</v>
      </c>
      <c r="C105" s="327" t="s">
        <v>513</v>
      </c>
      <c r="D105" s="2"/>
    </row>
    <row r="106" spans="1:6" ht="16.649999999999999" hidden="1" customHeight="1" x14ac:dyDescent="0.3">
      <c r="A106" s="321" t="s">
        <v>455</v>
      </c>
      <c r="B106" s="329" t="s">
        <v>318</v>
      </c>
      <c r="C106" s="328"/>
      <c r="D106" s="2"/>
    </row>
    <row r="107" spans="1:6" ht="16.649999999999999" customHeight="1" x14ac:dyDescent="0.25">
      <c r="A107" s="27"/>
      <c r="B107" s="27"/>
      <c r="C107" s="27"/>
      <c r="D107" s="27"/>
      <c r="E107" s="27"/>
      <c r="F107" s="27"/>
    </row>
    <row r="108" spans="1:6" ht="16.649999999999999" customHeight="1" x14ac:dyDescent="0.25">
      <c r="A108" s="27"/>
      <c r="B108" s="27"/>
      <c r="C108" s="27"/>
      <c r="D108" s="27"/>
      <c r="E108" s="27"/>
      <c r="F108" s="27"/>
    </row>
    <row r="109" spans="1:6" ht="16.649999999999999" customHeight="1" x14ac:dyDescent="0.25"/>
  </sheetData>
  <sheetProtection algorithmName="SHA-512" hashValue="xNdCvRFjVSaAmCdTG7XayZIQKkEZkImdIvrgTnAzjsID0IduAFjszBlH8KCjaUQJuTGJCuSYe9iwXHGDGZvG3g==" saltValue="PHqE7zrto1bM68H3aNHByA==" spinCount="100000" sheet="1" objects="1" scenarios="1" formatColumns="0" formatRows="0"/>
  <mergeCells count="31">
    <mergeCell ref="A1:F1"/>
    <mergeCell ref="A4:A6"/>
    <mergeCell ref="A7:A9"/>
    <mergeCell ref="A10:A15"/>
    <mergeCell ref="A16:A21"/>
    <mergeCell ref="A22:A23"/>
    <mergeCell ref="A25:C25"/>
    <mergeCell ref="A35:F35"/>
    <mergeCell ref="A39:A40"/>
    <mergeCell ref="A41:A43"/>
    <mergeCell ref="A44:A47"/>
    <mergeCell ref="A48:A53"/>
    <mergeCell ref="A54:A55"/>
    <mergeCell ref="A56:G56"/>
    <mergeCell ref="B63:F63"/>
    <mergeCell ref="A60:A62"/>
    <mergeCell ref="A63:A65"/>
    <mergeCell ref="B66:F66"/>
    <mergeCell ref="B70:F70"/>
    <mergeCell ref="B68:F68"/>
    <mergeCell ref="A66:A71"/>
    <mergeCell ref="B72:F72"/>
    <mergeCell ref="A72:A77"/>
    <mergeCell ref="A92:A97"/>
    <mergeCell ref="A98:A103"/>
    <mergeCell ref="A104:A105"/>
    <mergeCell ref="A78:A79"/>
    <mergeCell ref="B78:F78"/>
    <mergeCell ref="A81:F82"/>
    <mergeCell ref="A86:A88"/>
    <mergeCell ref="A89:A9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3"/>
  <sheetViews>
    <sheetView showRuler="0" workbookViewId="0">
      <selection activeCell="A2" sqref="A2:L2"/>
    </sheetView>
  </sheetViews>
  <sheetFormatPr defaultColWidth="13.6640625" defaultRowHeight="13.2" x14ac:dyDescent="0.25"/>
  <cols>
    <col min="1" max="1" width="21.109375" customWidth="1"/>
    <col min="2" max="12" width="17.33203125" customWidth="1"/>
  </cols>
  <sheetData>
    <row r="1" spans="1:12" ht="22.5" customHeight="1" x14ac:dyDescent="0.3">
      <c r="A1" s="595" t="s">
        <v>520</v>
      </c>
      <c r="B1" s="595"/>
      <c r="C1" s="595"/>
      <c r="D1" s="595"/>
      <c r="E1" s="595"/>
      <c r="F1" s="595"/>
      <c r="G1" s="111"/>
      <c r="H1" s="17"/>
      <c r="I1" s="17"/>
      <c r="J1" s="17"/>
      <c r="K1" s="17"/>
      <c r="L1" s="17"/>
    </row>
    <row r="2" spans="1:12" ht="23.25" customHeight="1" x14ac:dyDescent="0.3">
      <c r="B2" s="64"/>
      <c r="C2" s="64"/>
      <c r="D2" s="64"/>
      <c r="E2" s="64"/>
      <c r="F2" s="64"/>
      <c r="G2" s="64"/>
      <c r="H2" s="64"/>
      <c r="I2" s="64"/>
      <c r="J2" s="64"/>
      <c r="K2" s="64"/>
      <c r="L2" s="2"/>
    </row>
    <row r="3" spans="1:12" ht="82.5" customHeight="1" x14ac:dyDescent="0.3">
      <c r="A3" s="33" t="s">
        <v>521</v>
      </c>
      <c r="B3" s="5" t="s">
        <v>207</v>
      </c>
      <c r="C3" s="5" t="s">
        <v>522</v>
      </c>
      <c r="D3" s="5" t="s">
        <v>523</v>
      </c>
      <c r="E3" s="5" t="s">
        <v>524</v>
      </c>
      <c r="F3" s="5" t="s">
        <v>525</v>
      </c>
      <c r="G3" s="5" t="s">
        <v>526</v>
      </c>
      <c r="H3" s="5" t="s">
        <v>527</v>
      </c>
      <c r="I3" s="5" t="s">
        <v>528</v>
      </c>
      <c r="J3" s="5" t="s">
        <v>529</v>
      </c>
      <c r="K3" s="5" t="s">
        <v>530</v>
      </c>
      <c r="L3" s="13"/>
    </row>
    <row r="4" spans="1:12" ht="29.1" customHeight="1" x14ac:dyDescent="0.3">
      <c r="A4" s="536" t="s">
        <v>245</v>
      </c>
      <c r="B4" s="23" t="s">
        <v>246</v>
      </c>
      <c r="C4" s="102">
        <v>3997.88</v>
      </c>
      <c r="D4" s="102">
        <v>283.32</v>
      </c>
      <c r="E4" s="102">
        <v>3714.56</v>
      </c>
      <c r="F4" s="102">
        <v>78.010000000000005</v>
      </c>
      <c r="G4" s="102">
        <v>0.41</v>
      </c>
      <c r="H4" s="102">
        <v>13.3</v>
      </c>
      <c r="I4" s="102">
        <v>3780</v>
      </c>
      <c r="J4" s="102">
        <v>296.20999999999998</v>
      </c>
      <c r="K4" s="102">
        <v>4075.89</v>
      </c>
      <c r="L4" s="13"/>
    </row>
    <row r="5" spans="1:12" ht="21.6" customHeight="1" x14ac:dyDescent="0.3">
      <c r="A5" s="536"/>
      <c r="B5" s="39" t="s">
        <v>514</v>
      </c>
      <c r="C5" s="103">
        <v>2765.19</v>
      </c>
      <c r="D5" s="103">
        <v>254.37</v>
      </c>
      <c r="E5" s="103">
        <v>2510.8200000000002</v>
      </c>
      <c r="F5" s="103">
        <v>0</v>
      </c>
      <c r="G5" s="103">
        <v>0.41</v>
      </c>
      <c r="H5" s="103">
        <v>13.3</v>
      </c>
      <c r="I5" s="103">
        <v>2497.9299999999998</v>
      </c>
      <c r="J5" s="103">
        <v>267.26</v>
      </c>
      <c r="K5" s="103">
        <v>2765.19</v>
      </c>
      <c r="L5" s="13"/>
    </row>
    <row r="6" spans="1:12" ht="21.6" customHeight="1" x14ac:dyDescent="0.3">
      <c r="A6" s="536"/>
      <c r="B6" s="39" t="s">
        <v>247</v>
      </c>
      <c r="C6" s="103">
        <v>1232.69</v>
      </c>
      <c r="D6" s="103">
        <v>28.95</v>
      </c>
      <c r="E6" s="103">
        <v>1203.74</v>
      </c>
      <c r="F6" s="103">
        <v>78.010000000000005</v>
      </c>
      <c r="G6" s="103">
        <v>0</v>
      </c>
      <c r="H6" s="103">
        <v>0</v>
      </c>
      <c r="I6" s="103">
        <v>1281.75</v>
      </c>
      <c r="J6" s="103">
        <v>28.95</v>
      </c>
      <c r="K6" s="103">
        <v>1310.7</v>
      </c>
      <c r="L6" s="13"/>
    </row>
    <row r="7" spans="1:12" ht="21.6" customHeight="1" x14ac:dyDescent="0.3">
      <c r="A7" s="536" t="s">
        <v>251</v>
      </c>
      <c r="B7" s="23" t="s">
        <v>252</v>
      </c>
      <c r="C7" s="102">
        <v>6138.1836620000004</v>
      </c>
      <c r="D7" s="102">
        <v>616.91</v>
      </c>
      <c r="E7" s="102">
        <v>5521.2736619999996</v>
      </c>
      <c r="F7" s="102">
        <v>166.89</v>
      </c>
      <c r="G7" s="102">
        <v>0</v>
      </c>
      <c r="H7" s="102">
        <v>38.71</v>
      </c>
      <c r="I7" s="102">
        <v>5649</v>
      </c>
      <c r="J7" s="102">
        <v>655.62</v>
      </c>
      <c r="K7" s="102">
        <v>6305.0736619999998</v>
      </c>
      <c r="L7" s="13"/>
    </row>
    <row r="8" spans="1:12" ht="21.6" customHeight="1" x14ac:dyDescent="0.3">
      <c r="A8" s="536"/>
      <c r="B8" s="39" t="s">
        <v>253</v>
      </c>
      <c r="C8" s="103">
        <v>4338.4799999999996</v>
      </c>
      <c r="D8" s="103">
        <v>269.45999999999998</v>
      </c>
      <c r="E8" s="103">
        <v>4069.02</v>
      </c>
      <c r="F8" s="103">
        <v>163.19999999999999</v>
      </c>
      <c r="G8" s="103">
        <v>0</v>
      </c>
      <c r="H8" s="103">
        <v>37.74</v>
      </c>
      <c r="I8" s="103">
        <v>4194.4799999999996</v>
      </c>
      <c r="J8" s="103">
        <v>307.2</v>
      </c>
      <c r="K8" s="103">
        <v>4501.68</v>
      </c>
      <c r="L8" s="13"/>
    </row>
    <row r="9" spans="1:12" ht="21.6" customHeight="1" x14ac:dyDescent="0.3">
      <c r="A9" s="536"/>
      <c r="B9" s="39" t="s">
        <v>256</v>
      </c>
      <c r="C9" s="103">
        <v>1799.7036619999999</v>
      </c>
      <c r="D9" s="103">
        <v>347.45</v>
      </c>
      <c r="E9" s="103">
        <v>1452.2536620000001</v>
      </c>
      <c r="F9" s="103">
        <v>3.69</v>
      </c>
      <c r="G9" s="103">
        <v>0</v>
      </c>
      <c r="H9" s="103">
        <v>0.97</v>
      </c>
      <c r="I9" s="103">
        <v>1454.9736620000001</v>
      </c>
      <c r="J9" s="103">
        <v>348.42</v>
      </c>
      <c r="K9" s="103">
        <v>1803.3936619999999</v>
      </c>
      <c r="L9" s="13"/>
    </row>
    <row r="10" spans="1:12" ht="21.6" customHeight="1" x14ac:dyDescent="0.3">
      <c r="A10" s="536" t="s">
        <v>213</v>
      </c>
      <c r="B10" s="23" t="s">
        <v>328</v>
      </c>
      <c r="C10" s="102">
        <v>572.1</v>
      </c>
      <c r="D10" s="102">
        <v>56.5</v>
      </c>
      <c r="E10" s="102">
        <v>515.6</v>
      </c>
      <c r="F10" s="102">
        <v>4.28</v>
      </c>
      <c r="G10" s="102">
        <v>0</v>
      </c>
      <c r="H10" s="102">
        <v>38.5</v>
      </c>
      <c r="I10" s="102">
        <v>481</v>
      </c>
      <c r="J10" s="102">
        <v>95</v>
      </c>
      <c r="K10" s="102">
        <v>576.38</v>
      </c>
      <c r="L10" s="13"/>
    </row>
    <row r="11" spans="1:12" ht="21.6" customHeight="1" x14ac:dyDescent="0.3">
      <c r="A11" s="536"/>
      <c r="B11" s="85" t="s">
        <v>453</v>
      </c>
      <c r="C11" s="104">
        <v>572.1</v>
      </c>
      <c r="D11" s="104">
        <v>56.5</v>
      </c>
      <c r="E11" s="104">
        <v>515.6</v>
      </c>
      <c r="F11" s="104">
        <v>4.28</v>
      </c>
      <c r="G11" s="104">
        <v>0</v>
      </c>
      <c r="H11" s="104">
        <v>38.5</v>
      </c>
      <c r="I11" s="104">
        <v>481.38</v>
      </c>
      <c r="J11" s="104">
        <v>95</v>
      </c>
      <c r="K11" s="104">
        <v>576.38</v>
      </c>
      <c r="L11" s="13"/>
    </row>
    <row r="12" spans="1:12" ht="21.6" customHeight="1" x14ac:dyDescent="0.3">
      <c r="A12" s="536"/>
      <c r="B12" s="23" t="s">
        <v>214</v>
      </c>
      <c r="C12" s="102">
        <v>4311.6499999999996</v>
      </c>
      <c r="D12" s="102">
        <v>25.097999999999999</v>
      </c>
      <c r="E12" s="102">
        <v>4286.5519999999997</v>
      </c>
      <c r="F12" s="102">
        <v>37.468200000000003</v>
      </c>
      <c r="G12" s="102">
        <v>0</v>
      </c>
      <c r="H12" s="102">
        <v>6.1</v>
      </c>
      <c r="I12" s="102">
        <v>4318</v>
      </c>
      <c r="J12" s="102">
        <v>31.198</v>
      </c>
      <c r="K12" s="102">
        <v>4349.1181999999999</v>
      </c>
      <c r="L12" s="13"/>
    </row>
    <row r="13" spans="1:12" ht="21.6" customHeight="1" x14ac:dyDescent="0.3">
      <c r="A13" s="536"/>
      <c r="B13" s="85" t="s">
        <v>215</v>
      </c>
      <c r="C13" s="103">
        <v>4311.6499999999996</v>
      </c>
      <c r="D13" s="103">
        <v>25.097999999999999</v>
      </c>
      <c r="E13" s="103">
        <v>4286.5519999999997</v>
      </c>
      <c r="F13" s="103">
        <v>37.468200000000003</v>
      </c>
      <c r="G13" s="103">
        <v>0</v>
      </c>
      <c r="H13" s="103">
        <v>6.1</v>
      </c>
      <c r="I13" s="103">
        <v>4317.9201999999996</v>
      </c>
      <c r="J13" s="103">
        <v>31.198</v>
      </c>
      <c r="K13" s="103">
        <v>4349.1181999999999</v>
      </c>
      <c r="L13" s="13"/>
    </row>
    <row r="14" spans="1:12" ht="21.6" customHeight="1" x14ac:dyDescent="0.3">
      <c r="A14" s="536"/>
      <c r="B14" s="23" t="s">
        <v>265</v>
      </c>
      <c r="C14" s="102">
        <v>2375.8000000000002</v>
      </c>
      <c r="D14" s="102">
        <v>83.5</v>
      </c>
      <c r="E14" s="102">
        <v>2292.3000000000002</v>
      </c>
      <c r="F14" s="102">
        <v>38.85</v>
      </c>
      <c r="G14" s="102">
        <v>0</v>
      </c>
      <c r="H14" s="102">
        <v>10</v>
      </c>
      <c r="I14" s="102">
        <v>2321</v>
      </c>
      <c r="J14" s="102">
        <v>93.5</v>
      </c>
      <c r="K14" s="102">
        <v>2414.65</v>
      </c>
      <c r="L14" s="13"/>
    </row>
    <row r="15" spans="1:12" ht="21.6" customHeight="1" x14ac:dyDescent="0.3">
      <c r="A15" s="536"/>
      <c r="B15" s="85" t="s">
        <v>266</v>
      </c>
      <c r="C15" s="105">
        <v>2375.8000000000002</v>
      </c>
      <c r="D15" s="105">
        <v>83.5</v>
      </c>
      <c r="E15" s="105">
        <v>2292.3000000000002</v>
      </c>
      <c r="F15" s="105">
        <v>38.85</v>
      </c>
      <c r="G15" s="105">
        <v>0</v>
      </c>
      <c r="H15" s="105">
        <v>10</v>
      </c>
      <c r="I15" s="105">
        <v>2321.15</v>
      </c>
      <c r="J15" s="105">
        <v>93.5</v>
      </c>
      <c r="K15" s="105">
        <v>2414.65</v>
      </c>
      <c r="L15" s="13"/>
    </row>
    <row r="16" spans="1:12" ht="21.6" customHeight="1" x14ac:dyDescent="0.3">
      <c r="A16" s="536" t="s">
        <v>224</v>
      </c>
      <c r="B16" s="23" t="s">
        <v>225</v>
      </c>
      <c r="C16" s="102">
        <v>3884.1003999999998</v>
      </c>
      <c r="D16" s="102">
        <v>146.1823</v>
      </c>
      <c r="E16" s="102">
        <v>3737.9180999999999</v>
      </c>
      <c r="F16" s="102">
        <v>158.98500000000001</v>
      </c>
      <c r="G16" s="102">
        <v>0</v>
      </c>
      <c r="H16" s="102">
        <v>13.976000000000001</v>
      </c>
      <c r="I16" s="102">
        <v>3883</v>
      </c>
      <c r="J16" s="102">
        <v>160.1583</v>
      </c>
      <c r="K16" s="102">
        <v>4043.0853999999999</v>
      </c>
      <c r="L16" s="13"/>
    </row>
    <row r="17" spans="1:12" ht="21.6" customHeight="1" x14ac:dyDescent="0.3">
      <c r="A17" s="536"/>
      <c r="B17" s="39" t="s">
        <v>226</v>
      </c>
      <c r="C17" s="103">
        <v>398.06040000000002</v>
      </c>
      <c r="D17" s="103">
        <v>31.0823</v>
      </c>
      <c r="E17" s="103">
        <v>366.97809999999998</v>
      </c>
      <c r="F17" s="103">
        <v>3.2850000000000001</v>
      </c>
      <c r="G17" s="103">
        <v>0</v>
      </c>
      <c r="H17" s="103">
        <v>13.976000000000001</v>
      </c>
      <c r="I17" s="103">
        <v>356.28710000000001</v>
      </c>
      <c r="J17" s="103">
        <v>45.058300000000003</v>
      </c>
      <c r="K17" s="103">
        <v>401.34539999999998</v>
      </c>
      <c r="L17" s="13"/>
    </row>
    <row r="18" spans="1:12" ht="21.6" customHeight="1" x14ac:dyDescent="0.3">
      <c r="A18" s="536"/>
      <c r="B18" s="39" t="s">
        <v>454</v>
      </c>
      <c r="C18" s="103">
        <v>701.81</v>
      </c>
      <c r="D18" s="103">
        <v>27.6</v>
      </c>
      <c r="E18" s="103">
        <v>674.21</v>
      </c>
      <c r="F18" s="103">
        <v>0</v>
      </c>
      <c r="G18" s="103">
        <v>0</v>
      </c>
      <c r="H18" s="103">
        <v>0</v>
      </c>
      <c r="I18" s="103">
        <v>674.21</v>
      </c>
      <c r="J18" s="103">
        <v>27.6</v>
      </c>
      <c r="K18" s="103">
        <v>701.81</v>
      </c>
      <c r="L18" s="13"/>
    </row>
    <row r="19" spans="1:12" ht="21.6" customHeight="1" x14ac:dyDescent="0.3">
      <c r="A19" s="536"/>
      <c r="B19" s="39" t="s">
        <v>230</v>
      </c>
      <c r="C19" s="103">
        <v>2784.23</v>
      </c>
      <c r="D19" s="103">
        <v>87.5</v>
      </c>
      <c r="E19" s="103">
        <v>2696.73</v>
      </c>
      <c r="F19" s="103">
        <v>155.69999999999999</v>
      </c>
      <c r="G19" s="103">
        <v>0</v>
      </c>
      <c r="H19" s="103">
        <v>0</v>
      </c>
      <c r="I19" s="103">
        <v>2852.43</v>
      </c>
      <c r="J19" s="103">
        <v>87.5</v>
      </c>
      <c r="K19" s="103">
        <v>2939.93</v>
      </c>
      <c r="L19" s="13"/>
    </row>
    <row r="20" spans="1:12" ht="21.6" customHeight="1" x14ac:dyDescent="0.3">
      <c r="A20" s="536"/>
      <c r="B20" s="23" t="s">
        <v>276</v>
      </c>
      <c r="C20" s="102">
        <v>1543.8222000000001</v>
      </c>
      <c r="D20" s="102">
        <v>228.15</v>
      </c>
      <c r="E20" s="102">
        <v>1315.6722</v>
      </c>
      <c r="F20" s="102">
        <v>4.28</v>
      </c>
      <c r="G20" s="102">
        <v>0</v>
      </c>
      <c r="H20" s="102">
        <v>0</v>
      </c>
      <c r="I20" s="102">
        <v>1320</v>
      </c>
      <c r="J20" s="102">
        <v>228.15</v>
      </c>
      <c r="K20" s="102">
        <v>1548.1022</v>
      </c>
      <c r="L20" s="13"/>
    </row>
    <row r="21" spans="1:12" ht="21.6" customHeight="1" x14ac:dyDescent="0.3">
      <c r="A21" s="536"/>
      <c r="B21" s="39" t="s">
        <v>277</v>
      </c>
      <c r="C21" s="103">
        <v>1543.8222000000001</v>
      </c>
      <c r="D21" s="103">
        <v>228.15</v>
      </c>
      <c r="E21" s="103">
        <v>1315.6722</v>
      </c>
      <c r="F21" s="103">
        <v>4.28</v>
      </c>
      <c r="G21" s="103">
        <v>0</v>
      </c>
      <c r="H21" s="103">
        <v>0</v>
      </c>
      <c r="I21" s="103">
        <v>1319.9521999999999</v>
      </c>
      <c r="J21" s="103">
        <v>228.15</v>
      </c>
      <c r="K21" s="103">
        <v>1548.1022</v>
      </c>
      <c r="L21" s="13"/>
    </row>
    <row r="22" spans="1:12" ht="21.6" customHeight="1" x14ac:dyDescent="0.3">
      <c r="A22" s="536" t="s">
        <v>234</v>
      </c>
      <c r="B22" s="23" t="s">
        <v>235</v>
      </c>
      <c r="C22" s="102">
        <v>4512.3</v>
      </c>
      <c r="D22" s="102">
        <v>933.8</v>
      </c>
      <c r="E22" s="102">
        <v>3578.5</v>
      </c>
      <c r="F22" s="102">
        <v>10.8</v>
      </c>
      <c r="G22" s="102">
        <v>3.08</v>
      </c>
      <c r="H22" s="102">
        <v>44.5</v>
      </c>
      <c r="I22" s="102">
        <v>3548</v>
      </c>
      <c r="J22" s="102">
        <v>975.22</v>
      </c>
      <c r="K22" s="102">
        <v>4523.1000000000004</v>
      </c>
      <c r="L22" s="13"/>
    </row>
    <row r="23" spans="1:12" ht="21.6" customHeight="1" x14ac:dyDescent="0.3">
      <c r="A23" s="536"/>
      <c r="B23" s="85" t="s">
        <v>236</v>
      </c>
      <c r="C23" s="103">
        <v>4512.3</v>
      </c>
      <c r="D23" s="103">
        <v>933.8</v>
      </c>
      <c r="E23" s="103">
        <v>3578.5</v>
      </c>
      <c r="F23" s="103">
        <v>10.8</v>
      </c>
      <c r="G23" s="103">
        <v>3.08</v>
      </c>
      <c r="H23" s="103">
        <v>44.5</v>
      </c>
      <c r="I23" s="103">
        <v>3547.88</v>
      </c>
      <c r="J23" s="103">
        <v>975.22</v>
      </c>
      <c r="K23" s="103">
        <v>4523.1000000000004</v>
      </c>
      <c r="L23" s="13"/>
    </row>
    <row r="24" spans="1:12" ht="21.6" customHeight="1" x14ac:dyDescent="0.3">
      <c r="A24" s="6" t="s">
        <v>455</v>
      </c>
      <c r="B24" s="86" t="s">
        <v>318</v>
      </c>
      <c r="C24" s="102">
        <v>27335.836262000001</v>
      </c>
      <c r="D24" s="102">
        <v>2373.4603000000002</v>
      </c>
      <c r="E24" s="102">
        <v>24962.375961999998</v>
      </c>
      <c r="F24" s="102">
        <v>499.56319999999999</v>
      </c>
      <c r="G24" s="102">
        <v>3.49</v>
      </c>
      <c r="H24" s="102">
        <v>165.08600000000001</v>
      </c>
      <c r="I24" s="102">
        <v>25300</v>
      </c>
      <c r="J24" s="102">
        <v>2535.0563000000002</v>
      </c>
      <c r="K24" s="102">
        <v>27835.399462000001</v>
      </c>
      <c r="L24" s="13"/>
    </row>
    <row r="25" spans="1:12" ht="30" customHeight="1" x14ac:dyDescent="0.25">
      <c r="A25" s="532" t="s">
        <v>531</v>
      </c>
      <c r="B25" s="532"/>
      <c r="C25" s="532"/>
      <c r="D25" s="532"/>
      <c r="E25" s="532"/>
      <c r="F25" s="532"/>
      <c r="G25" s="532"/>
      <c r="H25" s="532"/>
      <c r="I25" s="532"/>
      <c r="J25" s="532"/>
      <c r="K25" s="532"/>
    </row>
    <row r="26" spans="1:12" ht="54.75" customHeight="1" x14ac:dyDescent="0.25">
      <c r="A26" s="518"/>
      <c r="B26" s="518"/>
      <c r="C26" s="518"/>
      <c r="D26" s="518"/>
      <c r="E26" s="518"/>
      <c r="F26" s="518"/>
      <c r="G26" s="518"/>
      <c r="H26" s="518"/>
      <c r="I26" s="518"/>
      <c r="J26" s="518"/>
      <c r="K26" s="518"/>
    </row>
    <row r="27" spans="1:12" ht="22.5" customHeight="1" x14ac:dyDescent="0.3">
      <c r="J27" s="2"/>
      <c r="K27" s="2"/>
      <c r="L27" s="2"/>
    </row>
    <row r="28" spans="1:12" ht="19.2" customHeight="1" x14ac:dyDescent="0.3">
      <c r="J28" s="2"/>
      <c r="K28" s="2"/>
      <c r="L28" s="2"/>
    </row>
    <row r="29" spans="1:12" ht="75.75" customHeight="1" x14ac:dyDescent="0.3">
      <c r="A29" s="45" t="s">
        <v>75</v>
      </c>
      <c r="B29" s="25">
        <v>2019</v>
      </c>
      <c r="C29" s="25">
        <v>2020</v>
      </c>
      <c r="D29" s="5" t="s">
        <v>532</v>
      </c>
      <c r="E29" s="5" t="s">
        <v>533</v>
      </c>
      <c r="F29" s="25">
        <v>2023</v>
      </c>
      <c r="G29" s="13"/>
      <c r="J29" s="2"/>
      <c r="K29" s="2"/>
      <c r="L29" s="2"/>
    </row>
    <row r="30" spans="1:12" ht="42.6" customHeight="1" x14ac:dyDescent="0.3">
      <c r="A30" s="5" t="s">
        <v>534</v>
      </c>
      <c r="B30" s="106">
        <v>27.09</v>
      </c>
      <c r="C30" s="107">
        <v>24.42</v>
      </c>
      <c r="D30" s="107">
        <v>24.92</v>
      </c>
      <c r="E30" s="107">
        <v>24.96</v>
      </c>
      <c r="F30" s="108">
        <v>25300</v>
      </c>
      <c r="G30" s="330"/>
      <c r="H30" s="316"/>
      <c r="I30" s="2"/>
      <c r="J30" s="2"/>
      <c r="K30" s="2"/>
      <c r="L30" s="2"/>
    </row>
    <row r="31" spans="1:12" ht="16.649999999999999" customHeight="1" x14ac:dyDescent="0.3">
      <c r="A31" s="532" t="s">
        <v>535</v>
      </c>
      <c r="B31" s="532"/>
      <c r="C31" s="532"/>
      <c r="D31" s="532"/>
      <c r="E31" s="532"/>
      <c r="F31" s="532"/>
      <c r="G31" s="2"/>
      <c r="H31" s="2"/>
      <c r="I31" s="2"/>
      <c r="J31" s="2"/>
      <c r="K31" s="2"/>
      <c r="L31" s="2"/>
    </row>
    <row r="32" spans="1:12" ht="16.649999999999999" customHeight="1" x14ac:dyDescent="0.3">
      <c r="A32" s="598"/>
      <c r="B32" s="598"/>
      <c r="C32" s="598"/>
      <c r="D32" s="598"/>
      <c r="E32" s="598"/>
      <c r="F32" s="598"/>
      <c r="G32" s="2"/>
      <c r="H32" s="2"/>
      <c r="I32" s="2"/>
      <c r="J32" s="2"/>
      <c r="K32" s="2"/>
      <c r="L32" s="2"/>
    </row>
    <row r="33" spans="1:12" ht="21.6" customHeight="1" x14ac:dyDescent="0.3">
      <c r="E33" s="2"/>
      <c r="F33" s="2"/>
      <c r="G33" s="2"/>
      <c r="H33" s="2"/>
      <c r="I33" s="2"/>
      <c r="J33" s="2"/>
      <c r="K33" s="2"/>
      <c r="L33" s="2"/>
    </row>
    <row r="34" spans="1:12" ht="21.6" customHeight="1" x14ac:dyDescent="0.3">
      <c r="E34" s="2"/>
      <c r="F34" s="2"/>
      <c r="G34" s="2"/>
      <c r="H34" s="2"/>
      <c r="I34" s="2"/>
      <c r="J34" s="2"/>
      <c r="K34" s="2"/>
      <c r="L34" s="2"/>
    </row>
    <row r="35" spans="1:12" ht="36.6" customHeight="1" x14ac:dyDescent="0.3">
      <c r="A35" s="33" t="s">
        <v>536</v>
      </c>
      <c r="B35" s="5" t="s">
        <v>207</v>
      </c>
      <c r="C35" s="5" t="s">
        <v>537</v>
      </c>
      <c r="D35" s="13"/>
      <c r="E35" s="2"/>
      <c r="F35" s="2"/>
      <c r="G35" s="2"/>
      <c r="H35" s="2"/>
      <c r="I35" s="2"/>
      <c r="J35" s="2"/>
      <c r="K35" s="2"/>
      <c r="L35" s="2"/>
    </row>
    <row r="36" spans="1:12" ht="21.6" customHeight="1" x14ac:dyDescent="0.3">
      <c r="A36" s="536" t="s">
        <v>245</v>
      </c>
      <c r="B36" s="23" t="s">
        <v>246</v>
      </c>
      <c r="C36" s="109">
        <v>61807</v>
      </c>
      <c r="D36" s="13"/>
      <c r="E36" s="2"/>
      <c r="F36" s="2"/>
      <c r="G36" s="2"/>
      <c r="H36" s="2"/>
      <c r="I36" s="2"/>
      <c r="J36" s="2"/>
      <c r="K36" s="2"/>
      <c r="L36" s="2"/>
    </row>
    <row r="37" spans="1:12" ht="21.6" customHeight="1" x14ac:dyDescent="0.3">
      <c r="A37" s="536"/>
      <c r="B37" s="39" t="s">
        <v>514</v>
      </c>
      <c r="C37" s="110">
        <v>55532</v>
      </c>
      <c r="D37" s="13"/>
      <c r="E37" s="2"/>
      <c r="F37" s="2"/>
      <c r="G37" s="2"/>
      <c r="H37" s="2"/>
      <c r="I37" s="2"/>
      <c r="J37" s="2"/>
      <c r="K37" s="2"/>
      <c r="L37" s="2"/>
    </row>
    <row r="38" spans="1:12" ht="21.6" customHeight="1" x14ac:dyDescent="0.3">
      <c r="A38" s="536"/>
      <c r="B38" s="39" t="s">
        <v>247</v>
      </c>
      <c r="C38" s="110">
        <v>6275</v>
      </c>
      <c r="D38" s="13"/>
      <c r="E38" s="2"/>
      <c r="F38" s="2"/>
      <c r="G38" s="2"/>
      <c r="H38" s="2"/>
      <c r="I38" s="2"/>
      <c r="J38" s="2"/>
      <c r="K38" s="2"/>
      <c r="L38" s="2"/>
    </row>
    <row r="39" spans="1:12" ht="21.6" customHeight="1" x14ac:dyDescent="0.3">
      <c r="A39" s="536" t="s">
        <v>251</v>
      </c>
      <c r="B39" s="23" t="s">
        <v>252</v>
      </c>
      <c r="C39" s="109">
        <v>14037.2</v>
      </c>
      <c r="D39" s="13"/>
      <c r="E39" s="2"/>
      <c r="F39" s="2"/>
      <c r="G39" s="2"/>
      <c r="H39" s="2"/>
      <c r="I39" s="2"/>
      <c r="J39" s="2"/>
      <c r="K39" s="2"/>
      <c r="L39" s="2"/>
    </row>
    <row r="40" spans="1:12" ht="21.6" customHeight="1" x14ac:dyDescent="0.3">
      <c r="A40" s="536"/>
      <c r="B40" s="39" t="s">
        <v>253</v>
      </c>
      <c r="C40" s="110">
        <v>9642</v>
      </c>
      <c r="D40" s="13"/>
      <c r="E40" s="2"/>
      <c r="F40" s="2"/>
      <c r="G40" s="2"/>
      <c r="H40" s="2"/>
      <c r="I40" s="2"/>
      <c r="J40" s="2"/>
      <c r="K40" s="2"/>
      <c r="L40" s="2"/>
    </row>
    <row r="41" spans="1:12" ht="21.6" customHeight="1" x14ac:dyDescent="0.3">
      <c r="A41" s="536"/>
      <c r="B41" s="39" t="s">
        <v>256</v>
      </c>
      <c r="C41" s="110">
        <v>4395.2</v>
      </c>
      <c r="D41" s="13"/>
      <c r="E41" s="2"/>
      <c r="F41" s="2"/>
      <c r="G41" s="2"/>
      <c r="H41" s="2"/>
      <c r="I41" s="2"/>
      <c r="J41" s="2"/>
      <c r="K41" s="2"/>
      <c r="L41" s="2"/>
    </row>
    <row r="42" spans="1:12" ht="21.6" customHeight="1" x14ac:dyDescent="0.3">
      <c r="A42" s="536" t="s">
        <v>213</v>
      </c>
      <c r="B42" s="23" t="s">
        <v>328</v>
      </c>
      <c r="C42" s="109">
        <v>21552</v>
      </c>
      <c r="D42" s="13"/>
      <c r="E42" s="2"/>
      <c r="F42" s="2"/>
      <c r="G42" s="2"/>
      <c r="H42" s="2"/>
      <c r="I42" s="2"/>
      <c r="J42" s="2"/>
      <c r="K42" s="2"/>
      <c r="L42" s="2"/>
    </row>
    <row r="43" spans="1:12" ht="21.6" customHeight="1" x14ac:dyDescent="0.3">
      <c r="A43" s="536"/>
      <c r="B43" s="39" t="s">
        <v>453</v>
      </c>
      <c r="C43" s="110">
        <v>21552</v>
      </c>
      <c r="D43" s="13"/>
      <c r="E43" s="2"/>
      <c r="F43" s="2"/>
      <c r="G43" s="2"/>
      <c r="H43" s="2"/>
      <c r="I43" s="2"/>
      <c r="J43" s="2"/>
      <c r="K43" s="2"/>
      <c r="L43" s="2"/>
    </row>
    <row r="44" spans="1:12" ht="21.6" customHeight="1" x14ac:dyDescent="0.3">
      <c r="A44" s="536"/>
      <c r="B44" s="23" t="s">
        <v>265</v>
      </c>
      <c r="C44" s="109">
        <v>25916</v>
      </c>
      <c r="D44" s="13"/>
      <c r="E44" s="2"/>
      <c r="F44" s="2"/>
      <c r="G44" s="2"/>
      <c r="H44" s="2"/>
      <c r="I44" s="2"/>
      <c r="J44" s="2"/>
      <c r="K44" s="2"/>
      <c r="L44" s="2"/>
    </row>
    <row r="45" spans="1:12" ht="21.6" customHeight="1" x14ac:dyDescent="0.3">
      <c r="A45" s="536"/>
      <c r="B45" s="39" t="s">
        <v>266</v>
      </c>
      <c r="C45" s="110">
        <v>25916</v>
      </c>
      <c r="D45" s="13"/>
      <c r="E45" s="2"/>
      <c r="F45" s="2"/>
      <c r="G45" s="2"/>
      <c r="H45" s="2"/>
      <c r="I45" s="2"/>
      <c r="J45" s="2"/>
      <c r="K45" s="2"/>
      <c r="L45" s="2"/>
    </row>
    <row r="46" spans="1:12" ht="21.6" customHeight="1" x14ac:dyDescent="0.3">
      <c r="A46" s="536"/>
      <c r="B46" s="23" t="s">
        <v>214</v>
      </c>
      <c r="C46" s="109">
        <v>12345.16</v>
      </c>
      <c r="D46" s="13"/>
      <c r="E46" s="2"/>
      <c r="F46" s="2"/>
      <c r="G46" s="2"/>
      <c r="H46" s="2"/>
      <c r="I46" s="2"/>
      <c r="J46" s="2"/>
      <c r="K46" s="2"/>
      <c r="L46" s="2"/>
    </row>
    <row r="47" spans="1:12" ht="21.6" customHeight="1" x14ac:dyDescent="0.3">
      <c r="A47" s="536"/>
      <c r="B47" s="39" t="s">
        <v>538</v>
      </c>
      <c r="C47" s="110">
        <v>12345.16</v>
      </c>
      <c r="D47" s="13"/>
      <c r="E47" s="2"/>
      <c r="F47" s="2"/>
      <c r="G47" s="2"/>
      <c r="H47" s="2"/>
      <c r="I47" s="2"/>
      <c r="J47" s="2"/>
      <c r="K47" s="2"/>
      <c r="L47" s="2"/>
    </row>
    <row r="48" spans="1:12" ht="21.6" customHeight="1" x14ac:dyDescent="0.3">
      <c r="A48" s="536" t="s">
        <v>224</v>
      </c>
      <c r="B48" s="23" t="s">
        <v>225</v>
      </c>
      <c r="C48" s="109">
        <v>59039.694000000003</v>
      </c>
      <c r="D48" s="13"/>
      <c r="E48" s="2"/>
      <c r="F48" s="2"/>
      <c r="G48" s="2"/>
      <c r="H48" s="2"/>
      <c r="I48" s="2"/>
      <c r="J48" s="2"/>
      <c r="K48" s="2"/>
      <c r="L48" s="2"/>
    </row>
    <row r="49" spans="1:12" ht="21.6" customHeight="1" x14ac:dyDescent="0.3">
      <c r="A49" s="536"/>
      <c r="B49" s="39" t="s">
        <v>226</v>
      </c>
      <c r="C49" s="110">
        <v>942.12</v>
      </c>
      <c r="D49" s="13"/>
      <c r="E49" s="2"/>
      <c r="F49" s="2"/>
      <c r="G49" s="2"/>
      <c r="H49" s="2"/>
      <c r="I49" s="2"/>
      <c r="J49" s="2"/>
      <c r="K49" s="2"/>
      <c r="L49" s="2"/>
    </row>
    <row r="50" spans="1:12" ht="21.6" customHeight="1" x14ac:dyDescent="0.3">
      <c r="A50" s="536"/>
      <c r="B50" s="39" t="s">
        <v>454</v>
      </c>
      <c r="C50" s="110">
        <v>5421.0039999999999</v>
      </c>
      <c r="D50" s="13"/>
      <c r="E50" s="2"/>
      <c r="F50" s="2"/>
      <c r="G50" s="2"/>
      <c r="H50" s="2"/>
      <c r="I50" s="2"/>
      <c r="J50" s="2"/>
      <c r="K50" s="2"/>
      <c r="L50" s="2"/>
    </row>
    <row r="51" spans="1:12" ht="21.6" customHeight="1" x14ac:dyDescent="0.3">
      <c r="A51" s="536"/>
      <c r="B51" s="39" t="s">
        <v>230</v>
      </c>
      <c r="C51" s="110">
        <v>52676.57</v>
      </c>
      <c r="D51" s="13"/>
      <c r="E51" s="2"/>
      <c r="F51" s="2"/>
      <c r="G51" s="2"/>
      <c r="H51" s="2"/>
      <c r="I51" s="2"/>
      <c r="J51" s="2"/>
      <c r="K51" s="2"/>
      <c r="L51" s="2"/>
    </row>
    <row r="52" spans="1:12" ht="21.6" customHeight="1" x14ac:dyDescent="0.3">
      <c r="A52" s="536"/>
      <c r="B52" s="23" t="s">
        <v>276</v>
      </c>
      <c r="C52" s="109">
        <v>2431</v>
      </c>
      <c r="D52" s="13"/>
      <c r="E52" s="2"/>
      <c r="F52" s="2"/>
      <c r="G52" s="2"/>
      <c r="H52" s="2"/>
      <c r="I52" s="2"/>
      <c r="J52" s="2"/>
      <c r="K52" s="2"/>
      <c r="L52" s="2"/>
    </row>
    <row r="53" spans="1:12" ht="21.6" customHeight="1" x14ac:dyDescent="0.3">
      <c r="A53" s="536"/>
      <c r="B53" s="39" t="s">
        <v>277</v>
      </c>
      <c r="C53" s="110">
        <v>2431</v>
      </c>
      <c r="D53" s="13"/>
      <c r="E53" s="2"/>
      <c r="F53" s="2"/>
      <c r="G53" s="2"/>
      <c r="H53" s="2"/>
      <c r="I53" s="2"/>
      <c r="J53" s="2"/>
      <c r="K53" s="2"/>
      <c r="L53" s="2"/>
    </row>
    <row r="54" spans="1:12" ht="21.6" customHeight="1" x14ac:dyDescent="0.3">
      <c r="A54" s="536" t="s">
        <v>234</v>
      </c>
      <c r="B54" s="23" t="s">
        <v>235</v>
      </c>
      <c r="C54" s="109">
        <v>99361.04</v>
      </c>
      <c r="D54" s="13"/>
      <c r="E54" s="2"/>
      <c r="F54" s="2"/>
      <c r="G54" s="2"/>
      <c r="H54" s="2"/>
      <c r="I54" s="2"/>
      <c r="J54" s="2"/>
      <c r="K54" s="2"/>
      <c r="L54" s="2"/>
    </row>
    <row r="55" spans="1:12" ht="21.6" customHeight="1" x14ac:dyDescent="0.3">
      <c r="A55" s="536"/>
      <c r="B55" s="39" t="s">
        <v>236</v>
      </c>
      <c r="C55" s="110">
        <v>99361.04</v>
      </c>
      <c r="D55" s="13"/>
      <c r="E55" s="2"/>
      <c r="F55" s="2"/>
      <c r="G55" s="2"/>
      <c r="H55" s="2"/>
      <c r="I55" s="2"/>
      <c r="J55" s="2"/>
      <c r="K55" s="2"/>
      <c r="L55" s="2"/>
    </row>
    <row r="56" spans="1:12" ht="21.6" customHeight="1" x14ac:dyDescent="0.3">
      <c r="A56" s="6" t="s">
        <v>455</v>
      </c>
      <c r="B56" s="86" t="s">
        <v>318</v>
      </c>
      <c r="C56" s="109">
        <v>296489.09399999998</v>
      </c>
      <c r="D56" s="13"/>
      <c r="E56" s="2"/>
      <c r="F56" s="2"/>
      <c r="G56" s="2"/>
      <c r="H56" s="2"/>
      <c r="I56" s="2"/>
      <c r="J56" s="2"/>
      <c r="K56" s="2"/>
      <c r="L56" s="2"/>
    </row>
    <row r="57" spans="1:12" ht="72" customHeight="1" x14ac:dyDescent="0.3">
      <c r="A57" s="597" t="s">
        <v>539</v>
      </c>
      <c r="B57" s="597"/>
      <c r="C57" s="597"/>
      <c r="E57" s="2"/>
      <c r="F57" s="2"/>
      <c r="G57" s="2"/>
      <c r="H57" s="2"/>
      <c r="I57" s="2"/>
      <c r="J57" s="2"/>
      <c r="K57" s="2"/>
      <c r="L57" s="2"/>
    </row>
    <row r="58" spans="1:12" ht="21.6" customHeight="1" x14ac:dyDescent="0.3">
      <c r="E58" s="2"/>
      <c r="F58" s="2"/>
      <c r="G58" s="2"/>
      <c r="H58" s="2"/>
      <c r="I58" s="2"/>
      <c r="J58" s="2"/>
      <c r="K58" s="2"/>
      <c r="L58" s="2"/>
    </row>
    <row r="59" spans="1:12" ht="21.6" customHeight="1" x14ac:dyDescent="0.3">
      <c r="A59" s="2"/>
      <c r="B59" s="2"/>
      <c r="C59" s="2"/>
      <c r="D59" s="2"/>
      <c r="E59" s="2"/>
      <c r="F59" s="2"/>
      <c r="G59" s="2"/>
      <c r="H59" s="2"/>
      <c r="I59" s="2"/>
      <c r="J59" s="2"/>
      <c r="K59" s="2"/>
      <c r="L59" s="2"/>
    </row>
    <row r="60" spans="1:12" ht="21.6" customHeight="1" x14ac:dyDescent="0.3">
      <c r="A60" s="2"/>
      <c r="B60" s="2"/>
      <c r="C60" s="2"/>
      <c r="D60" s="2"/>
      <c r="E60" s="2"/>
      <c r="F60" s="2"/>
      <c r="G60" s="2"/>
      <c r="H60" s="2"/>
      <c r="I60" s="2"/>
      <c r="J60" s="2"/>
      <c r="K60" s="2"/>
      <c r="L60" s="2"/>
    </row>
    <row r="61" spans="1:12" ht="21.6" customHeight="1" x14ac:dyDescent="0.3">
      <c r="E61" s="2"/>
      <c r="F61" s="2"/>
      <c r="G61" s="2"/>
      <c r="H61" s="2"/>
      <c r="I61" s="2"/>
      <c r="J61" s="2"/>
      <c r="K61" s="2"/>
      <c r="L61" s="2"/>
    </row>
    <row r="62" spans="1:12" ht="21.6" customHeight="1" x14ac:dyDescent="0.3">
      <c r="E62" s="2"/>
      <c r="F62" s="2"/>
      <c r="G62" s="2"/>
      <c r="H62" s="2"/>
      <c r="I62" s="2"/>
      <c r="J62" s="2"/>
      <c r="K62" s="2"/>
      <c r="L62" s="2"/>
    </row>
    <row r="63" spans="1:12" ht="39.15" customHeight="1" x14ac:dyDescent="0.3">
      <c r="E63" s="301"/>
      <c r="F63" s="301"/>
      <c r="G63" s="301"/>
      <c r="H63" s="2"/>
      <c r="I63" s="2"/>
      <c r="J63" s="2"/>
      <c r="K63" s="2"/>
      <c r="L63" s="2"/>
    </row>
  </sheetData>
  <sheetProtection algorithmName="SHA-512" hashValue="9BJsYXkF+wWmVZlJVkwMNjwbhUBRqxuAKuK4cfvNvKfMmzoJDxOs+oKQrc9hWYptr1lrppF2l5TRsYHMXtyPDA==" saltValue="hLGG9BeBbkqZlcCvTCBhrA==" spinCount="100000" sheet="1" objects="1" scenarios="1" formatColumns="0" formatRows="0"/>
  <mergeCells count="14">
    <mergeCell ref="A1:F1"/>
    <mergeCell ref="A4:A6"/>
    <mergeCell ref="A7:A9"/>
    <mergeCell ref="A10:A15"/>
    <mergeCell ref="A16:A21"/>
    <mergeCell ref="A42:A47"/>
    <mergeCell ref="A48:A53"/>
    <mergeCell ref="A54:A55"/>
    <mergeCell ref="A57:C57"/>
    <mergeCell ref="A22:A23"/>
    <mergeCell ref="A31:F32"/>
    <mergeCell ref="A25:K26"/>
    <mergeCell ref="A36:A38"/>
    <mergeCell ref="A39:A4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8"/>
  <sheetViews>
    <sheetView showRuler="0" workbookViewId="0">
      <selection sqref="A1:F1"/>
    </sheetView>
  </sheetViews>
  <sheetFormatPr defaultColWidth="13.6640625" defaultRowHeight="13.2" x14ac:dyDescent="0.25"/>
  <cols>
    <col min="1" max="1" width="27.88671875" customWidth="1"/>
    <col min="2" max="2" width="22.109375" customWidth="1"/>
    <col min="3" max="5" width="14.109375" customWidth="1"/>
    <col min="6" max="6" width="14.88671875" customWidth="1"/>
    <col min="7" max="8" width="14.109375" customWidth="1"/>
    <col min="9" max="9" width="15.44140625" customWidth="1"/>
    <col min="10" max="10" width="23.33203125" customWidth="1"/>
  </cols>
  <sheetData>
    <row r="1" spans="1:10" ht="25.95" customHeight="1" x14ac:dyDescent="0.3">
      <c r="A1" s="595" t="s">
        <v>540</v>
      </c>
      <c r="B1" s="595"/>
      <c r="C1" s="595"/>
      <c r="D1" s="595"/>
      <c r="E1" s="595"/>
      <c r="F1" s="595"/>
      <c r="G1" s="2"/>
      <c r="H1" s="2"/>
      <c r="I1" s="2"/>
    </row>
    <row r="2" spans="1:10" ht="22.5" customHeight="1" x14ac:dyDescent="0.3">
      <c r="A2" s="28"/>
      <c r="B2" s="28"/>
      <c r="C2" s="28"/>
      <c r="D2" s="28"/>
      <c r="E2" s="28"/>
      <c r="F2" s="28"/>
      <c r="G2" s="2"/>
      <c r="H2" s="2"/>
      <c r="I2" s="2"/>
    </row>
    <row r="3" spans="1:10" ht="50.85" customHeight="1" x14ac:dyDescent="0.3">
      <c r="A3" s="45" t="s">
        <v>541</v>
      </c>
      <c r="B3" s="112">
        <v>2019</v>
      </c>
      <c r="C3" s="112">
        <v>2020</v>
      </c>
      <c r="D3" s="112">
        <v>2021</v>
      </c>
      <c r="E3" s="112">
        <v>2022</v>
      </c>
      <c r="F3" s="112">
        <v>2023</v>
      </c>
      <c r="G3" s="13"/>
      <c r="J3" s="2"/>
    </row>
    <row r="4" spans="1:10" ht="21.6" customHeight="1" x14ac:dyDescent="0.3">
      <c r="A4" s="5" t="s">
        <v>542</v>
      </c>
      <c r="B4" s="106">
        <v>45.4</v>
      </c>
      <c r="C4" s="106">
        <v>40.9</v>
      </c>
      <c r="D4" s="106">
        <v>40.9</v>
      </c>
      <c r="E4" s="113">
        <v>38084.455368628602</v>
      </c>
      <c r="F4" s="113">
        <v>33909.756761651101</v>
      </c>
      <c r="G4" s="13"/>
    </row>
    <row r="5" spans="1:10" ht="28.35" customHeight="1" x14ac:dyDescent="0.3">
      <c r="A5" s="532" t="s">
        <v>543</v>
      </c>
      <c r="B5" s="532"/>
      <c r="C5" s="532"/>
      <c r="D5" s="532"/>
      <c r="E5" s="532"/>
      <c r="F5" s="532"/>
      <c r="G5" s="27"/>
      <c r="H5" s="2"/>
    </row>
    <row r="6" spans="1:10" ht="26.7" customHeight="1" x14ac:dyDescent="0.3">
      <c r="A6" s="2"/>
      <c r="B6" s="2"/>
      <c r="C6" s="2"/>
      <c r="D6" s="2"/>
      <c r="E6" s="2"/>
      <c r="F6" s="2"/>
      <c r="G6" s="2"/>
      <c r="H6" s="2"/>
    </row>
    <row r="7" spans="1:10" ht="20.85" customHeight="1" x14ac:dyDescent="0.25"/>
    <row r="8" spans="1:10" ht="64.2" customHeight="1" x14ac:dyDescent="0.3">
      <c r="A8" s="114" t="s">
        <v>79</v>
      </c>
      <c r="B8" s="5" t="s">
        <v>207</v>
      </c>
      <c r="C8" s="115" t="s">
        <v>544</v>
      </c>
      <c r="D8" s="115" t="s">
        <v>545</v>
      </c>
      <c r="E8" s="115" t="s">
        <v>546</v>
      </c>
      <c r="F8" s="115" t="s">
        <v>547</v>
      </c>
      <c r="G8" s="115" t="s">
        <v>548</v>
      </c>
      <c r="H8" s="61" t="s">
        <v>549</v>
      </c>
      <c r="I8" s="13"/>
    </row>
    <row r="9" spans="1:10" ht="22.5" customHeight="1" x14ac:dyDescent="0.3">
      <c r="A9" s="537" t="s">
        <v>245</v>
      </c>
      <c r="B9" s="23" t="s">
        <v>246</v>
      </c>
      <c r="C9" s="116">
        <v>0</v>
      </c>
      <c r="D9" s="116">
        <v>0</v>
      </c>
      <c r="E9" s="116">
        <v>0</v>
      </c>
      <c r="F9" s="116">
        <v>0</v>
      </c>
      <c r="G9" s="116">
        <v>0</v>
      </c>
      <c r="H9" s="117"/>
      <c r="I9" s="13"/>
    </row>
    <row r="10" spans="1:10" ht="22.5" customHeight="1" x14ac:dyDescent="0.3">
      <c r="A10" s="591"/>
      <c r="B10" s="85" t="s">
        <v>514</v>
      </c>
      <c r="C10" s="118">
        <v>0</v>
      </c>
      <c r="D10" s="118">
        <v>0</v>
      </c>
      <c r="E10" s="118">
        <v>0</v>
      </c>
      <c r="F10" s="118">
        <v>0</v>
      </c>
      <c r="G10" s="118">
        <v>0</v>
      </c>
      <c r="H10" s="119" t="s">
        <v>550</v>
      </c>
      <c r="I10" s="13"/>
    </row>
    <row r="11" spans="1:10" ht="22.5" customHeight="1" x14ac:dyDescent="0.3">
      <c r="A11" s="538"/>
      <c r="B11" s="85" t="s">
        <v>247</v>
      </c>
      <c r="C11" s="118">
        <v>0</v>
      </c>
      <c r="D11" s="118">
        <v>0</v>
      </c>
      <c r="E11" s="118">
        <v>0</v>
      </c>
      <c r="F11" s="118">
        <v>0</v>
      </c>
      <c r="G11" s="118">
        <v>0</v>
      </c>
      <c r="H11" s="119" t="s">
        <v>551</v>
      </c>
      <c r="I11" s="13"/>
    </row>
    <row r="12" spans="1:10" ht="22.5" customHeight="1" x14ac:dyDescent="0.3">
      <c r="A12" s="537" t="s">
        <v>251</v>
      </c>
      <c r="B12" s="23" t="s">
        <v>252</v>
      </c>
      <c r="C12" s="116">
        <v>0</v>
      </c>
      <c r="D12" s="116">
        <v>0</v>
      </c>
      <c r="E12" s="116">
        <v>0</v>
      </c>
      <c r="F12" s="116">
        <v>2</v>
      </c>
      <c r="G12" s="116">
        <v>0</v>
      </c>
      <c r="H12" s="117"/>
      <c r="I12" s="13"/>
    </row>
    <row r="13" spans="1:10" ht="22.5" customHeight="1" x14ac:dyDescent="0.3">
      <c r="A13" s="596"/>
      <c r="B13" s="85" t="s">
        <v>253</v>
      </c>
      <c r="C13" s="118">
        <v>0</v>
      </c>
      <c r="D13" s="118">
        <v>0</v>
      </c>
      <c r="E13" s="118">
        <v>0</v>
      </c>
      <c r="F13" s="118">
        <v>1</v>
      </c>
      <c r="G13" s="118">
        <v>0</v>
      </c>
      <c r="H13" s="119" t="s">
        <v>552</v>
      </c>
      <c r="I13" s="13"/>
    </row>
    <row r="14" spans="1:10" ht="22.5" customHeight="1" x14ac:dyDescent="0.3">
      <c r="A14" s="594"/>
      <c r="B14" s="85" t="s">
        <v>256</v>
      </c>
      <c r="C14" s="118">
        <v>0</v>
      </c>
      <c r="D14" s="118">
        <v>0</v>
      </c>
      <c r="E14" s="118">
        <v>0</v>
      </c>
      <c r="F14" s="118">
        <v>1</v>
      </c>
      <c r="G14" s="118">
        <v>0</v>
      </c>
      <c r="H14" s="119" t="s">
        <v>553</v>
      </c>
      <c r="I14" s="13"/>
    </row>
    <row r="15" spans="1:10" ht="22.5" customHeight="1" x14ac:dyDescent="0.3">
      <c r="A15" s="537" t="s">
        <v>213</v>
      </c>
      <c r="B15" s="23" t="s">
        <v>328</v>
      </c>
      <c r="C15" s="116">
        <v>0</v>
      </c>
      <c r="D15" s="116">
        <v>0</v>
      </c>
      <c r="E15" s="116">
        <v>0</v>
      </c>
      <c r="F15" s="116">
        <v>0</v>
      </c>
      <c r="G15" s="116">
        <v>0</v>
      </c>
      <c r="H15" s="117"/>
      <c r="I15" s="13"/>
    </row>
    <row r="16" spans="1:10" ht="22.5" customHeight="1" x14ac:dyDescent="0.3">
      <c r="A16" s="596"/>
      <c r="B16" s="85" t="s">
        <v>453</v>
      </c>
      <c r="C16" s="118">
        <v>0</v>
      </c>
      <c r="D16" s="118">
        <v>0</v>
      </c>
      <c r="E16" s="118">
        <v>0</v>
      </c>
      <c r="F16" s="118">
        <v>0</v>
      </c>
      <c r="G16" s="118">
        <v>0</v>
      </c>
      <c r="H16" s="119" t="s">
        <v>554</v>
      </c>
      <c r="I16" s="13"/>
    </row>
    <row r="17" spans="1:9" ht="22.5" customHeight="1" x14ac:dyDescent="0.3">
      <c r="A17" s="596"/>
      <c r="B17" s="23" t="s">
        <v>214</v>
      </c>
      <c r="C17" s="116">
        <v>0</v>
      </c>
      <c r="D17" s="116">
        <v>0</v>
      </c>
      <c r="E17" s="116">
        <v>0</v>
      </c>
      <c r="F17" s="116">
        <v>0</v>
      </c>
      <c r="G17" s="116">
        <v>0</v>
      </c>
      <c r="H17" s="120"/>
      <c r="I17" s="13"/>
    </row>
    <row r="18" spans="1:9" ht="22.5" customHeight="1" x14ac:dyDescent="0.3">
      <c r="A18" s="596"/>
      <c r="B18" s="85" t="s">
        <v>215</v>
      </c>
      <c r="C18" s="118">
        <v>0</v>
      </c>
      <c r="D18" s="118">
        <v>0</v>
      </c>
      <c r="E18" s="118">
        <v>0</v>
      </c>
      <c r="F18" s="118">
        <v>0</v>
      </c>
      <c r="G18" s="118">
        <v>0</v>
      </c>
      <c r="H18" s="119" t="s">
        <v>555</v>
      </c>
      <c r="I18" s="13"/>
    </row>
    <row r="19" spans="1:9" ht="22.5" customHeight="1" x14ac:dyDescent="0.3">
      <c r="A19" s="596"/>
      <c r="B19" s="23" t="s">
        <v>265</v>
      </c>
      <c r="C19" s="116">
        <v>0</v>
      </c>
      <c r="D19" s="116">
        <v>0</v>
      </c>
      <c r="E19" s="116">
        <v>0</v>
      </c>
      <c r="F19" s="116">
        <v>0</v>
      </c>
      <c r="G19" s="116">
        <v>0</v>
      </c>
      <c r="H19" s="120"/>
      <c r="I19" s="13"/>
    </row>
    <row r="20" spans="1:9" ht="22.5" customHeight="1" x14ac:dyDescent="0.3">
      <c r="A20" s="594"/>
      <c r="B20" s="85" t="s">
        <v>266</v>
      </c>
      <c r="C20" s="118">
        <v>0</v>
      </c>
      <c r="D20" s="118">
        <v>0</v>
      </c>
      <c r="E20" s="118">
        <v>0</v>
      </c>
      <c r="F20" s="118">
        <v>0</v>
      </c>
      <c r="G20" s="118">
        <v>0</v>
      </c>
      <c r="H20" s="119" t="s">
        <v>556</v>
      </c>
      <c r="I20" s="13"/>
    </row>
    <row r="21" spans="1:9" ht="22.5" customHeight="1" x14ac:dyDescent="0.3">
      <c r="A21" s="537" t="s">
        <v>224</v>
      </c>
      <c r="B21" s="23" t="s">
        <v>225</v>
      </c>
      <c r="C21" s="116">
        <v>0</v>
      </c>
      <c r="D21" s="116">
        <v>0</v>
      </c>
      <c r="E21" s="116">
        <v>0</v>
      </c>
      <c r="F21" s="116">
        <v>3</v>
      </c>
      <c r="G21" s="116">
        <v>0</v>
      </c>
      <c r="H21" s="120"/>
      <c r="I21" s="13"/>
    </row>
    <row r="22" spans="1:9" ht="22.5" customHeight="1" x14ac:dyDescent="0.3">
      <c r="A22" s="596"/>
      <c r="B22" s="85" t="s">
        <v>226</v>
      </c>
      <c r="C22" s="118">
        <v>0</v>
      </c>
      <c r="D22" s="118">
        <v>0</v>
      </c>
      <c r="E22" s="118">
        <v>0</v>
      </c>
      <c r="F22" s="118">
        <v>1</v>
      </c>
      <c r="G22" s="118">
        <v>0</v>
      </c>
      <c r="H22" s="119" t="s">
        <v>557</v>
      </c>
      <c r="I22" s="13"/>
    </row>
    <row r="23" spans="1:9" ht="22.5" customHeight="1" x14ac:dyDescent="0.3">
      <c r="A23" s="596"/>
      <c r="B23" s="85" t="s">
        <v>454</v>
      </c>
      <c r="C23" s="118">
        <v>0</v>
      </c>
      <c r="D23" s="118">
        <v>0</v>
      </c>
      <c r="E23" s="118">
        <v>0</v>
      </c>
      <c r="F23" s="118">
        <v>0</v>
      </c>
      <c r="G23" s="118">
        <v>0</v>
      </c>
      <c r="H23" s="119" t="s">
        <v>558</v>
      </c>
      <c r="I23" s="13"/>
    </row>
    <row r="24" spans="1:9" ht="22.5" customHeight="1" x14ac:dyDescent="0.3">
      <c r="A24" s="596"/>
      <c r="B24" s="85" t="s">
        <v>230</v>
      </c>
      <c r="C24" s="118">
        <v>0</v>
      </c>
      <c r="D24" s="118">
        <v>0</v>
      </c>
      <c r="E24" s="118">
        <v>0</v>
      </c>
      <c r="F24" s="118">
        <v>2</v>
      </c>
      <c r="G24" s="118">
        <v>0</v>
      </c>
      <c r="H24" s="119" t="s">
        <v>559</v>
      </c>
      <c r="I24" s="13"/>
    </row>
    <row r="25" spans="1:9" ht="22.5" customHeight="1" x14ac:dyDescent="0.3">
      <c r="A25" s="596"/>
      <c r="B25" s="23" t="s">
        <v>276</v>
      </c>
      <c r="C25" s="116">
        <v>0</v>
      </c>
      <c r="D25" s="116">
        <v>0</v>
      </c>
      <c r="E25" s="116">
        <v>0</v>
      </c>
      <c r="F25" s="116">
        <v>0</v>
      </c>
      <c r="G25" s="116">
        <v>0</v>
      </c>
      <c r="H25" s="120"/>
      <c r="I25" s="13"/>
    </row>
    <row r="26" spans="1:9" ht="22.5" customHeight="1" x14ac:dyDescent="0.3">
      <c r="A26" s="594"/>
      <c r="B26" s="85" t="s">
        <v>277</v>
      </c>
      <c r="C26" s="118">
        <v>0</v>
      </c>
      <c r="D26" s="118">
        <v>0</v>
      </c>
      <c r="E26" s="118">
        <v>0</v>
      </c>
      <c r="F26" s="118">
        <v>0</v>
      </c>
      <c r="G26" s="118">
        <v>0</v>
      </c>
      <c r="H26" s="119" t="s">
        <v>560</v>
      </c>
      <c r="I26" s="13"/>
    </row>
    <row r="27" spans="1:9" ht="22.5" customHeight="1" x14ac:dyDescent="0.3">
      <c r="A27" s="537" t="s">
        <v>234</v>
      </c>
      <c r="B27" s="23" t="s">
        <v>235</v>
      </c>
      <c r="C27" s="116">
        <v>0</v>
      </c>
      <c r="D27" s="116">
        <v>0</v>
      </c>
      <c r="E27" s="116">
        <v>0</v>
      </c>
      <c r="F27" s="116">
        <v>0</v>
      </c>
      <c r="G27" s="116">
        <v>0</v>
      </c>
      <c r="H27" s="120"/>
      <c r="I27" s="13"/>
    </row>
    <row r="28" spans="1:9" ht="22.5" customHeight="1" x14ac:dyDescent="0.3">
      <c r="A28" s="594"/>
      <c r="B28" s="85" t="s">
        <v>236</v>
      </c>
      <c r="C28" s="118">
        <v>0</v>
      </c>
      <c r="D28" s="118">
        <v>0</v>
      </c>
      <c r="E28" s="118">
        <v>0</v>
      </c>
      <c r="F28" s="118">
        <v>0</v>
      </c>
      <c r="G28" s="118">
        <v>0</v>
      </c>
      <c r="H28" s="119" t="s">
        <v>561</v>
      </c>
      <c r="I28" s="13"/>
    </row>
    <row r="29" spans="1:9" ht="22.5" customHeight="1" x14ac:dyDescent="0.3">
      <c r="A29" s="6" t="s">
        <v>455</v>
      </c>
      <c r="B29" s="23" t="s">
        <v>318</v>
      </c>
      <c r="C29" s="116">
        <v>0</v>
      </c>
      <c r="D29" s="116">
        <v>0</v>
      </c>
      <c r="E29" s="116">
        <v>0</v>
      </c>
      <c r="F29" s="116">
        <v>5</v>
      </c>
      <c r="G29" s="116">
        <v>0</v>
      </c>
      <c r="H29" s="117"/>
      <c r="I29" s="13"/>
    </row>
    <row r="30" spans="1:9" ht="39.15" customHeight="1" x14ac:dyDescent="0.3">
      <c r="A30" s="547" t="s">
        <v>562</v>
      </c>
      <c r="B30" s="547"/>
      <c r="C30" s="547"/>
      <c r="D30" s="547"/>
      <c r="E30" s="547"/>
      <c r="F30" s="547"/>
      <c r="G30" s="547"/>
      <c r="H30" s="547"/>
    </row>
    <row r="31" spans="1:9" ht="15" customHeight="1" x14ac:dyDescent="0.25"/>
    <row r="32" spans="1: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sheetData>
  <sheetProtection algorithmName="SHA-512" hashValue="T/qpsC/5JeHI821ZCiOrOcWMygl9vc0qdgTu725BjkVaQSkcO+eteH1nYtBlESm4h3bvb6DaWinbKLkHB4V+4Q==" saltValue="eMSpK8+MVoDqx4lw9K5V3w==" spinCount="100000" sheet="1" objects="1" scenarios="1" formatColumns="0" formatRows="0"/>
  <mergeCells count="8">
    <mergeCell ref="A21:A26"/>
    <mergeCell ref="A27:A28"/>
    <mergeCell ref="A30:H30"/>
    <mergeCell ref="A1:F1"/>
    <mergeCell ref="A5:F5"/>
    <mergeCell ref="A9:A11"/>
    <mergeCell ref="A12:A14"/>
    <mergeCell ref="A15:A2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0A631-5AD7-481C-919F-23B2237945D2}">
  <dimension ref="A1:Z349"/>
  <sheetViews>
    <sheetView showRuler="0" topLeftCell="A119" workbookViewId="0">
      <selection activeCell="A152" sqref="A152:R154"/>
    </sheetView>
  </sheetViews>
  <sheetFormatPr defaultColWidth="13.6640625" defaultRowHeight="13.2" x14ac:dyDescent="0.25"/>
  <cols>
    <col min="1" max="1" width="40" customWidth="1"/>
    <col min="2" max="2" width="16" customWidth="1"/>
    <col min="3" max="3" width="15.5546875" customWidth="1"/>
    <col min="4" max="13" width="14.88671875" customWidth="1"/>
    <col min="14" max="14" width="18" customWidth="1"/>
    <col min="15" max="15" width="15.6640625" customWidth="1"/>
    <col min="16" max="21" width="14.88671875" customWidth="1"/>
    <col min="22" max="27" width="14.33203125" customWidth="1"/>
    <col min="28" max="28" width="24.88671875" customWidth="1"/>
  </cols>
  <sheetData>
    <row r="1" spans="1:25" ht="25.95" customHeight="1" x14ac:dyDescent="0.3">
      <c r="A1" s="595" t="s">
        <v>563</v>
      </c>
      <c r="B1" s="595"/>
      <c r="C1" s="595"/>
      <c r="D1" s="595"/>
      <c r="E1" s="595"/>
      <c r="F1" s="595"/>
      <c r="G1" s="17"/>
      <c r="H1" s="17"/>
      <c r="I1" s="17"/>
      <c r="J1" s="17"/>
      <c r="K1" s="17"/>
      <c r="L1" s="17"/>
      <c r="M1" s="17"/>
      <c r="N1" s="17"/>
      <c r="O1" s="17"/>
      <c r="P1" s="17"/>
      <c r="Q1" s="17"/>
      <c r="R1" s="17"/>
      <c r="S1" s="2"/>
      <c r="T1" s="2"/>
      <c r="U1" s="2"/>
      <c r="V1" s="2"/>
    </row>
    <row r="2" spans="1:25" ht="19.2" customHeight="1" x14ac:dyDescent="0.3">
      <c r="A2" s="398" t="s">
        <v>564</v>
      </c>
      <c r="B2" s="415"/>
      <c r="C2" s="415" t="s">
        <v>565</v>
      </c>
      <c r="D2" s="415" t="s">
        <v>566</v>
      </c>
      <c r="E2" s="415" t="s">
        <v>567</v>
      </c>
      <c r="F2" s="415" t="s">
        <v>568</v>
      </c>
      <c r="G2" s="415" t="s">
        <v>569</v>
      </c>
      <c r="H2" s="415" t="s">
        <v>570</v>
      </c>
      <c r="I2" s="415" t="s">
        <v>571</v>
      </c>
      <c r="J2" s="415" t="s">
        <v>572</v>
      </c>
      <c r="K2" s="415" t="s">
        <v>573</v>
      </c>
      <c r="L2" s="415" t="s">
        <v>574</v>
      </c>
      <c r="M2" s="415" t="s">
        <v>575</v>
      </c>
      <c r="N2" s="415" t="s">
        <v>576</v>
      </c>
      <c r="O2" s="415" t="s">
        <v>577</v>
      </c>
      <c r="P2" s="415" t="s">
        <v>578</v>
      </c>
      <c r="Q2" s="415" t="s">
        <v>579</v>
      </c>
      <c r="R2" s="415" t="s">
        <v>580</v>
      </c>
      <c r="S2" s="447" t="s">
        <v>581</v>
      </c>
      <c r="T2" s="447" t="s">
        <v>582</v>
      </c>
      <c r="U2" s="447" t="s">
        <v>583</v>
      </c>
      <c r="V2" s="447" t="s">
        <v>584</v>
      </c>
      <c r="W2" s="447" t="s">
        <v>585</v>
      </c>
      <c r="X2" s="448"/>
      <c r="Y2" s="448"/>
    </row>
    <row r="3" spans="1:25" ht="22.5" customHeight="1" x14ac:dyDescent="0.3">
      <c r="A3" s="623" t="s">
        <v>81</v>
      </c>
      <c r="B3" s="616" t="s">
        <v>207</v>
      </c>
      <c r="C3" s="619" t="s">
        <v>586</v>
      </c>
      <c r="D3" s="620"/>
      <c r="E3" s="620"/>
      <c r="F3" s="620"/>
      <c r="G3" s="620"/>
      <c r="H3" s="620"/>
      <c r="I3" s="620"/>
      <c r="J3" s="620"/>
      <c r="K3" s="620"/>
      <c r="L3" s="620"/>
      <c r="M3" s="620"/>
      <c r="N3" s="621"/>
      <c r="O3" s="619" t="s">
        <v>587</v>
      </c>
      <c r="P3" s="620"/>
      <c r="Q3" s="621"/>
      <c r="R3" s="616" t="s">
        <v>588</v>
      </c>
      <c r="S3" s="13"/>
      <c r="V3" s="2"/>
      <c r="W3" s="2"/>
    </row>
    <row r="4" spans="1:25" ht="39.15" customHeight="1" x14ac:dyDescent="0.3">
      <c r="A4" s="624"/>
      <c r="B4" s="618"/>
      <c r="C4" s="619" t="s">
        <v>589</v>
      </c>
      <c r="D4" s="620"/>
      <c r="E4" s="620"/>
      <c r="F4" s="620"/>
      <c r="G4" s="620"/>
      <c r="H4" s="620"/>
      <c r="I4" s="620"/>
      <c r="J4" s="621"/>
      <c r="K4" s="619" t="s">
        <v>590</v>
      </c>
      <c r="L4" s="620"/>
      <c r="M4" s="621"/>
      <c r="N4" s="616" t="s">
        <v>591</v>
      </c>
      <c r="O4" s="278" t="s">
        <v>589</v>
      </c>
      <c r="P4" s="278" t="s">
        <v>590</v>
      </c>
      <c r="Q4" s="616" t="s">
        <v>592</v>
      </c>
      <c r="R4" s="617"/>
      <c r="S4" s="80"/>
      <c r="U4" s="2"/>
      <c r="V4" s="2"/>
    </row>
    <row r="5" spans="1:25" ht="55.95" customHeight="1" x14ac:dyDescent="0.3">
      <c r="A5" s="552"/>
      <c r="B5" s="622"/>
      <c r="C5" s="164" t="s">
        <v>566</v>
      </c>
      <c r="D5" s="164" t="s">
        <v>593</v>
      </c>
      <c r="E5" s="164" t="s">
        <v>568</v>
      </c>
      <c r="F5" s="164" t="s">
        <v>569</v>
      </c>
      <c r="G5" s="164" t="s">
        <v>570</v>
      </c>
      <c r="H5" s="164" t="s">
        <v>571</v>
      </c>
      <c r="I5" s="164" t="s">
        <v>572</v>
      </c>
      <c r="J5" s="164" t="s">
        <v>594</v>
      </c>
      <c r="K5" s="164" t="s">
        <v>576</v>
      </c>
      <c r="L5" s="164" t="s">
        <v>577</v>
      </c>
      <c r="M5" s="164" t="s">
        <v>595</v>
      </c>
      <c r="N5" s="618"/>
      <c r="O5" s="164" t="s">
        <v>596</v>
      </c>
      <c r="P5" s="164" t="s">
        <v>596</v>
      </c>
      <c r="Q5" s="618"/>
      <c r="R5" s="618"/>
      <c r="S5" s="13"/>
      <c r="T5" s="2"/>
    </row>
    <row r="6" spans="1:25" ht="20.100000000000001" customHeight="1" x14ac:dyDescent="0.3">
      <c r="A6" s="602" t="s">
        <v>245</v>
      </c>
      <c r="B6" s="86" t="s">
        <v>246</v>
      </c>
      <c r="C6" s="391">
        <v>2516493.7521191998</v>
      </c>
      <c r="D6" s="391">
        <v>3939.4027999999998</v>
      </c>
      <c r="E6" s="391">
        <v>0</v>
      </c>
      <c r="F6" s="391">
        <v>0</v>
      </c>
      <c r="G6" s="391">
        <v>682.08</v>
      </c>
      <c r="H6" s="391">
        <v>0</v>
      </c>
      <c r="I6" s="391">
        <v>0</v>
      </c>
      <c r="J6" s="391">
        <v>2521115.2349192002</v>
      </c>
      <c r="K6" s="391">
        <v>492.14761199999998</v>
      </c>
      <c r="L6" s="391">
        <v>0</v>
      </c>
      <c r="M6" s="391">
        <v>492.14761199999998</v>
      </c>
      <c r="N6" s="391">
        <v>2521607.3825312001</v>
      </c>
      <c r="O6" s="391">
        <v>1331398.2671999999</v>
      </c>
      <c r="P6" s="391">
        <v>1042578.1727999999</v>
      </c>
      <c r="Q6" s="391">
        <v>2373976.44</v>
      </c>
      <c r="R6" s="391">
        <v>4895583.8225312</v>
      </c>
      <c r="S6" s="13"/>
      <c r="T6" s="449"/>
      <c r="U6" s="2"/>
    </row>
    <row r="7" spans="1:25" ht="20.100000000000001" customHeight="1" x14ac:dyDescent="0.3">
      <c r="A7" s="602"/>
      <c r="B7" s="85" t="s">
        <v>514</v>
      </c>
      <c r="C7" s="392">
        <v>1557221.6578800001</v>
      </c>
      <c r="D7" s="392">
        <v>3939.4027999999998</v>
      </c>
      <c r="E7" s="392">
        <v>0</v>
      </c>
      <c r="F7" s="392">
        <v>0</v>
      </c>
      <c r="G7" s="392">
        <v>631.50400000000002</v>
      </c>
      <c r="H7" s="392">
        <v>0</v>
      </c>
      <c r="I7" s="392">
        <v>0</v>
      </c>
      <c r="J7" s="392">
        <v>1561792.5646800001</v>
      </c>
      <c r="K7" s="392">
        <v>0</v>
      </c>
      <c r="L7" s="392">
        <v>0</v>
      </c>
      <c r="M7" s="392">
        <v>0</v>
      </c>
      <c r="N7" s="392">
        <v>1561792.5646800001</v>
      </c>
      <c r="O7" s="392">
        <v>814435.5024</v>
      </c>
      <c r="P7" s="392">
        <v>751786.6176</v>
      </c>
      <c r="Q7" s="392">
        <v>1566222.12</v>
      </c>
      <c r="R7" s="392">
        <v>3128014.6846799999</v>
      </c>
      <c r="S7" s="13"/>
      <c r="T7" s="449"/>
      <c r="U7" s="2"/>
    </row>
    <row r="8" spans="1:25" ht="20.100000000000001" customHeight="1" x14ac:dyDescent="0.3">
      <c r="A8" s="602"/>
      <c r="B8" s="85" t="s">
        <v>247</v>
      </c>
      <c r="C8" s="392">
        <v>959272.0942392</v>
      </c>
      <c r="D8" s="392">
        <v>0</v>
      </c>
      <c r="E8" s="392">
        <v>0</v>
      </c>
      <c r="F8" s="392">
        <v>0</v>
      </c>
      <c r="G8" s="392">
        <v>50.576000000000001</v>
      </c>
      <c r="H8" s="392">
        <v>0</v>
      </c>
      <c r="I8" s="392">
        <v>0</v>
      </c>
      <c r="J8" s="392">
        <v>959322.6702392</v>
      </c>
      <c r="K8" s="392">
        <v>492.14761199999998</v>
      </c>
      <c r="L8" s="392">
        <v>0</v>
      </c>
      <c r="M8" s="392">
        <v>492.14761199999998</v>
      </c>
      <c r="N8" s="392">
        <v>959814.8178512</v>
      </c>
      <c r="O8" s="392">
        <v>516962.7648</v>
      </c>
      <c r="P8" s="392">
        <v>290791.5552</v>
      </c>
      <c r="Q8" s="392">
        <v>807754.32</v>
      </c>
      <c r="R8" s="392">
        <v>1767569.1378512001</v>
      </c>
      <c r="S8" s="13"/>
      <c r="T8" s="449"/>
      <c r="U8" s="2"/>
    </row>
    <row r="9" spans="1:25" ht="20.100000000000001" customHeight="1" x14ac:dyDescent="0.3">
      <c r="A9" s="602" t="s">
        <v>251</v>
      </c>
      <c r="B9" s="86" t="s">
        <v>252</v>
      </c>
      <c r="C9" s="391">
        <v>4113538.577112</v>
      </c>
      <c r="D9" s="391">
        <v>0</v>
      </c>
      <c r="E9" s="391">
        <v>63.098999999999997</v>
      </c>
      <c r="F9" s="391">
        <v>2615096</v>
      </c>
      <c r="G9" s="391">
        <v>40390.505499999999</v>
      </c>
      <c r="H9" s="391">
        <v>0</v>
      </c>
      <c r="I9" s="391">
        <v>239862.16209999999</v>
      </c>
      <c r="J9" s="391">
        <v>7008950.3437120002</v>
      </c>
      <c r="K9" s="391">
        <v>0</v>
      </c>
      <c r="L9" s="391">
        <v>0</v>
      </c>
      <c r="M9" s="391">
        <v>0</v>
      </c>
      <c r="N9" s="391">
        <v>7008950.3437120002</v>
      </c>
      <c r="O9" s="391">
        <v>3420982.44</v>
      </c>
      <c r="P9" s="391">
        <v>0</v>
      </c>
      <c r="Q9" s="391">
        <v>3420982.44</v>
      </c>
      <c r="R9" s="391">
        <v>10429932.783712</v>
      </c>
      <c r="S9" s="13"/>
      <c r="T9" s="449"/>
      <c r="U9" s="2"/>
    </row>
    <row r="10" spans="1:25" ht="20.100000000000001" customHeight="1" x14ac:dyDescent="0.3">
      <c r="A10" s="602"/>
      <c r="B10" s="85" t="s">
        <v>253</v>
      </c>
      <c r="C10" s="392">
        <v>3343231.1099120001</v>
      </c>
      <c r="D10" s="392">
        <v>0</v>
      </c>
      <c r="E10" s="392">
        <v>0</v>
      </c>
      <c r="F10" s="392">
        <v>0</v>
      </c>
      <c r="G10" s="392">
        <v>28214.436600000001</v>
      </c>
      <c r="H10" s="392">
        <v>0</v>
      </c>
      <c r="I10" s="392">
        <v>0</v>
      </c>
      <c r="J10" s="392">
        <v>3371445.5465119998</v>
      </c>
      <c r="K10" s="392">
        <v>0</v>
      </c>
      <c r="L10" s="392">
        <v>0</v>
      </c>
      <c r="M10" s="392">
        <v>0</v>
      </c>
      <c r="N10" s="392">
        <v>3371445.5465119998</v>
      </c>
      <c r="O10" s="392">
        <v>3420982.44</v>
      </c>
      <c r="P10" s="392">
        <v>0</v>
      </c>
      <c r="Q10" s="392">
        <v>3420982.44</v>
      </c>
      <c r="R10" s="392">
        <v>6792427.9865119997</v>
      </c>
      <c r="S10" s="13"/>
      <c r="T10" s="449"/>
      <c r="U10" s="2"/>
    </row>
    <row r="11" spans="1:25" ht="20.100000000000001" customHeight="1" x14ac:dyDescent="0.3">
      <c r="A11" s="602"/>
      <c r="B11" s="85" t="s">
        <v>256</v>
      </c>
      <c r="C11" s="392">
        <v>770307.46719999996</v>
      </c>
      <c r="D11" s="392">
        <v>0</v>
      </c>
      <c r="E11" s="392">
        <v>63.098999999999997</v>
      </c>
      <c r="F11" s="392">
        <v>2615096</v>
      </c>
      <c r="G11" s="392">
        <v>12176.0689</v>
      </c>
      <c r="H11" s="392">
        <v>0</v>
      </c>
      <c r="I11" s="392">
        <v>239862.16209999999</v>
      </c>
      <c r="J11" s="392">
        <v>3637504.7971999999</v>
      </c>
      <c r="K11" s="392">
        <v>0</v>
      </c>
      <c r="L11" s="392">
        <v>0</v>
      </c>
      <c r="M11" s="392">
        <v>0</v>
      </c>
      <c r="N11" s="392">
        <v>3637504.7971999999</v>
      </c>
      <c r="O11" s="392">
        <v>0</v>
      </c>
      <c r="P11" s="392">
        <v>0</v>
      </c>
      <c r="Q11" s="392">
        <v>0</v>
      </c>
      <c r="R11" s="392">
        <v>3637504.7971999999</v>
      </c>
      <c r="S11" s="13"/>
      <c r="T11" s="449"/>
      <c r="U11" s="2"/>
    </row>
    <row r="12" spans="1:25" ht="20.100000000000001" customHeight="1" x14ac:dyDescent="0.3">
      <c r="A12" s="602" t="s">
        <v>213</v>
      </c>
      <c r="B12" s="86" t="s">
        <v>328</v>
      </c>
      <c r="C12" s="391">
        <v>339206.61038039997</v>
      </c>
      <c r="D12" s="391">
        <v>0</v>
      </c>
      <c r="E12" s="391">
        <v>245.50788</v>
      </c>
      <c r="F12" s="391">
        <v>0</v>
      </c>
      <c r="G12" s="391">
        <v>1220.0648000000001</v>
      </c>
      <c r="H12" s="391">
        <v>0</v>
      </c>
      <c r="I12" s="391">
        <v>17192.857499999998</v>
      </c>
      <c r="J12" s="391">
        <v>357865.0405604</v>
      </c>
      <c r="K12" s="391">
        <v>0</v>
      </c>
      <c r="L12" s="391">
        <v>0</v>
      </c>
      <c r="M12" s="391">
        <v>0</v>
      </c>
      <c r="N12" s="391">
        <v>357865.0405604</v>
      </c>
      <c r="O12" s="391">
        <v>285717.59999999998</v>
      </c>
      <c r="P12" s="391">
        <v>136969.20000000001</v>
      </c>
      <c r="Q12" s="391">
        <v>422686.8</v>
      </c>
      <c r="R12" s="391">
        <v>780551.84056040004</v>
      </c>
      <c r="S12" s="13"/>
      <c r="T12" s="449"/>
      <c r="U12" s="2"/>
    </row>
    <row r="13" spans="1:25" ht="20.100000000000001" customHeight="1" x14ac:dyDescent="0.3">
      <c r="A13" s="602"/>
      <c r="B13" s="85" t="s">
        <v>453</v>
      </c>
      <c r="C13" s="392">
        <v>339206.61038039997</v>
      </c>
      <c r="D13" s="392">
        <v>0</v>
      </c>
      <c r="E13" s="392">
        <v>245.50788</v>
      </c>
      <c r="F13" s="392">
        <v>0</v>
      </c>
      <c r="G13" s="392">
        <v>1220.0648000000001</v>
      </c>
      <c r="H13" s="392">
        <v>0</v>
      </c>
      <c r="I13" s="392">
        <v>17192.857499999998</v>
      </c>
      <c r="J13" s="392">
        <v>357865.0405604</v>
      </c>
      <c r="K13" s="392">
        <v>0</v>
      </c>
      <c r="L13" s="392">
        <v>0</v>
      </c>
      <c r="M13" s="392">
        <v>0</v>
      </c>
      <c r="N13" s="392">
        <v>357865.0405604</v>
      </c>
      <c r="O13" s="392">
        <v>285717.59999999998</v>
      </c>
      <c r="P13" s="392">
        <v>136969.20000000001</v>
      </c>
      <c r="Q13" s="392">
        <v>422686.8</v>
      </c>
      <c r="R13" s="392">
        <v>780551.84056040004</v>
      </c>
      <c r="S13" s="13"/>
      <c r="T13" s="449"/>
      <c r="U13" s="2"/>
    </row>
    <row r="14" spans="1:25" ht="20.100000000000001" customHeight="1" x14ac:dyDescent="0.3">
      <c r="A14" s="602"/>
      <c r="B14" s="86" t="s">
        <v>214</v>
      </c>
      <c r="C14" s="391">
        <v>2889206.3591832002</v>
      </c>
      <c r="D14" s="391">
        <v>15831.37</v>
      </c>
      <c r="E14" s="391">
        <v>32141.7510588</v>
      </c>
      <c r="F14" s="391">
        <v>0</v>
      </c>
      <c r="G14" s="391">
        <v>5677.3114400000004</v>
      </c>
      <c r="H14" s="391">
        <v>0</v>
      </c>
      <c r="I14" s="391">
        <v>43649.038124999999</v>
      </c>
      <c r="J14" s="391">
        <v>2986505.8298069998</v>
      </c>
      <c r="K14" s="391">
        <v>0</v>
      </c>
      <c r="L14" s="391">
        <v>0</v>
      </c>
      <c r="M14" s="391">
        <v>0</v>
      </c>
      <c r="N14" s="391">
        <v>2986505.8298069998</v>
      </c>
      <c r="O14" s="391">
        <v>2961775.268964</v>
      </c>
      <c r="P14" s="391">
        <v>0</v>
      </c>
      <c r="Q14" s="391">
        <v>2961775.268964</v>
      </c>
      <c r="R14" s="391">
        <v>5948281.0987710003</v>
      </c>
      <c r="S14" s="13"/>
      <c r="T14" s="449"/>
      <c r="U14" s="2"/>
    </row>
    <row r="15" spans="1:25" ht="20.100000000000001" customHeight="1" x14ac:dyDescent="0.3">
      <c r="A15" s="602"/>
      <c r="B15" s="85" t="s">
        <v>215</v>
      </c>
      <c r="C15" s="392">
        <v>2889206.3591832002</v>
      </c>
      <c r="D15" s="392">
        <v>15831.37</v>
      </c>
      <c r="E15" s="392">
        <v>32141.7510588</v>
      </c>
      <c r="F15" s="392">
        <v>0</v>
      </c>
      <c r="G15" s="392">
        <v>5677.3114400000004</v>
      </c>
      <c r="H15" s="392">
        <v>0</v>
      </c>
      <c r="I15" s="392">
        <v>43649.038124999999</v>
      </c>
      <c r="J15" s="392">
        <v>2986505.8298069998</v>
      </c>
      <c r="K15" s="392">
        <v>0</v>
      </c>
      <c r="L15" s="392">
        <v>0</v>
      </c>
      <c r="M15" s="392">
        <v>0</v>
      </c>
      <c r="N15" s="392">
        <v>2986505.8298069998</v>
      </c>
      <c r="O15" s="392">
        <v>2961775.268964</v>
      </c>
      <c r="P15" s="392">
        <v>0</v>
      </c>
      <c r="Q15" s="392">
        <v>2961775.268964</v>
      </c>
      <c r="R15" s="392">
        <v>5948281.0987710003</v>
      </c>
      <c r="S15" s="13"/>
      <c r="T15" s="449"/>
      <c r="U15" s="2"/>
    </row>
    <row r="16" spans="1:25" ht="20.100000000000001" customHeight="1" x14ac:dyDescent="0.3">
      <c r="A16" s="602"/>
      <c r="B16" s="86" t="s">
        <v>265</v>
      </c>
      <c r="C16" s="391">
        <v>1727112.4593072</v>
      </c>
      <c r="D16" s="391">
        <v>0</v>
      </c>
      <c r="E16" s="391">
        <v>1926.1895999999999</v>
      </c>
      <c r="F16" s="391">
        <v>0</v>
      </c>
      <c r="G16" s="391">
        <v>31.667999999999999</v>
      </c>
      <c r="H16" s="391">
        <v>1768298.7013000001</v>
      </c>
      <c r="I16" s="391">
        <v>0</v>
      </c>
      <c r="J16" s="391">
        <v>3497369.0182071999</v>
      </c>
      <c r="K16" s="391">
        <v>0</v>
      </c>
      <c r="L16" s="391">
        <v>0</v>
      </c>
      <c r="M16" s="391">
        <v>0</v>
      </c>
      <c r="N16" s="391">
        <v>3497369.0182071999</v>
      </c>
      <c r="O16" s="391">
        <v>0</v>
      </c>
      <c r="P16" s="391">
        <v>0</v>
      </c>
      <c r="Q16" s="391">
        <v>0</v>
      </c>
      <c r="R16" s="391">
        <v>3497369.0182071999</v>
      </c>
      <c r="S16" s="13"/>
      <c r="T16" s="449"/>
      <c r="U16" s="2"/>
    </row>
    <row r="17" spans="1:26" ht="20.100000000000001" customHeight="1" x14ac:dyDescent="0.3">
      <c r="A17" s="602"/>
      <c r="B17" s="85" t="s">
        <v>266</v>
      </c>
      <c r="C17" s="392">
        <v>1727112.4593072</v>
      </c>
      <c r="D17" s="392">
        <v>0</v>
      </c>
      <c r="E17" s="392">
        <v>1926.1895999999999</v>
      </c>
      <c r="F17" s="392">
        <v>0</v>
      </c>
      <c r="G17" s="392">
        <v>31.667999999999999</v>
      </c>
      <c r="H17" s="392">
        <v>1768298.7013000001</v>
      </c>
      <c r="I17" s="392">
        <v>0</v>
      </c>
      <c r="J17" s="392">
        <v>3497369.0182071999</v>
      </c>
      <c r="K17" s="392">
        <v>0</v>
      </c>
      <c r="L17" s="392">
        <v>0</v>
      </c>
      <c r="M17" s="392">
        <v>0</v>
      </c>
      <c r="N17" s="392">
        <v>3497369.0182071999</v>
      </c>
      <c r="O17" s="392">
        <v>0</v>
      </c>
      <c r="P17" s="392">
        <v>0</v>
      </c>
      <c r="Q17" s="392">
        <v>0</v>
      </c>
      <c r="R17" s="392">
        <v>3497369.0182071999</v>
      </c>
      <c r="S17" s="13"/>
      <c r="T17" s="449"/>
      <c r="U17" s="2"/>
    </row>
    <row r="18" spans="1:26" ht="20.100000000000001" customHeight="1" x14ac:dyDescent="0.3">
      <c r="A18" s="602" t="s">
        <v>224</v>
      </c>
      <c r="B18" s="86" t="s">
        <v>225</v>
      </c>
      <c r="C18" s="391">
        <v>1316964.396837</v>
      </c>
      <c r="D18" s="391">
        <v>0</v>
      </c>
      <c r="E18" s="391">
        <v>32651.599399999999</v>
      </c>
      <c r="F18" s="391">
        <v>166705</v>
      </c>
      <c r="G18" s="391">
        <v>378621.10117029998</v>
      </c>
      <c r="H18" s="391">
        <v>0</v>
      </c>
      <c r="I18" s="391">
        <v>49315.327920000003</v>
      </c>
      <c r="J18" s="391">
        <v>1944257.4253273001</v>
      </c>
      <c r="K18" s="391">
        <v>1483.2</v>
      </c>
      <c r="L18" s="391">
        <v>35294.806900252697</v>
      </c>
      <c r="M18" s="391">
        <v>36778.006900252702</v>
      </c>
      <c r="N18" s="391">
        <v>1981035.4322275501</v>
      </c>
      <c r="O18" s="391">
        <v>804229.2</v>
      </c>
      <c r="P18" s="391">
        <v>1321857.5504399999</v>
      </c>
      <c r="Q18" s="391">
        <v>2126086.7504400001</v>
      </c>
      <c r="R18" s="391">
        <v>4107122.1826675502</v>
      </c>
      <c r="S18" s="13"/>
      <c r="T18" s="449"/>
      <c r="U18" s="450"/>
    </row>
    <row r="19" spans="1:26" ht="20.100000000000001" customHeight="1" x14ac:dyDescent="0.3">
      <c r="A19" s="602"/>
      <c r="B19" s="85" t="s">
        <v>226</v>
      </c>
      <c r="C19" s="392">
        <v>385327.79739999998</v>
      </c>
      <c r="D19" s="392">
        <v>0</v>
      </c>
      <c r="E19" s="392">
        <v>10018.117899999999</v>
      </c>
      <c r="F19" s="392">
        <v>0</v>
      </c>
      <c r="G19" s="392">
        <v>142393.17415000001</v>
      </c>
      <c r="H19" s="392">
        <v>0</v>
      </c>
      <c r="I19" s="392">
        <v>21662.098880000001</v>
      </c>
      <c r="J19" s="392">
        <v>559401.18833000003</v>
      </c>
      <c r="K19" s="392">
        <v>0</v>
      </c>
      <c r="L19" s="392">
        <v>0</v>
      </c>
      <c r="M19" s="392">
        <v>0</v>
      </c>
      <c r="N19" s="392">
        <v>559401.18833000003</v>
      </c>
      <c r="O19" s="392">
        <v>0</v>
      </c>
      <c r="P19" s="392">
        <v>892229.95044000004</v>
      </c>
      <c r="Q19" s="392">
        <v>892229.95044000004</v>
      </c>
      <c r="R19" s="392">
        <v>1451631.1387700001</v>
      </c>
      <c r="S19" s="13"/>
      <c r="T19" s="449"/>
      <c r="U19" s="2"/>
    </row>
    <row r="20" spans="1:26" ht="20.100000000000001" customHeight="1" x14ac:dyDescent="0.3">
      <c r="A20" s="602"/>
      <c r="B20" s="85" t="s">
        <v>454</v>
      </c>
      <c r="C20" s="392">
        <v>308614.730821</v>
      </c>
      <c r="D20" s="392">
        <v>0</v>
      </c>
      <c r="E20" s="392">
        <v>5437.6350000000002</v>
      </c>
      <c r="F20" s="392">
        <v>0</v>
      </c>
      <c r="G20" s="392">
        <v>229891.86895</v>
      </c>
      <c r="H20" s="392">
        <v>0</v>
      </c>
      <c r="I20" s="392">
        <v>27653.229039999998</v>
      </c>
      <c r="J20" s="392">
        <v>571597.46381099999</v>
      </c>
      <c r="K20" s="392">
        <v>1483.2</v>
      </c>
      <c r="L20" s="392">
        <v>11770.3702287417</v>
      </c>
      <c r="M20" s="392">
        <v>13253.570228741701</v>
      </c>
      <c r="N20" s="392">
        <v>584851.03403974196</v>
      </c>
      <c r="O20" s="392">
        <v>326840.40000000002</v>
      </c>
      <c r="P20" s="392">
        <v>183049.2</v>
      </c>
      <c r="Q20" s="392">
        <v>509889.6</v>
      </c>
      <c r="R20" s="392">
        <v>1094740.6340397401</v>
      </c>
      <c r="S20" s="13"/>
      <c r="T20" s="449"/>
      <c r="U20" s="2"/>
    </row>
    <row r="21" spans="1:26" ht="20.100000000000001" customHeight="1" x14ac:dyDescent="0.3">
      <c r="A21" s="602"/>
      <c r="B21" s="85" t="s">
        <v>230</v>
      </c>
      <c r="C21" s="392">
        <v>623021.86861600005</v>
      </c>
      <c r="D21" s="392">
        <v>0</v>
      </c>
      <c r="E21" s="392">
        <v>17195.8465</v>
      </c>
      <c r="F21" s="392">
        <v>166705</v>
      </c>
      <c r="G21" s="392">
        <v>6336.0580702999996</v>
      </c>
      <c r="H21" s="392">
        <v>0</v>
      </c>
      <c r="I21" s="392">
        <v>0</v>
      </c>
      <c r="J21" s="392">
        <v>813258.77318629995</v>
      </c>
      <c r="K21" s="392">
        <v>0</v>
      </c>
      <c r="L21" s="392">
        <v>23524.436671511001</v>
      </c>
      <c r="M21" s="392">
        <v>23524.436671511001</v>
      </c>
      <c r="N21" s="392">
        <v>836783.20985781099</v>
      </c>
      <c r="O21" s="392">
        <v>477388.79999999999</v>
      </c>
      <c r="P21" s="392">
        <v>246578.4</v>
      </c>
      <c r="Q21" s="392">
        <v>723967.2</v>
      </c>
      <c r="R21" s="392">
        <v>1560750.40985781</v>
      </c>
      <c r="S21" s="13"/>
      <c r="T21" s="449"/>
      <c r="U21" s="307"/>
    </row>
    <row r="22" spans="1:26" ht="20.100000000000001" customHeight="1" x14ac:dyDescent="0.3">
      <c r="A22" s="602"/>
      <c r="B22" s="86" t="s">
        <v>276</v>
      </c>
      <c r="C22" s="391">
        <v>1053610.8660309999</v>
      </c>
      <c r="D22" s="391">
        <v>10819.9728</v>
      </c>
      <c r="E22" s="391">
        <v>16611.749800000001</v>
      </c>
      <c r="F22" s="391">
        <v>14093.463369343999</v>
      </c>
      <c r="G22" s="391">
        <v>5600.1259799999998</v>
      </c>
      <c r="H22" s="391">
        <v>0</v>
      </c>
      <c r="I22" s="391">
        <v>0</v>
      </c>
      <c r="J22" s="391">
        <v>1100736.1779803401</v>
      </c>
      <c r="K22" s="391">
        <v>0</v>
      </c>
      <c r="L22" s="391">
        <v>0</v>
      </c>
      <c r="M22" s="391">
        <v>0</v>
      </c>
      <c r="N22" s="391">
        <v>1100736.1779803401</v>
      </c>
      <c r="O22" s="391">
        <v>208874.42727839999</v>
      </c>
      <c r="P22" s="391">
        <v>116475.1479216</v>
      </c>
      <c r="Q22" s="391">
        <v>325349.57520000002</v>
      </c>
      <c r="R22" s="391">
        <v>1426085.7531803399</v>
      </c>
      <c r="S22" s="13"/>
      <c r="T22" s="449"/>
      <c r="U22" s="307"/>
    </row>
    <row r="23" spans="1:26" ht="20.100000000000001" customHeight="1" x14ac:dyDescent="0.3">
      <c r="A23" s="602"/>
      <c r="B23" s="85" t="s">
        <v>277</v>
      </c>
      <c r="C23" s="392">
        <v>1053610.8660309999</v>
      </c>
      <c r="D23" s="392">
        <v>10819.9728</v>
      </c>
      <c r="E23" s="392">
        <v>16611.749800000001</v>
      </c>
      <c r="F23" s="392">
        <v>14093.463369343999</v>
      </c>
      <c r="G23" s="392">
        <v>5600.1259799999998</v>
      </c>
      <c r="H23" s="392">
        <v>0</v>
      </c>
      <c r="I23" s="392">
        <v>0</v>
      </c>
      <c r="J23" s="392">
        <v>1100736.1779803401</v>
      </c>
      <c r="K23" s="392">
        <v>0</v>
      </c>
      <c r="L23" s="392">
        <v>0</v>
      </c>
      <c r="M23" s="392">
        <v>0</v>
      </c>
      <c r="N23" s="392">
        <v>1100736.1779803401</v>
      </c>
      <c r="O23" s="392">
        <v>208874.42727839999</v>
      </c>
      <c r="P23" s="392">
        <v>116475.1479216</v>
      </c>
      <c r="Q23" s="392">
        <v>325349.57520000002</v>
      </c>
      <c r="R23" s="392">
        <v>1426085.7531803399</v>
      </c>
      <c r="S23" s="13"/>
      <c r="T23" s="449"/>
      <c r="U23" s="307"/>
    </row>
    <row r="24" spans="1:26" ht="20.100000000000001" customHeight="1" x14ac:dyDescent="0.3">
      <c r="A24" s="602" t="s">
        <v>234</v>
      </c>
      <c r="B24" s="86" t="s">
        <v>235</v>
      </c>
      <c r="C24" s="391">
        <v>1745195.9919052699</v>
      </c>
      <c r="D24" s="391">
        <v>0</v>
      </c>
      <c r="E24" s="391">
        <v>2602.5007237708801</v>
      </c>
      <c r="F24" s="391">
        <v>0</v>
      </c>
      <c r="G24" s="391">
        <v>0.87324800000000002</v>
      </c>
      <c r="H24" s="391">
        <v>0</v>
      </c>
      <c r="I24" s="391">
        <v>0</v>
      </c>
      <c r="J24" s="391">
        <v>1747799.36587704</v>
      </c>
      <c r="K24" s="391">
        <v>0</v>
      </c>
      <c r="L24" s="391">
        <v>90120.4401226474</v>
      </c>
      <c r="M24" s="391">
        <v>90120.4401226474</v>
      </c>
      <c r="N24" s="391">
        <v>1837919.80599969</v>
      </c>
      <c r="O24" s="391">
        <v>0</v>
      </c>
      <c r="P24" s="391">
        <v>805985.62919999997</v>
      </c>
      <c r="Q24" s="391">
        <v>805985.62919999997</v>
      </c>
      <c r="R24" s="391">
        <v>2643905.4351996901</v>
      </c>
      <c r="S24" s="13"/>
      <c r="T24" s="449"/>
      <c r="U24" s="307"/>
    </row>
    <row r="25" spans="1:26" ht="20.100000000000001" customHeight="1" x14ac:dyDescent="0.3">
      <c r="A25" s="602"/>
      <c r="B25" s="85" t="s">
        <v>236</v>
      </c>
      <c r="C25" s="392">
        <v>1745195.9919052699</v>
      </c>
      <c r="D25" s="392">
        <v>0</v>
      </c>
      <c r="E25" s="392">
        <v>2602.5007237708801</v>
      </c>
      <c r="F25" s="392">
        <v>0</v>
      </c>
      <c r="G25" s="392">
        <v>0.87324800000000002</v>
      </c>
      <c r="H25" s="392">
        <v>0</v>
      </c>
      <c r="I25" s="392">
        <v>0</v>
      </c>
      <c r="J25" s="392">
        <v>1747799.36587704</v>
      </c>
      <c r="K25" s="392">
        <v>0</v>
      </c>
      <c r="L25" s="392">
        <v>90120.4401226474</v>
      </c>
      <c r="M25" s="392">
        <v>90120.4401226474</v>
      </c>
      <c r="N25" s="392">
        <v>1837919.80599969</v>
      </c>
      <c r="O25" s="392">
        <v>0</v>
      </c>
      <c r="P25" s="392">
        <v>805985.62919999997</v>
      </c>
      <c r="Q25" s="392">
        <v>805985.62919999997</v>
      </c>
      <c r="R25" s="392">
        <v>2643905.4351996901</v>
      </c>
      <c r="S25" s="13"/>
      <c r="T25" s="449"/>
      <c r="U25" s="2"/>
    </row>
    <row r="26" spans="1:26" ht="20.100000000000001" customHeight="1" x14ac:dyDescent="0.3">
      <c r="A26" s="40" t="s">
        <v>455</v>
      </c>
      <c r="B26" s="86" t="s">
        <v>318</v>
      </c>
      <c r="C26" s="391">
        <v>15701329.0128753</v>
      </c>
      <c r="D26" s="391">
        <v>30590.745599999998</v>
      </c>
      <c r="E26" s="391">
        <v>86242.397462570894</v>
      </c>
      <c r="F26" s="391">
        <v>2795894.4633693402</v>
      </c>
      <c r="G26" s="391">
        <v>432223.73013829999</v>
      </c>
      <c r="H26" s="391">
        <v>1768298.7013000001</v>
      </c>
      <c r="I26" s="391">
        <v>350019.38564499997</v>
      </c>
      <c r="J26" s="391">
        <v>21164598.436390501</v>
      </c>
      <c r="K26" s="391">
        <v>1975.347612</v>
      </c>
      <c r="L26" s="391">
        <v>125415.2470229</v>
      </c>
      <c r="M26" s="391">
        <v>127390.5946349</v>
      </c>
      <c r="N26" s="391">
        <v>21291989.031025399</v>
      </c>
      <c r="O26" s="391">
        <v>9012977.2034424003</v>
      </c>
      <c r="P26" s="391">
        <v>3423865.7003616001</v>
      </c>
      <c r="Q26" s="391">
        <v>12436842.903804</v>
      </c>
      <c r="R26" s="391">
        <v>33728831.934829399</v>
      </c>
      <c r="S26" s="13"/>
      <c r="T26" s="449"/>
      <c r="U26" s="2"/>
    </row>
    <row r="27" spans="1:26" ht="30.75" customHeight="1" x14ac:dyDescent="0.3">
      <c r="A27" s="546" t="s">
        <v>597</v>
      </c>
      <c r="B27" s="546"/>
      <c r="C27" s="546"/>
      <c r="D27" s="546"/>
      <c r="E27" s="546"/>
      <c r="F27" s="546"/>
      <c r="G27" s="546"/>
      <c r="H27" s="546"/>
      <c r="I27" s="546"/>
      <c r="J27" s="546"/>
      <c r="K27" s="546"/>
      <c r="L27" s="546"/>
      <c r="M27" s="546"/>
      <c r="N27" s="546"/>
      <c r="O27" s="546"/>
      <c r="P27" s="546"/>
      <c r="Q27" s="546"/>
      <c r="R27" s="546"/>
      <c r="T27" s="309"/>
      <c r="X27" s="2"/>
      <c r="Y27" s="2"/>
    </row>
    <row r="28" spans="1:26" ht="15.75" customHeight="1" x14ac:dyDescent="0.3">
      <c r="A28" s="518"/>
      <c r="B28" s="518"/>
      <c r="C28" s="518"/>
      <c r="D28" s="518"/>
      <c r="E28" s="518"/>
      <c r="F28" s="518"/>
      <c r="G28" s="518"/>
      <c r="H28" s="518"/>
      <c r="I28" s="518"/>
      <c r="J28" s="518"/>
      <c r="K28" s="518"/>
      <c r="L28" s="518"/>
      <c r="M28" s="518"/>
      <c r="N28" s="518"/>
      <c r="O28" s="518"/>
      <c r="P28" s="518"/>
      <c r="Q28" s="518"/>
      <c r="R28" s="518"/>
      <c r="T28" s="419"/>
      <c r="U28" s="419"/>
      <c r="X28" s="2"/>
      <c r="Y28" s="2"/>
    </row>
    <row r="29" spans="1:26" ht="15.75" customHeight="1" x14ac:dyDescent="0.3">
      <c r="I29" s="301"/>
      <c r="J29" s="301"/>
      <c r="K29" s="301"/>
      <c r="L29" s="301"/>
      <c r="M29" s="301"/>
      <c r="N29" s="301"/>
      <c r="O29" s="301"/>
      <c r="P29" s="301"/>
      <c r="Q29" s="301"/>
      <c r="R29" s="301"/>
      <c r="S29" s="301"/>
      <c r="T29" s="419"/>
      <c r="V29" s="301"/>
      <c r="W29" s="301"/>
      <c r="X29" s="2"/>
      <c r="Y29" s="2"/>
    </row>
    <row r="30" spans="1:26" ht="15.75" customHeight="1" x14ac:dyDescent="0.3">
      <c r="I30" s="2"/>
      <c r="J30" s="2"/>
      <c r="K30" s="2"/>
      <c r="L30" s="2"/>
      <c r="M30" s="2"/>
      <c r="N30" s="2"/>
      <c r="O30" s="2"/>
      <c r="P30" s="2"/>
      <c r="Q30" s="2"/>
      <c r="R30" s="2"/>
      <c r="S30" s="2"/>
      <c r="T30" s="419"/>
      <c r="V30" s="2"/>
      <c r="W30" s="2"/>
      <c r="X30" s="2"/>
      <c r="Y30" s="2"/>
    </row>
    <row r="31" spans="1:26" ht="42.6" customHeight="1" x14ac:dyDescent="0.3">
      <c r="A31" s="614" t="s">
        <v>598</v>
      </c>
      <c r="B31" s="614"/>
      <c r="C31" s="414" t="s">
        <v>599</v>
      </c>
      <c r="D31" s="414" t="s">
        <v>239</v>
      </c>
      <c r="E31" s="414" t="s">
        <v>222</v>
      </c>
      <c r="F31" s="414" t="s">
        <v>387</v>
      </c>
      <c r="G31" s="22" t="s">
        <v>600</v>
      </c>
      <c r="H31" s="414" t="s">
        <v>227</v>
      </c>
      <c r="I31" s="13"/>
      <c r="J31" s="301"/>
      <c r="K31" s="301"/>
      <c r="L31" s="301"/>
      <c r="M31" s="301"/>
      <c r="N31" s="301"/>
      <c r="O31" s="301"/>
      <c r="P31" s="301"/>
      <c r="Q31" s="301"/>
      <c r="R31" s="301"/>
      <c r="S31" s="301"/>
      <c r="T31" s="301"/>
      <c r="U31" s="419"/>
      <c r="W31" s="301"/>
      <c r="X31" s="301"/>
      <c r="Y31" s="307"/>
      <c r="Z31" s="17"/>
    </row>
    <row r="32" spans="1:26" ht="15.75" customHeight="1" x14ac:dyDescent="0.3">
      <c r="A32" s="609" t="s">
        <v>601</v>
      </c>
      <c r="B32" s="610"/>
      <c r="C32" s="610"/>
      <c r="D32" s="610"/>
      <c r="E32" s="610"/>
      <c r="F32" s="610"/>
      <c r="G32" s="610"/>
      <c r="H32" s="611"/>
      <c r="I32" s="13"/>
      <c r="J32" s="301"/>
      <c r="K32" s="301"/>
      <c r="L32" s="301"/>
      <c r="M32" s="301"/>
      <c r="N32" s="301"/>
      <c r="O32" s="301"/>
      <c r="P32" s="301"/>
      <c r="Q32" s="301"/>
      <c r="R32" s="301"/>
      <c r="S32" s="301"/>
      <c r="T32" s="301"/>
      <c r="U32" s="419"/>
      <c r="W32" s="301"/>
      <c r="X32" s="301"/>
      <c r="Y32" s="2"/>
      <c r="Z32" s="17"/>
    </row>
    <row r="33" spans="1:26" ht="15.75" customHeight="1" x14ac:dyDescent="0.3">
      <c r="A33" s="607" t="s">
        <v>602</v>
      </c>
      <c r="B33" s="607"/>
      <c r="C33" s="445">
        <v>21.800119599999999</v>
      </c>
      <c r="D33" s="445">
        <v>17.440000000000001</v>
      </c>
      <c r="E33" s="445">
        <v>16.892829640728401</v>
      </c>
      <c r="F33" s="445">
        <v>18.024000000000001</v>
      </c>
      <c r="G33" s="444">
        <v>18220397.399999999</v>
      </c>
      <c r="H33" s="444">
        <v>15701329.0128753</v>
      </c>
      <c r="I33" s="13"/>
      <c r="J33" s="301"/>
      <c r="K33" s="301"/>
      <c r="L33" s="301"/>
      <c r="M33" s="301"/>
      <c r="N33" s="301"/>
      <c r="O33" s="301"/>
      <c r="P33" s="301"/>
      <c r="Q33" s="301"/>
      <c r="R33" s="301"/>
      <c r="S33" s="301"/>
      <c r="T33" s="301"/>
      <c r="U33" s="419"/>
      <c r="W33" s="301"/>
      <c r="X33" s="301"/>
      <c r="Y33" s="2"/>
      <c r="Z33" s="17"/>
    </row>
    <row r="34" spans="1:26" ht="15.75" customHeight="1" x14ac:dyDescent="0.3">
      <c r="A34" s="607" t="s">
        <v>593</v>
      </c>
      <c r="B34" s="607"/>
      <c r="C34" s="445">
        <v>0</v>
      </c>
      <c r="D34" s="72" t="s">
        <v>603</v>
      </c>
      <c r="E34" s="445">
        <v>1.01343064367155E-2</v>
      </c>
      <c r="F34" s="445">
        <v>0.17299999999999999</v>
      </c>
      <c r="G34" s="444">
        <v>209018.697527296</v>
      </c>
      <c r="H34" s="444">
        <v>30590.745599999998</v>
      </c>
      <c r="I34" s="13"/>
      <c r="J34" s="301"/>
      <c r="K34" s="301"/>
      <c r="L34" s="301"/>
      <c r="M34" s="301"/>
      <c r="N34" s="301"/>
      <c r="O34" s="301"/>
      <c r="P34" s="301"/>
      <c r="Q34" s="301"/>
      <c r="R34" s="301"/>
      <c r="S34" s="301"/>
      <c r="T34" s="301"/>
      <c r="U34" s="419"/>
      <c r="W34" s="301"/>
      <c r="X34" s="301"/>
      <c r="Y34" s="301"/>
      <c r="Z34" s="17"/>
    </row>
    <row r="35" spans="1:26" ht="15.75" customHeight="1" x14ac:dyDescent="0.3">
      <c r="A35" s="607" t="s">
        <v>568</v>
      </c>
      <c r="B35" s="607"/>
      <c r="C35" s="445">
        <v>0.11052439999999999</v>
      </c>
      <c r="D35" s="445">
        <v>0.09</v>
      </c>
      <c r="E35" s="445">
        <v>9.9808630768241896E-2</v>
      </c>
      <c r="F35" s="445">
        <v>0.10199999999999999</v>
      </c>
      <c r="G35" s="444">
        <v>94427.798924600298</v>
      </c>
      <c r="H35" s="444">
        <v>86242.397462570894</v>
      </c>
      <c r="I35" s="13"/>
      <c r="J35" s="301"/>
      <c r="K35" s="301"/>
      <c r="L35" s="301"/>
      <c r="M35" s="301"/>
      <c r="N35" s="301"/>
      <c r="O35" s="301"/>
      <c r="P35" s="301"/>
      <c r="Q35" s="301"/>
      <c r="R35" s="301"/>
      <c r="S35" s="301"/>
      <c r="T35" s="301"/>
      <c r="U35" s="419"/>
      <c r="W35" s="301"/>
      <c r="X35" s="301"/>
      <c r="Y35" s="301"/>
      <c r="Z35" s="17"/>
    </row>
    <row r="36" spans="1:26" ht="15.75" customHeight="1" x14ac:dyDescent="0.3">
      <c r="A36" s="607" t="s">
        <v>569</v>
      </c>
      <c r="B36" s="607"/>
      <c r="C36" s="445">
        <v>0.76953439999999995</v>
      </c>
      <c r="D36" s="445">
        <v>2.02</v>
      </c>
      <c r="E36" s="445">
        <v>3.0849140241440001</v>
      </c>
      <c r="F36" s="445">
        <v>2.8570000000000002</v>
      </c>
      <c r="G36" s="444">
        <v>2712548.9300191998</v>
      </c>
      <c r="H36" s="444">
        <v>2795894.4633693402</v>
      </c>
      <c r="I36" s="13"/>
      <c r="J36" s="301"/>
      <c r="K36" s="301"/>
      <c r="L36" s="301"/>
      <c r="M36" s="301"/>
      <c r="N36" s="301"/>
      <c r="O36" s="301"/>
      <c r="P36" s="301"/>
      <c r="Q36" s="301"/>
      <c r="R36" s="301"/>
      <c r="S36" s="301"/>
      <c r="T36" s="301"/>
      <c r="U36" s="419"/>
      <c r="W36" s="301"/>
      <c r="X36" s="301"/>
      <c r="Y36" s="301"/>
      <c r="Z36" s="17"/>
    </row>
    <row r="37" spans="1:26" ht="15.75" customHeight="1" x14ac:dyDescent="0.3">
      <c r="A37" s="607" t="s">
        <v>570</v>
      </c>
      <c r="B37" s="607"/>
      <c r="C37" s="445">
        <v>0.37606136000000001</v>
      </c>
      <c r="D37" s="445">
        <v>0.35</v>
      </c>
      <c r="E37" s="445">
        <v>0.399724563192627</v>
      </c>
      <c r="F37" s="445">
        <v>0.379</v>
      </c>
      <c r="G37" s="444">
        <v>514499.667039352</v>
      </c>
      <c r="H37" s="444">
        <v>432223.73013829999</v>
      </c>
      <c r="I37" s="13"/>
      <c r="J37" s="301"/>
      <c r="K37" s="301"/>
      <c r="L37" s="301"/>
      <c r="M37" s="301"/>
      <c r="N37" s="301"/>
      <c r="O37" s="301"/>
      <c r="P37" s="301"/>
      <c r="Q37" s="301"/>
      <c r="R37" s="301"/>
      <c r="S37" s="301"/>
      <c r="T37" s="301"/>
      <c r="U37" s="419"/>
      <c r="V37" s="419"/>
      <c r="W37" s="301"/>
      <c r="X37" s="301"/>
      <c r="Y37" s="301"/>
      <c r="Z37" s="17"/>
    </row>
    <row r="38" spans="1:26" ht="15.75" customHeight="1" x14ac:dyDescent="0.3">
      <c r="A38" s="607" t="s">
        <v>571</v>
      </c>
      <c r="B38" s="607"/>
      <c r="C38" s="445">
        <v>1.5</v>
      </c>
      <c r="D38" s="445">
        <v>1.899</v>
      </c>
      <c r="E38" s="445">
        <v>1.8712105662067899</v>
      </c>
      <c r="F38" s="445">
        <v>2.0350000000000001</v>
      </c>
      <c r="G38" s="444">
        <v>2073279.9768999999</v>
      </c>
      <c r="H38" s="444">
        <v>1768298.7013000001</v>
      </c>
      <c r="I38" s="13"/>
      <c r="J38" s="2"/>
      <c r="K38" s="2"/>
      <c r="L38" s="2"/>
      <c r="M38" s="2"/>
      <c r="N38" s="2"/>
      <c r="O38" s="2"/>
      <c r="P38" s="2"/>
      <c r="Q38" s="2"/>
      <c r="R38" s="2"/>
      <c r="S38" s="2"/>
      <c r="T38" s="2"/>
      <c r="U38" s="419"/>
      <c r="W38" s="2"/>
      <c r="X38" s="2"/>
      <c r="Y38" s="301"/>
      <c r="Z38" s="17"/>
    </row>
    <row r="39" spans="1:26" ht="15.75" customHeight="1" x14ac:dyDescent="0.3">
      <c r="A39" s="607" t="s">
        <v>604</v>
      </c>
      <c r="B39" s="607"/>
      <c r="C39" s="445">
        <v>0</v>
      </c>
      <c r="D39" s="72" t="s">
        <v>603</v>
      </c>
      <c r="E39" s="445">
        <v>9.6915324819999996E-2</v>
      </c>
      <c r="F39" s="445">
        <v>0.20699999999999999</v>
      </c>
      <c r="G39" s="444">
        <v>372918.5</v>
      </c>
      <c r="H39" s="444">
        <v>350019.38564499997</v>
      </c>
      <c r="I39" s="13"/>
      <c r="J39" s="2"/>
      <c r="K39" s="2"/>
      <c r="L39" s="2"/>
      <c r="M39" s="2"/>
      <c r="N39" s="2"/>
      <c r="O39" s="2"/>
      <c r="P39" s="2"/>
      <c r="Q39" s="2"/>
      <c r="R39" s="2"/>
      <c r="S39" s="2"/>
      <c r="T39" s="2"/>
      <c r="U39" s="419"/>
      <c r="W39" s="2"/>
      <c r="X39" s="2"/>
      <c r="Y39" s="301"/>
      <c r="Z39" s="17"/>
    </row>
    <row r="40" spans="1:26" ht="23.25" customHeight="1" x14ac:dyDescent="0.3">
      <c r="A40" s="613" t="s">
        <v>605</v>
      </c>
      <c r="B40" s="613"/>
      <c r="C40" s="443">
        <v>24.556335688000001</v>
      </c>
      <c r="D40" s="443">
        <v>21.800999999999998</v>
      </c>
      <c r="E40" s="443">
        <v>22.455537056296698</v>
      </c>
      <c r="F40" s="443">
        <v>23.777000000000001</v>
      </c>
      <c r="G40" s="442">
        <v>24197090.970410399</v>
      </c>
      <c r="H40" s="442">
        <v>21164598.436390501</v>
      </c>
      <c r="I40" s="13"/>
      <c r="J40" s="2"/>
      <c r="K40" s="2"/>
      <c r="L40" s="2"/>
      <c r="M40" s="2"/>
      <c r="N40" s="2"/>
      <c r="O40" s="2"/>
      <c r="P40" s="2"/>
      <c r="Q40" s="2"/>
      <c r="R40" s="2"/>
      <c r="S40" s="2"/>
      <c r="T40" s="2"/>
      <c r="U40" s="419"/>
      <c r="W40" s="2"/>
      <c r="X40" s="2"/>
      <c r="Y40" s="301"/>
      <c r="Z40" s="17"/>
    </row>
    <row r="41" spans="1:26" ht="15" customHeight="1" x14ac:dyDescent="0.3">
      <c r="A41" s="609" t="s">
        <v>606</v>
      </c>
      <c r="B41" s="610"/>
      <c r="C41" s="610"/>
      <c r="D41" s="610"/>
      <c r="E41" s="610"/>
      <c r="F41" s="610"/>
      <c r="G41" s="610"/>
      <c r="H41" s="611"/>
      <c r="I41" s="13"/>
      <c r="U41" s="419"/>
      <c r="Y41" s="301"/>
      <c r="Z41" s="17"/>
    </row>
    <row r="42" spans="1:26" ht="15" customHeight="1" x14ac:dyDescent="0.3">
      <c r="A42" s="607" t="s">
        <v>576</v>
      </c>
      <c r="B42" s="607"/>
      <c r="C42" s="31" t="s">
        <v>607</v>
      </c>
      <c r="D42" s="31" t="s">
        <v>603</v>
      </c>
      <c r="E42" s="445">
        <v>9.2246342399999997E-3</v>
      </c>
      <c r="F42" s="72" t="s">
        <v>603</v>
      </c>
      <c r="G42" s="72" t="s">
        <v>603</v>
      </c>
      <c r="H42" s="72" t="s">
        <v>603</v>
      </c>
      <c r="I42" s="13"/>
      <c r="U42" s="419"/>
      <c r="Y42" s="2"/>
      <c r="Z42" s="17"/>
    </row>
    <row r="43" spans="1:26" ht="15" customHeight="1" x14ac:dyDescent="0.3">
      <c r="A43" s="607" t="s">
        <v>577</v>
      </c>
      <c r="B43" s="607"/>
      <c r="C43" s="31" t="s">
        <v>607</v>
      </c>
      <c r="D43" s="446">
        <v>0.14000000000000001</v>
      </c>
      <c r="E43" s="445">
        <v>0.124368400152151</v>
      </c>
      <c r="F43" s="445">
        <v>0.123</v>
      </c>
      <c r="G43" s="444">
        <v>129286.7</v>
      </c>
      <c r="H43" s="444">
        <v>125415.2470229</v>
      </c>
      <c r="I43" s="13"/>
      <c r="U43" s="419"/>
    </row>
    <row r="44" spans="1:26" ht="30.75" customHeight="1" x14ac:dyDescent="0.3">
      <c r="A44" s="615" t="s">
        <v>608</v>
      </c>
      <c r="B44" s="615"/>
      <c r="C44" s="443">
        <v>0.14000000000000001</v>
      </c>
      <c r="D44" s="443">
        <v>0.14199999999999999</v>
      </c>
      <c r="E44" s="443">
        <v>0.13359303439215101</v>
      </c>
      <c r="F44" s="443">
        <v>0.125</v>
      </c>
      <c r="G44" s="442">
        <v>129286.7</v>
      </c>
      <c r="H44" s="442">
        <v>125415.2470229</v>
      </c>
      <c r="I44" s="13"/>
      <c r="U44" s="419"/>
    </row>
    <row r="45" spans="1:26" ht="29.1" customHeight="1" x14ac:dyDescent="0.3">
      <c r="A45" s="612" t="s">
        <v>609</v>
      </c>
      <c r="B45" s="612"/>
      <c r="C45" s="441">
        <v>24.696335688000001</v>
      </c>
      <c r="D45" s="441">
        <v>23.952999999999999</v>
      </c>
      <c r="E45" s="441">
        <v>22.589130090688901</v>
      </c>
      <c r="F45" s="441">
        <v>23.902000000000001</v>
      </c>
      <c r="G45" s="440">
        <v>24326377.670410398</v>
      </c>
      <c r="H45" s="440">
        <v>21290013.683413401</v>
      </c>
      <c r="I45" s="13"/>
      <c r="U45" s="419"/>
      <c r="V45" s="419"/>
    </row>
    <row r="46" spans="1:26" ht="15" customHeight="1" x14ac:dyDescent="0.3">
      <c r="A46" s="609" t="s">
        <v>610</v>
      </c>
      <c r="B46" s="610"/>
      <c r="C46" s="610"/>
      <c r="D46" s="610"/>
      <c r="E46" s="610"/>
      <c r="F46" s="610"/>
      <c r="G46" s="610"/>
      <c r="H46" s="611"/>
      <c r="I46" s="13"/>
      <c r="U46" s="419"/>
    </row>
    <row r="47" spans="1:26" ht="15.75" customHeight="1" x14ac:dyDescent="0.3">
      <c r="A47" s="605" t="s">
        <v>611</v>
      </c>
      <c r="B47" s="606"/>
      <c r="C47" s="92" t="s">
        <v>607</v>
      </c>
      <c r="D47" s="92" t="s">
        <v>607</v>
      </c>
      <c r="E47" s="439">
        <v>12.317765407667199</v>
      </c>
      <c r="F47" s="438">
        <v>11795964.130000001</v>
      </c>
      <c r="G47" s="438">
        <v>11270518.4</v>
      </c>
      <c r="H47" s="438">
        <v>9012977.2034424003</v>
      </c>
      <c r="I47" s="13"/>
      <c r="U47" s="419"/>
    </row>
    <row r="48" spans="1:26" ht="25.95" customHeight="1" x14ac:dyDescent="0.3">
      <c r="A48" s="605" t="s">
        <v>612</v>
      </c>
      <c r="B48" s="606"/>
      <c r="C48" s="92" t="s">
        <v>607</v>
      </c>
      <c r="D48" s="92" t="s">
        <v>607</v>
      </c>
      <c r="E48" s="437">
        <v>0.83199999999999996</v>
      </c>
      <c r="F48" s="437">
        <v>0.77508402544836996</v>
      </c>
      <c r="G48" s="437">
        <v>0.75710434678486405</v>
      </c>
      <c r="H48" s="437">
        <v>0.72469977092704496</v>
      </c>
      <c r="I48" s="13"/>
      <c r="U48" s="419"/>
    </row>
    <row r="49" spans="1:17" ht="15" customHeight="1" x14ac:dyDescent="0.3">
      <c r="A49" s="607" t="s">
        <v>613</v>
      </c>
      <c r="B49" s="607"/>
      <c r="C49" s="92" t="s">
        <v>607</v>
      </c>
      <c r="D49" s="92" t="s">
        <v>607</v>
      </c>
      <c r="E49" s="439">
        <v>2.4872410919328001</v>
      </c>
      <c r="F49" s="438">
        <v>3422984.71</v>
      </c>
      <c r="G49" s="438">
        <v>3615829.1</v>
      </c>
      <c r="H49" s="438">
        <v>3423865.7003616001</v>
      </c>
      <c r="I49" s="13"/>
    </row>
    <row r="50" spans="1:17" ht="26.7" customHeight="1" x14ac:dyDescent="0.3">
      <c r="A50" s="605" t="s">
        <v>614</v>
      </c>
      <c r="B50" s="606"/>
      <c r="C50" s="92" t="s">
        <v>607</v>
      </c>
      <c r="D50" s="92" t="s">
        <v>607</v>
      </c>
      <c r="E50" s="437">
        <v>0.16800000000000001</v>
      </c>
      <c r="F50" s="437">
        <v>0.22491597455163001</v>
      </c>
      <c r="G50" s="437">
        <v>0.24289565321513601</v>
      </c>
      <c r="H50" s="437">
        <v>0.27530022907295498</v>
      </c>
      <c r="I50" s="13"/>
    </row>
    <row r="51" spans="1:17" ht="15" customHeight="1" x14ac:dyDescent="0.3">
      <c r="A51" s="590" t="s">
        <v>615</v>
      </c>
      <c r="B51" s="590"/>
      <c r="C51" s="436">
        <v>15.894655203199999</v>
      </c>
      <c r="D51" s="436">
        <v>13.95</v>
      </c>
      <c r="E51" s="436">
        <v>14.805006499599999</v>
      </c>
      <c r="F51" s="436">
        <v>15.218999999999999</v>
      </c>
      <c r="G51" s="435">
        <v>14886347.5</v>
      </c>
      <c r="H51" s="435">
        <v>12436842.903804</v>
      </c>
      <c r="I51" s="13"/>
    </row>
    <row r="52" spans="1:17" ht="25.95" customHeight="1" x14ac:dyDescent="0.3">
      <c r="A52" s="608" t="s">
        <v>616</v>
      </c>
      <c r="B52" s="608"/>
      <c r="C52" s="434">
        <v>40.590990891200001</v>
      </c>
      <c r="D52" s="434">
        <v>37.902999999999999</v>
      </c>
      <c r="E52" s="434">
        <v>37.394136590288902</v>
      </c>
      <c r="F52" s="434">
        <v>39.121000000000002</v>
      </c>
      <c r="G52" s="433">
        <v>39212725.170410402</v>
      </c>
      <c r="H52" s="433">
        <v>33726856.587217398</v>
      </c>
      <c r="I52" s="13"/>
    </row>
    <row r="53" spans="1:17" ht="33.450000000000003" customHeight="1" x14ac:dyDescent="0.25">
      <c r="A53" s="546" t="s">
        <v>617</v>
      </c>
      <c r="B53" s="546"/>
      <c r="C53" s="546"/>
      <c r="D53" s="546"/>
      <c r="E53" s="546"/>
      <c r="F53" s="546"/>
      <c r="G53" s="546"/>
      <c r="H53" s="546"/>
    </row>
    <row r="54" spans="1:17" ht="33.450000000000003" customHeight="1" x14ac:dyDescent="0.25">
      <c r="A54" s="518"/>
      <c r="B54" s="518"/>
      <c r="C54" s="518"/>
      <c r="D54" s="518"/>
      <c r="E54" s="518"/>
      <c r="F54" s="518"/>
      <c r="G54" s="518"/>
      <c r="H54" s="518"/>
    </row>
    <row r="55" spans="1:17" ht="45.75" customHeight="1" x14ac:dyDescent="0.25">
      <c r="A55" s="518"/>
      <c r="B55" s="518"/>
      <c r="C55" s="518"/>
      <c r="D55" s="518"/>
      <c r="E55" s="518"/>
      <c r="F55" s="518"/>
      <c r="G55" s="518"/>
      <c r="H55" s="518"/>
    </row>
    <row r="56" spans="1:17" ht="15" customHeight="1" x14ac:dyDescent="0.25"/>
    <row r="57" spans="1:17" ht="15" customHeight="1" x14ac:dyDescent="0.3">
      <c r="A57" s="416"/>
      <c r="B57" s="416"/>
    </row>
    <row r="58" spans="1:17" ht="29.1" customHeight="1" x14ac:dyDescent="0.3">
      <c r="A58" s="432" t="s">
        <v>618</v>
      </c>
      <c r="B58" s="414" t="s">
        <v>599</v>
      </c>
      <c r="C58" s="414" t="s">
        <v>239</v>
      </c>
      <c r="D58" s="414" t="s">
        <v>222</v>
      </c>
      <c r="E58" s="414" t="s">
        <v>387</v>
      </c>
      <c r="F58" s="414" t="s">
        <v>619</v>
      </c>
      <c r="G58" s="34">
        <v>2023</v>
      </c>
      <c r="H58" s="13"/>
    </row>
    <row r="59" spans="1:17" ht="32.4" customHeight="1" x14ac:dyDescent="0.3">
      <c r="A59" s="61" t="s">
        <v>620</v>
      </c>
      <c r="B59" s="431">
        <v>3946.6204073894</v>
      </c>
      <c r="C59" s="193">
        <v>5.5023744247040796</v>
      </c>
      <c r="D59" s="193">
        <v>6.83</v>
      </c>
      <c r="E59" s="430">
        <v>6948.4253378240201</v>
      </c>
      <c r="F59" s="430">
        <v>6787.7315510490598</v>
      </c>
      <c r="G59" s="430">
        <v>7180.9307930230798</v>
      </c>
      <c r="H59" s="13"/>
    </row>
    <row r="60" spans="1:17" ht="32.4" customHeight="1" x14ac:dyDescent="0.3">
      <c r="A60" s="61" t="s">
        <v>621</v>
      </c>
      <c r="B60" s="193">
        <v>5.0568071373115702</v>
      </c>
      <c r="C60" s="431">
        <v>3891.1704312114998</v>
      </c>
      <c r="D60" s="193">
        <v>4.12</v>
      </c>
      <c r="E60" s="430">
        <v>3936.3448746951899</v>
      </c>
      <c r="F60" s="430">
        <v>3994.3694784975501</v>
      </c>
      <c r="G60" s="430">
        <v>3923.3258037489099</v>
      </c>
      <c r="H60" s="13"/>
    </row>
    <row r="61" spans="1:17" ht="25.95" customHeight="1" x14ac:dyDescent="0.25">
      <c r="A61" s="597" t="s">
        <v>622</v>
      </c>
      <c r="B61" s="597"/>
      <c r="C61" s="597"/>
      <c r="D61" s="597"/>
      <c r="E61" s="597"/>
      <c r="F61" s="597"/>
      <c r="G61" s="597"/>
      <c r="L61" s="309"/>
      <c r="M61" s="309"/>
      <c r="N61" s="56"/>
      <c r="O61" s="56"/>
      <c r="P61" s="56"/>
      <c r="Q61" s="56"/>
    </row>
    <row r="62" spans="1:17" ht="34.200000000000003" customHeight="1" x14ac:dyDescent="0.25">
      <c r="A62" s="603"/>
      <c r="B62" s="603"/>
      <c r="C62" s="603"/>
      <c r="D62" s="603"/>
      <c r="E62" s="603"/>
      <c r="F62" s="603"/>
      <c r="G62" s="603"/>
      <c r="L62" s="309"/>
      <c r="M62" s="309"/>
      <c r="N62" s="56"/>
      <c r="O62" s="56"/>
      <c r="P62" s="56"/>
      <c r="Q62" s="56"/>
    </row>
    <row r="63" spans="1:17" ht="30.75" customHeight="1" x14ac:dyDescent="0.25">
      <c r="A63" s="603"/>
      <c r="B63" s="603"/>
      <c r="C63" s="603"/>
      <c r="D63" s="603"/>
      <c r="E63" s="603"/>
      <c r="F63" s="603"/>
      <c r="G63" s="603"/>
      <c r="L63" s="309"/>
      <c r="M63" s="309"/>
      <c r="N63" s="56"/>
      <c r="O63" s="56"/>
      <c r="P63" s="56"/>
      <c r="Q63" s="56"/>
    </row>
    <row r="64" spans="1:17" ht="15" customHeight="1" x14ac:dyDescent="0.25"/>
    <row r="65" spans="1:14" ht="15" customHeight="1" x14ac:dyDescent="0.3">
      <c r="A65" s="398" t="s">
        <v>623</v>
      </c>
      <c r="B65" s="416"/>
      <c r="C65" s="429"/>
      <c r="D65" s="415"/>
      <c r="E65" s="415"/>
      <c r="F65" s="415"/>
      <c r="G65" s="415"/>
      <c r="H65" s="415"/>
      <c r="I65" s="415"/>
      <c r="J65" s="415"/>
      <c r="K65" s="2"/>
      <c r="L65" s="517"/>
      <c r="M65" s="517"/>
    </row>
    <row r="66" spans="1:14" ht="64.2" customHeight="1" x14ac:dyDescent="0.3">
      <c r="A66" s="33" t="s">
        <v>624</v>
      </c>
      <c r="B66" s="58" t="s">
        <v>207</v>
      </c>
      <c r="C66" s="58" t="s">
        <v>625</v>
      </c>
      <c r="D66" s="58" t="s">
        <v>626</v>
      </c>
      <c r="E66" s="58" t="s">
        <v>627</v>
      </c>
      <c r="F66" s="58" t="s">
        <v>628</v>
      </c>
      <c r="G66" s="58" t="s">
        <v>629</v>
      </c>
      <c r="H66" s="5" t="s">
        <v>630</v>
      </c>
      <c r="I66" s="58" t="s">
        <v>631</v>
      </c>
      <c r="J66" s="58" t="s">
        <v>632</v>
      </c>
      <c r="K66" s="13"/>
      <c r="L66" s="3"/>
      <c r="M66" s="2"/>
    </row>
    <row r="67" spans="1:14" ht="15" customHeight="1" x14ac:dyDescent="0.3">
      <c r="A67" s="602" t="s">
        <v>245</v>
      </c>
      <c r="B67" s="86" t="s">
        <v>246</v>
      </c>
      <c r="C67" s="391">
        <v>32535.195470400002</v>
      </c>
      <c r="D67" s="391">
        <v>0</v>
      </c>
      <c r="E67" s="391">
        <v>0</v>
      </c>
      <c r="F67" s="391">
        <v>0</v>
      </c>
      <c r="G67" s="391">
        <v>0</v>
      </c>
      <c r="H67" s="391">
        <v>492.14761199999998</v>
      </c>
      <c r="I67" s="391">
        <v>0</v>
      </c>
      <c r="J67" s="391">
        <v>33027.343082400002</v>
      </c>
      <c r="K67" s="13"/>
      <c r="L67" s="451"/>
      <c r="M67" s="2"/>
    </row>
    <row r="68" spans="1:14" ht="15" customHeight="1" x14ac:dyDescent="0.3">
      <c r="A68" s="602"/>
      <c r="B68" s="85" t="s">
        <v>514</v>
      </c>
      <c r="C68" s="392">
        <v>30814.549920000001</v>
      </c>
      <c r="D68" s="392">
        <v>0</v>
      </c>
      <c r="E68" s="392">
        <v>0</v>
      </c>
      <c r="F68" s="392">
        <v>0</v>
      </c>
      <c r="G68" s="392">
        <v>0</v>
      </c>
      <c r="H68" s="392">
        <v>0</v>
      </c>
      <c r="I68" s="392">
        <v>0</v>
      </c>
      <c r="J68" s="392">
        <v>30814.549920000001</v>
      </c>
      <c r="K68" s="13"/>
      <c r="L68" s="449"/>
      <c r="M68" s="2"/>
    </row>
    <row r="69" spans="1:14" ht="15" customHeight="1" x14ac:dyDescent="0.3">
      <c r="A69" s="602"/>
      <c r="B69" s="85" t="s">
        <v>247</v>
      </c>
      <c r="C69" s="392">
        <v>1720.6455504</v>
      </c>
      <c r="D69" s="392">
        <v>0</v>
      </c>
      <c r="E69" s="392">
        <v>0</v>
      </c>
      <c r="F69" s="392">
        <v>0</v>
      </c>
      <c r="G69" s="392">
        <v>0</v>
      </c>
      <c r="H69" s="392">
        <v>492.14761199999998</v>
      </c>
      <c r="I69" s="392">
        <v>0</v>
      </c>
      <c r="J69" s="392">
        <v>2212.7931623999998</v>
      </c>
      <c r="K69" s="13"/>
      <c r="L69" s="449"/>
      <c r="M69" s="2"/>
    </row>
    <row r="70" spans="1:14" ht="15" customHeight="1" x14ac:dyDescent="0.3">
      <c r="A70" s="602" t="s">
        <v>251</v>
      </c>
      <c r="B70" s="86" t="s">
        <v>252</v>
      </c>
      <c r="C70" s="391">
        <v>48343.025999999998</v>
      </c>
      <c r="D70" s="391">
        <v>0</v>
      </c>
      <c r="E70" s="391">
        <v>0</v>
      </c>
      <c r="F70" s="391">
        <v>2615096</v>
      </c>
      <c r="G70" s="391">
        <v>0</v>
      </c>
      <c r="H70" s="391">
        <v>0</v>
      </c>
      <c r="I70" s="391">
        <v>0</v>
      </c>
      <c r="J70" s="391">
        <v>2663439.0260000001</v>
      </c>
      <c r="K70" s="13"/>
      <c r="L70" s="451"/>
      <c r="M70" s="2"/>
    </row>
    <row r="71" spans="1:14" ht="15" customHeight="1" x14ac:dyDescent="0.3">
      <c r="A71" s="602"/>
      <c r="B71" s="85" t="s">
        <v>253</v>
      </c>
      <c r="C71" s="392">
        <v>11590.615</v>
      </c>
      <c r="D71" s="392">
        <v>0</v>
      </c>
      <c r="E71" s="392">
        <v>0</v>
      </c>
      <c r="F71" s="392">
        <v>0</v>
      </c>
      <c r="G71" s="392">
        <v>0</v>
      </c>
      <c r="H71" s="392">
        <v>0</v>
      </c>
      <c r="I71" s="392">
        <v>0</v>
      </c>
      <c r="J71" s="392">
        <v>11590.615</v>
      </c>
      <c r="K71" s="13"/>
      <c r="L71" s="449"/>
      <c r="M71" s="2"/>
      <c r="N71" s="419"/>
    </row>
    <row r="72" spans="1:14" ht="15" customHeight="1" x14ac:dyDescent="0.3">
      <c r="A72" s="602"/>
      <c r="B72" s="85" t="s">
        <v>256</v>
      </c>
      <c r="C72" s="392">
        <v>36752.411</v>
      </c>
      <c r="D72" s="392">
        <v>0</v>
      </c>
      <c r="E72" s="392">
        <v>0</v>
      </c>
      <c r="F72" s="392">
        <v>2615096</v>
      </c>
      <c r="G72" s="392">
        <v>0</v>
      </c>
      <c r="H72" s="392">
        <v>0</v>
      </c>
      <c r="I72" s="392">
        <v>0</v>
      </c>
      <c r="J72" s="392">
        <v>2651848.4109999998</v>
      </c>
      <c r="K72" s="13"/>
      <c r="L72" s="449"/>
      <c r="M72" s="452"/>
    </row>
    <row r="73" spans="1:14" ht="15" customHeight="1" x14ac:dyDescent="0.3">
      <c r="A73" s="602" t="s">
        <v>213</v>
      </c>
      <c r="B73" s="86" t="s">
        <v>328</v>
      </c>
      <c r="C73" s="391">
        <v>90047.716247999997</v>
      </c>
      <c r="D73" s="391">
        <v>0</v>
      </c>
      <c r="E73" s="391">
        <v>245.50788</v>
      </c>
      <c r="F73" s="391">
        <v>0</v>
      </c>
      <c r="G73" s="391">
        <v>0</v>
      </c>
      <c r="H73" s="391">
        <v>0</v>
      </c>
      <c r="I73" s="391">
        <v>0</v>
      </c>
      <c r="J73" s="391">
        <v>90293.224128000002</v>
      </c>
      <c r="K73" s="13"/>
      <c r="L73" s="451"/>
      <c r="M73" s="452"/>
    </row>
    <row r="74" spans="1:14" ht="15" customHeight="1" x14ac:dyDescent="0.3">
      <c r="A74" s="602"/>
      <c r="B74" s="85" t="s">
        <v>453</v>
      </c>
      <c r="C74" s="392">
        <v>90047.716247999997</v>
      </c>
      <c r="D74" s="392">
        <v>0</v>
      </c>
      <c r="E74" s="392">
        <v>245.50788</v>
      </c>
      <c r="F74" s="392">
        <v>0</v>
      </c>
      <c r="G74" s="392">
        <v>0</v>
      </c>
      <c r="H74" s="392">
        <v>0</v>
      </c>
      <c r="I74" s="392">
        <v>0</v>
      </c>
      <c r="J74" s="392">
        <v>90293.224128000002</v>
      </c>
      <c r="K74" s="13"/>
      <c r="L74" s="449"/>
      <c r="M74" s="452"/>
    </row>
    <row r="75" spans="1:14" ht="15" customHeight="1" x14ac:dyDescent="0.3">
      <c r="A75" s="602"/>
      <c r="B75" s="86" t="s">
        <v>214</v>
      </c>
      <c r="C75" s="391">
        <v>7086.8588615999997</v>
      </c>
      <c r="D75" s="391">
        <v>0</v>
      </c>
      <c r="E75" s="391">
        <v>637.32200639999996</v>
      </c>
      <c r="F75" s="391">
        <v>0</v>
      </c>
      <c r="G75" s="391">
        <v>0</v>
      </c>
      <c r="H75" s="391">
        <v>0</v>
      </c>
      <c r="I75" s="391">
        <v>0</v>
      </c>
      <c r="J75" s="391">
        <v>7724.1808680000004</v>
      </c>
      <c r="K75" s="13"/>
      <c r="L75" s="451"/>
      <c r="M75" s="452"/>
    </row>
    <row r="76" spans="1:14" ht="15" customHeight="1" x14ac:dyDescent="0.3">
      <c r="A76" s="602"/>
      <c r="B76" s="85" t="s">
        <v>215</v>
      </c>
      <c r="C76" s="392">
        <v>7086.8588615999997</v>
      </c>
      <c r="D76" s="392">
        <v>0</v>
      </c>
      <c r="E76" s="392">
        <v>637.32200639999996</v>
      </c>
      <c r="F76" s="392">
        <v>0</v>
      </c>
      <c r="G76" s="392">
        <v>0</v>
      </c>
      <c r="H76" s="392">
        <v>0</v>
      </c>
      <c r="I76" s="392">
        <v>0</v>
      </c>
      <c r="J76" s="392">
        <v>7724.1808680000004</v>
      </c>
      <c r="K76" s="13"/>
      <c r="L76" s="449"/>
      <c r="M76" s="452"/>
    </row>
    <row r="77" spans="1:14" ht="15" customHeight="1" x14ac:dyDescent="0.3">
      <c r="A77" s="602"/>
      <c r="B77" s="86" t="s">
        <v>265</v>
      </c>
      <c r="C77" s="391">
        <v>27002.0756124</v>
      </c>
      <c r="D77" s="391">
        <v>1768298.7013000001</v>
      </c>
      <c r="E77" s="391">
        <v>0</v>
      </c>
      <c r="F77" s="391">
        <v>0</v>
      </c>
      <c r="G77" s="391">
        <v>0</v>
      </c>
      <c r="H77" s="391">
        <v>0</v>
      </c>
      <c r="I77" s="391">
        <v>0</v>
      </c>
      <c r="J77" s="391">
        <v>1795300.7769124</v>
      </c>
      <c r="K77" s="13"/>
      <c r="L77" s="451"/>
      <c r="M77" s="452"/>
    </row>
    <row r="78" spans="1:14" ht="15" customHeight="1" x14ac:dyDescent="0.3">
      <c r="A78" s="602"/>
      <c r="B78" s="85" t="s">
        <v>266</v>
      </c>
      <c r="C78" s="392">
        <v>27002.0756124</v>
      </c>
      <c r="D78" s="392">
        <v>1768298.7013000001</v>
      </c>
      <c r="E78" s="392">
        <v>0</v>
      </c>
      <c r="F78" s="392">
        <v>0</v>
      </c>
      <c r="G78" s="392">
        <v>0</v>
      </c>
      <c r="H78" s="392">
        <v>0</v>
      </c>
      <c r="I78" s="392">
        <v>0</v>
      </c>
      <c r="J78" s="392">
        <v>1795300.7769124</v>
      </c>
      <c r="K78" s="13"/>
      <c r="L78" s="449"/>
      <c r="M78" s="452"/>
    </row>
    <row r="79" spans="1:14" ht="15" customHeight="1" x14ac:dyDescent="0.3">
      <c r="A79" s="602" t="s">
        <v>224</v>
      </c>
      <c r="B79" s="86" t="s">
        <v>225</v>
      </c>
      <c r="C79" s="391">
        <v>91908.318499999994</v>
      </c>
      <c r="D79" s="391">
        <v>0</v>
      </c>
      <c r="E79" s="391">
        <v>0</v>
      </c>
      <c r="F79" s="391">
        <v>0</v>
      </c>
      <c r="G79" s="391">
        <v>1543.9808680000001</v>
      </c>
      <c r="H79" s="391">
        <v>1483.2</v>
      </c>
      <c r="I79" s="391">
        <v>3430.0739739778901</v>
      </c>
      <c r="J79" s="391">
        <v>98365.573341977899</v>
      </c>
      <c r="K79" s="13"/>
      <c r="L79" s="451"/>
      <c r="M79" s="452"/>
    </row>
    <row r="80" spans="1:14" ht="15" customHeight="1" x14ac:dyDescent="0.3">
      <c r="A80" s="602"/>
      <c r="B80" s="85" t="s">
        <v>226</v>
      </c>
      <c r="C80" s="392">
        <v>3531.1068</v>
      </c>
      <c r="D80" s="392">
        <v>0</v>
      </c>
      <c r="E80" s="392">
        <v>0</v>
      </c>
      <c r="F80" s="392">
        <v>0</v>
      </c>
      <c r="G80" s="392">
        <v>0</v>
      </c>
      <c r="H80" s="392">
        <v>0</v>
      </c>
      <c r="I80" s="392">
        <v>0</v>
      </c>
      <c r="J80" s="392">
        <v>3531.1068</v>
      </c>
      <c r="K80" s="13"/>
      <c r="L80" s="449"/>
      <c r="M80" s="452"/>
    </row>
    <row r="81" spans="1:14" ht="15" customHeight="1" x14ac:dyDescent="0.3">
      <c r="A81" s="602"/>
      <c r="B81" s="85" t="s">
        <v>454</v>
      </c>
      <c r="C81" s="392">
        <v>86196.831000000006</v>
      </c>
      <c r="D81" s="392">
        <v>0</v>
      </c>
      <c r="E81" s="392">
        <v>0</v>
      </c>
      <c r="F81" s="392">
        <v>0</v>
      </c>
      <c r="G81" s="392">
        <v>0</v>
      </c>
      <c r="H81" s="392">
        <v>1483.2</v>
      </c>
      <c r="I81" s="392">
        <v>3345.4512599151599</v>
      </c>
      <c r="J81" s="392">
        <v>91025.482259915196</v>
      </c>
      <c r="K81" s="13"/>
      <c r="L81" s="449"/>
      <c r="M81" s="452"/>
    </row>
    <row r="82" spans="1:14" ht="15" customHeight="1" x14ac:dyDescent="0.3">
      <c r="A82" s="602"/>
      <c r="B82" s="85" t="s">
        <v>230</v>
      </c>
      <c r="C82" s="392">
        <v>2180.3807000000002</v>
      </c>
      <c r="D82" s="392">
        <v>0</v>
      </c>
      <c r="E82" s="392">
        <v>0</v>
      </c>
      <c r="F82" s="392">
        <v>0</v>
      </c>
      <c r="G82" s="392">
        <v>1543.9808680000001</v>
      </c>
      <c r="H82" s="392">
        <v>0</v>
      </c>
      <c r="I82" s="392">
        <v>84.622714062733294</v>
      </c>
      <c r="J82" s="392">
        <v>3808.98428206273</v>
      </c>
      <c r="K82" s="13"/>
      <c r="L82" s="449"/>
      <c r="M82" s="452"/>
    </row>
    <row r="83" spans="1:14" ht="15" customHeight="1" x14ac:dyDescent="0.3">
      <c r="A83" s="602"/>
      <c r="B83" s="86" t="s">
        <v>276</v>
      </c>
      <c r="C83" s="391">
        <v>3379.2240000000002</v>
      </c>
      <c r="D83" s="391">
        <v>0</v>
      </c>
      <c r="E83" s="391">
        <v>0</v>
      </c>
      <c r="F83" s="391">
        <v>0</v>
      </c>
      <c r="G83" s="391">
        <v>0</v>
      </c>
      <c r="H83" s="391">
        <v>0</v>
      </c>
      <c r="I83" s="391">
        <v>0</v>
      </c>
      <c r="J83" s="391">
        <v>3379.2240000000002</v>
      </c>
      <c r="K83" s="13"/>
      <c r="L83" s="451"/>
      <c r="M83" s="452"/>
    </row>
    <row r="84" spans="1:14" ht="15" customHeight="1" x14ac:dyDescent="0.3">
      <c r="A84" s="602"/>
      <c r="B84" s="85" t="s">
        <v>277</v>
      </c>
      <c r="C84" s="392">
        <v>3379.2240000000002</v>
      </c>
      <c r="D84" s="392">
        <v>0</v>
      </c>
      <c r="E84" s="392">
        <v>0</v>
      </c>
      <c r="F84" s="392">
        <v>0</v>
      </c>
      <c r="G84" s="392">
        <v>0</v>
      </c>
      <c r="H84" s="392">
        <v>0</v>
      </c>
      <c r="I84" s="392">
        <v>0</v>
      </c>
      <c r="J84" s="392">
        <v>3379.2240000000002</v>
      </c>
      <c r="K84" s="13"/>
      <c r="L84" s="449"/>
      <c r="M84" s="452"/>
    </row>
    <row r="85" spans="1:14" ht="15" customHeight="1" x14ac:dyDescent="0.3">
      <c r="A85" s="602" t="s">
        <v>234</v>
      </c>
      <c r="B85" s="86" t="s">
        <v>235</v>
      </c>
      <c r="C85" s="391">
        <v>25781.8716745151</v>
      </c>
      <c r="D85" s="391">
        <v>0</v>
      </c>
      <c r="E85" s="391">
        <v>24.175614372454302</v>
      </c>
      <c r="F85" s="391">
        <v>0</v>
      </c>
      <c r="G85" s="391">
        <v>0</v>
      </c>
      <c r="H85" s="391">
        <v>0</v>
      </c>
      <c r="I85" s="391">
        <v>1340.4108838181201</v>
      </c>
      <c r="J85" s="391">
        <v>27146.458172705701</v>
      </c>
      <c r="K85" s="13"/>
      <c r="L85" s="451"/>
      <c r="M85" s="452"/>
    </row>
    <row r="86" spans="1:14" ht="15" customHeight="1" x14ac:dyDescent="0.25">
      <c r="A86" s="602"/>
      <c r="B86" s="85" t="s">
        <v>236</v>
      </c>
      <c r="C86" s="392">
        <v>25781.8716745151</v>
      </c>
      <c r="D86" s="392">
        <v>0</v>
      </c>
      <c r="E86" s="392">
        <v>24.175614372454302</v>
      </c>
      <c r="F86" s="392">
        <v>0</v>
      </c>
      <c r="G86" s="392">
        <v>0</v>
      </c>
      <c r="H86" s="392">
        <v>0</v>
      </c>
      <c r="I86" s="392">
        <v>1340.4108838181201</v>
      </c>
      <c r="J86" s="392">
        <v>27146.458172705701</v>
      </c>
      <c r="K86" s="417"/>
      <c r="L86" s="449"/>
      <c r="M86" s="452"/>
    </row>
    <row r="87" spans="1:14" ht="15" customHeight="1" x14ac:dyDescent="0.25">
      <c r="A87" s="40" t="s">
        <v>455</v>
      </c>
      <c r="B87" s="86" t="s">
        <v>318</v>
      </c>
      <c r="C87" s="391">
        <v>326084.28636691498</v>
      </c>
      <c r="D87" s="391">
        <v>1768298.7013000001</v>
      </c>
      <c r="E87" s="391">
        <v>907.00550077245396</v>
      </c>
      <c r="F87" s="391">
        <v>2615096</v>
      </c>
      <c r="G87" s="391">
        <v>1543.9808680000001</v>
      </c>
      <c r="H87" s="391">
        <v>1975.347612</v>
      </c>
      <c r="I87" s="391">
        <v>4770.4848577960101</v>
      </c>
      <c r="J87" s="391">
        <v>4718675.8065054798</v>
      </c>
      <c r="K87" s="417"/>
      <c r="L87" s="451"/>
      <c r="M87" s="452"/>
    </row>
    <row r="88" spans="1:14" ht="15" customHeight="1" x14ac:dyDescent="0.25">
      <c r="A88" s="546" t="s">
        <v>633</v>
      </c>
      <c r="B88" s="546"/>
      <c r="C88" s="546"/>
      <c r="D88" s="546"/>
      <c r="E88" s="546"/>
      <c r="F88" s="546"/>
      <c r="G88" s="546"/>
      <c r="H88" s="546"/>
      <c r="I88" s="546"/>
      <c r="J88" s="546"/>
      <c r="L88" s="309"/>
    </row>
    <row r="89" spans="1:14" ht="15" customHeight="1" x14ac:dyDescent="0.25">
      <c r="A89" s="518"/>
      <c r="B89" s="518"/>
      <c r="C89" s="518"/>
      <c r="D89" s="518"/>
      <c r="E89" s="518"/>
      <c r="F89" s="518"/>
      <c r="G89" s="518"/>
      <c r="H89" s="518"/>
      <c r="I89" s="518"/>
      <c r="J89" s="518"/>
      <c r="L89" s="419"/>
    </row>
    <row r="90" spans="1:14" ht="15" customHeight="1" x14ac:dyDescent="0.25">
      <c r="L90" s="419"/>
      <c r="M90" s="419"/>
    </row>
    <row r="91" spans="1:14" ht="15" customHeight="1" x14ac:dyDescent="0.25">
      <c r="L91" s="419"/>
      <c r="M91" s="419"/>
    </row>
    <row r="92" spans="1:14" ht="59.1" customHeight="1" x14ac:dyDescent="0.3">
      <c r="A92" s="45" t="s">
        <v>634</v>
      </c>
      <c r="B92" s="414" t="s">
        <v>599</v>
      </c>
      <c r="C92" s="414" t="s">
        <v>239</v>
      </c>
      <c r="D92" s="34">
        <v>2020</v>
      </c>
      <c r="E92" s="34">
        <v>2021</v>
      </c>
      <c r="F92" s="22" t="s">
        <v>635</v>
      </c>
      <c r="G92" s="34">
        <v>2023</v>
      </c>
      <c r="H92" s="13"/>
      <c r="M92" s="419"/>
      <c r="N92" s="419"/>
    </row>
    <row r="93" spans="1:14" ht="15" customHeight="1" x14ac:dyDescent="0.3">
      <c r="A93" s="72" t="s">
        <v>636</v>
      </c>
      <c r="B93" s="428">
        <v>0.94920000000000004</v>
      </c>
      <c r="C93" s="428">
        <v>0.183</v>
      </c>
      <c r="D93" s="428">
        <v>0.04</v>
      </c>
      <c r="E93" s="428">
        <v>0.23</v>
      </c>
      <c r="F93" s="427">
        <v>396225.3</v>
      </c>
      <c r="G93" s="427">
        <v>326084.28636691498</v>
      </c>
      <c r="H93" s="13"/>
      <c r="M93" s="419"/>
      <c r="N93" s="419"/>
    </row>
    <row r="94" spans="1:14" ht="30" customHeight="1" x14ac:dyDescent="0.3">
      <c r="A94" s="72" t="s">
        <v>571</v>
      </c>
      <c r="B94" s="428">
        <v>0.61</v>
      </c>
      <c r="C94" s="428">
        <v>0.70499999999999996</v>
      </c>
      <c r="D94" s="428">
        <v>1.7849999999999999</v>
      </c>
      <c r="E94" s="428">
        <v>2.0350000000000001</v>
      </c>
      <c r="F94" s="427">
        <v>2073279.9768999999</v>
      </c>
      <c r="G94" s="427">
        <v>1768298.7013000001</v>
      </c>
      <c r="H94" s="13"/>
      <c r="M94" s="419"/>
      <c r="N94" s="419"/>
    </row>
    <row r="95" spans="1:14" ht="15" customHeight="1" x14ac:dyDescent="0.3">
      <c r="A95" s="72" t="s">
        <v>568</v>
      </c>
      <c r="B95" s="76" t="s">
        <v>607</v>
      </c>
      <c r="C95" s="76" t="s">
        <v>607</v>
      </c>
      <c r="D95" s="428">
        <v>0</v>
      </c>
      <c r="E95" s="76" t="s">
        <v>637</v>
      </c>
      <c r="F95" s="74" t="s">
        <v>637</v>
      </c>
      <c r="G95" s="427">
        <v>907.00550077245396</v>
      </c>
      <c r="H95" s="13"/>
      <c r="M95" s="419"/>
      <c r="N95" s="419"/>
    </row>
    <row r="96" spans="1:14" ht="15" customHeight="1" x14ac:dyDescent="0.3">
      <c r="A96" s="72" t="s">
        <v>638</v>
      </c>
      <c r="B96" s="76" t="s">
        <v>637</v>
      </c>
      <c r="C96" s="428">
        <v>0.73799999999999999</v>
      </c>
      <c r="D96" s="428">
        <v>2.4900000000000002</v>
      </c>
      <c r="E96" s="428">
        <v>2.367</v>
      </c>
      <c r="F96" s="427">
        <v>2514360</v>
      </c>
      <c r="G96" s="427">
        <v>2615096</v>
      </c>
      <c r="H96" s="13"/>
      <c r="M96" s="419"/>
      <c r="N96" s="419"/>
    </row>
    <row r="97" spans="1:14" ht="15" customHeight="1" x14ac:dyDescent="0.3">
      <c r="A97" s="72" t="s">
        <v>639</v>
      </c>
      <c r="B97" s="76" t="s">
        <v>607</v>
      </c>
      <c r="C97" s="76" t="s">
        <v>607</v>
      </c>
      <c r="D97" s="76" t="s">
        <v>607</v>
      </c>
      <c r="E97" s="76" t="s">
        <v>607</v>
      </c>
      <c r="F97" s="74" t="s">
        <v>607</v>
      </c>
      <c r="G97" s="427">
        <v>1543.9808680000001</v>
      </c>
      <c r="H97" s="13"/>
      <c r="M97" s="419"/>
      <c r="N97" s="419"/>
    </row>
    <row r="98" spans="1:14" ht="15" customHeight="1" x14ac:dyDescent="0.3">
      <c r="A98" s="72" t="s">
        <v>590</v>
      </c>
      <c r="B98" s="428">
        <v>0.14000000000000001</v>
      </c>
      <c r="C98" s="428">
        <v>0.14000000000000001</v>
      </c>
      <c r="D98" s="428">
        <v>1.2E-2</v>
      </c>
      <c r="E98" s="428">
        <v>7.0000000000000001E-3</v>
      </c>
      <c r="F98" s="427">
        <v>7871.7550946862102</v>
      </c>
      <c r="G98" s="427">
        <v>6745.8324697960097</v>
      </c>
      <c r="H98" s="13"/>
      <c r="M98" s="419"/>
      <c r="N98" s="419"/>
    </row>
    <row r="99" spans="1:14" ht="39.15" customHeight="1" x14ac:dyDescent="0.3">
      <c r="A99" s="86" t="s">
        <v>640</v>
      </c>
      <c r="B99" s="426">
        <v>1.6992</v>
      </c>
      <c r="C99" s="426">
        <v>1.766</v>
      </c>
      <c r="D99" s="426">
        <v>4.327</v>
      </c>
      <c r="E99" s="426">
        <v>4.6390000000000002</v>
      </c>
      <c r="F99" s="425">
        <v>4992222.5</v>
      </c>
      <c r="G99" s="425">
        <v>4718675.8065054798</v>
      </c>
      <c r="H99" s="13"/>
      <c r="M99" s="419"/>
      <c r="N99" s="419"/>
    </row>
    <row r="100" spans="1:14" ht="30.75" customHeight="1" x14ac:dyDescent="0.25">
      <c r="A100" s="546" t="s">
        <v>641</v>
      </c>
      <c r="B100" s="546"/>
      <c r="C100" s="546"/>
      <c r="D100" s="546"/>
      <c r="E100" s="546"/>
      <c r="F100" s="546"/>
      <c r="G100" s="546"/>
      <c r="L100" s="419"/>
      <c r="M100" s="419"/>
    </row>
    <row r="101" spans="1:14" ht="30.75" customHeight="1" x14ac:dyDescent="0.25">
      <c r="A101" s="518"/>
      <c r="B101" s="518"/>
      <c r="C101" s="518"/>
      <c r="D101" s="518"/>
      <c r="E101" s="518"/>
      <c r="F101" s="518"/>
      <c r="G101" s="518"/>
      <c r="L101" s="419"/>
      <c r="M101" s="419"/>
    </row>
    <row r="102" spans="1:14" ht="36.75" customHeight="1" x14ac:dyDescent="0.25">
      <c r="A102" s="518"/>
      <c r="B102" s="518"/>
      <c r="C102" s="518"/>
      <c r="D102" s="518"/>
      <c r="E102" s="518"/>
      <c r="F102" s="518"/>
      <c r="G102" s="518"/>
      <c r="L102" s="419"/>
      <c r="M102" s="419"/>
    </row>
    <row r="103" spans="1:14" ht="15" customHeight="1" x14ac:dyDescent="0.25">
      <c r="L103" s="419"/>
      <c r="M103" s="419"/>
    </row>
    <row r="104" spans="1:14" ht="15" customHeight="1" x14ac:dyDescent="0.25">
      <c r="L104" s="419"/>
      <c r="M104" s="419"/>
    </row>
    <row r="105" spans="1:14" ht="55.95" customHeight="1" x14ac:dyDescent="0.3">
      <c r="A105" s="33" t="s">
        <v>642</v>
      </c>
      <c r="B105" s="58" t="s">
        <v>207</v>
      </c>
      <c r="C105" s="58" t="s">
        <v>566</v>
      </c>
      <c r="D105" s="58" t="s">
        <v>593</v>
      </c>
      <c r="E105" s="58" t="s">
        <v>568</v>
      </c>
      <c r="F105" s="58" t="s">
        <v>569</v>
      </c>
      <c r="G105" s="58" t="s">
        <v>570</v>
      </c>
      <c r="H105" s="58" t="s">
        <v>571</v>
      </c>
      <c r="I105" s="58" t="s">
        <v>572</v>
      </c>
      <c r="J105" s="417"/>
      <c r="L105" s="419"/>
      <c r="M105" s="419"/>
    </row>
    <row r="106" spans="1:14" ht="15" customHeight="1" x14ac:dyDescent="0.25">
      <c r="A106" s="602" t="s">
        <v>245</v>
      </c>
      <c r="B106" s="86" t="s">
        <v>246</v>
      </c>
      <c r="C106" s="421">
        <v>0.99816688950350696</v>
      </c>
      <c r="D106" s="421">
        <v>1.5625635613305299E-3</v>
      </c>
      <c r="E106" s="421">
        <v>0</v>
      </c>
      <c r="F106" s="421">
        <v>0</v>
      </c>
      <c r="G106" s="421">
        <v>2.7054693516294598E-4</v>
      </c>
      <c r="H106" s="421">
        <v>0</v>
      </c>
      <c r="I106" s="421">
        <v>0</v>
      </c>
      <c r="J106" s="417"/>
      <c r="L106" s="419"/>
      <c r="M106" s="419"/>
    </row>
    <row r="107" spans="1:14" ht="15" customHeight="1" x14ac:dyDescent="0.25">
      <c r="A107" s="602"/>
      <c r="B107" s="72" t="s">
        <v>514</v>
      </c>
      <c r="C107" s="420">
        <v>0.99707329455692695</v>
      </c>
      <c r="D107" s="420">
        <v>2.5223598121093299E-3</v>
      </c>
      <c r="E107" s="420">
        <v>0</v>
      </c>
      <c r="F107" s="420">
        <v>0</v>
      </c>
      <c r="G107" s="420">
        <v>4.0434563096373202E-4</v>
      </c>
      <c r="H107" s="420">
        <v>0</v>
      </c>
      <c r="I107" s="420">
        <v>0</v>
      </c>
      <c r="J107" s="417"/>
      <c r="L107" s="419"/>
      <c r="M107" s="419"/>
    </row>
    <row r="108" spans="1:14" ht="15" customHeight="1" x14ac:dyDescent="0.25">
      <c r="A108" s="602"/>
      <c r="B108" s="72" t="s">
        <v>247</v>
      </c>
      <c r="C108" s="420">
        <v>0.99994727946960005</v>
      </c>
      <c r="D108" s="420">
        <v>0</v>
      </c>
      <c r="E108" s="420">
        <v>0</v>
      </c>
      <c r="F108" s="420">
        <v>0</v>
      </c>
      <c r="G108" s="424">
        <v>5.2720530400255499E-5</v>
      </c>
      <c r="H108" s="420">
        <v>0</v>
      </c>
      <c r="I108" s="420">
        <v>0</v>
      </c>
      <c r="J108" s="417"/>
      <c r="L108" s="419"/>
      <c r="M108" s="419"/>
    </row>
    <row r="109" spans="1:14" ht="15" customHeight="1" x14ac:dyDescent="0.25">
      <c r="A109" s="602" t="s">
        <v>251</v>
      </c>
      <c r="B109" s="114" t="s">
        <v>252</v>
      </c>
      <c r="C109" s="421">
        <v>0.58689794839285903</v>
      </c>
      <c r="D109" s="421">
        <v>0</v>
      </c>
      <c r="E109" s="421">
        <v>9.0026319071597595E-6</v>
      </c>
      <c r="F109" s="421">
        <v>0.37310807920705302</v>
      </c>
      <c r="G109" s="421">
        <v>5.76270390276568E-3</v>
      </c>
      <c r="H109" s="421">
        <v>0</v>
      </c>
      <c r="I109" s="421">
        <v>3.4222265865414402E-2</v>
      </c>
      <c r="J109" s="417"/>
    </row>
    <row r="110" spans="1:14" ht="15" customHeight="1" x14ac:dyDescent="0.25">
      <c r="A110" s="602"/>
      <c r="B110" s="72" t="s">
        <v>253</v>
      </c>
      <c r="C110" s="420">
        <v>0.99163135331395502</v>
      </c>
      <c r="D110" s="420">
        <v>0</v>
      </c>
      <c r="E110" s="420">
        <v>0</v>
      </c>
      <c r="F110" s="420">
        <v>0</v>
      </c>
      <c r="G110" s="420">
        <v>8.3686466860453494E-3</v>
      </c>
      <c r="H110" s="420">
        <v>0</v>
      </c>
      <c r="I110" s="420">
        <v>0</v>
      </c>
      <c r="J110" s="417"/>
    </row>
    <row r="111" spans="1:14" ht="15" customHeight="1" x14ac:dyDescent="0.25">
      <c r="A111" s="602"/>
      <c r="B111" s="72" t="s">
        <v>256</v>
      </c>
      <c r="C111" s="420">
        <v>0.21176809657899301</v>
      </c>
      <c r="D111" s="420">
        <v>0</v>
      </c>
      <c r="E111" s="422" t="s">
        <v>643</v>
      </c>
      <c r="F111" s="420">
        <v>0.71892578726301404</v>
      </c>
      <c r="G111" s="420">
        <v>3.3473684789014201E-3</v>
      </c>
      <c r="H111" s="420">
        <v>0</v>
      </c>
      <c r="I111" s="420">
        <v>6.5941400897845101E-2</v>
      </c>
      <c r="J111" s="417"/>
    </row>
    <row r="112" spans="1:14" ht="15" customHeight="1" x14ac:dyDescent="0.25">
      <c r="A112" s="602" t="s">
        <v>213</v>
      </c>
      <c r="B112" s="114" t="s">
        <v>328</v>
      </c>
      <c r="C112" s="421">
        <v>0.94786182480752601</v>
      </c>
      <c r="D112" s="421">
        <v>0</v>
      </c>
      <c r="E112" s="421">
        <v>6.8603482367415999E-4</v>
      </c>
      <c r="F112" s="421">
        <v>0</v>
      </c>
      <c r="G112" s="421">
        <v>3.4092874735387299E-3</v>
      </c>
      <c r="H112" s="421">
        <v>0</v>
      </c>
      <c r="I112" s="421">
        <v>4.80428528952613E-2</v>
      </c>
      <c r="J112" s="417"/>
    </row>
    <row r="113" spans="1:13" ht="15" customHeight="1" x14ac:dyDescent="0.25">
      <c r="A113" s="602"/>
      <c r="B113" s="72" t="s">
        <v>453</v>
      </c>
      <c r="C113" s="420">
        <v>0.94786182480752601</v>
      </c>
      <c r="D113" s="420">
        <v>0</v>
      </c>
      <c r="E113" s="420">
        <v>6.8603482367415999E-4</v>
      </c>
      <c r="F113" s="420">
        <v>0</v>
      </c>
      <c r="G113" s="420">
        <v>3.4092874735387299E-3</v>
      </c>
      <c r="H113" s="420">
        <v>0</v>
      </c>
      <c r="I113" s="420">
        <v>4.80428528952613E-2</v>
      </c>
      <c r="J113" s="417"/>
    </row>
    <row r="114" spans="1:13" ht="15" customHeight="1" x14ac:dyDescent="0.25">
      <c r="A114" s="602"/>
      <c r="B114" s="114" t="s">
        <v>214</v>
      </c>
      <c r="C114" s="421">
        <v>0.96742029777652006</v>
      </c>
      <c r="D114" s="421">
        <v>5.3009673853618702E-3</v>
      </c>
      <c r="E114" s="421">
        <v>1.0762326575092299E-2</v>
      </c>
      <c r="F114" s="421">
        <v>0</v>
      </c>
      <c r="G114" s="421">
        <v>1.90098789807716E-3</v>
      </c>
      <c r="H114" s="421">
        <v>0</v>
      </c>
      <c r="I114" s="421">
        <v>1.4615420364949E-2</v>
      </c>
      <c r="J114" s="417"/>
    </row>
    <row r="115" spans="1:13" ht="15" customHeight="1" x14ac:dyDescent="0.25">
      <c r="A115" s="602"/>
      <c r="B115" s="72" t="s">
        <v>215</v>
      </c>
      <c r="C115" s="420">
        <v>0.96742029777652006</v>
      </c>
      <c r="D115" s="420">
        <v>5.3009673853618702E-3</v>
      </c>
      <c r="E115" s="420">
        <v>1.0762326575092299E-2</v>
      </c>
      <c r="F115" s="420">
        <v>0</v>
      </c>
      <c r="G115" s="420">
        <v>1.90098789807716E-3</v>
      </c>
      <c r="H115" s="420">
        <v>0</v>
      </c>
      <c r="I115" s="420">
        <v>1.4615420364949E-2</v>
      </c>
      <c r="J115" s="417"/>
    </row>
    <row r="116" spans="1:13" ht="15" customHeight="1" x14ac:dyDescent="0.25">
      <c r="A116" s="602"/>
      <c r="B116" s="114" t="s">
        <v>265</v>
      </c>
      <c r="C116" s="421">
        <v>0.49383192059971498</v>
      </c>
      <c r="D116" s="421">
        <v>0</v>
      </c>
      <c r="E116" s="421">
        <v>5.5075389241807603E-4</v>
      </c>
      <c r="F116" s="421">
        <v>0</v>
      </c>
      <c r="G116" s="423" t="s">
        <v>643</v>
      </c>
      <c r="H116" s="421">
        <v>0.505608270701287</v>
      </c>
      <c r="I116" s="421">
        <v>0</v>
      </c>
      <c r="J116" s="417"/>
    </row>
    <row r="117" spans="1:13" ht="15" customHeight="1" x14ac:dyDescent="0.25">
      <c r="A117" s="602"/>
      <c r="B117" s="72" t="s">
        <v>266</v>
      </c>
      <c r="C117" s="420">
        <v>0.49383192059971498</v>
      </c>
      <c r="D117" s="420">
        <v>0</v>
      </c>
      <c r="E117" s="420">
        <v>5.5075389241807603E-4</v>
      </c>
      <c r="F117" s="420">
        <v>0</v>
      </c>
      <c r="G117" s="422" t="s">
        <v>643</v>
      </c>
      <c r="H117" s="420">
        <v>0.505608270701287</v>
      </c>
      <c r="I117" s="420">
        <v>0</v>
      </c>
      <c r="J117" s="417"/>
    </row>
    <row r="118" spans="1:13" ht="15" customHeight="1" x14ac:dyDescent="0.25">
      <c r="A118" s="602" t="s">
        <v>224</v>
      </c>
      <c r="B118" s="114" t="s">
        <v>225</v>
      </c>
      <c r="C118" s="421">
        <v>0.67736112496281198</v>
      </c>
      <c r="D118" s="421">
        <v>0</v>
      </c>
      <c r="E118" s="421">
        <v>1.6793866375232398E-2</v>
      </c>
      <c r="F118" s="421">
        <v>8.5742246797353303E-2</v>
      </c>
      <c r="G118" s="421">
        <v>0.19473815362004501</v>
      </c>
      <c r="H118" s="421">
        <v>0</v>
      </c>
      <c r="I118" s="421">
        <v>2.5364608244557999E-2</v>
      </c>
      <c r="J118" s="417"/>
    </row>
    <row r="119" spans="1:13" ht="15" customHeight="1" x14ac:dyDescent="0.25">
      <c r="A119" s="602"/>
      <c r="B119" s="72" t="s">
        <v>226</v>
      </c>
      <c r="C119" s="420">
        <v>0.68882191428719097</v>
      </c>
      <c r="D119" s="420">
        <v>0</v>
      </c>
      <c r="E119" s="420">
        <v>1.7908646082621701E-2</v>
      </c>
      <c r="F119" s="420">
        <v>0</v>
      </c>
      <c r="G119" s="420">
        <v>0.25454571266659498</v>
      </c>
      <c r="H119" s="420">
        <v>0</v>
      </c>
      <c r="I119" s="420">
        <v>3.8723726963592303E-2</v>
      </c>
      <c r="J119" s="417"/>
    </row>
    <row r="120" spans="1:13" ht="15" customHeight="1" x14ac:dyDescent="0.25">
      <c r="A120" s="602"/>
      <c r="B120" s="72" t="s">
        <v>454</v>
      </c>
      <c r="C120" s="420">
        <v>0.53991620040330401</v>
      </c>
      <c r="D120" s="420">
        <v>0</v>
      </c>
      <c r="E120" s="420">
        <v>9.5130495571932195E-3</v>
      </c>
      <c r="F120" s="420">
        <v>0</v>
      </c>
      <c r="G120" s="420">
        <v>0.40219189815372303</v>
      </c>
      <c r="H120" s="420">
        <v>0</v>
      </c>
      <c r="I120" s="420">
        <v>4.83788518857802E-2</v>
      </c>
      <c r="J120" s="417"/>
    </row>
    <row r="121" spans="1:13" ht="15" customHeight="1" x14ac:dyDescent="0.25">
      <c r="A121" s="602"/>
      <c r="B121" s="72" t="s">
        <v>230</v>
      </c>
      <c r="C121" s="420">
        <v>0.76608072259096205</v>
      </c>
      <c r="D121" s="420">
        <v>0</v>
      </c>
      <c r="E121" s="420">
        <v>2.1144372574829599E-2</v>
      </c>
      <c r="F121" s="420">
        <v>0.20498395528751501</v>
      </c>
      <c r="G121" s="420">
        <v>7.7909495466931102E-3</v>
      </c>
      <c r="H121" s="420">
        <v>0</v>
      </c>
      <c r="I121" s="420">
        <v>0</v>
      </c>
      <c r="J121" s="417"/>
    </row>
    <row r="122" spans="1:13" ht="15" customHeight="1" x14ac:dyDescent="0.25">
      <c r="A122" s="602"/>
      <c r="B122" s="114" t="s">
        <v>276</v>
      </c>
      <c r="C122" s="421">
        <v>0.95718745972735497</v>
      </c>
      <c r="D122" s="421">
        <v>9.8297603153671004E-3</v>
      </c>
      <c r="E122" s="421">
        <v>1.50914907062287E-2</v>
      </c>
      <c r="F122" s="421">
        <v>1.28036705354802E-2</v>
      </c>
      <c r="G122" s="421">
        <v>5.0876187155720299E-3</v>
      </c>
      <c r="H122" s="421">
        <v>0</v>
      </c>
      <c r="I122" s="421">
        <v>0</v>
      </c>
      <c r="J122" s="417"/>
    </row>
    <row r="123" spans="1:13" ht="15" customHeight="1" x14ac:dyDescent="0.25">
      <c r="A123" s="602"/>
      <c r="B123" s="72" t="s">
        <v>277</v>
      </c>
      <c r="C123" s="420">
        <v>0.95718745972735497</v>
      </c>
      <c r="D123" s="420">
        <v>9.8297603153671004E-3</v>
      </c>
      <c r="E123" s="420">
        <v>1.50914907062287E-2</v>
      </c>
      <c r="F123" s="420">
        <v>1.28036705354802E-2</v>
      </c>
      <c r="G123" s="420">
        <v>5.0876187155720299E-3</v>
      </c>
      <c r="H123" s="420">
        <v>0</v>
      </c>
      <c r="I123" s="420">
        <v>0</v>
      </c>
      <c r="J123" s="417"/>
      <c r="L123" s="419"/>
      <c r="M123" s="419"/>
    </row>
    <row r="124" spans="1:13" ht="15" customHeight="1" x14ac:dyDescent="0.25">
      <c r="A124" s="604" t="s">
        <v>234</v>
      </c>
      <c r="B124" s="114" t="s">
        <v>235</v>
      </c>
      <c r="C124" s="421">
        <v>0.99851048465710801</v>
      </c>
      <c r="D124" s="421">
        <v>0</v>
      </c>
      <c r="E124" s="421">
        <v>1.4890157157511901E-3</v>
      </c>
      <c r="F124" s="421">
        <v>0</v>
      </c>
      <c r="G124" s="421">
        <v>4.9962714087712605E-7</v>
      </c>
      <c r="H124" s="421">
        <v>0</v>
      </c>
      <c r="I124" s="421">
        <v>0</v>
      </c>
      <c r="J124" s="417"/>
      <c r="L124" s="419"/>
      <c r="M124" s="419"/>
    </row>
    <row r="125" spans="1:13" ht="15" customHeight="1" x14ac:dyDescent="0.25">
      <c r="A125" s="604"/>
      <c r="B125" s="72" t="s">
        <v>236</v>
      </c>
      <c r="C125" s="420">
        <v>0.99851048465710801</v>
      </c>
      <c r="D125" s="420">
        <v>0</v>
      </c>
      <c r="E125" s="420">
        <v>1.4890157157511901E-3</v>
      </c>
      <c r="F125" s="420">
        <v>0</v>
      </c>
      <c r="G125" s="420">
        <v>4.9962714087712605E-7</v>
      </c>
      <c r="H125" s="420">
        <v>0</v>
      </c>
      <c r="I125" s="420">
        <v>0</v>
      </c>
      <c r="J125" s="417"/>
      <c r="L125" s="419"/>
      <c r="M125" s="419"/>
    </row>
    <row r="126" spans="1:13" ht="15" customHeight="1" x14ac:dyDescent="0.25">
      <c r="A126" s="6" t="s">
        <v>455</v>
      </c>
      <c r="B126" s="114" t="s">
        <v>644</v>
      </c>
      <c r="C126" s="418">
        <v>0.74186756059015802</v>
      </c>
      <c r="D126" s="418">
        <v>1.44537330542507E-3</v>
      </c>
      <c r="E126" s="418">
        <v>4.0748421342256796E-3</v>
      </c>
      <c r="F126" s="418">
        <v>0.13210241015308199</v>
      </c>
      <c r="G126" s="418">
        <v>2.0422014215735501E-2</v>
      </c>
      <c r="H126" s="418">
        <v>8.3549834721153099E-2</v>
      </c>
      <c r="I126" s="418">
        <v>1.6537964880220701E-2</v>
      </c>
      <c r="J126" s="417"/>
    </row>
    <row r="127" spans="1:13" ht="15" customHeight="1" x14ac:dyDescent="0.25">
      <c r="A127" s="546"/>
      <c r="B127" s="546"/>
      <c r="C127" s="546"/>
      <c r="D127" s="546"/>
      <c r="E127" s="546"/>
      <c r="F127" s="546"/>
      <c r="G127" s="546"/>
      <c r="H127" s="546"/>
      <c r="I127" s="546"/>
      <c r="J127" s="309"/>
    </row>
    <row r="128" spans="1:13" ht="15" customHeight="1" x14ac:dyDescent="0.25"/>
    <row r="129" spans="1:22" ht="15" customHeight="1" x14ac:dyDescent="0.3">
      <c r="A129" s="398" t="s">
        <v>645</v>
      </c>
      <c r="B129" s="453"/>
      <c r="C129" s="454"/>
      <c r="D129" s="454"/>
      <c r="E129" s="454"/>
      <c r="F129" s="454"/>
      <c r="G129" s="454"/>
      <c r="H129" s="454"/>
      <c r="I129" s="454"/>
      <c r="J129" s="454"/>
      <c r="K129" s="454"/>
      <c r="L129" s="454"/>
      <c r="M129" s="454"/>
      <c r="N129" s="454"/>
      <c r="O129" s="454"/>
      <c r="P129" s="454"/>
      <c r="Q129" s="454"/>
      <c r="R129" s="454"/>
      <c r="S129" s="447"/>
      <c r="T129" s="447"/>
      <c r="U129" s="447"/>
      <c r="V129" s="447"/>
    </row>
    <row r="130" spans="1:22" ht="66.599999999999994" customHeight="1" x14ac:dyDescent="0.35">
      <c r="A130" s="33" t="s">
        <v>646</v>
      </c>
      <c r="B130" s="58" t="s">
        <v>207</v>
      </c>
      <c r="C130" s="58" t="s">
        <v>647</v>
      </c>
      <c r="D130" s="58" t="s">
        <v>648</v>
      </c>
      <c r="E130" s="58" t="s">
        <v>649</v>
      </c>
      <c r="F130" s="58" t="s">
        <v>650</v>
      </c>
      <c r="G130" s="58" t="s">
        <v>651</v>
      </c>
      <c r="H130" s="58" t="s">
        <v>652</v>
      </c>
      <c r="I130" s="58" t="s">
        <v>653</v>
      </c>
      <c r="J130" s="58" t="s">
        <v>654</v>
      </c>
      <c r="K130" s="58" t="s">
        <v>655</v>
      </c>
      <c r="L130" s="58" t="s">
        <v>656</v>
      </c>
      <c r="M130" s="5" t="s">
        <v>657</v>
      </c>
      <c r="N130" s="58" t="s">
        <v>658</v>
      </c>
      <c r="O130" s="33" t="s">
        <v>659</v>
      </c>
      <c r="P130" s="33" t="s">
        <v>660</v>
      </c>
      <c r="Q130" s="33" t="s">
        <v>661</v>
      </c>
      <c r="R130" s="33" t="s">
        <v>662</v>
      </c>
      <c r="S130" s="13"/>
    </row>
    <row r="131" spans="1:22" ht="20.85" customHeight="1" x14ac:dyDescent="0.3">
      <c r="A131" s="602" t="s">
        <v>245</v>
      </c>
      <c r="B131" s="23" t="s">
        <v>246</v>
      </c>
      <c r="C131" s="391">
        <v>186757.458137104</v>
      </c>
      <c r="D131" s="391">
        <v>328.27831412960001</v>
      </c>
      <c r="E131" s="391">
        <v>0</v>
      </c>
      <c r="F131" s="391">
        <v>0</v>
      </c>
      <c r="G131" s="391">
        <v>43.159498704000001</v>
      </c>
      <c r="H131" s="391">
        <v>0</v>
      </c>
      <c r="I131" s="391">
        <v>0</v>
      </c>
      <c r="J131" s="391">
        <v>0</v>
      </c>
      <c r="K131" s="391">
        <v>0</v>
      </c>
      <c r="L131" s="391">
        <v>714.699109564526</v>
      </c>
      <c r="M131" s="391">
        <v>0</v>
      </c>
      <c r="N131" s="391">
        <v>26265.483692000002</v>
      </c>
      <c r="O131" s="391">
        <v>214109.07875150201</v>
      </c>
      <c r="P131" s="391">
        <v>220516.03375999999</v>
      </c>
      <c r="Q131" s="391">
        <v>220516.03375999999</v>
      </c>
      <c r="R131" s="391">
        <v>434625.112511502</v>
      </c>
      <c r="S131" s="13"/>
    </row>
    <row r="132" spans="1:22" ht="20.85" customHeight="1" x14ac:dyDescent="0.3">
      <c r="A132" s="602"/>
      <c r="B132" s="85" t="s">
        <v>514</v>
      </c>
      <c r="C132" s="392">
        <v>115555.627490524</v>
      </c>
      <c r="D132" s="392">
        <v>328.27831412960001</v>
      </c>
      <c r="E132" s="392">
        <v>0</v>
      </c>
      <c r="F132" s="392">
        <v>0</v>
      </c>
      <c r="G132" s="392">
        <v>39.9592365552</v>
      </c>
      <c r="H132" s="392">
        <v>0</v>
      </c>
      <c r="I132" s="392">
        <v>0</v>
      </c>
      <c r="J132" s="392">
        <v>0</v>
      </c>
      <c r="K132" s="392">
        <v>0</v>
      </c>
      <c r="L132" s="392">
        <v>486.71468911804402</v>
      </c>
      <c r="M132" s="392">
        <v>0</v>
      </c>
      <c r="N132" s="392">
        <v>21492.155692</v>
      </c>
      <c r="O132" s="392">
        <v>137902.73542232701</v>
      </c>
      <c r="P132" s="392">
        <v>145484.63248</v>
      </c>
      <c r="Q132" s="392">
        <v>145484.63248</v>
      </c>
      <c r="R132" s="392">
        <v>283387.36790232698</v>
      </c>
      <c r="S132" s="13"/>
    </row>
    <row r="133" spans="1:22" ht="20.85" customHeight="1" x14ac:dyDescent="0.3">
      <c r="A133" s="602"/>
      <c r="B133" s="85" t="s">
        <v>247</v>
      </c>
      <c r="C133" s="392">
        <v>71201.830646579794</v>
      </c>
      <c r="D133" s="392">
        <v>0</v>
      </c>
      <c r="E133" s="392">
        <v>0</v>
      </c>
      <c r="F133" s="392">
        <v>0</v>
      </c>
      <c r="G133" s="392">
        <v>3.2002621487999998</v>
      </c>
      <c r="H133" s="392">
        <v>0</v>
      </c>
      <c r="I133" s="392">
        <v>0</v>
      </c>
      <c r="J133" s="392">
        <v>0</v>
      </c>
      <c r="K133" s="392">
        <v>0</v>
      </c>
      <c r="L133" s="392">
        <v>227.98442044648201</v>
      </c>
      <c r="M133" s="392">
        <v>0</v>
      </c>
      <c r="N133" s="392">
        <v>4773.3280000000004</v>
      </c>
      <c r="O133" s="392">
        <v>76206.343329175099</v>
      </c>
      <c r="P133" s="392">
        <v>75031.401280000005</v>
      </c>
      <c r="Q133" s="392">
        <v>75031.401280000005</v>
      </c>
      <c r="R133" s="392">
        <v>151237.74460917499</v>
      </c>
      <c r="S133" s="13"/>
    </row>
    <row r="134" spans="1:22" ht="20.85" customHeight="1" x14ac:dyDescent="0.3">
      <c r="A134" s="602" t="s">
        <v>251</v>
      </c>
      <c r="B134" s="23" t="s">
        <v>252</v>
      </c>
      <c r="C134" s="391">
        <v>289527.89894963801</v>
      </c>
      <c r="D134" s="391">
        <v>0</v>
      </c>
      <c r="E134" s="391">
        <v>4.3916903999999999</v>
      </c>
      <c r="F134" s="391">
        <v>134755.89687999999</v>
      </c>
      <c r="G134" s="391">
        <v>2447.6646332999999</v>
      </c>
      <c r="H134" s="391">
        <v>0</v>
      </c>
      <c r="I134" s="391">
        <v>16229.073887686</v>
      </c>
      <c r="J134" s="391">
        <v>0</v>
      </c>
      <c r="K134" s="391">
        <v>0</v>
      </c>
      <c r="L134" s="391">
        <v>5013.62069637492</v>
      </c>
      <c r="M134" s="391">
        <v>175.64865470999999</v>
      </c>
      <c r="N134" s="391">
        <v>1580.8758399999999</v>
      </c>
      <c r="O134" s="391">
        <v>449735.07123210898</v>
      </c>
      <c r="P134" s="391">
        <v>646185.57200000004</v>
      </c>
      <c r="Q134" s="391">
        <v>503644.63699999999</v>
      </c>
      <c r="R134" s="391">
        <v>1095920.64323211</v>
      </c>
      <c r="S134" s="13"/>
    </row>
    <row r="135" spans="1:22" ht="20.85" customHeight="1" x14ac:dyDescent="0.3">
      <c r="A135" s="602"/>
      <c r="B135" s="85" t="s">
        <v>253</v>
      </c>
      <c r="C135" s="392">
        <v>235310.30334499801</v>
      </c>
      <c r="D135" s="392">
        <v>0</v>
      </c>
      <c r="E135" s="392">
        <v>0</v>
      </c>
      <c r="F135" s="392">
        <v>0</v>
      </c>
      <c r="G135" s="392">
        <v>1709.7948579599999</v>
      </c>
      <c r="H135" s="392">
        <v>0</v>
      </c>
      <c r="I135" s="392">
        <v>0</v>
      </c>
      <c r="J135" s="392">
        <v>0</v>
      </c>
      <c r="K135" s="392">
        <v>0</v>
      </c>
      <c r="L135" s="392">
        <v>713.76286878097301</v>
      </c>
      <c r="M135" s="392">
        <v>142.12896741</v>
      </c>
      <c r="N135" s="392">
        <v>856.08600000000001</v>
      </c>
      <c r="O135" s="392">
        <v>238732.07603914899</v>
      </c>
      <c r="P135" s="392">
        <v>646185.57200000004</v>
      </c>
      <c r="Q135" s="392">
        <v>503644.63699999999</v>
      </c>
      <c r="R135" s="392">
        <v>884917.648039149</v>
      </c>
      <c r="S135" s="13"/>
    </row>
    <row r="136" spans="1:22" ht="20.85" customHeight="1" x14ac:dyDescent="0.3">
      <c r="A136" s="602"/>
      <c r="B136" s="85" t="s">
        <v>256</v>
      </c>
      <c r="C136" s="392">
        <v>54217.595604640002</v>
      </c>
      <c r="D136" s="392">
        <v>0</v>
      </c>
      <c r="E136" s="392">
        <v>4.3916903999999999</v>
      </c>
      <c r="F136" s="392">
        <v>134755.89687999999</v>
      </c>
      <c r="G136" s="392">
        <v>737.86977534000005</v>
      </c>
      <c r="H136" s="392">
        <v>0</v>
      </c>
      <c r="I136" s="392">
        <v>16229.073887686</v>
      </c>
      <c r="J136" s="392">
        <v>0</v>
      </c>
      <c r="K136" s="392">
        <v>0</v>
      </c>
      <c r="L136" s="392">
        <v>4299.8578275939499</v>
      </c>
      <c r="M136" s="392">
        <v>33.519687300000001</v>
      </c>
      <c r="N136" s="392">
        <v>724.78984000000003</v>
      </c>
      <c r="O136" s="392">
        <v>211002.99519295999</v>
      </c>
      <c r="P136" s="392">
        <v>0</v>
      </c>
      <c r="Q136" s="392">
        <v>0</v>
      </c>
      <c r="R136" s="392">
        <v>211002.99519295999</v>
      </c>
      <c r="S136" s="13"/>
    </row>
    <row r="137" spans="1:22" ht="20.85" customHeight="1" x14ac:dyDescent="0.3">
      <c r="A137" s="602" t="s">
        <v>213</v>
      </c>
      <c r="B137" s="23" t="s">
        <v>328</v>
      </c>
      <c r="C137" s="391">
        <v>25218.963039852599</v>
      </c>
      <c r="D137" s="391">
        <v>0</v>
      </c>
      <c r="E137" s="391">
        <v>17.127071622984001</v>
      </c>
      <c r="F137" s="391">
        <v>0</v>
      </c>
      <c r="G137" s="391">
        <v>77.201186304239997</v>
      </c>
      <c r="H137" s="391">
        <v>0</v>
      </c>
      <c r="I137" s="391">
        <v>1238.215842864</v>
      </c>
      <c r="J137" s="391">
        <v>0</v>
      </c>
      <c r="K137" s="391">
        <v>0</v>
      </c>
      <c r="L137" s="391">
        <v>26.873550000000002</v>
      </c>
      <c r="M137" s="391">
        <v>0</v>
      </c>
      <c r="N137" s="391">
        <v>1000.7648</v>
      </c>
      <c r="O137" s="391">
        <v>27579.145490643801</v>
      </c>
      <c r="P137" s="391">
        <v>36304.099600000001</v>
      </c>
      <c r="Q137" s="391">
        <v>36304.099600000001</v>
      </c>
      <c r="R137" s="391">
        <v>63883.245090643803</v>
      </c>
      <c r="S137" s="13"/>
    </row>
    <row r="138" spans="1:22" ht="20.85" customHeight="1" x14ac:dyDescent="0.3">
      <c r="A138" s="602"/>
      <c r="B138" s="85" t="s">
        <v>453</v>
      </c>
      <c r="C138" s="392">
        <v>25218.963039852599</v>
      </c>
      <c r="D138" s="392">
        <v>0</v>
      </c>
      <c r="E138" s="392">
        <v>17.127071622984001</v>
      </c>
      <c r="F138" s="392">
        <v>0</v>
      </c>
      <c r="G138" s="392">
        <v>77.201186304239997</v>
      </c>
      <c r="H138" s="392">
        <v>0</v>
      </c>
      <c r="I138" s="392">
        <v>1238.215842864</v>
      </c>
      <c r="J138" s="392">
        <v>0</v>
      </c>
      <c r="K138" s="392">
        <v>0</v>
      </c>
      <c r="L138" s="392">
        <v>26.873550000000002</v>
      </c>
      <c r="M138" s="392">
        <v>0</v>
      </c>
      <c r="N138" s="392">
        <v>1000.7648</v>
      </c>
      <c r="O138" s="392">
        <v>27579.145490643801</v>
      </c>
      <c r="P138" s="392">
        <v>36304.099600000001</v>
      </c>
      <c r="Q138" s="392">
        <v>36304.099600000001</v>
      </c>
      <c r="R138" s="392">
        <v>63883.245090643803</v>
      </c>
      <c r="S138" s="13"/>
    </row>
    <row r="139" spans="1:22" ht="20.85" customHeight="1" x14ac:dyDescent="0.3">
      <c r="A139" s="602"/>
      <c r="B139" s="23" t="s">
        <v>214</v>
      </c>
      <c r="C139" s="391">
        <v>214283.05857304399</v>
      </c>
      <c r="D139" s="391">
        <v>1319.25972484</v>
      </c>
      <c r="E139" s="391">
        <v>2240.4484169512498</v>
      </c>
      <c r="F139" s="391">
        <v>0</v>
      </c>
      <c r="G139" s="391">
        <v>359.23926187087199</v>
      </c>
      <c r="H139" s="391">
        <v>0</v>
      </c>
      <c r="I139" s="391">
        <v>3143.5688065320001</v>
      </c>
      <c r="J139" s="391">
        <v>0</v>
      </c>
      <c r="K139" s="391">
        <v>0</v>
      </c>
      <c r="L139" s="391">
        <v>840.44899892366402</v>
      </c>
      <c r="M139" s="391">
        <v>0</v>
      </c>
      <c r="N139" s="391">
        <v>4377.7894103456001</v>
      </c>
      <c r="O139" s="391">
        <v>226563.81319250699</v>
      </c>
      <c r="P139" s="391">
        <v>359526.60903812997</v>
      </c>
      <c r="Q139" s="391">
        <v>335503.32074542198</v>
      </c>
      <c r="R139" s="391">
        <v>586090.42223063705</v>
      </c>
      <c r="S139" s="13"/>
    </row>
    <row r="140" spans="1:22" ht="20.85" customHeight="1" x14ac:dyDescent="0.3">
      <c r="A140" s="602"/>
      <c r="B140" s="85" t="s">
        <v>215</v>
      </c>
      <c r="C140" s="392">
        <v>214283.05857304399</v>
      </c>
      <c r="D140" s="392">
        <v>1319.25972484</v>
      </c>
      <c r="E140" s="392">
        <v>2240.4484169512498</v>
      </c>
      <c r="F140" s="392">
        <v>0</v>
      </c>
      <c r="G140" s="392">
        <v>359.23926187087199</v>
      </c>
      <c r="H140" s="392">
        <v>0</v>
      </c>
      <c r="I140" s="392">
        <v>3143.5688065320001</v>
      </c>
      <c r="J140" s="392">
        <v>0</v>
      </c>
      <c r="K140" s="392">
        <v>0</v>
      </c>
      <c r="L140" s="392">
        <v>840.44899892366402</v>
      </c>
      <c r="M140" s="392">
        <v>0</v>
      </c>
      <c r="N140" s="392">
        <v>4377.7894103456001</v>
      </c>
      <c r="O140" s="392">
        <v>226563.81319250699</v>
      </c>
      <c r="P140" s="392">
        <v>359526.60903812997</v>
      </c>
      <c r="Q140" s="392">
        <v>335503.32074542198</v>
      </c>
      <c r="R140" s="392">
        <v>586090.42223063705</v>
      </c>
      <c r="S140" s="13"/>
    </row>
    <row r="141" spans="1:22" ht="20.85" customHeight="1" x14ac:dyDescent="0.3">
      <c r="A141" s="602"/>
      <c r="B141" s="23" t="s">
        <v>265</v>
      </c>
      <c r="C141" s="391">
        <v>128177.84053410401</v>
      </c>
      <c r="D141" s="391">
        <v>0</v>
      </c>
      <c r="E141" s="391">
        <v>134.263301094318</v>
      </c>
      <c r="F141" s="391">
        <v>0</v>
      </c>
      <c r="G141" s="391">
        <v>2.0038338684000001</v>
      </c>
      <c r="H141" s="391">
        <v>137682.91982087999</v>
      </c>
      <c r="I141" s="391">
        <v>0</v>
      </c>
      <c r="J141" s="391">
        <v>0</v>
      </c>
      <c r="K141" s="391">
        <v>0</v>
      </c>
      <c r="L141" s="391">
        <v>2143.6584964652302</v>
      </c>
      <c r="M141" s="391">
        <v>0</v>
      </c>
      <c r="N141" s="391">
        <v>1972.0608674304999</v>
      </c>
      <c r="O141" s="391">
        <v>270112.74685384298</v>
      </c>
      <c r="P141" s="391">
        <v>0</v>
      </c>
      <c r="Q141" s="391">
        <v>0</v>
      </c>
      <c r="R141" s="391">
        <v>270112.74685384298</v>
      </c>
      <c r="S141" s="13"/>
    </row>
    <row r="142" spans="1:22" ht="20.85" customHeight="1" x14ac:dyDescent="0.3">
      <c r="A142" s="602"/>
      <c r="B142" s="85" t="s">
        <v>266</v>
      </c>
      <c r="C142" s="392">
        <v>128177.84053410401</v>
      </c>
      <c r="D142" s="392">
        <v>0</v>
      </c>
      <c r="E142" s="392">
        <v>134.263301094318</v>
      </c>
      <c r="F142" s="392">
        <v>0</v>
      </c>
      <c r="G142" s="392">
        <v>2.0038338684000001</v>
      </c>
      <c r="H142" s="392">
        <v>137682.91982087999</v>
      </c>
      <c r="I142" s="392">
        <v>0</v>
      </c>
      <c r="J142" s="392">
        <v>0</v>
      </c>
      <c r="K142" s="392">
        <v>0</v>
      </c>
      <c r="L142" s="392">
        <v>2143.6584964652302</v>
      </c>
      <c r="M142" s="392">
        <v>0</v>
      </c>
      <c r="N142" s="392">
        <v>1972.0608674304999</v>
      </c>
      <c r="O142" s="392">
        <v>270112.74685384298</v>
      </c>
      <c r="P142" s="392">
        <v>0</v>
      </c>
      <c r="Q142" s="392">
        <v>0</v>
      </c>
      <c r="R142" s="392">
        <v>270112.74685384298</v>
      </c>
      <c r="S142" s="13"/>
    </row>
    <row r="143" spans="1:22" ht="20.85" customHeight="1" x14ac:dyDescent="0.3">
      <c r="A143" s="602" t="s">
        <v>224</v>
      </c>
      <c r="B143" s="23" t="s">
        <v>225</v>
      </c>
      <c r="C143" s="391">
        <v>93043.057084375396</v>
      </c>
      <c r="D143" s="391">
        <v>0</v>
      </c>
      <c r="E143" s="391">
        <v>2217.13175857838</v>
      </c>
      <c r="F143" s="391">
        <v>9602.4580575</v>
      </c>
      <c r="G143" s="391">
        <v>23131.174658017298</v>
      </c>
      <c r="H143" s="391">
        <v>0</v>
      </c>
      <c r="I143" s="391">
        <v>3610.8781733679898</v>
      </c>
      <c r="J143" s="391">
        <v>45.847954163428298</v>
      </c>
      <c r="K143" s="391">
        <v>0</v>
      </c>
      <c r="L143" s="391">
        <v>2869.8118995531099</v>
      </c>
      <c r="M143" s="391">
        <v>0</v>
      </c>
      <c r="N143" s="391">
        <v>3383.0788771262401</v>
      </c>
      <c r="O143" s="391">
        <v>137903.43846268201</v>
      </c>
      <c r="P143" s="391">
        <v>9918.8581487699994</v>
      </c>
      <c r="Q143" s="391">
        <v>9077.3076793500004</v>
      </c>
      <c r="R143" s="391">
        <v>147822.29661145201</v>
      </c>
      <c r="S143" s="13"/>
    </row>
    <row r="144" spans="1:22" ht="20.85" customHeight="1" x14ac:dyDescent="0.3">
      <c r="A144" s="602"/>
      <c r="B144" s="85" t="s">
        <v>226</v>
      </c>
      <c r="C144" s="392">
        <v>27216.835249925101</v>
      </c>
      <c r="D144" s="392">
        <v>0</v>
      </c>
      <c r="E144" s="392">
        <v>680.25725432832996</v>
      </c>
      <c r="F144" s="392">
        <v>0</v>
      </c>
      <c r="G144" s="392">
        <v>8699.2546669807798</v>
      </c>
      <c r="H144" s="392">
        <v>0</v>
      </c>
      <c r="I144" s="392">
        <v>1586.1032124133801</v>
      </c>
      <c r="J144" s="392">
        <v>0</v>
      </c>
      <c r="K144" s="392">
        <v>0</v>
      </c>
      <c r="L144" s="392">
        <v>1083.75681083278</v>
      </c>
      <c r="M144" s="392">
        <v>0</v>
      </c>
      <c r="N144" s="392">
        <v>445.65994663343997</v>
      </c>
      <c r="O144" s="392">
        <v>39711.867141113798</v>
      </c>
      <c r="P144" s="392">
        <v>322.19414877000003</v>
      </c>
      <c r="Q144" s="392">
        <v>371.76247934999998</v>
      </c>
      <c r="R144" s="392">
        <v>40034.061289883801</v>
      </c>
      <c r="S144" s="13"/>
    </row>
    <row r="145" spans="1:19" ht="20.85" customHeight="1" x14ac:dyDescent="0.3">
      <c r="A145" s="602"/>
      <c r="B145" s="85" t="s">
        <v>454</v>
      </c>
      <c r="C145" s="392">
        <v>21786.144089027901</v>
      </c>
      <c r="D145" s="392">
        <v>0</v>
      </c>
      <c r="E145" s="392">
        <v>369.23009811449998</v>
      </c>
      <c r="F145" s="392">
        <v>0</v>
      </c>
      <c r="G145" s="392">
        <v>14044.8299281361</v>
      </c>
      <c r="H145" s="392">
        <v>0</v>
      </c>
      <c r="I145" s="392">
        <v>2024.7749609546099</v>
      </c>
      <c r="J145" s="392">
        <v>15.2897109271355</v>
      </c>
      <c r="K145" s="392">
        <v>0</v>
      </c>
      <c r="L145" s="392">
        <v>626.75319003201298</v>
      </c>
      <c r="M145" s="392">
        <v>0</v>
      </c>
      <c r="N145" s="392">
        <v>1527.3949304928001</v>
      </c>
      <c r="O145" s="392">
        <v>40394.416907685103</v>
      </c>
      <c r="P145" s="392">
        <v>3965.808</v>
      </c>
      <c r="Q145" s="392">
        <v>3597.5544</v>
      </c>
      <c r="R145" s="392">
        <v>44360.2249076851</v>
      </c>
      <c r="S145" s="13"/>
    </row>
    <row r="146" spans="1:19" ht="20.85" customHeight="1" x14ac:dyDescent="0.3">
      <c r="A146" s="602"/>
      <c r="B146" s="85" t="s">
        <v>230</v>
      </c>
      <c r="C146" s="392">
        <v>44040.077745422401</v>
      </c>
      <c r="D146" s="392">
        <v>0</v>
      </c>
      <c r="E146" s="392">
        <v>1167.6444061355501</v>
      </c>
      <c r="F146" s="392">
        <v>9602.4580575</v>
      </c>
      <c r="G146" s="392">
        <v>387.09006290045198</v>
      </c>
      <c r="H146" s="392">
        <v>0</v>
      </c>
      <c r="I146" s="392">
        <v>0</v>
      </c>
      <c r="J146" s="392">
        <v>30.5582432362928</v>
      </c>
      <c r="K146" s="392">
        <v>0</v>
      </c>
      <c r="L146" s="392">
        <v>1159.3018986883201</v>
      </c>
      <c r="M146" s="392">
        <v>0</v>
      </c>
      <c r="N146" s="392">
        <v>1410.0239999999999</v>
      </c>
      <c r="O146" s="392">
        <v>57797.154413883101</v>
      </c>
      <c r="P146" s="392">
        <v>5630.8559999999998</v>
      </c>
      <c r="Q146" s="392">
        <v>5107.9907999999996</v>
      </c>
      <c r="R146" s="392">
        <v>63428.010413883101</v>
      </c>
      <c r="S146" s="13"/>
    </row>
    <row r="147" spans="1:19" ht="20.85" customHeight="1" x14ac:dyDescent="0.3">
      <c r="A147" s="602"/>
      <c r="B147" s="23" t="s">
        <v>276</v>
      </c>
      <c r="C147" s="391">
        <v>78209.582175607706</v>
      </c>
      <c r="D147" s="391">
        <v>761.01088491791995</v>
      </c>
      <c r="E147" s="391">
        <v>1186.2716320176801</v>
      </c>
      <c r="F147" s="391">
        <v>808.41515232894096</v>
      </c>
      <c r="G147" s="391">
        <v>329.03428192970398</v>
      </c>
      <c r="H147" s="391">
        <v>0</v>
      </c>
      <c r="I147" s="391">
        <v>0</v>
      </c>
      <c r="J147" s="391">
        <v>0</v>
      </c>
      <c r="K147" s="391">
        <v>0</v>
      </c>
      <c r="L147" s="391">
        <v>570.22250263199999</v>
      </c>
      <c r="M147" s="391">
        <v>0</v>
      </c>
      <c r="N147" s="391">
        <v>560.66738486220004</v>
      </c>
      <c r="O147" s="391">
        <v>82425.204014296105</v>
      </c>
      <c r="P147" s="391">
        <v>61454.919759999997</v>
      </c>
      <c r="Q147" s="391">
        <v>47817.350066200001</v>
      </c>
      <c r="R147" s="391">
        <v>143880.12377429599</v>
      </c>
      <c r="S147" s="13"/>
    </row>
    <row r="148" spans="1:19" ht="20.85" customHeight="1" x14ac:dyDescent="0.3">
      <c r="A148" s="602"/>
      <c r="B148" s="85" t="s">
        <v>277</v>
      </c>
      <c r="C148" s="392">
        <v>78209.582175607706</v>
      </c>
      <c r="D148" s="392">
        <v>761.01088491791995</v>
      </c>
      <c r="E148" s="392">
        <v>1186.2716320176801</v>
      </c>
      <c r="F148" s="392">
        <v>808.41515232894096</v>
      </c>
      <c r="G148" s="392">
        <v>329.03428192970398</v>
      </c>
      <c r="H148" s="392">
        <v>0</v>
      </c>
      <c r="I148" s="392">
        <v>0</v>
      </c>
      <c r="J148" s="392">
        <v>0</v>
      </c>
      <c r="K148" s="392">
        <v>0</v>
      </c>
      <c r="L148" s="392">
        <v>570.22250263199999</v>
      </c>
      <c r="M148" s="392">
        <v>0</v>
      </c>
      <c r="N148" s="392">
        <v>560.66738486220004</v>
      </c>
      <c r="O148" s="392">
        <v>82425.204014296105</v>
      </c>
      <c r="P148" s="392">
        <v>61454.919759999997</v>
      </c>
      <c r="Q148" s="392">
        <v>47817.350066200001</v>
      </c>
      <c r="R148" s="392">
        <v>143880.12377429599</v>
      </c>
      <c r="S148" s="13"/>
    </row>
    <row r="149" spans="1:19" ht="20.85" customHeight="1" x14ac:dyDescent="0.3">
      <c r="A149" s="602" t="s">
        <v>234</v>
      </c>
      <c r="B149" s="23" t="s">
        <v>235</v>
      </c>
      <c r="C149" s="391">
        <v>129449.105635913</v>
      </c>
      <c r="D149" s="391">
        <v>0</v>
      </c>
      <c r="E149" s="391">
        <v>181.40635036906201</v>
      </c>
      <c r="F149" s="391">
        <v>0</v>
      </c>
      <c r="G149" s="391">
        <v>5.5255902422399999E-2</v>
      </c>
      <c r="H149" s="391">
        <v>0</v>
      </c>
      <c r="I149" s="391">
        <v>0</v>
      </c>
      <c r="J149" s="391">
        <v>8.2315065360820103</v>
      </c>
      <c r="K149" s="391">
        <v>0</v>
      </c>
      <c r="L149" s="391">
        <v>1004.87136765157</v>
      </c>
      <c r="M149" s="391">
        <v>0</v>
      </c>
      <c r="N149" s="391">
        <v>622.60799999999995</v>
      </c>
      <c r="O149" s="391">
        <v>131266.27811637201</v>
      </c>
      <c r="P149" s="391">
        <v>0</v>
      </c>
      <c r="Q149" s="391">
        <v>41687.367821400003</v>
      </c>
      <c r="R149" s="391">
        <v>131266.27811637201</v>
      </c>
      <c r="S149" s="13"/>
    </row>
    <row r="150" spans="1:19" ht="20.85" customHeight="1" x14ac:dyDescent="0.3">
      <c r="A150" s="602"/>
      <c r="B150" s="85" t="s">
        <v>236</v>
      </c>
      <c r="C150" s="392">
        <v>129449.105635913</v>
      </c>
      <c r="D150" s="392">
        <v>0</v>
      </c>
      <c r="E150" s="392">
        <v>181.40635036906201</v>
      </c>
      <c r="F150" s="392">
        <v>0</v>
      </c>
      <c r="G150" s="392">
        <v>5.5255902422399999E-2</v>
      </c>
      <c r="H150" s="392">
        <v>0</v>
      </c>
      <c r="I150" s="392">
        <v>0</v>
      </c>
      <c r="J150" s="392">
        <v>8.2315065360820103</v>
      </c>
      <c r="K150" s="392">
        <v>0</v>
      </c>
      <c r="L150" s="392">
        <v>1004.87136765157</v>
      </c>
      <c r="M150" s="392">
        <v>0</v>
      </c>
      <c r="N150" s="392">
        <v>622.60799999999995</v>
      </c>
      <c r="O150" s="392">
        <v>131266.27811637201</v>
      </c>
      <c r="P150" s="392">
        <v>0</v>
      </c>
      <c r="Q150" s="392">
        <v>41687.367821400003</v>
      </c>
      <c r="R150" s="392">
        <v>131266.27811637201</v>
      </c>
      <c r="S150" s="13"/>
    </row>
    <row r="151" spans="1:19" ht="20.85" customHeight="1" x14ac:dyDescent="0.3">
      <c r="A151" s="40" t="s">
        <v>455</v>
      </c>
      <c r="B151" s="86" t="s">
        <v>644</v>
      </c>
      <c r="C151" s="391">
        <v>1144666.96412964</v>
      </c>
      <c r="D151" s="391">
        <v>2408.5489238875198</v>
      </c>
      <c r="E151" s="391">
        <v>5981.0402210336697</v>
      </c>
      <c r="F151" s="391">
        <v>145166.77008982899</v>
      </c>
      <c r="G151" s="391">
        <v>26389.532609897</v>
      </c>
      <c r="H151" s="391">
        <v>137682.91982087999</v>
      </c>
      <c r="I151" s="391">
        <v>24221.736710450001</v>
      </c>
      <c r="J151" s="391">
        <v>54.0794606995103</v>
      </c>
      <c r="K151" s="391">
        <v>0</v>
      </c>
      <c r="L151" s="391">
        <v>13184.206621165</v>
      </c>
      <c r="M151" s="391">
        <v>175.64865470999999</v>
      </c>
      <c r="N151" s="391">
        <v>39763.328871764497</v>
      </c>
      <c r="O151" s="391">
        <v>1539694.7761139499</v>
      </c>
      <c r="P151" s="391">
        <v>1333906.0923069001</v>
      </c>
      <c r="Q151" s="391">
        <v>1194550.1166723699</v>
      </c>
      <c r="R151" s="391">
        <v>2873600.8684208598</v>
      </c>
      <c r="S151" s="13"/>
    </row>
    <row r="152" spans="1:19" ht="19.2" customHeight="1" x14ac:dyDescent="0.25">
      <c r="A152" s="546" t="s">
        <v>663</v>
      </c>
      <c r="B152" s="546"/>
      <c r="C152" s="546"/>
      <c r="D152" s="546"/>
      <c r="E152" s="546"/>
      <c r="F152" s="546"/>
      <c r="G152" s="546"/>
      <c r="H152" s="546"/>
      <c r="I152" s="546"/>
      <c r="J152" s="546"/>
      <c r="K152" s="546"/>
      <c r="L152" s="546"/>
      <c r="M152" s="546"/>
      <c r="N152" s="546"/>
      <c r="O152" s="546"/>
      <c r="P152" s="546"/>
      <c r="Q152" s="546"/>
      <c r="R152" s="546"/>
    </row>
    <row r="153" spans="1:19" ht="19.2" customHeight="1" x14ac:dyDescent="0.25">
      <c r="A153" s="518"/>
      <c r="B153" s="518"/>
      <c r="C153" s="518"/>
      <c r="D153" s="518"/>
      <c r="E153" s="518"/>
      <c r="F153" s="518"/>
      <c r="G153" s="518"/>
      <c r="H153" s="518"/>
      <c r="I153" s="518"/>
      <c r="J153" s="518"/>
      <c r="K153" s="518"/>
      <c r="L153" s="518"/>
      <c r="M153" s="518"/>
      <c r="N153" s="518"/>
      <c r="O153" s="518"/>
      <c r="P153" s="518"/>
      <c r="Q153" s="518"/>
      <c r="R153" s="518"/>
    </row>
    <row r="154" spans="1:19" ht="19.2" customHeight="1" x14ac:dyDescent="0.25">
      <c r="A154" s="518"/>
      <c r="B154" s="518"/>
      <c r="C154" s="518"/>
      <c r="D154" s="518"/>
      <c r="E154" s="518"/>
      <c r="F154" s="518"/>
      <c r="G154" s="518"/>
      <c r="H154" s="518"/>
      <c r="I154" s="518"/>
      <c r="J154" s="518"/>
      <c r="K154" s="518"/>
      <c r="L154" s="518"/>
      <c r="M154" s="518"/>
      <c r="N154" s="518"/>
      <c r="O154" s="518"/>
      <c r="P154" s="518"/>
      <c r="Q154" s="518"/>
      <c r="R154" s="518"/>
    </row>
    <row r="155" spans="1:19" ht="15" customHeight="1" x14ac:dyDescent="0.25"/>
    <row r="156" spans="1:19" ht="15" customHeight="1" x14ac:dyDescent="0.25"/>
    <row r="157" spans="1:19" ht="52.5" customHeight="1" x14ac:dyDescent="0.35">
      <c r="A157" s="45" t="s">
        <v>664</v>
      </c>
      <c r="B157" s="414" t="s">
        <v>599</v>
      </c>
      <c r="C157" s="414" t="s">
        <v>239</v>
      </c>
      <c r="D157" s="414" t="s">
        <v>222</v>
      </c>
      <c r="E157" s="414" t="s">
        <v>387</v>
      </c>
      <c r="F157" s="22" t="s">
        <v>665</v>
      </c>
      <c r="G157" s="414" t="s">
        <v>227</v>
      </c>
      <c r="H157" s="13"/>
    </row>
    <row r="158" spans="1:19" ht="19.2" customHeight="1" x14ac:dyDescent="0.3">
      <c r="A158" s="85" t="s">
        <v>666</v>
      </c>
      <c r="B158" s="409">
        <v>1562351.1</v>
      </c>
      <c r="C158" s="413">
        <v>1.337</v>
      </c>
      <c r="D158" s="413">
        <v>1.2370000000000001</v>
      </c>
      <c r="E158" s="413">
        <v>1.3260000000000001</v>
      </c>
      <c r="F158" s="409">
        <v>1326511.8999999999</v>
      </c>
      <c r="G158" s="409">
        <v>1144666.96412964</v>
      </c>
      <c r="H158" s="13"/>
    </row>
    <row r="159" spans="1:19" ht="19.2" customHeight="1" x14ac:dyDescent="0.3">
      <c r="A159" s="85" t="s">
        <v>648</v>
      </c>
      <c r="B159" s="409">
        <v>50.63</v>
      </c>
      <c r="C159" s="92" t="s">
        <v>637</v>
      </c>
      <c r="D159" s="92" t="s">
        <v>637</v>
      </c>
      <c r="E159" s="410">
        <v>1.0999999999999999E-2</v>
      </c>
      <c r="F159" s="409">
        <v>17258.711079357599</v>
      </c>
      <c r="G159" s="409">
        <v>2408.5489238875198</v>
      </c>
      <c r="H159" s="13"/>
    </row>
    <row r="160" spans="1:19" ht="19.2" customHeight="1" x14ac:dyDescent="0.3">
      <c r="A160" s="85" t="s">
        <v>649</v>
      </c>
      <c r="B160" s="409">
        <v>7428.3</v>
      </c>
      <c r="C160" s="92" t="s">
        <v>637</v>
      </c>
      <c r="D160" s="412">
        <v>7.0000000000000001E-3</v>
      </c>
      <c r="E160" s="412">
        <v>7.0000000000000001E-3</v>
      </c>
      <c r="F160" s="409">
        <v>6569.9597474086104</v>
      </c>
      <c r="G160" s="409">
        <v>5981.0402210336697</v>
      </c>
      <c r="H160" s="13"/>
    </row>
    <row r="161" spans="1:9" ht="19.2" customHeight="1" x14ac:dyDescent="0.3">
      <c r="A161" s="85" t="s">
        <v>650</v>
      </c>
      <c r="B161" s="409">
        <v>40792.06</v>
      </c>
      <c r="C161" s="413">
        <v>0.105</v>
      </c>
      <c r="D161" s="413">
        <v>0.16200000000000001</v>
      </c>
      <c r="E161" s="413">
        <v>0.15</v>
      </c>
      <c r="F161" s="409">
        <v>140793.19320183099</v>
      </c>
      <c r="G161" s="409">
        <v>145166.77008982899</v>
      </c>
      <c r="H161" s="13"/>
    </row>
    <row r="162" spans="1:9" ht="19.2" customHeight="1" x14ac:dyDescent="0.3">
      <c r="A162" s="85" t="s">
        <v>651</v>
      </c>
      <c r="B162" s="409">
        <v>27642.5</v>
      </c>
      <c r="C162" s="92" t="s">
        <v>637</v>
      </c>
      <c r="D162" s="412">
        <v>2.4E-2</v>
      </c>
      <c r="E162" s="412">
        <v>2.3E-2</v>
      </c>
      <c r="F162" s="409">
        <v>31415.385449875001</v>
      </c>
      <c r="G162" s="409">
        <v>26389.532609897</v>
      </c>
      <c r="H162" s="13"/>
    </row>
    <row r="163" spans="1:9" ht="19.2" customHeight="1" x14ac:dyDescent="0.3">
      <c r="A163" s="85" t="s">
        <v>652</v>
      </c>
      <c r="B163" s="409">
        <v>112829.08</v>
      </c>
      <c r="C163" s="413">
        <v>0.14799999999999999</v>
      </c>
      <c r="D163" s="413">
        <v>0.14499999999999999</v>
      </c>
      <c r="E163" s="413">
        <v>0.158</v>
      </c>
      <c r="F163" s="409">
        <v>161429.31090539199</v>
      </c>
      <c r="G163" s="409">
        <v>137682.91982087999</v>
      </c>
      <c r="H163" s="13"/>
    </row>
    <row r="164" spans="1:9" ht="19.2" customHeight="1" x14ac:dyDescent="0.3">
      <c r="A164" s="85" t="s">
        <v>667</v>
      </c>
      <c r="B164" s="409">
        <v>76.59</v>
      </c>
      <c r="C164" s="92" t="s">
        <v>637</v>
      </c>
      <c r="D164" s="412">
        <v>7.0000000000000001E-3</v>
      </c>
      <c r="E164" s="412">
        <v>1.4999999999999999E-2</v>
      </c>
      <c r="F164" s="409">
        <v>25974.5</v>
      </c>
      <c r="G164" s="409">
        <v>24221.736710450001</v>
      </c>
      <c r="H164" s="13"/>
    </row>
    <row r="165" spans="1:9" ht="19.2" customHeight="1" x14ac:dyDescent="0.3">
      <c r="A165" s="85" t="s">
        <v>668</v>
      </c>
      <c r="B165" s="409">
        <v>85.32</v>
      </c>
      <c r="C165" s="92" t="s">
        <v>637</v>
      </c>
      <c r="D165" s="412">
        <v>8.9999999999999993E-3</v>
      </c>
      <c r="E165" s="412">
        <v>8.9999999999999993E-3</v>
      </c>
      <c r="F165" s="92" t="s">
        <v>637</v>
      </c>
      <c r="G165" s="92" t="s">
        <v>637</v>
      </c>
      <c r="H165" s="13"/>
    </row>
    <row r="166" spans="1:9" ht="19.2" customHeight="1" x14ac:dyDescent="0.3">
      <c r="A166" s="85" t="s">
        <v>655</v>
      </c>
      <c r="B166" s="409">
        <v>5459.8</v>
      </c>
      <c r="C166" s="92" t="s">
        <v>637</v>
      </c>
      <c r="D166" s="412">
        <v>1.2999999999999999E-2</v>
      </c>
      <c r="E166" s="410">
        <v>0.03</v>
      </c>
      <c r="F166" s="409">
        <v>26768.97</v>
      </c>
      <c r="G166" s="409">
        <v>0</v>
      </c>
      <c r="H166" s="13"/>
    </row>
    <row r="167" spans="1:9" ht="19.2" customHeight="1" x14ac:dyDescent="0.3">
      <c r="A167" s="85" t="s">
        <v>656</v>
      </c>
      <c r="B167" s="92" t="s">
        <v>607</v>
      </c>
      <c r="C167" s="92" t="s">
        <v>607</v>
      </c>
      <c r="D167" s="92" t="s">
        <v>607</v>
      </c>
      <c r="E167" s="92" t="s">
        <v>607</v>
      </c>
      <c r="F167" s="409">
        <v>13103.3</v>
      </c>
      <c r="G167" s="409">
        <v>13184.206621165</v>
      </c>
      <c r="H167" s="13"/>
    </row>
    <row r="168" spans="1:9" ht="25.95" customHeight="1" x14ac:dyDescent="0.3">
      <c r="A168" s="85" t="s">
        <v>669</v>
      </c>
      <c r="B168" s="92" t="s">
        <v>637</v>
      </c>
      <c r="C168" s="92" t="s">
        <v>637</v>
      </c>
      <c r="D168" s="92" t="s">
        <v>637</v>
      </c>
      <c r="E168" s="92" t="s">
        <v>637</v>
      </c>
      <c r="F168" s="92" t="s">
        <v>637</v>
      </c>
      <c r="G168" s="92" t="s">
        <v>637</v>
      </c>
      <c r="H168" s="13"/>
    </row>
    <row r="169" spans="1:9" ht="25.95" customHeight="1" x14ac:dyDescent="0.3">
      <c r="A169" s="212" t="s">
        <v>670</v>
      </c>
      <c r="B169" s="411">
        <v>3959.55</v>
      </c>
      <c r="C169" s="410">
        <v>4.2386999999999998E-3</v>
      </c>
      <c r="D169" s="410">
        <v>8.5816E-3</v>
      </c>
      <c r="E169" s="410">
        <v>1.0472800000000001E-2</v>
      </c>
      <c r="F169" s="409">
        <v>19923.516509801801</v>
      </c>
      <c r="G169" s="409">
        <v>39763.328871764497</v>
      </c>
      <c r="H169" s="13"/>
    </row>
    <row r="170" spans="1:9" ht="30.75" customHeight="1" x14ac:dyDescent="0.3">
      <c r="A170" s="149" t="s">
        <v>671</v>
      </c>
      <c r="B170" s="407">
        <v>1756947.58605949</v>
      </c>
      <c r="C170" s="407">
        <v>1594753.6</v>
      </c>
      <c r="D170" s="407">
        <v>1612453.9</v>
      </c>
      <c r="E170" s="407">
        <v>1740224.1</v>
      </c>
      <c r="F170" s="407">
        <v>1769978.8</v>
      </c>
      <c r="G170" s="407">
        <v>1539694.7761139499</v>
      </c>
      <c r="H170" s="13"/>
    </row>
    <row r="171" spans="1:9" ht="35.85" customHeight="1" x14ac:dyDescent="0.3">
      <c r="A171" s="149" t="s">
        <v>672</v>
      </c>
      <c r="B171" s="408">
        <v>1.8127088040819099</v>
      </c>
      <c r="C171" s="408">
        <v>1.72714174678451</v>
      </c>
      <c r="D171" s="407">
        <v>1851608.41284629</v>
      </c>
      <c r="E171" s="407">
        <v>1834059.2</v>
      </c>
      <c r="F171" s="407">
        <v>1559415.6</v>
      </c>
      <c r="G171" s="407">
        <v>1333906.0923069001</v>
      </c>
      <c r="H171" s="13"/>
    </row>
    <row r="172" spans="1:9" ht="35.85" customHeight="1" x14ac:dyDescent="0.3">
      <c r="A172" s="149" t="s">
        <v>673</v>
      </c>
      <c r="B172" s="408">
        <v>1.5914486343937799</v>
      </c>
      <c r="C172" s="408">
        <v>1.5058215261163199</v>
      </c>
      <c r="D172" s="407">
        <v>1626652.06012868</v>
      </c>
      <c r="E172" s="407">
        <v>1665193</v>
      </c>
      <c r="F172" s="407">
        <v>1420617.6</v>
      </c>
      <c r="G172" s="407">
        <v>1194550.1166723699</v>
      </c>
      <c r="H172" s="13"/>
    </row>
    <row r="173" spans="1:9" ht="34.200000000000003" customHeight="1" x14ac:dyDescent="0.3">
      <c r="A173" s="149" t="s">
        <v>674</v>
      </c>
      <c r="B173" s="407">
        <v>3569656.6</v>
      </c>
      <c r="C173" s="408">
        <v>3.3180000000000001</v>
      </c>
      <c r="D173" s="407">
        <v>3464062.3128462899</v>
      </c>
      <c r="E173" s="407">
        <v>3574283.3</v>
      </c>
      <c r="F173" s="407">
        <v>3329394.3</v>
      </c>
      <c r="G173" s="407">
        <v>2873600.8684208598</v>
      </c>
      <c r="H173" s="386"/>
      <c r="I173" s="406"/>
    </row>
    <row r="174" spans="1:9" ht="15" customHeight="1" x14ac:dyDescent="0.25">
      <c r="A174" s="597" t="s">
        <v>675</v>
      </c>
      <c r="B174" s="597"/>
      <c r="C174" s="597"/>
      <c r="D174" s="597"/>
      <c r="E174" s="597"/>
      <c r="F174" s="597"/>
      <c r="G174" s="597"/>
    </row>
    <row r="175" spans="1:9" ht="15" customHeight="1" x14ac:dyDescent="0.25">
      <c r="A175" s="603"/>
      <c r="B175" s="603"/>
      <c r="C175" s="603"/>
      <c r="D175" s="603"/>
      <c r="E175" s="603"/>
      <c r="F175" s="603"/>
      <c r="G175" s="603"/>
    </row>
    <row r="176" spans="1:9" ht="15" customHeight="1" x14ac:dyDescent="0.25">
      <c r="A176" s="603"/>
      <c r="B176" s="603"/>
      <c r="C176" s="603"/>
      <c r="D176" s="603"/>
      <c r="E176" s="603"/>
      <c r="F176" s="603"/>
      <c r="G176" s="603"/>
    </row>
    <row r="177" spans="1:9" ht="15" customHeight="1" x14ac:dyDescent="0.25">
      <c r="A177" s="603"/>
      <c r="B177" s="603"/>
      <c r="C177" s="603"/>
      <c r="D177" s="603"/>
      <c r="E177" s="603"/>
      <c r="F177" s="603"/>
      <c r="G177" s="603"/>
    </row>
    <row r="178" spans="1:9" ht="15" customHeight="1" x14ac:dyDescent="0.25">
      <c r="A178" s="603"/>
      <c r="B178" s="603"/>
      <c r="C178" s="603"/>
      <c r="D178" s="603"/>
      <c r="E178" s="603"/>
      <c r="F178" s="603"/>
      <c r="G178" s="603"/>
    </row>
    <row r="179" spans="1:9" ht="15" customHeight="1" x14ac:dyDescent="0.25">
      <c r="A179" s="603"/>
      <c r="B179" s="603"/>
      <c r="C179" s="603"/>
      <c r="D179" s="603"/>
      <c r="E179" s="603"/>
      <c r="F179" s="603"/>
      <c r="G179" s="603"/>
    </row>
    <row r="180" spans="1:9" ht="55.5" customHeight="1" x14ac:dyDescent="0.25">
      <c r="A180" s="603"/>
      <c r="B180" s="603"/>
      <c r="C180" s="603"/>
      <c r="D180" s="603"/>
      <c r="E180" s="603"/>
      <c r="F180" s="603"/>
      <c r="G180" s="603"/>
    </row>
    <row r="181" spans="1:9" ht="15" customHeight="1" x14ac:dyDescent="0.25"/>
    <row r="182" spans="1:9" ht="15" customHeight="1" x14ac:dyDescent="0.25"/>
    <row r="183" spans="1:9" ht="62.4" customHeight="1" x14ac:dyDescent="0.3">
      <c r="A183" s="33" t="s">
        <v>676</v>
      </c>
      <c r="B183" s="164" t="s">
        <v>207</v>
      </c>
      <c r="C183" s="34">
        <v>2018</v>
      </c>
      <c r="D183" s="34">
        <v>2019</v>
      </c>
      <c r="E183" s="34">
        <v>2020</v>
      </c>
      <c r="F183" s="34">
        <v>2021</v>
      </c>
      <c r="G183" s="22" t="s">
        <v>677</v>
      </c>
      <c r="H183" s="34">
        <v>2023</v>
      </c>
      <c r="I183" s="13"/>
    </row>
    <row r="184" spans="1:9" ht="15" customHeight="1" x14ac:dyDescent="0.3">
      <c r="A184" s="602" t="s">
        <v>245</v>
      </c>
      <c r="B184" s="86" t="s">
        <v>246</v>
      </c>
      <c r="C184" s="403">
        <v>378.55385726414198</v>
      </c>
      <c r="D184" s="403">
        <v>307.80389939488998</v>
      </c>
      <c r="E184" s="403">
        <v>395.24583969102599</v>
      </c>
      <c r="F184" s="403">
        <v>484.25190252165697</v>
      </c>
      <c r="G184" s="403">
        <v>425.73953722333999</v>
      </c>
      <c r="H184" s="403">
        <v>496.14738871176002</v>
      </c>
      <c r="I184" s="13"/>
    </row>
    <row r="185" spans="1:9" ht="15" customHeight="1" x14ac:dyDescent="0.3">
      <c r="A185" s="602"/>
      <c r="B185" s="85" t="s">
        <v>514</v>
      </c>
      <c r="C185" s="404">
        <v>424.99815585385602</v>
      </c>
      <c r="D185" s="404">
        <v>305.65745231786002</v>
      </c>
      <c r="E185" s="404">
        <v>432.63846594576501</v>
      </c>
      <c r="F185" s="404">
        <v>538.93590998241996</v>
      </c>
      <c r="G185" s="404">
        <v>459.95993031358898</v>
      </c>
      <c r="H185" s="404">
        <v>487.757948196776</v>
      </c>
      <c r="I185" s="13"/>
    </row>
    <row r="186" spans="1:9" ht="15" customHeight="1" x14ac:dyDescent="0.3">
      <c r="A186" s="602"/>
      <c r="B186" s="85" t="s">
        <v>247</v>
      </c>
      <c r="C186" s="404">
        <v>329.64150415999802</v>
      </c>
      <c r="D186" s="404">
        <v>311.07443368524503</v>
      </c>
      <c r="E186" s="404">
        <v>346.86723968489503</v>
      </c>
      <c r="F186" s="404">
        <v>415.21513719717598</v>
      </c>
      <c r="G186" s="404">
        <v>378.97163949182999</v>
      </c>
      <c r="H186" s="404">
        <v>512.67032070906805</v>
      </c>
      <c r="I186" s="13"/>
    </row>
    <row r="187" spans="1:9" ht="15" customHeight="1" x14ac:dyDescent="0.3">
      <c r="A187" s="602" t="s">
        <v>251</v>
      </c>
      <c r="B187" s="86" t="s">
        <v>252</v>
      </c>
      <c r="C187" s="403">
        <v>561.18741090467495</v>
      </c>
      <c r="D187" s="403">
        <v>961.78526590548597</v>
      </c>
      <c r="E187" s="403">
        <v>865.19247778556405</v>
      </c>
      <c r="F187" s="403">
        <v>930.98092579518595</v>
      </c>
      <c r="G187" s="403">
        <v>708.07481776010604</v>
      </c>
      <c r="H187" s="403">
        <v>762.114494598129</v>
      </c>
      <c r="I187" s="13"/>
    </row>
    <row r="188" spans="1:9" ht="15" customHeight="1" x14ac:dyDescent="0.3">
      <c r="A188" s="602"/>
      <c r="B188" s="85" t="s">
        <v>253</v>
      </c>
      <c r="C188" s="404">
        <v>561.18741090467495</v>
      </c>
      <c r="D188" s="404">
        <v>1332.53842603828</v>
      </c>
      <c r="E188" s="404">
        <v>1176.3577055277999</v>
      </c>
      <c r="F188" s="404">
        <v>1245.08008372623</v>
      </c>
      <c r="G188" s="404">
        <v>831.228175739927</v>
      </c>
      <c r="H188" s="404">
        <v>893.85621014055505</v>
      </c>
      <c r="I188" s="13"/>
    </row>
    <row r="189" spans="1:9" ht="15" customHeight="1" x14ac:dyDescent="0.3">
      <c r="A189" s="602"/>
      <c r="B189" s="85" t="s">
        <v>256</v>
      </c>
      <c r="C189" s="404">
        <v>170.34213176178699</v>
      </c>
      <c r="D189" s="404">
        <v>332.24639999999999</v>
      </c>
      <c r="E189" s="404">
        <v>363.55641366777797</v>
      </c>
      <c r="F189" s="404">
        <v>374.66922133587599</v>
      </c>
      <c r="G189" s="404">
        <v>447.26446280991701</v>
      </c>
      <c r="H189" s="404">
        <v>470.98882855571401</v>
      </c>
      <c r="I189" s="13"/>
    </row>
    <row r="190" spans="1:9" ht="15" customHeight="1" x14ac:dyDescent="0.3">
      <c r="A190" s="602" t="s">
        <v>213</v>
      </c>
      <c r="B190" s="86" t="s">
        <v>328</v>
      </c>
      <c r="C190" s="403">
        <v>91.897108771929794</v>
      </c>
      <c r="D190" s="403">
        <v>185.83545622691099</v>
      </c>
      <c r="E190" s="403">
        <v>191.063765089827</v>
      </c>
      <c r="F190" s="403">
        <v>206.22955322645899</v>
      </c>
      <c r="G190" s="403">
        <v>200.628756550058</v>
      </c>
      <c r="H190" s="403">
        <v>237.48418249310001</v>
      </c>
      <c r="I190" s="13"/>
    </row>
    <row r="191" spans="1:9" ht="15" customHeight="1" x14ac:dyDescent="0.3">
      <c r="A191" s="602"/>
      <c r="B191" s="85" t="s">
        <v>453</v>
      </c>
      <c r="C191" s="404">
        <v>214.25741463414599</v>
      </c>
      <c r="D191" s="404">
        <v>185.83545622691099</v>
      </c>
      <c r="E191" s="404">
        <v>191.063765089827</v>
      </c>
      <c r="F191" s="404">
        <v>206.22955322645899</v>
      </c>
      <c r="G191" s="404">
        <v>199.079136690647</v>
      </c>
      <c r="H191" s="404">
        <v>237.48418249310001</v>
      </c>
      <c r="I191" s="13"/>
    </row>
    <row r="192" spans="1:9" ht="15" customHeight="1" x14ac:dyDescent="0.3">
      <c r="A192" s="602"/>
      <c r="B192" s="86" t="s">
        <v>214</v>
      </c>
      <c r="C192" s="403">
        <v>239.16670656370701</v>
      </c>
      <c r="D192" s="403">
        <v>1342.21505768257</v>
      </c>
      <c r="E192" s="403">
        <v>633.27289288776103</v>
      </c>
      <c r="F192" s="403">
        <v>561.44224441853999</v>
      </c>
      <c r="G192" s="403">
        <v>641.22712404017295</v>
      </c>
      <c r="H192" s="403">
        <v>872.15836641463795</v>
      </c>
      <c r="I192" s="13"/>
    </row>
    <row r="193" spans="1:10" ht="15" customHeight="1" x14ac:dyDescent="0.3">
      <c r="A193" s="602"/>
      <c r="B193" s="85" t="s">
        <v>215</v>
      </c>
      <c r="C193" s="404">
        <v>1354.37157624831</v>
      </c>
      <c r="D193" s="404">
        <v>1342.21505768257</v>
      </c>
      <c r="E193" s="404">
        <v>633.27289288776103</v>
      </c>
      <c r="F193" s="404">
        <v>561.44224441853999</v>
      </c>
      <c r="G193" s="404">
        <v>641.22057001239205</v>
      </c>
      <c r="H193" s="404">
        <v>872.15836641463898</v>
      </c>
      <c r="I193" s="13"/>
    </row>
    <row r="194" spans="1:10" ht="15" customHeight="1" x14ac:dyDescent="0.3">
      <c r="A194" s="602"/>
      <c r="B194" s="86" t="s">
        <v>265</v>
      </c>
      <c r="C194" s="403">
        <v>1354.37157624831</v>
      </c>
      <c r="D194" s="403">
        <v>507.75076335877901</v>
      </c>
      <c r="E194" s="403">
        <v>590.84166136059002</v>
      </c>
      <c r="F194" s="403">
        <v>900.021624341598</v>
      </c>
      <c r="G194" s="403">
        <v>967.44039735099295</v>
      </c>
      <c r="H194" s="403">
        <v>1116.1683754291</v>
      </c>
      <c r="I194" s="13"/>
    </row>
    <row r="195" spans="1:10" ht="15" customHeight="1" x14ac:dyDescent="0.3">
      <c r="A195" s="602"/>
      <c r="B195" s="85" t="s">
        <v>266</v>
      </c>
      <c r="C195" s="404">
        <v>116.995191411043</v>
      </c>
      <c r="D195" s="404">
        <v>507.75076335877901</v>
      </c>
      <c r="E195" s="405">
        <v>590.84166136059002</v>
      </c>
      <c r="F195" s="405">
        <v>900.021624341598</v>
      </c>
      <c r="G195" s="405">
        <v>967.44039735099295</v>
      </c>
      <c r="H195" s="404">
        <v>1116.1683754291</v>
      </c>
      <c r="I195" s="13"/>
    </row>
    <row r="196" spans="1:10" ht="15" customHeight="1" x14ac:dyDescent="0.3">
      <c r="A196" s="602" t="s">
        <v>224</v>
      </c>
      <c r="B196" s="86" t="s">
        <v>225</v>
      </c>
      <c r="C196" s="403">
        <v>116.995191411043</v>
      </c>
      <c r="D196" s="403">
        <v>435.64042544120701</v>
      </c>
      <c r="E196" s="403">
        <v>214.72121176187599</v>
      </c>
      <c r="F196" s="403">
        <v>188.74825769069301</v>
      </c>
      <c r="G196" s="403">
        <v>205.23980597284299</v>
      </c>
      <c r="H196" s="403">
        <v>219.97365567180401</v>
      </c>
      <c r="I196" s="13"/>
    </row>
    <row r="197" spans="1:10" ht="15" customHeight="1" x14ac:dyDescent="0.3">
      <c r="A197" s="602"/>
      <c r="B197" s="85" t="s">
        <v>226</v>
      </c>
      <c r="C197" s="404">
        <v>450.16360576899802</v>
      </c>
      <c r="D197" s="404">
        <v>1201.1866981370499</v>
      </c>
      <c r="E197" s="404">
        <v>122.130458533496</v>
      </c>
      <c r="F197" s="404">
        <v>118.07410942169901</v>
      </c>
      <c r="G197" s="404">
        <v>138.54613356233099</v>
      </c>
      <c r="H197" s="404">
        <v>172.56060900812</v>
      </c>
      <c r="I197" s="13"/>
    </row>
    <row r="198" spans="1:10" ht="15" customHeight="1" x14ac:dyDescent="0.3">
      <c r="A198" s="602"/>
      <c r="B198" s="85" t="s">
        <v>454</v>
      </c>
      <c r="C198" s="404">
        <v>450.16360576899802</v>
      </c>
      <c r="D198" s="404">
        <v>11178.788802843699</v>
      </c>
      <c r="E198" s="404">
        <v>394.060961953522</v>
      </c>
      <c r="F198" s="404">
        <v>284.22516793062402</v>
      </c>
      <c r="G198" s="404">
        <v>280.59181770075799</v>
      </c>
      <c r="H198" s="404">
        <v>246.445693931584</v>
      </c>
      <c r="I198" s="13"/>
    </row>
    <row r="199" spans="1:10" ht="15" customHeight="1" x14ac:dyDescent="0.3">
      <c r="A199" s="602"/>
      <c r="B199" s="85" t="s">
        <v>230</v>
      </c>
      <c r="C199" s="404">
        <v>574.73376557927395</v>
      </c>
      <c r="D199" s="404">
        <v>201.857249556456</v>
      </c>
      <c r="E199" s="404">
        <v>217.13298960816999</v>
      </c>
      <c r="F199" s="404">
        <v>200.48369028855399</v>
      </c>
      <c r="G199" s="404">
        <v>209.894240041882</v>
      </c>
      <c r="H199" s="404">
        <v>243.95388620724299</v>
      </c>
      <c r="I199" s="13"/>
    </row>
    <row r="200" spans="1:10" ht="15" customHeight="1" x14ac:dyDescent="0.3">
      <c r="A200" s="602"/>
      <c r="B200" s="86" t="s">
        <v>276</v>
      </c>
      <c r="C200" s="403">
        <v>574.73376557927395</v>
      </c>
      <c r="D200" s="403">
        <v>589.722376904984</v>
      </c>
      <c r="E200" s="403">
        <v>708.61850723630505</v>
      </c>
      <c r="F200" s="403">
        <v>770.93050664370105</v>
      </c>
      <c r="G200" s="403">
        <v>746.142857142857</v>
      </c>
      <c r="H200" s="403">
        <v>836.51234752497703</v>
      </c>
      <c r="I200" s="13"/>
    </row>
    <row r="201" spans="1:10" ht="15" customHeight="1" x14ac:dyDescent="0.3">
      <c r="A201" s="602"/>
      <c r="B201" s="85" t="s">
        <v>277</v>
      </c>
      <c r="C201" s="404">
        <v>956.51870458586404</v>
      </c>
      <c r="D201" s="404">
        <v>589.722376904984</v>
      </c>
      <c r="E201" s="404">
        <v>708.61850723630505</v>
      </c>
      <c r="F201" s="404">
        <v>770.93050664370105</v>
      </c>
      <c r="G201" s="404">
        <v>746.142857142857</v>
      </c>
      <c r="H201" s="404">
        <v>836.51234752497703</v>
      </c>
      <c r="I201" s="13"/>
      <c r="J201" s="307"/>
    </row>
    <row r="202" spans="1:10" ht="15" customHeight="1" x14ac:dyDescent="0.3">
      <c r="A202" s="602" t="s">
        <v>234</v>
      </c>
      <c r="B202" s="86" t="s">
        <v>235</v>
      </c>
      <c r="C202" s="403">
        <v>1267.0960337075401</v>
      </c>
      <c r="D202" s="403">
        <v>564.50213050287005</v>
      </c>
      <c r="E202" s="403">
        <v>697.43589815560597</v>
      </c>
      <c r="F202" s="403">
        <v>1812.2031046638201</v>
      </c>
      <c r="G202" s="403">
        <v>823.16956521739098</v>
      </c>
      <c r="H202" s="403">
        <v>475.60245694337698</v>
      </c>
      <c r="I202" s="13"/>
    </row>
    <row r="203" spans="1:10" ht="15" customHeight="1" x14ac:dyDescent="0.3">
      <c r="A203" s="602"/>
      <c r="B203" s="85" t="s">
        <v>236</v>
      </c>
      <c r="C203" s="404">
        <v>408.62523083290301</v>
      </c>
      <c r="D203" s="404">
        <v>564.50213050287005</v>
      </c>
      <c r="E203" s="405">
        <v>697.43589815560597</v>
      </c>
      <c r="F203" s="405">
        <v>1812.2031046638201</v>
      </c>
      <c r="G203" s="405">
        <v>823.16956521739098</v>
      </c>
      <c r="H203" s="404">
        <v>475.60245694337698</v>
      </c>
      <c r="I203" s="13"/>
    </row>
    <row r="204" spans="1:10" ht="15" customHeight="1" x14ac:dyDescent="0.3">
      <c r="A204" s="40" t="s">
        <v>455</v>
      </c>
      <c r="B204" s="86" t="s">
        <v>318</v>
      </c>
      <c r="C204" s="403">
        <v>610</v>
      </c>
      <c r="D204" s="403">
        <v>671.04176891524298</v>
      </c>
      <c r="E204" s="403">
        <v>631.36867569360095</v>
      </c>
      <c r="F204" s="403">
        <v>632.950317304245</v>
      </c>
      <c r="G204" s="403">
        <v>576.31890254457301</v>
      </c>
      <c r="H204" s="403">
        <v>622.395683002135</v>
      </c>
      <c r="I204" s="13"/>
    </row>
    <row r="205" spans="1:10" ht="72.599999999999994" customHeight="1" x14ac:dyDescent="0.25">
      <c r="A205" s="532" t="s">
        <v>678</v>
      </c>
      <c r="B205" s="532"/>
      <c r="C205" s="532"/>
      <c r="D205" s="532"/>
      <c r="E205" s="532"/>
      <c r="F205" s="532"/>
      <c r="G205" s="532"/>
      <c r="H205" s="532"/>
    </row>
    <row r="206" spans="1:10" ht="15" customHeight="1" x14ac:dyDescent="0.25"/>
    <row r="207" spans="1:10" ht="15" customHeight="1" x14ac:dyDescent="0.25"/>
    <row r="208" spans="1:10" ht="60.75" customHeight="1" x14ac:dyDescent="0.3">
      <c r="A208" s="45" t="s">
        <v>679</v>
      </c>
      <c r="B208" s="402" t="s">
        <v>599</v>
      </c>
      <c r="C208" s="402" t="s">
        <v>680</v>
      </c>
      <c r="D208" s="402" t="s">
        <v>222</v>
      </c>
      <c r="E208" s="402" t="s">
        <v>387</v>
      </c>
      <c r="F208" s="402" t="s">
        <v>681</v>
      </c>
      <c r="G208" s="402" t="s">
        <v>227</v>
      </c>
      <c r="H208" s="13"/>
    </row>
    <row r="209" spans="1:8" ht="39.15" customHeight="1" x14ac:dyDescent="0.3">
      <c r="A209" s="36" t="s">
        <v>682</v>
      </c>
      <c r="B209" s="400">
        <v>610</v>
      </c>
      <c r="C209" s="401">
        <v>0.67</v>
      </c>
      <c r="D209" s="400">
        <v>631.36867569360095</v>
      </c>
      <c r="E209" s="400">
        <v>631.36867569360095</v>
      </c>
      <c r="F209" s="400">
        <v>576.31890254457301</v>
      </c>
      <c r="G209" s="400">
        <v>622.395683002135</v>
      </c>
      <c r="H209" s="13"/>
    </row>
    <row r="210" spans="1:8" ht="39.15" customHeight="1" x14ac:dyDescent="0.3">
      <c r="A210" s="36" t="s">
        <v>683</v>
      </c>
      <c r="B210" s="401">
        <v>0.56999999999999995</v>
      </c>
      <c r="C210" s="400">
        <v>626.28540477607396</v>
      </c>
      <c r="D210" s="400">
        <v>590.265742618942</v>
      </c>
      <c r="E210" s="401">
        <v>0.6</v>
      </c>
      <c r="F210" s="400">
        <v>552.29295482084103</v>
      </c>
      <c r="G210" s="400">
        <v>592.21245241202701</v>
      </c>
      <c r="H210" s="13"/>
    </row>
    <row r="211" spans="1:8" ht="19.2" customHeight="1" x14ac:dyDescent="0.25">
      <c r="A211" s="597" t="s">
        <v>684</v>
      </c>
      <c r="B211" s="597"/>
      <c r="C211" s="597"/>
      <c r="D211" s="597"/>
      <c r="E211" s="597"/>
      <c r="F211" s="597"/>
      <c r="G211" s="597"/>
    </row>
    <row r="212" spans="1:8" ht="19.2" customHeight="1" x14ac:dyDescent="0.25">
      <c r="A212" s="603"/>
      <c r="B212" s="603"/>
      <c r="C212" s="603"/>
      <c r="D212" s="603"/>
      <c r="E212" s="603"/>
      <c r="F212" s="603"/>
      <c r="G212" s="603"/>
    </row>
    <row r="213" spans="1:8" ht="22.5" customHeight="1" x14ac:dyDescent="0.25">
      <c r="A213" s="603"/>
      <c r="B213" s="603"/>
      <c r="C213" s="603"/>
      <c r="D213" s="603"/>
      <c r="E213" s="603"/>
      <c r="F213" s="603"/>
      <c r="G213" s="603"/>
    </row>
    <row r="214" spans="1:8" ht="15" customHeight="1" x14ac:dyDescent="0.25">
      <c r="C214" s="399"/>
      <c r="D214" s="399"/>
    </row>
    <row r="215" spans="1:8" ht="15" customHeight="1" x14ac:dyDescent="0.25"/>
    <row r="216" spans="1:8" ht="52.5" customHeight="1" x14ac:dyDescent="0.35">
      <c r="A216" s="33" t="s">
        <v>685</v>
      </c>
      <c r="B216" s="58" t="s">
        <v>207</v>
      </c>
      <c r="C216" s="58" t="s">
        <v>686</v>
      </c>
      <c r="D216" s="13"/>
    </row>
    <row r="217" spans="1:8" ht="15" customHeight="1" x14ac:dyDescent="0.3">
      <c r="A217" s="602" t="s">
        <v>245</v>
      </c>
      <c r="B217" s="23" t="s">
        <v>246</v>
      </c>
      <c r="C217" s="391">
        <v>0</v>
      </c>
      <c r="D217" s="13"/>
    </row>
    <row r="218" spans="1:8" ht="15" customHeight="1" x14ac:dyDescent="0.3">
      <c r="A218" s="602"/>
      <c r="B218" s="85" t="s">
        <v>514</v>
      </c>
      <c r="C218" s="392">
        <v>0</v>
      </c>
      <c r="D218" s="13"/>
    </row>
    <row r="219" spans="1:8" ht="15" customHeight="1" x14ac:dyDescent="0.3">
      <c r="A219" s="602"/>
      <c r="B219" s="85" t="s">
        <v>247</v>
      </c>
      <c r="C219" s="392">
        <v>0</v>
      </c>
      <c r="D219" s="13"/>
    </row>
    <row r="220" spans="1:8" ht="15" customHeight="1" x14ac:dyDescent="0.3">
      <c r="A220" s="602" t="s">
        <v>251</v>
      </c>
      <c r="B220" s="23" t="s">
        <v>252</v>
      </c>
      <c r="C220" s="391">
        <v>0</v>
      </c>
      <c r="D220" s="13"/>
    </row>
    <row r="221" spans="1:8" ht="15" customHeight="1" x14ac:dyDescent="0.3">
      <c r="A221" s="602"/>
      <c r="B221" s="85" t="s">
        <v>253</v>
      </c>
      <c r="C221" s="392">
        <v>0</v>
      </c>
      <c r="D221" s="13"/>
    </row>
    <row r="222" spans="1:8" ht="15" customHeight="1" x14ac:dyDescent="0.3">
      <c r="A222" s="602"/>
      <c r="B222" s="85" t="s">
        <v>256</v>
      </c>
      <c r="C222" s="392">
        <v>0</v>
      </c>
      <c r="D222" s="13"/>
    </row>
    <row r="223" spans="1:8" ht="15" customHeight="1" x14ac:dyDescent="0.3">
      <c r="A223" s="602" t="s">
        <v>213</v>
      </c>
      <c r="B223" s="23" t="s">
        <v>328</v>
      </c>
      <c r="C223" s="391">
        <v>0</v>
      </c>
      <c r="D223" s="13"/>
    </row>
    <row r="224" spans="1:8" ht="15" customHeight="1" x14ac:dyDescent="0.3">
      <c r="A224" s="602"/>
      <c r="B224" s="85" t="s">
        <v>453</v>
      </c>
      <c r="C224" s="392">
        <v>0</v>
      </c>
      <c r="D224" s="13"/>
    </row>
    <row r="225" spans="1:4" ht="15" customHeight="1" x14ac:dyDescent="0.3">
      <c r="A225" s="602"/>
      <c r="B225" s="23" t="s">
        <v>214</v>
      </c>
      <c r="C225" s="391">
        <v>0</v>
      </c>
      <c r="D225" s="13"/>
    </row>
    <row r="226" spans="1:4" ht="15" customHeight="1" x14ac:dyDescent="0.3">
      <c r="A226" s="602"/>
      <c r="B226" s="85" t="s">
        <v>215</v>
      </c>
      <c r="C226" s="392">
        <v>0</v>
      </c>
      <c r="D226" s="13"/>
    </row>
    <row r="227" spans="1:4" ht="15" customHeight="1" x14ac:dyDescent="0.3">
      <c r="A227" s="602"/>
      <c r="B227" s="23" t="s">
        <v>265</v>
      </c>
      <c r="C227" s="391">
        <v>0</v>
      </c>
      <c r="D227" s="13"/>
    </row>
    <row r="228" spans="1:4" ht="15" customHeight="1" x14ac:dyDescent="0.3">
      <c r="A228" s="602"/>
      <c r="B228" s="85" t="s">
        <v>266</v>
      </c>
      <c r="C228" s="392">
        <v>0</v>
      </c>
      <c r="D228" s="13"/>
    </row>
    <row r="229" spans="1:4" ht="15" customHeight="1" x14ac:dyDescent="0.3">
      <c r="A229" s="602" t="s">
        <v>224</v>
      </c>
      <c r="B229" s="23" t="s">
        <v>225</v>
      </c>
      <c r="C229" s="391">
        <v>2442.4006374974902</v>
      </c>
      <c r="D229" s="13"/>
    </row>
    <row r="230" spans="1:4" ht="15" customHeight="1" x14ac:dyDescent="0.3">
      <c r="A230" s="602"/>
      <c r="B230" s="85" t="s">
        <v>226</v>
      </c>
      <c r="C230" s="392">
        <v>0</v>
      </c>
      <c r="D230" s="13"/>
    </row>
    <row r="231" spans="1:4" ht="15" customHeight="1" x14ac:dyDescent="0.3">
      <c r="A231" s="602"/>
      <c r="B231" s="85" t="s">
        <v>454</v>
      </c>
      <c r="C231" s="392">
        <v>814.50961982892898</v>
      </c>
      <c r="D231" s="13"/>
    </row>
    <row r="232" spans="1:4" ht="15" customHeight="1" x14ac:dyDescent="0.3">
      <c r="A232" s="602"/>
      <c r="B232" s="85" t="s">
        <v>230</v>
      </c>
      <c r="C232" s="392">
        <v>1627.8910176685599</v>
      </c>
      <c r="D232" s="13"/>
    </row>
    <row r="233" spans="1:4" ht="15" customHeight="1" x14ac:dyDescent="0.3">
      <c r="A233" s="602"/>
      <c r="B233" s="23" t="s">
        <v>276</v>
      </c>
      <c r="C233" s="391">
        <v>0</v>
      </c>
      <c r="D233" s="13"/>
    </row>
    <row r="234" spans="1:4" ht="15" customHeight="1" x14ac:dyDescent="0.3">
      <c r="A234" s="602"/>
      <c r="B234" s="85" t="s">
        <v>277</v>
      </c>
      <c r="C234" s="392">
        <v>0</v>
      </c>
      <c r="D234" s="13"/>
    </row>
    <row r="235" spans="1:4" ht="15" customHeight="1" x14ac:dyDescent="0.3">
      <c r="A235" s="602" t="s">
        <v>234</v>
      </c>
      <c r="B235" s="23" t="s">
        <v>235</v>
      </c>
      <c r="C235" s="391">
        <v>6310.4104572604901</v>
      </c>
      <c r="D235" s="13"/>
    </row>
    <row r="236" spans="1:4" ht="15" customHeight="1" x14ac:dyDescent="0.3">
      <c r="A236" s="602"/>
      <c r="B236" s="85" t="s">
        <v>236</v>
      </c>
      <c r="C236" s="392">
        <v>6310.4104572604901</v>
      </c>
      <c r="D236" s="13"/>
    </row>
    <row r="237" spans="1:4" ht="15" customHeight="1" x14ac:dyDescent="0.3">
      <c r="A237" s="40" t="s">
        <v>455</v>
      </c>
      <c r="B237" s="86" t="s">
        <v>644</v>
      </c>
      <c r="C237" s="391">
        <v>8752.8110947579808</v>
      </c>
      <c r="D237" s="13"/>
    </row>
    <row r="238" spans="1:4" ht="35.85" customHeight="1" x14ac:dyDescent="0.25">
      <c r="A238" s="532" t="s">
        <v>687</v>
      </c>
      <c r="B238" s="532"/>
      <c r="C238" s="532"/>
    </row>
    <row r="239" spans="1:4" ht="15" customHeight="1" x14ac:dyDescent="0.25"/>
    <row r="240" spans="1:4" ht="15" customHeight="1" x14ac:dyDescent="0.3">
      <c r="A240" s="398" t="s">
        <v>688</v>
      </c>
    </row>
    <row r="241" spans="1:6" ht="86.7" customHeight="1" x14ac:dyDescent="0.35">
      <c r="A241" s="33" t="s">
        <v>689</v>
      </c>
      <c r="B241" s="58" t="s">
        <v>207</v>
      </c>
      <c r="C241" s="5" t="s">
        <v>690</v>
      </c>
      <c r="D241" s="5" t="s">
        <v>691</v>
      </c>
      <c r="E241" s="58" t="s">
        <v>692</v>
      </c>
      <c r="F241" s="13"/>
    </row>
    <row r="242" spans="1:6" ht="15" customHeight="1" x14ac:dyDescent="0.3">
      <c r="A242" s="602" t="s">
        <v>245</v>
      </c>
      <c r="B242" s="542" t="s">
        <v>246</v>
      </c>
      <c r="C242" s="542"/>
      <c r="D242" s="542"/>
      <c r="E242" s="542"/>
      <c r="F242" s="13"/>
    </row>
    <row r="243" spans="1:6" ht="15" customHeight="1" x14ac:dyDescent="0.3">
      <c r="A243" s="602"/>
      <c r="B243" s="32" t="s">
        <v>514</v>
      </c>
      <c r="C243" s="32" t="s">
        <v>693</v>
      </c>
      <c r="D243" s="395"/>
      <c r="E243" s="395"/>
      <c r="F243" s="13"/>
    </row>
    <row r="244" spans="1:6" ht="15" customHeight="1" x14ac:dyDescent="0.3">
      <c r="A244" s="602"/>
      <c r="B244" s="32" t="s">
        <v>247</v>
      </c>
      <c r="C244" s="32" t="s">
        <v>693</v>
      </c>
      <c r="D244" s="395"/>
      <c r="E244" s="395"/>
      <c r="F244" s="13"/>
    </row>
    <row r="245" spans="1:6" ht="15" customHeight="1" x14ac:dyDescent="0.3">
      <c r="A245" s="602" t="s">
        <v>251</v>
      </c>
      <c r="B245" s="542" t="s">
        <v>252</v>
      </c>
      <c r="C245" s="542"/>
      <c r="D245" s="542"/>
      <c r="E245" s="542"/>
      <c r="F245" s="13"/>
    </row>
    <row r="246" spans="1:6" ht="15" customHeight="1" x14ac:dyDescent="0.3">
      <c r="A246" s="602"/>
      <c r="B246" s="32" t="s">
        <v>253</v>
      </c>
      <c r="C246" s="32" t="s">
        <v>694</v>
      </c>
      <c r="D246" s="397">
        <v>238732.07603914899</v>
      </c>
      <c r="E246" s="396">
        <v>0.155051559401719</v>
      </c>
      <c r="F246" s="13"/>
    </row>
    <row r="247" spans="1:6" ht="15" customHeight="1" x14ac:dyDescent="0.3">
      <c r="A247" s="602"/>
      <c r="B247" s="32" t="s">
        <v>256</v>
      </c>
      <c r="C247" s="32" t="s">
        <v>694</v>
      </c>
      <c r="D247" s="397">
        <v>211002.99519295999</v>
      </c>
      <c r="E247" s="396">
        <v>0.137042093320282</v>
      </c>
      <c r="F247" s="13"/>
    </row>
    <row r="248" spans="1:6" ht="15" customHeight="1" x14ac:dyDescent="0.3">
      <c r="A248" s="599" t="s">
        <v>213</v>
      </c>
      <c r="B248" s="542" t="s">
        <v>328</v>
      </c>
      <c r="C248" s="542"/>
      <c r="D248" s="542"/>
      <c r="E248" s="542"/>
      <c r="F248" s="13"/>
    </row>
    <row r="249" spans="1:6" ht="15" customHeight="1" x14ac:dyDescent="0.3">
      <c r="A249" s="600"/>
      <c r="B249" s="32" t="s">
        <v>453</v>
      </c>
      <c r="C249" s="32" t="s">
        <v>693</v>
      </c>
      <c r="D249" s="395"/>
      <c r="E249" s="395"/>
      <c r="F249" s="13"/>
    </row>
    <row r="250" spans="1:6" ht="15" customHeight="1" x14ac:dyDescent="0.3">
      <c r="A250" s="600"/>
      <c r="B250" s="542" t="s">
        <v>214</v>
      </c>
      <c r="C250" s="542"/>
      <c r="D250" s="542"/>
      <c r="E250" s="542"/>
      <c r="F250" s="13"/>
    </row>
    <row r="251" spans="1:6" ht="15" customHeight="1" x14ac:dyDescent="0.3">
      <c r="A251" s="600"/>
      <c r="B251" s="32" t="s">
        <v>215</v>
      </c>
      <c r="C251" s="32" t="s">
        <v>694</v>
      </c>
      <c r="D251" s="397">
        <v>226563.81319250699</v>
      </c>
      <c r="E251" s="396">
        <v>0.147148523660211</v>
      </c>
      <c r="F251" s="13"/>
    </row>
    <row r="252" spans="1:6" ht="15" customHeight="1" x14ac:dyDescent="0.3">
      <c r="A252" s="600"/>
      <c r="B252" s="542" t="s">
        <v>265</v>
      </c>
      <c r="C252" s="542"/>
      <c r="D252" s="542"/>
      <c r="E252" s="542"/>
      <c r="F252" s="13"/>
    </row>
    <row r="253" spans="1:6" ht="15" customHeight="1" x14ac:dyDescent="0.3">
      <c r="A253" s="601"/>
      <c r="B253" s="50" t="s">
        <v>266</v>
      </c>
      <c r="C253" s="50" t="s">
        <v>693</v>
      </c>
      <c r="D253" s="395"/>
      <c r="E253" s="395"/>
      <c r="F253" s="13"/>
    </row>
    <row r="254" spans="1:6" ht="15" customHeight="1" x14ac:dyDescent="0.3">
      <c r="A254" s="599" t="s">
        <v>224</v>
      </c>
      <c r="B254" s="542" t="s">
        <v>225</v>
      </c>
      <c r="C254" s="542"/>
      <c r="D254" s="542"/>
      <c r="E254" s="542"/>
      <c r="F254" s="13"/>
    </row>
    <row r="255" spans="1:6" ht="15" customHeight="1" x14ac:dyDescent="0.3">
      <c r="A255" s="600"/>
      <c r="B255" s="32" t="s">
        <v>226</v>
      </c>
      <c r="C255" s="32" t="s">
        <v>694</v>
      </c>
      <c r="D255" s="397">
        <v>39711.867141113798</v>
      </c>
      <c r="E255" s="396">
        <v>2.5792038628164201E-2</v>
      </c>
      <c r="F255" s="13"/>
    </row>
    <row r="256" spans="1:6" ht="15" customHeight="1" x14ac:dyDescent="0.3">
      <c r="A256" s="600"/>
      <c r="B256" s="32" t="s">
        <v>454</v>
      </c>
      <c r="C256" s="32" t="s">
        <v>694</v>
      </c>
      <c r="D256" s="397">
        <v>40394.416907685103</v>
      </c>
      <c r="E256" s="396">
        <v>2.62353406235727E-2</v>
      </c>
      <c r="F256" s="13"/>
    </row>
    <row r="257" spans="1:6" ht="15" customHeight="1" x14ac:dyDescent="0.3">
      <c r="A257" s="600"/>
      <c r="B257" s="32" t="s">
        <v>230</v>
      </c>
      <c r="C257" s="32" t="s">
        <v>694</v>
      </c>
      <c r="D257" s="397">
        <v>57797.154413883101</v>
      </c>
      <c r="E257" s="396">
        <v>3.7538059692426601E-2</v>
      </c>
      <c r="F257" s="13"/>
    </row>
    <row r="258" spans="1:6" ht="15" customHeight="1" x14ac:dyDescent="0.3">
      <c r="A258" s="600"/>
      <c r="B258" s="542" t="s">
        <v>695</v>
      </c>
      <c r="C258" s="542"/>
      <c r="D258" s="542"/>
      <c r="E258" s="542"/>
      <c r="F258" s="13"/>
    </row>
    <row r="259" spans="1:6" ht="15" customHeight="1" x14ac:dyDescent="0.3">
      <c r="A259" s="601"/>
      <c r="B259" s="32" t="s">
        <v>277</v>
      </c>
      <c r="C259" s="32" t="s">
        <v>693</v>
      </c>
      <c r="D259" s="395"/>
      <c r="E259" s="395"/>
      <c r="F259" s="13"/>
    </row>
    <row r="260" spans="1:6" ht="15" customHeight="1" x14ac:dyDescent="0.3">
      <c r="A260" s="599" t="s">
        <v>234</v>
      </c>
      <c r="B260" s="542" t="s">
        <v>235</v>
      </c>
      <c r="C260" s="542"/>
      <c r="D260" s="542"/>
      <c r="E260" s="542"/>
      <c r="F260" s="13"/>
    </row>
    <row r="261" spans="1:6" ht="15" customHeight="1" x14ac:dyDescent="0.3">
      <c r="A261" s="601"/>
      <c r="B261" s="32" t="s">
        <v>236</v>
      </c>
      <c r="C261" s="32" t="s">
        <v>693</v>
      </c>
      <c r="D261" s="395"/>
      <c r="E261" s="395"/>
      <c r="F261" s="13"/>
    </row>
    <row r="262" spans="1:6" ht="15" customHeight="1" x14ac:dyDescent="0.3">
      <c r="A262" s="40" t="s">
        <v>455</v>
      </c>
      <c r="B262" s="86" t="s">
        <v>696</v>
      </c>
      <c r="C262" s="86"/>
      <c r="D262" s="394">
        <v>814202.32288729795</v>
      </c>
      <c r="E262" s="393">
        <v>0.52880761532637599</v>
      </c>
      <c r="F262" s="13"/>
    </row>
    <row r="263" spans="1:6" ht="15" customHeight="1" x14ac:dyDescent="0.25">
      <c r="A263" s="563"/>
      <c r="B263" s="563"/>
      <c r="C263" s="563"/>
      <c r="D263" s="563"/>
      <c r="E263" s="563"/>
      <c r="F263" s="307"/>
    </row>
    <row r="264" spans="1:6" ht="15" customHeight="1" x14ac:dyDescent="0.25">
      <c r="A264" s="307"/>
      <c r="B264" s="307"/>
      <c r="C264" s="307"/>
      <c r="D264" s="307"/>
      <c r="E264" s="307"/>
      <c r="F264" s="307"/>
    </row>
    <row r="265" spans="1:6" ht="15" customHeight="1" x14ac:dyDescent="0.25">
      <c r="A265" s="332"/>
      <c r="B265" s="332"/>
      <c r="C265" s="332"/>
      <c r="D265" s="332"/>
      <c r="E265" s="307"/>
      <c r="F265" s="307"/>
    </row>
    <row r="266" spans="1:6" ht="35.85" customHeight="1" x14ac:dyDescent="0.35">
      <c r="A266" s="33" t="s">
        <v>93</v>
      </c>
      <c r="B266" s="58" t="s">
        <v>207</v>
      </c>
      <c r="C266" s="164" t="s">
        <v>697</v>
      </c>
      <c r="D266" s="164" t="s">
        <v>698</v>
      </c>
      <c r="E266" s="417"/>
      <c r="F266" s="307"/>
    </row>
    <row r="267" spans="1:6" ht="15" customHeight="1" x14ac:dyDescent="0.25">
      <c r="A267" s="602" t="s">
        <v>245</v>
      </c>
      <c r="B267" s="23" t="s">
        <v>246</v>
      </c>
      <c r="C267" s="391">
        <v>422149.43118859502</v>
      </c>
      <c r="D267" s="390">
        <v>8.8359238720452593E-2</v>
      </c>
      <c r="E267" s="417"/>
      <c r="F267" s="307"/>
    </row>
    <row r="268" spans="1:6" ht="15" customHeight="1" x14ac:dyDescent="0.25">
      <c r="A268" s="602"/>
      <c r="B268" s="85" t="s">
        <v>514</v>
      </c>
      <c r="C268" s="392">
        <v>274957.53696908598</v>
      </c>
      <c r="D268" s="48">
        <v>5.7550802753978697E-2</v>
      </c>
      <c r="E268" s="417"/>
      <c r="F268" s="307"/>
    </row>
    <row r="269" spans="1:6" ht="15" customHeight="1" x14ac:dyDescent="0.25">
      <c r="A269" s="602"/>
      <c r="B269" s="85" t="s">
        <v>247</v>
      </c>
      <c r="C269" s="392">
        <v>147191.89421950901</v>
      </c>
      <c r="D269" s="48">
        <v>3.08084359664739E-2</v>
      </c>
      <c r="E269" s="417"/>
      <c r="F269" s="307"/>
    </row>
    <row r="270" spans="1:6" ht="15" customHeight="1" x14ac:dyDescent="0.25">
      <c r="A270" s="602" t="s">
        <v>251</v>
      </c>
      <c r="B270" s="23" t="s">
        <v>252</v>
      </c>
      <c r="C270" s="391">
        <v>801477.98856366496</v>
      </c>
      <c r="D270" s="390">
        <v>0.16775572744772199</v>
      </c>
      <c r="E270" s="417"/>
      <c r="F270" s="307"/>
    </row>
    <row r="271" spans="1:6" ht="15" customHeight="1" x14ac:dyDescent="0.25">
      <c r="A271" s="602"/>
      <c r="B271" s="85" t="s">
        <v>253</v>
      </c>
      <c r="C271" s="392">
        <v>495987.18840949098</v>
      </c>
      <c r="D271" s="48">
        <v>0.103814069486171</v>
      </c>
      <c r="E271" s="417"/>
      <c r="F271" s="307"/>
    </row>
    <row r="272" spans="1:6" ht="15" customHeight="1" x14ac:dyDescent="0.25">
      <c r="A272" s="602"/>
      <c r="B272" s="85" t="s">
        <v>256</v>
      </c>
      <c r="C272" s="392">
        <v>305490.80015417398</v>
      </c>
      <c r="D272" s="48">
        <v>6.3941657961551601E-2</v>
      </c>
      <c r="E272" s="417"/>
      <c r="F272" s="307"/>
    </row>
    <row r="273" spans="1:6" ht="15" customHeight="1" x14ac:dyDescent="0.25">
      <c r="A273" s="599" t="s">
        <v>213</v>
      </c>
      <c r="B273" s="23" t="s">
        <v>328</v>
      </c>
      <c r="C273" s="391">
        <v>155878.31464250799</v>
      </c>
      <c r="D273" s="390">
        <v>3.2626572955598697E-2</v>
      </c>
      <c r="E273" s="417"/>
      <c r="F273" s="307"/>
    </row>
    <row r="274" spans="1:6" ht="15" customHeight="1" x14ac:dyDescent="0.25">
      <c r="A274" s="600"/>
      <c r="B274" s="85" t="s">
        <v>453</v>
      </c>
      <c r="C274" s="392">
        <v>155878.31464250799</v>
      </c>
      <c r="D274" s="48">
        <v>3.2626572955598697E-2</v>
      </c>
      <c r="E274" s="417"/>
      <c r="F274" s="307"/>
    </row>
    <row r="275" spans="1:6" ht="15" customHeight="1" x14ac:dyDescent="0.25">
      <c r="A275" s="600"/>
      <c r="B275" s="23" t="s">
        <v>214</v>
      </c>
      <c r="C275" s="391">
        <v>671212.50725030701</v>
      </c>
      <c r="D275" s="390">
        <v>0.14049012453551701</v>
      </c>
      <c r="E275" s="417"/>
      <c r="F275" s="307"/>
    </row>
    <row r="276" spans="1:6" ht="15" customHeight="1" x14ac:dyDescent="0.25">
      <c r="A276" s="600"/>
      <c r="B276" s="85" t="s">
        <v>215</v>
      </c>
      <c r="C276" s="392">
        <v>671212.50725030701</v>
      </c>
      <c r="D276" s="48">
        <v>0.14049012453551701</v>
      </c>
      <c r="E276" s="417"/>
      <c r="F276" s="307"/>
    </row>
    <row r="277" spans="1:6" ht="15" customHeight="1" x14ac:dyDescent="0.25">
      <c r="A277" s="600"/>
      <c r="B277" s="23" t="s">
        <v>265</v>
      </c>
      <c r="C277" s="391">
        <v>190348.65834610001</v>
      </c>
      <c r="D277" s="390">
        <v>3.9841490477828E-2</v>
      </c>
      <c r="E277" s="417"/>
      <c r="F277" s="307"/>
    </row>
    <row r="278" spans="1:6" ht="15" customHeight="1" x14ac:dyDescent="0.25">
      <c r="A278" s="601"/>
      <c r="B278" s="85" t="s">
        <v>266</v>
      </c>
      <c r="C278" s="392">
        <v>190348.65834610001</v>
      </c>
      <c r="D278" s="48">
        <v>3.9841490477828E-2</v>
      </c>
      <c r="E278" s="417"/>
      <c r="F278" s="307"/>
    </row>
    <row r="279" spans="1:6" ht="15" customHeight="1" x14ac:dyDescent="0.25">
      <c r="A279" s="599" t="s">
        <v>224</v>
      </c>
      <c r="B279" s="23" t="s">
        <v>225</v>
      </c>
      <c r="C279" s="391">
        <v>370172.50816221</v>
      </c>
      <c r="D279" s="390">
        <v>7.7480054691441702E-2</v>
      </c>
      <c r="E279" s="417"/>
      <c r="F279" s="307"/>
    </row>
    <row r="280" spans="1:6" ht="15" customHeight="1" x14ac:dyDescent="0.25">
      <c r="A280" s="600"/>
      <c r="B280" s="85" t="s">
        <v>226</v>
      </c>
      <c r="C280" s="392">
        <v>121076.98317776401</v>
      </c>
      <c r="D280" s="48">
        <v>2.5342377058366401E-2</v>
      </c>
      <c r="E280" s="417"/>
      <c r="F280" s="307"/>
    </row>
    <row r="281" spans="1:6" ht="15" customHeight="1" x14ac:dyDescent="0.25">
      <c r="A281" s="600"/>
      <c r="B281" s="85" t="s">
        <v>454</v>
      </c>
      <c r="C281" s="392">
        <v>94033.252301449596</v>
      </c>
      <c r="D281" s="48">
        <v>1.9681908760058001E-2</v>
      </c>
      <c r="E281" s="417"/>
      <c r="F281" s="307"/>
    </row>
    <row r="282" spans="1:6" ht="15" customHeight="1" x14ac:dyDescent="0.25">
      <c r="A282" s="600"/>
      <c r="B282" s="85" t="s">
        <v>230</v>
      </c>
      <c r="C282" s="392">
        <v>155062.272682996</v>
      </c>
      <c r="D282" s="48">
        <v>3.24557688730173E-2</v>
      </c>
      <c r="E282" s="417"/>
      <c r="F282" s="307"/>
    </row>
    <row r="283" spans="1:6" ht="15" customHeight="1" x14ac:dyDescent="0.25">
      <c r="A283" s="600"/>
      <c r="B283" s="23" t="s">
        <v>276</v>
      </c>
      <c r="C283" s="391">
        <v>1995154.7473716401</v>
      </c>
      <c r="D283" s="390">
        <v>0.41760178169823797</v>
      </c>
      <c r="E283" s="417"/>
      <c r="F283" s="307"/>
    </row>
    <row r="284" spans="1:6" ht="15" customHeight="1" x14ac:dyDescent="0.25">
      <c r="A284" s="600"/>
      <c r="B284" s="85" t="s">
        <v>277</v>
      </c>
      <c r="C284" s="392">
        <v>136572.814878112</v>
      </c>
      <c r="D284" s="48">
        <v>2.8585778070486501E-2</v>
      </c>
      <c r="E284" s="417"/>
      <c r="F284" s="307"/>
    </row>
    <row r="285" spans="1:6" ht="15" customHeight="1" x14ac:dyDescent="0.25">
      <c r="A285" s="601"/>
      <c r="B285" s="85" t="s">
        <v>699</v>
      </c>
      <c r="C285" s="392">
        <v>1858581.93249353</v>
      </c>
      <c r="D285" s="48">
        <v>0.38901600362775202</v>
      </c>
      <c r="E285" s="417"/>
      <c r="F285" s="307"/>
    </row>
    <row r="286" spans="1:6" ht="15" customHeight="1" x14ac:dyDescent="0.25">
      <c r="A286" s="599" t="s">
        <v>234</v>
      </c>
      <c r="B286" s="23" t="s">
        <v>235</v>
      </c>
      <c r="C286" s="391">
        <v>171254.87474983401</v>
      </c>
      <c r="D286" s="390">
        <v>3.5845009473201399E-2</v>
      </c>
      <c r="E286" s="417"/>
      <c r="F286" s="307"/>
    </row>
    <row r="287" spans="1:6" ht="15" customHeight="1" x14ac:dyDescent="0.25">
      <c r="A287" s="601"/>
      <c r="B287" s="85" t="s">
        <v>236</v>
      </c>
      <c r="C287" s="392">
        <v>171254.87474983401</v>
      </c>
      <c r="D287" s="48">
        <v>3.5845009473201399E-2</v>
      </c>
      <c r="E287" s="417"/>
      <c r="F287" s="307"/>
    </row>
    <row r="288" spans="1:6" ht="15" customHeight="1" x14ac:dyDescent="0.25">
      <c r="A288" s="40" t="s">
        <v>455</v>
      </c>
      <c r="B288" s="86" t="s">
        <v>644</v>
      </c>
      <c r="C288" s="391">
        <v>4777649.0302748596</v>
      </c>
      <c r="D288" s="390">
        <v>1</v>
      </c>
      <c r="E288" s="417"/>
      <c r="F288" s="307"/>
    </row>
    <row r="289" spans="1:7" ht="15" customHeight="1" x14ac:dyDescent="0.25">
      <c r="A289" s="532" t="s">
        <v>700</v>
      </c>
      <c r="B289" s="532"/>
      <c r="C289" s="532"/>
      <c r="D289" s="532"/>
      <c r="E289" s="307"/>
      <c r="F289" s="307"/>
    </row>
    <row r="290" spans="1:7" ht="15" customHeight="1" x14ac:dyDescent="0.25">
      <c r="A290" s="518"/>
      <c r="B290" s="518"/>
      <c r="C290" s="518"/>
      <c r="D290" s="518"/>
      <c r="E290" s="307"/>
      <c r="F290" s="307"/>
    </row>
    <row r="291" spans="1:7" ht="15" customHeight="1" x14ac:dyDescent="0.25">
      <c r="A291" s="307"/>
      <c r="B291" s="307"/>
      <c r="C291" s="307"/>
      <c r="D291" s="307"/>
      <c r="E291" s="307"/>
      <c r="F291" s="307"/>
    </row>
    <row r="292" spans="1:7" ht="15" customHeight="1" x14ac:dyDescent="0.25"/>
    <row r="293" spans="1:7" ht="45.75" customHeight="1" x14ac:dyDescent="0.35">
      <c r="A293" s="45" t="s">
        <v>701</v>
      </c>
      <c r="B293" s="25">
        <v>2019</v>
      </c>
      <c r="C293" s="25">
        <v>2020</v>
      </c>
      <c r="D293" s="25">
        <v>2021</v>
      </c>
      <c r="E293" s="5" t="s">
        <v>635</v>
      </c>
      <c r="F293" s="25">
        <v>2023</v>
      </c>
      <c r="G293" s="13"/>
    </row>
    <row r="294" spans="1:7" ht="35.85" customHeight="1" x14ac:dyDescent="0.3">
      <c r="A294" s="31" t="s">
        <v>702</v>
      </c>
      <c r="B294" s="388">
        <v>1989027.75</v>
      </c>
      <c r="C294" s="388">
        <v>1756777.48</v>
      </c>
      <c r="D294" s="388">
        <v>1607151.1</v>
      </c>
      <c r="E294" s="388">
        <v>1409053</v>
      </c>
      <c r="F294" s="388">
        <v>1454200.9009221301</v>
      </c>
      <c r="G294" s="13"/>
    </row>
    <row r="295" spans="1:7" ht="35.85" customHeight="1" x14ac:dyDescent="0.3">
      <c r="A295" s="31" t="s">
        <v>703</v>
      </c>
      <c r="B295" s="388">
        <v>189145.8</v>
      </c>
      <c r="C295" s="388">
        <v>189381.16</v>
      </c>
      <c r="D295" s="388">
        <v>245444.74</v>
      </c>
      <c r="E295" s="388">
        <v>284810.52054708003</v>
      </c>
      <c r="F295" s="388">
        <v>352468.04334081098</v>
      </c>
      <c r="G295" s="13"/>
    </row>
    <row r="296" spans="1:7" ht="35.85" customHeight="1" x14ac:dyDescent="0.3">
      <c r="A296" s="31" t="s">
        <v>704</v>
      </c>
      <c r="B296" s="388">
        <v>590745.81000000006</v>
      </c>
      <c r="C296" s="388">
        <v>538889.68000000005</v>
      </c>
      <c r="D296" s="388">
        <v>738655.74</v>
      </c>
      <c r="E296" s="388">
        <v>777184</v>
      </c>
      <c r="F296" s="388">
        <v>635686.34314192703</v>
      </c>
      <c r="G296" s="13"/>
    </row>
    <row r="297" spans="1:7" ht="35.85" customHeight="1" x14ac:dyDescent="0.3">
      <c r="A297" s="31" t="s">
        <v>705</v>
      </c>
      <c r="B297" s="388">
        <v>193908.4</v>
      </c>
      <c r="C297" s="388">
        <v>302122.46000000002</v>
      </c>
      <c r="D297" s="388">
        <v>246986.68</v>
      </c>
      <c r="E297" s="388">
        <v>175095.34552846299</v>
      </c>
      <c r="F297" s="388">
        <v>123856.440134686</v>
      </c>
      <c r="G297" s="13"/>
    </row>
    <row r="298" spans="1:7" ht="35.85" customHeight="1" x14ac:dyDescent="0.3">
      <c r="A298" s="31" t="s">
        <v>706</v>
      </c>
      <c r="B298" s="388">
        <v>15459.45</v>
      </c>
      <c r="C298" s="388">
        <v>24317.53</v>
      </c>
      <c r="D298" s="388">
        <v>16130.4</v>
      </c>
      <c r="E298" s="388">
        <v>17547.592966257602</v>
      </c>
      <c r="F298" s="388">
        <v>6559.75444149342</v>
      </c>
      <c r="G298" s="13"/>
    </row>
    <row r="299" spans="1:7" ht="35.85" customHeight="1" x14ac:dyDescent="0.3">
      <c r="A299" s="31" t="s">
        <v>707</v>
      </c>
      <c r="B299" s="388">
        <v>8635.35</v>
      </c>
      <c r="C299" s="389">
        <v>2806.94</v>
      </c>
      <c r="D299" s="389">
        <v>3439.22</v>
      </c>
      <c r="E299" s="388">
        <v>15912.1143769218</v>
      </c>
      <c r="F299" s="388">
        <v>14158.1555008868</v>
      </c>
      <c r="G299" s="13"/>
    </row>
    <row r="300" spans="1:7" ht="35.85" customHeight="1" x14ac:dyDescent="0.3">
      <c r="A300" s="31" t="s">
        <v>708</v>
      </c>
      <c r="B300" s="388">
        <v>38383.050000000003</v>
      </c>
      <c r="C300" s="388">
        <v>32061.06</v>
      </c>
      <c r="D300" s="388">
        <v>32936.519999999997</v>
      </c>
      <c r="E300" s="388">
        <v>33053.417800000003</v>
      </c>
      <c r="F300" s="388">
        <v>33042.787102041599</v>
      </c>
      <c r="G300" s="13"/>
    </row>
    <row r="301" spans="1:7" ht="35.85" customHeight="1" x14ac:dyDescent="0.3">
      <c r="A301" s="31" t="s">
        <v>709</v>
      </c>
      <c r="B301" s="208" t="s">
        <v>710</v>
      </c>
      <c r="C301" s="208" t="s">
        <v>710</v>
      </c>
      <c r="D301" s="208" t="s">
        <v>710</v>
      </c>
      <c r="E301" s="208" t="s">
        <v>710</v>
      </c>
      <c r="F301" s="208" t="s">
        <v>710</v>
      </c>
      <c r="G301" s="13"/>
    </row>
    <row r="302" spans="1:7" ht="35.85" customHeight="1" x14ac:dyDescent="0.3">
      <c r="A302" s="31" t="s">
        <v>711</v>
      </c>
      <c r="B302" s="208" t="s">
        <v>710</v>
      </c>
      <c r="C302" s="208" t="s">
        <v>710</v>
      </c>
      <c r="D302" s="208" t="s">
        <v>710</v>
      </c>
      <c r="E302" s="208" t="s">
        <v>710</v>
      </c>
      <c r="F302" s="208" t="s">
        <v>710</v>
      </c>
      <c r="G302" s="13"/>
    </row>
    <row r="303" spans="1:7" ht="35.85" customHeight="1" x14ac:dyDescent="0.3">
      <c r="A303" s="31" t="s">
        <v>712</v>
      </c>
      <c r="B303" s="388">
        <v>559273.39</v>
      </c>
      <c r="C303" s="388">
        <v>727823.55</v>
      </c>
      <c r="D303" s="388">
        <v>737090.44</v>
      </c>
      <c r="E303" s="388">
        <v>475606.32091335399</v>
      </c>
      <c r="F303" s="388">
        <v>338161.60569089401</v>
      </c>
      <c r="G303" s="13"/>
    </row>
    <row r="304" spans="1:7" ht="35.85" customHeight="1" x14ac:dyDescent="0.3">
      <c r="A304" s="31" t="s">
        <v>713</v>
      </c>
      <c r="B304" s="208" t="s">
        <v>710</v>
      </c>
      <c r="C304" s="208" t="s">
        <v>710</v>
      </c>
      <c r="D304" s="208" t="s">
        <v>710</v>
      </c>
      <c r="E304" s="208" t="s">
        <v>710</v>
      </c>
      <c r="F304" s="208" t="s">
        <v>710</v>
      </c>
      <c r="G304" s="13"/>
    </row>
    <row r="305" spans="1:9" ht="35.85" customHeight="1" x14ac:dyDescent="0.3">
      <c r="A305" s="31" t="s">
        <v>714</v>
      </c>
      <c r="B305" s="208" t="s">
        <v>710</v>
      </c>
      <c r="C305" s="208" t="s">
        <v>710</v>
      </c>
      <c r="D305" s="208" t="s">
        <v>710</v>
      </c>
      <c r="E305" s="208" t="s">
        <v>710</v>
      </c>
      <c r="F305" s="208" t="s">
        <v>710</v>
      </c>
      <c r="G305" s="13"/>
    </row>
    <row r="306" spans="1:9" ht="35.85" customHeight="1" x14ac:dyDescent="0.3">
      <c r="A306" s="31" t="s">
        <v>715</v>
      </c>
      <c r="B306" s="208" t="s">
        <v>710</v>
      </c>
      <c r="C306" s="208" t="s">
        <v>710</v>
      </c>
      <c r="D306" s="208" t="s">
        <v>710</v>
      </c>
      <c r="E306" s="208" t="s">
        <v>710</v>
      </c>
      <c r="F306" s="208" t="s">
        <v>710</v>
      </c>
      <c r="G306" s="13"/>
    </row>
    <row r="307" spans="1:9" ht="35.85" customHeight="1" x14ac:dyDescent="0.3">
      <c r="A307" s="31" t="s">
        <v>716</v>
      </c>
      <c r="B307" s="208" t="s">
        <v>710</v>
      </c>
      <c r="C307" s="208" t="s">
        <v>710</v>
      </c>
      <c r="D307" s="208" t="s">
        <v>710</v>
      </c>
      <c r="E307" s="208" t="s">
        <v>710</v>
      </c>
      <c r="F307" s="208" t="s">
        <v>710</v>
      </c>
      <c r="G307" s="13"/>
    </row>
    <row r="308" spans="1:9" ht="35.85" customHeight="1" x14ac:dyDescent="0.3">
      <c r="A308" s="31" t="s">
        <v>717</v>
      </c>
      <c r="B308" s="388">
        <v>2131125</v>
      </c>
      <c r="C308" s="388">
        <v>2157558.2599999998</v>
      </c>
      <c r="D308" s="388">
        <v>2114905</v>
      </c>
      <c r="E308" s="388">
        <v>1948410</v>
      </c>
      <c r="F308" s="388">
        <v>1819515</v>
      </c>
      <c r="G308" s="13"/>
    </row>
    <row r="309" spans="1:9" ht="35.85" customHeight="1" x14ac:dyDescent="0.3">
      <c r="A309" s="6" t="s">
        <v>718</v>
      </c>
      <c r="B309" s="387">
        <v>5715704</v>
      </c>
      <c r="C309" s="387">
        <v>5731738.1200000001</v>
      </c>
      <c r="D309" s="387">
        <v>5742739.8399999999</v>
      </c>
      <c r="E309" s="387">
        <v>5136672.3121320801</v>
      </c>
      <c r="F309" s="387">
        <v>4777649.0302748699</v>
      </c>
      <c r="G309" s="386"/>
    </row>
    <row r="310" spans="1:9" ht="27.6" customHeight="1" x14ac:dyDescent="0.25">
      <c r="A310" s="532" t="s">
        <v>719</v>
      </c>
      <c r="B310" s="532"/>
      <c r="C310" s="532"/>
      <c r="D310" s="532"/>
      <c r="E310" s="532"/>
      <c r="F310" s="532"/>
    </row>
    <row r="311" spans="1:9" ht="27.6" customHeight="1" x14ac:dyDescent="0.25">
      <c r="A311" s="518"/>
      <c r="B311" s="518"/>
      <c r="C311" s="518"/>
      <c r="D311" s="518"/>
      <c r="E311" s="518"/>
      <c r="F311" s="518"/>
    </row>
    <row r="312" spans="1:9" ht="27.6" customHeight="1" x14ac:dyDescent="0.25">
      <c r="A312" s="518"/>
      <c r="B312" s="518"/>
      <c r="C312" s="518"/>
      <c r="D312" s="518"/>
      <c r="E312" s="518"/>
      <c r="F312" s="518"/>
    </row>
    <row r="313" spans="1:9" ht="27.6" customHeight="1" x14ac:dyDescent="0.25">
      <c r="A313" s="518"/>
      <c r="B313" s="518"/>
      <c r="C313" s="518"/>
      <c r="D313" s="518"/>
      <c r="E313" s="518"/>
      <c r="F313" s="518"/>
    </row>
    <row r="314" spans="1:9" ht="15" customHeight="1" x14ac:dyDescent="0.25"/>
    <row r="315" spans="1:9" ht="15" customHeight="1" x14ac:dyDescent="0.25"/>
    <row r="316" spans="1:9" ht="15" customHeight="1" x14ac:dyDescent="0.25"/>
    <row r="317" spans="1:9" ht="15" customHeight="1" x14ac:dyDescent="0.25">
      <c r="G317" s="518"/>
      <c r="H317" s="518"/>
      <c r="I317" s="518"/>
    </row>
    <row r="318" spans="1:9" ht="15" customHeight="1" x14ac:dyDescent="0.25"/>
    <row r="319" spans="1:9" ht="15" customHeight="1" x14ac:dyDescent="0.25"/>
    <row r="320" spans="1:9" ht="15" customHeight="1" x14ac:dyDescent="0.25"/>
    <row r="321" customFormat="1" ht="15" customHeight="1" x14ac:dyDescent="0.25"/>
    <row r="322" customFormat="1" ht="15" customHeight="1" x14ac:dyDescent="0.25"/>
    <row r="323" customFormat="1" ht="15" customHeight="1" x14ac:dyDescent="0.25"/>
    <row r="324" customFormat="1" ht="15" customHeight="1" x14ac:dyDescent="0.25"/>
    <row r="325" customFormat="1" ht="15" customHeight="1" x14ac:dyDescent="0.25"/>
    <row r="326" customFormat="1" ht="15" customHeight="1" x14ac:dyDescent="0.25"/>
    <row r="327" customFormat="1" ht="15" customHeight="1" x14ac:dyDescent="0.25"/>
    <row r="328" customFormat="1" ht="15" customHeight="1" x14ac:dyDescent="0.25"/>
    <row r="329" customFormat="1" ht="15" customHeight="1" x14ac:dyDescent="0.25"/>
    <row r="330" customFormat="1" ht="15" customHeight="1" x14ac:dyDescent="0.25"/>
    <row r="331" customFormat="1" ht="15" customHeight="1" x14ac:dyDescent="0.25"/>
    <row r="332" customFormat="1" ht="15" customHeight="1" x14ac:dyDescent="0.25"/>
    <row r="333" customFormat="1" ht="15" customHeight="1" x14ac:dyDescent="0.25"/>
    <row r="334" customFormat="1" ht="15" customHeight="1" x14ac:dyDescent="0.25"/>
    <row r="335" customFormat="1" ht="15" customHeight="1" x14ac:dyDescent="0.25"/>
    <row r="336" customFormat="1" ht="15" customHeight="1" x14ac:dyDescent="0.25"/>
    <row r="337" customFormat="1" ht="15" customHeight="1" x14ac:dyDescent="0.25"/>
    <row r="338" customFormat="1" ht="15" customHeight="1" x14ac:dyDescent="0.25"/>
    <row r="339" customFormat="1" ht="15" customHeight="1" x14ac:dyDescent="0.25"/>
    <row r="340" customFormat="1" ht="15" customHeight="1" x14ac:dyDescent="0.25"/>
    <row r="341" customFormat="1" ht="15" customHeight="1" x14ac:dyDescent="0.25"/>
    <row r="342" customFormat="1" ht="15" customHeight="1" x14ac:dyDescent="0.25"/>
    <row r="343" customFormat="1" ht="15" customHeight="1" x14ac:dyDescent="0.25"/>
    <row r="344" customFormat="1" ht="15" customHeight="1" x14ac:dyDescent="0.25"/>
    <row r="345" customFormat="1" ht="15" customHeight="1" x14ac:dyDescent="0.25"/>
    <row r="346" customFormat="1" ht="15" customHeight="1" x14ac:dyDescent="0.25"/>
    <row r="347" customFormat="1" ht="15" customHeight="1" x14ac:dyDescent="0.25"/>
    <row r="348" customFormat="1" ht="15" customHeight="1" x14ac:dyDescent="0.25"/>
    <row r="349" customFormat="1" ht="15" customHeight="1" x14ac:dyDescent="0.25"/>
  </sheetData>
  <sheetProtection algorithmName="SHA-512" hashValue="7yBOyp70y1BV0nh+2h6u7KtfjFXGNwwNe6x/alJ18SlmGFf4Onh0xkffKwu3kGv8xokSN8gKQvYs5Mt+q3ZlRw==" saltValue="KNBPJFMwYRmbST9WjJBsFA==" spinCount="100000" sheet="1" objects="1" scenarios="1" formatColumns="0" formatRows="0"/>
  <mergeCells count="96">
    <mergeCell ref="A18:A23"/>
    <mergeCell ref="A1:F1"/>
    <mergeCell ref="B3:B5"/>
    <mergeCell ref="A3:A5"/>
    <mergeCell ref="A6:A8"/>
    <mergeCell ref="C3:N3"/>
    <mergeCell ref="C4:J4"/>
    <mergeCell ref="K4:M4"/>
    <mergeCell ref="A12:A17"/>
    <mergeCell ref="R3:R5"/>
    <mergeCell ref="Q4:Q5"/>
    <mergeCell ref="O3:Q3"/>
    <mergeCell ref="N4:N5"/>
    <mergeCell ref="A9:A11"/>
    <mergeCell ref="A24:A25"/>
    <mergeCell ref="A31:B31"/>
    <mergeCell ref="A32:H32"/>
    <mergeCell ref="A27:R28"/>
    <mergeCell ref="A44:B44"/>
    <mergeCell ref="A41:H41"/>
    <mergeCell ref="A33:B33"/>
    <mergeCell ref="A34:B34"/>
    <mergeCell ref="A35:B35"/>
    <mergeCell ref="A36:B36"/>
    <mergeCell ref="A37:B37"/>
    <mergeCell ref="A46:H46"/>
    <mergeCell ref="A45:B45"/>
    <mergeCell ref="A47:B47"/>
    <mergeCell ref="A38:B38"/>
    <mergeCell ref="A39:B39"/>
    <mergeCell ref="A40:B40"/>
    <mergeCell ref="A42:B42"/>
    <mergeCell ref="A43:B43"/>
    <mergeCell ref="A53:H55"/>
    <mergeCell ref="A61:G63"/>
    <mergeCell ref="A67:A69"/>
    <mergeCell ref="A70:A72"/>
    <mergeCell ref="A73:A78"/>
    <mergeCell ref="A48:B48"/>
    <mergeCell ref="A49:B49"/>
    <mergeCell ref="A50:B50"/>
    <mergeCell ref="A51:B51"/>
    <mergeCell ref="A52:B52"/>
    <mergeCell ref="A106:A108"/>
    <mergeCell ref="A109:A111"/>
    <mergeCell ref="A112:A117"/>
    <mergeCell ref="A118:A123"/>
    <mergeCell ref="A124:A125"/>
    <mergeCell ref="L65:M65"/>
    <mergeCell ref="A88:J89"/>
    <mergeCell ref="A79:A84"/>
    <mergeCell ref="A85:A86"/>
    <mergeCell ref="A100:G102"/>
    <mergeCell ref="A149:A150"/>
    <mergeCell ref="A152:R154"/>
    <mergeCell ref="A174:G180"/>
    <mergeCell ref="A184:A186"/>
    <mergeCell ref="A187:A189"/>
    <mergeCell ref="A127:I127"/>
    <mergeCell ref="A131:A133"/>
    <mergeCell ref="A134:A136"/>
    <mergeCell ref="A137:A142"/>
    <mergeCell ref="A143:A148"/>
    <mergeCell ref="A248:A253"/>
    <mergeCell ref="A190:A195"/>
    <mergeCell ref="A202:A203"/>
    <mergeCell ref="A196:A201"/>
    <mergeCell ref="A205:H205"/>
    <mergeCell ref="A211:G213"/>
    <mergeCell ref="A217:A219"/>
    <mergeCell ref="A220:A222"/>
    <mergeCell ref="A223:A228"/>
    <mergeCell ref="A229:A234"/>
    <mergeCell ref="A235:A236"/>
    <mergeCell ref="A267:A269"/>
    <mergeCell ref="A270:A272"/>
    <mergeCell ref="A238:C238"/>
    <mergeCell ref="A242:A244"/>
    <mergeCell ref="B242:E242"/>
    <mergeCell ref="B258:E258"/>
    <mergeCell ref="A245:A247"/>
    <mergeCell ref="B254:E254"/>
    <mergeCell ref="A254:A259"/>
    <mergeCell ref="A260:A261"/>
    <mergeCell ref="B260:E260"/>
    <mergeCell ref="A263:E263"/>
    <mergeCell ref="B248:E248"/>
    <mergeCell ref="B245:E245"/>
    <mergeCell ref="B252:E252"/>
    <mergeCell ref="B250:E250"/>
    <mergeCell ref="G317:I317"/>
    <mergeCell ref="A273:A278"/>
    <mergeCell ref="A279:A285"/>
    <mergeCell ref="A286:A287"/>
    <mergeCell ref="A289:D290"/>
    <mergeCell ref="A310:F31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51C6-821F-4FAC-8A89-4116DD86B2FE}">
  <dimension ref="A1:Z399"/>
  <sheetViews>
    <sheetView tabSelected="1" showRuler="0" topLeftCell="A73" workbookViewId="0">
      <selection activeCell="J89" sqref="J89"/>
    </sheetView>
  </sheetViews>
  <sheetFormatPr defaultColWidth="13.33203125" defaultRowHeight="13.2" x14ac:dyDescent="0.25"/>
  <cols>
    <col min="1" max="1" width="31.33203125" customWidth="1"/>
    <col min="2" max="2" width="17" customWidth="1"/>
    <col min="3" max="3" width="15.5546875" customWidth="1"/>
    <col min="4" max="13" width="14.6640625" customWidth="1"/>
    <col min="14" max="14" width="18" customWidth="1"/>
    <col min="15" max="15" width="15.6640625" customWidth="1"/>
    <col min="16" max="21" width="14.6640625" customWidth="1"/>
    <col min="22" max="27" width="14.33203125" customWidth="1"/>
    <col min="28" max="28" width="24.88671875" customWidth="1"/>
  </cols>
  <sheetData>
    <row r="1" spans="1:25" ht="25.95" customHeight="1" x14ac:dyDescent="0.3">
      <c r="A1" s="595" t="s">
        <v>720</v>
      </c>
      <c r="B1" s="595"/>
      <c r="C1" s="595"/>
      <c r="D1" s="595"/>
      <c r="E1" s="595"/>
      <c r="F1" s="595"/>
      <c r="G1" s="17"/>
      <c r="H1" s="17"/>
      <c r="I1" s="17"/>
      <c r="J1" s="17"/>
      <c r="K1" s="17"/>
      <c r="L1" s="17"/>
      <c r="M1" s="17"/>
      <c r="N1" s="17"/>
      <c r="O1" s="17"/>
      <c r="P1" s="17"/>
      <c r="Q1" s="17"/>
      <c r="R1" s="17"/>
      <c r="S1" s="17"/>
      <c r="T1" s="17"/>
      <c r="U1" s="17"/>
      <c r="V1" s="17"/>
    </row>
    <row r="2" spans="1:25" ht="18.600000000000001" customHeight="1" x14ac:dyDescent="0.3">
      <c r="A2" s="627" t="s">
        <v>721</v>
      </c>
      <c r="B2" s="627"/>
      <c r="C2" s="627"/>
      <c r="D2" s="627"/>
      <c r="E2" s="627"/>
      <c r="F2" s="627"/>
      <c r="G2" s="415" t="s">
        <v>569</v>
      </c>
      <c r="H2" s="415" t="s">
        <v>570</v>
      </c>
      <c r="I2" s="415" t="s">
        <v>571</v>
      </c>
      <c r="J2" s="415" t="s">
        <v>572</v>
      </c>
      <c r="K2" s="415" t="s">
        <v>573</v>
      </c>
      <c r="L2" s="415" t="s">
        <v>574</v>
      </c>
      <c r="M2" s="415" t="s">
        <v>575</v>
      </c>
      <c r="N2" s="415" t="s">
        <v>576</v>
      </c>
      <c r="O2" s="415" t="s">
        <v>577</v>
      </c>
      <c r="P2" s="415" t="s">
        <v>578</v>
      </c>
      <c r="Q2" s="415" t="s">
        <v>579</v>
      </c>
      <c r="R2" s="415" t="s">
        <v>580</v>
      </c>
      <c r="S2" s="415" t="s">
        <v>581</v>
      </c>
      <c r="T2" s="399" t="s">
        <v>582</v>
      </c>
      <c r="U2" s="399" t="s">
        <v>583</v>
      </c>
      <c r="V2" s="399" t="s">
        <v>584</v>
      </c>
      <c r="W2" s="399" t="s">
        <v>585</v>
      </c>
      <c r="X2" s="486"/>
      <c r="Y2" s="486"/>
    </row>
    <row r="3" spans="1:25" ht="22.5" customHeight="1" x14ac:dyDescent="0.3">
      <c r="A3" s="623" t="s">
        <v>81</v>
      </c>
      <c r="B3" s="616" t="s">
        <v>207</v>
      </c>
      <c r="C3" s="619" t="s">
        <v>586</v>
      </c>
      <c r="D3" s="620"/>
      <c r="E3" s="620"/>
      <c r="F3" s="620"/>
      <c r="G3" s="620"/>
      <c r="H3" s="620"/>
      <c r="I3" s="620"/>
      <c r="J3" s="620"/>
      <c r="K3" s="620"/>
      <c r="L3" s="620"/>
      <c r="M3" s="620"/>
      <c r="N3" s="620"/>
      <c r="O3" s="621"/>
      <c r="P3" s="619" t="s">
        <v>587</v>
      </c>
      <c r="Q3" s="620"/>
      <c r="R3" s="621"/>
      <c r="S3" s="616" t="s">
        <v>588</v>
      </c>
      <c r="T3" s="13"/>
      <c r="W3" s="2"/>
      <c r="X3" s="2"/>
    </row>
    <row r="4" spans="1:25" ht="39.15" customHeight="1" x14ac:dyDescent="0.3">
      <c r="A4" s="624"/>
      <c r="B4" s="618"/>
      <c r="C4" s="619" t="s">
        <v>589</v>
      </c>
      <c r="D4" s="620"/>
      <c r="E4" s="620"/>
      <c r="F4" s="620"/>
      <c r="G4" s="620"/>
      <c r="H4" s="620"/>
      <c r="I4" s="620"/>
      <c r="J4" s="620"/>
      <c r="K4" s="621"/>
      <c r="L4" s="619" t="s">
        <v>590</v>
      </c>
      <c r="M4" s="620"/>
      <c r="N4" s="621"/>
      <c r="O4" s="616" t="s">
        <v>591</v>
      </c>
      <c r="P4" s="278" t="s">
        <v>589</v>
      </c>
      <c r="Q4" s="278" t="s">
        <v>590</v>
      </c>
      <c r="R4" s="616" t="s">
        <v>592</v>
      </c>
      <c r="S4" s="617"/>
      <c r="T4" s="80"/>
      <c r="V4" s="2"/>
      <c r="W4" s="2"/>
    </row>
    <row r="5" spans="1:25" ht="55.95" customHeight="1" x14ac:dyDescent="0.3">
      <c r="A5" s="552"/>
      <c r="B5" s="622"/>
      <c r="C5" s="164" t="s">
        <v>566</v>
      </c>
      <c r="D5" s="164" t="s">
        <v>593</v>
      </c>
      <c r="E5" s="164" t="s">
        <v>568</v>
      </c>
      <c r="F5" s="164" t="s">
        <v>569</v>
      </c>
      <c r="G5" s="164" t="s">
        <v>570</v>
      </c>
      <c r="H5" s="164" t="s">
        <v>722</v>
      </c>
      <c r="I5" s="164" t="s">
        <v>572</v>
      </c>
      <c r="J5" s="164" t="s">
        <v>723</v>
      </c>
      <c r="K5" s="164" t="s">
        <v>594</v>
      </c>
      <c r="L5" s="164" t="s">
        <v>576</v>
      </c>
      <c r="M5" s="164" t="s">
        <v>577</v>
      </c>
      <c r="N5" s="164" t="s">
        <v>595</v>
      </c>
      <c r="O5" s="618"/>
      <c r="P5" s="164" t="s">
        <v>596</v>
      </c>
      <c r="Q5" s="164" t="s">
        <v>596</v>
      </c>
      <c r="R5" s="618"/>
      <c r="S5" s="618"/>
      <c r="T5" s="13"/>
      <c r="U5" s="2"/>
    </row>
    <row r="6" spans="1:25" ht="19.95" customHeight="1" x14ac:dyDescent="0.3">
      <c r="A6" s="602" t="s">
        <v>245</v>
      </c>
      <c r="B6" s="86" t="s">
        <v>246</v>
      </c>
      <c r="C6" s="391">
        <v>2516493.7521191998</v>
      </c>
      <c r="D6" s="391">
        <v>3939.4027999999998</v>
      </c>
      <c r="E6" s="391">
        <v>0</v>
      </c>
      <c r="F6" s="391">
        <v>0</v>
      </c>
      <c r="G6" s="391">
        <v>682.08</v>
      </c>
      <c r="H6" s="391">
        <v>0</v>
      </c>
      <c r="I6" s="391">
        <v>0</v>
      </c>
      <c r="J6" s="98" t="s">
        <v>607</v>
      </c>
      <c r="K6" s="391">
        <v>2521115.2349192002</v>
      </c>
      <c r="L6" s="391">
        <v>492.14761199999998</v>
      </c>
      <c r="M6" s="391">
        <v>0</v>
      </c>
      <c r="N6" s="391">
        <v>492.14761199999998</v>
      </c>
      <c r="O6" s="391">
        <v>2521607.3825312001</v>
      </c>
      <c r="P6" s="391">
        <v>1331398.2671999999</v>
      </c>
      <c r="Q6" s="391">
        <v>1042578.1727999999</v>
      </c>
      <c r="R6" s="391">
        <v>2373976.44</v>
      </c>
      <c r="S6" s="391">
        <v>4895583.8225312</v>
      </c>
      <c r="T6" s="13"/>
      <c r="U6" s="449"/>
      <c r="V6" s="2"/>
    </row>
    <row r="7" spans="1:25" ht="19.95" customHeight="1" x14ac:dyDescent="0.3">
      <c r="A7" s="602"/>
      <c r="B7" s="85" t="s">
        <v>514</v>
      </c>
      <c r="C7" s="392">
        <v>1557221.6578800001</v>
      </c>
      <c r="D7" s="392">
        <v>3939.4027999999998</v>
      </c>
      <c r="E7" s="392">
        <v>0</v>
      </c>
      <c r="F7" s="392">
        <v>0</v>
      </c>
      <c r="G7" s="392">
        <v>631.50400000000002</v>
      </c>
      <c r="H7" s="392">
        <v>0</v>
      </c>
      <c r="I7" s="392">
        <v>0</v>
      </c>
      <c r="J7" s="74" t="s">
        <v>607</v>
      </c>
      <c r="K7" s="392">
        <v>1561792.5646800001</v>
      </c>
      <c r="L7" s="392">
        <v>0</v>
      </c>
      <c r="M7" s="392">
        <v>0</v>
      </c>
      <c r="N7" s="392">
        <v>0</v>
      </c>
      <c r="O7" s="392">
        <v>1561792.5646800001</v>
      </c>
      <c r="P7" s="392">
        <v>814435.5024</v>
      </c>
      <c r="Q7" s="392">
        <v>751786.6176</v>
      </c>
      <c r="R7" s="392">
        <v>1566222.12</v>
      </c>
      <c r="S7" s="392">
        <v>3128014.6846799999</v>
      </c>
      <c r="T7" s="13"/>
      <c r="U7" s="449"/>
      <c r="V7" s="2"/>
    </row>
    <row r="8" spans="1:25" ht="19.95" customHeight="1" x14ac:dyDescent="0.3">
      <c r="A8" s="602"/>
      <c r="B8" s="85" t="s">
        <v>247</v>
      </c>
      <c r="C8" s="392">
        <v>959272.0942392</v>
      </c>
      <c r="D8" s="392">
        <v>0</v>
      </c>
      <c r="E8" s="392">
        <v>0</v>
      </c>
      <c r="F8" s="392">
        <v>0</v>
      </c>
      <c r="G8" s="392">
        <v>50.576000000000001</v>
      </c>
      <c r="H8" s="392">
        <v>0</v>
      </c>
      <c r="I8" s="392">
        <v>0</v>
      </c>
      <c r="J8" s="74" t="s">
        <v>607</v>
      </c>
      <c r="K8" s="392">
        <v>959322.6702392</v>
      </c>
      <c r="L8" s="392">
        <v>492.14761199999998</v>
      </c>
      <c r="M8" s="392">
        <v>0</v>
      </c>
      <c r="N8" s="392">
        <v>492.14761199999998</v>
      </c>
      <c r="O8" s="392">
        <v>959814.8178512</v>
      </c>
      <c r="P8" s="392">
        <v>516962.7648</v>
      </c>
      <c r="Q8" s="392">
        <v>290791.5552</v>
      </c>
      <c r="R8" s="392">
        <v>807754.32</v>
      </c>
      <c r="S8" s="392">
        <v>1767569.1378512001</v>
      </c>
      <c r="T8" s="13"/>
      <c r="U8" s="449"/>
      <c r="V8" s="2"/>
    </row>
    <row r="9" spans="1:25" ht="19.95" customHeight="1" x14ac:dyDescent="0.3">
      <c r="A9" s="599" t="s">
        <v>251</v>
      </c>
      <c r="B9" s="86" t="s">
        <v>252</v>
      </c>
      <c r="C9" s="391">
        <v>7075485.3749120003</v>
      </c>
      <c r="D9" s="391">
        <v>0</v>
      </c>
      <c r="E9" s="391">
        <v>63.098999999999997</v>
      </c>
      <c r="F9" s="391">
        <v>8507636</v>
      </c>
      <c r="G9" s="391">
        <v>41625.554980000001</v>
      </c>
      <c r="H9" s="391">
        <v>0</v>
      </c>
      <c r="I9" s="391">
        <v>282896.76299999998</v>
      </c>
      <c r="J9" s="488">
        <v>166.03891668</v>
      </c>
      <c r="K9" s="391">
        <v>15907872.830808699</v>
      </c>
      <c r="L9" s="391">
        <v>0</v>
      </c>
      <c r="M9" s="391">
        <v>0</v>
      </c>
      <c r="N9" s="391">
        <v>0</v>
      </c>
      <c r="O9" s="391">
        <v>15907872.830808699</v>
      </c>
      <c r="P9" s="391">
        <v>7582531.2075359998</v>
      </c>
      <c r="Q9" s="391">
        <v>0</v>
      </c>
      <c r="R9" s="391">
        <v>7582531.2075359998</v>
      </c>
      <c r="S9" s="391">
        <v>23490404.0383447</v>
      </c>
      <c r="T9" s="13"/>
      <c r="U9" s="449"/>
      <c r="V9" s="2"/>
    </row>
    <row r="10" spans="1:25" ht="19.95" customHeight="1" x14ac:dyDescent="0.3">
      <c r="A10" s="600"/>
      <c r="B10" s="85" t="s">
        <v>253</v>
      </c>
      <c r="C10" s="392">
        <v>3343231.1099120001</v>
      </c>
      <c r="D10" s="392">
        <v>0</v>
      </c>
      <c r="E10" s="392">
        <v>0</v>
      </c>
      <c r="F10" s="392">
        <v>0</v>
      </c>
      <c r="G10" s="392">
        <v>28214.436600000001</v>
      </c>
      <c r="H10" s="392">
        <v>0</v>
      </c>
      <c r="I10" s="392">
        <v>0</v>
      </c>
      <c r="J10" s="74" t="s">
        <v>607</v>
      </c>
      <c r="K10" s="392">
        <v>3371445.5465119998</v>
      </c>
      <c r="L10" s="392">
        <v>0</v>
      </c>
      <c r="M10" s="392">
        <v>0</v>
      </c>
      <c r="N10" s="392">
        <v>0</v>
      </c>
      <c r="O10" s="392">
        <v>3371445.5465119998</v>
      </c>
      <c r="P10" s="392">
        <v>3420982.44</v>
      </c>
      <c r="Q10" s="392">
        <v>0</v>
      </c>
      <c r="R10" s="392">
        <v>3420982.44</v>
      </c>
      <c r="S10" s="392">
        <v>6792427.9865119997</v>
      </c>
      <c r="T10" s="13"/>
      <c r="U10" s="449"/>
      <c r="V10" s="2"/>
    </row>
    <row r="11" spans="1:25" ht="19.95" customHeight="1" x14ac:dyDescent="0.3">
      <c r="A11" s="600"/>
      <c r="B11" s="85" t="s">
        <v>724</v>
      </c>
      <c r="C11" s="392">
        <v>1044808.009</v>
      </c>
      <c r="D11" s="392">
        <v>0</v>
      </c>
      <c r="E11" s="392">
        <v>0</v>
      </c>
      <c r="F11" s="392">
        <v>0</v>
      </c>
      <c r="G11" s="392">
        <v>2.73448</v>
      </c>
      <c r="H11" s="392">
        <v>0</v>
      </c>
      <c r="I11" s="392">
        <v>0</v>
      </c>
      <c r="J11" s="487">
        <v>90.509218799999999</v>
      </c>
      <c r="K11" s="392">
        <v>1044901.2526987999</v>
      </c>
      <c r="L11" s="392">
        <v>0</v>
      </c>
      <c r="M11" s="392">
        <v>0</v>
      </c>
      <c r="N11" s="392">
        <v>0</v>
      </c>
      <c r="O11" s="392">
        <v>1044901.2526987999</v>
      </c>
      <c r="P11" s="392">
        <v>4161548.7675359999</v>
      </c>
      <c r="Q11" s="392">
        <v>0</v>
      </c>
      <c r="R11" s="392">
        <v>4161548.7675359999</v>
      </c>
      <c r="S11" s="392">
        <v>5206450.0202347999</v>
      </c>
      <c r="T11" s="13"/>
      <c r="U11" s="449"/>
      <c r="V11" s="2"/>
    </row>
    <row r="12" spans="1:25" ht="19.95" customHeight="1" x14ac:dyDescent="0.3">
      <c r="A12" s="600"/>
      <c r="B12" s="85" t="s">
        <v>256</v>
      </c>
      <c r="C12" s="392">
        <v>770307.46719999996</v>
      </c>
      <c r="D12" s="392">
        <v>0</v>
      </c>
      <c r="E12" s="392">
        <v>63.098999999999997</v>
      </c>
      <c r="F12" s="392">
        <v>2615096</v>
      </c>
      <c r="G12" s="392">
        <v>12176.0689</v>
      </c>
      <c r="H12" s="392">
        <v>0</v>
      </c>
      <c r="I12" s="392">
        <v>239862.16209999999</v>
      </c>
      <c r="J12" s="74" t="s">
        <v>607</v>
      </c>
      <c r="K12" s="392">
        <v>3637504.7971999999</v>
      </c>
      <c r="L12" s="392">
        <v>0</v>
      </c>
      <c r="M12" s="392">
        <v>0</v>
      </c>
      <c r="N12" s="392">
        <v>0</v>
      </c>
      <c r="O12" s="392">
        <v>3637504.7971999999</v>
      </c>
      <c r="P12" s="392">
        <v>0</v>
      </c>
      <c r="Q12" s="392">
        <v>0</v>
      </c>
      <c r="R12" s="392">
        <v>0</v>
      </c>
      <c r="S12" s="392">
        <v>3637504.7971999999</v>
      </c>
      <c r="T12" s="13"/>
      <c r="U12" s="449"/>
      <c r="V12" s="2"/>
    </row>
    <row r="13" spans="1:25" ht="19.95" customHeight="1" x14ac:dyDescent="0.3">
      <c r="A13" s="601"/>
      <c r="B13" s="85" t="s">
        <v>725</v>
      </c>
      <c r="C13" s="392">
        <v>1917138.7888</v>
      </c>
      <c r="D13" s="392">
        <v>0</v>
      </c>
      <c r="E13" s="392">
        <v>0</v>
      </c>
      <c r="F13" s="392">
        <v>5892540</v>
      </c>
      <c r="G13" s="392">
        <v>1232.3150000000001</v>
      </c>
      <c r="H13" s="392">
        <v>0</v>
      </c>
      <c r="I13" s="392">
        <v>43034.600899999998</v>
      </c>
      <c r="J13" s="487">
        <v>75.529697880000001</v>
      </c>
      <c r="K13" s="392">
        <v>7854021.2343978798</v>
      </c>
      <c r="L13" s="392">
        <v>0</v>
      </c>
      <c r="M13" s="392">
        <v>0</v>
      </c>
      <c r="N13" s="392">
        <v>0</v>
      </c>
      <c r="O13" s="392">
        <v>7854021.2343978798</v>
      </c>
      <c r="P13" s="392">
        <v>0</v>
      </c>
      <c r="Q13" s="392">
        <v>0</v>
      </c>
      <c r="R13" s="392">
        <v>0</v>
      </c>
      <c r="S13" s="392">
        <v>7854021.2343978798</v>
      </c>
      <c r="T13" s="13"/>
      <c r="U13" s="449"/>
      <c r="V13" s="2"/>
    </row>
    <row r="14" spans="1:25" ht="19.95" customHeight="1" x14ac:dyDescent="0.3">
      <c r="A14" s="602" t="s">
        <v>213</v>
      </c>
      <c r="B14" s="86" t="s">
        <v>328</v>
      </c>
      <c r="C14" s="391">
        <v>339206.61038039997</v>
      </c>
      <c r="D14" s="391">
        <v>0</v>
      </c>
      <c r="E14" s="391">
        <v>245.50788</v>
      </c>
      <c r="F14" s="391">
        <v>0</v>
      </c>
      <c r="G14" s="391">
        <v>1220.0648000000001</v>
      </c>
      <c r="H14" s="391">
        <v>0</v>
      </c>
      <c r="I14" s="391">
        <v>17192.857499999998</v>
      </c>
      <c r="J14" s="98" t="s">
        <v>607</v>
      </c>
      <c r="K14" s="391">
        <v>357865.0405604</v>
      </c>
      <c r="L14" s="391">
        <v>0</v>
      </c>
      <c r="M14" s="391">
        <v>0</v>
      </c>
      <c r="N14" s="391">
        <v>0</v>
      </c>
      <c r="O14" s="391">
        <v>357865.0405604</v>
      </c>
      <c r="P14" s="391">
        <v>285717.59999999998</v>
      </c>
      <c r="Q14" s="391">
        <v>136969.20000000001</v>
      </c>
      <c r="R14" s="391">
        <v>422686.8</v>
      </c>
      <c r="S14" s="391">
        <v>780551.84056040004</v>
      </c>
      <c r="T14" s="13"/>
      <c r="U14" s="449"/>
      <c r="V14" s="450"/>
    </row>
    <row r="15" spans="1:25" ht="19.95" customHeight="1" x14ac:dyDescent="0.3">
      <c r="A15" s="602"/>
      <c r="B15" s="85" t="s">
        <v>453</v>
      </c>
      <c r="C15" s="392">
        <v>339206.61038039997</v>
      </c>
      <c r="D15" s="392">
        <v>0</v>
      </c>
      <c r="E15" s="392">
        <v>245.50788</v>
      </c>
      <c r="F15" s="392">
        <v>0</v>
      </c>
      <c r="G15" s="392">
        <v>1220.0648000000001</v>
      </c>
      <c r="H15" s="392">
        <v>0</v>
      </c>
      <c r="I15" s="392">
        <v>17192.857499999998</v>
      </c>
      <c r="J15" s="74" t="s">
        <v>607</v>
      </c>
      <c r="K15" s="392">
        <v>357865.0405604</v>
      </c>
      <c r="L15" s="392">
        <v>0</v>
      </c>
      <c r="M15" s="392">
        <v>0</v>
      </c>
      <c r="N15" s="392">
        <v>0</v>
      </c>
      <c r="O15" s="392">
        <v>357865.0405604</v>
      </c>
      <c r="P15" s="392">
        <v>285717.59999999998</v>
      </c>
      <c r="Q15" s="392">
        <v>136969.20000000001</v>
      </c>
      <c r="R15" s="392">
        <v>422686.8</v>
      </c>
      <c r="S15" s="392">
        <v>780551.84056040004</v>
      </c>
      <c r="T15" s="13"/>
      <c r="U15" s="449"/>
      <c r="V15" s="2"/>
    </row>
    <row r="16" spans="1:25" ht="19.95" customHeight="1" x14ac:dyDescent="0.3">
      <c r="A16" s="602"/>
      <c r="B16" s="86" t="s">
        <v>214</v>
      </c>
      <c r="C16" s="391">
        <v>2889206.3591832002</v>
      </c>
      <c r="D16" s="391">
        <v>15831.37</v>
      </c>
      <c r="E16" s="391">
        <v>32141.7510588</v>
      </c>
      <c r="F16" s="391">
        <v>0</v>
      </c>
      <c r="G16" s="391">
        <v>5677.3114400000004</v>
      </c>
      <c r="H16" s="391">
        <v>0</v>
      </c>
      <c r="I16" s="391">
        <v>43649.038124999999</v>
      </c>
      <c r="J16" s="98" t="s">
        <v>607</v>
      </c>
      <c r="K16" s="391">
        <v>2986505.8298069998</v>
      </c>
      <c r="L16" s="391">
        <v>0</v>
      </c>
      <c r="M16" s="391">
        <v>0</v>
      </c>
      <c r="N16" s="391">
        <v>0</v>
      </c>
      <c r="O16" s="391">
        <v>2986505.8298069998</v>
      </c>
      <c r="P16" s="391">
        <v>2961775.268964</v>
      </c>
      <c r="Q16" s="391">
        <v>0</v>
      </c>
      <c r="R16" s="391">
        <v>2961775.268964</v>
      </c>
      <c r="S16" s="391">
        <v>5948281.0987710003</v>
      </c>
      <c r="T16" s="13"/>
      <c r="U16" s="449"/>
      <c r="V16" s="2"/>
    </row>
    <row r="17" spans="1:22" ht="19.95" customHeight="1" x14ac:dyDescent="0.3">
      <c r="A17" s="602"/>
      <c r="B17" s="85" t="s">
        <v>215</v>
      </c>
      <c r="C17" s="392">
        <v>2889206.3591832002</v>
      </c>
      <c r="D17" s="392">
        <v>15831.37</v>
      </c>
      <c r="E17" s="392">
        <v>32141.7510588</v>
      </c>
      <c r="F17" s="392">
        <v>0</v>
      </c>
      <c r="G17" s="392">
        <v>5677.3114400000004</v>
      </c>
      <c r="H17" s="392">
        <v>0</v>
      </c>
      <c r="I17" s="392">
        <v>43649.038124999999</v>
      </c>
      <c r="J17" s="74" t="s">
        <v>607</v>
      </c>
      <c r="K17" s="392">
        <v>2986505.8298069998</v>
      </c>
      <c r="L17" s="392">
        <v>0</v>
      </c>
      <c r="M17" s="392">
        <v>0</v>
      </c>
      <c r="N17" s="392">
        <v>0</v>
      </c>
      <c r="O17" s="392">
        <v>2986505.8298069998</v>
      </c>
      <c r="P17" s="392">
        <v>2961775.268964</v>
      </c>
      <c r="Q17" s="392">
        <v>0</v>
      </c>
      <c r="R17" s="392">
        <v>2961775.268964</v>
      </c>
      <c r="S17" s="392">
        <v>5948281.0987710003</v>
      </c>
      <c r="T17" s="13"/>
      <c r="U17" s="449"/>
      <c r="V17" s="2"/>
    </row>
    <row r="18" spans="1:22" ht="19.95" customHeight="1" x14ac:dyDescent="0.3">
      <c r="A18" s="602"/>
      <c r="B18" s="86" t="s">
        <v>265</v>
      </c>
      <c r="C18" s="391">
        <v>1727112.4593072</v>
      </c>
      <c r="D18" s="391">
        <v>0</v>
      </c>
      <c r="E18" s="391">
        <v>1926.1895999999999</v>
      </c>
      <c r="F18" s="391">
        <v>0</v>
      </c>
      <c r="G18" s="391">
        <v>31.667999999999999</v>
      </c>
      <c r="H18" s="391">
        <v>1768298.7013000001</v>
      </c>
      <c r="I18" s="391">
        <v>0</v>
      </c>
      <c r="J18" s="98" t="s">
        <v>607</v>
      </c>
      <c r="K18" s="391">
        <v>3497369.0182071999</v>
      </c>
      <c r="L18" s="391">
        <v>0</v>
      </c>
      <c r="M18" s="391">
        <v>0</v>
      </c>
      <c r="N18" s="391">
        <v>0</v>
      </c>
      <c r="O18" s="391">
        <v>3497369.0182071999</v>
      </c>
      <c r="P18" s="391">
        <v>0</v>
      </c>
      <c r="Q18" s="391">
        <v>0</v>
      </c>
      <c r="R18" s="391">
        <v>0</v>
      </c>
      <c r="S18" s="391">
        <v>3497369.0182071999</v>
      </c>
      <c r="T18" s="13"/>
      <c r="U18" s="449"/>
      <c r="V18" s="2"/>
    </row>
    <row r="19" spans="1:22" ht="19.95" customHeight="1" x14ac:dyDescent="0.3">
      <c r="A19" s="602"/>
      <c r="B19" s="85" t="s">
        <v>266</v>
      </c>
      <c r="C19" s="392">
        <v>1727112.4593072</v>
      </c>
      <c r="D19" s="392">
        <v>0</v>
      </c>
      <c r="E19" s="392">
        <v>1926.1895999999999</v>
      </c>
      <c r="F19" s="392">
        <v>0</v>
      </c>
      <c r="G19" s="392">
        <v>31.667999999999999</v>
      </c>
      <c r="H19" s="392">
        <v>1768298.7013000001</v>
      </c>
      <c r="I19" s="392">
        <v>0</v>
      </c>
      <c r="J19" s="74" t="s">
        <v>607</v>
      </c>
      <c r="K19" s="392">
        <v>3497369.0182071999</v>
      </c>
      <c r="L19" s="392">
        <v>0</v>
      </c>
      <c r="M19" s="392">
        <v>0</v>
      </c>
      <c r="N19" s="392">
        <v>0</v>
      </c>
      <c r="O19" s="392">
        <v>3497369.0182071999</v>
      </c>
      <c r="P19" s="392">
        <v>0</v>
      </c>
      <c r="Q19" s="392">
        <v>0</v>
      </c>
      <c r="R19" s="392">
        <v>0</v>
      </c>
      <c r="S19" s="392">
        <v>3497369.0182071999</v>
      </c>
      <c r="T19" s="13"/>
      <c r="U19" s="449"/>
      <c r="V19" s="2"/>
    </row>
    <row r="20" spans="1:22" ht="19.95" customHeight="1" x14ac:dyDescent="0.3">
      <c r="A20" s="602" t="s">
        <v>224</v>
      </c>
      <c r="B20" s="86" t="s">
        <v>225</v>
      </c>
      <c r="C20" s="391">
        <v>2965720.7023805398</v>
      </c>
      <c r="D20" s="391">
        <v>2344.0243999999998</v>
      </c>
      <c r="E20" s="391">
        <v>71270.809399999998</v>
      </c>
      <c r="F20" s="391">
        <v>166705</v>
      </c>
      <c r="G20" s="391">
        <v>501005.3282703</v>
      </c>
      <c r="H20" s="391">
        <v>0</v>
      </c>
      <c r="I20" s="391">
        <v>243063.35409760001</v>
      </c>
      <c r="J20" s="488">
        <v>20.206288264344</v>
      </c>
      <c r="K20" s="391">
        <v>3950129.4248367101</v>
      </c>
      <c r="L20" s="391">
        <v>1483.2</v>
      </c>
      <c r="M20" s="391">
        <v>35294.806900252697</v>
      </c>
      <c r="N20" s="391">
        <v>36778.006900252702</v>
      </c>
      <c r="O20" s="391">
        <v>3986907.4317369601</v>
      </c>
      <c r="P20" s="391">
        <v>841101.07852800004</v>
      </c>
      <c r="Q20" s="391">
        <v>3128579.5983119998</v>
      </c>
      <c r="R20" s="391">
        <v>3969680.6768399999</v>
      </c>
      <c r="S20" s="391">
        <v>7956588.1085769599</v>
      </c>
      <c r="T20" s="13"/>
      <c r="U20" s="449"/>
      <c r="V20" s="450"/>
    </row>
    <row r="21" spans="1:22" ht="19.95" customHeight="1" x14ac:dyDescent="0.3">
      <c r="A21" s="602"/>
      <c r="B21" s="85" t="s">
        <v>726</v>
      </c>
      <c r="C21" s="392">
        <v>287042.44723154203</v>
      </c>
      <c r="D21" s="392">
        <v>2344.0243999999998</v>
      </c>
      <c r="E21" s="392">
        <v>13568.45</v>
      </c>
      <c r="F21" s="392">
        <v>0</v>
      </c>
      <c r="G21" s="392">
        <v>42071.041299999997</v>
      </c>
      <c r="H21" s="392">
        <v>0</v>
      </c>
      <c r="I21" s="392">
        <v>72676.110789600003</v>
      </c>
      <c r="J21" s="487">
        <v>18.475650647999998</v>
      </c>
      <c r="K21" s="392">
        <v>417720.54937179002</v>
      </c>
      <c r="L21" s="392">
        <v>0</v>
      </c>
      <c r="M21" s="392">
        <v>0</v>
      </c>
      <c r="N21" s="392">
        <v>0</v>
      </c>
      <c r="O21" s="392">
        <v>417720.54937179002</v>
      </c>
      <c r="P21" s="392">
        <v>11380.191696</v>
      </c>
      <c r="Q21" s="392">
        <v>557629.39310400002</v>
      </c>
      <c r="R21" s="392">
        <v>569009.58479999995</v>
      </c>
      <c r="S21" s="392">
        <v>986730.13417178998</v>
      </c>
      <c r="T21" s="13"/>
      <c r="U21" s="449"/>
      <c r="V21" s="2"/>
    </row>
    <row r="22" spans="1:22" ht="19.95" customHeight="1" x14ac:dyDescent="0.3">
      <c r="A22" s="602"/>
      <c r="B22" s="85" t="s">
        <v>226</v>
      </c>
      <c r="C22" s="392">
        <v>385327.79739999998</v>
      </c>
      <c r="D22" s="392">
        <v>0</v>
      </c>
      <c r="E22" s="392">
        <v>10018.117899999999</v>
      </c>
      <c r="F22" s="392">
        <v>0</v>
      </c>
      <c r="G22" s="392">
        <v>142393.17415000001</v>
      </c>
      <c r="H22" s="392">
        <v>0</v>
      </c>
      <c r="I22" s="392">
        <v>21662.098880000001</v>
      </c>
      <c r="J22" s="74" t="s">
        <v>607</v>
      </c>
      <c r="K22" s="392">
        <v>559401.18833000003</v>
      </c>
      <c r="L22" s="392">
        <v>0</v>
      </c>
      <c r="M22" s="392">
        <v>0</v>
      </c>
      <c r="N22" s="392">
        <v>0</v>
      </c>
      <c r="O22" s="392">
        <v>559401.18833000003</v>
      </c>
      <c r="P22" s="392">
        <v>0</v>
      </c>
      <c r="Q22" s="392">
        <v>892229.95044000004</v>
      </c>
      <c r="R22" s="392">
        <v>892229.95044000004</v>
      </c>
      <c r="S22" s="392">
        <v>1451631.1387700001</v>
      </c>
      <c r="T22" s="13"/>
      <c r="U22" s="449"/>
      <c r="V22" s="2"/>
    </row>
    <row r="23" spans="1:22" ht="19.95" customHeight="1" x14ac:dyDescent="0.3">
      <c r="A23" s="602"/>
      <c r="B23" s="85" t="s">
        <v>454</v>
      </c>
      <c r="C23" s="392">
        <v>308614.730821</v>
      </c>
      <c r="D23" s="392">
        <v>0</v>
      </c>
      <c r="E23" s="392">
        <v>5437.6350000000002</v>
      </c>
      <c r="F23" s="392">
        <v>0</v>
      </c>
      <c r="G23" s="392">
        <v>229891.86895</v>
      </c>
      <c r="H23" s="392">
        <v>0</v>
      </c>
      <c r="I23" s="392">
        <v>27653.229039999998</v>
      </c>
      <c r="J23" s="74" t="s">
        <v>607</v>
      </c>
      <c r="K23" s="392">
        <v>571597.46381099999</v>
      </c>
      <c r="L23" s="392">
        <v>1483.2</v>
      </c>
      <c r="M23" s="392">
        <v>11770.3702287417</v>
      </c>
      <c r="N23" s="392">
        <v>13253.570228741701</v>
      </c>
      <c r="O23" s="392">
        <v>584851.03403974196</v>
      </c>
      <c r="P23" s="392">
        <v>326840.40000000002</v>
      </c>
      <c r="Q23" s="392">
        <v>183049.2</v>
      </c>
      <c r="R23" s="392">
        <v>509889.6</v>
      </c>
      <c r="S23" s="392">
        <v>1094740.6340397401</v>
      </c>
      <c r="T23" s="13"/>
      <c r="U23" s="449"/>
      <c r="V23" s="2"/>
    </row>
    <row r="24" spans="1:22" ht="19.95" customHeight="1" x14ac:dyDescent="0.3">
      <c r="A24" s="602"/>
      <c r="B24" s="85" t="s">
        <v>230</v>
      </c>
      <c r="C24" s="392">
        <v>623021.86861600005</v>
      </c>
      <c r="D24" s="392">
        <v>0</v>
      </c>
      <c r="E24" s="392">
        <v>17195.8465</v>
      </c>
      <c r="F24" s="392">
        <v>166705</v>
      </c>
      <c r="G24" s="392">
        <v>6336.0580702999996</v>
      </c>
      <c r="H24" s="392">
        <v>0</v>
      </c>
      <c r="I24" s="392">
        <v>0</v>
      </c>
      <c r="J24" s="74" t="s">
        <v>607</v>
      </c>
      <c r="K24" s="392">
        <v>813258.77318629995</v>
      </c>
      <c r="L24" s="392">
        <v>0</v>
      </c>
      <c r="M24" s="392">
        <v>23524.436671511001</v>
      </c>
      <c r="N24" s="392">
        <v>23524.436671511001</v>
      </c>
      <c r="O24" s="392">
        <v>836783.20985781099</v>
      </c>
      <c r="P24" s="392">
        <v>477388.79999999999</v>
      </c>
      <c r="Q24" s="392">
        <v>246578.4</v>
      </c>
      <c r="R24" s="392">
        <v>723967.2</v>
      </c>
      <c r="S24" s="392">
        <v>1560750.40985781</v>
      </c>
      <c r="T24" s="13"/>
      <c r="U24" s="449"/>
      <c r="V24" s="489"/>
    </row>
    <row r="25" spans="1:22" ht="19.95" customHeight="1" x14ac:dyDescent="0.3">
      <c r="A25" s="602"/>
      <c r="B25" s="85" t="s">
        <v>727</v>
      </c>
      <c r="C25" s="392">
        <v>1361713.8583120001</v>
      </c>
      <c r="D25" s="392">
        <v>0</v>
      </c>
      <c r="E25" s="392">
        <v>25050.76</v>
      </c>
      <c r="F25" s="392">
        <v>0</v>
      </c>
      <c r="G25" s="392">
        <v>80313.185800000007</v>
      </c>
      <c r="H25" s="392">
        <v>0</v>
      </c>
      <c r="I25" s="392">
        <v>121071.91538799999</v>
      </c>
      <c r="J25" s="487">
        <v>1.730637616344</v>
      </c>
      <c r="K25" s="392">
        <v>1588151.4501376201</v>
      </c>
      <c r="L25" s="392">
        <v>0</v>
      </c>
      <c r="M25" s="392">
        <v>0</v>
      </c>
      <c r="N25" s="392">
        <v>0</v>
      </c>
      <c r="O25" s="392">
        <v>1588151.4501376201</v>
      </c>
      <c r="P25" s="392">
        <v>25491.686831999999</v>
      </c>
      <c r="Q25" s="392">
        <v>1249092.6547679999</v>
      </c>
      <c r="R25" s="392">
        <v>1274584.3415999999</v>
      </c>
      <c r="S25" s="392">
        <v>2862735.7917376198</v>
      </c>
      <c r="T25" s="13"/>
      <c r="U25" s="449"/>
      <c r="V25" s="489"/>
    </row>
    <row r="26" spans="1:22" ht="19.95" customHeight="1" x14ac:dyDescent="0.3">
      <c r="A26" s="602"/>
      <c r="B26" s="86" t="s">
        <v>276</v>
      </c>
      <c r="C26" s="391">
        <v>1053610.8660309999</v>
      </c>
      <c r="D26" s="391">
        <v>10819.9728</v>
      </c>
      <c r="E26" s="391">
        <v>16611.749800000001</v>
      </c>
      <c r="F26" s="391">
        <v>14093.463369343999</v>
      </c>
      <c r="G26" s="391">
        <v>5600.1259799999998</v>
      </c>
      <c r="H26" s="391">
        <v>0</v>
      </c>
      <c r="I26" s="391">
        <v>0</v>
      </c>
      <c r="J26" s="98" t="s">
        <v>607</v>
      </c>
      <c r="K26" s="391">
        <v>1100736.1779803401</v>
      </c>
      <c r="L26" s="391">
        <v>0</v>
      </c>
      <c r="M26" s="391">
        <v>0</v>
      </c>
      <c r="N26" s="391">
        <v>0</v>
      </c>
      <c r="O26" s="391">
        <v>1100736.1779803401</v>
      </c>
      <c r="P26" s="391">
        <v>208874.42727839999</v>
      </c>
      <c r="Q26" s="391">
        <v>116475.1479216</v>
      </c>
      <c r="R26" s="391">
        <v>325349.57520000002</v>
      </c>
      <c r="S26" s="391">
        <v>1426085.7531803399</v>
      </c>
      <c r="T26" s="13"/>
      <c r="U26" s="449"/>
      <c r="V26" s="489"/>
    </row>
    <row r="27" spans="1:22" ht="19.95" customHeight="1" x14ac:dyDescent="0.3">
      <c r="A27" s="602"/>
      <c r="B27" s="85" t="s">
        <v>277</v>
      </c>
      <c r="C27" s="392">
        <v>1053610.8660309999</v>
      </c>
      <c r="D27" s="392">
        <v>10819.9728</v>
      </c>
      <c r="E27" s="392">
        <v>16611.749800000001</v>
      </c>
      <c r="F27" s="392">
        <v>14093.463369343999</v>
      </c>
      <c r="G27" s="392">
        <v>5600.1259799999998</v>
      </c>
      <c r="H27" s="392">
        <v>0</v>
      </c>
      <c r="I27" s="392">
        <v>0</v>
      </c>
      <c r="J27" s="74" t="s">
        <v>607</v>
      </c>
      <c r="K27" s="392">
        <v>1100736.1779803401</v>
      </c>
      <c r="L27" s="392">
        <v>0</v>
      </c>
      <c r="M27" s="392">
        <v>0</v>
      </c>
      <c r="N27" s="392">
        <v>0</v>
      </c>
      <c r="O27" s="392">
        <v>1100736.1779803401</v>
      </c>
      <c r="P27" s="392">
        <v>208874.42727839999</v>
      </c>
      <c r="Q27" s="392">
        <v>116475.1479216</v>
      </c>
      <c r="R27" s="392">
        <v>325349.57520000002</v>
      </c>
      <c r="S27" s="392">
        <v>1426085.7531803399</v>
      </c>
      <c r="T27" s="13"/>
      <c r="U27" s="449"/>
      <c r="V27" s="489"/>
    </row>
    <row r="28" spans="1:22" ht="19.95" customHeight="1" x14ac:dyDescent="0.3">
      <c r="A28" s="599" t="s">
        <v>728</v>
      </c>
      <c r="B28" s="86" t="s">
        <v>729</v>
      </c>
      <c r="C28" s="391">
        <v>2488391.238436</v>
      </c>
      <c r="D28" s="391">
        <v>118785.7732</v>
      </c>
      <c r="E28" s="391">
        <v>639.06461999999999</v>
      </c>
      <c r="F28" s="391">
        <v>0</v>
      </c>
      <c r="G28" s="391">
        <v>0</v>
      </c>
      <c r="H28" s="391">
        <v>7863438.7882000003</v>
      </c>
      <c r="I28" s="391">
        <v>7647.3909000000003</v>
      </c>
      <c r="J28" s="98" t="s">
        <v>730</v>
      </c>
      <c r="K28" s="391">
        <v>10478902.316385699</v>
      </c>
      <c r="L28" s="391">
        <v>0</v>
      </c>
      <c r="M28" s="391">
        <v>0</v>
      </c>
      <c r="N28" s="391">
        <v>0</v>
      </c>
      <c r="O28" s="391">
        <v>10478902.316385699</v>
      </c>
      <c r="P28" s="391">
        <v>0</v>
      </c>
      <c r="Q28" s="391">
        <v>0</v>
      </c>
      <c r="R28" s="391">
        <v>0</v>
      </c>
      <c r="S28" s="391">
        <v>10478902.316385699</v>
      </c>
      <c r="T28" s="13"/>
      <c r="U28" s="449"/>
      <c r="V28" s="489"/>
    </row>
    <row r="29" spans="1:22" ht="19.95" customHeight="1" x14ac:dyDescent="0.3">
      <c r="A29" s="601"/>
      <c r="B29" s="85" t="s">
        <v>731</v>
      </c>
      <c r="C29" s="392">
        <v>2488391.238436</v>
      </c>
      <c r="D29" s="392">
        <v>118785.7732</v>
      </c>
      <c r="E29" s="392">
        <v>639.06461999999999</v>
      </c>
      <c r="F29" s="392">
        <v>0</v>
      </c>
      <c r="G29" s="392">
        <v>0</v>
      </c>
      <c r="H29" s="392">
        <v>7863438.7882000003</v>
      </c>
      <c r="I29" s="392">
        <v>7647.3909000000003</v>
      </c>
      <c r="J29" s="74" t="s">
        <v>730</v>
      </c>
      <c r="K29" s="392">
        <v>10478902.316385699</v>
      </c>
      <c r="L29" s="392">
        <v>0</v>
      </c>
      <c r="M29" s="392">
        <v>0</v>
      </c>
      <c r="N29" s="392">
        <v>0</v>
      </c>
      <c r="O29" s="392">
        <v>10478902.316385699</v>
      </c>
      <c r="P29" s="392">
        <v>0</v>
      </c>
      <c r="Q29" s="392">
        <v>0</v>
      </c>
      <c r="R29" s="392">
        <v>0</v>
      </c>
      <c r="S29" s="392">
        <v>10478902.316385699</v>
      </c>
      <c r="T29" s="13"/>
      <c r="U29" s="449"/>
      <c r="V29" s="489"/>
    </row>
    <row r="30" spans="1:22" ht="19.95" customHeight="1" x14ac:dyDescent="0.3">
      <c r="A30" s="602" t="s">
        <v>234</v>
      </c>
      <c r="B30" s="86" t="s">
        <v>235</v>
      </c>
      <c r="C30" s="391">
        <v>1745195.9919052699</v>
      </c>
      <c r="D30" s="391">
        <v>0</v>
      </c>
      <c r="E30" s="391">
        <v>2602.5007237708801</v>
      </c>
      <c r="F30" s="391">
        <v>0</v>
      </c>
      <c r="G30" s="391">
        <v>0.87324800000000002</v>
      </c>
      <c r="H30" s="391">
        <v>0</v>
      </c>
      <c r="I30" s="391">
        <v>0</v>
      </c>
      <c r="J30" s="98" t="s">
        <v>607</v>
      </c>
      <c r="K30" s="391">
        <v>1747799.36587704</v>
      </c>
      <c r="L30" s="391">
        <v>0</v>
      </c>
      <c r="M30" s="391">
        <v>90120.4401226474</v>
      </c>
      <c r="N30" s="391">
        <v>90120.4401226474</v>
      </c>
      <c r="O30" s="391">
        <v>1837919.80599969</v>
      </c>
      <c r="P30" s="391">
        <v>0</v>
      </c>
      <c r="Q30" s="391">
        <v>805985.62919999997</v>
      </c>
      <c r="R30" s="391">
        <v>805985.62919999997</v>
      </c>
      <c r="S30" s="391">
        <v>2643905.4351996901</v>
      </c>
      <c r="T30" s="13"/>
      <c r="U30" s="449"/>
      <c r="V30" s="489"/>
    </row>
    <row r="31" spans="1:22" ht="19.95" customHeight="1" x14ac:dyDescent="0.3">
      <c r="A31" s="602"/>
      <c r="B31" s="85" t="s">
        <v>236</v>
      </c>
      <c r="C31" s="392">
        <v>1745195.9919052699</v>
      </c>
      <c r="D31" s="392">
        <v>0</v>
      </c>
      <c r="E31" s="392">
        <v>2602.5007237708801</v>
      </c>
      <c r="F31" s="392">
        <v>0</v>
      </c>
      <c r="G31" s="392">
        <v>0.87324800000000002</v>
      </c>
      <c r="H31" s="392">
        <v>0</v>
      </c>
      <c r="I31" s="392">
        <v>0</v>
      </c>
      <c r="J31" s="74" t="s">
        <v>607</v>
      </c>
      <c r="K31" s="392">
        <v>1747799.36587704</v>
      </c>
      <c r="L31" s="392">
        <v>0</v>
      </c>
      <c r="M31" s="392">
        <v>90120.4401226474</v>
      </c>
      <c r="N31" s="392">
        <v>90120.4401226474</v>
      </c>
      <c r="O31" s="392">
        <v>1837919.80599969</v>
      </c>
      <c r="P31" s="392">
        <v>0</v>
      </c>
      <c r="Q31" s="392">
        <v>805985.62919999997</v>
      </c>
      <c r="R31" s="392">
        <v>805985.62919999997</v>
      </c>
      <c r="S31" s="392">
        <v>2643905.4351996901</v>
      </c>
      <c r="T31" s="13"/>
      <c r="U31" s="449"/>
      <c r="V31" s="2"/>
    </row>
    <row r="32" spans="1:22" ht="19.95" customHeight="1" x14ac:dyDescent="0.3">
      <c r="A32" s="40" t="s">
        <v>455</v>
      </c>
      <c r="B32" s="86" t="s">
        <v>318</v>
      </c>
      <c r="C32" s="391">
        <v>22800423.3546548</v>
      </c>
      <c r="D32" s="391">
        <v>151720.54319999999</v>
      </c>
      <c r="E32" s="391">
        <v>125500.67208257101</v>
      </c>
      <c r="F32" s="391">
        <v>8688434.4633693397</v>
      </c>
      <c r="G32" s="391">
        <v>555843.00671830005</v>
      </c>
      <c r="H32" s="391">
        <v>9631737.4894999992</v>
      </c>
      <c r="I32" s="391">
        <v>594449.40362260002</v>
      </c>
      <c r="J32" s="488">
        <v>186.24520494434401</v>
      </c>
      <c r="K32" s="391">
        <v>42548295.239382297</v>
      </c>
      <c r="L32" s="391">
        <v>1975.347612</v>
      </c>
      <c r="M32" s="391">
        <v>125415.2470229</v>
      </c>
      <c r="N32" s="391">
        <v>127390.5946349</v>
      </c>
      <c r="O32" s="391">
        <v>42675685.834017202</v>
      </c>
      <c r="P32" s="391">
        <v>13211397.849506401</v>
      </c>
      <c r="Q32" s="391">
        <v>5230587.7482335996</v>
      </c>
      <c r="R32" s="391">
        <v>18441985.597739998</v>
      </c>
      <c r="S32" s="391">
        <v>61117671.431757197</v>
      </c>
      <c r="T32" s="13"/>
      <c r="U32" s="449"/>
      <c r="V32" s="2"/>
    </row>
    <row r="33" spans="1:26" ht="30.75" customHeight="1" x14ac:dyDescent="0.3">
      <c r="A33" s="546" t="s">
        <v>732</v>
      </c>
      <c r="B33" s="546"/>
      <c r="C33" s="546"/>
      <c r="D33" s="546"/>
      <c r="E33" s="546"/>
      <c r="F33" s="546"/>
      <c r="G33" s="546"/>
      <c r="H33" s="546"/>
      <c r="I33" s="546"/>
      <c r="J33" s="546"/>
      <c r="K33" s="546"/>
      <c r="L33" s="546"/>
      <c r="M33" s="546"/>
      <c r="N33" s="546"/>
      <c r="O33" s="546"/>
      <c r="P33" s="546"/>
      <c r="Q33" s="546"/>
      <c r="R33" s="546"/>
      <c r="S33" s="546"/>
      <c r="T33" s="309"/>
      <c r="U33" s="309"/>
      <c r="X33" s="2"/>
      <c r="Y33" s="2"/>
    </row>
    <row r="34" spans="1:26" ht="22.2" customHeight="1" x14ac:dyDescent="0.3">
      <c r="A34" s="518"/>
      <c r="B34" s="518"/>
      <c r="C34" s="518"/>
      <c r="D34" s="518"/>
      <c r="E34" s="518"/>
      <c r="F34" s="518"/>
      <c r="G34" s="518"/>
      <c r="H34" s="518"/>
      <c r="I34" s="518"/>
      <c r="J34" s="518"/>
      <c r="K34" s="518"/>
      <c r="L34" s="518"/>
      <c r="M34" s="518"/>
      <c r="N34" s="518"/>
      <c r="O34" s="518"/>
      <c r="P34" s="518"/>
      <c r="Q34" s="518"/>
      <c r="R34" s="518"/>
      <c r="S34" s="518"/>
      <c r="X34" s="2"/>
      <c r="Y34" s="2"/>
    </row>
    <row r="35" spans="1:26" ht="15.75" customHeight="1" x14ac:dyDescent="0.3">
      <c r="C35" s="2"/>
      <c r="I35" s="301"/>
      <c r="J35" s="301"/>
      <c r="K35" s="301"/>
      <c r="L35" s="301"/>
      <c r="M35" s="301"/>
      <c r="N35" s="301"/>
      <c r="O35" s="301"/>
      <c r="P35" s="301"/>
      <c r="Q35" s="301"/>
      <c r="R35" s="301"/>
      <c r="S35" s="301"/>
      <c r="V35" s="301"/>
      <c r="W35" s="301"/>
      <c r="X35" s="2"/>
      <c r="Y35" s="2"/>
    </row>
    <row r="36" spans="1:26" ht="15.75" customHeight="1" x14ac:dyDescent="0.3">
      <c r="I36" s="2"/>
      <c r="J36" s="2"/>
      <c r="K36" s="2"/>
      <c r="L36" s="2"/>
      <c r="M36" s="2"/>
      <c r="N36" s="2"/>
      <c r="O36" s="2"/>
      <c r="P36" s="2"/>
      <c r="Q36" s="2"/>
      <c r="R36" s="2"/>
      <c r="S36" s="2"/>
      <c r="V36" s="2"/>
      <c r="W36" s="2"/>
      <c r="X36" s="2"/>
      <c r="Y36" s="2"/>
    </row>
    <row r="37" spans="1:26" ht="42.45" customHeight="1" x14ac:dyDescent="0.3">
      <c r="A37" s="571" t="s">
        <v>733</v>
      </c>
      <c r="B37" s="573"/>
      <c r="C37" s="414" t="s">
        <v>599</v>
      </c>
      <c r="D37" s="414" t="s">
        <v>239</v>
      </c>
      <c r="E37" s="414" t="s">
        <v>222</v>
      </c>
      <c r="F37" s="414" t="s">
        <v>387</v>
      </c>
      <c r="G37" s="22" t="s">
        <v>600</v>
      </c>
      <c r="H37" s="414" t="s">
        <v>227</v>
      </c>
      <c r="I37" s="13"/>
      <c r="J37" s="301"/>
      <c r="K37" s="301"/>
      <c r="L37" s="301"/>
      <c r="M37" s="301"/>
      <c r="N37" s="301"/>
      <c r="O37" s="301"/>
      <c r="P37" s="301"/>
      <c r="Q37" s="301"/>
      <c r="R37" s="301"/>
      <c r="S37" s="301"/>
      <c r="T37" s="301"/>
      <c r="W37" s="301"/>
      <c r="X37" s="301"/>
      <c r="Y37" s="307"/>
      <c r="Z37" s="2"/>
    </row>
    <row r="38" spans="1:26" ht="15.75" customHeight="1" x14ac:dyDescent="0.3">
      <c r="A38" s="609" t="s">
        <v>601</v>
      </c>
      <c r="B38" s="610"/>
      <c r="C38" s="610"/>
      <c r="D38" s="610"/>
      <c r="E38" s="610"/>
      <c r="F38" s="610"/>
      <c r="G38" s="610"/>
      <c r="H38" s="611"/>
      <c r="I38" s="13"/>
      <c r="J38" s="301"/>
      <c r="K38" s="301"/>
      <c r="L38" s="301"/>
      <c r="M38" s="301"/>
      <c r="N38" s="301"/>
      <c r="O38" s="301"/>
      <c r="P38" s="301"/>
      <c r="Q38" s="301"/>
      <c r="R38" s="301"/>
      <c r="S38" s="301"/>
      <c r="T38" s="301"/>
      <c r="W38" s="301"/>
      <c r="X38" s="301"/>
      <c r="Y38" s="2"/>
      <c r="Z38" s="2"/>
    </row>
    <row r="39" spans="1:26" ht="15.75" customHeight="1" x14ac:dyDescent="0.3">
      <c r="A39" s="626" t="s">
        <v>734</v>
      </c>
      <c r="B39" s="626"/>
      <c r="C39" s="479">
        <v>28.663542617893899</v>
      </c>
      <c r="D39" s="479">
        <v>24.340533017174799</v>
      </c>
      <c r="E39" s="479">
        <v>24.748635408420501</v>
      </c>
      <c r="F39" s="479">
        <v>23.595335429445601</v>
      </c>
      <c r="G39" s="479">
        <v>23.9556137775329</v>
      </c>
      <c r="H39" s="499">
        <v>22800423.3546548</v>
      </c>
      <c r="I39" s="13"/>
      <c r="J39" s="301"/>
      <c r="K39" s="301"/>
      <c r="L39" s="301"/>
      <c r="M39" s="301"/>
      <c r="N39" s="301"/>
      <c r="O39" s="301"/>
      <c r="P39" s="301"/>
      <c r="Q39" s="301"/>
      <c r="R39" s="301"/>
      <c r="S39" s="301"/>
      <c r="T39" s="301"/>
      <c r="W39" s="301"/>
      <c r="X39" s="301"/>
      <c r="Y39" s="2"/>
      <c r="Z39" s="2"/>
    </row>
    <row r="40" spans="1:26" ht="15.75" customHeight="1" x14ac:dyDescent="0.3">
      <c r="A40" s="626" t="s">
        <v>593</v>
      </c>
      <c r="B40" s="626"/>
      <c r="C40" s="422" t="s">
        <v>603</v>
      </c>
      <c r="D40" s="422" t="s">
        <v>603</v>
      </c>
      <c r="E40" s="491">
        <v>1.33129378119488E-2</v>
      </c>
      <c r="F40" s="491">
        <v>0.17299999999999999</v>
      </c>
      <c r="G40" s="491">
        <v>0.20901869752729599</v>
      </c>
      <c r="H40" s="499">
        <v>151720.54319999999</v>
      </c>
      <c r="I40" s="13"/>
      <c r="J40" s="301"/>
      <c r="K40" s="301"/>
      <c r="L40" s="301"/>
      <c r="M40" s="301"/>
      <c r="N40" s="301"/>
      <c r="O40" s="301"/>
      <c r="P40" s="301"/>
      <c r="Q40" s="301"/>
      <c r="R40" s="301"/>
      <c r="S40" s="301"/>
      <c r="T40" s="301"/>
      <c r="W40" s="301"/>
      <c r="X40" s="301"/>
      <c r="Y40" s="301"/>
      <c r="Z40" s="2"/>
    </row>
    <row r="41" spans="1:26" ht="15.75" customHeight="1" x14ac:dyDescent="0.3">
      <c r="A41" s="626" t="s">
        <v>568</v>
      </c>
      <c r="B41" s="626"/>
      <c r="C41" s="491">
        <v>0.17140126768294101</v>
      </c>
      <c r="D41" s="491">
        <v>0.142819093235768</v>
      </c>
      <c r="E41" s="491">
        <v>0.168917563415662</v>
      </c>
      <c r="F41" s="491">
        <v>0.149940965541247</v>
      </c>
      <c r="G41" s="491">
        <v>0.207491803425391</v>
      </c>
      <c r="H41" s="499">
        <v>125500.67208257101</v>
      </c>
      <c r="I41" s="13"/>
      <c r="J41" s="301"/>
      <c r="K41" s="301"/>
      <c r="L41" s="301"/>
      <c r="M41" s="301"/>
      <c r="N41" s="301"/>
      <c r="O41" s="301"/>
      <c r="P41" s="301"/>
      <c r="Q41" s="301"/>
      <c r="R41" s="301"/>
      <c r="S41" s="301"/>
      <c r="T41" s="301"/>
      <c r="W41" s="301"/>
      <c r="X41" s="301"/>
      <c r="Y41" s="301"/>
      <c r="Z41" s="2"/>
    </row>
    <row r="42" spans="1:26" ht="15.75" customHeight="1" x14ac:dyDescent="0.3">
      <c r="A42" s="626" t="s">
        <v>569</v>
      </c>
      <c r="B42" s="626"/>
      <c r="C42" s="491">
        <v>8.2692674000000004</v>
      </c>
      <c r="D42" s="491">
        <v>8.8511450000000007</v>
      </c>
      <c r="E42" s="491">
        <v>9.6625790241439997</v>
      </c>
      <c r="F42" s="491">
        <v>9.9573339999999995</v>
      </c>
      <c r="G42" s="491">
        <v>9.3251519300191994</v>
      </c>
      <c r="H42" s="499">
        <v>8688434.4633693397</v>
      </c>
      <c r="I42" s="13"/>
      <c r="J42" s="301"/>
      <c r="K42" s="301"/>
      <c r="L42" s="301"/>
      <c r="M42" s="301"/>
      <c r="N42" s="301"/>
      <c r="O42" s="301"/>
      <c r="P42" s="301"/>
      <c r="Q42" s="301"/>
      <c r="R42" s="301"/>
      <c r="S42" s="301"/>
      <c r="T42" s="301"/>
      <c r="W42" s="301"/>
      <c r="X42" s="301"/>
      <c r="Y42" s="301"/>
      <c r="Z42" s="2"/>
    </row>
    <row r="43" spans="1:26" ht="15.75" customHeight="1" x14ac:dyDescent="0.3">
      <c r="A43" s="626" t="s">
        <v>570</v>
      </c>
      <c r="B43" s="626"/>
      <c r="C43" s="491">
        <v>0.54361187704070502</v>
      </c>
      <c r="D43" s="491">
        <v>0.48787659652167797</v>
      </c>
      <c r="E43" s="491">
        <v>0.58724461782327697</v>
      </c>
      <c r="F43" s="491">
        <v>0.48722610288489299</v>
      </c>
      <c r="G43" s="491">
        <v>0.56928279134788495</v>
      </c>
      <c r="H43" s="499">
        <v>555843.00671830005</v>
      </c>
      <c r="I43" s="13"/>
      <c r="J43" s="301"/>
      <c r="K43" s="301"/>
      <c r="L43" s="301"/>
      <c r="M43" s="301"/>
      <c r="N43" s="301"/>
      <c r="O43" s="301"/>
      <c r="P43" s="301"/>
      <c r="Q43" s="301"/>
      <c r="R43" s="301"/>
      <c r="S43" s="301"/>
      <c r="T43" s="301"/>
      <c r="W43" s="301"/>
      <c r="X43" s="301"/>
      <c r="Y43" s="301"/>
      <c r="Z43" s="2"/>
    </row>
    <row r="44" spans="1:26" ht="15.75" customHeight="1" x14ac:dyDescent="0.3">
      <c r="A44" s="626" t="s">
        <v>735</v>
      </c>
      <c r="B44" s="626"/>
      <c r="C44" s="491">
        <v>8.9931675564057496</v>
      </c>
      <c r="D44" s="491">
        <v>9.6995786211672996</v>
      </c>
      <c r="E44" s="491">
        <v>10.0854677788238</v>
      </c>
      <c r="F44" s="491">
        <v>9.5800004066273292</v>
      </c>
      <c r="G44" s="491">
        <v>9.9912527763198806</v>
      </c>
      <c r="H44" s="499">
        <v>9631737.4894999992</v>
      </c>
      <c r="I44" s="13"/>
      <c r="J44" s="2"/>
      <c r="K44" s="2"/>
      <c r="L44" s="2"/>
      <c r="M44" s="2"/>
      <c r="N44" s="2"/>
      <c r="O44" s="2"/>
      <c r="P44" s="2"/>
      <c r="Q44" s="2"/>
      <c r="R44" s="2"/>
      <c r="S44" s="2"/>
      <c r="T44" s="2"/>
      <c r="W44" s="2"/>
      <c r="X44" s="2"/>
      <c r="Y44" s="301"/>
      <c r="Z44" s="2"/>
    </row>
    <row r="45" spans="1:26" ht="15.75" customHeight="1" x14ac:dyDescent="0.3">
      <c r="A45" s="626" t="s">
        <v>736</v>
      </c>
      <c r="B45" s="626"/>
      <c r="C45" s="491">
        <v>0.29265986164882901</v>
      </c>
      <c r="D45" s="491">
        <v>0.24974393150207899</v>
      </c>
      <c r="E45" s="491">
        <v>0.40072860310256397</v>
      </c>
      <c r="F45" s="491">
        <v>0.22238279798392899</v>
      </c>
      <c r="G45" s="491">
        <v>0.37291849999999999</v>
      </c>
      <c r="H45" s="499">
        <v>594449.40362260002</v>
      </c>
      <c r="I45" s="13"/>
      <c r="J45" s="2"/>
      <c r="K45" s="2"/>
      <c r="L45" s="2"/>
      <c r="M45" s="2"/>
      <c r="N45" s="2"/>
      <c r="O45" s="2"/>
      <c r="P45" s="2"/>
      <c r="Q45" s="2"/>
      <c r="R45" s="2"/>
      <c r="S45" s="2"/>
      <c r="T45" s="2"/>
      <c r="W45" s="2"/>
      <c r="X45" s="2"/>
      <c r="Y45" s="301"/>
      <c r="Z45" s="2"/>
    </row>
    <row r="46" spans="1:26" ht="23.25" customHeight="1" x14ac:dyDescent="0.3">
      <c r="A46" s="613" t="s">
        <v>737</v>
      </c>
      <c r="B46" s="613"/>
      <c r="C46" s="494">
        <v>46.937137483233101</v>
      </c>
      <c r="D46" s="494">
        <v>43.7767104566109</v>
      </c>
      <c r="E46" s="494">
        <v>45.6668859335417</v>
      </c>
      <c r="F46" s="494">
        <v>44.165219702483</v>
      </c>
      <c r="G46" s="494">
        <v>44.6307302761725</v>
      </c>
      <c r="H46" s="495">
        <v>42548295.239382297</v>
      </c>
      <c r="I46" s="13"/>
      <c r="J46" s="2"/>
      <c r="K46" s="2"/>
      <c r="L46" s="2"/>
      <c r="M46" s="2"/>
      <c r="N46" s="2"/>
      <c r="O46" s="2"/>
      <c r="P46" s="2"/>
      <c r="Q46" s="2"/>
      <c r="R46" s="2"/>
      <c r="S46" s="2"/>
      <c r="T46" s="2"/>
      <c r="W46" s="2"/>
      <c r="X46" s="2"/>
      <c r="Y46" s="301"/>
      <c r="Z46" s="2"/>
    </row>
    <row r="47" spans="1:26" ht="15" customHeight="1" x14ac:dyDescent="0.3">
      <c r="A47" s="609" t="s">
        <v>606</v>
      </c>
      <c r="B47" s="610"/>
      <c r="C47" s="610"/>
      <c r="D47" s="610"/>
      <c r="E47" s="610"/>
      <c r="F47" s="610"/>
      <c r="G47" s="610"/>
      <c r="H47" s="611"/>
      <c r="I47" s="13"/>
      <c r="Y47" s="301"/>
      <c r="Z47" s="2"/>
    </row>
    <row r="48" spans="1:26" ht="15" customHeight="1" x14ac:dyDescent="0.3">
      <c r="A48" s="626" t="s">
        <v>576</v>
      </c>
      <c r="B48" s="626"/>
      <c r="C48" s="76" t="s">
        <v>607</v>
      </c>
      <c r="D48" s="208" t="s">
        <v>603</v>
      </c>
      <c r="E48" s="491">
        <v>9.2246342399999997E-3</v>
      </c>
      <c r="F48" s="208" t="s">
        <v>603</v>
      </c>
      <c r="G48" s="208" t="s">
        <v>603</v>
      </c>
      <c r="H48" s="498" t="s">
        <v>603</v>
      </c>
      <c r="I48" s="13"/>
      <c r="Y48" s="2"/>
      <c r="Z48" s="2"/>
    </row>
    <row r="49" spans="1:9" ht="15" customHeight="1" x14ac:dyDescent="0.3">
      <c r="A49" s="626" t="s">
        <v>577</v>
      </c>
      <c r="B49" s="626"/>
      <c r="C49" s="76" t="s">
        <v>607</v>
      </c>
      <c r="D49" s="479">
        <v>0.14000000000000001</v>
      </c>
      <c r="E49" s="479">
        <v>0.124368400152151</v>
      </c>
      <c r="F49" s="479">
        <v>0.123</v>
      </c>
      <c r="G49" s="479">
        <v>0.1292867</v>
      </c>
      <c r="H49" s="490">
        <v>125415.2470229</v>
      </c>
      <c r="I49" s="13"/>
    </row>
    <row r="50" spans="1:9" ht="15.75" customHeight="1" x14ac:dyDescent="0.3">
      <c r="A50" s="626" t="s">
        <v>738</v>
      </c>
      <c r="B50" s="626"/>
      <c r="C50" s="479">
        <v>0.45622419740856601</v>
      </c>
      <c r="D50" s="479">
        <v>0.352012736430734</v>
      </c>
      <c r="E50" s="479">
        <v>0.27382751078637302</v>
      </c>
      <c r="F50" s="479">
        <v>0.21144411209623601</v>
      </c>
      <c r="G50" s="479">
        <v>0.108263457457242</v>
      </c>
      <c r="H50" s="485">
        <v>1975.347612</v>
      </c>
      <c r="I50" s="13"/>
    </row>
    <row r="51" spans="1:9" ht="30.75" customHeight="1" x14ac:dyDescent="0.3">
      <c r="A51" s="615" t="s">
        <v>608</v>
      </c>
      <c r="B51" s="615"/>
      <c r="C51" s="479">
        <v>0.59622419740856603</v>
      </c>
      <c r="D51" s="479">
        <v>0.49401273643073401</v>
      </c>
      <c r="E51" s="479">
        <v>0.407420545178524</v>
      </c>
      <c r="F51" s="479">
        <v>0.33644411209623598</v>
      </c>
      <c r="G51" s="479">
        <v>0.23755015745724201</v>
      </c>
      <c r="H51" s="485">
        <v>127390.5946349</v>
      </c>
      <c r="I51" s="13"/>
    </row>
    <row r="52" spans="1:9" ht="29.1" customHeight="1" x14ac:dyDescent="0.3">
      <c r="A52" s="612" t="s">
        <v>739</v>
      </c>
      <c r="B52" s="612"/>
      <c r="C52" s="484">
        <v>47.533361680641697</v>
      </c>
      <c r="D52" s="484">
        <v>46.280723193041702</v>
      </c>
      <c r="E52" s="484">
        <v>46.074306478720302</v>
      </c>
      <c r="F52" s="484">
        <v>44.501663814579302</v>
      </c>
      <c r="G52" s="484">
        <v>44.8682804336297</v>
      </c>
      <c r="H52" s="496">
        <v>42675685.834017202</v>
      </c>
      <c r="I52" s="13"/>
    </row>
    <row r="53" spans="1:9" ht="15" customHeight="1" x14ac:dyDescent="0.3">
      <c r="A53" s="609" t="s">
        <v>740</v>
      </c>
      <c r="B53" s="610"/>
      <c r="C53" s="610"/>
      <c r="D53" s="610"/>
      <c r="E53" s="610"/>
      <c r="F53" s="610"/>
      <c r="G53" s="610"/>
      <c r="H53" s="611"/>
      <c r="I53" s="13"/>
    </row>
    <row r="54" spans="1:9" ht="15.75" customHeight="1" x14ac:dyDescent="0.3">
      <c r="A54" s="605" t="s">
        <v>741</v>
      </c>
      <c r="B54" s="606"/>
      <c r="C54" s="76" t="s">
        <v>607</v>
      </c>
      <c r="D54" s="76" t="s">
        <v>607</v>
      </c>
      <c r="E54" s="479">
        <v>12.317765407667199</v>
      </c>
      <c r="F54" s="479">
        <v>11.79596413</v>
      </c>
      <c r="G54" s="479">
        <v>11.2705184</v>
      </c>
      <c r="H54" s="492">
        <v>13211397.849506401</v>
      </c>
      <c r="I54" s="13"/>
    </row>
    <row r="55" spans="1:9" ht="25.95" customHeight="1" x14ac:dyDescent="0.3">
      <c r="A55" s="605" t="s">
        <v>612</v>
      </c>
      <c r="B55" s="606"/>
      <c r="C55" s="76" t="s">
        <v>607</v>
      </c>
      <c r="D55" s="76" t="s">
        <v>607</v>
      </c>
      <c r="E55" s="175">
        <v>0.83199999999999996</v>
      </c>
      <c r="F55" s="175">
        <v>0.77508402544836996</v>
      </c>
      <c r="G55" s="175">
        <v>0.75710434678486405</v>
      </c>
      <c r="H55" s="493">
        <v>0.71637610708932598</v>
      </c>
      <c r="I55" s="13"/>
    </row>
    <row r="56" spans="1:9" ht="15" customHeight="1" x14ac:dyDescent="0.3">
      <c r="A56" s="607" t="s">
        <v>742</v>
      </c>
      <c r="B56" s="607"/>
      <c r="C56" s="76" t="s">
        <v>607</v>
      </c>
      <c r="D56" s="76" t="s">
        <v>607</v>
      </c>
      <c r="E56" s="479">
        <v>2.4872410919328001</v>
      </c>
      <c r="F56" s="479">
        <v>3.4229847100000002</v>
      </c>
      <c r="G56" s="479">
        <v>3.6158291</v>
      </c>
      <c r="H56" s="492">
        <v>5230587.7482335996</v>
      </c>
      <c r="I56" s="13"/>
    </row>
    <row r="57" spans="1:9" ht="26.7" customHeight="1" x14ac:dyDescent="0.3">
      <c r="A57" s="605" t="s">
        <v>614</v>
      </c>
      <c r="B57" s="606"/>
      <c r="C57" s="76" t="s">
        <v>607</v>
      </c>
      <c r="D57" s="76" t="s">
        <v>607</v>
      </c>
      <c r="E57" s="175">
        <v>0.16800000000000001</v>
      </c>
      <c r="F57" s="175">
        <v>0.22491597455163001</v>
      </c>
      <c r="G57" s="175">
        <v>0.24289565321513601</v>
      </c>
      <c r="H57" s="493">
        <v>0.28362389291067402</v>
      </c>
      <c r="I57" s="13"/>
    </row>
    <row r="58" spans="1:9" ht="15" customHeight="1" x14ac:dyDescent="0.3">
      <c r="A58" s="590" t="s">
        <v>743</v>
      </c>
      <c r="B58" s="590"/>
      <c r="C58" s="484">
        <v>21.844133602863501</v>
      </c>
      <c r="D58" s="484">
        <v>20.097140284498199</v>
      </c>
      <c r="E58" s="484">
        <v>21.7189839379175</v>
      </c>
      <c r="F58" s="484">
        <v>20.594969503037099</v>
      </c>
      <c r="G58" s="484">
        <v>20.5732952728229</v>
      </c>
      <c r="H58" s="496">
        <v>18441985.597739998</v>
      </c>
      <c r="I58" s="13"/>
    </row>
    <row r="59" spans="1:9" ht="25.95" customHeight="1" x14ac:dyDescent="0.3">
      <c r="A59" s="608" t="s">
        <v>744</v>
      </c>
      <c r="B59" s="608"/>
      <c r="C59" s="480">
        <v>69.377495283505198</v>
      </c>
      <c r="D59" s="480">
        <v>66.377863477539805</v>
      </c>
      <c r="E59" s="480">
        <v>67.793290416637703</v>
      </c>
      <c r="F59" s="480">
        <v>65.096633317616295</v>
      </c>
      <c r="G59" s="480">
        <v>65.441575706452596</v>
      </c>
      <c r="H59" s="497">
        <v>61117671.431757197</v>
      </c>
      <c r="I59" s="13"/>
    </row>
    <row r="60" spans="1:9" ht="46.65" customHeight="1" x14ac:dyDescent="0.25">
      <c r="A60" s="546" t="s">
        <v>745</v>
      </c>
      <c r="B60" s="546"/>
      <c r="C60" s="546"/>
      <c r="D60" s="546"/>
      <c r="E60" s="546"/>
      <c r="F60" s="546"/>
      <c r="G60" s="546"/>
      <c r="H60" s="546"/>
    </row>
    <row r="61" spans="1:9" ht="46.65" customHeight="1" x14ac:dyDescent="0.25">
      <c r="A61" s="518"/>
      <c r="B61" s="518"/>
      <c r="C61" s="518"/>
      <c r="D61" s="518"/>
      <c r="E61" s="518"/>
      <c r="F61" s="518"/>
      <c r="G61" s="518"/>
      <c r="H61" s="518"/>
    </row>
    <row r="62" spans="1:9" ht="66" customHeight="1" x14ac:dyDescent="0.25">
      <c r="A62" s="518"/>
      <c r="B62" s="518"/>
      <c r="C62" s="518"/>
      <c r="D62" s="518"/>
      <c r="E62" s="518"/>
      <c r="F62" s="518"/>
      <c r="G62" s="518"/>
      <c r="H62" s="518"/>
    </row>
    <row r="63" spans="1:9" ht="15" customHeight="1" x14ac:dyDescent="0.25"/>
    <row r="64" spans="1:9" ht="15" customHeight="1" x14ac:dyDescent="0.3">
      <c r="A64" s="416"/>
      <c r="B64" s="416"/>
    </row>
    <row r="65" spans="1:17" ht="29.1" customHeight="1" x14ac:dyDescent="0.3">
      <c r="A65" s="432" t="s">
        <v>746</v>
      </c>
      <c r="B65" s="414" t="s">
        <v>599</v>
      </c>
      <c r="C65" s="414" t="s">
        <v>239</v>
      </c>
      <c r="D65" s="414" t="s">
        <v>222</v>
      </c>
      <c r="E65" s="414" t="s">
        <v>387</v>
      </c>
      <c r="F65" s="414" t="s">
        <v>619</v>
      </c>
      <c r="G65" s="34">
        <v>2023</v>
      </c>
      <c r="H65" s="13"/>
      <c r="I65" s="232"/>
      <c r="J65" s="232"/>
      <c r="K65" s="232"/>
      <c r="L65" s="232"/>
      <c r="M65" s="232"/>
      <c r="N65" s="232"/>
      <c r="O65" s="232"/>
    </row>
    <row r="66" spans="1:17" ht="32.700000000000003" customHeight="1" x14ac:dyDescent="0.3">
      <c r="A66" s="61" t="s">
        <v>620</v>
      </c>
      <c r="B66" s="479">
        <v>9.5792036987980698</v>
      </c>
      <c r="C66" s="479">
        <v>9.6699424066214998</v>
      </c>
      <c r="D66" s="479">
        <v>9.3449712388227404</v>
      </c>
      <c r="E66" s="479">
        <v>8.8964369556032903</v>
      </c>
      <c r="F66" s="479">
        <v>8.5860407364399194</v>
      </c>
      <c r="G66" s="430">
        <v>8322.1230163067994</v>
      </c>
      <c r="H66" s="13"/>
      <c r="I66" s="2"/>
      <c r="J66" s="2"/>
      <c r="K66" s="2"/>
      <c r="L66" s="2"/>
      <c r="M66" s="2"/>
      <c r="N66" s="2"/>
      <c r="O66" s="2"/>
    </row>
    <row r="67" spans="1:17" ht="32.700000000000003" customHeight="1" x14ac:dyDescent="0.3">
      <c r="A67" s="61" t="s">
        <v>621</v>
      </c>
      <c r="B67" s="479">
        <v>7.4752176795070797</v>
      </c>
      <c r="C67" s="479">
        <v>7.1251463586882604</v>
      </c>
      <c r="D67" s="479">
        <v>5.6997890042574202</v>
      </c>
      <c r="E67" s="479">
        <v>5.1998269284780196</v>
      </c>
      <c r="F67" s="479">
        <v>5.1789787675255301</v>
      </c>
      <c r="G67" s="430">
        <v>7109.1859290167704</v>
      </c>
      <c r="H67" s="13"/>
      <c r="I67" s="2"/>
      <c r="J67" s="2"/>
      <c r="K67" s="2"/>
      <c r="L67" s="2"/>
      <c r="M67" s="2"/>
      <c r="N67" s="2"/>
      <c r="O67" s="2"/>
    </row>
    <row r="68" spans="1:17" ht="25.95" customHeight="1" x14ac:dyDescent="0.25">
      <c r="A68" s="546" t="s">
        <v>747</v>
      </c>
      <c r="B68" s="546"/>
      <c r="C68" s="546"/>
      <c r="D68" s="546"/>
      <c r="E68" s="546"/>
      <c r="F68" s="546"/>
      <c r="G68" s="546"/>
      <c r="L68" s="309"/>
      <c r="M68" s="309"/>
      <c r="N68" s="309"/>
      <c r="O68" s="309"/>
      <c r="P68" s="309"/>
      <c r="Q68" s="309"/>
    </row>
    <row r="69" spans="1:17" ht="34.200000000000003" customHeight="1" x14ac:dyDescent="0.25">
      <c r="A69" s="625"/>
      <c r="B69" s="625"/>
      <c r="C69" s="625"/>
      <c r="D69" s="625"/>
      <c r="E69" s="625"/>
      <c r="F69" s="625"/>
      <c r="G69" s="625"/>
      <c r="L69" s="309"/>
      <c r="M69" s="309"/>
      <c r="N69" s="309"/>
      <c r="O69" s="309"/>
      <c r="P69" s="309"/>
      <c r="Q69" s="309"/>
    </row>
    <row r="70" spans="1:17" ht="15.75" customHeight="1" x14ac:dyDescent="0.25">
      <c r="A70" s="625"/>
      <c r="B70" s="625"/>
      <c r="C70" s="625"/>
      <c r="D70" s="625"/>
      <c r="E70" s="625"/>
      <c r="F70" s="625"/>
      <c r="G70" s="625"/>
      <c r="L70" s="309"/>
      <c r="M70" s="309"/>
      <c r="N70" s="309"/>
      <c r="O70" s="309"/>
      <c r="P70" s="309"/>
      <c r="Q70" s="309"/>
    </row>
    <row r="71" spans="1:17" ht="15" customHeight="1" x14ac:dyDescent="0.25"/>
    <row r="72" spans="1:17" ht="15" customHeight="1" x14ac:dyDescent="0.3">
      <c r="A72" s="398" t="s">
        <v>623</v>
      </c>
      <c r="B72" s="453"/>
      <c r="C72" s="500"/>
      <c r="D72" s="454"/>
      <c r="E72" s="454"/>
      <c r="F72" s="454"/>
      <c r="G72" s="454"/>
      <c r="H72" s="454"/>
      <c r="I72" s="454"/>
      <c r="J72" s="454"/>
      <c r="L72" s="517"/>
      <c r="M72" s="517"/>
    </row>
    <row r="73" spans="1:17" ht="64.2" customHeight="1" x14ac:dyDescent="0.3">
      <c r="A73" s="33" t="s">
        <v>624</v>
      </c>
      <c r="B73" s="58" t="s">
        <v>207</v>
      </c>
      <c r="C73" s="58" t="s">
        <v>625</v>
      </c>
      <c r="D73" s="58" t="s">
        <v>748</v>
      </c>
      <c r="E73" s="58" t="s">
        <v>627</v>
      </c>
      <c r="F73" s="58" t="s">
        <v>628</v>
      </c>
      <c r="G73" s="58" t="s">
        <v>629</v>
      </c>
      <c r="H73" s="5" t="s">
        <v>630</v>
      </c>
      <c r="I73" s="58" t="s">
        <v>631</v>
      </c>
      <c r="J73" s="58" t="s">
        <v>632</v>
      </c>
      <c r="K73" s="13"/>
      <c r="L73" s="3"/>
      <c r="M73" s="2"/>
    </row>
    <row r="74" spans="1:17" ht="15" customHeight="1" x14ac:dyDescent="0.3">
      <c r="A74" s="602" t="s">
        <v>245</v>
      </c>
      <c r="B74" s="86" t="s">
        <v>246</v>
      </c>
      <c r="C74" s="391">
        <v>32535.195470400002</v>
      </c>
      <c r="D74" s="391">
        <v>0</v>
      </c>
      <c r="E74" s="391">
        <v>0</v>
      </c>
      <c r="F74" s="391">
        <v>0</v>
      </c>
      <c r="G74" s="391">
        <v>0</v>
      </c>
      <c r="H74" s="391">
        <v>492.14761199999998</v>
      </c>
      <c r="I74" s="391">
        <v>0</v>
      </c>
      <c r="J74" s="391">
        <v>33027.343082400002</v>
      </c>
      <c r="K74" s="13"/>
      <c r="L74" s="451"/>
      <c r="M74" s="2"/>
    </row>
    <row r="75" spans="1:17" ht="15" customHeight="1" x14ac:dyDescent="0.3">
      <c r="A75" s="602"/>
      <c r="B75" s="85" t="s">
        <v>514</v>
      </c>
      <c r="C75" s="392">
        <v>30814.549920000001</v>
      </c>
      <c r="D75" s="392">
        <v>0</v>
      </c>
      <c r="E75" s="392">
        <v>0</v>
      </c>
      <c r="F75" s="392">
        <v>0</v>
      </c>
      <c r="G75" s="392">
        <v>0</v>
      </c>
      <c r="H75" s="392">
        <v>0</v>
      </c>
      <c r="I75" s="392">
        <v>0</v>
      </c>
      <c r="J75" s="392">
        <v>30814.549920000001</v>
      </c>
      <c r="K75" s="13"/>
      <c r="L75" s="449"/>
      <c r="M75" s="2"/>
    </row>
    <row r="76" spans="1:17" ht="15" customHeight="1" x14ac:dyDescent="0.3">
      <c r="A76" s="602"/>
      <c r="B76" s="85" t="s">
        <v>247</v>
      </c>
      <c r="C76" s="392">
        <v>1720.6455504</v>
      </c>
      <c r="D76" s="392">
        <v>0</v>
      </c>
      <c r="E76" s="392">
        <v>0</v>
      </c>
      <c r="F76" s="392">
        <v>0</v>
      </c>
      <c r="G76" s="392">
        <v>0</v>
      </c>
      <c r="H76" s="392">
        <v>492.14761199999998</v>
      </c>
      <c r="I76" s="392">
        <v>0</v>
      </c>
      <c r="J76" s="392">
        <v>2212.7931623999998</v>
      </c>
      <c r="K76" s="13"/>
      <c r="L76" s="449"/>
      <c r="M76" s="2"/>
    </row>
    <row r="77" spans="1:17" ht="15" customHeight="1" x14ac:dyDescent="0.3">
      <c r="A77" s="599" t="s">
        <v>251</v>
      </c>
      <c r="B77" s="86" t="s">
        <v>252</v>
      </c>
      <c r="C77" s="391">
        <v>59640.782800000001</v>
      </c>
      <c r="D77" s="391">
        <v>0</v>
      </c>
      <c r="E77" s="391">
        <v>0</v>
      </c>
      <c r="F77" s="391">
        <v>8507636</v>
      </c>
      <c r="G77" s="391">
        <v>0</v>
      </c>
      <c r="H77" s="391">
        <v>0</v>
      </c>
      <c r="I77" s="391">
        <v>0</v>
      </c>
      <c r="J77" s="391">
        <v>8567276.7828000002</v>
      </c>
      <c r="K77" s="13"/>
      <c r="L77" s="451"/>
      <c r="M77" s="2"/>
    </row>
    <row r="78" spans="1:17" ht="15" customHeight="1" x14ac:dyDescent="0.3">
      <c r="A78" s="600"/>
      <c r="B78" s="85" t="s">
        <v>253</v>
      </c>
      <c r="C78" s="392">
        <v>11590.615</v>
      </c>
      <c r="D78" s="392">
        <v>0</v>
      </c>
      <c r="E78" s="392">
        <v>0</v>
      </c>
      <c r="F78" s="392">
        <v>0</v>
      </c>
      <c r="G78" s="392">
        <v>0</v>
      </c>
      <c r="H78" s="392">
        <v>0</v>
      </c>
      <c r="I78" s="392">
        <v>0</v>
      </c>
      <c r="J78" s="392">
        <v>11590.615</v>
      </c>
      <c r="K78" s="13"/>
      <c r="L78" s="449"/>
      <c r="M78" s="2"/>
    </row>
    <row r="79" spans="1:17" ht="15" customHeight="1" x14ac:dyDescent="0.3">
      <c r="A79" s="600"/>
      <c r="B79" s="85" t="s">
        <v>724</v>
      </c>
      <c r="C79" s="392">
        <v>0</v>
      </c>
      <c r="D79" s="392">
        <v>0</v>
      </c>
      <c r="E79" s="392">
        <v>0</v>
      </c>
      <c r="F79" s="392">
        <v>0</v>
      </c>
      <c r="G79" s="392">
        <v>0</v>
      </c>
      <c r="H79" s="392">
        <v>0</v>
      </c>
      <c r="I79" s="392">
        <v>0</v>
      </c>
      <c r="J79" s="392">
        <v>0</v>
      </c>
      <c r="K79" s="13"/>
      <c r="L79" s="449"/>
      <c r="M79" s="452"/>
    </row>
    <row r="80" spans="1:17" ht="15" customHeight="1" x14ac:dyDescent="0.3">
      <c r="A80" s="600"/>
      <c r="B80" s="85" t="s">
        <v>256</v>
      </c>
      <c r="C80" s="392">
        <v>36752.411</v>
      </c>
      <c r="D80" s="392">
        <v>0</v>
      </c>
      <c r="E80" s="392">
        <v>0</v>
      </c>
      <c r="F80" s="392">
        <v>2615096</v>
      </c>
      <c r="G80" s="392">
        <v>0</v>
      </c>
      <c r="H80" s="392">
        <v>0</v>
      </c>
      <c r="I80" s="392">
        <v>0</v>
      </c>
      <c r="J80" s="392">
        <v>2651848.4109999998</v>
      </c>
      <c r="K80" s="13"/>
      <c r="L80" s="449"/>
      <c r="M80" s="452"/>
    </row>
    <row r="81" spans="1:13" ht="15" customHeight="1" x14ac:dyDescent="0.3">
      <c r="A81" s="601"/>
      <c r="B81" s="85" t="s">
        <v>725</v>
      </c>
      <c r="C81" s="392">
        <v>11297.756799999999</v>
      </c>
      <c r="D81" s="392">
        <v>0</v>
      </c>
      <c r="E81" s="392">
        <v>0</v>
      </c>
      <c r="F81" s="392">
        <v>5892540</v>
      </c>
      <c r="G81" s="392">
        <v>0</v>
      </c>
      <c r="H81" s="392">
        <v>0</v>
      </c>
      <c r="I81" s="392">
        <v>0</v>
      </c>
      <c r="J81" s="392">
        <v>5903837.7567999996</v>
      </c>
      <c r="K81" s="13"/>
      <c r="L81" s="449"/>
      <c r="M81" s="452"/>
    </row>
    <row r="82" spans="1:13" ht="15" customHeight="1" x14ac:dyDescent="0.3">
      <c r="A82" s="602" t="s">
        <v>213</v>
      </c>
      <c r="B82" s="86" t="s">
        <v>328</v>
      </c>
      <c r="C82" s="391">
        <v>90047.716247999997</v>
      </c>
      <c r="D82" s="391">
        <v>0</v>
      </c>
      <c r="E82" s="391">
        <v>245.50788</v>
      </c>
      <c r="F82" s="391">
        <v>0</v>
      </c>
      <c r="G82" s="391">
        <v>0</v>
      </c>
      <c r="H82" s="391">
        <v>0</v>
      </c>
      <c r="I82" s="391">
        <v>0</v>
      </c>
      <c r="J82" s="391">
        <v>90293.224128000002</v>
      </c>
      <c r="K82" s="13"/>
      <c r="L82" s="451"/>
      <c r="M82" s="452"/>
    </row>
    <row r="83" spans="1:13" ht="15" customHeight="1" x14ac:dyDescent="0.3">
      <c r="A83" s="602"/>
      <c r="B83" s="85" t="s">
        <v>453</v>
      </c>
      <c r="C83" s="392">
        <v>90047.716247999997</v>
      </c>
      <c r="D83" s="392">
        <v>0</v>
      </c>
      <c r="E83" s="392">
        <v>245.50788</v>
      </c>
      <c r="F83" s="392">
        <v>0</v>
      </c>
      <c r="G83" s="392">
        <v>0</v>
      </c>
      <c r="H83" s="392">
        <v>0</v>
      </c>
      <c r="I83" s="392">
        <v>0</v>
      </c>
      <c r="J83" s="392">
        <v>90293.224128000002</v>
      </c>
      <c r="K83" s="13"/>
      <c r="L83" s="449"/>
      <c r="M83" s="452"/>
    </row>
    <row r="84" spans="1:13" ht="15" customHeight="1" x14ac:dyDescent="0.3">
      <c r="A84" s="602"/>
      <c r="B84" s="86" t="s">
        <v>214</v>
      </c>
      <c r="C84" s="391">
        <v>7086.8588615999997</v>
      </c>
      <c r="D84" s="391">
        <v>0</v>
      </c>
      <c r="E84" s="391">
        <v>637.32200639999996</v>
      </c>
      <c r="F84" s="391">
        <v>0</v>
      </c>
      <c r="G84" s="391">
        <v>0</v>
      </c>
      <c r="H84" s="391">
        <v>0</v>
      </c>
      <c r="I84" s="391">
        <v>0</v>
      </c>
      <c r="J84" s="391">
        <v>7724.1808680000004</v>
      </c>
      <c r="K84" s="13"/>
      <c r="L84" s="451"/>
      <c r="M84" s="452"/>
    </row>
    <row r="85" spans="1:13" ht="15" customHeight="1" x14ac:dyDescent="0.3">
      <c r="A85" s="602"/>
      <c r="B85" s="85" t="s">
        <v>215</v>
      </c>
      <c r="C85" s="392">
        <v>7086.8588615999997</v>
      </c>
      <c r="D85" s="392">
        <v>0</v>
      </c>
      <c r="E85" s="392">
        <v>637.32200639999996</v>
      </c>
      <c r="F85" s="392">
        <v>0</v>
      </c>
      <c r="G85" s="392">
        <v>0</v>
      </c>
      <c r="H85" s="392">
        <v>0</v>
      </c>
      <c r="I85" s="392">
        <v>0</v>
      </c>
      <c r="J85" s="392">
        <v>7724.1808680000004</v>
      </c>
      <c r="K85" s="13"/>
      <c r="L85" s="449"/>
      <c r="M85" s="452"/>
    </row>
    <row r="86" spans="1:13" ht="15" customHeight="1" x14ac:dyDescent="0.3">
      <c r="A86" s="602"/>
      <c r="B86" s="86" t="s">
        <v>265</v>
      </c>
      <c r="C86" s="391">
        <v>27002.0756124</v>
      </c>
      <c r="D86" s="391">
        <v>1768298.7013000001</v>
      </c>
      <c r="E86" s="391">
        <v>0</v>
      </c>
      <c r="F86" s="391">
        <v>0</v>
      </c>
      <c r="G86" s="391">
        <v>0</v>
      </c>
      <c r="H86" s="391">
        <v>0</v>
      </c>
      <c r="I86" s="391">
        <v>0</v>
      </c>
      <c r="J86" s="391">
        <v>1795300.7769124</v>
      </c>
      <c r="K86" s="13"/>
      <c r="L86" s="451"/>
      <c r="M86" s="452"/>
    </row>
    <row r="87" spans="1:13" ht="15" customHeight="1" x14ac:dyDescent="0.3">
      <c r="A87" s="602"/>
      <c r="B87" s="85" t="s">
        <v>266</v>
      </c>
      <c r="C87" s="392">
        <v>27002.0756124</v>
      </c>
      <c r="D87" s="392">
        <v>1768298.7013000001</v>
      </c>
      <c r="E87" s="392">
        <v>0</v>
      </c>
      <c r="F87" s="392">
        <v>0</v>
      </c>
      <c r="G87" s="392">
        <v>0</v>
      </c>
      <c r="H87" s="392">
        <v>0</v>
      </c>
      <c r="I87" s="392">
        <v>0</v>
      </c>
      <c r="J87" s="392">
        <v>1795300.7769124</v>
      </c>
      <c r="K87" s="13"/>
      <c r="L87" s="449"/>
      <c r="M87" s="452"/>
    </row>
    <row r="88" spans="1:13" ht="15" customHeight="1" x14ac:dyDescent="0.3">
      <c r="A88" s="602" t="s">
        <v>224</v>
      </c>
      <c r="B88" s="86" t="s">
        <v>225</v>
      </c>
      <c r="C88" s="391">
        <v>183657.46220000001</v>
      </c>
      <c r="D88" s="391">
        <v>0</v>
      </c>
      <c r="E88" s="391">
        <v>0</v>
      </c>
      <c r="F88" s="391">
        <v>0</v>
      </c>
      <c r="G88" s="391">
        <v>1543.9808680000001</v>
      </c>
      <c r="H88" s="391">
        <v>1487.7403956000001</v>
      </c>
      <c r="I88" s="391">
        <v>3430.0739739778901</v>
      </c>
      <c r="J88" s="391">
        <v>190119.257437578</v>
      </c>
      <c r="K88" s="13"/>
      <c r="L88" s="451"/>
      <c r="M88" s="452"/>
    </row>
    <row r="89" spans="1:13" ht="15" customHeight="1" x14ac:dyDescent="0.3">
      <c r="A89" s="602"/>
      <c r="B89" s="85" t="s">
        <v>726</v>
      </c>
      <c r="C89" s="392">
        <v>86220.577000000005</v>
      </c>
      <c r="D89" s="392">
        <v>0</v>
      </c>
      <c r="E89" s="392">
        <v>0</v>
      </c>
      <c r="F89" s="392">
        <v>0</v>
      </c>
      <c r="G89" s="392">
        <v>0</v>
      </c>
      <c r="H89" s="392">
        <v>4.5403956000000001</v>
      </c>
      <c r="I89" s="392">
        <v>0</v>
      </c>
      <c r="J89" s="392">
        <v>86225.117395599998</v>
      </c>
      <c r="K89" s="13"/>
      <c r="L89" s="449"/>
      <c r="M89" s="452"/>
    </row>
    <row r="90" spans="1:13" ht="15" customHeight="1" x14ac:dyDescent="0.3">
      <c r="A90" s="602"/>
      <c r="B90" s="85" t="s">
        <v>226</v>
      </c>
      <c r="C90" s="392">
        <v>3531.1068</v>
      </c>
      <c r="D90" s="392">
        <v>0</v>
      </c>
      <c r="E90" s="392">
        <v>0</v>
      </c>
      <c r="F90" s="392">
        <v>0</v>
      </c>
      <c r="G90" s="392">
        <v>0</v>
      </c>
      <c r="H90" s="392">
        <v>0</v>
      </c>
      <c r="I90" s="392">
        <v>0</v>
      </c>
      <c r="J90" s="392">
        <v>3531.1068</v>
      </c>
      <c r="K90" s="13"/>
      <c r="L90" s="449"/>
      <c r="M90" s="452"/>
    </row>
    <row r="91" spans="1:13" ht="15" customHeight="1" x14ac:dyDescent="0.3">
      <c r="A91" s="602"/>
      <c r="B91" s="85" t="s">
        <v>454</v>
      </c>
      <c r="C91" s="392">
        <v>86196.831000000006</v>
      </c>
      <c r="D91" s="392">
        <v>0</v>
      </c>
      <c r="E91" s="392">
        <v>0</v>
      </c>
      <c r="F91" s="392">
        <v>0</v>
      </c>
      <c r="G91" s="392">
        <v>0</v>
      </c>
      <c r="H91" s="392">
        <v>1483.2</v>
      </c>
      <c r="I91" s="392">
        <v>3345.4512599151599</v>
      </c>
      <c r="J91" s="392">
        <v>91025.482259915196</v>
      </c>
      <c r="K91" s="13"/>
      <c r="L91" s="449"/>
      <c r="M91" s="452"/>
    </row>
    <row r="92" spans="1:13" ht="15" customHeight="1" x14ac:dyDescent="0.3">
      <c r="A92" s="602"/>
      <c r="B92" s="85" t="s">
        <v>230</v>
      </c>
      <c r="C92" s="392">
        <v>2180.3807000000002</v>
      </c>
      <c r="D92" s="392">
        <v>0</v>
      </c>
      <c r="E92" s="392">
        <v>0</v>
      </c>
      <c r="F92" s="392">
        <v>0</v>
      </c>
      <c r="G92" s="392">
        <v>1543.9808680000001</v>
      </c>
      <c r="H92" s="392">
        <v>0</v>
      </c>
      <c r="I92" s="392">
        <v>84.622714062733294</v>
      </c>
      <c r="J92" s="392">
        <v>3808.98428206273</v>
      </c>
      <c r="K92" s="13"/>
      <c r="L92" s="449"/>
      <c r="M92" s="452"/>
    </row>
    <row r="93" spans="1:13" ht="15" customHeight="1" x14ac:dyDescent="0.3">
      <c r="A93" s="602"/>
      <c r="B93" s="85" t="s">
        <v>727</v>
      </c>
      <c r="C93" s="392">
        <v>5528.5667000000003</v>
      </c>
      <c r="D93" s="392">
        <v>0</v>
      </c>
      <c r="E93" s="392">
        <v>0</v>
      </c>
      <c r="F93" s="392">
        <v>0</v>
      </c>
      <c r="G93" s="392">
        <v>0</v>
      </c>
      <c r="H93" s="392">
        <v>0</v>
      </c>
      <c r="I93" s="392">
        <v>0</v>
      </c>
      <c r="J93" s="392">
        <v>5528.5667000000003</v>
      </c>
      <c r="K93" s="13"/>
      <c r="L93" s="449"/>
      <c r="M93" s="452"/>
    </row>
    <row r="94" spans="1:13" ht="15" customHeight="1" x14ac:dyDescent="0.3">
      <c r="A94" s="602"/>
      <c r="B94" s="86" t="s">
        <v>276</v>
      </c>
      <c r="C94" s="391">
        <v>3379.2240000000002</v>
      </c>
      <c r="D94" s="391">
        <v>0</v>
      </c>
      <c r="E94" s="391">
        <v>0</v>
      </c>
      <c r="F94" s="391">
        <v>0</v>
      </c>
      <c r="G94" s="391">
        <v>0</v>
      </c>
      <c r="H94" s="391">
        <v>0</v>
      </c>
      <c r="I94" s="391">
        <v>0</v>
      </c>
      <c r="J94" s="391">
        <v>3379.2240000000002</v>
      </c>
      <c r="K94" s="13"/>
      <c r="L94" s="451"/>
      <c r="M94" s="452"/>
    </row>
    <row r="95" spans="1:13" ht="15" customHeight="1" x14ac:dyDescent="0.3">
      <c r="A95" s="602"/>
      <c r="B95" s="85" t="s">
        <v>277</v>
      </c>
      <c r="C95" s="392">
        <v>3379.2240000000002</v>
      </c>
      <c r="D95" s="392">
        <v>0</v>
      </c>
      <c r="E95" s="392">
        <v>0</v>
      </c>
      <c r="F95" s="392">
        <v>0</v>
      </c>
      <c r="G95" s="392">
        <v>0</v>
      </c>
      <c r="H95" s="392">
        <v>0</v>
      </c>
      <c r="I95" s="392">
        <v>0</v>
      </c>
      <c r="J95" s="392">
        <v>3379.2240000000002</v>
      </c>
      <c r="K95" s="13"/>
      <c r="L95" s="449"/>
      <c r="M95" s="452"/>
    </row>
    <row r="96" spans="1:13" ht="15" customHeight="1" x14ac:dyDescent="0.3">
      <c r="A96" s="599" t="s">
        <v>729</v>
      </c>
      <c r="B96" s="86" t="s">
        <v>729</v>
      </c>
      <c r="C96" s="391">
        <v>145031.34729400001</v>
      </c>
      <c r="D96" s="391">
        <v>7863438.7882000003</v>
      </c>
      <c r="E96" s="391">
        <v>0</v>
      </c>
      <c r="F96" s="391">
        <v>0</v>
      </c>
      <c r="G96" s="391">
        <v>0</v>
      </c>
      <c r="H96" s="391">
        <v>0</v>
      </c>
      <c r="I96" s="391">
        <v>0</v>
      </c>
      <c r="J96" s="391">
        <v>8008470.1354940003</v>
      </c>
      <c r="K96" s="13"/>
      <c r="L96" s="501"/>
      <c r="M96" s="452"/>
    </row>
    <row r="97" spans="1:13" ht="15" customHeight="1" x14ac:dyDescent="0.3">
      <c r="A97" s="601"/>
      <c r="B97" s="85" t="s">
        <v>731</v>
      </c>
      <c r="C97" s="477">
        <v>145031.34729400001</v>
      </c>
      <c r="D97" s="477">
        <v>7863438.7882000003</v>
      </c>
      <c r="E97" s="477">
        <v>0</v>
      </c>
      <c r="F97" s="477">
        <v>0</v>
      </c>
      <c r="G97" s="477">
        <v>0</v>
      </c>
      <c r="H97" s="477">
        <v>0</v>
      </c>
      <c r="I97" s="392">
        <v>0</v>
      </c>
      <c r="J97" s="483">
        <v>8008470.1354940003</v>
      </c>
      <c r="K97" s="13"/>
      <c r="L97" s="449"/>
      <c r="M97" s="452"/>
    </row>
    <row r="98" spans="1:13" ht="15" customHeight="1" x14ac:dyDescent="0.3">
      <c r="A98" s="602" t="s">
        <v>234</v>
      </c>
      <c r="B98" s="86" t="s">
        <v>235</v>
      </c>
      <c r="C98" s="391">
        <v>25781.8716745151</v>
      </c>
      <c r="D98" s="391">
        <v>0</v>
      </c>
      <c r="E98" s="391">
        <v>24.175614372454302</v>
      </c>
      <c r="F98" s="391">
        <v>0</v>
      </c>
      <c r="G98" s="391">
        <v>0</v>
      </c>
      <c r="H98" s="391">
        <v>0</v>
      </c>
      <c r="I98" s="391">
        <v>1340.4108838181201</v>
      </c>
      <c r="J98" s="391">
        <v>27146.458172705701</v>
      </c>
      <c r="K98" s="13"/>
      <c r="L98" s="451"/>
      <c r="M98" s="452"/>
    </row>
    <row r="99" spans="1:13" ht="15" customHeight="1" x14ac:dyDescent="0.25">
      <c r="A99" s="602"/>
      <c r="B99" s="85" t="s">
        <v>236</v>
      </c>
      <c r="C99" s="392">
        <v>25781.8716745151</v>
      </c>
      <c r="D99" s="392">
        <v>0</v>
      </c>
      <c r="E99" s="392">
        <v>24.175614372454302</v>
      </c>
      <c r="F99" s="392">
        <v>0</v>
      </c>
      <c r="G99" s="392">
        <v>0</v>
      </c>
      <c r="H99" s="392">
        <v>0</v>
      </c>
      <c r="I99" s="392">
        <v>1340.4108838181201</v>
      </c>
      <c r="J99" s="392">
        <v>27146.458172705701</v>
      </c>
      <c r="K99" s="417"/>
      <c r="L99" s="449"/>
      <c r="M99" s="452"/>
    </row>
    <row r="100" spans="1:13" ht="15" customHeight="1" x14ac:dyDescent="0.25">
      <c r="A100" s="40" t="s">
        <v>455</v>
      </c>
      <c r="B100" s="86" t="s">
        <v>318</v>
      </c>
      <c r="C100" s="391">
        <v>574162.53416091495</v>
      </c>
      <c r="D100" s="391">
        <v>9631737.4894999992</v>
      </c>
      <c r="E100" s="391">
        <v>907.00550077245396</v>
      </c>
      <c r="F100" s="391">
        <v>8507636</v>
      </c>
      <c r="G100" s="391">
        <v>1543.9808680000001</v>
      </c>
      <c r="H100" s="391">
        <v>1979.8880076</v>
      </c>
      <c r="I100" s="391">
        <v>4770.4848577960101</v>
      </c>
      <c r="J100" s="391">
        <v>18722737.382895101</v>
      </c>
      <c r="K100" s="417"/>
      <c r="L100" s="451"/>
      <c r="M100" s="452"/>
    </row>
    <row r="101" spans="1:13" ht="15" customHeight="1" x14ac:dyDescent="0.25">
      <c r="A101" s="546" t="s">
        <v>749</v>
      </c>
      <c r="B101" s="546"/>
      <c r="C101" s="546"/>
      <c r="D101" s="546"/>
      <c r="E101" s="546"/>
      <c r="F101" s="546"/>
      <c r="G101" s="546"/>
      <c r="H101" s="546"/>
      <c r="I101" s="546"/>
      <c r="J101" s="546"/>
      <c r="L101" s="309"/>
    </row>
    <row r="102" spans="1:13" ht="15" customHeight="1" x14ac:dyDescent="0.25">
      <c r="A102" s="518"/>
      <c r="B102" s="518"/>
      <c r="C102" s="518"/>
      <c r="D102" s="518"/>
      <c r="E102" s="518"/>
      <c r="F102" s="518"/>
      <c r="G102" s="518"/>
      <c r="H102" s="518"/>
      <c r="I102" s="518"/>
      <c r="J102" s="518"/>
    </row>
    <row r="103" spans="1:13" ht="15" customHeight="1" x14ac:dyDescent="0.25"/>
    <row r="104" spans="1:13" ht="15" customHeight="1" x14ac:dyDescent="0.25"/>
    <row r="105" spans="1:13" ht="52.2" customHeight="1" x14ac:dyDescent="0.3">
      <c r="A105" s="45" t="s">
        <v>750</v>
      </c>
      <c r="B105" s="414" t="s">
        <v>599</v>
      </c>
      <c r="C105" s="414" t="s">
        <v>239</v>
      </c>
      <c r="D105" s="34">
        <v>2020</v>
      </c>
      <c r="E105" s="34">
        <v>2021</v>
      </c>
      <c r="F105" s="22" t="s">
        <v>751</v>
      </c>
      <c r="G105" s="34">
        <v>2023</v>
      </c>
      <c r="H105" s="13"/>
    </row>
    <row r="106" spans="1:13" ht="15" customHeight="1" x14ac:dyDescent="0.3">
      <c r="A106" s="72" t="s">
        <v>636</v>
      </c>
      <c r="B106" s="473">
        <v>0.94920000000000004</v>
      </c>
      <c r="C106" s="473">
        <v>0.183</v>
      </c>
      <c r="D106" s="473">
        <v>0.04</v>
      </c>
      <c r="E106" s="473">
        <v>0.23</v>
      </c>
      <c r="F106" s="473">
        <v>0.3962253</v>
      </c>
      <c r="G106" s="427">
        <v>574162.53416091495</v>
      </c>
      <c r="H106" s="13"/>
    </row>
    <row r="107" spans="1:13" ht="17.399999999999999" customHeight="1" x14ac:dyDescent="0.3">
      <c r="A107" s="72" t="s">
        <v>752</v>
      </c>
      <c r="B107" s="473">
        <v>8.1031673712023995</v>
      </c>
      <c r="C107" s="473">
        <v>8.5055762940859605</v>
      </c>
      <c r="D107" s="473">
        <v>9.9992572126170192</v>
      </c>
      <c r="E107" s="473">
        <v>9.5800004066273292</v>
      </c>
      <c r="F107" s="473">
        <v>9.9912527763198806</v>
      </c>
      <c r="G107" s="427">
        <v>9631737.4894999992</v>
      </c>
      <c r="H107" s="13"/>
    </row>
    <row r="108" spans="1:13" ht="15" customHeight="1" x14ac:dyDescent="0.3">
      <c r="A108" s="72" t="s">
        <v>568</v>
      </c>
      <c r="B108" s="76" t="s">
        <v>607</v>
      </c>
      <c r="C108" s="76" t="s">
        <v>607</v>
      </c>
      <c r="D108" s="428">
        <v>0</v>
      </c>
      <c r="E108" s="76" t="s">
        <v>637</v>
      </c>
      <c r="F108" s="74" t="s">
        <v>637</v>
      </c>
      <c r="G108" s="427">
        <v>907.00550077245396</v>
      </c>
      <c r="H108" s="13"/>
    </row>
    <row r="109" spans="1:13" ht="15" customHeight="1" x14ac:dyDescent="0.3">
      <c r="A109" s="72" t="s">
        <v>569</v>
      </c>
      <c r="B109" s="473">
        <v>7.499733</v>
      </c>
      <c r="C109" s="473">
        <v>7.5691449999999998</v>
      </c>
      <c r="D109" s="473">
        <v>9.0676649999999999</v>
      </c>
      <c r="E109" s="473">
        <v>9.4673339999999993</v>
      </c>
      <c r="F109" s="473">
        <v>9.1269629999999999</v>
      </c>
      <c r="G109" s="427">
        <v>8507636</v>
      </c>
      <c r="H109" s="13"/>
    </row>
    <row r="110" spans="1:13" ht="15" customHeight="1" x14ac:dyDescent="0.3">
      <c r="A110" s="72" t="s">
        <v>639</v>
      </c>
      <c r="B110" s="76" t="s">
        <v>607</v>
      </c>
      <c r="C110" s="76" t="s">
        <v>607</v>
      </c>
      <c r="D110" s="76" t="s">
        <v>607</v>
      </c>
      <c r="E110" s="76" t="s">
        <v>607</v>
      </c>
      <c r="F110" s="74" t="s">
        <v>607</v>
      </c>
      <c r="G110" s="427">
        <v>1543.9808680000001</v>
      </c>
      <c r="H110" s="13"/>
    </row>
    <row r="111" spans="1:13" ht="15" customHeight="1" x14ac:dyDescent="0.3">
      <c r="A111" s="72" t="s">
        <v>590</v>
      </c>
      <c r="B111" s="473">
        <v>0.59622419740856603</v>
      </c>
      <c r="C111" s="473">
        <v>0.49201273643073401</v>
      </c>
      <c r="D111" s="473">
        <v>0.28582751078637297</v>
      </c>
      <c r="E111" s="473">
        <v>0.21844411209623599</v>
      </c>
      <c r="F111" s="473">
        <v>0.116135212551928</v>
      </c>
      <c r="G111" s="427">
        <v>6750.3728653960097</v>
      </c>
      <c r="H111" s="13"/>
    </row>
    <row r="112" spans="1:13" ht="39.15" customHeight="1" x14ac:dyDescent="0.3">
      <c r="A112" s="86" t="s">
        <v>640</v>
      </c>
      <c r="B112" s="482">
        <v>17.148324568610999</v>
      </c>
      <c r="C112" s="482">
        <v>16.749734030516699</v>
      </c>
      <c r="D112" s="482">
        <v>19.392749723403401</v>
      </c>
      <c r="E112" s="482">
        <v>19.495778518723601</v>
      </c>
      <c r="F112" s="482">
        <v>19.631061756877099</v>
      </c>
      <c r="G112" s="482">
        <v>18.722999999999999</v>
      </c>
      <c r="H112" s="13"/>
    </row>
    <row r="113" spans="1:10" ht="32.700000000000003" customHeight="1" x14ac:dyDescent="0.25">
      <c r="A113" s="546" t="s">
        <v>753</v>
      </c>
      <c r="B113" s="546"/>
      <c r="C113" s="546"/>
      <c r="D113" s="546"/>
      <c r="E113" s="546"/>
      <c r="F113" s="546"/>
      <c r="G113" s="546"/>
    </row>
    <row r="114" spans="1:10" ht="32.700000000000003" customHeight="1" x14ac:dyDescent="0.25">
      <c r="A114" s="518"/>
      <c r="B114" s="518"/>
      <c r="C114" s="518"/>
      <c r="D114" s="518"/>
      <c r="E114" s="518"/>
      <c r="F114" s="518"/>
      <c r="G114" s="518"/>
    </row>
    <row r="115" spans="1:10" ht="32.700000000000003" customHeight="1" x14ac:dyDescent="0.25">
      <c r="A115" s="518"/>
      <c r="B115" s="518"/>
      <c r="C115" s="518"/>
      <c r="D115" s="518"/>
      <c r="E115" s="518"/>
      <c r="F115" s="518"/>
      <c r="G115" s="518"/>
    </row>
    <row r="116" spans="1:10" ht="15" customHeight="1" x14ac:dyDescent="0.25"/>
    <row r="117" spans="1:10" ht="15" customHeight="1" x14ac:dyDescent="0.25"/>
    <row r="118" spans="1:10" ht="55.95" customHeight="1" x14ac:dyDescent="0.3">
      <c r="A118" s="33" t="s">
        <v>642</v>
      </c>
      <c r="B118" s="58" t="s">
        <v>207</v>
      </c>
      <c r="C118" s="58" t="s">
        <v>566</v>
      </c>
      <c r="D118" s="58" t="s">
        <v>593</v>
      </c>
      <c r="E118" s="58" t="s">
        <v>568</v>
      </c>
      <c r="F118" s="58" t="s">
        <v>569</v>
      </c>
      <c r="G118" s="58" t="s">
        <v>570</v>
      </c>
      <c r="H118" s="58" t="s">
        <v>754</v>
      </c>
      <c r="I118" s="58" t="s">
        <v>572</v>
      </c>
      <c r="J118" s="417"/>
    </row>
    <row r="119" spans="1:10" ht="15" customHeight="1" x14ac:dyDescent="0.25">
      <c r="A119" s="602" t="s">
        <v>245</v>
      </c>
      <c r="B119" s="86" t="s">
        <v>246</v>
      </c>
      <c r="C119" s="421">
        <v>0.99816688950350696</v>
      </c>
      <c r="D119" s="421">
        <v>1.5625635613305299E-3</v>
      </c>
      <c r="E119" s="421">
        <v>0</v>
      </c>
      <c r="F119" s="421">
        <v>0</v>
      </c>
      <c r="G119" s="421">
        <v>2.7054693516294598E-4</v>
      </c>
      <c r="H119" s="421">
        <v>0</v>
      </c>
      <c r="I119" s="421">
        <v>0</v>
      </c>
      <c r="J119" s="417"/>
    </row>
    <row r="120" spans="1:10" ht="15" customHeight="1" x14ac:dyDescent="0.25">
      <c r="A120" s="602"/>
      <c r="B120" s="72" t="s">
        <v>514</v>
      </c>
      <c r="C120" s="420">
        <v>0.99707329455692695</v>
      </c>
      <c r="D120" s="420">
        <v>2.5223598121093299E-3</v>
      </c>
      <c r="E120" s="420">
        <v>0</v>
      </c>
      <c r="F120" s="420">
        <v>0</v>
      </c>
      <c r="G120" s="420">
        <v>4.0434563096373202E-4</v>
      </c>
      <c r="H120" s="420">
        <v>0</v>
      </c>
      <c r="I120" s="420">
        <v>0</v>
      </c>
      <c r="J120" s="417"/>
    </row>
    <row r="121" spans="1:10" ht="15" customHeight="1" x14ac:dyDescent="0.25">
      <c r="A121" s="602"/>
      <c r="B121" s="72" t="s">
        <v>247</v>
      </c>
      <c r="C121" s="420">
        <v>0.99994727946960005</v>
      </c>
      <c r="D121" s="420">
        <v>0</v>
      </c>
      <c r="E121" s="420">
        <v>0</v>
      </c>
      <c r="F121" s="420">
        <v>0</v>
      </c>
      <c r="G121" s="424">
        <v>5.2720530400255499E-5</v>
      </c>
      <c r="H121" s="420">
        <v>0</v>
      </c>
      <c r="I121" s="420">
        <v>0</v>
      </c>
      <c r="J121" s="417"/>
    </row>
    <row r="122" spans="1:10" ht="15" customHeight="1" x14ac:dyDescent="0.25">
      <c r="A122" s="599" t="s">
        <v>251</v>
      </c>
      <c r="B122" s="114" t="s">
        <v>252</v>
      </c>
      <c r="C122" s="421">
        <v>0.44477884945175999</v>
      </c>
      <c r="D122" s="421">
        <v>0</v>
      </c>
      <c r="E122" s="421">
        <v>3.9665265539335101E-6</v>
      </c>
      <c r="F122" s="421">
        <v>0.53480663885641</v>
      </c>
      <c r="G122" s="421">
        <v>2.6166638005418298E-3</v>
      </c>
      <c r="H122" s="421">
        <v>0</v>
      </c>
      <c r="I122" s="421">
        <v>1.7783443833679399E-2</v>
      </c>
      <c r="J122" s="417"/>
    </row>
    <row r="123" spans="1:10" ht="15" customHeight="1" x14ac:dyDescent="0.25">
      <c r="A123" s="600"/>
      <c r="B123" s="72" t="s">
        <v>253</v>
      </c>
      <c r="C123" s="420">
        <v>0.99163135331395502</v>
      </c>
      <c r="D123" s="420">
        <v>0</v>
      </c>
      <c r="E123" s="420">
        <v>0</v>
      </c>
      <c r="F123" s="420">
        <v>0</v>
      </c>
      <c r="G123" s="420">
        <v>8.3686466860453494E-3</v>
      </c>
      <c r="H123" s="420">
        <v>0</v>
      </c>
      <c r="I123" s="420">
        <v>0</v>
      </c>
      <c r="J123" s="417"/>
    </row>
    <row r="124" spans="1:10" ht="15" customHeight="1" x14ac:dyDescent="0.25">
      <c r="A124" s="600"/>
      <c r="B124" s="72" t="s">
        <v>724</v>
      </c>
      <c r="C124" s="420">
        <v>0.99991076314765703</v>
      </c>
      <c r="D124" s="420">
        <v>0</v>
      </c>
      <c r="E124" s="420">
        <v>0</v>
      </c>
      <c r="F124" s="420">
        <v>0</v>
      </c>
      <c r="G124" s="420">
        <v>2.6169745638042898E-6</v>
      </c>
      <c r="H124" s="420">
        <v>0</v>
      </c>
      <c r="I124" s="420">
        <v>0</v>
      </c>
      <c r="J124" s="417"/>
    </row>
    <row r="125" spans="1:10" ht="15" customHeight="1" x14ac:dyDescent="0.25">
      <c r="A125" s="600"/>
      <c r="B125" s="72" t="s">
        <v>256</v>
      </c>
      <c r="C125" s="420">
        <v>0.21176809657899301</v>
      </c>
      <c r="D125" s="420">
        <v>0</v>
      </c>
      <c r="E125" s="420">
        <v>1.7346781246466299E-5</v>
      </c>
      <c r="F125" s="420">
        <v>0.71892578726301404</v>
      </c>
      <c r="G125" s="420">
        <v>3.3473684789014201E-3</v>
      </c>
      <c r="H125" s="420">
        <v>0</v>
      </c>
      <c r="I125" s="420">
        <v>6.5941400897845101E-2</v>
      </c>
      <c r="J125" s="417"/>
    </row>
    <row r="126" spans="1:10" ht="15" customHeight="1" x14ac:dyDescent="0.25">
      <c r="A126" s="601"/>
      <c r="B126" s="72" t="s">
        <v>725</v>
      </c>
      <c r="C126" s="420">
        <v>0.24409646111008701</v>
      </c>
      <c r="D126" s="420">
        <v>0</v>
      </c>
      <c r="E126" s="420">
        <v>0</v>
      </c>
      <c r="F126" s="420">
        <v>0.75025771183209</v>
      </c>
      <c r="G126" s="420">
        <v>1.5690242784204499E-4</v>
      </c>
      <c r="H126" s="420">
        <v>0</v>
      </c>
      <c r="I126" s="420">
        <v>5.4793079386548397E-3</v>
      </c>
      <c r="J126" s="417"/>
    </row>
    <row r="127" spans="1:10" ht="15" customHeight="1" x14ac:dyDescent="0.25">
      <c r="A127" s="602" t="s">
        <v>213</v>
      </c>
      <c r="B127" s="114" t="s">
        <v>328</v>
      </c>
      <c r="C127" s="421">
        <v>0.94786182480752601</v>
      </c>
      <c r="D127" s="421">
        <v>0</v>
      </c>
      <c r="E127" s="421">
        <v>6.8603482367415999E-4</v>
      </c>
      <c r="F127" s="421">
        <v>0</v>
      </c>
      <c r="G127" s="421">
        <v>3.4092874735387299E-3</v>
      </c>
      <c r="H127" s="421">
        <v>0</v>
      </c>
      <c r="I127" s="421">
        <v>4.80428528952613E-2</v>
      </c>
      <c r="J127" s="417"/>
    </row>
    <row r="128" spans="1:10" ht="15" customHeight="1" x14ac:dyDescent="0.25">
      <c r="A128" s="602"/>
      <c r="B128" s="72" t="s">
        <v>453</v>
      </c>
      <c r="C128" s="420">
        <v>0.94786182480752601</v>
      </c>
      <c r="D128" s="420">
        <v>0</v>
      </c>
      <c r="E128" s="420">
        <v>6.8603482367415999E-4</v>
      </c>
      <c r="F128" s="420">
        <v>0</v>
      </c>
      <c r="G128" s="420">
        <v>3.4092874735387299E-3</v>
      </c>
      <c r="H128" s="420">
        <v>0</v>
      </c>
      <c r="I128" s="420">
        <v>4.80428528952613E-2</v>
      </c>
      <c r="J128" s="417"/>
    </row>
    <row r="129" spans="1:10" ht="15" customHeight="1" x14ac:dyDescent="0.25">
      <c r="A129" s="602"/>
      <c r="B129" s="114" t="s">
        <v>214</v>
      </c>
      <c r="C129" s="421">
        <v>0.96742029777652006</v>
      </c>
      <c r="D129" s="421">
        <v>5.3009673853618702E-3</v>
      </c>
      <c r="E129" s="421">
        <v>1.0762326575092299E-2</v>
      </c>
      <c r="F129" s="421">
        <v>0</v>
      </c>
      <c r="G129" s="421">
        <v>1.90098789807716E-3</v>
      </c>
      <c r="H129" s="421">
        <v>0</v>
      </c>
      <c r="I129" s="421">
        <v>1.4615420364949E-2</v>
      </c>
      <c r="J129" s="417"/>
    </row>
    <row r="130" spans="1:10" ht="15" customHeight="1" x14ac:dyDescent="0.25">
      <c r="A130" s="602"/>
      <c r="B130" s="72" t="s">
        <v>215</v>
      </c>
      <c r="C130" s="420">
        <v>0.96742029777652006</v>
      </c>
      <c r="D130" s="420">
        <v>5.3009673853618702E-3</v>
      </c>
      <c r="E130" s="420">
        <v>1.0762326575092299E-2</v>
      </c>
      <c r="F130" s="420">
        <v>0</v>
      </c>
      <c r="G130" s="420">
        <v>1.90098789807716E-3</v>
      </c>
      <c r="H130" s="420">
        <v>0</v>
      </c>
      <c r="I130" s="420">
        <v>1.4615420364949E-2</v>
      </c>
      <c r="J130" s="417"/>
    </row>
    <row r="131" spans="1:10" ht="15" customHeight="1" x14ac:dyDescent="0.25">
      <c r="A131" s="602"/>
      <c r="B131" s="114" t="s">
        <v>265</v>
      </c>
      <c r="C131" s="421">
        <v>0.49383192059971498</v>
      </c>
      <c r="D131" s="421">
        <v>0</v>
      </c>
      <c r="E131" s="421">
        <v>5.5075389241807603E-4</v>
      </c>
      <c r="F131" s="421">
        <v>0</v>
      </c>
      <c r="G131" s="423" t="s">
        <v>643</v>
      </c>
      <c r="H131" s="421">
        <v>0.505608270701287</v>
      </c>
      <c r="I131" s="421">
        <v>0</v>
      </c>
      <c r="J131" s="417"/>
    </row>
    <row r="132" spans="1:10" ht="15" customHeight="1" x14ac:dyDescent="0.25">
      <c r="A132" s="602"/>
      <c r="B132" s="72" t="s">
        <v>266</v>
      </c>
      <c r="C132" s="420">
        <v>0.49383192059971498</v>
      </c>
      <c r="D132" s="420">
        <v>0</v>
      </c>
      <c r="E132" s="420">
        <v>5.5075389241807603E-4</v>
      </c>
      <c r="F132" s="420">
        <v>0</v>
      </c>
      <c r="G132" s="422" t="s">
        <v>643</v>
      </c>
      <c r="H132" s="420">
        <v>0.505608270701287</v>
      </c>
      <c r="I132" s="420">
        <v>0</v>
      </c>
      <c r="J132" s="417"/>
    </row>
    <row r="133" spans="1:10" ht="15" customHeight="1" x14ac:dyDescent="0.25">
      <c r="A133" s="602" t="s">
        <v>224</v>
      </c>
      <c r="B133" s="114" t="s">
        <v>225</v>
      </c>
      <c r="C133" s="421">
        <v>0.75079076744508</v>
      </c>
      <c r="D133" s="421">
        <v>5.93404455373484E-4</v>
      </c>
      <c r="E133" s="421">
        <v>1.8042651704493502E-2</v>
      </c>
      <c r="F133" s="421">
        <v>4.2202414673258803E-2</v>
      </c>
      <c r="G133" s="421">
        <v>0.12683263619672699</v>
      </c>
      <c r="H133" s="421">
        <v>0</v>
      </c>
      <c r="I133" s="421">
        <v>6.15330101766597E-2</v>
      </c>
      <c r="J133" s="417"/>
    </row>
    <row r="134" spans="1:10" ht="15" customHeight="1" x14ac:dyDescent="0.25">
      <c r="A134" s="602"/>
      <c r="B134" s="72" t="s">
        <v>726</v>
      </c>
      <c r="C134" s="420">
        <v>0.68716381720560604</v>
      </c>
      <c r="D134" s="420">
        <v>5.6114653768534499E-3</v>
      </c>
      <c r="E134" s="420">
        <v>3.2482122367227598E-2</v>
      </c>
      <c r="F134" s="420">
        <v>0</v>
      </c>
      <c r="G134" s="420">
        <v>0.100715756893623</v>
      </c>
      <c r="H134" s="420">
        <v>0</v>
      </c>
      <c r="I134" s="420">
        <v>0.173982608466109</v>
      </c>
      <c r="J134" s="417"/>
    </row>
    <row r="135" spans="1:10" ht="15" customHeight="1" x14ac:dyDescent="0.25">
      <c r="A135" s="602"/>
      <c r="B135" s="72" t="s">
        <v>226</v>
      </c>
      <c r="C135" s="420">
        <v>0.68882191428719097</v>
      </c>
      <c r="D135" s="420">
        <v>0</v>
      </c>
      <c r="E135" s="420">
        <v>1.7908646082621701E-2</v>
      </c>
      <c r="F135" s="420">
        <v>0</v>
      </c>
      <c r="G135" s="420">
        <v>0.25454571266659498</v>
      </c>
      <c r="H135" s="420">
        <v>0</v>
      </c>
      <c r="I135" s="420">
        <v>3.8723726963592303E-2</v>
      </c>
      <c r="J135" s="417"/>
    </row>
    <row r="136" spans="1:10" ht="15" customHeight="1" x14ac:dyDescent="0.25">
      <c r="A136" s="602"/>
      <c r="B136" s="72" t="s">
        <v>454</v>
      </c>
      <c r="C136" s="420">
        <v>0.53991620040330401</v>
      </c>
      <c r="D136" s="420">
        <v>0</v>
      </c>
      <c r="E136" s="420">
        <v>9.5130495571932195E-3</v>
      </c>
      <c r="F136" s="420">
        <v>0</v>
      </c>
      <c r="G136" s="420">
        <v>0.40219189815372303</v>
      </c>
      <c r="H136" s="420">
        <v>0</v>
      </c>
      <c r="I136" s="420">
        <v>4.83788518857802E-2</v>
      </c>
      <c r="J136" s="417"/>
    </row>
    <row r="137" spans="1:10" ht="15" customHeight="1" x14ac:dyDescent="0.25">
      <c r="A137" s="602"/>
      <c r="B137" s="72" t="s">
        <v>230</v>
      </c>
      <c r="C137" s="420">
        <v>0.76608072259096205</v>
      </c>
      <c r="D137" s="420">
        <v>0</v>
      </c>
      <c r="E137" s="420">
        <v>2.1144372574829599E-2</v>
      </c>
      <c r="F137" s="420">
        <v>0.20498395528751501</v>
      </c>
      <c r="G137" s="420">
        <v>7.7909495466931102E-3</v>
      </c>
      <c r="H137" s="420">
        <v>0</v>
      </c>
      <c r="I137" s="420">
        <v>0</v>
      </c>
      <c r="J137" s="417"/>
    </row>
    <row r="138" spans="1:10" ht="15" customHeight="1" x14ac:dyDescent="0.25">
      <c r="A138" s="602"/>
      <c r="B138" s="72" t="s">
        <v>727</v>
      </c>
      <c r="C138" s="420">
        <v>0.85742065606778595</v>
      </c>
      <c r="D138" s="420">
        <v>0</v>
      </c>
      <c r="E138" s="420">
        <v>1.57735334358882E-2</v>
      </c>
      <c r="F138" s="420">
        <v>0</v>
      </c>
      <c r="G138" s="420">
        <v>5.0570231065205203E-2</v>
      </c>
      <c r="H138" s="420">
        <v>0</v>
      </c>
      <c r="I138" s="420">
        <v>7.6234489712872694E-2</v>
      </c>
      <c r="J138" s="417"/>
    </row>
    <row r="139" spans="1:10" ht="15" customHeight="1" x14ac:dyDescent="0.25">
      <c r="A139" s="602"/>
      <c r="B139" s="114" t="s">
        <v>276</v>
      </c>
      <c r="C139" s="421">
        <v>0.95718745972735497</v>
      </c>
      <c r="D139" s="421">
        <v>9.8297603153671004E-3</v>
      </c>
      <c r="E139" s="421">
        <v>1.50914907062287E-2</v>
      </c>
      <c r="F139" s="421">
        <v>1.28036705354802E-2</v>
      </c>
      <c r="G139" s="421">
        <v>5.0876187155720299E-3</v>
      </c>
      <c r="H139" s="421">
        <v>0</v>
      </c>
      <c r="I139" s="421">
        <v>0</v>
      </c>
      <c r="J139" s="417"/>
    </row>
    <row r="140" spans="1:10" ht="15" customHeight="1" x14ac:dyDescent="0.25">
      <c r="A140" s="602"/>
      <c r="B140" s="72" t="s">
        <v>277</v>
      </c>
      <c r="C140" s="420">
        <v>0.95718745972735497</v>
      </c>
      <c r="D140" s="420">
        <v>9.8297603153671004E-3</v>
      </c>
      <c r="E140" s="420">
        <v>1.50914907062287E-2</v>
      </c>
      <c r="F140" s="420">
        <v>1.28036705354802E-2</v>
      </c>
      <c r="G140" s="420">
        <v>5.0876187155720299E-3</v>
      </c>
      <c r="H140" s="420">
        <v>0</v>
      </c>
      <c r="I140" s="420">
        <v>0</v>
      </c>
      <c r="J140" s="417"/>
    </row>
    <row r="141" spans="1:10" ht="15" customHeight="1" x14ac:dyDescent="0.25">
      <c r="A141" s="599" t="s">
        <v>728</v>
      </c>
      <c r="B141" s="86" t="s">
        <v>729</v>
      </c>
      <c r="C141" s="421">
        <v>0.23746678452617501</v>
      </c>
      <c r="D141" s="421">
        <v>1.13357076546325E-2</v>
      </c>
      <c r="E141" s="421">
        <v>6.0985836178728797E-5</v>
      </c>
      <c r="F141" s="421">
        <v>0</v>
      </c>
      <c r="G141" s="421">
        <v>0</v>
      </c>
      <c r="H141" s="421">
        <v>0.75040672684810295</v>
      </c>
      <c r="I141" s="421">
        <v>7.2978931085576496E-4</v>
      </c>
      <c r="J141" s="417"/>
    </row>
    <row r="142" spans="1:10" ht="15" customHeight="1" x14ac:dyDescent="0.25">
      <c r="A142" s="601"/>
      <c r="B142" s="72" t="s">
        <v>731</v>
      </c>
      <c r="C142" s="424">
        <v>0.23746678452617501</v>
      </c>
      <c r="D142" s="424">
        <v>1.13357076546325E-2</v>
      </c>
      <c r="E142" s="424">
        <v>6.0985836178728797E-5</v>
      </c>
      <c r="F142" s="424">
        <v>0</v>
      </c>
      <c r="G142" s="424">
        <v>0</v>
      </c>
      <c r="H142" s="424">
        <v>0.75040672684810295</v>
      </c>
      <c r="I142" s="424">
        <v>7.2978931085576496E-4</v>
      </c>
      <c r="J142" s="417"/>
    </row>
    <row r="143" spans="1:10" ht="15" customHeight="1" x14ac:dyDescent="0.25">
      <c r="A143" s="604" t="s">
        <v>234</v>
      </c>
      <c r="B143" s="114" t="s">
        <v>235</v>
      </c>
      <c r="C143" s="421">
        <v>0.99851048465710801</v>
      </c>
      <c r="D143" s="421">
        <v>0</v>
      </c>
      <c r="E143" s="421">
        <v>1.4890157157511901E-3</v>
      </c>
      <c r="F143" s="421">
        <v>0</v>
      </c>
      <c r="G143" s="421">
        <v>4.9962714087712605E-7</v>
      </c>
      <c r="H143" s="421">
        <v>0</v>
      </c>
      <c r="I143" s="421">
        <v>0</v>
      </c>
      <c r="J143" s="417"/>
    </row>
    <row r="144" spans="1:10" ht="15" customHeight="1" x14ac:dyDescent="0.25">
      <c r="A144" s="604"/>
      <c r="B144" s="72" t="s">
        <v>236</v>
      </c>
      <c r="C144" s="420">
        <v>0.99851048465710801</v>
      </c>
      <c r="D144" s="420">
        <v>0</v>
      </c>
      <c r="E144" s="420">
        <v>1.4890157157511901E-3</v>
      </c>
      <c r="F144" s="420">
        <v>0</v>
      </c>
      <c r="G144" s="420">
        <v>4.9962714087712605E-7</v>
      </c>
      <c r="H144" s="420">
        <v>0</v>
      </c>
      <c r="I144" s="420">
        <v>0</v>
      </c>
      <c r="J144" s="417"/>
    </row>
    <row r="145" spans="1:22" ht="15" customHeight="1" x14ac:dyDescent="0.25">
      <c r="A145" s="6" t="s">
        <v>455</v>
      </c>
      <c r="B145" s="114" t="s">
        <v>644</v>
      </c>
      <c r="C145" s="421">
        <v>0.53587160722601601</v>
      </c>
      <c r="D145" s="421">
        <v>3.56584305778646E-3</v>
      </c>
      <c r="E145" s="421">
        <v>2.9496051810416301E-3</v>
      </c>
      <c r="F145" s="421">
        <v>0.20420170572021901</v>
      </c>
      <c r="G145" s="421">
        <v>1.30638138047848E-2</v>
      </c>
      <c r="H145" s="421">
        <v>0.226371877775845</v>
      </c>
      <c r="I145" s="421">
        <v>1.39711685339718E-2</v>
      </c>
      <c r="J145" s="417"/>
    </row>
    <row r="146" spans="1:22" ht="15" customHeight="1" x14ac:dyDescent="0.25">
      <c r="A146" s="546" t="s">
        <v>755</v>
      </c>
      <c r="B146" s="546"/>
      <c r="C146" s="546"/>
      <c r="D146" s="546"/>
      <c r="E146" s="546"/>
      <c r="F146" s="546"/>
      <c r="G146" s="546"/>
      <c r="H146" s="546"/>
      <c r="I146" s="546"/>
      <c r="J146" s="309"/>
    </row>
    <row r="147" spans="1:22" ht="15" customHeight="1" x14ac:dyDescent="0.25"/>
    <row r="148" spans="1:22" ht="15" customHeight="1" x14ac:dyDescent="0.3">
      <c r="A148" s="398" t="s">
        <v>645</v>
      </c>
      <c r="B148" s="453"/>
      <c r="C148" s="454"/>
      <c r="D148" s="454"/>
      <c r="E148" s="454"/>
      <c r="F148" s="454"/>
      <c r="G148" s="454"/>
      <c r="H148" s="454"/>
      <c r="I148" s="454"/>
      <c r="J148" s="454"/>
      <c r="K148" s="454"/>
      <c r="L148" s="454"/>
      <c r="M148" s="454"/>
      <c r="N148" s="454"/>
      <c r="O148" s="454"/>
      <c r="P148" s="415"/>
      <c r="Q148" s="415"/>
      <c r="R148" s="415"/>
      <c r="S148" s="415"/>
      <c r="T148" s="399"/>
      <c r="U148" s="399"/>
      <c r="V148" s="399"/>
    </row>
    <row r="149" spans="1:22" ht="66.599999999999994" customHeight="1" x14ac:dyDescent="0.35">
      <c r="A149" s="33" t="s">
        <v>756</v>
      </c>
      <c r="B149" s="58" t="s">
        <v>207</v>
      </c>
      <c r="C149" s="58" t="s">
        <v>647</v>
      </c>
      <c r="D149" s="58" t="s">
        <v>648</v>
      </c>
      <c r="E149" s="58" t="s">
        <v>649</v>
      </c>
      <c r="F149" s="58" t="s">
        <v>650</v>
      </c>
      <c r="G149" s="58" t="s">
        <v>651</v>
      </c>
      <c r="H149" s="58" t="s">
        <v>757</v>
      </c>
      <c r="I149" s="58" t="s">
        <v>653</v>
      </c>
      <c r="J149" s="58" t="s">
        <v>758</v>
      </c>
      <c r="K149" s="58" t="s">
        <v>759</v>
      </c>
      <c r="L149" s="58" t="s">
        <v>760</v>
      </c>
      <c r="M149" s="58" t="s">
        <v>656</v>
      </c>
      <c r="N149" s="5" t="s">
        <v>657</v>
      </c>
      <c r="O149" s="58" t="s">
        <v>761</v>
      </c>
      <c r="P149" s="33" t="s">
        <v>659</v>
      </c>
      <c r="Q149" s="33" t="s">
        <v>660</v>
      </c>
      <c r="R149" s="33" t="s">
        <v>661</v>
      </c>
      <c r="S149" s="33" t="s">
        <v>662</v>
      </c>
      <c r="T149" s="13"/>
    </row>
    <row r="150" spans="1:22" ht="20.85" customHeight="1" x14ac:dyDescent="0.3">
      <c r="A150" s="602" t="s">
        <v>245</v>
      </c>
      <c r="B150" s="23" t="s">
        <v>246</v>
      </c>
      <c r="C150" s="391">
        <v>186757.458137104</v>
      </c>
      <c r="D150" s="391">
        <v>328.27831412960001</v>
      </c>
      <c r="E150" s="391">
        <v>0</v>
      </c>
      <c r="F150" s="391">
        <v>0</v>
      </c>
      <c r="G150" s="391">
        <v>43.159498704000001</v>
      </c>
      <c r="H150" s="391">
        <v>0</v>
      </c>
      <c r="I150" s="391">
        <v>0</v>
      </c>
      <c r="J150" s="98" t="s">
        <v>607</v>
      </c>
      <c r="K150" s="391">
        <v>0</v>
      </c>
      <c r="L150" s="391">
        <v>0</v>
      </c>
      <c r="M150" s="391">
        <v>714.699109564526</v>
      </c>
      <c r="N150" s="391">
        <v>0</v>
      </c>
      <c r="O150" s="391">
        <v>26265.483692000002</v>
      </c>
      <c r="P150" s="391">
        <v>214109.07875150201</v>
      </c>
      <c r="Q150" s="391">
        <v>220516.03375999999</v>
      </c>
      <c r="R150" s="391">
        <v>220516.03375999999</v>
      </c>
      <c r="S150" s="391">
        <v>434625.112511502</v>
      </c>
      <c r="T150" s="13"/>
    </row>
    <row r="151" spans="1:22" ht="20.85" customHeight="1" x14ac:dyDescent="0.3">
      <c r="A151" s="602"/>
      <c r="B151" s="85" t="s">
        <v>514</v>
      </c>
      <c r="C151" s="392">
        <v>115555.627490524</v>
      </c>
      <c r="D151" s="392">
        <v>328.27831412960001</v>
      </c>
      <c r="E151" s="392">
        <v>0</v>
      </c>
      <c r="F151" s="392">
        <v>0</v>
      </c>
      <c r="G151" s="392">
        <v>39.9592365552</v>
      </c>
      <c r="H151" s="392">
        <v>0</v>
      </c>
      <c r="I151" s="392">
        <v>0</v>
      </c>
      <c r="J151" s="74" t="s">
        <v>607</v>
      </c>
      <c r="K151" s="392">
        <v>0</v>
      </c>
      <c r="L151" s="392">
        <v>0</v>
      </c>
      <c r="M151" s="392">
        <v>486.71468911804402</v>
      </c>
      <c r="N151" s="392">
        <v>0</v>
      </c>
      <c r="O151" s="392">
        <v>21492.155692</v>
      </c>
      <c r="P151" s="392">
        <v>137902.73542232701</v>
      </c>
      <c r="Q151" s="392">
        <v>145484.63248</v>
      </c>
      <c r="R151" s="392">
        <v>145484.63248</v>
      </c>
      <c r="S151" s="392">
        <v>283387.36790232698</v>
      </c>
      <c r="T151" s="13"/>
    </row>
    <row r="152" spans="1:22" ht="20.85" customHeight="1" x14ac:dyDescent="0.3">
      <c r="A152" s="602"/>
      <c r="B152" s="85" t="s">
        <v>247</v>
      </c>
      <c r="C152" s="392">
        <v>71201.830646579794</v>
      </c>
      <c r="D152" s="392">
        <v>0</v>
      </c>
      <c r="E152" s="392">
        <v>0</v>
      </c>
      <c r="F152" s="392">
        <v>0</v>
      </c>
      <c r="G152" s="392">
        <v>3.2002621487999998</v>
      </c>
      <c r="H152" s="392">
        <v>0</v>
      </c>
      <c r="I152" s="392">
        <v>0</v>
      </c>
      <c r="J152" s="74" t="s">
        <v>607</v>
      </c>
      <c r="K152" s="392">
        <v>0</v>
      </c>
      <c r="L152" s="392">
        <v>0</v>
      </c>
      <c r="M152" s="392">
        <v>227.98442044648201</v>
      </c>
      <c r="N152" s="392">
        <v>0</v>
      </c>
      <c r="O152" s="392">
        <v>4773.3280000000004</v>
      </c>
      <c r="P152" s="392">
        <v>76206.343329175099</v>
      </c>
      <c r="Q152" s="392">
        <v>75031.401280000005</v>
      </c>
      <c r="R152" s="392">
        <v>75031.401280000005</v>
      </c>
      <c r="S152" s="392">
        <v>151237.74460917499</v>
      </c>
      <c r="T152" s="13"/>
      <c r="U152" s="2"/>
    </row>
    <row r="153" spans="1:22" ht="20.85" customHeight="1" x14ac:dyDescent="0.3">
      <c r="A153" s="599" t="s">
        <v>251</v>
      </c>
      <c r="B153" s="23" t="s">
        <v>252</v>
      </c>
      <c r="C153" s="391">
        <v>498045.11601083801</v>
      </c>
      <c r="D153" s="391">
        <v>0</v>
      </c>
      <c r="E153" s="391">
        <v>4.3916903999999999</v>
      </c>
      <c r="F153" s="391">
        <v>438398.48307999998</v>
      </c>
      <c r="G153" s="391">
        <v>2522.508631788</v>
      </c>
      <c r="H153" s="391">
        <v>0</v>
      </c>
      <c r="I153" s="391">
        <v>19140.794984579999</v>
      </c>
      <c r="J153" s="488">
        <v>11.262081584642599</v>
      </c>
      <c r="K153" s="391">
        <v>0</v>
      </c>
      <c r="L153" s="391">
        <v>0</v>
      </c>
      <c r="M153" s="391">
        <v>12745.5689171256</v>
      </c>
      <c r="N153" s="391">
        <v>290.29294916999999</v>
      </c>
      <c r="O153" s="391">
        <v>5032.8886400000001</v>
      </c>
      <c r="P153" s="391">
        <v>976191.30698548595</v>
      </c>
      <c r="Q153" s="391">
        <v>1432255.8947568</v>
      </c>
      <c r="R153" s="391">
        <v>1289714.9597568</v>
      </c>
      <c r="S153" s="391">
        <v>2408447.2017422901</v>
      </c>
      <c r="T153" s="13"/>
      <c r="U153" s="2"/>
    </row>
    <row r="154" spans="1:22" ht="20.85" customHeight="1" x14ac:dyDescent="0.3">
      <c r="A154" s="600"/>
      <c r="B154" s="85" t="s">
        <v>253</v>
      </c>
      <c r="C154" s="392">
        <v>235310.30334499801</v>
      </c>
      <c r="D154" s="392">
        <v>0</v>
      </c>
      <c r="E154" s="392">
        <v>0</v>
      </c>
      <c r="F154" s="392">
        <v>0</v>
      </c>
      <c r="G154" s="392">
        <v>1709.7948579599999</v>
      </c>
      <c r="H154" s="392">
        <v>0</v>
      </c>
      <c r="I154" s="392">
        <v>0</v>
      </c>
      <c r="J154" s="74" t="s">
        <v>607</v>
      </c>
      <c r="K154" s="392">
        <v>0</v>
      </c>
      <c r="L154" s="392">
        <v>0</v>
      </c>
      <c r="M154" s="392">
        <v>713.76286878097301</v>
      </c>
      <c r="N154" s="392">
        <v>142.12896741</v>
      </c>
      <c r="O154" s="392">
        <v>856.08600000000001</v>
      </c>
      <c r="P154" s="392">
        <v>238732.07603914899</v>
      </c>
      <c r="Q154" s="392">
        <v>646185.57200000004</v>
      </c>
      <c r="R154" s="392">
        <v>503644.63699999999</v>
      </c>
      <c r="S154" s="392">
        <v>884917.648039149</v>
      </c>
      <c r="T154" s="13"/>
    </row>
    <row r="155" spans="1:22" ht="20.85" customHeight="1" x14ac:dyDescent="0.3">
      <c r="A155" s="600"/>
      <c r="B155" s="85" t="s">
        <v>724</v>
      </c>
      <c r="C155" s="392">
        <v>73554.483833599996</v>
      </c>
      <c r="D155" s="392">
        <v>0</v>
      </c>
      <c r="E155" s="392">
        <v>0</v>
      </c>
      <c r="F155" s="392">
        <v>0</v>
      </c>
      <c r="G155" s="392">
        <v>0.16570948799999999</v>
      </c>
      <c r="H155" s="392">
        <v>0</v>
      </c>
      <c r="I155" s="392">
        <v>0</v>
      </c>
      <c r="J155" s="487">
        <v>6.1390559916285596</v>
      </c>
      <c r="K155" s="392">
        <v>0</v>
      </c>
      <c r="L155" s="392">
        <v>0</v>
      </c>
      <c r="M155" s="392">
        <v>4512.6802015937801</v>
      </c>
      <c r="N155" s="392">
        <v>90.595070460000002</v>
      </c>
      <c r="O155" s="392">
        <v>1419.5547999999999</v>
      </c>
      <c r="P155" s="392">
        <v>79583.618671133401</v>
      </c>
      <c r="Q155" s="392">
        <v>786070.32275679999</v>
      </c>
      <c r="R155" s="392">
        <v>786070.32275679999</v>
      </c>
      <c r="S155" s="392">
        <v>865653.94142793305</v>
      </c>
      <c r="T155" s="13"/>
    </row>
    <row r="156" spans="1:22" ht="20.85" customHeight="1" x14ac:dyDescent="0.3">
      <c r="A156" s="600"/>
      <c r="B156" s="85" t="s">
        <v>256</v>
      </c>
      <c r="C156" s="392">
        <v>54217.595604640002</v>
      </c>
      <c r="D156" s="392">
        <v>0</v>
      </c>
      <c r="E156" s="392">
        <v>4.3916903999999999</v>
      </c>
      <c r="F156" s="392">
        <v>134755.89687999999</v>
      </c>
      <c r="G156" s="392">
        <v>737.86977534000005</v>
      </c>
      <c r="H156" s="392">
        <v>0</v>
      </c>
      <c r="I156" s="392">
        <v>16229.073887686</v>
      </c>
      <c r="J156" s="74" t="s">
        <v>607</v>
      </c>
      <c r="K156" s="392">
        <v>0</v>
      </c>
      <c r="L156" s="392">
        <v>0</v>
      </c>
      <c r="M156" s="392">
        <v>4299.8578275939499</v>
      </c>
      <c r="N156" s="392">
        <v>33.519687300000001</v>
      </c>
      <c r="O156" s="392">
        <v>724.78984000000003</v>
      </c>
      <c r="P156" s="392">
        <v>211002.99519295999</v>
      </c>
      <c r="Q156" s="392">
        <v>0</v>
      </c>
      <c r="R156" s="392">
        <v>0</v>
      </c>
      <c r="S156" s="392">
        <v>211002.99519295999</v>
      </c>
      <c r="T156" s="13"/>
    </row>
    <row r="157" spans="1:22" ht="20.85" customHeight="1" x14ac:dyDescent="0.3">
      <c r="A157" s="601"/>
      <c r="B157" s="85" t="s">
        <v>725</v>
      </c>
      <c r="C157" s="392">
        <v>134962.73322759999</v>
      </c>
      <c r="D157" s="392">
        <v>0</v>
      </c>
      <c r="E157" s="392">
        <v>0</v>
      </c>
      <c r="F157" s="392">
        <v>303642.58620000002</v>
      </c>
      <c r="G157" s="392">
        <v>74.678289000000007</v>
      </c>
      <c r="H157" s="392">
        <v>0</v>
      </c>
      <c r="I157" s="392">
        <v>2911.7210968939999</v>
      </c>
      <c r="J157" s="487">
        <v>5.1230255930140602</v>
      </c>
      <c r="K157" s="392">
        <v>0</v>
      </c>
      <c r="L157" s="392">
        <v>0</v>
      </c>
      <c r="M157" s="392">
        <v>3219.2680191569102</v>
      </c>
      <c r="N157" s="392">
        <v>24.049223999999999</v>
      </c>
      <c r="O157" s="392">
        <v>2032.4580000000001</v>
      </c>
      <c r="P157" s="392">
        <v>446872.61708224402</v>
      </c>
      <c r="Q157" s="392">
        <v>0</v>
      </c>
      <c r="R157" s="392">
        <v>0</v>
      </c>
      <c r="S157" s="392">
        <v>446872.61708224402</v>
      </c>
      <c r="T157" s="13"/>
    </row>
    <row r="158" spans="1:22" ht="20.85" customHeight="1" x14ac:dyDescent="0.3">
      <c r="A158" s="602" t="s">
        <v>213</v>
      </c>
      <c r="B158" s="23" t="s">
        <v>328</v>
      </c>
      <c r="C158" s="391">
        <v>25218.963039852599</v>
      </c>
      <c r="D158" s="391">
        <v>0</v>
      </c>
      <c r="E158" s="391">
        <v>17.127071622984001</v>
      </c>
      <c r="F158" s="391">
        <v>0</v>
      </c>
      <c r="G158" s="391">
        <v>77.201186304239997</v>
      </c>
      <c r="H158" s="391">
        <v>0</v>
      </c>
      <c r="I158" s="391">
        <v>1238.215842864</v>
      </c>
      <c r="J158" s="98" t="s">
        <v>607</v>
      </c>
      <c r="K158" s="391">
        <v>0</v>
      </c>
      <c r="L158" s="391">
        <v>0</v>
      </c>
      <c r="M158" s="391">
        <v>26.873550000000002</v>
      </c>
      <c r="N158" s="391">
        <v>0</v>
      </c>
      <c r="O158" s="391">
        <v>1000.7648</v>
      </c>
      <c r="P158" s="391">
        <v>27579.145490643801</v>
      </c>
      <c r="Q158" s="391">
        <v>36304.099600000001</v>
      </c>
      <c r="R158" s="391">
        <v>36304.099600000001</v>
      </c>
      <c r="S158" s="391">
        <v>63883.245090643803</v>
      </c>
      <c r="T158" s="13"/>
    </row>
    <row r="159" spans="1:22" ht="20.85" customHeight="1" x14ac:dyDescent="0.3">
      <c r="A159" s="602"/>
      <c r="B159" s="85" t="s">
        <v>453</v>
      </c>
      <c r="C159" s="392">
        <v>25218.963039852599</v>
      </c>
      <c r="D159" s="392">
        <v>0</v>
      </c>
      <c r="E159" s="392">
        <v>17.127071622984001</v>
      </c>
      <c r="F159" s="392">
        <v>0</v>
      </c>
      <c r="G159" s="392">
        <v>77.201186304239997</v>
      </c>
      <c r="H159" s="392">
        <v>0</v>
      </c>
      <c r="I159" s="392">
        <v>1238.215842864</v>
      </c>
      <c r="J159" s="74" t="s">
        <v>607</v>
      </c>
      <c r="K159" s="392">
        <v>0</v>
      </c>
      <c r="L159" s="392">
        <v>0</v>
      </c>
      <c r="M159" s="392">
        <v>26.873550000000002</v>
      </c>
      <c r="N159" s="392">
        <v>0</v>
      </c>
      <c r="O159" s="392">
        <v>1000.7648</v>
      </c>
      <c r="P159" s="392">
        <v>27579.145490643801</v>
      </c>
      <c r="Q159" s="392">
        <v>36304.099600000001</v>
      </c>
      <c r="R159" s="392">
        <v>36304.099600000001</v>
      </c>
      <c r="S159" s="392">
        <v>63883.245090643803</v>
      </c>
      <c r="T159" s="13"/>
    </row>
    <row r="160" spans="1:22" ht="20.85" customHeight="1" x14ac:dyDescent="0.3">
      <c r="A160" s="602"/>
      <c r="B160" s="23" t="s">
        <v>214</v>
      </c>
      <c r="C160" s="391">
        <v>214283.05857304399</v>
      </c>
      <c r="D160" s="391">
        <v>1319.25972484</v>
      </c>
      <c r="E160" s="391">
        <v>2240.4484169512498</v>
      </c>
      <c r="F160" s="391">
        <v>0</v>
      </c>
      <c r="G160" s="391">
        <v>359.23926187087199</v>
      </c>
      <c r="H160" s="391">
        <v>0</v>
      </c>
      <c r="I160" s="391">
        <v>3143.5688065320001</v>
      </c>
      <c r="J160" s="98" t="s">
        <v>607</v>
      </c>
      <c r="K160" s="391">
        <v>0</v>
      </c>
      <c r="L160" s="391">
        <v>0</v>
      </c>
      <c r="M160" s="391">
        <v>840.44899892366402</v>
      </c>
      <c r="N160" s="391">
        <v>0</v>
      </c>
      <c r="O160" s="391">
        <v>4372.756148814</v>
      </c>
      <c r="P160" s="391">
        <v>226558.779930975</v>
      </c>
      <c r="Q160" s="391">
        <v>359526.60903812997</v>
      </c>
      <c r="R160" s="391">
        <v>335503.32074542198</v>
      </c>
      <c r="S160" s="391">
        <v>586085.38896910497</v>
      </c>
      <c r="T160" s="13"/>
    </row>
    <row r="161" spans="1:20" ht="20.85" customHeight="1" x14ac:dyDescent="0.3">
      <c r="A161" s="602"/>
      <c r="B161" s="85" t="s">
        <v>215</v>
      </c>
      <c r="C161" s="392">
        <v>214283.05857304399</v>
      </c>
      <c r="D161" s="392">
        <v>1319.25972484</v>
      </c>
      <c r="E161" s="392">
        <v>2240.4484169512498</v>
      </c>
      <c r="F161" s="392">
        <v>0</v>
      </c>
      <c r="G161" s="392">
        <v>359.23926187087199</v>
      </c>
      <c r="H161" s="392">
        <v>0</v>
      </c>
      <c r="I161" s="392">
        <v>3143.5688065320001</v>
      </c>
      <c r="J161" s="74" t="s">
        <v>607</v>
      </c>
      <c r="K161" s="392">
        <v>0</v>
      </c>
      <c r="L161" s="392">
        <v>0</v>
      </c>
      <c r="M161" s="392">
        <v>840.44899892366402</v>
      </c>
      <c r="N161" s="392">
        <v>0</v>
      </c>
      <c r="O161" s="392">
        <v>4372.756148814</v>
      </c>
      <c r="P161" s="392">
        <v>226558.779930975</v>
      </c>
      <c r="Q161" s="392">
        <v>359526.60903812997</v>
      </c>
      <c r="R161" s="392">
        <v>335503.32074542198</v>
      </c>
      <c r="S161" s="392">
        <v>586085.38896910497</v>
      </c>
      <c r="T161" s="13"/>
    </row>
    <row r="162" spans="1:20" ht="20.85" customHeight="1" x14ac:dyDescent="0.3">
      <c r="A162" s="602"/>
      <c r="B162" s="23" t="s">
        <v>265</v>
      </c>
      <c r="C162" s="391">
        <v>128177.84053410401</v>
      </c>
      <c r="D162" s="391">
        <v>0</v>
      </c>
      <c r="E162" s="391">
        <v>134.263301094318</v>
      </c>
      <c r="F162" s="391">
        <v>0</v>
      </c>
      <c r="G162" s="391">
        <v>2.0038338684000001</v>
      </c>
      <c r="H162" s="391">
        <v>137682.91982087999</v>
      </c>
      <c r="I162" s="391">
        <v>0</v>
      </c>
      <c r="J162" s="98" t="s">
        <v>607</v>
      </c>
      <c r="K162" s="391">
        <v>0</v>
      </c>
      <c r="L162" s="391">
        <v>0</v>
      </c>
      <c r="M162" s="391">
        <v>2143.6584964652302</v>
      </c>
      <c r="N162" s="391">
        <v>0</v>
      </c>
      <c r="O162" s="391">
        <v>1972.0608674304999</v>
      </c>
      <c r="P162" s="391">
        <v>270112.74685384298</v>
      </c>
      <c r="Q162" s="391">
        <v>0</v>
      </c>
      <c r="R162" s="391">
        <v>0</v>
      </c>
      <c r="S162" s="391">
        <v>270112.74685384298</v>
      </c>
      <c r="T162" s="13"/>
    </row>
    <row r="163" spans="1:20" ht="20.85" customHeight="1" x14ac:dyDescent="0.3">
      <c r="A163" s="602"/>
      <c r="B163" s="85" t="s">
        <v>266</v>
      </c>
      <c r="C163" s="392">
        <v>128177.84053410401</v>
      </c>
      <c r="D163" s="392">
        <v>0</v>
      </c>
      <c r="E163" s="392">
        <v>134.263301094318</v>
      </c>
      <c r="F163" s="392">
        <v>0</v>
      </c>
      <c r="G163" s="392">
        <v>2.0038338684000001</v>
      </c>
      <c r="H163" s="392">
        <v>137682.91982087999</v>
      </c>
      <c r="I163" s="392">
        <v>0</v>
      </c>
      <c r="J163" s="74" t="s">
        <v>607</v>
      </c>
      <c r="K163" s="392">
        <v>0</v>
      </c>
      <c r="L163" s="392">
        <v>0</v>
      </c>
      <c r="M163" s="392">
        <v>2143.6584964652302</v>
      </c>
      <c r="N163" s="392">
        <v>0</v>
      </c>
      <c r="O163" s="392">
        <v>1972.0608674304999</v>
      </c>
      <c r="P163" s="392">
        <v>270112.74685384298</v>
      </c>
      <c r="Q163" s="392">
        <v>0</v>
      </c>
      <c r="R163" s="392">
        <v>0</v>
      </c>
      <c r="S163" s="392">
        <v>270112.74685384298</v>
      </c>
      <c r="T163" s="13"/>
    </row>
    <row r="164" spans="1:20" ht="20.85" customHeight="1" x14ac:dyDescent="0.3">
      <c r="A164" s="602" t="s">
        <v>224</v>
      </c>
      <c r="B164" s="23" t="s">
        <v>225</v>
      </c>
      <c r="C164" s="391">
        <v>209635.85603003</v>
      </c>
      <c r="D164" s="391">
        <v>164.31611043999999</v>
      </c>
      <c r="E164" s="391">
        <v>4839.4803894453798</v>
      </c>
      <c r="F164" s="391">
        <v>9602.4580575</v>
      </c>
      <c r="G164" s="391">
        <v>30608.018721083099</v>
      </c>
      <c r="H164" s="391">
        <v>0</v>
      </c>
      <c r="I164" s="391">
        <v>17797.1473996971</v>
      </c>
      <c r="J164" s="488">
        <v>1.25316575829114</v>
      </c>
      <c r="K164" s="391">
        <v>45.847954163428298</v>
      </c>
      <c r="L164" s="391">
        <v>0</v>
      </c>
      <c r="M164" s="391">
        <v>3118.7632461268599</v>
      </c>
      <c r="N164" s="391">
        <v>17.657715934782001</v>
      </c>
      <c r="O164" s="391">
        <v>5337.56828643684</v>
      </c>
      <c r="P164" s="391">
        <v>281168.484462241</v>
      </c>
      <c r="Q164" s="391">
        <v>13657.25694397</v>
      </c>
      <c r="R164" s="391">
        <v>12815.706474549999</v>
      </c>
      <c r="S164" s="391">
        <v>294825.74140621099</v>
      </c>
      <c r="T164" s="13"/>
    </row>
    <row r="165" spans="1:20" ht="20.85" customHeight="1" x14ac:dyDescent="0.3">
      <c r="A165" s="602"/>
      <c r="B165" s="85" t="s">
        <v>726</v>
      </c>
      <c r="C165" s="392">
        <v>20235.9878384228</v>
      </c>
      <c r="D165" s="392">
        <v>164.31611043999999</v>
      </c>
      <c r="E165" s="392">
        <v>921.33438981500001</v>
      </c>
      <c r="F165" s="392">
        <v>0</v>
      </c>
      <c r="G165" s="392">
        <v>2570.2545403491599</v>
      </c>
      <c r="H165" s="392">
        <v>0</v>
      </c>
      <c r="I165" s="392">
        <v>5321.3593672366696</v>
      </c>
      <c r="J165" s="487">
        <v>1.25316575829114</v>
      </c>
      <c r="K165" s="392">
        <v>0</v>
      </c>
      <c r="L165" s="392">
        <v>0</v>
      </c>
      <c r="M165" s="392">
        <v>130.884559789766</v>
      </c>
      <c r="N165" s="392">
        <v>17.657715934782001</v>
      </c>
      <c r="O165" s="392">
        <v>1518.4147766399999</v>
      </c>
      <c r="P165" s="392">
        <v>30881.462464386499</v>
      </c>
      <c r="Q165" s="392">
        <v>1153.8249914</v>
      </c>
      <c r="R165" s="392">
        <v>1153.8249914</v>
      </c>
      <c r="S165" s="392">
        <v>32035.2874557865</v>
      </c>
      <c r="T165" s="13"/>
    </row>
    <row r="166" spans="1:20" ht="20.85" customHeight="1" x14ac:dyDescent="0.3">
      <c r="A166" s="602"/>
      <c r="B166" s="85" t="s">
        <v>226</v>
      </c>
      <c r="C166" s="392">
        <v>27216.835249925101</v>
      </c>
      <c r="D166" s="392">
        <v>0</v>
      </c>
      <c r="E166" s="392">
        <v>680.25725432832996</v>
      </c>
      <c r="F166" s="392">
        <v>0</v>
      </c>
      <c r="G166" s="392">
        <v>8699.2546669807798</v>
      </c>
      <c r="H166" s="392">
        <v>0</v>
      </c>
      <c r="I166" s="392">
        <v>1586.1032124133801</v>
      </c>
      <c r="J166" s="74" t="s">
        <v>607</v>
      </c>
      <c r="K166" s="392">
        <v>0</v>
      </c>
      <c r="L166" s="392">
        <v>0</v>
      </c>
      <c r="M166" s="392">
        <v>1083.75681083278</v>
      </c>
      <c r="N166" s="392">
        <v>0</v>
      </c>
      <c r="O166" s="392">
        <v>445.65994663343997</v>
      </c>
      <c r="P166" s="392">
        <v>39711.867141113798</v>
      </c>
      <c r="Q166" s="392">
        <v>322.19414877000003</v>
      </c>
      <c r="R166" s="392">
        <v>371.76247934999998</v>
      </c>
      <c r="S166" s="392">
        <v>40034.061289883801</v>
      </c>
      <c r="T166" s="13"/>
    </row>
    <row r="167" spans="1:20" ht="20.85" customHeight="1" x14ac:dyDescent="0.3">
      <c r="A167" s="602"/>
      <c r="B167" s="85" t="s">
        <v>454</v>
      </c>
      <c r="C167" s="392">
        <v>21786.144089027901</v>
      </c>
      <c r="D167" s="392">
        <v>0</v>
      </c>
      <c r="E167" s="392">
        <v>369.23009811449998</v>
      </c>
      <c r="F167" s="392">
        <v>0</v>
      </c>
      <c r="G167" s="392">
        <v>14044.8299281361</v>
      </c>
      <c r="H167" s="392">
        <v>0</v>
      </c>
      <c r="I167" s="392">
        <v>2024.7749609546099</v>
      </c>
      <c r="J167" s="74" t="s">
        <v>607</v>
      </c>
      <c r="K167" s="392">
        <v>15.2897109271355</v>
      </c>
      <c r="L167" s="392">
        <v>0</v>
      </c>
      <c r="M167" s="392">
        <v>626.75319003201298</v>
      </c>
      <c r="N167" s="392">
        <v>0</v>
      </c>
      <c r="O167" s="392">
        <v>1527.3949304928001</v>
      </c>
      <c r="P167" s="392">
        <v>40394.416907685103</v>
      </c>
      <c r="Q167" s="392">
        <v>3965.808</v>
      </c>
      <c r="R167" s="392">
        <v>3597.5544</v>
      </c>
      <c r="S167" s="392">
        <v>44360.2249076851</v>
      </c>
      <c r="T167" s="13"/>
    </row>
    <row r="168" spans="1:20" ht="20.85" customHeight="1" x14ac:dyDescent="0.3">
      <c r="A168" s="602"/>
      <c r="B168" s="85" t="s">
        <v>230</v>
      </c>
      <c r="C168" s="392">
        <v>44040.077745422401</v>
      </c>
      <c r="D168" s="392">
        <v>0</v>
      </c>
      <c r="E168" s="392">
        <v>1167.6444061355501</v>
      </c>
      <c r="F168" s="392">
        <v>9602.4580575</v>
      </c>
      <c r="G168" s="392">
        <v>387.09006290045198</v>
      </c>
      <c r="H168" s="392">
        <v>0</v>
      </c>
      <c r="I168" s="392">
        <v>0</v>
      </c>
      <c r="J168" s="74" t="s">
        <v>607</v>
      </c>
      <c r="K168" s="392">
        <v>30.5582432362928</v>
      </c>
      <c r="L168" s="392">
        <v>0</v>
      </c>
      <c r="M168" s="392">
        <v>1159.3018986883201</v>
      </c>
      <c r="N168" s="392">
        <v>0</v>
      </c>
      <c r="O168" s="392">
        <v>1410.0239999999999</v>
      </c>
      <c r="P168" s="392">
        <v>57797.154413883101</v>
      </c>
      <c r="Q168" s="392">
        <v>5630.8559999999998</v>
      </c>
      <c r="R168" s="392">
        <v>5107.9907999999996</v>
      </c>
      <c r="S168" s="392">
        <v>63428.010413883101</v>
      </c>
      <c r="T168" s="13"/>
    </row>
    <row r="169" spans="1:20" ht="20.85" customHeight="1" x14ac:dyDescent="0.3">
      <c r="A169" s="602"/>
      <c r="B169" s="85" t="s">
        <v>727</v>
      </c>
      <c r="C169" s="392">
        <v>96356.811107231799</v>
      </c>
      <c r="D169" s="392">
        <v>0</v>
      </c>
      <c r="E169" s="392">
        <v>1701.014241052</v>
      </c>
      <c r="F169" s="392">
        <v>0</v>
      </c>
      <c r="G169" s="392">
        <v>4906.5895227165602</v>
      </c>
      <c r="H169" s="392">
        <v>0</v>
      </c>
      <c r="I169" s="392">
        <v>8864.9098590924405</v>
      </c>
      <c r="J169" s="74" t="s">
        <v>730</v>
      </c>
      <c r="K169" s="392">
        <v>0</v>
      </c>
      <c r="L169" s="392">
        <v>0</v>
      </c>
      <c r="M169" s="392">
        <v>118.066786783979</v>
      </c>
      <c r="N169" s="392">
        <v>0</v>
      </c>
      <c r="O169" s="392">
        <v>436.07463267060001</v>
      </c>
      <c r="P169" s="392">
        <v>112383.583535172</v>
      </c>
      <c r="Q169" s="392">
        <v>2584.5738038</v>
      </c>
      <c r="R169" s="392">
        <v>2584.5738038</v>
      </c>
      <c r="S169" s="392">
        <v>114968.157338972</v>
      </c>
      <c r="T169" s="13"/>
    </row>
    <row r="170" spans="1:20" ht="20.85" customHeight="1" x14ac:dyDescent="0.3">
      <c r="A170" s="602"/>
      <c r="B170" s="23" t="s">
        <v>276</v>
      </c>
      <c r="C170" s="391">
        <v>78209.582175607706</v>
      </c>
      <c r="D170" s="391">
        <v>761.01088491791995</v>
      </c>
      <c r="E170" s="391">
        <v>1186.2716320176801</v>
      </c>
      <c r="F170" s="391">
        <v>808.41515232894096</v>
      </c>
      <c r="G170" s="391">
        <v>329.03428192970398</v>
      </c>
      <c r="H170" s="391">
        <v>0</v>
      </c>
      <c r="I170" s="391">
        <v>0</v>
      </c>
      <c r="J170" s="488">
        <v>0</v>
      </c>
      <c r="K170" s="391">
        <v>0</v>
      </c>
      <c r="L170" s="391">
        <v>0</v>
      </c>
      <c r="M170" s="391">
        <v>570.22250263199999</v>
      </c>
      <c r="N170" s="391">
        <v>0</v>
      </c>
      <c r="O170" s="391">
        <v>560.66738486220004</v>
      </c>
      <c r="P170" s="391">
        <v>82425.204014296105</v>
      </c>
      <c r="Q170" s="391">
        <v>61454.919759999997</v>
      </c>
      <c r="R170" s="391">
        <v>47817.350066200001</v>
      </c>
      <c r="S170" s="391">
        <v>143880.12377429599</v>
      </c>
      <c r="T170" s="13"/>
    </row>
    <row r="171" spans="1:20" ht="20.85" customHeight="1" x14ac:dyDescent="0.3">
      <c r="A171" s="602"/>
      <c r="B171" s="85" t="s">
        <v>277</v>
      </c>
      <c r="C171" s="392">
        <v>78209.582175607706</v>
      </c>
      <c r="D171" s="392">
        <v>761.01088491791995</v>
      </c>
      <c r="E171" s="392">
        <v>1186.2716320176801</v>
      </c>
      <c r="F171" s="392">
        <v>808.41515232894096</v>
      </c>
      <c r="G171" s="392">
        <v>329.03428192970398</v>
      </c>
      <c r="H171" s="392">
        <v>0</v>
      </c>
      <c r="I171" s="392">
        <v>0</v>
      </c>
      <c r="J171" s="74" t="s">
        <v>607</v>
      </c>
      <c r="K171" s="392">
        <v>0</v>
      </c>
      <c r="L171" s="392">
        <v>0</v>
      </c>
      <c r="M171" s="392">
        <v>570.22250263199999</v>
      </c>
      <c r="N171" s="392">
        <v>0</v>
      </c>
      <c r="O171" s="392">
        <v>560.66738486220004</v>
      </c>
      <c r="P171" s="392">
        <v>82425.204014296105</v>
      </c>
      <c r="Q171" s="392">
        <v>61454.919759999997</v>
      </c>
      <c r="R171" s="392">
        <v>47817.350066200001</v>
      </c>
      <c r="S171" s="392">
        <v>143880.12377429599</v>
      </c>
      <c r="T171" s="13"/>
    </row>
    <row r="172" spans="1:20" ht="20.85" customHeight="1" x14ac:dyDescent="0.3">
      <c r="A172" s="599" t="s">
        <v>728</v>
      </c>
      <c r="B172" s="86" t="s">
        <v>729</v>
      </c>
      <c r="C172" s="391">
        <v>175105.538778624</v>
      </c>
      <c r="D172" s="391">
        <v>1651.1222474799999</v>
      </c>
      <c r="E172" s="391">
        <v>44.478897551999999</v>
      </c>
      <c r="F172" s="391">
        <v>0</v>
      </c>
      <c r="G172" s="391">
        <v>0</v>
      </c>
      <c r="H172" s="391">
        <v>580636.32012068795</v>
      </c>
      <c r="I172" s="391">
        <v>517.42246829400005</v>
      </c>
      <c r="J172" s="488">
        <v>0</v>
      </c>
      <c r="K172" s="391">
        <v>0</v>
      </c>
      <c r="L172" s="391">
        <v>23577.861969826499</v>
      </c>
      <c r="M172" s="391">
        <v>9144.4215002814308</v>
      </c>
      <c r="N172" s="391">
        <v>0</v>
      </c>
      <c r="O172" s="391">
        <v>2448.3736600000002</v>
      </c>
      <c r="P172" s="391">
        <v>793125.53964274598</v>
      </c>
      <c r="Q172" s="391">
        <v>0</v>
      </c>
      <c r="R172" s="391">
        <v>0</v>
      </c>
      <c r="S172" s="391">
        <v>793125.53964274598</v>
      </c>
      <c r="T172" s="13"/>
    </row>
    <row r="173" spans="1:20" ht="20.85" customHeight="1" x14ac:dyDescent="0.3">
      <c r="A173" s="601"/>
      <c r="B173" s="85" t="s">
        <v>731</v>
      </c>
      <c r="C173" s="477">
        <v>175105.538778624</v>
      </c>
      <c r="D173" s="477">
        <v>1651.1222474799999</v>
      </c>
      <c r="E173" s="477">
        <v>44.478897551999999</v>
      </c>
      <c r="F173" s="477">
        <v>0</v>
      </c>
      <c r="G173" s="477">
        <v>0</v>
      </c>
      <c r="H173" s="477">
        <v>580636.32012068795</v>
      </c>
      <c r="I173" s="477">
        <v>517.42246829400005</v>
      </c>
      <c r="J173" s="76" t="s">
        <v>730</v>
      </c>
      <c r="K173" s="477">
        <v>0</v>
      </c>
      <c r="L173" s="477">
        <v>23577.861969826499</v>
      </c>
      <c r="M173" s="477">
        <v>9144.4215002814308</v>
      </c>
      <c r="N173" s="477">
        <v>0</v>
      </c>
      <c r="O173" s="477">
        <v>2448.3736600000002</v>
      </c>
      <c r="P173" s="477">
        <v>793125.53964274598</v>
      </c>
      <c r="Q173" s="477">
        <v>0</v>
      </c>
      <c r="R173" s="477">
        <v>0</v>
      </c>
      <c r="S173" s="477">
        <v>793125.53964274598</v>
      </c>
      <c r="T173" s="13"/>
    </row>
    <row r="174" spans="1:20" ht="20.85" customHeight="1" x14ac:dyDescent="0.3">
      <c r="A174" s="602" t="s">
        <v>234</v>
      </c>
      <c r="B174" s="23" t="s">
        <v>235</v>
      </c>
      <c r="C174" s="391">
        <v>129449.105635913</v>
      </c>
      <c r="D174" s="391">
        <v>0</v>
      </c>
      <c r="E174" s="391">
        <v>181.40635036906201</v>
      </c>
      <c r="F174" s="391">
        <v>0</v>
      </c>
      <c r="G174" s="391">
        <v>5.5255902422399999E-2</v>
      </c>
      <c r="H174" s="391">
        <v>0</v>
      </c>
      <c r="I174" s="391">
        <v>0</v>
      </c>
      <c r="J174" s="98" t="s">
        <v>607</v>
      </c>
      <c r="K174" s="391">
        <v>8.2315065360820103</v>
      </c>
      <c r="L174" s="391">
        <v>0</v>
      </c>
      <c r="M174" s="391">
        <v>1004.87136765157</v>
      </c>
      <c r="N174" s="391">
        <v>0</v>
      </c>
      <c r="O174" s="391">
        <v>622.60799999999995</v>
      </c>
      <c r="P174" s="391">
        <v>131266.27811637201</v>
      </c>
      <c r="Q174" s="391">
        <v>0</v>
      </c>
      <c r="R174" s="391">
        <v>41687.367821400003</v>
      </c>
      <c r="S174" s="391">
        <v>131266.27811637201</v>
      </c>
      <c r="T174" s="13"/>
    </row>
    <row r="175" spans="1:20" ht="20.85" customHeight="1" x14ac:dyDescent="0.3">
      <c r="A175" s="602"/>
      <c r="B175" s="85" t="s">
        <v>236</v>
      </c>
      <c r="C175" s="392">
        <v>129449.105635913</v>
      </c>
      <c r="D175" s="392">
        <v>0</v>
      </c>
      <c r="E175" s="392">
        <v>181.40635036906201</v>
      </c>
      <c r="F175" s="392">
        <v>0</v>
      </c>
      <c r="G175" s="392">
        <v>5.5255902422399999E-2</v>
      </c>
      <c r="H175" s="392">
        <v>0</v>
      </c>
      <c r="I175" s="392">
        <v>0</v>
      </c>
      <c r="J175" s="74" t="s">
        <v>607</v>
      </c>
      <c r="K175" s="392">
        <v>8.2315065360820103</v>
      </c>
      <c r="L175" s="392">
        <v>0</v>
      </c>
      <c r="M175" s="392">
        <v>1004.87136765157</v>
      </c>
      <c r="N175" s="392">
        <v>0</v>
      </c>
      <c r="O175" s="392">
        <v>622.60799999999995</v>
      </c>
      <c r="P175" s="392">
        <v>131266.27811637201</v>
      </c>
      <c r="Q175" s="392">
        <v>0</v>
      </c>
      <c r="R175" s="392">
        <v>41687.367821400003</v>
      </c>
      <c r="S175" s="392">
        <v>131266.27811637201</v>
      </c>
      <c r="T175" s="13"/>
    </row>
    <row r="176" spans="1:20" ht="20.85" customHeight="1" x14ac:dyDescent="0.3">
      <c r="A176" s="40" t="s">
        <v>455</v>
      </c>
      <c r="B176" s="86" t="s">
        <v>644</v>
      </c>
      <c r="C176" s="391">
        <v>1644882.51891512</v>
      </c>
      <c r="D176" s="391">
        <v>4223.98728180752</v>
      </c>
      <c r="E176" s="391">
        <v>8647.8677494526692</v>
      </c>
      <c r="F176" s="391">
        <v>448809.35628982901</v>
      </c>
      <c r="G176" s="391">
        <v>33941.220671450697</v>
      </c>
      <c r="H176" s="391">
        <v>718319.239941568</v>
      </c>
      <c r="I176" s="391">
        <v>41837.149501967098</v>
      </c>
      <c r="J176" s="488">
        <v>12.515247342933799</v>
      </c>
      <c r="K176" s="391">
        <v>54.0794606995103</v>
      </c>
      <c r="L176" s="391">
        <v>23577.861969826499</v>
      </c>
      <c r="M176" s="391">
        <v>30309.527688770901</v>
      </c>
      <c r="N176" s="391">
        <v>307.95066510478199</v>
      </c>
      <c r="O176" s="391">
        <v>47613.171479543496</v>
      </c>
      <c r="P176" s="391">
        <v>3002536.5642481102</v>
      </c>
      <c r="Q176" s="391">
        <v>2123714.8138589002</v>
      </c>
      <c r="R176" s="391">
        <v>1984358.83822437</v>
      </c>
      <c r="S176" s="391">
        <v>5126251.3781070001</v>
      </c>
      <c r="T176" s="13"/>
    </row>
    <row r="177" spans="1:19" ht="19.2" customHeight="1" x14ac:dyDescent="0.25">
      <c r="A177" s="546" t="s">
        <v>762</v>
      </c>
      <c r="B177" s="546"/>
      <c r="C177" s="546"/>
      <c r="D177" s="546"/>
      <c r="E177" s="546"/>
      <c r="F177" s="546"/>
      <c r="G177" s="546"/>
      <c r="H177" s="546"/>
      <c r="I177" s="546"/>
      <c r="J177" s="546"/>
      <c r="K177" s="546"/>
      <c r="L177" s="546"/>
      <c r="M177" s="546"/>
      <c r="N177" s="546"/>
      <c r="O177" s="546"/>
      <c r="P177" s="546"/>
      <c r="Q177" s="546"/>
      <c r="R177" s="546"/>
      <c r="S177" s="546"/>
    </row>
    <row r="178" spans="1:19" ht="19.2" customHeight="1" x14ac:dyDescent="0.25">
      <c r="A178" s="518"/>
      <c r="B178" s="518"/>
      <c r="C178" s="518"/>
      <c r="D178" s="518"/>
      <c r="E178" s="518"/>
      <c r="F178" s="518"/>
      <c r="G178" s="518"/>
      <c r="H178" s="518"/>
      <c r="I178" s="518"/>
      <c r="J178" s="518"/>
      <c r="K178" s="518"/>
      <c r="L178" s="518"/>
      <c r="M178" s="518"/>
      <c r="N178" s="518"/>
      <c r="O178" s="518"/>
      <c r="P178" s="518"/>
      <c r="Q178" s="518"/>
      <c r="R178" s="518"/>
      <c r="S178" s="518"/>
    </row>
    <row r="179" spans="1:19" ht="26.4" customHeight="1" x14ac:dyDescent="0.25">
      <c r="A179" s="518"/>
      <c r="B179" s="518"/>
      <c r="C179" s="518"/>
      <c r="D179" s="518"/>
      <c r="E179" s="518"/>
      <c r="F179" s="518"/>
      <c r="G179" s="518"/>
      <c r="H179" s="518"/>
      <c r="I179" s="518"/>
      <c r="J179" s="518"/>
      <c r="K179" s="518"/>
      <c r="L179" s="518"/>
      <c r="M179" s="518"/>
      <c r="N179" s="518"/>
      <c r="O179" s="518"/>
      <c r="P179" s="518"/>
      <c r="Q179" s="518"/>
      <c r="R179" s="518"/>
      <c r="S179" s="518"/>
    </row>
    <row r="180" spans="1:19" ht="15" customHeight="1" x14ac:dyDescent="0.3">
      <c r="B180" s="2"/>
      <c r="P180" s="307"/>
      <c r="Q180" s="307"/>
      <c r="R180" s="307"/>
    </row>
    <row r="181" spans="1:19" ht="15" customHeight="1" x14ac:dyDescent="0.25"/>
    <row r="182" spans="1:19" ht="52.5" customHeight="1" x14ac:dyDescent="0.35">
      <c r="A182" s="45" t="s">
        <v>763</v>
      </c>
      <c r="B182" s="414" t="s">
        <v>599</v>
      </c>
      <c r="C182" s="414" t="s">
        <v>239</v>
      </c>
      <c r="D182" s="414" t="s">
        <v>222</v>
      </c>
      <c r="E182" s="414" t="s">
        <v>387</v>
      </c>
      <c r="F182" s="22" t="s">
        <v>665</v>
      </c>
      <c r="G182" s="414" t="s">
        <v>227</v>
      </c>
      <c r="H182" s="13"/>
    </row>
    <row r="183" spans="1:19" ht="19.2" customHeight="1" x14ac:dyDescent="0.3">
      <c r="A183" s="85" t="s">
        <v>764</v>
      </c>
      <c r="B183" s="502">
        <v>2.0608214864218399</v>
      </c>
      <c r="C183" s="502">
        <v>1.8296765479169801</v>
      </c>
      <c r="D183" s="502">
        <v>1.7973309319136199</v>
      </c>
      <c r="E183" s="502">
        <v>1.8243877748763899</v>
      </c>
      <c r="F183" s="502">
        <v>1.7292061653759201</v>
      </c>
      <c r="G183" s="503">
        <v>1644882.51891512</v>
      </c>
      <c r="H183" s="13"/>
    </row>
    <row r="184" spans="1:19" ht="19.2" customHeight="1" x14ac:dyDescent="0.3">
      <c r="A184" s="85" t="s">
        <v>648</v>
      </c>
      <c r="B184" s="76" t="s">
        <v>637</v>
      </c>
      <c r="C184" s="76" t="s">
        <v>637</v>
      </c>
      <c r="D184" s="76" t="s">
        <v>637</v>
      </c>
      <c r="E184" s="502">
        <v>1.0999999999999999E-2</v>
      </c>
      <c r="F184" s="502">
        <v>1.72587110793576E-2</v>
      </c>
      <c r="G184" s="503">
        <v>4223.98728180752</v>
      </c>
      <c r="H184" s="13"/>
    </row>
    <row r="185" spans="1:19" ht="19.2" customHeight="1" x14ac:dyDescent="0.3">
      <c r="A185" s="85" t="s">
        <v>649</v>
      </c>
      <c r="B185" s="502">
        <v>1.1483392329866501E-2</v>
      </c>
      <c r="C185" s="502">
        <v>3.6638284428041701E-3</v>
      </c>
      <c r="D185" s="502">
        <v>1.14876367861356E-2</v>
      </c>
      <c r="E185" s="502">
        <v>1.01536541730264E-2</v>
      </c>
      <c r="F185" s="502">
        <v>1.4129956415877099E-2</v>
      </c>
      <c r="G185" s="503">
        <v>8647.8677494526692</v>
      </c>
      <c r="H185" s="13"/>
    </row>
    <row r="186" spans="1:19" ht="19.2" customHeight="1" x14ac:dyDescent="0.3">
      <c r="A186" s="85" t="s">
        <v>650</v>
      </c>
      <c r="B186" s="502">
        <v>0.42725330149000001</v>
      </c>
      <c r="C186" s="502">
        <v>0.45700890184999998</v>
      </c>
      <c r="D186" s="502">
        <v>0.50094707745</v>
      </c>
      <c r="E186" s="502">
        <v>0.51588021102000003</v>
      </c>
      <c r="F186" s="502">
        <v>0.48154062579183099</v>
      </c>
      <c r="G186" s="503">
        <v>448809.35628982901</v>
      </c>
      <c r="H186" s="13"/>
    </row>
    <row r="187" spans="1:19" ht="19.2" customHeight="1" x14ac:dyDescent="0.3">
      <c r="A187" s="85" t="s">
        <v>651</v>
      </c>
      <c r="B187" s="502">
        <v>3.8528081011141503E-2</v>
      </c>
      <c r="C187" s="502">
        <v>8.7176693303302206E-3</v>
      </c>
      <c r="D187" s="502">
        <v>3.5360008610360698E-2</v>
      </c>
      <c r="E187" s="502">
        <v>2.95417324106007E-2</v>
      </c>
      <c r="F187" s="502">
        <v>3.4761378218963003E-2</v>
      </c>
      <c r="G187" s="503">
        <v>33941.220671450697</v>
      </c>
      <c r="H187" s="13"/>
    </row>
    <row r="188" spans="1:19" ht="19.2" customHeight="1" x14ac:dyDescent="0.3">
      <c r="A188" s="85" t="s">
        <v>765</v>
      </c>
      <c r="B188" s="502">
        <v>0.66508134073476599</v>
      </c>
      <c r="C188" s="502">
        <v>0.72333751602037499</v>
      </c>
      <c r="D188" s="502">
        <v>0.750552101270339</v>
      </c>
      <c r="E188" s="502">
        <v>0.71414969104893899</v>
      </c>
      <c r="F188" s="502">
        <v>0.74558082469609699</v>
      </c>
      <c r="G188" s="503">
        <v>718319.239941568</v>
      </c>
      <c r="H188" s="13"/>
    </row>
    <row r="189" spans="1:19" ht="19.2" customHeight="1" x14ac:dyDescent="0.3">
      <c r="A189" s="85" t="s">
        <v>766</v>
      </c>
      <c r="B189" s="502">
        <v>2.1613560028653101E-2</v>
      </c>
      <c r="C189" s="502">
        <v>1.7769019969316499E-2</v>
      </c>
      <c r="D189" s="502">
        <v>3.0628495098515798E-2</v>
      </c>
      <c r="E189" s="502">
        <v>1.62018845317148E-2</v>
      </c>
      <c r="F189" s="502">
        <v>2.5974500000000001E-2</v>
      </c>
      <c r="G189" s="503">
        <v>41837.149501967098</v>
      </c>
      <c r="H189" s="13"/>
    </row>
    <row r="190" spans="1:19" ht="19.2" customHeight="1" x14ac:dyDescent="0.3">
      <c r="A190" s="85" t="s">
        <v>767</v>
      </c>
      <c r="B190" s="76" t="s">
        <v>607</v>
      </c>
      <c r="C190" s="76" t="s">
        <v>607</v>
      </c>
      <c r="D190" s="76" t="s">
        <v>607</v>
      </c>
      <c r="E190" s="76" t="s">
        <v>607</v>
      </c>
      <c r="F190" s="76" t="s">
        <v>607</v>
      </c>
      <c r="G190" s="76" t="s">
        <v>637</v>
      </c>
      <c r="H190" s="13"/>
    </row>
    <row r="191" spans="1:19" ht="19.2" customHeight="1" x14ac:dyDescent="0.3">
      <c r="A191" s="85" t="s">
        <v>768</v>
      </c>
      <c r="B191" s="502">
        <v>8.5320000000000003E-5</v>
      </c>
      <c r="C191" s="76" t="s">
        <v>637</v>
      </c>
      <c r="D191" s="502">
        <v>8.9999999999999993E-3</v>
      </c>
      <c r="E191" s="502">
        <v>8.9999999999999993E-3</v>
      </c>
      <c r="F191" s="76" t="s">
        <v>637</v>
      </c>
      <c r="G191" s="76" t="s">
        <v>637</v>
      </c>
      <c r="H191" s="13"/>
    </row>
    <row r="192" spans="1:19" ht="19.2" customHeight="1" x14ac:dyDescent="0.3">
      <c r="A192" s="85" t="s">
        <v>769</v>
      </c>
      <c r="B192" s="502">
        <v>5.4597999999999999E-3</v>
      </c>
      <c r="C192" s="76" t="s">
        <v>637</v>
      </c>
      <c r="D192" s="502">
        <v>1.2999999999999999E-2</v>
      </c>
      <c r="E192" s="502">
        <v>0.03</v>
      </c>
      <c r="F192" s="502">
        <v>2.676897E-2</v>
      </c>
      <c r="G192" s="503">
        <v>23577.861969826499</v>
      </c>
      <c r="H192" s="13"/>
    </row>
    <row r="193" spans="1:11" ht="19.2" customHeight="1" x14ac:dyDescent="0.3">
      <c r="A193" s="85" t="s">
        <v>656</v>
      </c>
      <c r="B193" s="76" t="s">
        <v>607</v>
      </c>
      <c r="C193" s="76" t="s">
        <v>607</v>
      </c>
      <c r="D193" s="76" t="s">
        <v>607</v>
      </c>
      <c r="E193" s="76" t="s">
        <v>607</v>
      </c>
      <c r="F193" s="504">
        <v>1.31033E-2</v>
      </c>
      <c r="G193" s="503">
        <v>30309.527688770901</v>
      </c>
      <c r="H193" s="13"/>
    </row>
    <row r="194" spans="1:11" ht="25.95" customHeight="1" x14ac:dyDescent="0.3">
      <c r="A194" s="85" t="s">
        <v>669</v>
      </c>
      <c r="B194" s="76" t="s">
        <v>637</v>
      </c>
      <c r="C194" s="76" t="s">
        <v>637</v>
      </c>
      <c r="D194" s="76" t="s">
        <v>637</v>
      </c>
      <c r="E194" s="76" t="s">
        <v>637</v>
      </c>
      <c r="F194" s="76" t="s">
        <v>637</v>
      </c>
      <c r="G194" s="76" t="s">
        <v>637</v>
      </c>
      <c r="H194" s="13"/>
    </row>
    <row r="195" spans="1:11" ht="25.95" customHeight="1" x14ac:dyDescent="0.3">
      <c r="A195" s="212" t="s">
        <v>770</v>
      </c>
      <c r="B195" s="502">
        <v>3.95955E-3</v>
      </c>
      <c r="C195" s="502">
        <v>4.2386999999999998E-3</v>
      </c>
      <c r="D195" s="502">
        <v>8.5816E-3</v>
      </c>
      <c r="E195" s="502">
        <v>1.0472800000000001E-2</v>
      </c>
      <c r="F195" s="502">
        <v>1.99235165098018E-2</v>
      </c>
      <c r="G195" s="503">
        <v>47613.171479543496</v>
      </c>
      <c r="H195" s="13"/>
    </row>
    <row r="196" spans="1:11" ht="30.75" customHeight="1" x14ac:dyDescent="0.3">
      <c r="A196" s="149" t="s">
        <v>771</v>
      </c>
      <c r="B196" s="505">
        <v>3.33916605885867</v>
      </c>
      <c r="C196" s="505">
        <v>3.10071777325108</v>
      </c>
      <c r="D196" s="505">
        <v>3.2213278500082598</v>
      </c>
      <c r="E196" s="505">
        <v>3.2134240848245099</v>
      </c>
      <c r="F196" s="505">
        <v>3.14977797114314</v>
      </c>
      <c r="G196" s="506">
        <v>3002536.5642481102</v>
      </c>
      <c r="H196" s="13"/>
    </row>
    <row r="197" spans="1:11" ht="35.85" customHeight="1" x14ac:dyDescent="0.3">
      <c r="A197" s="149" t="s">
        <v>672</v>
      </c>
      <c r="B197" s="505">
        <v>2.6176017898186501</v>
      </c>
      <c r="C197" s="505">
        <v>2.6273206888812601</v>
      </c>
      <c r="D197" s="505">
        <v>2.8053204408968</v>
      </c>
      <c r="E197" s="505">
        <v>2.6923164179447499</v>
      </c>
      <c r="F197" s="505">
        <v>2.4195318455010901</v>
      </c>
      <c r="G197" s="506">
        <v>2123714.8138589002</v>
      </c>
      <c r="H197" s="13"/>
    </row>
    <row r="198" spans="1:11" ht="35.85" customHeight="1" x14ac:dyDescent="0.3">
      <c r="A198" s="149" t="s">
        <v>673</v>
      </c>
      <c r="B198" s="505">
        <v>2.3963416201305199</v>
      </c>
      <c r="C198" s="505">
        <v>2.4060004682130698</v>
      </c>
      <c r="D198" s="505">
        <v>2.5803640881791901</v>
      </c>
      <c r="E198" s="505">
        <v>2.5234502179447502</v>
      </c>
      <c r="F198" s="505">
        <v>2.2807338455010902</v>
      </c>
      <c r="G198" s="506">
        <v>1984358.83822437</v>
      </c>
      <c r="H198" s="13"/>
    </row>
    <row r="199" spans="1:11" ht="34.200000000000003" customHeight="1" x14ac:dyDescent="0.3">
      <c r="A199" s="149" t="s">
        <v>772</v>
      </c>
      <c r="B199" s="505">
        <v>5.9567680585359097</v>
      </c>
      <c r="C199" s="505">
        <v>5.7241431153478297</v>
      </c>
      <c r="D199" s="505">
        <v>6.0266482909050696</v>
      </c>
      <c r="E199" s="505">
        <v>5.9057405027692598</v>
      </c>
      <c r="F199" s="505">
        <v>5.5693097166442298</v>
      </c>
      <c r="G199" s="506">
        <v>5126251.3781070104</v>
      </c>
      <c r="H199" s="386"/>
      <c r="I199" s="406"/>
      <c r="K199" s="307"/>
    </row>
    <row r="200" spans="1:11" ht="23.25" customHeight="1" x14ac:dyDescent="0.25">
      <c r="A200" s="597" t="s">
        <v>773</v>
      </c>
      <c r="B200" s="597"/>
      <c r="C200" s="597"/>
      <c r="D200" s="597"/>
      <c r="E200" s="597"/>
      <c r="F200" s="597"/>
      <c r="G200" s="597"/>
    </row>
    <row r="201" spans="1:11" ht="23.25" customHeight="1" x14ac:dyDescent="0.25">
      <c r="A201" s="603"/>
      <c r="B201" s="603"/>
      <c r="C201" s="603"/>
      <c r="D201" s="603"/>
      <c r="E201" s="603"/>
      <c r="F201" s="603"/>
      <c r="G201" s="603"/>
    </row>
    <row r="202" spans="1:11" ht="24.15" customHeight="1" x14ac:dyDescent="0.25">
      <c r="A202" s="603"/>
      <c r="B202" s="603"/>
      <c r="C202" s="603"/>
      <c r="D202" s="603"/>
      <c r="E202" s="603"/>
      <c r="F202" s="603"/>
      <c r="G202" s="603"/>
    </row>
    <row r="203" spans="1:11" ht="24.15" customHeight="1" x14ac:dyDescent="0.25">
      <c r="A203" s="603"/>
      <c r="B203" s="603"/>
      <c r="C203" s="603"/>
      <c r="D203" s="603"/>
      <c r="E203" s="603"/>
      <c r="F203" s="603"/>
      <c r="G203" s="603"/>
    </row>
    <row r="204" spans="1:11" ht="23.25" customHeight="1" x14ac:dyDescent="0.25">
      <c r="A204" s="603"/>
      <c r="B204" s="603"/>
      <c r="C204" s="603"/>
      <c r="D204" s="603"/>
      <c r="E204" s="603"/>
      <c r="F204" s="603"/>
      <c r="G204" s="603"/>
    </row>
    <row r="205" spans="1:11" ht="25.95" customHeight="1" x14ac:dyDescent="0.25">
      <c r="A205" s="603"/>
      <c r="B205" s="603"/>
      <c r="C205" s="603"/>
      <c r="D205" s="603"/>
      <c r="E205" s="603"/>
      <c r="F205" s="603"/>
      <c r="G205" s="603"/>
    </row>
    <row r="206" spans="1:11" ht="19.95" customHeight="1" x14ac:dyDescent="0.25">
      <c r="A206" s="603"/>
      <c r="B206" s="603"/>
      <c r="C206" s="603"/>
      <c r="D206" s="603"/>
      <c r="E206" s="603"/>
      <c r="F206" s="603"/>
      <c r="G206" s="603"/>
    </row>
    <row r="207" spans="1:11" ht="15" customHeight="1" x14ac:dyDescent="0.25"/>
    <row r="208" spans="1:11" ht="15" customHeight="1" x14ac:dyDescent="0.25"/>
    <row r="209" spans="1:9" ht="62.7" customHeight="1" x14ac:dyDescent="0.3">
      <c r="A209" s="33" t="s">
        <v>774</v>
      </c>
      <c r="B209" s="164" t="s">
        <v>207</v>
      </c>
      <c r="C209" s="34">
        <v>2018</v>
      </c>
      <c r="D209" s="34">
        <v>2019</v>
      </c>
      <c r="E209" s="34">
        <v>2020</v>
      </c>
      <c r="F209" s="34">
        <v>2021</v>
      </c>
      <c r="G209" s="22" t="s">
        <v>775</v>
      </c>
      <c r="H209" s="34">
        <v>2023</v>
      </c>
      <c r="I209" s="13"/>
    </row>
    <row r="210" spans="1:9" ht="15" customHeight="1" x14ac:dyDescent="0.3">
      <c r="A210" s="602" t="s">
        <v>245</v>
      </c>
      <c r="B210" s="23" t="s">
        <v>246</v>
      </c>
      <c r="C210" s="507">
        <v>0.61778051462943595</v>
      </c>
      <c r="D210" s="507">
        <v>0.49136408713614999</v>
      </c>
      <c r="E210" s="507">
        <v>0.395245839691026</v>
      </c>
      <c r="F210" s="507">
        <v>0.48425190252165701</v>
      </c>
      <c r="G210" s="507">
        <v>0.40024040492899798</v>
      </c>
      <c r="H210" s="508">
        <v>496.14738871176002</v>
      </c>
      <c r="I210" s="13"/>
    </row>
    <row r="211" spans="1:9" ht="15" customHeight="1" x14ac:dyDescent="0.3">
      <c r="A211" s="602"/>
      <c r="B211" s="85" t="s">
        <v>514</v>
      </c>
      <c r="C211" s="479">
        <v>0.70262794222426805</v>
      </c>
      <c r="D211" s="479">
        <v>0.49109633250388801</v>
      </c>
      <c r="E211" s="479">
        <v>0.43263846594576499</v>
      </c>
      <c r="F211" s="479">
        <v>0.53893590998242002</v>
      </c>
      <c r="G211" s="479">
        <v>0.41580291622448801</v>
      </c>
      <c r="H211" s="404">
        <v>487.757948196776</v>
      </c>
      <c r="I211" s="13"/>
    </row>
    <row r="212" spans="1:9" ht="15" customHeight="1" x14ac:dyDescent="0.3">
      <c r="A212" s="602"/>
      <c r="B212" s="85" t="s">
        <v>247</v>
      </c>
      <c r="C212" s="479">
        <v>0.52842428653439399</v>
      </c>
      <c r="D212" s="479">
        <v>0.49177206398104301</v>
      </c>
      <c r="E212" s="479">
        <v>0.34686723968489502</v>
      </c>
      <c r="F212" s="479">
        <v>0.41521513719717601</v>
      </c>
      <c r="G212" s="479">
        <v>0.37897163949182999</v>
      </c>
      <c r="H212" s="404">
        <v>512.67032070906805</v>
      </c>
      <c r="I212" s="13"/>
    </row>
    <row r="213" spans="1:9" ht="15" customHeight="1" x14ac:dyDescent="0.3">
      <c r="A213" s="599" t="s">
        <v>251</v>
      </c>
      <c r="B213" s="23" t="s">
        <v>252</v>
      </c>
      <c r="C213" s="507">
        <v>1.24030863604001</v>
      </c>
      <c r="D213" s="507">
        <v>1.1606621614494801</v>
      </c>
      <c r="E213" s="507">
        <v>1.0698925455808099</v>
      </c>
      <c r="F213" s="507">
        <v>1.1207425011649499</v>
      </c>
      <c r="G213" s="507">
        <v>0.86996942117167197</v>
      </c>
      <c r="H213" s="508">
        <v>815.04135422750801</v>
      </c>
      <c r="I213" s="13"/>
    </row>
    <row r="214" spans="1:9" ht="15" customHeight="1" x14ac:dyDescent="0.3">
      <c r="A214" s="600"/>
      <c r="B214" s="85" t="s">
        <v>253</v>
      </c>
      <c r="C214" s="479">
        <v>1.4922578965875399</v>
      </c>
      <c r="D214" s="479">
        <v>1.5872788268551199</v>
      </c>
      <c r="E214" s="479">
        <v>1.45067714447517</v>
      </c>
      <c r="F214" s="479">
        <v>1.2450800837262299</v>
      </c>
      <c r="G214" s="479">
        <v>0.83122817573992702</v>
      </c>
      <c r="H214" s="404">
        <v>893.85621014055505</v>
      </c>
      <c r="I214" s="13"/>
    </row>
    <row r="215" spans="1:9" ht="15" customHeight="1" x14ac:dyDescent="0.3">
      <c r="A215" s="600"/>
      <c r="B215" s="85" t="s">
        <v>724</v>
      </c>
      <c r="C215" s="479">
        <v>0.739660978354578</v>
      </c>
      <c r="D215" s="479">
        <v>0.70372850291762201</v>
      </c>
      <c r="E215" s="479">
        <v>0.72884012109089102</v>
      </c>
      <c r="F215" s="479">
        <v>0.86910242167830898</v>
      </c>
      <c r="G215" s="479">
        <v>0.70442023759830497</v>
      </c>
      <c r="H215" s="404">
        <v>800.04985344541001</v>
      </c>
      <c r="I215" s="13"/>
    </row>
    <row r="216" spans="1:9" ht="15" customHeight="1" x14ac:dyDescent="0.3">
      <c r="A216" s="600"/>
      <c r="B216" s="85" t="s">
        <v>256</v>
      </c>
      <c r="C216" s="479">
        <v>0.81725046167967696</v>
      </c>
      <c r="D216" s="479">
        <v>0.66449279999999999</v>
      </c>
      <c r="E216" s="479">
        <v>0.36355641366777802</v>
      </c>
      <c r="F216" s="479">
        <v>0.37466922133587599</v>
      </c>
      <c r="G216" s="479">
        <v>0.41715124055112601</v>
      </c>
      <c r="H216" s="404">
        <v>470.98882855571401</v>
      </c>
      <c r="I216" s="13"/>
    </row>
    <row r="217" spans="1:9" ht="15" customHeight="1" x14ac:dyDescent="0.3">
      <c r="A217" s="601"/>
      <c r="B217" s="85" t="s">
        <v>725</v>
      </c>
      <c r="C217" s="479">
        <v>1.0952029685601199</v>
      </c>
      <c r="D217" s="479">
        <v>1.01127440433737</v>
      </c>
      <c r="E217" s="479">
        <v>1.0810137235959301</v>
      </c>
      <c r="F217" s="479">
        <v>0.98523914754234199</v>
      </c>
      <c r="G217" s="479">
        <v>1.05311094345539</v>
      </c>
      <c r="H217" s="404">
        <v>1027.29337260286</v>
      </c>
      <c r="I217" s="13"/>
    </row>
    <row r="218" spans="1:9" ht="15" customHeight="1" x14ac:dyDescent="0.3">
      <c r="A218" s="602" t="s">
        <v>213</v>
      </c>
      <c r="B218" s="23" t="s">
        <v>328</v>
      </c>
      <c r="C218" s="507">
        <v>0.16145245112474399</v>
      </c>
      <c r="D218" s="507">
        <v>0.25516765757527998</v>
      </c>
      <c r="E218" s="507">
        <v>0.191063765089827</v>
      </c>
      <c r="F218" s="507">
        <v>0.206229553226459</v>
      </c>
      <c r="G218" s="507">
        <v>0.20062875655005799</v>
      </c>
      <c r="H218" s="508">
        <v>237.48418249310001</v>
      </c>
      <c r="I218" s="13"/>
    </row>
    <row r="219" spans="1:9" ht="15" customHeight="1" x14ac:dyDescent="0.3">
      <c r="A219" s="602"/>
      <c r="B219" s="85" t="s">
        <v>453</v>
      </c>
      <c r="C219" s="479">
        <v>0.16145245112474399</v>
      </c>
      <c r="D219" s="479">
        <v>0.25516765757527998</v>
      </c>
      <c r="E219" s="479">
        <v>0.191063765089827</v>
      </c>
      <c r="F219" s="479">
        <v>0.206229553226459</v>
      </c>
      <c r="G219" s="479">
        <v>0.20062875655005799</v>
      </c>
      <c r="H219" s="404">
        <v>237.48418249310001</v>
      </c>
      <c r="I219" s="13"/>
    </row>
    <row r="220" spans="1:9" ht="15" customHeight="1" x14ac:dyDescent="0.3">
      <c r="A220" s="602"/>
      <c r="B220" s="23" t="s">
        <v>214</v>
      </c>
      <c r="C220" s="507">
        <v>1.95547252091768</v>
      </c>
      <c r="D220" s="507">
        <v>1.8671339388111901</v>
      </c>
      <c r="E220" s="507">
        <v>0.63327289288776101</v>
      </c>
      <c r="F220" s="507">
        <v>0.56144224441853996</v>
      </c>
      <c r="G220" s="507">
        <v>0.64122712404017301</v>
      </c>
      <c r="H220" s="508">
        <v>872.15087644212099</v>
      </c>
      <c r="I220" s="13"/>
    </row>
    <row r="221" spans="1:9" ht="15" customHeight="1" x14ac:dyDescent="0.3">
      <c r="A221" s="602"/>
      <c r="B221" s="85" t="s">
        <v>215</v>
      </c>
      <c r="C221" s="479">
        <v>1.95547252091768</v>
      </c>
      <c r="D221" s="479">
        <v>1.8671339388111901</v>
      </c>
      <c r="E221" s="479">
        <v>0.63327289288776101</v>
      </c>
      <c r="F221" s="479">
        <v>0.56144224441853996</v>
      </c>
      <c r="G221" s="479">
        <v>0.64122712404017301</v>
      </c>
      <c r="H221" s="404">
        <v>872.15087644212099</v>
      </c>
      <c r="I221" s="13"/>
    </row>
    <row r="222" spans="1:9" ht="15" customHeight="1" x14ac:dyDescent="0.3">
      <c r="A222" s="602"/>
      <c r="B222" s="23" t="s">
        <v>265</v>
      </c>
      <c r="C222" s="507">
        <v>0.900327211574242</v>
      </c>
      <c r="D222" s="507">
        <v>1.01550152671756</v>
      </c>
      <c r="E222" s="507">
        <v>0.59084166136059002</v>
      </c>
      <c r="F222" s="507">
        <v>0.67553110476897904</v>
      </c>
      <c r="G222" s="507">
        <v>0.67563174941842896</v>
      </c>
      <c r="H222" s="508">
        <v>838.85946227901502</v>
      </c>
      <c r="I222" s="13"/>
    </row>
    <row r="223" spans="1:9" ht="15" customHeight="1" x14ac:dyDescent="0.3">
      <c r="A223" s="602"/>
      <c r="B223" s="85" t="s">
        <v>266</v>
      </c>
      <c r="C223" s="479">
        <v>0.900327211574242</v>
      </c>
      <c r="D223" s="479">
        <v>1.01550152671756</v>
      </c>
      <c r="E223" s="479">
        <v>0.59084166136059002</v>
      </c>
      <c r="F223" s="479">
        <v>0.67553110476897904</v>
      </c>
      <c r="G223" s="479">
        <v>0.67563174941842896</v>
      </c>
      <c r="H223" s="404">
        <v>838.85946227901502</v>
      </c>
      <c r="I223" s="13"/>
    </row>
    <row r="224" spans="1:9" ht="15" customHeight="1" x14ac:dyDescent="0.3">
      <c r="A224" s="602" t="s">
        <v>224</v>
      </c>
      <c r="B224" s="23" t="s">
        <v>225</v>
      </c>
      <c r="C224" s="507">
        <v>0.61853954468523298</v>
      </c>
      <c r="D224" s="507">
        <v>0.85642663622855397</v>
      </c>
      <c r="E224" s="507">
        <v>0.64928403224631204</v>
      </c>
      <c r="F224" s="507">
        <v>0.40920536448811001</v>
      </c>
      <c r="G224" s="507">
        <v>0.38593645697252199</v>
      </c>
      <c r="H224" s="508">
        <v>263.94426267342101</v>
      </c>
      <c r="I224" s="13"/>
    </row>
    <row r="225" spans="1:16" ht="15" customHeight="1" x14ac:dyDescent="0.3">
      <c r="A225" s="602"/>
      <c r="B225" s="85" t="s">
        <v>726</v>
      </c>
      <c r="C225" s="479">
        <v>0.16823214253609201</v>
      </c>
      <c r="D225" s="479">
        <v>0.15958787619766801</v>
      </c>
      <c r="E225" s="479">
        <v>0.17391402763451999</v>
      </c>
      <c r="F225" s="479">
        <v>0.111042715985706</v>
      </c>
      <c r="G225" s="479">
        <v>0.112454973323728</v>
      </c>
      <c r="H225" s="404">
        <v>125.137841624166</v>
      </c>
      <c r="I225" s="13"/>
    </row>
    <row r="226" spans="1:16" ht="15" customHeight="1" x14ac:dyDescent="0.3">
      <c r="A226" s="602"/>
      <c r="B226" s="85" t="s">
        <v>226</v>
      </c>
      <c r="C226" s="479">
        <v>0.183438336842105</v>
      </c>
      <c r="D226" s="479">
        <v>0.253393309552846</v>
      </c>
      <c r="E226" s="479">
        <v>0.121243454243067</v>
      </c>
      <c r="F226" s="479">
        <v>0.11807410942169901</v>
      </c>
      <c r="G226" s="479">
        <v>0.138546133562331</v>
      </c>
      <c r="H226" s="404">
        <v>172.56060900812</v>
      </c>
      <c r="I226" s="13"/>
    </row>
    <row r="227" spans="1:16" ht="15" customHeight="1" x14ac:dyDescent="0.3">
      <c r="A227" s="602"/>
      <c r="B227" s="85" t="s">
        <v>454</v>
      </c>
      <c r="C227" s="479">
        <v>0.40798424390243898</v>
      </c>
      <c r="D227" s="479">
        <v>21.3540221366667</v>
      </c>
      <c r="E227" s="479">
        <v>0.39406096195352203</v>
      </c>
      <c r="F227" s="479">
        <v>0.28422516793062402</v>
      </c>
      <c r="G227" s="479">
        <v>0.28059181770075797</v>
      </c>
      <c r="H227" s="404">
        <v>246.445693931584</v>
      </c>
      <c r="I227" s="13"/>
    </row>
    <row r="228" spans="1:16" ht="15" customHeight="1" x14ac:dyDescent="0.3">
      <c r="A228" s="602"/>
      <c r="B228" s="85" t="s">
        <v>230</v>
      </c>
      <c r="C228" s="479">
        <v>0.45636361776061801</v>
      </c>
      <c r="D228" s="479">
        <v>0.37764334820627798</v>
      </c>
      <c r="E228" s="479">
        <v>0.21713298960817001</v>
      </c>
      <c r="F228" s="479">
        <v>0.20048369028855401</v>
      </c>
      <c r="G228" s="479">
        <v>0.20989424004188201</v>
      </c>
      <c r="H228" s="404">
        <v>243.95388620724299</v>
      </c>
      <c r="I228" s="13"/>
    </row>
    <row r="229" spans="1:16" ht="15" customHeight="1" x14ac:dyDescent="0.3">
      <c r="A229" s="602"/>
      <c r="B229" s="85" t="s">
        <v>727</v>
      </c>
      <c r="C229" s="479">
        <v>0.99085100462018605</v>
      </c>
      <c r="D229" s="479">
        <v>0.67562187528925099</v>
      </c>
      <c r="E229" s="479">
        <v>1.0746179966773699</v>
      </c>
      <c r="F229" s="479">
        <v>0.76676880128534997</v>
      </c>
      <c r="G229" s="479">
        <v>0.52800396209254297</v>
      </c>
      <c r="H229" s="404">
        <v>608.297128777632</v>
      </c>
      <c r="I229" s="13"/>
    </row>
    <row r="230" spans="1:16" ht="15" customHeight="1" x14ac:dyDescent="0.3">
      <c r="A230" s="602"/>
      <c r="B230" s="23" t="s">
        <v>276</v>
      </c>
      <c r="C230" s="507">
        <v>0.87380328948800801</v>
      </c>
      <c r="D230" s="507">
        <v>0.93314984674292201</v>
      </c>
      <c r="E230" s="507">
        <v>0.73151782820790801</v>
      </c>
      <c r="F230" s="507">
        <v>0.770930506643701</v>
      </c>
      <c r="G230" s="507">
        <v>0.74232847352289799</v>
      </c>
      <c r="H230" s="508">
        <v>836.51234752497703</v>
      </c>
      <c r="I230" s="13"/>
    </row>
    <row r="231" spans="1:16" ht="15" customHeight="1" x14ac:dyDescent="0.3">
      <c r="A231" s="602"/>
      <c r="B231" s="85" t="s">
        <v>277</v>
      </c>
      <c r="C231" s="479">
        <v>0.87380328948800801</v>
      </c>
      <c r="D231" s="479">
        <v>0.93314984674292201</v>
      </c>
      <c r="E231" s="479">
        <v>0.73151782820790801</v>
      </c>
      <c r="F231" s="479">
        <v>0.770930506643701</v>
      </c>
      <c r="G231" s="479">
        <v>0.74232847352289799</v>
      </c>
      <c r="H231" s="404">
        <v>836.51234752497703</v>
      </c>
      <c r="I231" s="13"/>
    </row>
    <row r="232" spans="1:16" ht="23.4" customHeight="1" x14ac:dyDescent="0.3">
      <c r="A232" s="599" t="s">
        <v>728</v>
      </c>
      <c r="B232" s="23" t="s">
        <v>729</v>
      </c>
      <c r="C232" s="507">
        <v>0.79939997356098003</v>
      </c>
      <c r="D232" s="507">
        <v>0.86863003827334295</v>
      </c>
      <c r="E232" s="507">
        <v>1.04008210072678</v>
      </c>
      <c r="F232" s="507">
        <v>1.1197947344541801</v>
      </c>
      <c r="G232" s="507">
        <v>1.07381045960389</v>
      </c>
      <c r="H232" s="508">
        <v>1157.8475031281</v>
      </c>
      <c r="I232" s="13"/>
    </row>
    <row r="233" spans="1:16" ht="15" customHeight="1" x14ac:dyDescent="0.3">
      <c r="A233" s="601"/>
      <c r="B233" s="85" t="s">
        <v>731</v>
      </c>
      <c r="C233" s="479">
        <v>0.79939997356098003</v>
      </c>
      <c r="D233" s="479">
        <v>0.86863003827334295</v>
      </c>
      <c r="E233" s="479">
        <v>1.04008210072678</v>
      </c>
      <c r="F233" s="479">
        <v>1.1197947344541801</v>
      </c>
      <c r="G233" s="479">
        <v>1.07381045960389</v>
      </c>
      <c r="H233" s="481">
        <v>1157.8475031281</v>
      </c>
      <c r="I233" s="13"/>
    </row>
    <row r="234" spans="1:16" ht="15" customHeight="1" x14ac:dyDescent="0.3">
      <c r="A234" s="602" t="s">
        <v>234</v>
      </c>
      <c r="B234" s="23" t="s">
        <v>235</v>
      </c>
      <c r="C234" s="507">
        <v>0.97580289285615096</v>
      </c>
      <c r="D234" s="507">
        <v>0.96750953092979097</v>
      </c>
      <c r="E234" s="507">
        <v>0.69743589815560603</v>
      </c>
      <c r="F234" s="507">
        <v>0.926694769430364</v>
      </c>
      <c r="G234" s="507">
        <v>0.74684262280922098</v>
      </c>
      <c r="H234" s="508">
        <v>475.60245694337698</v>
      </c>
      <c r="I234" s="13"/>
    </row>
    <row r="235" spans="1:16" ht="15" customHeight="1" x14ac:dyDescent="0.3">
      <c r="A235" s="602"/>
      <c r="B235" s="85" t="s">
        <v>236</v>
      </c>
      <c r="C235" s="479">
        <v>0.97580289285615096</v>
      </c>
      <c r="D235" s="479">
        <v>0.96750953092979097</v>
      </c>
      <c r="E235" s="479">
        <v>0.69743589815560603</v>
      </c>
      <c r="F235" s="479">
        <v>0.926694769430364</v>
      </c>
      <c r="G235" s="479">
        <v>0.74684262280922098</v>
      </c>
      <c r="H235" s="404">
        <v>475.60245694337698</v>
      </c>
      <c r="I235" s="13"/>
    </row>
    <row r="236" spans="1:16" ht="15" customHeight="1" x14ac:dyDescent="0.3">
      <c r="A236" s="40" t="s">
        <v>455</v>
      </c>
      <c r="B236" s="23" t="s">
        <v>318</v>
      </c>
      <c r="C236" s="507">
        <v>1.06506081140185</v>
      </c>
      <c r="D236" s="507">
        <v>1.0657389395339101</v>
      </c>
      <c r="E236" s="507">
        <v>0.82956086441892496</v>
      </c>
      <c r="F236" s="507">
        <v>0.80529022686595897</v>
      </c>
      <c r="G236" s="507">
        <v>0.72280192532502396</v>
      </c>
      <c r="H236" s="508">
        <v>698.01897850040905</v>
      </c>
      <c r="I236" s="13"/>
    </row>
    <row r="237" spans="1:16" ht="72.45" customHeight="1" x14ac:dyDescent="0.25">
      <c r="A237" s="532" t="s">
        <v>776</v>
      </c>
      <c r="B237" s="532"/>
      <c r="C237" s="532"/>
      <c r="D237" s="532"/>
      <c r="E237" s="532"/>
      <c r="F237" s="532"/>
      <c r="G237" s="532"/>
      <c r="H237" s="532"/>
    </row>
    <row r="238" spans="1:16" ht="15" customHeight="1" x14ac:dyDescent="0.25"/>
    <row r="239" spans="1:16" ht="15" customHeight="1" x14ac:dyDescent="0.25"/>
    <row r="240" spans="1:16" ht="60.75" customHeight="1" x14ac:dyDescent="0.3">
      <c r="A240" s="45" t="s">
        <v>777</v>
      </c>
      <c r="B240" s="402" t="s">
        <v>599</v>
      </c>
      <c r="C240" s="402" t="s">
        <v>239</v>
      </c>
      <c r="D240" s="402" t="s">
        <v>222</v>
      </c>
      <c r="E240" s="402" t="s">
        <v>387</v>
      </c>
      <c r="F240" s="402" t="s">
        <v>681</v>
      </c>
      <c r="G240" s="402" t="s">
        <v>227</v>
      </c>
      <c r="H240" s="13"/>
      <c r="J240" s="232"/>
      <c r="K240" s="232"/>
      <c r="L240" s="232"/>
      <c r="M240" s="232"/>
      <c r="N240" s="232"/>
      <c r="O240" s="232"/>
      <c r="P240" s="232"/>
    </row>
    <row r="241" spans="1:16" ht="39.15" customHeight="1" x14ac:dyDescent="0.3">
      <c r="A241" s="36" t="s">
        <v>682</v>
      </c>
      <c r="B241" s="479">
        <v>1.06506081140185</v>
      </c>
      <c r="C241" s="479">
        <v>1.0657389395339101</v>
      </c>
      <c r="D241" s="479">
        <v>0.82956086441892496</v>
      </c>
      <c r="E241" s="479">
        <v>0.80529022686595897</v>
      </c>
      <c r="F241" s="479">
        <v>0.72280192532502396</v>
      </c>
      <c r="G241" s="400">
        <v>698.01897850040905</v>
      </c>
      <c r="H241" s="13"/>
      <c r="J241" s="450"/>
      <c r="K241" s="478"/>
      <c r="L241" s="478"/>
      <c r="M241" s="478"/>
      <c r="N241" s="478"/>
      <c r="O241" s="478"/>
      <c r="P241" s="478"/>
    </row>
    <row r="242" spans="1:16" ht="39.15" customHeight="1" x14ac:dyDescent="0.3">
      <c r="A242" s="36" t="s">
        <v>683</v>
      </c>
      <c r="B242" s="479">
        <v>1.06506081144327</v>
      </c>
      <c r="C242" s="479">
        <v>1.0657389394479599</v>
      </c>
      <c r="D242" s="479">
        <v>0.79855173898457898</v>
      </c>
      <c r="E242" s="479">
        <v>0.78221213443873805</v>
      </c>
      <c r="F242" s="479">
        <v>0.70459140402063303</v>
      </c>
      <c r="G242" s="400">
        <v>679.04349162206904</v>
      </c>
      <c r="H242" s="13"/>
      <c r="J242" s="450"/>
      <c r="K242" s="478"/>
      <c r="L242" s="478"/>
      <c r="M242" s="478"/>
      <c r="N242" s="478"/>
      <c r="O242" s="478"/>
      <c r="P242" s="478"/>
    </row>
    <row r="243" spans="1:16" ht="19.2" customHeight="1" x14ac:dyDescent="0.25">
      <c r="A243" s="546" t="s">
        <v>778</v>
      </c>
      <c r="B243" s="546"/>
      <c r="C243" s="546"/>
      <c r="D243" s="546"/>
      <c r="E243" s="546"/>
      <c r="F243" s="546"/>
      <c r="G243" s="546"/>
    </row>
    <row r="244" spans="1:16" ht="19.2" customHeight="1" x14ac:dyDescent="0.25">
      <c r="A244" s="625"/>
      <c r="B244" s="625"/>
      <c r="C244" s="625"/>
      <c r="D244" s="625"/>
      <c r="E244" s="625"/>
      <c r="F244" s="625"/>
      <c r="G244" s="625"/>
    </row>
    <row r="245" spans="1:16" ht="19.2" customHeight="1" x14ac:dyDescent="0.25">
      <c r="A245" s="625"/>
      <c r="B245" s="625"/>
      <c r="C245" s="625"/>
      <c r="D245" s="625"/>
      <c r="E245" s="625"/>
      <c r="F245" s="625"/>
      <c r="G245" s="625"/>
    </row>
    <row r="246" spans="1:16" ht="15" customHeight="1" x14ac:dyDescent="0.25">
      <c r="C246" s="447"/>
      <c r="D246" s="447"/>
    </row>
    <row r="247" spans="1:16" ht="15" customHeight="1" x14ac:dyDescent="0.25"/>
    <row r="248" spans="1:16" ht="52.5" customHeight="1" x14ac:dyDescent="0.35">
      <c r="A248" s="33" t="s">
        <v>685</v>
      </c>
      <c r="B248" s="58" t="s">
        <v>207</v>
      </c>
      <c r="C248" s="58" t="s">
        <v>686</v>
      </c>
      <c r="D248" s="13"/>
    </row>
    <row r="249" spans="1:16" ht="15" customHeight="1" x14ac:dyDescent="0.3">
      <c r="A249" s="602" t="s">
        <v>245</v>
      </c>
      <c r="B249" s="23" t="s">
        <v>246</v>
      </c>
      <c r="C249" s="391">
        <v>0</v>
      </c>
      <c r="D249" s="13"/>
    </row>
    <row r="250" spans="1:16" ht="15" customHeight="1" x14ac:dyDescent="0.3">
      <c r="A250" s="602"/>
      <c r="B250" s="85" t="s">
        <v>514</v>
      </c>
      <c r="C250" s="392">
        <v>0</v>
      </c>
      <c r="D250" s="13"/>
    </row>
    <row r="251" spans="1:16" ht="15" customHeight="1" x14ac:dyDescent="0.3">
      <c r="A251" s="602"/>
      <c r="B251" s="85" t="s">
        <v>247</v>
      </c>
      <c r="C251" s="392">
        <v>0</v>
      </c>
      <c r="D251" s="13"/>
    </row>
    <row r="252" spans="1:16" ht="15" customHeight="1" x14ac:dyDescent="0.3">
      <c r="A252" s="599" t="s">
        <v>251</v>
      </c>
      <c r="B252" s="23" t="s">
        <v>252</v>
      </c>
      <c r="C252" s="391">
        <v>0</v>
      </c>
      <c r="D252" s="13"/>
    </row>
    <row r="253" spans="1:16" ht="15" customHeight="1" x14ac:dyDescent="0.3">
      <c r="A253" s="600"/>
      <c r="B253" s="85" t="s">
        <v>253</v>
      </c>
      <c r="C253" s="392">
        <v>0</v>
      </c>
      <c r="D253" s="13"/>
    </row>
    <row r="254" spans="1:16" ht="15" customHeight="1" x14ac:dyDescent="0.3">
      <c r="A254" s="600"/>
      <c r="B254" s="85" t="s">
        <v>724</v>
      </c>
      <c r="C254" s="392">
        <v>0</v>
      </c>
      <c r="D254" s="13"/>
    </row>
    <row r="255" spans="1:16" ht="15" customHeight="1" x14ac:dyDescent="0.3">
      <c r="A255" s="600"/>
      <c r="B255" s="85" t="s">
        <v>256</v>
      </c>
      <c r="C255" s="392">
        <v>0</v>
      </c>
      <c r="D255" s="13"/>
    </row>
    <row r="256" spans="1:16" ht="15" customHeight="1" x14ac:dyDescent="0.3">
      <c r="A256" s="601"/>
      <c r="B256" s="85" t="s">
        <v>725</v>
      </c>
      <c r="C256" s="392">
        <v>0</v>
      </c>
      <c r="D256" s="13"/>
    </row>
    <row r="257" spans="1:4" ht="15" customHeight="1" x14ac:dyDescent="0.3">
      <c r="A257" s="602" t="s">
        <v>213</v>
      </c>
      <c r="B257" s="23" t="s">
        <v>328</v>
      </c>
      <c r="C257" s="391">
        <v>0</v>
      </c>
      <c r="D257" s="13"/>
    </row>
    <row r="258" spans="1:4" ht="15" customHeight="1" x14ac:dyDescent="0.3">
      <c r="A258" s="602"/>
      <c r="B258" s="85" t="s">
        <v>453</v>
      </c>
      <c r="C258" s="392">
        <v>0</v>
      </c>
      <c r="D258" s="13"/>
    </row>
    <row r="259" spans="1:4" ht="15" customHeight="1" x14ac:dyDescent="0.3">
      <c r="A259" s="602"/>
      <c r="B259" s="23" t="s">
        <v>214</v>
      </c>
      <c r="C259" s="391">
        <v>0</v>
      </c>
      <c r="D259" s="13"/>
    </row>
    <row r="260" spans="1:4" ht="15" customHeight="1" x14ac:dyDescent="0.3">
      <c r="A260" s="602"/>
      <c r="B260" s="85" t="s">
        <v>215</v>
      </c>
      <c r="C260" s="392">
        <v>0</v>
      </c>
      <c r="D260" s="13"/>
    </row>
    <row r="261" spans="1:4" ht="15" customHeight="1" x14ac:dyDescent="0.3">
      <c r="A261" s="602"/>
      <c r="B261" s="23" t="s">
        <v>265</v>
      </c>
      <c r="C261" s="391">
        <v>0</v>
      </c>
      <c r="D261" s="13"/>
    </row>
    <row r="262" spans="1:4" ht="15" customHeight="1" x14ac:dyDescent="0.3">
      <c r="A262" s="602"/>
      <c r="B262" s="85" t="s">
        <v>266</v>
      </c>
      <c r="C262" s="392">
        <v>0</v>
      </c>
      <c r="D262" s="13"/>
    </row>
    <row r="263" spans="1:4" ht="15" customHeight="1" x14ac:dyDescent="0.3">
      <c r="A263" s="602" t="s">
        <v>224</v>
      </c>
      <c r="B263" s="23" t="s">
        <v>225</v>
      </c>
      <c r="C263" s="391">
        <v>2442.4006374974902</v>
      </c>
      <c r="D263" s="13"/>
    </row>
    <row r="264" spans="1:4" ht="15" customHeight="1" x14ac:dyDescent="0.3">
      <c r="A264" s="602"/>
      <c r="B264" s="85" t="s">
        <v>726</v>
      </c>
      <c r="C264" s="392">
        <v>0</v>
      </c>
      <c r="D264" s="13"/>
    </row>
    <row r="265" spans="1:4" ht="15" customHeight="1" x14ac:dyDescent="0.3">
      <c r="A265" s="602"/>
      <c r="B265" s="85" t="s">
        <v>226</v>
      </c>
      <c r="C265" s="392">
        <v>0</v>
      </c>
      <c r="D265" s="13"/>
    </row>
    <row r="266" spans="1:4" ht="15" customHeight="1" x14ac:dyDescent="0.3">
      <c r="A266" s="602"/>
      <c r="B266" s="85" t="s">
        <v>454</v>
      </c>
      <c r="C266" s="392">
        <v>814.50961982892898</v>
      </c>
      <c r="D266" s="13"/>
    </row>
    <row r="267" spans="1:4" ht="15" customHeight="1" x14ac:dyDescent="0.3">
      <c r="A267" s="602"/>
      <c r="B267" s="85" t="s">
        <v>230</v>
      </c>
      <c r="C267" s="392">
        <v>1627.8910176685599</v>
      </c>
      <c r="D267" s="13"/>
    </row>
    <row r="268" spans="1:4" ht="15" customHeight="1" x14ac:dyDescent="0.3">
      <c r="A268" s="602"/>
      <c r="B268" s="85" t="s">
        <v>727</v>
      </c>
      <c r="C268" s="392">
        <v>0</v>
      </c>
      <c r="D268" s="13"/>
    </row>
    <row r="269" spans="1:4" ht="15" customHeight="1" x14ac:dyDescent="0.3">
      <c r="A269" s="602"/>
      <c r="B269" s="23" t="s">
        <v>276</v>
      </c>
      <c r="C269" s="391">
        <v>0</v>
      </c>
      <c r="D269" s="13"/>
    </row>
    <row r="270" spans="1:4" ht="15" customHeight="1" x14ac:dyDescent="0.3">
      <c r="A270" s="602"/>
      <c r="B270" s="85" t="s">
        <v>277</v>
      </c>
      <c r="C270" s="392">
        <v>0</v>
      </c>
      <c r="D270" s="13"/>
    </row>
    <row r="271" spans="1:4" ht="15" customHeight="1" x14ac:dyDescent="0.3">
      <c r="A271" s="599" t="s">
        <v>728</v>
      </c>
      <c r="B271" s="86" t="s">
        <v>729</v>
      </c>
      <c r="C271" s="391">
        <v>0</v>
      </c>
      <c r="D271" s="13"/>
    </row>
    <row r="272" spans="1:4" ht="15" customHeight="1" x14ac:dyDescent="0.3">
      <c r="A272" s="601"/>
      <c r="B272" s="85" t="s">
        <v>731</v>
      </c>
      <c r="C272" s="477">
        <v>0</v>
      </c>
      <c r="D272" s="13"/>
    </row>
    <row r="273" spans="1:6" ht="15" customHeight="1" x14ac:dyDescent="0.3">
      <c r="A273" s="602" t="s">
        <v>234</v>
      </c>
      <c r="B273" s="23" t="s">
        <v>235</v>
      </c>
      <c r="C273" s="391">
        <v>6310.4104572604901</v>
      </c>
      <c r="D273" s="13"/>
    </row>
    <row r="274" spans="1:6" ht="15" customHeight="1" x14ac:dyDescent="0.3">
      <c r="A274" s="602"/>
      <c r="B274" s="85" t="s">
        <v>236</v>
      </c>
      <c r="C274" s="392">
        <v>6310.4104572604901</v>
      </c>
      <c r="D274" s="13"/>
    </row>
    <row r="275" spans="1:6" ht="15" customHeight="1" x14ac:dyDescent="0.3">
      <c r="A275" s="40" t="s">
        <v>455</v>
      </c>
      <c r="B275" s="86" t="s">
        <v>644</v>
      </c>
      <c r="C275" s="391">
        <v>8752.8110947579808</v>
      </c>
      <c r="D275" s="13"/>
    </row>
    <row r="276" spans="1:6" ht="35.85" customHeight="1" x14ac:dyDescent="0.25">
      <c r="A276" s="532" t="s">
        <v>687</v>
      </c>
      <c r="B276" s="532"/>
      <c r="C276" s="532"/>
    </row>
    <row r="277" spans="1:6" ht="15" customHeight="1" x14ac:dyDescent="0.25"/>
    <row r="278" spans="1:6" ht="15" customHeight="1" x14ac:dyDescent="0.3">
      <c r="A278" s="398" t="s">
        <v>688</v>
      </c>
    </row>
    <row r="279" spans="1:6" ht="86.7" customHeight="1" x14ac:dyDescent="0.35">
      <c r="A279" s="33" t="s">
        <v>689</v>
      </c>
      <c r="B279" s="58" t="s">
        <v>207</v>
      </c>
      <c r="C279" s="5" t="s">
        <v>690</v>
      </c>
      <c r="D279" s="5" t="s">
        <v>691</v>
      </c>
      <c r="E279" s="58" t="s">
        <v>692</v>
      </c>
      <c r="F279" s="13"/>
    </row>
    <row r="280" spans="1:6" ht="15" customHeight="1" x14ac:dyDescent="0.3">
      <c r="A280" s="602" t="s">
        <v>245</v>
      </c>
      <c r="B280" s="542" t="s">
        <v>246</v>
      </c>
      <c r="C280" s="542"/>
      <c r="D280" s="542"/>
      <c r="E280" s="542"/>
      <c r="F280" s="13"/>
    </row>
    <row r="281" spans="1:6" ht="15" customHeight="1" x14ac:dyDescent="0.3">
      <c r="A281" s="602"/>
      <c r="B281" s="475" t="s">
        <v>514</v>
      </c>
      <c r="C281" s="32" t="s">
        <v>693</v>
      </c>
      <c r="D281" s="395"/>
      <c r="E281" s="395"/>
      <c r="F281" s="13"/>
    </row>
    <row r="282" spans="1:6" ht="15" customHeight="1" x14ac:dyDescent="0.3">
      <c r="A282" s="602"/>
      <c r="B282" s="475" t="s">
        <v>247</v>
      </c>
      <c r="C282" s="32" t="s">
        <v>693</v>
      </c>
      <c r="D282" s="395"/>
      <c r="E282" s="395"/>
      <c r="F282" s="13"/>
    </row>
    <row r="283" spans="1:6" ht="15" customHeight="1" x14ac:dyDescent="0.3">
      <c r="A283" s="599" t="s">
        <v>251</v>
      </c>
      <c r="B283" s="542" t="s">
        <v>252</v>
      </c>
      <c r="C283" s="542"/>
      <c r="D283" s="542"/>
      <c r="E283" s="542"/>
      <c r="F283" s="13"/>
    </row>
    <row r="284" spans="1:6" ht="15" customHeight="1" x14ac:dyDescent="0.3">
      <c r="A284" s="600"/>
      <c r="B284" s="475" t="s">
        <v>253</v>
      </c>
      <c r="C284" s="32" t="s">
        <v>694</v>
      </c>
      <c r="D284" s="397">
        <v>238732.07603914899</v>
      </c>
      <c r="E284" s="396">
        <v>7.9510131161027897E-2</v>
      </c>
      <c r="F284" s="13"/>
    </row>
    <row r="285" spans="1:6" ht="15" customHeight="1" x14ac:dyDescent="0.3">
      <c r="A285" s="600"/>
      <c r="B285" s="475" t="s">
        <v>724</v>
      </c>
      <c r="C285" s="32" t="s">
        <v>694</v>
      </c>
      <c r="D285" s="397">
        <v>79583.618671133401</v>
      </c>
      <c r="E285" s="396">
        <v>2.6505461954653201E-2</v>
      </c>
      <c r="F285" s="13"/>
    </row>
    <row r="286" spans="1:6" ht="15" customHeight="1" x14ac:dyDescent="0.3">
      <c r="A286" s="600"/>
      <c r="B286" s="475" t="s">
        <v>256</v>
      </c>
      <c r="C286" s="32" t="s">
        <v>694</v>
      </c>
      <c r="D286" s="397">
        <v>211002.99519295999</v>
      </c>
      <c r="E286" s="396">
        <v>7.0274912787215094E-2</v>
      </c>
      <c r="F286" s="13"/>
    </row>
    <row r="287" spans="1:6" ht="15" customHeight="1" x14ac:dyDescent="0.3">
      <c r="A287" s="601"/>
      <c r="B287" s="475" t="s">
        <v>725</v>
      </c>
      <c r="C287" s="32" t="s">
        <v>694</v>
      </c>
      <c r="D287" s="397">
        <v>446872.61708224402</v>
      </c>
      <c r="E287" s="396">
        <v>0.148831698638831</v>
      </c>
      <c r="F287" s="13"/>
    </row>
    <row r="288" spans="1:6" ht="15" customHeight="1" x14ac:dyDescent="0.3">
      <c r="A288" s="599" t="s">
        <v>213</v>
      </c>
      <c r="B288" s="542" t="s">
        <v>328</v>
      </c>
      <c r="C288" s="542"/>
      <c r="D288" s="542"/>
      <c r="E288" s="542"/>
      <c r="F288" s="13"/>
    </row>
    <row r="289" spans="1:6" ht="15" customHeight="1" x14ac:dyDescent="0.3">
      <c r="A289" s="600"/>
      <c r="B289" s="475" t="s">
        <v>453</v>
      </c>
      <c r="C289" s="32" t="s">
        <v>693</v>
      </c>
      <c r="D289" s="395"/>
      <c r="E289" s="395"/>
      <c r="F289" s="13"/>
    </row>
    <row r="290" spans="1:6" ht="15" customHeight="1" x14ac:dyDescent="0.3">
      <c r="A290" s="600"/>
      <c r="B290" s="542" t="s">
        <v>214</v>
      </c>
      <c r="C290" s="542"/>
      <c r="D290" s="542"/>
      <c r="E290" s="542"/>
      <c r="F290" s="13"/>
    </row>
    <row r="291" spans="1:6" ht="15" customHeight="1" x14ac:dyDescent="0.3">
      <c r="A291" s="600"/>
      <c r="B291" s="475" t="s">
        <v>215</v>
      </c>
      <c r="C291" s="32" t="s">
        <v>694</v>
      </c>
      <c r="D291" s="397">
        <v>226558.779930975</v>
      </c>
      <c r="E291" s="396">
        <v>7.5455793820685693E-2</v>
      </c>
      <c r="F291" s="13"/>
    </row>
    <row r="292" spans="1:6" ht="15" customHeight="1" x14ac:dyDescent="0.3">
      <c r="A292" s="600"/>
      <c r="B292" s="542" t="s">
        <v>265</v>
      </c>
      <c r="C292" s="542"/>
      <c r="D292" s="542"/>
      <c r="E292" s="542"/>
      <c r="F292" s="13"/>
    </row>
    <row r="293" spans="1:6" ht="15" customHeight="1" x14ac:dyDescent="0.3">
      <c r="A293" s="601"/>
      <c r="B293" s="476" t="s">
        <v>266</v>
      </c>
      <c r="C293" s="50" t="s">
        <v>693</v>
      </c>
      <c r="D293" s="395"/>
      <c r="E293" s="395"/>
      <c r="F293" s="13"/>
    </row>
    <row r="294" spans="1:6" ht="15" customHeight="1" x14ac:dyDescent="0.3">
      <c r="A294" s="599" t="s">
        <v>224</v>
      </c>
      <c r="B294" s="542" t="s">
        <v>225</v>
      </c>
      <c r="C294" s="542"/>
      <c r="D294" s="542"/>
      <c r="E294" s="542"/>
      <c r="F294" s="13"/>
    </row>
    <row r="295" spans="1:6" ht="15" customHeight="1" x14ac:dyDescent="0.3">
      <c r="A295" s="600"/>
      <c r="B295" s="475" t="s">
        <v>726</v>
      </c>
      <c r="C295" s="32" t="s">
        <v>694</v>
      </c>
      <c r="D295" s="397">
        <v>30881.462464386499</v>
      </c>
      <c r="E295" s="396">
        <v>1.0285124528406801E-2</v>
      </c>
      <c r="F295" s="13"/>
    </row>
    <row r="296" spans="1:6" ht="15" customHeight="1" x14ac:dyDescent="0.3">
      <c r="A296" s="600"/>
      <c r="B296" s="475" t="s">
        <v>226</v>
      </c>
      <c r="C296" s="32" t="s">
        <v>694</v>
      </c>
      <c r="D296" s="397">
        <v>39711.867141113798</v>
      </c>
      <c r="E296" s="396">
        <v>1.32261060910872E-2</v>
      </c>
      <c r="F296" s="13"/>
    </row>
    <row r="297" spans="1:6" ht="15" customHeight="1" x14ac:dyDescent="0.3">
      <c r="A297" s="600"/>
      <c r="B297" s="475" t="s">
        <v>454</v>
      </c>
      <c r="C297" s="32" t="s">
        <v>694</v>
      </c>
      <c r="D297" s="397">
        <v>40394.416907685103</v>
      </c>
      <c r="E297" s="396">
        <v>1.34534304723116E-2</v>
      </c>
      <c r="F297" s="13"/>
    </row>
    <row r="298" spans="1:6" ht="15" customHeight="1" x14ac:dyDescent="0.3">
      <c r="A298" s="600"/>
      <c r="B298" s="475" t="s">
        <v>230</v>
      </c>
      <c r="C298" s="32" t="s">
        <v>694</v>
      </c>
      <c r="D298" s="397">
        <v>57797.154413883101</v>
      </c>
      <c r="E298" s="396">
        <v>1.92494423222309E-2</v>
      </c>
      <c r="F298" s="13"/>
    </row>
    <row r="299" spans="1:6" ht="15" customHeight="1" x14ac:dyDescent="0.3">
      <c r="A299" s="600"/>
      <c r="B299" s="475" t="s">
        <v>727</v>
      </c>
      <c r="C299" s="32" t="s">
        <v>694</v>
      </c>
      <c r="D299" s="397">
        <v>112383.583535172</v>
      </c>
      <c r="E299" s="396">
        <v>3.7429547028119403E-2</v>
      </c>
      <c r="F299" s="13"/>
    </row>
    <row r="300" spans="1:6" ht="15" customHeight="1" x14ac:dyDescent="0.3">
      <c r="A300" s="600"/>
      <c r="B300" s="542" t="s">
        <v>695</v>
      </c>
      <c r="C300" s="542"/>
      <c r="D300" s="542"/>
      <c r="E300" s="542"/>
      <c r="F300" s="13"/>
    </row>
    <row r="301" spans="1:6" ht="15" customHeight="1" x14ac:dyDescent="0.3">
      <c r="A301" s="601"/>
      <c r="B301" s="475" t="s">
        <v>277</v>
      </c>
      <c r="C301" s="32" t="s">
        <v>693</v>
      </c>
      <c r="D301" s="395"/>
      <c r="E301" s="395"/>
      <c r="F301" s="13"/>
    </row>
    <row r="302" spans="1:6" ht="15" customHeight="1" x14ac:dyDescent="0.3">
      <c r="A302" s="599" t="s">
        <v>728</v>
      </c>
      <c r="B302" s="86" t="s">
        <v>729</v>
      </c>
      <c r="C302" s="23"/>
      <c r="D302" s="23"/>
      <c r="E302" s="23"/>
      <c r="F302" s="13"/>
    </row>
    <row r="303" spans="1:6" ht="15" customHeight="1" x14ac:dyDescent="0.3">
      <c r="A303" s="601"/>
      <c r="B303" s="85" t="s">
        <v>731</v>
      </c>
      <c r="C303" s="32" t="s">
        <v>693</v>
      </c>
      <c r="D303" s="395"/>
      <c r="E303" s="395"/>
      <c r="F303" s="13"/>
    </row>
    <row r="304" spans="1:6" ht="15" customHeight="1" x14ac:dyDescent="0.3">
      <c r="A304" s="599" t="s">
        <v>234</v>
      </c>
      <c r="B304" s="542" t="s">
        <v>235</v>
      </c>
      <c r="C304" s="542"/>
      <c r="D304" s="542"/>
      <c r="E304" s="542"/>
      <c r="F304" s="13"/>
    </row>
    <row r="305" spans="1:6" ht="15" customHeight="1" x14ac:dyDescent="0.3">
      <c r="A305" s="601"/>
      <c r="B305" s="475" t="s">
        <v>236</v>
      </c>
      <c r="C305" s="32" t="s">
        <v>693</v>
      </c>
      <c r="D305" s="395"/>
      <c r="E305" s="395"/>
      <c r="F305" s="13"/>
    </row>
    <row r="306" spans="1:6" ht="15" customHeight="1" x14ac:dyDescent="0.3">
      <c r="A306" s="40" t="s">
        <v>455</v>
      </c>
      <c r="B306" s="86" t="s">
        <v>696</v>
      </c>
      <c r="C306" s="86"/>
      <c r="D306" s="394">
        <v>1483918.5713787</v>
      </c>
      <c r="E306" s="393">
        <v>0.49422164880456798</v>
      </c>
      <c r="F306" s="13"/>
    </row>
    <row r="307" spans="1:6" ht="15" customHeight="1" x14ac:dyDescent="0.25">
      <c r="A307" s="563"/>
      <c r="B307" s="563"/>
      <c r="C307" s="563"/>
      <c r="D307" s="563"/>
      <c r="E307" s="563"/>
      <c r="F307" s="307"/>
    </row>
    <row r="308" spans="1:6" ht="15" customHeight="1" x14ac:dyDescent="0.25">
      <c r="A308" s="307"/>
      <c r="B308" s="307"/>
      <c r="C308" s="307"/>
      <c r="D308" s="307"/>
      <c r="E308" s="307"/>
      <c r="F308" s="307"/>
    </row>
    <row r="309" spans="1:6" ht="15" customHeight="1" x14ac:dyDescent="0.25">
      <c r="A309" s="332"/>
      <c r="B309" s="332"/>
      <c r="C309" s="332"/>
      <c r="D309" s="332"/>
      <c r="E309" s="307"/>
      <c r="F309" s="307"/>
    </row>
    <row r="310" spans="1:6" ht="50.4" customHeight="1" x14ac:dyDescent="0.35">
      <c r="A310" s="33" t="s">
        <v>93</v>
      </c>
      <c r="B310" s="58" t="s">
        <v>207</v>
      </c>
      <c r="C310" s="164" t="s">
        <v>779</v>
      </c>
      <c r="D310" s="164" t="s">
        <v>698</v>
      </c>
      <c r="E310" s="417"/>
      <c r="F310" s="307"/>
    </row>
    <row r="311" spans="1:6" ht="15" customHeight="1" x14ac:dyDescent="0.25">
      <c r="A311" s="602" t="s">
        <v>245</v>
      </c>
      <c r="B311" s="23" t="s">
        <v>246</v>
      </c>
      <c r="C311" s="391">
        <v>404353.67787163</v>
      </c>
      <c r="D311" s="390">
        <v>6.4277436058050599E-2</v>
      </c>
      <c r="E311" s="417"/>
      <c r="F311" s="307"/>
    </row>
    <row r="312" spans="1:6" ht="15" customHeight="1" x14ac:dyDescent="0.25">
      <c r="A312" s="602"/>
      <c r="B312" s="85" t="s">
        <v>514</v>
      </c>
      <c r="C312" s="392">
        <v>254105.52258562201</v>
      </c>
      <c r="D312" s="48">
        <v>4.0393478219283498E-2</v>
      </c>
      <c r="E312" s="417"/>
      <c r="F312" s="307"/>
    </row>
    <row r="313" spans="1:6" ht="15" customHeight="1" x14ac:dyDescent="0.25">
      <c r="A313" s="602"/>
      <c r="B313" s="85" t="s">
        <v>247</v>
      </c>
      <c r="C313" s="392">
        <v>150248.155286008</v>
      </c>
      <c r="D313" s="48">
        <v>2.3883957838767102E-2</v>
      </c>
      <c r="E313" s="417"/>
      <c r="F313" s="307"/>
    </row>
    <row r="314" spans="1:6" ht="15" customHeight="1" x14ac:dyDescent="0.25">
      <c r="A314" s="599" t="s">
        <v>251</v>
      </c>
      <c r="B314" s="23" t="s">
        <v>252</v>
      </c>
      <c r="C314" s="391">
        <v>1566630.04712455</v>
      </c>
      <c r="D314" s="390">
        <v>0.24903684123936101</v>
      </c>
      <c r="E314" s="417"/>
      <c r="F314" s="307"/>
    </row>
    <row r="315" spans="1:6" ht="15" customHeight="1" x14ac:dyDescent="0.25">
      <c r="A315" s="600"/>
      <c r="B315" s="85" t="s">
        <v>253</v>
      </c>
      <c r="C315" s="392">
        <v>465249.55233499099</v>
      </c>
      <c r="D315" s="48">
        <v>7.3957651402253397E-2</v>
      </c>
      <c r="E315" s="417"/>
      <c r="F315" s="307"/>
    </row>
    <row r="316" spans="1:6" ht="15" customHeight="1" x14ac:dyDescent="0.25">
      <c r="A316" s="600"/>
      <c r="B316" s="85" t="s">
        <v>724</v>
      </c>
      <c r="C316" s="392">
        <v>623649.37386624794</v>
      </c>
      <c r="D316" s="48">
        <v>9.9137425835551199E-2</v>
      </c>
      <c r="E316" s="417"/>
      <c r="F316" s="307"/>
    </row>
    <row r="317" spans="1:6" ht="15" customHeight="1" x14ac:dyDescent="0.25">
      <c r="A317" s="600"/>
      <c r="B317" s="85" t="s">
        <v>256</v>
      </c>
      <c r="C317" s="392">
        <v>220499.61218731801</v>
      </c>
      <c r="D317" s="48">
        <v>3.5051368390656298E-2</v>
      </c>
      <c r="E317" s="417"/>
      <c r="F317" s="307"/>
    </row>
    <row r="318" spans="1:6" ht="15" customHeight="1" x14ac:dyDescent="0.25">
      <c r="A318" s="601"/>
      <c r="B318" s="85" t="s">
        <v>725</v>
      </c>
      <c r="C318" s="392">
        <v>257231.508735991</v>
      </c>
      <c r="D318" s="48">
        <v>4.08903956109005E-2</v>
      </c>
      <c r="E318" s="417"/>
      <c r="F318" s="307"/>
    </row>
    <row r="319" spans="1:6" ht="15" customHeight="1" x14ac:dyDescent="0.25">
      <c r="A319" s="599" t="s">
        <v>213</v>
      </c>
      <c r="B319" s="23" t="s">
        <v>328</v>
      </c>
      <c r="C319" s="391">
        <v>143043.521207679</v>
      </c>
      <c r="D319" s="390">
        <v>2.2738684698854102E-2</v>
      </c>
      <c r="E319" s="417"/>
      <c r="F319" s="307"/>
    </row>
    <row r="320" spans="1:6" ht="15" customHeight="1" x14ac:dyDescent="0.25">
      <c r="A320" s="600"/>
      <c r="B320" s="85" t="s">
        <v>453</v>
      </c>
      <c r="C320" s="392">
        <v>143043.521207679</v>
      </c>
      <c r="D320" s="48">
        <v>2.2738684698854102E-2</v>
      </c>
      <c r="E320" s="417"/>
      <c r="F320" s="307"/>
    </row>
    <row r="321" spans="1:6" ht="15" customHeight="1" x14ac:dyDescent="0.25">
      <c r="A321" s="600"/>
      <c r="B321" s="23" t="s">
        <v>214</v>
      </c>
      <c r="C321" s="391">
        <v>648292.54723161797</v>
      </c>
      <c r="D321" s="390">
        <v>0.10305478849835099</v>
      </c>
      <c r="E321" s="417"/>
      <c r="F321" s="307"/>
    </row>
    <row r="322" spans="1:6" ht="15" customHeight="1" x14ac:dyDescent="0.25">
      <c r="A322" s="600"/>
      <c r="B322" s="85" t="s">
        <v>215</v>
      </c>
      <c r="C322" s="392">
        <v>648292.54723161797</v>
      </c>
      <c r="D322" s="48">
        <v>0.10305478849835099</v>
      </c>
      <c r="E322" s="417"/>
      <c r="F322" s="307"/>
    </row>
    <row r="323" spans="1:6" ht="15" customHeight="1" x14ac:dyDescent="0.25">
      <c r="A323" s="600"/>
      <c r="B323" s="23" t="s">
        <v>265</v>
      </c>
      <c r="C323" s="391">
        <v>199865.85031152601</v>
      </c>
      <c r="D323" s="390">
        <v>3.1771355416397501E-2</v>
      </c>
      <c r="E323" s="417"/>
      <c r="F323" s="307"/>
    </row>
    <row r="324" spans="1:6" ht="15" customHeight="1" x14ac:dyDescent="0.25">
      <c r="A324" s="601"/>
      <c r="B324" s="85" t="s">
        <v>266</v>
      </c>
      <c r="C324" s="392">
        <v>199865.85031152601</v>
      </c>
      <c r="D324" s="48">
        <v>3.1771355416397501E-2</v>
      </c>
      <c r="E324" s="417"/>
      <c r="F324" s="307"/>
    </row>
    <row r="325" spans="1:6" ht="15" customHeight="1" x14ac:dyDescent="0.25">
      <c r="A325" s="599" t="s">
        <v>224</v>
      </c>
      <c r="B325" s="23" t="s">
        <v>225</v>
      </c>
      <c r="C325" s="391">
        <v>587324.89164273394</v>
      </c>
      <c r="D325" s="390">
        <v>9.3363162582268899E-2</v>
      </c>
      <c r="E325" s="417"/>
      <c r="F325" s="307"/>
    </row>
    <row r="326" spans="1:6" ht="15" customHeight="1" x14ac:dyDescent="0.25">
      <c r="A326" s="600"/>
      <c r="B326" s="85" t="s">
        <v>726</v>
      </c>
      <c r="C326" s="392">
        <v>77581.033383311107</v>
      </c>
      <c r="D326" s="48">
        <v>1.23325449612861E-2</v>
      </c>
      <c r="E326" s="417"/>
      <c r="F326" s="307"/>
    </row>
    <row r="327" spans="1:6" ht="15" customHeight="1" x14ac:dyDescent="0.25">
      <c r="A327" s="600"/>
      <c r="B327" s="85" t="s">
        <v>226</v>
      </c>
      <c r="C327" s="392">
        <v>98442.976808040796</v>
      </c>
      <c r="D327" s="48">
        <v>1.5648830450731899E-2</v>
      </c>
      <c r="E327" s="417"/>
      <c r="F327" s="307"/>
    </row>
    <row r="328" spans="1:6" ht="15" customHeight="1" x14ac:dyDescent="0.25">
      <c r="A328" s="600"/>
      <c r="B328" s="85" t="s">
        <v>454</v>
      </c>
      <c r="C328" s="392">
        <v>71787.549598278507</v>
      </c>
      <c r="D328" s="48">
        <v>1.14115930720739E-2</v>
      </c>
      <c r="E328" s="417"/>
      <c r="F328" s="307"/>
    </row>
    <row r="329" spans="1:6" ht="15" customHeight="1" x14ac:dyDescent="0.25">
      <c r="A329" s="600"/>
      <c r="B329" s="85" t="s">
        <v>230</v>
      </c>
      <c r="C329" s="392">
        <v>112774.455094777</v>
      </c>
      <c r="D329" s="48">
        <v>1.7927010988230199E-2</v>
      </c>
      <c r="E329" s="417"/>
      <c r="F329" s="307"/>
    </row>
    <row r="330" spans="1:6" ht="15" customHeight="1" x14ac:dyDescent="0.25">
      <c r="A330" s="600"/>
      <c r="B330" s="85" t="s">
        <v>727</v>
      </c>
      <c r="C330" s="392">
        <v>226738.87675832701</v>
      </c>
      <c r="D330" s="48">
        <v>3.6043183109946801E-2</v>
      </c>
      <c r="E330" s="417"/>
      <c r="F330" s="307"/>
    </row>
    <row r="331" spans="1:6" ht="15" customHeight="1" x14ac:dyDescent="0.25">
      <c r="A331" s="600"/>
      <c r="B331" s="23" t="s">
        <v>276</v>
      </c>
      <c r="C331" s="391">
        <v>2073785.0797188401</v>
      </c>
      <c r="D331" s="390">
        <v>0.32965593032663199</v>
      </c>
      <c r="E331" s="417"/>
      <c r="F331" s="307"/>
    </row>
    <row r="332" spans="1:6" ht="15" customHeight="1" x14ac:dyDescent="0.25">
      <c r="A332" s="600"/>
      <c r="B332" s="85" t="s">
        <v>277</v>
      </c>
      <c r="C332" s="392">
        <v>205707.79316745399</v>
      </c>
      <c r="D332" s="48">
        <v>3.2700010524354499E-2</v>
      </c>
      <c r="E332" s="417"/>
      <c r="F332" s="307"/>
    </row>
    <row r="333" spans="1:6" ht="15" customHeight="1" x14ac:dyDescent="0.25">
      <c r="A333" s="601"/>
      <c r="B333" s="85" t="s">
        <v>699</v>
      </c>
      <c r="C333" s="392">
        <v>1868077.2865513901</v>
      </c>
      <c r="D333" s="48">
        <v>0.29695591980227698</v>
      </c>
      <c r="E333" s="417"/>
      <c r="F333" s="307"/>
    </row>
    <row r="334" spans="1:6" ht="15" customHeight="1" x14ac:dyDescent="0.25">
      <c r="A334" s="599" t="s">
        <v>728</v>
      </c>
      <c r="B334" s="86" t="s">
        <v>729</v>
      </c>
      <c r="C334" s="391">
        <v>451465.65550982801</v>
      </c>
      <c r="D334" s="390">
        <v>7.1766516276504697E-2</v>
      </c>
      <c r="E334" s="417"/>
      <c r="F334" s="307"/>
    </row>
    <row r="335" spans="1:6" ht="15" customHeight="1" x14ac:dyDescent="0.25">
      <c r="A335" s="601"/>
      <c r="B335" s="85" t="s">
        <v>731</v>
      </c>
      <c r="C335" s="392">
        <v>451465.65550982801</v>
      </c>
      <c r="D335" s="474">
        <v>7.1766516276504697E-2</v>
      </c>
      <c r="E335" s="417"/>
      <c r="F335" s="307"/>
    </row>
    <row r="336" spans="1:6" ht="15" customHeight="1" x14ac:dyDescent="0.25">
      <c r="A336" s="599" t="s">
        <v>234</v>
      </c>
      <c r="B336" s="23" t="s">
        <v>235</v>
      </c>
      <c r="C336" s="391">
        <v>215994.905568327</v>
      </c>
      <c r="D336" s="390">
        <v>3.4335284903580003E-2</v>
      </c>
      <c r="E336" s="417"/>
      <c r="F336" s="307"/>
    </row>
    <row r="337" spans="1:8" ht="15" customHeight="1" x14ac:dyDescent="0.25">
      <c r="A337" s="601"/>
      <c r="B337" s="85" t="s">
        <v>236</v>
      </c>
      <c r="C337" s="392">
        <v>215994.905568327</v>
      </c>
      <c r="D337" s="48">
        <v>3.4335284903580003E-2</v>
      </c>
      <c r="E337" s="417"/>
      <c r="F337" s="307"/>
    </row>
    <row r="338" spans="1:8" ht="15" customHeight="1" x14ac:dyDescent="0.25">
      <c r="A338" s="40" t="s">
        <v>455</v>
      </c>
      <c r="B338" s="86" t="s">
        <v>644</v>
      </c>
      <c r="C338" s="391">
        <v>6290756.1761867302</v>
      </c>
      <c r="D338" s="390">
        <v>1</v>
      </c>
      <c r="E338" s="417"/>
      <c r="F338" s="307"/>
    </row>
    <row r="339" spans="1:8" ht="15" customHeight="1" x14ac:dyDescent="0.25">
      <c r="A339" s="532" t="s">
        <v>700</v>
      </c>
      <c r="B339" s="532"/>
      <c r="C339" s="532"/>
      <c r="D339" s="532"/>
      <c r="E339" s="307"/>
      <c r="F339" s="307"/>
    </row>
    <row r="340" spans="1:8" ht="15" customHeight="1" x14ac:dyDescent="0.25">
      <c r="A340" s="518"/>
      <c r="B340" s="518"/>
      <c r="C340" s="518"/>
      <c r="D340" s="518"/>
      <c r="E340" s="307"/>
      <c r="F340" s="307"/>
    </row>
    <row r="341" spans="1:8" ht="15" customHeight="1" x14ac:dyDescent="0.25">
      <c r="A341" s="307"/>
      <c r="B341" s="307"/>
      <c r="C341" s="307"/>
      <c r="D341" s="307"/>
      <c r="E341" s="307"/>
      <c r="F341" s="307"/>
    </row>
    <row r="342" spans="1:8" ht="15" customHeight="1" x14ac:dyDescent="0.25"/>
    <row r="343" spans="1:8" ht="45.75" customHeight="1" x14ac:dyDescent="0.35">
      <c r="A343" s="45" t="s">
        <v>780</v>
      </c>
      <c r="B343" s="25">
        <v>2019</v>
      </c>
      <c r="C343" s="25">
        <v>2020</v>
      </c>
      <c r="D343" s="25">
        <v>2021</v>
      </c>
      <c r="E343" s="5" t="s">
        <v>781</v>
      </c>
      <c r="F343" s="25">
        <v>2023</v>
      </c>
      <c r="G343" s="13"/>
    </row>
    <row r="344" spans="1:8" ht="35.85" customHeight="1" x14ac:dyDescent="0.3">
      <c r="A344" s="31" t="s">
        <v>782</v>
      </c>
      <c r="B344" s="473">
        <v>2.33</v>
      </c>
      <c r="C344" s="473">
        <v>2.6027956349986199</v>
      </c>
      <c r="D344" s="473">
        <v>2.617654147498</v>
      </c>
      <c r="E344" s="473">
        <v>2.4368387248896699</v>
      </c>
      <c r="F344" s="388">
        <v>2404001.38911505</v>
      </c>
      <c r="G344" s="13"/>
    </row>
    <row r="345" spans="1:8" ht="35.85" customHeight="1" x14ac:dyDescent="0.3">
      <c r="A345" s="31" t="s">
        <v>703</v>
      </c>
      <c r="B345" s="473">
        <v>4.93762074009979E-2</v>
      </c>
      <c r="C345" s="473">
        <v>0.107932609062559</v>
      </c>
      <c r="D345" s="473">
        <v>7.5905875501135506E-2</v>
      </c>
      <c r="E345" s="473">
        <v>0.108149846039047</v>
      </c>
      <c r="F345" s="388">
        <v>89623.962151104497</v>
      </c>
      <c r="G345" s="13"/>
    </row>
    <row r="346" spans="1:8" ht="35.85" customHeight="1" x14ac:dyDescent="0.3">
      <c r="A346" s="31" t="s">
        <v>783</v>
      </c>
      <c r="B346" s="473">
        <v>0.76697510355331</v>
      </c>
      <c r="C346" s="473">
        <v>0.81437948903176904</v>
      </c>
      <c r="D346" s="473">
        <v>0.98675038785434899</v>
      </c>
      <c r="E346" s="473">
        <v>0.93008860139681604</v>
      </c>
      <c r="F346" s="388">
        <v>939574.96783698699</v>
      </c>
      <c r="G346" s="13"/>
      <c r="H346" s="2"/>
    </row>
    <row r="347" spans="1:8" ht="35.85" customHeight="1" x14ac:dyDescent="0.3">
      <c r="A347" s="31" t="s">
        <v>705</v>
      </c>
      <c r="B347" s="473">
        <v>0.235072034154269</v>
      </c>
      <c r="C347" s="473">
        <v>0.34976211209278801</v>
      </c>
      <c r="D347" s="473">
        <v>0.29067806019829701</v>
      </c>
      <c r="E347" s="473">
        <v>0.22108398591242401</v>
      </c>
      <c r="F347" s="388">
        <v>214006.256311787</v>
      </c>
      <c r="G347" s="13"/>
    </row>
    <row r="348" spans="1:8" ht="35.85" customHeight="1" x14ac:dyDescent="0.3">
      <c r="A348" s="31" t="s">
        <v>706</v>
      </c>
      <c r="B348" s="473">
        <v>2.6530787070426401E-2</v>
      </c>
      <c r="C348" s="473">
        <v>1.7923475901889599E-2</v>
      </c>
      <c r="D348" s="473">
        <v>4.9922127217577397E-2</v>
      </c>
      <c r="E348" s="473">
        <v>2.8561243094199201E-2</v>
      </c>
      <c r="F348" s="388">
        <v>16254.183467831501</v>
      </c>
      <c r="G348" s="13"/>
    </row>
    <row r="349" spans="1:8" ht="35.85" customHeight="1" x14ac:dyDescent="0.3">
      <c r="A349" s="31" t="s">
        <v>707</v>
      </c>
      <c r="B349" s="473">
        <v>8.6353479751003701E-3</v>
      </c>
      <c r="C349" s="473">
        <v>2.8069433983876602E-3</v>
      </c>
      <c r="D349" s="473">
        <v>3.439223602674E-3</v>
      </c>
      <c r="E349" s="473">
        <v>1.5912114376921801E-2</v>
      </c>
      <c r="F349" s="388">
        <v>28108.691262716198</v>
      </c>
      <c r="G349" s="13"/>
    </row>
    <row r="350" spans="1:8" ht="35.85" customHeight="1" x14ac:dyDescent="0.3">
      <c r="A350" s="31" t="s">
        <v>708</v>
      </c>
      <c r="B350" s="473">
        <v>5.204142874632E-2</v>
      </c>
      <c r="C350" s="473">
        <v>4.5583960256640001E-2</v>
      </c>
      <c r="D350" s="473">
        <v>4.7171754132804999E-2</v>
      </c>
      <c r="E350" s="473">
        <v>4.6721115550514503E-2</v>
      </c>
      <c r="F350" s="388">
        <v>47503.927446144</v>
      </c>
      <c r="G350" s="13"/>
    </row>
    <row r="351" spans="1:8" ht="35.85" customHeight="1" x14ac:dyDescent="0.3">
      <c r="A351" s="31" t="s">
        <v>784</v>
      </c>
      <c r="B351" s="208" t="s">
        <v>710</v>
      </c>
      <c r="C351" s="208" t="s">
        <v>710</v>
      </c>
      <c r="D351" s="208" t="s">
        <v>710</v>
      </c>
      <c r="E351" s="208" t="s">
        <v>710</v>
      </c>
      <c r="F351" s="208" t="s">
        <v>710</v>
      </c>
      <c r="G351" s="13"/>
      <c r="H351" s="2"/>
    </row>
    <row r="352" spans="1:8" ht="35.85" customHeight="1" x14ac:dyDescent="0.3">
      <c r="A352" s="31" t="s">
        <v>785</v>
      </c>
      <c r="B352" s="208" t="s">
        <v>710</v>
      </c>
      <c r="C352" s="208" t="s">
        <v>710</v>
      </c>
      <c r="D352" s="208" t="s">
        <v>710</v>
      </c>
      <c r="E352" s="208" t="s">
        <v>710</v>
      </c>
      <c r="F352" s="208" t="s">
        <v>710</v>
      </c>
      <c r="G352" s="13"/>
      <c r="H352" s="2"/>
    </row>
    <row r="353" spans="1:9" ht="35.85" customHeight="1" x14ac:dyDescent="0.3">
      <c r="A353" s="31" t="s">
        <v>786</v>
      </c>
      <c r="B353" s="473">
        <v>0.95659637196224001</v>
      </c>
      <c r="C353" s="473">
        <v>1.1486157353438899</v>
      </c>
      <c r="D353" s="473">
        <v>1.0493455258722599</v>
      </c>
      <c r="E353" s="473">
        <v>0.86244797929057904</v>
      </c>
      <c r="F353" s="388">
        <v>732167.798595106</v>
      </c>
      <c r="G353" s="13"/>
      <c r="H353" s="2"/>
    </row>
    <row r="354" spans="1:9" ht="35.85" customHeight="1" x14ac:dyDescent="0.3">
      <c r="A354" s="31" t="s">
        <v>787</v>
      </c>
      <c r="B354" s="208" t="s">
        <v>710</v>
      </c>
      <c r="C354" s="208" t="s">
        <v>710</v>
      </c>
      <c r="D354" s="208" t="s">
        <v>710</v>
      </c>
      <c r="E354" s="208" t="s">
        <v>710</v>
      </c>
      <c r="F354" s="208" t="s">
        <v>710</v>
      </c>
      <c r="G354" s="13"/>
      <c r="H354" s="2"/>
    </row>
    <row r="355" spans="1:9" ht="35.85" customHeight="1" x14ac:dyDescent="0.3">
      <c r="A355" s="31" t="s">
        <v>788</v>
      </c>
      <c r="B355" s="208" t="s">
        <v>710</v>
      </c>
      <c r="C355" s="208" t="s">
        <v>710</v>
      </c>
      <c r="D355" s="208" t="s">
        <v>710</v>
      </c>
      <c r="E355" s="208" t="s">
        <v>710</v>
      </c>
      <c r="F355" s="208" t="s">
        <v>710</v>
      </c>
      <c r="G355" s="13"/>
      <c r="H355" s="2"/>
    </row>
    <row r="356" spans="1:9" ht="35.85" customHeight="1" x14ac:dyDescent="0.3">
      <c r="A356" s="31" t="s">
        <v>789</v>
      </c>
      <c r="B356" s="208" t="s">
        <v>710</v>
      </c>
      <c r="C356" s="208" t="s">
        <v>710</v>
      </c>
      <c r="D356" s="208" t="s">
        <v>710</v>
      </c>
      <c r="E356" s="208" t="s">
        <v>710</v>
      </c>
      <c r="F356" s="208" t="s">
        <v>710</v>
      </c>
      <c r="G356" s="13"/>
      <c r="H356" s="2"/>
    </row>
    <row r="357" spans="1:9" ht="35.85" customHeight="1" x14ac:dyDescent="0.3">
      <c r="A357" s="31" t="s">
        <v>790</v>
      </c>
      <c r="B357" s="208" t="s">
        <v>710</v>
      </c>
      <c r="C357" s="208" t="s">
        <v>710</v>
      </c>
      <c r="D357" s="208" t="s">
        <v>710</v>
      </c>
      <c r="E357" s="208" t="s">
        <v>710</v>
      </c>
      <c r="F357" s="208" t="s">
        <v>710</v>
      </c>
      <c r="G357" s="13"/>
      <c r="H357" s="2"/>
    </row>
    <row r="358" spans="1:9" ht="35.85" customHeight="1" x14ac:dyDescent="0.3">
      <c r="A358" s="31" t="s">
        <v>717</v>
      </c>
      <c r="B358" s="473">
        <v>2.1311249999999999</v>
      </c>
      <c r="C358" s="473">
        <v>2.15755825635354</v>
      </c>
      <c r="D358" s="473">
        <v>2.1149049999999998</v>
      </c>
      <c r="E358" s="473">
        <v>1.94841</v>
      </c>
      <c r="F358" s="388">
        <v>1819515</v>
      </c>
      <c r="G358" s="13"/>
    </row>
    <row r="359" spans="1:9" ht="35.85" customHeight="1" x14ac:dyDescent="0.3">
      <c r="A359" s="6" t="s">
        <v>791</v>
      </c>
      <c r="B359" s="472">
        <v>6.5570000000000004</v>
      </c>
      <c r="C359" s="472">
        <v>7.2473582164400803</v>
      </c>
      <c r="D359" s="472">
        <v>7.2357721018771004</v>
      </c>
      <c r="E359" s="472">
        <v>6.5982136105501699</v>
      </c>
      <c r="F359" s="387">
        <v>6290756.1761867302</v>
      </c>
      <c r="G359" s="386"/>
      <c r="H359" s="2"/>
    </row>
    <row r="360" spans="1:9" ht="33.450000000000003" customHeight="1" x14ac:dyDescent="0.25">
      <c r="A360" s="532" t="s">
        <v>792</v>
      </c>
      <c r="B360" s="532"/>
      <c r="C360" s="532"/>
      <c r="D360" s="532"/>
      <c r="E360" s="532"/>
      <c r="F360" s="532"/>
    </row>
    <row r="361" spans="1:9" ht="33.450000000000003" customHeight="1" x14ac:dyDescent="0.25">
      <c r="A361" s="518"/>
      <c r="B361" s="518"/>
      <c r="C361" s="518"/>
      <c r="D361" s="518"/>
      <c r="E361" s="518"/>
      <c r="F361" s="518"/>
    </row>
    <row r="362" spans="1:9" ht="33.450000000000003" customHeight="1" x14ac:dyDescent="0.25">
      <c r="A362" s="518"/>
      <c r="B362" s="518"/>
      <c r="C362" s="518"/>
      <c r="D362" s="518"/>
      <c r="E362" s="518"/>
      <c r="F362" s="518"/>
    </row>
    <row r="363" spans="1:9" ht="33.450000000000003" customHeight="1" x14ac:dyDescent="0.25">
      <c r="A363" s="518"/>
      <c r="B363" s="518"/>
      <c r="C363" s="518"/>
      <c r="D363" s="518"/>
      <c r="E363" s="518"/>
      <c r="F363" s="518"/>
    </row>
    <row r="364" spans="1:9" ht="15" customHeight="1" x14ac:dyDescent="0.25"/>
    <row r="365" spans="1:9" ht="15" customHeight="1" x14ac:dyDescent="0.25"/>
    <row r="366" spans="1:9" ht="15" customHeight="1" x14ac:dyDescent="0.25"/>
    <row r="367" spans="1:9" ht="15" customHeight="1" x14ac:dyDescent="0.25">
      <c r="G367" s="518"/>
      <c r="H367" s="518"/>
      <c r="I367" s="518"/>
    </row>
    <row r="368" spans="1:9" ht="15" customHeight="1" x14ac:dyDescent="0.25"/>
    <row r="369" customFormat="1" ht="15" customHeight="1" x14ac:dyDescent="0.25"/>
    <row r="370" customFormat="1" ht="15" customHeight="1" x14ac:dyDescent="0.25"/>
    <row r="371" customFormat="1" ht="15" customHeight="1" x14ac:dyDescent="0.25"/>
    <row r="372" customFormat="1" ht="15" customHeight="1" x14ac:dyDescent="0.25"/>
    <row r="373" customFormat="1" ht="15" customHeight="1" x14ac:dyDescent="0.25"/>
    <row r="374" customFormat="1" ht="15" customHeight="1" x14ac:dyDescent="0.25"/>
    <row r="375" customFormat="1" ht="15" customHeight="1" x14ac:dyDescent="0.25"/>
    <row r="376" customFormat="1" ht="15" customHeight="1" x14ac:dyDescent="0.25"/>
    <row r="377" customFormat="1" ht="15" customHeight="1" x14ac:dyDescent="0.25"/>
    <row r="378" customFormat="1" ht="15" customHeight="1" x14ac:dyDescent="0.25"/>
    <row r="379" customFormat="1" ht="15" customHeight="1" x14ac:dyDescent="0.25"/>
    <row r="380" customFormat="1" ht="15" customHeight="1" x14ac:dyDescent="0.25"/>
    <row r="381" customFormat="1" ht="15" customHeight="1" x14ac:dyDescent="0.25"/>
    <row r="382" customFormat="1" ht="15" customHeight="1" x14ac:dyDescent="0.25"/>
    <row r="383" customFormat="1" ht="15" customHeight="1" x14ac:dyDescent="0.25"/>
    <row r="384" customFormat="1" ht="15" customHeight="1" x14ac:dyDescent="0.25"/>
    <row r="385" customFormat="1" ht="15" customHeight="1" x14ac:dyDescent="0.25"/>
    <row r="386" customFormat="1" ht="15" customHeight="1" x14ac:dyDescent="0.25"/>
    <row r="387" customFormat="1" ht="15" customHeight="1" x14ac:dyDescent="0.25"/>
    <row r="388" customFormat="1" ht="15" customHeight="1" x14ac:dyDescent="0.25"/>
    <row r="389" customFormat="1" ht="15" customHeight="1" x14ac:dyDescent="0.25"/>
    <row r="390" customFormat="1" ht="15" customHeight="1" x14ac:dyDescent="0.25"/>
    <row r="391" customFormat="1" ht="15" customHeight="1" x14ac:dyDescent="0.25"/>
    <row r="392" customFormat="1" ht="15" customHeight="1" x14ac:dyDescent="0.25"/>
    <row r="393" customFormat="1" ht="15" customHeight="1" x14ac:dyDescent="0.25"/>
    <row r="394" customFormat="1" ht="15" customHeight="1" x14ac:dyDescent="0.25"/>
    <row r="395" customFormat="1" ht="15" customHeight="1" x14ac:dyDescent="0.25"/>
    <row r="396" customFormat="1" ht="15" customHeight="1" x14ac:dyDescent="0.25"/>
    <row r="397" customFormat="1" ht="15" customHeight="1" x14ac:dyDescent="0.25"/>
    <row r="398" customFormat="1" ht="15" customHeight="1" x14ac:dyDescent="0.25"/>
    <row r="399" customFormat="1" ht="15" customHeight="1" x14ac:dyDescent="0.25"/>
  </sheetData>
  <sheetProtection algorithmName="SHA-512" hashValue="UGluGpu3p+QILQ/cnmBOYDu9PtW0k+UfN2cCRhUbw/yVgP28U58UuTc1ZIQBaWRY91LUa1qebgdKTSGPk1Hj1w==" saltValue="Al0Am6IrX0sMHz4kYm+m5g==" spinCount="100000" sheet="1" objects="1" scenarios="1"/>
  <mergeCells count="106">
    <mergeCell ref="P3:R3"/>
    <mergeCell ref="O4:O5"/>
    <mergeCell ref="A2:F2"/>
    <mergeCell ref="S3:S5"/>
    <mergeCell ref="R4:R5"/>
    <mergeCell ref="A33:S34"/>
    <mergeCell ref="A1:F1"/>
    <mergeCell ref="B3:B5"/>
    <mergeCell ref="A3:A5"/>
    <mergeCell ref="A6:A8"/>
    <mergeCell ref="C4:K4"/>
    <mergeCell ref="C3:O3"/>
    <mergeCell ref="L4:N4"/>
    <mergeCell ref="A46:B46"/>
    <mergeCell ref="A9:A13"/>
    <mergeCell ref="A14:A19"/>
    <mergeCell ref="A20:A27"/>
    <mergeCell ref="A30:A31"/>
    <mergeCell ref="A28:A29"/>
    <mergeCell ref="A37:B37"/>
    <mergeCell ref="A56:B56"/>
    <mergeCell ref="A50:B50"/>
    <mergeCell ref="A38:H38"/>
    <mergeCell ref="A39:B39"/>
    <mergeCell ref="A40:B40"/>
    <mergeCell ref="A41:B41"/>
    <mergeCell ref="A42:B42"/>
    <mergeCell ref="A43:B43"/>
    <mergeCell ref="A44:B44"/>
    <mergeCell ref="A45:B45"/>
    <mergeCell ref="L72:M72"/>
    <mergeCell ref="A48:B48"/>
    <mergeCell ref="A49:B49"/>
    <mergeCell ref="A47:H47"/>
    <mergeCell ref="A53:H53"/>
    <mergeCell ref="A51:B51"/>
    <mergeCell ref="A52:B52"/>
    <mergeCell ref="A54:B54"/>
    <mergeCell ref="A55:B55"/>
    <mergeCell ref="A127:A132"/>
    <mergeCell ref="A133:A140"/>
    <mergeCell ref="A122:A126"/>
    <mergeCell ref="A57:B57"/>
    <mergeCell ref="A58:B58"/>
    <mergeCell ref="A59:B59"/>
    <mergeCell ref="A60:H62"/>
    <mergeCell ref="A68:G70"/>
    <mergeCell ref="A74:A76"/>
    <mergeCell ref="A82:A87"/>
    <mergeCell ref="A88:A95"/>
    <mergeCell ref="A98:A99"/>
    <mergeCell ref="A101:J102"/>
    <mergeCell ref="A96:A97"/>
    <mergeCell ref="A113:G115"/>
    <mergeCell ref="A119:A121"/>
    <mergeCell ref="A77:A81"/>
    <mergeCell ref="A143:A144"/>
    <mergeCell ref="A146:I146"/>
    <mergeCell ref="A150:A152"/>
    <mergeCell ref="A158:A163"/>
    <mergeCell ref="A141:A142"/>
    <mergeCell ref="A164:A171"/>
    <mergeCell ref="A174:A175"/>
    <mergeCell ref="A153:A157"/>
    <mergeCell ref="A172:A173"/>
    <mergeCell ref="A177:S179"/>
    <mergeCell ref="A200:G206"/>
    <mergeCell ref="A210:A212"/>
    <mergeCell ref="A218:A223"/>
    <mergeCell ref="A224:A231"/>
    <mergeCell ref="A234:A235"/>
    <mergeCell ref="A237:H237"/>
    <mergeCell ref="A243:G245"/>
    <mergeCell ref="A213:A217"/>
    <mergeCell ref="A249:A251"/>
    <mergeCell ref="A257:A262"/>
    <mergeCell ref="A232:A233"/>
    <mergeCell ref="A263:A270"/>
    <mergeCell ref="A273:A274"/>
    <mergeCell ref="A276:C276"/>
    <mergeCell ref="B280:E280"/>
    <mergeCell ref="A280:A282"/>
    <mergeCell ref="B283:E283"/>
    <mergeCell ref="A252:A256"/>
    <mergeCell ref="G367:I367"/>
    <mergeCell ref="A334:A335"/>
    <mergeCell ref="A311:A313"/>
    <mergeCell ref="A271:A272"/>
    <mergeCell ref="A319:A324"/>
    <mergeCell ref="A325:A333"/>
    <mergeCell ref="A283:A287"/>
    <mergeCell ref="A336:A337"/>
    <mergeCell ref="A339:D340"/>
    <mergeCell ref="A302:A303"/>
    <mergeCell ref="A360:F363"/>
    <mergeCell ref="A314:A318"/>
    <mergeCell ref="B290:E290"/>
    <mergeCell ref="B288:E288"/>
    <mergeCell ref="A288:A293"/>
    <mergeCell ref="B292:E292"/>
    <mergeCell ref="B294:E294"/>
    <mergeCell ref="A294:A301"/>
    <mergeCell ref="B300:E300"/>
    <mergeCell ref="A307:E307"/>
    <mergeCell ref="B304:E304"/>
    <mergeCell ref="A304:A30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9"/>
  <sheetViews>
    <sheetView showRuler="0" workbookViewId="0">
      <selection activeCell="A3" sqref="A3"/>
    </sheetView>
  </sheetViews>
  <sheetFormatPr defaultColWidth="13.6640625" defaultRowHeight="13.2" x14ac:dyDescent="0.25"/>
  <cols>
    <col min="1" max="1" width="27.5546875" customWidth="1"/>
    <col min="2" max="2" width="21.109375" customWidth="1"/>
    <col min="3" max="12" width="14.33203125" customWidth="1"/>
    <col min="13" max="13" width="26.6640625" customWidth="1"/>
    <col min="14" max="14" width="18.109375" customWidth="1"/>
    <col min="15" max="15" width="0" hidden="1"/>
  </cols>
  <sheetData>
    <row r="1" spans="1:12" ht="20.85" customHeight="1" x14ac:dyDescent="0.3">
      <c r="A1" s="595" t="s">
        <v>793</v>
      </c>
      <c r="B1" s="595"/>
      <c r="C1" s="595"/>
      <c r="D1" s="595"/>
      <c r="E1" s="595"/>
      <c r="F1" s="595"/>
      <c r="G1" s="17"/>
      <c r="H1" s="17"/>
      <c r="I1" s="17"/>
      <c r="J1" s="17"/>
      <c r="K1" s="17"/>
      <c r="L1" s="17"/>
    </row>
    <row r="2" spans="1:12" ht="22.5" customHeight="1" x14ac:dyDescent="0.3">
      <c r="B2" s="64"/>
      <c r="C2" s="64"/>
      <c r="D2" s="64"/>
      <c r="E2" s="64"/>
      <c r="F2" s="64"/>
      <c r="G2" s="64"/>
      <c r="H2" s="64"/>
      <c r="I2" s="64"/>
      <c r="J2" s="64"/>
      <c r="K2" s="64"/>
      <c r="L2" s="2"/>
    </row>
    <row r="3" spans="1:12" ht="51.6" customHeight="1" x14ac:dyDescent="0.35">
      <c r="A3" s="33" t="s">
        <v>794</v>
      </c>
      <c r="B3" s="5" t="s">
        <v>207</v>
      </c>
      <c r="C3" s="5" t="s">
        <v>795</v>
      </c>
      <c r="D3" s="5" t="s">
        <v>796</v>
      </c>
      <c r="E3" s="5" t="s">
        <v>797</v>
      </c>
      <c r="F3" s="5" t="s">
        <v>798</v>
      </c>
      <c r="G3" s="5" t="s">
        <v>799</v>
      </c>
      <c r="H3" s="5" t="s">
        <v>800</v>
      </c>
      <c r="I3" s="5" t="s">
        <v>801</v>
      </c>
      <c r="J3" s="5" t="s">
        <v>802</v>
      </c>
      <c r="K3" s="5" t="s">
        <v>803</v>
      </c>
      <c r="L3" s="55"/>
    </row>
    <row r="4" spans="1:12" ht="21.6" customHeight="1" x14ac:dyDescent="0.3">
      <c r="A4" s="36"/>
      <c r="B4" s="7"/>
      <c r="C4" s="628" t="s">
        <v>804</v>
      </c>
      <c r="D4" s="628"/>
      <c r="E4" s="628"/>
      <c r="F4" s="628"/>
      <c r="G4" s="628"/>
      <c r="H4" s="628" t="s">
        <v>805</v>
      </c>
      <c r="I4" s="628"/>
      <c r="J4" s="629" t="s">
        <v>806</v>
      </c>
      <c r="K4" s="630"/>
      <c r="L4" s="55"/>
    </row>
    <row r="5" spans="1:12" ht="21.6" customHeight="1" x14ac:dyDescent="0.3">
      <c r="A5" s="536" t="s">
        <v>245</v>
      </c>
      <c r="B5" s="7" t="s">
        <v>246</v>
      </c>
      <c r="C5" s="122">
        <v>14091.08</v>
      </c>
      <c r="D5" s="122">
        <v>3937.2661600000001</v>
      </c>
      <c r="E5" s="122">
        <v>14044.77317</v>
      </c>
      <c r="F5" s="122">
        <v>0</v>
      </c>
      <c r="G5" s="122">
        <v>2576.0351084096901</v>
      </c>
      <c r="H5" s="122">
        <v>1777.7860000000001</v>
      </c>
      <c r="I5" s="122">
        <v>1001.07</v>
      </c>
      <c r="J5" s="122">
        <v>2871</v>
      </c>
      <c r="K5" s="122">
        <v>628</v>
      </c>
      <c r="L5" s="55"/>
    </row>
    <row r="6" spans="1:12" ht="21.6" customHeight="1" x14ac:dyDescent="0.3">
      <c r="A6" s="536"/>
      <c r="B6" s="123" t="s">
        <v>514</v>
      </c>
      <c r="C6" s="124">
        <v>7370</v>
      </c>
      <c r="D6" s="124">
        <v>2070</v>
      </c>
      <c r="E6" s="124">
        <v>6464.2460000000001</v>
      </c>
      <c r="F6" s="124">
        <v>0</v>
      </c>
      <c r="G6" s="124">
        <v>1896.09951918715</v>
      </c>
      <c r="H6" s="124">
        <v>1318.278</v>
      </c>
      <c r="I6" s="125">
        <v>582.255</v>
      </c>
      <c r="J6" s="124">
        <v>2525</v>
      </c>
      <c r="K6" s="124">
        <v>625</v>
      </c>
      <c r="L6" s="55"/>
    </row>
    <row r="7" spans="1:12" ht="21.6" customHeight="1" x14ac:dyDescent="0.3">
      <c r="A7" s="536"/>
      <c r="B7" s="123" t="s">
        <v>247</v>
      </c>
      <c r="C7" s="124">
        <v>6721.08</v>
      </c>
      <c r="D7" s="124">
        <v>1867.2661599999999</v>
      </c>
      <c r="E7" s="124">
        <v>7580.5271700000003</v>
      </c>
      <c r="F7" s="125">
        <v>0</v>
      </c>
      <c r="G7" s="124">
        <v>679.93558922253499</v>
      </c>
      <c r="H7" s="124">
        <v>459.50799999999998</v>
      </c>
      <c r="I7" s="125">
        <v>418.815</v>
      </c>
      <c r="J7" s="125">
        <v>346</v>
      </c>
      <c r="K7" s="125">
        <v>3</v>
      </c>
      <c r="L7" s="55"/>
    </row>
    <row r="8" spans="1:12" ht="21.6" customHeight="1" x14ac:dyDescent="0.3">
      <c r="A8" s="536" t="s">
        <v>251</v>
      </c>
      <c r="B8" s="7" t="s">
        <v>252</v>
      </c>
      <c r="C8" s="122">
        <v>18031.310000000001</v>
      </c>
      <c r="D8" s="122">
        <v>10311.744000000001</v>
      </c>
      <c r="E8" s="122">
        <v>23474.811000000002</v>
      </c>
      <c r="F8" s="122">
        <v>27883.78</v>
      </c>
      <c r="G8" s="122">
        <v>1163.22416764946</v>
      </c>
      <c r="H8" s="122">
        <v>1697.511</v>
      </c>
      <c r="I8" s="122">
        <v>1364.8630000000001</v>
      </c>
      <c r="J8" s="122">
        <v>21844461</v>
      </c>
      <c r="K8" s="122">
        <v>1000</v>
      </c>
      <c r="L8" s="55"/>
    </row>
    <row r="9" spans="1:12" ht="21.6" customHeight="1" x14ac:dyDescent="0.3">
      <c r="A9" s="536"/>
      <c r="B9" s="123" t="s">
        <v>253</v>
      </c>
      <c r="C9" s="124">
        <v>16677.310000000001</v>
      </c>
      <c r="D9" s="124">
        <v>9387.7999999999993</v>
      </c>
      <c r="E9" s="124">
        <v>21146.131000000001</v>
      </c>
      <c r="F9" s="124">
        <v>0</v>
      </c>
      <c r="G9" s="124">
        <v>907.74335480359298</v>
      </c>
      <c r="H9" s="124">
        <v>1404.434</v>
      </c>
      <c r="I9" s="124">
        <v>1149</v>
      </c>
      <c r="J9" s="124">
        <v>20082543</v>
      </c>
      <c r="K9" s="124">
        <v>0</v>
      </c>
      <c r="L9" s="55"/>
    </row>
    <row r="10" spans="1:12" ht="21.6" customHeight="1" x14ac:dyDescent="0.3">
      <c r="A10" s="536"/>
      <c r="B10" s="123" t="s">
        <v>256</v>
      </c>
      <c r="C10" s="124">
        <v>1354</v>
      </c>
      <c r="D10" s="124">
        <v>923.94399999999996</v>
      </c>
      <c r="E10" s="124">
        <v>2328.6799999999998</v>
      </c>
      <c r="F10" s="124">
        <v>27883.78</v>
      </c>
      <c r="G10" s="124">
        <v>255.480812845868</v>
      </c>
      <c r="H10" s="124">
        <v>293.077</v>
      </c>
      <c r="I10" s="124">
        <v>215.863</v>
      </c>
      <c r="J10" s="124">
        <v>1761918</v>
      </c>
      <c r="K10" s="124">
        <v>1000</v>
      </c>
      <c r="L10" s="55"/>
    </row>
    <row r="11" spans="1:12" ht="21.6" customHeight="1" x14ac:dyDescent="0.3">
      <c r="A11" s="536" t="s">
        <v>213</v>
      </c>
      <c r="B11" s="7" t="s">
        <v>328</v>
      </c>
      <c r="C11" s="122">
        <v>2466</v>
      </c>
      <c r="D11" s="122">
        <v>854</v>
      </c>
      <c r="E11" s="122">
        <v>1986.8702000000001</v>
      </c>
      <c r="F11" s="122">
        <v>7792.4356893306003</v>
      </c>
      <c r="G11" s="122">
        <v>100.518007801869</v>
      </c>
      <c r="H11" s="122">
        <v>310.13659999999999</v>
      </c>
      <c r="I11" s="126">
        <v>0.115</v>
      </c>
      <c r="J11" s="122">
        <v>0</v>
      </c>
      <c r="K11" s="122">
        <v>76</v>
      </c>
      <c r="L11" s="55"/>
    </row>
    <row r="12" spans="1:12" ht="21.6" customHeight="1" x14ac:dyDescent="0.3">
      <c r="A12" s="536"/>
      <c r="B12" s="123" t="s">
        <v>453</v>
      </c>
      <c r="C12" s="124">
        <v>2466</v>
      </c>
      <c r="D12" s="124">
        <v>854</v>
      </c>
      <c r="E12" s="124">
        <v>1986.8702000000001</v>
      </c>
      <c r="F12" s="124">
        <v>7792.4356893306003</v>
      </c>
      <c r="G12" s="124">
        <v>100.518007801869</v>
      </c>
      <c r="H12" s="124">
        <v>310.13659999999999</v>
      </c>
      <c r="I12" s="106">
        <v>0.115</v>
      </c>
      <c r="J12" s="124">
        <v>0</v>
      </c>
      <c r="K12" s="124">
        <v>76</v>
      </c>
      <c r="L12" s="55"/>
    </row>
    <row r="13" spans="1:12" ht="21.6" customHeight="1" x14ac:dyDescent="0.3">
      <c r="A13" s="536"/>
      <c r="B13" s="7" t="s">
        <v>214</v>
      </c>
      <c r="C13" s="122">
        <v>12167.134</v>
      </c>
      <c r="D13" s="122">
        <v>3787.6329999999998</v>
      </c>
      <c r="E13" s="122">
        <v>7868.95</v>
      </c>
      <c r="F13" s="122">
        <v>7868.95</v>
      </c>
      <c r="G13" s="122">
        <v>2137.0017236686899</v>
      </c>
      <c r="H13" s="122">
        <v>1015.592</v>
      </c>
      <c r="I13" s="122">
        <v>0</v>
      </c>
      <c r="J13" s="122">
        <v>0</v>
      </c>
      <c r="K13" s="122">
        <v>0</v>
      </c>
      <c r="L13" s="55"/>
    </row>
    <row r="14" spans="1:12" ht="21.6" customHeight="1" x14ac:dyDescent="0.3">
      <c r="A14" s="536"/>
      <c r="B14" s="123" t="s">
        <v>215</v>
      </c>
      <c r="C14" s="124">
        <v>12167.134</v>
      </c>
      <c r="D14" s="124">
        <v>3787.6329999999998</v>
      </c>
      <c r="E14" s="124">
        <v>7868.95</v>
      </c>
      <c r="F14" s="124">
        <v>7868.95</v>
      </c>
      <c r="G14" s="124">
        <v>2137.0017236686899</v>
      </c>
      <c r="H14" s="124">
        <v>1015.592</v>
      </c>
      <c r="I14" s="124">
        <v>0</v>
      </c>
      <c r="J14" s="124">
        <v>0</v>
      </c>
      <c r="K14" s="124">
        <v>0</v>
      </c>
      <c r="L14" s="55"/>
    </row>
    <row r="15" spans="1:12" ht="21.6" customHeight="1" x14ac:dyDescent="0.3">
      <c r="A15" s="536"/>
      <c r="B15" s="7" t="s">
        <v>265</v>
      </c>
      <c r="C15" s="122">
        <v>5694.42</v>
      </c>
      <c r="D15" s="122">
        <v>3904.7429999999999</v>
      </c>
      <c r="E15" s="122">
        <v>3904.7429999999999</v>
      </c>
      <c r="F15" s="122">
        <v>0</v>
      </c>
      <c r="G15" s="122">
        <v>1670.9675224530499</v>
      </c>
      <c r="H15" s="122">
        <v>763.72500000000002</v>
      </c>
      <c r="I15" s="122">
        <v>915</v>
      </c>
      <c r="J15" s="122">
        <v>19000</v>
      </c>
      <c r="K15" s="122">
        <v>110</v>
      </c>
      <c r="L15" s="55"/>
    </row>
    <row r="16" spans="1:12" ht="21.6" customHeight="1" x14ac:dyDescent="0.3">
      <c r="A16" s="536"/>
      <c r="B16" s="123" t="s">
        <v>266</v>
      </c>
      <c r="C16" s="124">
        <v>5694.42</v>
      </c>
      <c r="D16" s="124">
        <v>3904.7429999999999</v>
      </c>
      <c r="E16" s="124">
        <v>3904.7429999999999</v>
      </c>
      <c r="F16" s="124">
        <v>0</v>
      </c>
      <c r="G16" s="124">
        <v>1670.9675224530499</v>
      </c>
      <c r="H16" s="124">
        <v>763.72500000000002</v>
      </c>
      <c r="I16" s="124">
        <v>915</v>
      </c>
      <c r="J16" s="124">
        <v>19000</v>
      </c>
      <c r="K16" s="124">
        <v>110</v>
      </c>
      <c r="L16" s="55"/>
    </row>
    <row r="17" spans="1:12" ht="21.6" customHeight="1" x14ac:dyDescent="0.3">
      <c r="A17" s="536" t="s">
        <v>224</v>
      </c>
      <c r="B17" s="7" t="s">
        <v>225</v>
      </c>
      <c r="C17" s="122">
        <v>5698.1930000000002</v>
      </c>
      <c r="D17" s="122">
        <v>1963.3240000000001</v>
      </c>
      <c r="E17" s="122">
        <v>7500.0020000000004</v>
      </c>
      <c r="F17" s="122">
        <v>49369.599999999999</v>
      </c>
      <c r="G17" s="122">
        <v>968.939490156945</v>
      </c>
      <c r="H17" s="122">
        <v>1336.5740000000001</v>
      </c>
      <c r="I17" s="122">
        <v>59.454999999999998</v>
      </c>
      <c r="J17" s="122">
        <v>78.959999999999994</v>
      </c>
      <c r="K17" s="122">
        <v>26750</v>
      </c>
      <c r="L17" s="55"/>
    </row>
    <row r="18" spans="1:12" ht="21.6" customHeight="1" x14ac:dyDescent="0.3">
      <c r="A18" s="536"/>
      <c r="B18" s="123" t="s">
        <v>226</v>
      </c>
      <c r="C18" s="124">
        <v>3039.9</v>
      </c>
      <c r="D18" s="124">
        <v>838.8</v>
      </c>
      <c r="E18" s="124">
        <v>2229</v>
      </c>
      <c r="F18" s="124">
        <v>27374</v>
      </c>
      <c r="G18" s="124">
        <v>241.25056699628101</v>
      </c>
      <c r="H18" s="124">
        <v>380.68700000000001</v>
      </c>
      <c r="I18" s="124">
        <v>0</v>
      </c>
      <c r="J18" s="124">
        <v>73.959999999999994</v>
      </c>
      <c r="K18" s="124">
        <v>26575</v>
      </c>
      <c r="L18" s="55"/>
    </row>
    <row r="19" spans="1:12" ht="21.6" customHeight="1" x14ac:dyDescent="0.3">
      <c r="A19" s="536"/>
      <c r="B19" s="123" t="s">
        <v>454</v>
      </c>
      <c r="C19" s="124">
        <v>726.07100000000003</v>
      </c>
      <c r="D19" s="124">
        <v>390.00299999999999</v>
      </c>
      <c r="E19" s="124">
        <v>924.08100000000002</v>
      </c>
      <c r="F19" s="124">
        <v>9417.6</v>
      </c>
      <c r="G19" s="127">
        <v>100.705343372947</v>
      </c>
      <c r="H19" s="124">
        <v>336.52100000000002</v>
      </c>
      <c r="I19" s="124">
        <v>57.2</v>
      </c>
      <c r="J19" s="124">
        <v>0</v>
      </c>
      <c r="K19" s="124">
        <v>0</v>
      </c>
      <c r="L19" s="55"/>
    </row>
    <row r="20" spans="1:12" ht="21.6" customHeight="1" x14ac:dyDescent="0.3">
      <c r="A20" s="536"/>
      <c r="B20" s="123" t="s">
        <v>230</v>
      </c>
      <c r="C20" s="124">
        <v>1932.222</v>
      </c>
      <c r="D20" s="124">
        <v>734.52099999999996</v>
      </c>
      <c r="E20" s="124">
        <v>4346.9210000000003</v>
      </c>
      <c r="F20" s="124">
        <v>12578</v>
      </c>
      <c r="G20" s="124">
        <v>626.98357978771696</v>
      </c>
      <c r="H20" s="124">
        <v>619.36599999999999</v>
      </c>
      <c r="I20" s="124">
        <v>2.2549999999999999</v>
      </c>
      <c r="J20" s="124">
        <v>5</v>
      </c>
      <c r="K20" s="124">
        <v>175</v>
      </c>
      <c r="L20" s="55"/>
    </row>
    <row r="21" spans="1:12" ht="21.6" customHeight="1" x14ac:dyDescent="0.3">
      <c r="A21" s="536"/>
      <c r="B21" s="7" t="s">
        <v>276</v>
      </c>
      <c r="C21" s="122">
        <v>0</v>
      </c>
      <c r="D21" s="122">
        <v>4409.0166016510902</v>
      </c>
      <c r="E21" s="122">
        <v>102420.04130877</v>
      </c>
      <c r="F21" s="122">
        <v>0</v>
      </c>
      <c r="G21" s="122">
        <v>363.99165381475098</v>
      </c>
      <c r="H21" s="122">
        <v>515.72658560849004</v>
      </c>
      <c r="I21" s="122">
        <v>764.57440918044199</v>
      </c>
      <c r="J21" s="122">
        <v>0</v>
      </c>
      <c r="K21" s="122">
        <v>150</v>
      </c>
      <c r="L21" s="55"/>
    </row>
    <row r="22" spans="1:12" ht="21.6" customHeight="1" x14ac:dyDescent="0.3">
      <c r="A22" s="536"/>
      <c r="B22" s="123" t="s">
        <v>277</v>
      </c>
      <c r="C22" s="124">
        <v>0</v>
      </c>
      <c r="D22" s="124">
        <v>4409.0166016510902</v>
      </c>
      <c r="E22" s="124">
        <v>102420.04130877</v>
      </c>
      <c r="F22" s="124">
        <v>0</v>
      </c>
      <c r="G22" s="124">
        <v>363.99165381475098</v>
      </c>
      <c r="H22" s="124">
        <v>515.72658560849004</v>
      </c>
      <c r="I22" s="124">
        <v>764.57440918044199</v>
      </c>
      <c r="J22" s="124">
        <v>0</v>
      </c>
      <c r="K22" s="124">
        <v>150</v>
      </c>
      <c r="L22" s="55"/>
    </row>
    <row r="23" spans="1:12" ht="21.6" customHeight="1" x14ac:dyDescent="0.3">
      <c r="A23" s="536" t="s">
        <v>234</v>
      </c>
      <c r="B23" s="7" t="s">
        <v>235</v>
      </c>
      <c r="C23" s="122">
        <v>7.9980000000000002</v>
      </c>
      <c r="D23" s="122">
        <v>4742.03</v>
      </c>
      <c r="E23" s="122">
        <v>65343.158000000003</v>
      </c>
      <c r="F23" s="122">
        <v>54.4</v>
      </c>
      <c r="G23" s="122">
        <v>467.08836070035397</v>
      </c>
      <c r="H23" s="122">
        <v>551.58630000000005</v>
      </c>
      <c r="I23" s="122">
        <v>1093.3599999999999</v>
      </c>
      <c r="J23" s="122">
        <v>416220</v>
      </c>
      <c r="K23" s="122">
        <v>900</v>
      </c>
      <c r="L23" s="55"/>
    </row>
    <row r="24" spans="1:12" ht="21.6" customHeight="1" x14ac:dyDescent="0.3">
      <c r="A24" s="536"/>
      <c r="B24" s="123" t="s">
        <v>236</v>
      </c>
      <c r="C24" s="124">
        <v>7.9980000000000002</v>
      </c>
      <c r="D24" s="124">
        <v>4742.03</v>
      </c>
      <c r="E24" s="124">
        <v>65343.158000000003</v>
      </c>
      <c r="F24" s="124">
        <v>54.4</v>
      </c>
      <c r="G24" s="124">
        <v>467.08836070035397</v>
      </c>
      <c r="H24" s="124">
        <v>551.58630000000005</v>
      </c>
      <c r="I24" s="124">
        <v>1093.3599999999999</v>
      </c>
      <c r="J24" s="124">
        <v>416220</v>
      </c>
      <c r="K24" s="124">
        <v>900</v>
      </c>
      <c r="L24" s="55"/>
    </row>
    <row r="25" spans="1:12" ht="21.6" customHeight="1" x14ac:dyDescent="0.3">
      <c r="A25" s="6" t="s">
        <v>455</v>
      </c>
      <c r="B25" s="33" t="s">
        <v>318</v>
      </c>
      <c r="C25" s="122">
        <v>58156.135000000002</v>
      </c>
      <c r="D25" s="122">
        <v>33909.756761651101</v>
      </c>
      <c r="E25" s="122">
        <v>226543.34867877001</v>
      </c>
      <c r="F25" s="122">
        <v>92969.165689330606</v>
      </c>
      <c r="G25" s="122">
        <v>9447.7660346548091</v>
      </c>
      <c r="H25" s="122">
        <v>7968.6374856084904</v>
      </c>
      <c r="I25" s="122">
        <v>5198.4374091804402</v>
      </c>
      <c r="J25" s="122">
        <v>22282630.960000001</v>
      </c>
      <c r="K25" s="122">
        <v>29614</v>
      </c>
      <c r="L25" s="55"/>
    </row>
    <row r="26" spans="1:12" ht="45.75" customHeight="1" x14ac:dyDescent="0.3">
      <c r="A26" s="532" t="s">
        <v>807</v>
      </c>
      <c r="B26" s="532"/>
      <c r="C26" s="532"/>
      <c r="D26" s="532"/>
      <c r="E26" s="532"/>
      <c r="F26" s="532"/>
      <c r="G26" s="532"/>
      <c r="H26" s="532"/>
      <c r="I26" s="532"/>
      <c r="J26" s="532"/>
      <c r="K26" s="532"/>
      <c r="L26" s="2"/>
    </row>
    <row r="27" spans="1:12" ht="19.2" customHeight="1" x14ac:dyDescent="0.3">
      <c r="A27" s="2"/>
      <c r="B27" s="2"/>
      <c r="C27" s="2"/>
      <c r="D27" s="2"/>
      <c r="E27" s="2"/>
      <c r="F27" s="2"/>
      <c r="G27" s="2"/>
      <c r="H27" s="2"/>
      <c r="I27" s="2"/>
      <c r="J27" s="2"/>
      <c r="K27" s="2"/>
      <c r="L27" s="2"/>
    </row>
    <row r="28" spans="1:12" ht="19.2" customHeight="1" x14ac:dyDescent="0.3">
      <c r="I28" s="2"/>
      <c r="J28" s="2"/>
      <c r="K28" s="2"/>
      <c r="L28" s="2"/>
    </row>
    <row r="29" spans="1:12" ht="36.6" customHeight="1" x14ac:dyDescent="0.3">
      <c r="A29" s="45" t="s">
        <v>98</v>
      </c>
      <c r="B29" s="5" t="s">
        <v>808</v>
      </c>
      <c r="C29" s="25">
        <v>2019</v>
      </c>
      <c r="D29" s="25">
        <v>2020</v>
      </c>
      <c r="E29" s="5" t="s">
        <v>809</v>
      </c>
      <c r="F29" s="5" t="s">
        <v>677</v>
      </c>
      <c r="G29" s="25">
        <v>2023</v>
      </c>
      <c r="H29" s="13"/>
      <c r="I29" s="2"/>
      <c r="J29" s="2"/>
      <c r="K29" s="2"/>
    </row>
    <row r="30" spans="1:12" ht="22.5" customHeight="1" x14ac:dyDescent="0.3">
      <c r="A30" s="61" t="s">
        <v>795</v>
      </c>
      <c r="B30" s="36" t="s">
        <v>810</v>
      </c>
      <c r="C30" s="128">
        <v>84.17</v>
      </c>
      <c r="D30" s="128">
        <v>67.819999999999993</v>
      </c>
      <c r="E30" s="129">
        <v>78727.848438200002</v>
      </c>
      <c r="F30" s="129">
        <v>67359.249491111797</v>
      </c>
      <c r="G30" s="129">
        <v>58156.135000000002</v>
      </c>
      <c r="H30" s="13"/>
      <c r="I30" s="2"/>
      <c r="J30" s="2"/>
      <c r="K30" s="2"/>
    </row>
    <row r="31" spans="1:12" ht="22.5" customHeight="1" x14ac:dyDescent="0.3">
      <c r="A31" s="61" t="s">
        <v>811</v>
      </c>
      <c r="B31" s="36" t="s">
        <v>810</v>
      </c>
      <c r="C31" s="128">
        <v>47.26</v>
      </c>
      <c r="D31" s="128">
        <v>45.38</v>
      </c>
      <c r="E31" s="129">
        <v>40890.909</v>
      </c>
      <c r="F31" s="129">
        <v>38084.455368628602</v>
      </c>
      <c r="G31" s="129">
        <v>33909.756761651101</v>
      </c>
      <c r="H31" s="13"/>
      <c r="I31" s="2"/>
      <c r="J31" s="2"/>
      <c r="K31" s="2"/>
    </row>
    <row r="32" spans="1:12" ht="22.5" customHeight="1" x14ac:dyDescent="0.3">
      <c r="A32" s="61" t="s">
        <v>797</v>
      </c>
      <c r="B32" s="36" t="s">
        <v>810</v>
      </c>
      <c r="C32" s="128">
        <v>285.06</v>
      </c>
      <c r="D32" s="128">
        <v>299.83</v>
      </c>
      <c r="E32" s="129">
        <v>252300.41081</v>
      </c>
      <c r="F32" s="129">
        <v>232672.02693999599</v>
      </c>
      <c r="G32" s="129">
        <v>226543.34867877001</v>
      </c>
      <c r="H32" s="13"/>
      <c r="I32" s="2"/>
      <c r="J32" s="2"/>
      <c r="K32" s="2"/>
    </row>
    <row r="33" spans="1:12" ht="22.5" customHeight="1" x14ac:dyDescent="0.3">
      <c r="A33" s="61" t="s">
        <v>798</v>
      </c>
      <c r="B33" s="36" t="s">
        <v>810</v>
      </c>
      <c r="C33" s="128">
        <v>63.12</v>
      </c>
      <c r="D33" s="128">
        <v>52.81</v>
      </c>
      <c r="E33" s="129">
        <v>85055.19</v>
      </c>
      <c r="F33" s="129">
        <v>81582.765599999999</v>
      </c>
      <c r="G33" s="129">
        <v>92969.165689330606</v>
      </c>
      <c r="H33" s="13"/>
      <c r="I33" s="2"/>
      <c r="J33" s="2"/>
      <c r="K33" s="2"/>
    </row>
    <row r="34" spans="1:12" ht="22.5" customHeight="1" x14ac:dyDescent="0.3">
      <c r="A34" s="61" t="s">
        <v>812</v>
      </c>
      <c r="B34" s="36" t="s">
        <v>810</v>
      </c>
      <c r="C34" s="128">
        <v>10.34</v>
      </c>
      <c r="D34" s="128">
        <v>8.5399999999999991</v>
      </c>
      <c r="E34" s="129">
        <v>9527.0431785799992</v>
      </c>
      <c r="F34" s="129">
        <v>11226.54</v>
      </c>
      <c r="G34" s="129">
        <v>9447.7660346548091</v>
      </c>
      <c r="H34" s="13"/>
      <c r="I34" s="2"/>
      <c r="J34" s="2"/>
      <c r="K34" s="2"/>
    </row>
    <row r="35" spans="1:12" ht="22.5" customHeight="1" x14ac:dyDescent="0.3">
      <c r="A35" s="61" t="s">
        <v>800</v>
      </c>
      <c r="B35" s="36" t="s">
        <v>813</v>
      </c>
      <c r="C35" s="128">
        <v>16.38</v>
      </c>
      <c r="D35" s="128">
        <v>10.050000000000001</v>
      </c>
      <c r="E35" s="129">
        <v>10117.884496999999</v>
      </c>
      <c r="F35" s="129">
        <v>8655.2545313589999</v>
      </c>
      <c r="G35" s="129">
        <v>7968.6374856084904</v>
      </c>
      <c r="H35" s="13"/>
      <c r="I35" s="2"/>
      <c r="J35" s="2"/>
      <c r="K35" s="2"/>
    </row>
    <row r="36" spans="1:12" ht="22.5" customHeight="1" x14ac:dyDescent="0.3">
      <c r="A36" s="61" t="s">
        <v>801</v>
      </c>
      <c r="B36" s="36" t="s">
        <v>813</v>
      </c>
      <c r="C36" s="128">
        <v>41.54</v>
      </c>
      <c r="D36" s="128">
        <v>8.67</v>
      </c>
      <c r="E36" s="129">
        <v>7525.4287928239601</v>
      </c>
      <c r="F36" s="129">
        <v>6682.9005143772001</v>
      </c>
      <c r="G36" s="129">
        <v>5198.4374091804402</v>
      </c>
      <c r="H36" s="13"/>
      <c r="I36" s="2"/>
      <c r="J36" s="2"/>
      <c r="K36" s="2"/>
    </row>
    <row r="37" spans="1:12" ht="22.5" customHeight="1" x14ac:dyDescent="0.35">
      <c r="A37" s="61" t="s">
        <v>814</v>
      </c>
      <c r="B37" s="36" t="s">
        <v>813</v>
      </c>
      <c r="C37" s="128">
        <v>24.46</v>
      </c>
      <c r="D37" s="113">
        <v>24488.5</v>
      </c>
      <c r="E37" s="113">
        <v>23164.751</v>
      </c>
      <c r="F37" s="113">
        <v>23662.263999999999</v>
      </c>
      <c r="G37" s="130">
        <v>22282630.960000001</v>
      </c>
      <c r="H37" s="13"/>
      <c r="I37" s="2"/>
      <c r="J37" s="2"/>
      <c r="K37" s="2"/>
    </row>
    <row r="38" spans="1:12" ht="22.5" customHeight="1" x14ac:dyDescent="0.35">
      <c r="A38" s="61" t="s">
        <v>815</v>
      </c>
      <c r="B38" s="36" t="s">
        <v>813</v>
      </c>
      <c r="C38" s="131">
        <v>0.24</v>
      </c>
      <c r="D38" s="132">
        <v>19.3</v>
      </c>
      <c r="E38" s="132">
        <v>23.036999999999999</v>
      </c>
      <c r="F38" s="132">
        <v>15.53</v>
      </c>
      <c r="G38" s="133">
        <v>29614</v>
      </c>
      <c r="H38" s="13"/>
      <c r="I38" s="2"/>
      <c r="J38" s="2"/>
      <c r="K38" s="2"/>
    </row>
    <row r="39" spans="1:12" ht="75" customHeight="1" x14ac:dyDescent="0.3">
      <c r="A39" s="532" t="s">
        <v>816</v>
      </c>
      <c r="B39" s="532"/>
      <c r="C39" s="532"/>
      <c r="D39" s="532"/>
      <c r="E39" s="532"/>
      <c r="F39" s="532"/>
      <c r="G39" s="532"/>
      <c r="H39" s="316"/>
      <c r="I39" s="2"/>
      <c r="J39" s="2"/>
      <c r="K39" s="2"/>
      <c r="L39" s="2"/>
    </row>
    <row r="40" spans="1:12" ht="14.1" customHeight="1" x14ac:dyDescent="0.3">
      <c r="A40" s="316"/>
      <c r="B40" s="316"/>
      <c r="C40" s="316"/>
      <c r="D40" s="316"/>
      <c r="E40" s="316"/>
      <c r="F40" s="316"/>
      <c r="G40" s="316"/>
      <c r="H40" s="316"/>
      <c r="I40" s="2"/>
      <c r="J40" s="2"/>
      <c r="K40" s="2"/>
      <c r="L40" s="2"/>
    </row>
    <row r="41" spans="1:12" ht="14.1" customHeight="1" x14ac:dyDescent="0.3">
      <c r="A41" s="316"/>
      <c r="B41" s="316"/>
      <c r="C41" s="316"/>
      <c r="D41" s="316"/>
      <c r="E41" s="316"/>
      <c r="F41" s="316"/>
      <c r="G41" s="316"/>
      <c r="H41" s="316"/>
      <c r="I41" s="2"/>
      <c r="J41" s="2"/>
      <c r="K41" s="2"/>
      <c r="L41" s="2"/>
    </row>
    <row r="42" spans="1:12" ht="15.75" customHeight="1" x14ac:dyDescent="0.3">
      <c r="A42" s="316"/>
      <c r="B42" s="316"/>
      <c r="C42" s="316"/>
      <c r="D42" s="316"/>
      <c r="E42" s="316"/>
      <c r="F42" s="316"/>
      <c r="G42" s="316"/>
      <c r="H42" s="316"/>
      <c r="I42" s="2"/>
      <c r="J42" s="2"/>
      <c r="K42" s="2"/>
      <c r="L42" s="2"/>
    </row>
    <row r="43" spans="1:12" ht="14.1" customHeight="1" x14ac:dyDescent="0.3">
      <c r="A43" s="316"/>
      <c r="B43" s="2"/>
      <c r="C43" s="2"/>
      <c r="D43" s="2"/>
      <c r="E43" s="2"/>
      <c r="F43" s="2"/>
      <c r="G43" s="2"/>
      <c r="H43" s="2"/>
      <c r="I43" s="2"/>
      <c r="J43" s="2"/>
      <c r="K43" s="2"/>
      <c r="L43" s="2"/>
    </row>
    <row r="44" spans="1:12" ht="14.1" customHeight="1" x14ac:dyDescent="0.3">
      <c r="A44" s="2"/>
      <c r="B44" s="2"/>
      <c r="C44" s="2"/>
      <c r="D44" s="2"/>
      <c r="E44" s="2"/>
      <c r="F44" s="2"/>
      <c r="G44" s="2"/>
      <c r="H44" s="2"/>
      <c r="I44" s="2"/>
      <c r="J44" s="2"/>
      <c r="K44" s="2"/>
      <c r="L44" s="2"/>
    </row>
    <row r="45" spans="1:12" ht="14.1" customHeight="1" x14ac:dyDescent="0.3">
      <c r="A45" s="2"/>
      <c r="B45" s="2"/>
      <c r="C45" s="2"/>
      <c r="D45" s="2"/>
      <c r="E45" s="2"/>
      <c r="F45" s="2"/>
      <c r="G45" s="2"/>
      <c r="H45" s="2"/>
      <c r="I45" s="2"/>
      <c r="J45" s="2"/>
      <c r="K45" s="2"/>
      <c r="L45" s="2"/>
    </row>
    <row r="46" spans="1:12" ht="14.1" customHeight="1" x14ac:dyDescent="0.3">
      <c r="A46" s="2"/>
      <c r="B46" s="2"/>
      <c r="C46" s="2"/>
      <c r="D46" s="2"/>
      <c r="E46" s="2"/>
      <c r="F46" s="2"/>
      <c r="G46" s="2"/>
      <c r="H46" s="2"/>
      <c r="I46" s="2"/>
      <c r="J46" s="2"/>
      <c r="K46" s="2"/>
      <c r="L46" s="2"/>
    </row>
    <row r="47" spans="1:12" ht="14.1" customHeight="1" x14ac:dyDescent="0.3">
      <c r="A47" s="2"/>
      <c r="B47" s="2"/>
      <c r="C47" s="2"/>
      <c r="D47" s="2"/>
      <c r="E47" s="2"/>
      <c r="F47" s="2"/>
      <c r="G47" s="2"/>
      <c r="H47" s="2"/>
      <c r="I47" s="2"/>
      <c r="J47" s="2"/>
      <c r="K47" s="2"/>
      <c r="L47" s="2"/>
    </row>
    <row r="48" spans="1:12" ht="14.1" customHeight="1" x14ac:dyDescent="0.3">
      <c r="A48" s="2"/>
      <c r="B48" s="2"/>
      <c r="C48" s="2"/>
      <c r="D48" s="2"/>
      <c r="E48" s="2"/>
      <c r="F48" s="2"/>
      <c r="G48" s="2"/>
      <c r="H48" s="2"/>
      <c r="I48" s="2"/>
      <c r="J48" s="2"/>
      <c r="K48" s="2"/>
      <c r="L48" s="2"/>
    </row>
    <row r="49" spans="1:12" ht="14.1" customHeight="1" x14ac:dyDescent="0.3">
      <c r="A49" s="17"/>
      <c r="B49" s="17"/>
      <c r="C49" s="17"/>
      <c r="D49" s="17"/>
      <c r="E49" s="17"/>
      <c r="F49" s="17"/>
      <c r="G49" s="17"/>
      <c r="H49" s="17"/>
      <c r="I49" s="17"/>
      <c r="J49" s="17"/>
      <c r="K49" s="17"/>
      <c r="L49" s="17"/>
    </row>
  </sheetData>
  <sheetProtection algorithmName="SHA-512" hashValue="q6Cc9AwxNaWGUUZ7p87YVKxWGHU8h17h4VbOou10XySgLvcee9IdvB3I0aZwNcJatgKyuVKTcI8FKqwByCUd4Q==" saltValue="uoaTtzCU5nzgzVbCx81TEQ==" spinCount="100000" sheet="1" objects="1" scenarios="1" formatColumns="0" formatRows="0"/>
  <mergeCells count="11">
    <mergeCell ref="A1:F1"/>
    <mergeCell ref="A5:A7"/>
    <mergeCell ref="H4:I4"/>
    <mergeCell ref="C4:G4"/>
    <mergeCell ref="J4:K4"/>
    <mergeCell ref="A39:G39"/>
    <mergeCell ref="A8:A10"/>
    <mergeCell ref="A11:A16"/>
    <mergeCell ref="A17:A22"/>
    <mergeCell ref="A23:A24"/>
    <mergeCell ref="A26:K2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8"/>
  <sheetViews>
    <sheetView showRuler="0" workbookViewId="0">
      <selection sqref="A1:F1"/>
    </sheetView>
  </sheetViews>
  <sheetFormatPr defaultColWidth="13.6640625" defaultRowHeight="13.2" x14ac:dyDescent="0.25"/>
  <cols>
    <col min="1" max="1" width="45.33203125" customWidth="1"/>
    <col min="2" max="4" width="15.5546875" customWidth="1"/>
    <col min="5" max="6" width="14.33203125" customWidth="1"/>
    <col min="8" max="8" width="45.33203125" customWidth="1"/>
  </cols>
  <sheetData>
    <row r="1" spans="1:7" ht="24.9" customHeight="1" x14ac:dyDescent="0.3">
      <c r="A1" s="595" t="s">
        <v>817</v>
      </c>
      <c r="B1" s="595"/>
      <c r="C1" s="595"/>
      <c r="D1" s="595"/>
      <c r="E1" s="595"/>
      <c r="F1" s="595"/>
    </row>
    <row r="2" spans="1:7" ht="32.4" customHeight="1" x14ac:dyDescent="0.3">
      <c r="A2" s="319"/>
      <c r="B2" s="64"/>
      <c r="C2" s="64"/>
      <c r="D2" s="64"/>
      <c r="E2" s="64"/>
      <c r="F2" s="64"/>
    </row>
    <row r="3" spans="1:7" ht="37.5" customHeight="1" x14ac:dyDescent="0.3">
      <c r="A3" s="45" t="s">
        <v>818</v>
      </c>
      <c r="B3" s="25">
        <v>2019</v>
      </c>
      <c r="C3" s="25">
        <v>2020</v>
      </c>
      <c r="D3" s="25">
        <v>2021</v>
      </c>
      <c r="E3" s="25">
        <v>2022</v>
      </c>
      <c r="F3" s="25">
        <v>2023</v>
      </c>
      <c r="G3" s="13"/>
    </row>
    <row r="4" spans="1:7" ht="22.5" customHeight="1" x14ac:dyDescent="0.3">
      <c r="A4" s="61" t="s">
        <v>819</v>
      </c>
      <c r="B4" s="134">
        <v>647</v>
      </c>
      <c r="C4" s="135">
        <v>427</v>
      </c>
      <c r="D4" s="135">
        <v>397</v>
      </c>
      <c r="E4" s="135">
        <v>392</v>
      </c>
      <c r="F4" s="135">
        <v>311</v>
      </c>
      <c r="G4" s="13"/>
    </row>
    <row r="5" spans="1:7" ht="22.5" customHeight="1" x14ac:dyDescent="0.3">
      <c r="A5" s="61" t="s">
        <v>820</v>
      </c>
      <c r="B5" s="134">
        <v>3</v>
      </c>
      <c r="C5" s="135">
        <v>7</v>
      </c>
      <c r="D5" s="135">
        <v>5</v>
      </c>
      <c r="E5" s="135">
        <v>8</v>
      </c>
      <c r="F5" s="135">
        <v>7</v>
      </c>
      <c r="G5" s="13"/>
    </row>
    <row r="6" spans="1:7" ht="22.5" customHeight="1" x14ac:dyDescent="0.3">
      <c r="A6" s="61" t="s">
        <v>821</v>
      </c>
      <c r="B6" s="134">
        <v>650</v>
      </c>
      <c r="C6" s="135">
        <v>434</v>
      </c>
      <c r="D6" s="135">
        <v>402</v>
      </c>
      <c r="E6" s="135">
        <v>400</v>
      </c>
      <c r="F6" s="135">
        <v>318</v>
      </c>
      <c r="G6" s="13"/>
    </row>
    <row r="7" spans="1:7" ht="22.5" customHeight="1" x14ac:dyDescent="0.3">
      <c r="A7" s="61" t="s">
        <v>822</v>
      </c>
      <c r="B7" s="134">
        <v>34</v>
      </c>
      <c r="C7" s="135">
        <v>28</v>
      </c>
      <c r="D7" s="135">
        <v>35</v>
      </c>
      <c r="E7" s="135">
        <v>36</v>
      </c>
      <c r="F7" s="135">
        <v>29</v>
      </c>
      <c r="G7" s="13"/>
    </row>
    <row r="8" spans="1:7" ht="22.5" customHeight="1" x14ac:dyDescent="0.3">
      <c r="A8" s="61" t="s">
        <v>823</v>
      </c>
      <c r="B8" s="134">
        <v>0</v>
      </c>
      <c r="C8" s="135">
        <v>0</v>
      </c>
      <c r="D8" s="135">
        <v>0</v>
      </c>
      <c r="E8" s="135">
        <v>0</v>
      </c>
      <c r="F8" s="135">
        <v>0</v>
      </c>
      <c r="G8" s="13"/>
    </row>
    <row r="9" spans="1:7" ht="22.5" customHeight="1" x14ac:dyDescent="0.3">
      <c r="A9" s="61" t="s">
        <v>824</v>
      </c>
      <c r="B9" s="134">
        <v>4</v>
      </c>
      <c r="C9" s="135">
        <v>0</v>
      </c>
      <c r="D9" s="135">
        <v>2</v>
      </c>
      <c r="E9" s="135">
        <v>2</v>
      </c>
      <c r="F9" s="135">
        <v>5</v>
      </c>
      <c r="G9" s="13"/>
    </row>
    <row r="10" spans="1:7" ht="22.5" customHeight="1" x14ac:dyDescent="0.3">
      <c r="A10" s="61" t="s">
        <v>825</v>
      </c>
      <c r="B10" s="134">
        <v>0</v>
      </c>
      <c r="C10" s="135">
        <v>8</v>
      </c>
      <c r="D10" s="135">
        <v>0</v>
      </c>
      <c r="E10" s="135">
        <v>1</v>
      </c>
      <c r="F10" s="135">
        <v>1</v>
      </c>
      <c r="G10" s="13"/>
    </row>
    <row r="11" spans="1:7" ht="22.5" customHeight="1" x14ac:dyDescent="0.3">
      <c r="A11" s="61" t="s">
        <v>826</v>
      </c>
      <c r="B11" s="134">
        <v>4</v>
      </c>
      <c r="C11" s="135">
        <v>2</v>
      </c>
      <c r="D11" s="135">
        <v>5</v>
      </c>
      <c r="E11" s="135">
        <v>3</v>
      </c>
      <c r="F11" s="135">
        <v>0</v>
      </c>
      <c r="G11" s="13"/>
    </row>
    <row r="12" spans="1:7" ht="93.75" customHeight="1" x14ac:dyDescent="0.25">
      <c r="A12" s="532" t="s">
        <v>827</v>
      </c>
      <c r="B12" s="532"/>
      <c r="C12" s="532"/>
      <c r="D12" s="532"/>
      <c r="E12" s="532"/>
      <c r="F12" s="532"/>
    </row>
    <row r="13" spans="1:7" ht="22.5" customHeight="1" x14ac:dyDescent="0.3">
      <c r="F13" s="17"/>
    </row>
    <row r="14" spans="1:7" ht="21.6" customHeight="1" x14ac:dyDescent="0.3">
      <c r="F14" s="28"/>
    </row>
    <row r="15" spans="1:7" ht="33.450000000000003" customHeight="1" x14ac:dyDescent="0.3">
      <c r="A15" s="33" t="s">
        <v>828</v>
      </c>
      <c r="B15" s="25">
        <v>2019</v>
      </c>
      <c r="C15" s="25">
        <v>2020</v>
      </c>
      <c r="D15" s="25">
        <v>2021</v>
      </c>
      <c r="E15" s="34">
        <v>2022</v>
      </c>
      <c r="F15" s="34">
        <v>2023</v>
      </c>
      <c r="G15" s="13"/>
    </row>
    <row r="16" spans="1:7" ht="22.5" customHeight="1" x14ac:dyDescent="0.3">
      <c r="A16" s="61" t="s">
        <v>829</v>
      </c>
      <c r="B16" s="110">
        <v>4745</v>
      </c>
      <c r="C16" s="110">
        <v>17447</v>
      </c>
      <c r="D16" s="110">
        <v>371</v>
      </c>
      <c r="E16" s="136">
        <v>993.93349999999998</v>
      </c>
      <c r="F16" s="136">
        <v>3055</v>
      </c>
      <c r="G16" s="13"/>
    </row>
    <row r="17" spans="1:7" ht="22.5" customHeight="1" x14ac:dyDescent="0.3">
      <c r="A17" s="61" t="s">
        <v>830</v>
      </c>
      <c r="B17" s="134">
        <v>0</v>
      </c>
      <c r="C17" s="134">
        <v>0</v>
      </c>
      <c r="D17" s="134">
        <v>0</v>
      </c>
      <c r="E17" s="10">
        <v>0</v>
      </c>
      <c r="F17" s="10">
        <v>0</v>
      </c>
      <c r="G17" s="13"/>
    </row>
    <row r="18" spans="1:7" ht="22.5" customHeight="1" x14ac:dyDescent="0.3">
      <c r="A18" s="61" t="s">
        <v>831</v>
      </c>
      <c r="B18" s="134">
        <v>1</v>
      </c>
      <c r="C18" s="134">
        <v>0</v>
      </c>
      <c r="D18" s="134">
        <v>21</v>
      </c>
      <c r="E18" s="10">
        <v>2.3959999999999999</v>
      </c>
      <c r="F18" s="10">
        <v>17</v>
      </c>
      <c r="G18" s="13"/>
    </row>
    <row r="19" spans="1:7" ht="22.5" customHeight="1" x14ac:dyDescent="0.3">
      <c r="A19" s="61" t="s">
        <v>832</v>
      </c>
      <c r="B19" s="134">
        <v>0</v>
      </c>
      <c r="C19" s="134">
        <v>18</v>
      </c>
      <c r="D19" s="134">
        <v>0</v>
      </c>
      <c r="E19" s="10">
        <v>24</v>
      </c>
      <c r="F19" s="10">
        <v>200</v>
      </c>
      <c r="G19" s="13"/>
    </row>
    <row r="20" spans="1:7" ht="22.5" customHeight="1" x14ac:dyDescent="0.3">
      <c r="A20" s="61" t="s">
        <v>833</v>
      </c>
      <c r="B20" s="134">
        <v>46</v>
      </c>
      <c r="C20" s="134">
        <v>38</v>
      </c>
      <c r="D20" s="134">
        <v>43</v>
      </c>
      <c r="E20" s="10">
        <v>41.9</v>
      </c>
      <c r="F20" s="10">
        <v>0</v>
      </c>
      <c r="G20" s="13"/>
    </row>
    <row r="21" spans="1:7" ht="84.75" customHeight="1" x14ac:dyDescent="0.25">
      <c r="A21" s="532" t="s">
        <v>834</v>
      </c>
      <c r="B21" s="532"/>
      <c r="C21" s="532"/>
      <c r="D21" s="532"/>
      <c r="E21" s="532"/>
      <c r="F21" s="532"/>
    </row>
    <row r="22" spans="1:7" ht="14.1" customHeight="1" x14ac:dyDescent="0.3">
      <c r="A22" s="2"/>
      <c r="B22" s="2"/>
      <c r="C22" s="2"/>
      <c r="D22" s="2"/>
      <c r="E22" s="2"/>
      <c r="F22" s="2"/>
    </row>
    <row r="23" spans="1:7" ht="22.5" customHeight="1" x14ac:dyDescent="0.3">
      <c r="A23" s="2"/>
      <c r="B23" s="301"/>
      <c r="D23" s="2"/>
      <c r="E23" s="2"/>
      <c r="F23" s="2"/>
    </row>
    <row r="24" spans="1:7" ht="22.5" customHeight="1" x14ac:dyDescent="0.3">
      <c r="A24" s="2"/>
      <c r="B24" s="301"/>
      <c r="C24" s="234"/>
      <c r="D24" s="2"/>
      <c r="E24" s="2"/>
      <c r="F24" s="2"/>
    </row>
    <row r="25" spans="1:7" ht="22.5" customHeight="1" x14ac:dyDescent="0.3">
      <c r="A25" s="2"/>
      <c r="B25" s="301"/>
      <c r="C25" s="301"/>
      <c r="D25" s="2"/>
      <c r="E25" s="2"/>
      <c r="F25" s="2"/>
    </row>
    <row r="26" spans="1:7" ht="22.5" customHeight="1" x14ac:dyDescent="0.3">
      <c r="A26" s="2"/>
      <c r="B26" s="301"/>
      <c r="C26" s="301"/>
      <c r="D26" s="2"/>
      <c r="E26" s="2"/>
      <c r="F26" s="2"/>
    </row>
    <row r="27" spans="1:7" ht="22.5" customHeight="1" x14ac:dyDescent="0.3">
      <c r="A27" s="2"/>
      <c r="B27" s="301"/>
      <c r="C27" s="301"/>
      <c r="D27" s="2"/>
      <c r="E27" s="2"/>
      <c r="F27" s="2"/>
    </row>
    <row r="28" spans="1:7" ht="22.5" customHeight="1" x14ac:dyDescent="0.3">
      <c r="A28" s="2"/>
      <c r="B28" s="301"/>
      <c r="C28" s="301"/>
      <c r="D28" s="2"/>
      <c r="E28" s="2"/>
      <c r="F28" s="2"/>
    </row>
    <row r="29" spans="1:7" ht="22.5" customHeight="1" x14ac:dyDescent="0.3">
      <c r="A29" s="2"/>
      <c r="B29" s="301"/>
      <c r="C29" s="301"/>
      <c r="D29" s="2"/>
      <c r="E29" s="2"/>
      <c r="F29" s="2"/>
    </row>
    <row r="30" spans="1:7" ht="22.5" customHeight="1" x14ac:dyDescent="0.3">
      <c r="A30" s="2"/>
      <c r="B30" s="301"/>
      <c r="C30" s="301"/>
      <c r="D30" s="2"/>
      <c r="E30" s="2"/>
      <c r="F30" s="2"/>
    </row>
    <row r="31" spans="1:7" ht="22.5" customHeight="1" x14ac:dyDescent="0.3">
      <c r="A31" s="2"/>
      <c r="B31" s="301"/>
      <c r="C31" s="301"/>
      <c r="D31" s="2"/>
      <c r="E31" s="2"/>
      <c r="F31" s="2"/>
    </row>
    <row r="32" spans="1:7" ht="22.5" customHeight="1" x14ac:dyDescent="0.3">
      <c r="A32" s="2"/>
      <c r="B32" s="301"/>
      <c r="C32" s="301"/>
      <c r="D32" s="2"/>
      <c r="E32" s="2"/>
      <c r="F32" s="2"/>
    </row>
    <row r="33" spans="1:6" ht="22.5" customHeight="1" x14ac:dyDescent="0.3">
      <c r="A33" s="2"/>
      <c r="B33" s="301"/>
      <c r="C33" s="301"/>
      <c r="D33" s="2"/>
      <c r="E33" s="2"/>
      <c r="F33" s="2"/>
    </row>
    <row r="34" spans="1:6" ht="22.5" customHeight="1" x14ac:dyDescent="0.3">
      <c r="A34" s="2"/>
      <c r="B34" s="301"/>
      <c r="C34" s="301"/>
      <c r="D34" s="2"/>
      <c r="E34" s="2"/>
      <c r="F34" s="2"/>
    </row>
    <row r="35" spans="1:6" ht="22.5" customHeight="1" x14ac:dyDescent="0.3">
      <c r="A35" s="2"/>
      <c r="B35" s="301"/>
      <c r="C35" s="301"/>
      <c r="D35" s="2"/>
      <c r="E35" s="2"/>
      <c r="F35" s="2"/>
    </row>
    <row r="36" spans="1:6" ht="22.5" customHeight="1" x14ac:dyDescent="0.3">
      <c r="A36" s="2"/>
      <c r="B36" s="301"/>
      <c r="C36" s="301"/>
      <c r="D36" s="2"/>
      <c r="E36" s="2"/>
      <c r="F36" s="2"/>
    </row>
    <row r="37" spans="1:6" ht="22.5" customHeight="1" x14ac:dyDescent="0.3">
      <c r="A37" s="17"/>
      <c r="B37" s="29"/>
      <c r="C37" s="29"/>
      <c r="D37" s="17"/>
      <c r="E37" s="17"/>
      <c r="F37" s="17"/>
    </row>
    <row r="38" spans="1:6" ht="22.5" customHeight="1" x14ac:dyDescent="0.3">
      <c r="A38" s="17"/>
      <c r="B38" s="29"/>
      <c r="C38" s="29"/>
      <c r="D38" s="17"/>
      <c r="E38" s="17"/>
      <c r="F38" s="17"/>
    </row>
    <row r="39" spans="1:6" ht="22.5" customHeight="1" x14ac:dyDescent="0.3">
      <c r="A39" s="17"/>
      <c r="B39" s="29"/>
      <c r="C39" s="29"/>
      <c r="D39" s="17"/>
      <c r="E39" s="17"/>
      <c r="F39" s="17"/>
    </row>
    <row r="40" spans="1:6" ht="22.5" customHeight="1" x14ac:dyDescent="0.3">
      <c r="A40" s="17"/>
      <c r="B40" s="29"/>
      <c r="C40" s="29"/>
      <c r="D40" s="17"/>
      <c r="E40" s="17"/>
      <c r="F40" s="17"/>
    </row>
    <row r="41" spans="1:6" ht="15" customHeight="1" x14ac:dyDescent="0.25"/>
    <row r="42" spans="1:6" ht="15" customHeight="1" x14ac:dyDescent="0.25"/>
    <row r="43" spans="1:6" ht="15" customHeight="1" x14ac:dyDescent="0.25"/>
    <row r="44" spans="1:6" ht="15" customHeight="1" x14ac:dyDescent="0.25"/>
    <row r="45" spans="1:6" ht="15" customHeight="1" x14ac:dyDescent="0.25"/>
    <row r="46" spans="1:6" ht="15" customHeight="1" x14ac:dyDescent="0.25"/>
    <row r="47" spans="1:6" ht="15" customHeight="1" x14ac:dyDescent="0.25"/>
    <row r="48" spans="1:6" ht="15" customHeight="1" x14ac:dyDescent="0.25"/>
  </sheetData>
  <sheetProtection algorithmName="SHA-512" hashValue="0P25VL+ENVSZerziBGr0gQ3mJpL2+mUweHsjn4JdhJc2QTcPpYCRULOM+q24XSy/8VkUkaXx4j9sEI5Uv1H9aw==" saltValue="pPk2vBftofCshp6UfNNkDw==" spinCount="100000" sheet="1" objects="1" scenarios="1" formatColumns="0" formatRows="0"/>
  <mergeCells count="3">
    <mergeCell ref="A1:F1"/>
    <mergeCell ref="A12:F12"/>
    <mergeCell ref="A21:F2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7"/>
  <sheetViews>
    <sheetView showRuler="0" workbookViewId="0">
      <selection activeCell="A2" sqref="A2:XFD2"/>
    </sheetView>
  </sheetViews>
  <sheetFormatPr defaultColWidth="13.6640625" defaultRowHeight="13.2" x14ac:dyDescent="0.25"/>
  <cols>
    <col min="1" max="1" width="29.44140625" customWidth="1"/>
    <col min="2" max="6" width="17.44140625" customWidth="1"/>
    <col min="7" max="7" width="17" customWidth="1"/>
    <col min="8" max="8" width="35.5546875" customWidth="1"/>
    <col min="20" max="20" width="65.109375" customWidth="1"/>
    <col min="25" max="25" width="20.88671875" customWidth="1"/>
  </cols>
  <sheetData>
    <row r="1" spans="1:13" ht="22.5" customHeight="1" x14ac:dyDescent="0.3">
      <c r="A1" s="595" t="s">
        <v>835</v>
      </c>
      <c r="B1" s="595"/>
      <c r="C1" s="595"/>
      <c r="D1" s="595"/>
      <c r="E1" s="595"/>
      <c r="F1" s="595"/>
      <c r="G1" s="2"/>
    </row>
    <row r="2" spans="1:13" ht="22.5" customHeight="1" x14ac:dyDescent="0.3">
      <c r="A2" s="518"/>
      <c r="B2" s="518"/>
      <c r="C2" s="518"/>
      <c r="D2" s="518"/>
      <c r="E2" s="518"/>
      <c r="F2" s="64"/>
      <c r="G2" s="2"/>
    </row>
    <row r="3" spans="1:13" ht="23.25" customHeight="1" x14ac:dyDescent="0.3">
      <c r="A3" s="552" t="s">
        <v>836</v>
      </c>
      <c r="B3" s="553" t="s">
        <v>207</v>
      </c>
      <c r="C3" s="634" t="s">
        <v>837</v>
      </c>
      <c r="D3" s="635"/>
      <c r="E3" s="635"/>
      <c r="F3" s="545" t="s">
        <v>838</v>
      </c>
      <c r="G3" s="13"/>
    </row>
    <row r="4" spans="1:13" ht="30.75" customHeight="1" x14ac:dyDescent="0.3">
      <c r="A4" s="552"/>
      <c r="B4" s="553"/>
      <c r="C4" s="18" t="s">
        <v>839</v>
      </c>
      <c r="D4" s="18" t="s">
        <v>840</v>
      </c>
      <c r="E4" s="18" t="s">
        <v>841</v>
      </c>
      <c r="F4" s="545"/>
      <c r="G4" s="13"/>
    </row>
    <row r="5" spans="1:13" ht="22.5" customHeight="1" x14ac:dyDescent="0.3">
      <c r="A5" s="536" t="s">
        <v>245</v>
      </c>
      <c r="B5" s="138" t="s">
        <v>246</v>
      </c>
      <c r="C5" s="122">
        <v>16980064.23</v>
      </c>
      <c r="D5" s="122">
        <v>0</v>
      </c>
      <c r="E5" s="122">
        <v>0</v>
      </c>
      <c r="F5" s="122">
        <v>16980064.23</v>
      </c>
      <c r="G5" s="13"/>
    </row>
    <row r="6" spans="1:13" ht="22.5" customHeight="1" x14ac:dyDescent="0.3">
      <c r="A6" s="536"/>
      <c r="B6" s="39" t="s">
        <v>514</v>
      </c>
      <c r="C6" s="124">
        <v>8505115</v>
      </c>
      <c r="D6" s="134">
        <v>0</v>
      </c>
      <c r="E6" s="134">
        <v>0</v>
      </c>
      <c r="F6" s="124">
        <v>8505115</v>
      </c>
      <c r="G6" s="13"/>
    </row>
    <row r="7" spans="1:13" ht="22.5" customHeight="1" x14ac:dyDescent="0.3">
      <c r="A7" s="536"/>
      <c r="B7" s="39" t="s">
        <v>247</v>
      </c>
      <c r="C7" s="124">
        <v>8474949.2300000004</v>
      </c>
      <c r="D7" s="134">
        <v>0</v>
      </c>
      <c r="E7" s="134">
        <v>0</v>
      </c>
      <c r="F7" s="124">
        <v>8474949.2300000004</v>
      </c>
      <c r="G7" s="13"/>
    </row>
    <row r="8" spans="1:13" ht="22.5" customHeight="1" x14ac:dyDescent="0.3">
      <c r="A8" s="536" t="s">
        <v>251</v>
      </c>
      <c r="B8" s="23" t="s">
        <v>252</v>
      </c>
      <c r="C8" s="122">
        <v>38088105</v>
      </c>
      <c r="D8" s="139">
        <v>0</v>
      </c>
      <c r="E8" s="109">
        <v>396076</v>
      </c>
      <c r="F8" s="122">
        <v>38484181</v>
      </c>
      <c r="G8" s="13"/>
    </row>
    <row r="9" spans="1:13" ht="22.5" customHeight="1" x14ac:dyDescent="0.3">
      <c r="A9" s="536"/>
      <c r="B9" s="39" t="s">
        <v>253</v>
      </c>
      <c r="C9" s="124">
        <v>36193241</v>
      </c>
      <c r="D9" s="134">
        <v>0</v>
      </c>
      <c r="E9" s="134">
        <v>0</v>
      </c>
      <c r="F9" s="124">
        <v>36193241</v>
      </c>
      <c r="G9" s="13"/>
    </row>
    <row r="10" spans="1:13" ht="22.5" customHeight="1" x14ac:dyDescent="0.3">
      <c r="A10" s="536"/>
      <c r="B10" s="39" t="s">
        <v>256</v>
      </c>
      <c r="C10" s="124">
        <v>1894864</v>
      </c>
      <c r="D10" s="134">
        <v>0</v>
      </c>
      <c r="E10" s="110">
        <v>396076</v>
      </c>
      <c r="F10" s="124">
        <v>2290940</v>
      </c>
      <c r="G10" s="13"/>
    </row>
    <row r="11" spans="1:13" ht="22.5" customHeight="1" x14ac:dyDescent="0.3">
      <c r="A11" s="536" t="s">
        <v>213</v>
      </c>
      <c r="B11" s="23" t="s">
        <v>328</v>
      </c>
      <c r="C11" s="109">
        <v>1084408</v>
      </c>
      <c r="D11" s="139">
        <v>0</v>
      </c>
      <c r="E11" s="139">
        <v>0</v>
      </c>
      <c r="F11" s="109">
        <v>1084408</v>
      </c>
      <c r="G11" s="13"/>
    </row>
    <row r="12" spans="1:13" ht="22.5" customHeight="1" x14ac:dyDescent="0.3">
      <c r="A12" s="536"/>
      <c r="B12" s="39" t="s">
        <v>453</v>
      </c>
      <c r="C12" s="110">
        <v>1084408</v>
      </c>
      <c r="D12" s="134">
        <v>0</v>
      </c>
      <c r="E12" s="134">
        <v>0</v>
      </c>
      <c r="F12" s="110">
        <v>1084408</v>
      </c>
      <c r="G12" s="13"/>
    </row>
    <row r="13" spans="1:13" ht="22.5" customHeight="1" x14ac:dyDescent="0.3">
      <c r="A13" s="536"/>
      <c r="B13" s="23" t="s">
        <v>214</v>
      </c>
      <c r="C13" s="109">
        <v>20200000</v>
      </c>
      <c r="D13" s="139">
        <v>0</v>
      </c>
      <c r="E13" s="139">
        <v>0</v>
      </c>
      <c r="F13" s="109">
        <v>20200000</v>
      </c>
      <c r="G13" s="13"/>
      <c r="I13" s="2"/>
      <c r="J13" s="2"/>
      <c r="K13" s="2"/>
      <c r="L13" s="2"/>
      <c r="M13" s="2"/>
    </row>
    <row r="14" spans="1:13" ht="22.5" customHeight="1" x14ac:dyDescent="0.3">
      <c r="A14" s="536"/>
      <c r="B14" s="39" t="s">
        <v>215</v>
      </c>
      <c r="C14" s="110">
        <v>20200000</v>
      </c>
      <c r="D14" s="134">
        <v>0</v>
      </c>
      <c r="E14" s="134">
        <v>0</v>
      </c>
      <c r="F14" s="110">
        <v>20200000</v>
      </c>
      <c r="G14" s="13"/>
      <c r="I14" s="2"/>
      <c r="J14" s="2"/>
      <c r="K14" s="2"/>
      <c r="L14" s="2"/>
      <c r="M14" s="2"/>
    </row>
    <row r="15" spans="1:13" ht="22.5" customHeight="1" x14ac:dyDescent="0.3">
      <c r="A15" s="536"/>
      <c r="B15" s="23" t="s">
        <v>265</v>
      </c>
      <c r="C15" s="122">
        <v>14403272</v>
      </c>
      <c r="D15" s="139">
        <v>0</v>
      </c>
      <c r="E15" s="139">
        <v>0</v>
      </c>
      <c r="F15" s="122">
        <v>14403272</v>
      </c>
      <c r="G15" s="13"/>
    </row>
    <row r="16" spans="1:13" ht="22.5" customHeight="1" x14ac:dyDescent="0.3">
      <c r="A16" s="536"/>
      <c r="B16" s="39" t="s">
        <v>266</v>
      </c>
      <c r="C16" s="124">
        <v>14403272</v>
      </c>
      <c r="D16" s="134">
        <v>0</v>
      </c>
      <c r="E16" s="134">
        <v>0</v>
      </c>
      <c r="F16" s="124">
        <v>14403272</v>
      </c>
      <c r="G16" s="13"/>
    </row>
    <row r="17" spans="1:7" ht="22.5" customHeight="1" x14ac:dyDescent="0.3">
      <c r="A17" s="536" t="s">
        <v>224</v>
      </c>
      <c r="B17" s="23" t="s">
        <v>225</v>
      </c>
      <c r="C17" s="109">
        <v>5055347</v>
      </c>
      <c r="D17" s="139">
        <v>0</v>
      </c>
      <c r="E17" s="109">
        <v>544567</v>
      </c>
      <c r="F17" s="109">
        <v>5599914</v>
      </c>
      <c r="G17" s="13"/>
    </row>
    <row r="18" spans="1:7" ht="22.5" customHeight="1" x14ac:dyDescent="0.3">
      <c r="A18" s="536"/>
      <c r="B18" s="39" t="s">
        <v>226</v>
      </c>
      <c r="C18" s="110">
        <v>1115997</v>
      </c>
      <c r="D18" s="140"/>
      <c r="E18" s="110">
        <v>544567</v>
      </c>
      <c r="F18" s="110">
        <v>1660564</v>
      </c>
      <c r="G18" s="13"/>
    </row>
    <row r="19" spans="1:7" ht="22.5" customHeight="1" x14ac:dyDescent="0.3">
      <c r="A19" s="536"/>
      <c r="B19" s="39" t="s">
        <v>454</v>
      </c>
      <c r="C19" s="110">
        <v>1028185</v>
      </c>
      <c r="D19" s="134">
        <v>0</v>
      </c>
      <c r="E19" s="134">
        <v>0</v>
      </c>
      <c r="F19" s="110">
        <v>1028185</v>
      </c>
      <c r="G19" s="13"/>
    </row>
    <row r="20" spans="1:7" ht="22.5" customHeight="1" x14ac:dyDescent="0.3">
      <c r="A20" s="536"/>
      <c r="B20" s="39" t="s">
        <v>230</v>
      </c>
      <c r="C20" s="110">
        <v>2911165</v>
      </c>
      <c r="D20" s="134">
        <v>0</v>
      </c>
      <c r="E20" s="134">
        <v>0</v>
      </c>
      <c r="F20" s="110">
        <v>2911165</v>
      </c>
      <c r="G20" s="13"/>
    </row>
    <row r="21" spans="1:7" ht="22.5" customHeight="1" x14ac:dyDescent="0.3">
      <c r="A21" s="536"/>
      <c r="B21" s="23" t="s">
        <v>276</v>
      </c>
      <c r="C21" s="122">
        <v>0</v>
      </c>
      <c r="D21" s="139">
        <v>0</v>
      </c>
      <c r="E21" s="139">
        <v>0</v>
      </c>
      <c r="F21" s="122">
        <v>0</v>
      </c>
      <c r="G21" s="13"/>
    </row>
    <row r="22" spans="1:7" ht="22.5" customHeight="1" x14ac:dyDescent="0.3">
      <c r="A22" s="536"/>
      <c r="B22" s="39" t="s">
        <v>277</v>
      </c>
      <c r="C22" s="124">
        <v>0</v>
      </c>
      <c r="D22" s="134">
        <v>0</v>
      </c>
      <c r="E22" s="134">
        <v>0</v>
      </c>
      <c r="F22" s="124">
        <v>0</v>
      </c>
      <c r="G22" s="13"/>
    </row>
    <row r="23" spans="1:7" ht="22.5" customHeight="1" x14ac:dyDescent="0.3">
      <c r="A23" s="536" t="s">
        <v>234</v>
      </c>
      <c r="B23" s="23" t="s">
        <v>235</v>
      </c>
      <c r="C23" s="122">
        <v>0</v>
      </c>
      <c r="D23" s="139">
        <v>0</v>
      </c>
      <c r="E23" s="139">
        <v>0</v>
      </c>
      <c r="F23" s="122">
        <v>0</v>
      </c>
      <c r="G23" s="13"/>
    </row>
    <row r="24" spans="1:7" ht="22.5" customHeight="1" x14ac:dyDescent="0.3">
      <c r="A24" s="536"/>
      <c r="B24" s="39" t="s">
        <v>236</v>
      </c>
      <c r="C24" s="124">
        <v>0</v>
      </c>
      <c r="D24" s="134">
        <v>0</v>
      </c>
      <c r="E24" s="134">
        <v>0</v>
      </c>
      <c r="F24" s="124">
        <v>0</v>
      </c>
      <c r="G24" s="13"/>
    </row>
    <row r="25" spans="1:7" ht="22.5" customHeight="1" x14ac:dyDescent="0.3">
      <c r="A25" s="6" t="s">
        <v>455</v>
      </c>
      <c r="B25" s="86" t="s">
        <v>644</v>
      </c>
      <c r="C25" s="109">
        <v>95811196.230000004</v>
      </c>
      <c r="D25" s="139">
        <v>0</v>
      </c>
      <c r="E25" s="109">
        <v>940643</v>
      </c>
      <c r="F25" s="109">
        <v>96751839.230000004</v>
      </c>
      <c r="G25" s="13"/>
    </row>
    <row r="26" spans="1:7" ht="35.85" customHeight="1" x14ac:dyDescent="0.3">
      <c r="A26" s="532"/>
      <c r="B26" s="532"/>
      <c r="C26" s="532"/>
      <c r="D26" s="532"/>
      <c r="E26" s="532"/>
      <c r="F26" s="532"/>
      <c r="G26" s="2"/>
    </row>
    <row r="27" spans="1:7" ht="22.5" customHeight="1" x14ac:dyDescent="0.3">
      <c r="A27" s="316"/>
      <c r="B27" s="331"/>
      <c r="C27" s="316"/>
      <c r="D27" s="316"/>
      <c r="E27" s="316"/>
      <c r="F27" s="316"/>
      <c r="G27" s="2"/>
    </row>
    <row r="28" spans="1:7" ht="22.5" customHeight="1" x14ac:dyDescent="0.3">
      <c r="F28" s="64"/>
      <c r="G28" s="301"/>
    </row>
    <row r="29" spans="1:7" ht="42.6" customHeight="1" x14ac:dyDescent="0.3">
      <c r="A29" s="141" t="s">
        <v>104</v>
      </c>
      <c r="B29" s="142">
        <v>2019</v>
      </c>
      <c r="C29" s="142">
        <v>2020</v>
      </c>
      <c r="D29" s="142">
        <v>2021</v>
      </c>
      <c r="E29" s="142">
        <v>2022</v>
      </c>
      <c r="F29" s="142">
        <v>2023</v>
      </c>
      <c r="G29" s="13"/>
    </row>
    <row r="30" spans="1:7" ht="27.6" customHeight="1" x14ac:dyDescent="0.3">
      <c r="A30" s="36" t="s">
        <v>842</v>
      </c>
      <c r="B30" s="143">
        <v>320600000</v>
      </c>
      <c r="C30" s="143">
        <v>285166008.443739</v>
      </c>
      <c r="D30" s="144">
        <v>263524785.06</v>
      </c>
      <c r="E30" s="144">
        <v>316626804.1929</v>
      </c>
      <c r="F30" s="144">
        <v>234405799.558</v>
      </c>
      <c r="G30" s="13"/>
    </row>
    <row r="31" spans="1:7" ht="27.6" customHeight="1" x14ac:dyDescent="0.3">
      <c r="A31" s="36" t="s">
        <v>843</v>
      </c>
      <c r="B31" s="145">
        <v>120700000</v>
      </c>
      <c r="C31" s="145">
        <v>116235571.81999999</v>
      </c>
      <c r="D31" s="146">
        <v>119074960.68000001</v>
      </c>
      <c r="E31" s="145">
        <v>114187803.22</v>
      </c>
      <c r="F31" s="145">
        <v>96751839.230000004</v>
      </c>
      <c r="G31" s="13"/>
    </row>
    <row r="32" spans="1:7" ht="21.6" customHeight="1" x14ac:dyDescent="0.3">
      <c r="A32" s="532"/>
      <c r="B32" s="532"/>
      <c r="C32" s="532"/>
      <c r="D32" s="532"/>
      <c r="E32" s="532"/>
      <c r="F32" s="532"/>
      <c r="G32" s="2"/>
    </row>
    <row r="33" spans="1:7" ht="21.6" customHeight="1" x14ac:dyDescent="0.3">
      <c r="A33" s="598"/>
      <c r="B33" s="598"/>
      <c r="C33" s="598"/>
      <c r="D33" s="598"/>
      <c r="E33" s="598"/>
      <c r="F33" s="598"/>
      <c r="G33" s="2"/>
    </row>
    <row r="34" spans="1:7" ht="20.100000000000001" customHeight="1" x14ac:dyDescent="0.3">
      <c r="G34" s="2"/>
    </row>
    <row r="35" spans="1:7" ht="15" customHeight="1" x14ac:dyDescent="0.25"/>
    <row r="36" spans="1:7" ht="24.15" customHeight="1" x14ac:dyDescent="0.3">
      <c r="A36" s="631" t="s">
        <v>844</v>
      </c>
      <c r="B36" s="632"/>
      <c r="C36" s="632"/>
      <c r="D36" s="632"/>
      <c r="E36" s="632"/>
      <c r="F36" s="633"/>
      <c r="G36" s="13"/>
    </row>
    <row r="37" spans="1:7" ht="102.6" customHeight="1" x14ac:dyDescent="0.3">
      <c r="A37" s="548" t="s">
        <v>845</v>
      </c>
      <c r="B37" s="549"/>
      <c r="C37" s="549"/>
      <c r="D37" s="549"/>
      <c r="E37" s="549"/>
      <c r="F37" s="550"/>
      <c r="G37" s="13"/>
    </row>
    <row r="38" spans="1:7" ht="82.5" customHeight="1" x14ac:dyDescent="0.3">
      <c r="A38" s="548" t="s">
        <v>846</v>
      </c>
      <c r="B38" s="549"/>
      <c r="C38" s="549"/>
      <c r="D38" s="549"/>
      <c r="E38" s="549"/>
      <c r="F38" s="550"/>
      <c r="G38" s="13"/>
    </row>
    <row r="39" spans="1:7" ht="35.85" customHeight="1" x14ac:dyDescent="0.3">
      <c r="A39" s="548" t="s">
        <v>847</v>
      </c>
      <c r="B39" s="549"/>
      <c r="C39" s="549"/>
      <c r="D39" s="549"/>
      <c r="E39" s="549"/>
      <c r="F39" s="550"/>
      <c r="G39" s="13"/>
    </row>
    <row r="40" spans="1:7" ht="43.35" customHeight="1" x14ac:dyDescent="0.3">
      <c r="A40" s="548" t="s">
        <v>848</v>
      </c>
      <c r="B40" s="549"/>
      <c r="C40" s="549"/>
      <c r="D40" s="549"/>
      <c r="E40" s="549"/>
      <c r="F40" s="550"/>
      <c r="G40" s="13"/>
    </row>
    <row r="41" spans="1:7" ht="24" customHeight="1" x14ac:dyDescent="0.25">
      <c r="A41" s="544" t="s">
        <v>849</v>
      </c>
      <c r="B41" s="544"/>
      <c r="C41" s="544"/>
      <c r="D41" s="544"/>
      <c r="E41" s="544"/>
      <c r="F41" s="544"/>
    </row>
    <row r="42" spans="1:7" ht="15" customHeight="1" x14ac:dyDescent="0.25"/>
    <row r="43" spans="1:7" ht="15" customHeight="1" x14ac:dyDescent="0.25"/>
    <row r="44" spans="1:7" ht="15" customHeight="1" x14ac:dyDescent="0.25"/>
    <row r="45" spans="1:7" ht="15" customHeight="1" x14ac:dyDescent="0.25"/>
    <row r="46" spans="1:7" ht="15" customHeight="1" x14ac:dyDescent="0.25"/>
    <row r="47" spans="1:7" ht="15" customHeight="1" x14ac:dyDescent="0.25"/>
  </sheetData>
  <sheetProtection algorithmName="SHA-512" hashValue="Lxa0KhLTydbiKgd9+mMWg85ujS2avrfOHScQj155JNZfBD757+PX2szNNbBq8HBYOxQz04/pPK0PVnAQivUVqA==" saltValue="EXULmaOos8/Dn/gtZXi4kg==" spinCount="100000" sheet="1" objects="1" scenarios="1" formatColumns="0" formatRows="0"/>
  <mergeCells count="19">
    <mergeCell ref="A1:F1"/>
    <mergeCell ref="A2:E2"/>
    <mergeCell ref="C3:E3"/>
    <mergeCell ref="B3:B4"/>
    <mergeCell ref="A3:A4"/>
    <mergeCell ref="A5:A7"/>
    <mergeCell ref="F3:F4"/>
    <mergeCell ref="A8:A10"/>
    <mergeCell ref="A11:A16"/>
    <mergeCell ref="A17:A22"/>
    <mergeCell ref="A38:F38"/>
    <mergeCell ref="A39:F39"/>
    <mergeCell ref="A40:F40"/>
    <mergeCell ref="A41:F41"/>
    <mergeCell ref="A23:A24"/>
    <mergeCell ref="A26:F26"/>
    <mergeCell ref="A32:F33"/>
    <mergeCell ref="A36:F36"/>
    <mergeCell ref="A37:F37"/>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6"/>
  <sheetViews>
    <sheetView showRuler="0" workbookViewId="0">
      <selection sqref="A1:F1"/>
    </sheetView>
  </sheetViews>
  <sheetFormatPr defaultColWidth="13.6640625" defaultRowHeight="13.2" x14ac:dyDescent="0.25"/>
  <cols>
    <col min="1" max="1" width="24.5546875" customWidth="1"/>
    <col min="2" max="2" width="17.33203125" customWidth="1"/>
    <col min="3" max="8" width="14.88671875" customWidth="1"/>
    <col min="9" max="13" width="14.33203125" customWidth="1"/>
  </cols>
  <sheetData>
    <row r="1" spans="1:13" ht="20.100000000000001" customHeight="1" x14ac:dyDescent="0.3">
      <c r="A1" s="595" t="s">
        <v>850</v>
      </c>
      <c r="B1" s="595"/>
      <c r="C1" s="595"/>
      <c r="D1" s="595"/>
      <c r="E1" s="595"/>
      <c r="F1" s="595"/>
      <c r="G1" s="17"/>
      <c r="H1" s="17"/>
      <c r="I1" s="17"/>
      <c r="J1" s="17"/>
      <c r="K1" s="17"/>
      <c r="L1" s="17"/>
      <c r="M1" s="17"/>
    </row>
    <row r="2" spans="1:13" ht="24.15" customHeight="1" x14ac:dyDescent="0.3">
      <c r="A2" s="64"/>
      <c r="B2" s="64"/>
      <c r="C2" s="64"/>
      <c r="D2" s="64"/>
      <c r="E2" s="64"/>
      <c r="F2" s="64"/>
      <c r="G2" s="64"/>
      <c r="M2" s="2"/>
    </row>
    <row r="3" spans="1:13" ht="70.95" customHeight="1" x14ac:dyDescent="0.3">
      <c r="A3" s="33" t="s">
        <v>851</v>
      </c>
      <c r="B3" s="5" t="s">
        <v>207</v>
      </c>
      <c r="C3" s="18" t="s">
        <v>852</v>
      </c>
      <c r="D3" s="18" t="s">
        <v>853</v>
      </c>
      <c r="E3" s="18" t="s">
        <v>854</v>
      </c>
      <c r="F3" s="18" t="s">
        <v>855</v>
      </c>
      <c r="G3" s="18" t="s">
        <v>842</v>
      </c>
      <c r="H3" s="13"/>
    </row>
    <row r="4" spans="1:13" ht="21.6" customHeight="1" x14ac:dyDescent="0.3">
      <c r="A4" s="536" t="s">
        <v>245</v>
      </c>
      <c r="B4" s="138" t="s">
        <v>246</v>
      </c>
      <c r="C4" s="83">
        <v>0</v>
      </c>
      <c r="D4" s="83">
        <v>41478497.557999998</v>
      </c>
      <c r="E4" s="83">
        <v>41478497.557999998</v>
      </c>
      <c r="F4" s="83">
        <v>671144</v>
      </c>
      <c r="G4" s="83">
        <v>42149641.557999998</v>
      </c>
      <c r="H4" s="13"/>
    </row>
    <row r="5" spans="1:13" ht="21.6" customHeight="1" x14ac:dyDescent="0.3">
      <c r="A5" s="536"/>
      <c r="B5" s="39" t="s">
        <v>514</v>
      </c>
      <c r="C5" s="38">
        <v>0</v>
      </c>
      <c r="D5" s="38">
        <v>20507032</v>
      </c>
      <c r="E5" s="38">
        <v>20507032</v>
      </c>
      <c r="F5" s="38">
        <v>671144</v>
      </c>
      <c r="G5" s="38">
        <v>21178176</v>
      </c>
      <c r="H5" s="13"/>
    </row>
    <row r="6" spans="1:13" ht="21.6" customHeight="1" x14ac:dyDescent="0.3">
      <c r="A6" s="536"/>
      <c r="B6" s="39" t="s">
        <v>247</v>
      </c>
      <c r="C6" s="38">
        <v>0</v>
      </c>
      <c r="D6" s="38">
        <v>20971465.557999998</v>
      </c>
      <c r="E6" s="38">
        <v>20971465.557999998</v>
      </c>
      <c r="F6" s="38">
        <v>0</v>
      </c>
      <c r="G6" s="38">
        <v>20971465.557999998</v>
      </c>
      <c r="H6" s="13"/>
    </row>
    <row r="7" spans="1:13" ht="21.6" customHeight="1" x14ac:dyDescent="0.3">
      <c r="A7" s="536" t="s">
        <v>251</v>
      </c>
      <c r="B7" s="138" t="s">
        <v>252</v>
      </c>
      <c r="C7" s="83">
        <v>8535779</v>
      </c>
      <c r="D7" s="83">
        <v>21050204</v>
      </c>
      <c r="E7" s="83">
        <v>29585983</v>
      </c>
      <c r="F7" s="83">
        <v>650651</v>
      </c>
      <c r="G7" s="83">
        <v>30236634</v>
      </c>
      <c r="H7" s="13"/>
    </row>
    <row r="8" spans="1:13" ht="21.6" customHeight="1" x14ac:dyDescent="0.3">
      <c r="A8" s="536"/>
      <c r="B8" s="39" t="s">
        <v>253</v>
      </c>
      <c r="C8" s="38">
        <v>8535779</v>
      </c>
      <c r="D8" s="38">
        <v>21022536</v>
      </c>
      <c r="E8" s="38">
        <v>29558315</v>
      </c>
      <c r="F8" s="38">
        <v>0</v>
      </c>
      <c r="G8" s="38">
        <v>29558315</v>
      </c>
      <c r="H8" s="13"/>
    </row>
    <row r="9" spans="1:13" ht="21.6" customHeight="1" x14ac:dyDescent="0.3">
      <c r="A9" s="536"/>
      <c r="B9" s="147" t="s">
        <v>256</v>
      </c>
      <c r="C9" s="148">
        <v>0</v>
      </c>
      <c r="D9" s="148">
        <v>27668</v>
      </c>
      <c r="E9" s="148">
        <v>27668</v>
      </c>
      <c r="F9" s="148">
        <v>650651</v>
      </c>
      <c r="G9" s="148">
        <v>678319</v>
      </c>
      <c r="H9" s="13"/>
    </row>
    <row r="10" spans="1:13" ht="21.6" customHeight="1" x14ac:dyDescent="0.3">
      <c r="A10" s="536" t="s">
        <v>213</v>
      </c>
      <c r="B10" s="138" t="s">
        <v>328</v>
      </c>
      <c r="C10" s="83">
        <v>9917</v>
      </c>
      <c r="D10" s="83">
        <v>0</v>
      </c>
      <c r="E10" s="83">
        <v>9917</v>
      </c>
      <c r="F10" s="83">
        <v>323023</v>
      </c>
      <c r="G10" s="83">
        <v>332940</v>
      </c>
      <c r="H10" s="13"/>
    </row>
    <row r="11" spans="1:13" ht="21.6" customHeight="1" x14ac:dyDescent="0.3">
      <c r="A11" s="536"/>
      <c r="B11" s="147" t="s">
        <v>453</v>
      </c>
      <c r="C11" s="38">
        <v>9917</v>
      </c>
      <c r="D11" s="38">
        <v>0</v>
      </c>
      <c r="E11" s="38">
        <v>9917</v>
      </c>
      <c r="F11" s="38">
        <v>323023</v>
      </c>
      <c r="G11" s="38">
        <v>332940</v>
      </c>
      <c r="H11" s="13"/>
    </row>
    <row r="12" spans="1:13" ht="21.6" customHeight="1" x14ac:dyDescent="0.3">
      <c r="A12" s="536"/>
      <c r="B12" s="138" t="s">
        <v>214</v>
      </c>
      <c r="C12" s="83">
        <v>11995447</v>
      </c>
      <c r="D12" s="83">
        <v>63873792</v>
      </c>
      <c r="E12" s="83">
        <v>75869239</v>
      </c>
      <c r="F12" s="83">
        <v>0</v>
      </c>
      <c r="G12" s="83">
        <v>75869239</v>
      </c>
      <c r="H12" s="13"/>
    </row>
    <row r="13" spans="1:13" ht="21.6" customHeight="1" x14ac:dyDescent="0.3">
      <c r="A13" s="536"/>
      <c r="B13" s="39" t="s">
        <v>215</v>
      </c>
      <c r="C13" s="38">
        <v>11995447</v>
      </c>
      <c r="D13" s="38">
        <v>63873792</v>
      </c>
      <c r="E13" s="38">
        <v>75869239</v>
      </c>
      <c r="F13" s="38">
        <v>0</v>
      </c>
      <c r="G13" s="38">
        <v>75869239</v>
      </c>
      <c r="H13" s="13"/>
    </row>
    <row r="14" spans="1:13" ht="21.6" customHeight="1" x14ac:dyDescent="0.3">
      <c r="A14" s="536"/>
      <c r="B14" s="138" t="s">
        <v>265</v>
      </c>
      <c r="C14" s="83">
        <v>0</v>
      </c>
      <c r="D14" s="83">
        <v>30945321</v>
      </c>
      <c r="E14" s="83">
        <v>30945321</v>
      </c>
      <c r="F14" s="83">
        <v>0</v>
      </c>
      <c r="G14" s="83">
        <v>30945321</v>
      </c>
      <c r="H14" s="13"/>
    </row>
    <row r="15" spans="1:13" ht="21.6" customHeight="1" x14ac:dyDescent="0.3">
      <c r="A15" s="536"/>
      <c r="B15" s="39" t="s">
        <v>266</v>
      </c>
      <c r="C15" s="38">
        <v>0</v>
      </c>
      <c r="D15" s="38">
        <v>30945321</v>
      </c>
      <c r="E15" s="38">
        <v>30945321</v>
      </c>
      <c r="F15" s="38">
        <v>0</v>
      </c>
      <c r="G15" s="38">
        <v>30945321</v>
      </c>
      <c r="H15" s="13"/>
    </row>
    <row r="16" spans="1:13" ht="21.6" customHeight="1" x14ac:dyDescent="0.3">
      <c r="A16" s="536" t="s">
        <v>224</v>
      </c>
      <c r="B16" s="138" t="s">
        <v>225</v>
      </c>
      <c r="C16" s="83">
        <v>494728</v>
      </c>
      <c r="D16" s="83">
        <v>4428525</v>
      </c>
      <c r="E16" s="83">
        <v>4923253</v>
      </c>
      <c r="F16" s="83">
        <v>1008405</v>
      </c>
      <c r="G16" s="83">
        <v>5931658</v>
      </c>
      <c r="H16" s="13"/>
    </row>
    <row r="17" spans="1:9" ht="21.6" customHeight="1" x14ac:dyDescent="0.3">
      <c r="A17" s="536"/>
      <c r="B17" s="39" t="s">
        <v>226</v>
      </c>
      <c r="C17" s="38">
        <v>408676</v>
      </c>
      <c r="D17" s="38">
        <v>0</v>
      </c>
      <c r="E17" s="38">
        <v>408676</v>
      </c>
      <c r="F17" s="38">
        <v>192118</v>
      </c>
      <c r="G17" s="38">
        <v>600794</v>
      </c>
      <c r="H17" s="13"/>
    </row>
    <row r="18" spans="1:9" ht="21.6" customHeight="1" x14ac:dyDescent="0.3">
      <c r="A18" s="536"/>
      <c r="B18" s="39" t="s">
        <v>454</v>
      </c>
      <c r="C18" s="38">
        <v>86052</v>
      </c>
      <c r="D18" s="38">
        <v>0</v>
      </c>
      <c r="E18" s="38">
        <v>86052</v>
      </c>
      <c r="F18" s="38">
        <v>615162</v>
      </c>
      <c r="G18" s="38">
        <v>701214</v>
      </c>
      <c r="H18" s="13"/>
    </row>
    <row r="19" spans="1:9" ht="21.6" customHeight="1" x14ac:dyDescent="0.3">
      <c r="A19" s="536"/>
      <c r="B19" s="147" t="s">
        <v>230</v>
      </c>
      <c r="C19" s="38">
        <v>0</v>
      </c>
      <c r="D19" s="38">
        <v>4428525</v>
      </c>
      <c r="E19" s="38">
        <v>4428525</v>
      </c>
      <c r="F19" s="38">
        <v>201125</v>
      </c>
      <c r="G19" s="38">
        <v>4629650</v>
      </c>
      <c r="H19" s="13"/>
    </row>
    <row r="20" spans="1:9" ht="21.6" customHeight="1" x14ac:dyDescent="0.3">
      <c r="A20" s="536"/>
      <c r="B20" s="138" t="s">
        <v>276</v>
      </c>
      <c r="C20" s="83">
        <v>6449048</v>
      </c>
      <c r="D20" s="83">
        <v>0</v>
      </c>
      <c r="E20" s="83">
        <v>6449048</v>
      </c>
      <c r="F20" s="83">
        <v>0</v>
      </c>
      <c r="G20" s="83">
        <v>6449048</v>
      </c>
      <c r="H20" s="13"/>
    </row>
    <row r="21" spans="1:9" ht="21.6" customHeight="1" x14ac:dyDescent="0.3">
      <c r="A21" s="536"/>
      <c r="B21" s="39" t="s">
        <v>277</v>
      </c>
      <c r="C21" s="38">
        <v>6449048</v>
      </c>
      <c r="D21" s="38">
        <v>0</v>
      </c>
      <c r="E21" s="38">
        <v>6449048</v>
      </c>
      <c r="F21" s="38">
        <v>0</v>
      </c>
      <c r="G21" s="38">
        <v>6449048</v>
      </c>
      <c r="H21" s="13"/>
    </row>
    <row r="22" spans="1:9" ht="21.6" customHeight="1" x14ac:dyDescent="0.3">
      <c r="A22" s="640" t="s">
        <v>234</v>
      </c>
      <c r="B22" s="138" t="s">
        <v>235</v>
      </c>
      <c r="C22" s="83">
        <v>12714649</v>
      </c>
      <c r="D22" s="83">
        <v>29776669</v>
      </c>
      <c r="E22" s="83">
        <v>42491318</v>
      </c>
      <c r="F22" s="83">
        <v>0</v>
      </c>
      <c r="G22" s="83">
        <v>42491318</v>
      </c>
      <c r="H22" s="13"/>
    </row>
    <row r="23" spans="1:9" ht="21.6" customHeight="1" x14ac:dyDescent="0.3">
      <c r="A23" s="640"/>
      <c r="B23" s="39" t="s">
        <v>236</v>
      </c>
      <c r="C23" s="38">
        <v>12714649</v>
      </c>
      <c r="D23" s="38">
        <v>29776669</v>
      </c>
      <c r="E23" s="38">
        <v>42491318</v>
      </c>
      <c r="F23" s="38">
        <v>0</v>
      </c>
      <c r="G23" s="38">
        <v>42491318</v>
      </c>
      <c r="H23" s="13"/>
    </row>
    <row r="24" spans="1:9" ht="21.6" customHeight="1" x14ac:dyDescent="0.3">
      <c r="A24" s="6" t="s">
        <v>455</v>
      </c>
      <c r="B24" s="86" t="s">
        <v>644</v>
      </c>
      <c r="C24" s="83">
        <v>40199568</v>
      </c>
      <c r="D24" s="83">
        <v>191553008.558</v>
      </c>
      <c r="E24" s="83">
        <v>231752576.558</v>
      </c>
      <c r="F24" s="83">
        <v>2653223</v>
      </c>
      <c r="G24" s="83">
        <v>234405799.558</v>
      </c>
      <c r="H24" s="13"/>
    </row>
    <row r="25" spans="1:9" ht="22.5" customHeight="1" x14ac:dyDescent="0.25">
      <c r="A25" s="544" t="s">
        <v>856</v>
      </c>
      <c r="B25" s="544"/>
      <c r="C25" s="544"/>
      <c r="D25" s="544"/>
      <c r="E25" s="544"/>
      <c r="F25" s="544"/>
      <c r="G25" s="544"/>
    </row>
    <row r="26" spans="1:9" ht="22.5" customHeight="1" x14ac:dyDescent="0.25">
      <c r="A26" s="641"/>
      <c r="B26" s="641"/>
      <c r="C26" s="641"/>
      <c r="D26" s="641"/>
      <c r="E26" s="641"/>
      <c r="F26" s="641"/>
      <c r="G26" s="641"/>
    </row>
    <row r="27" spans="1:9" ht="22.5" customHeight="1" x14ac:dyDescent="0.3">
      <c r="G27" s="17"/>
    </row>
    <row r="28" spans="1:9" ht="22.5" customHeight="1" x14ac:dyDescent="0.25"/>
    <row r="29" spans="1:9" ht="50.1" customHeight="1" x14ac:dyDescent="0.3">
      <c r="A29" s="33" t="s">
        <v>857</v>
      </c>
      <c r="B29" s="5" t="s">
        <v>207</v>
      </c>
      <c r="C29" s="18" t="s">
        <v>858</v>
      </c>
      <c r="D29" s="18" t="s">
        <v>859</v>
      </c>
      <c r="E29" s="18" t="s">
        <v>860</v>
      </c>
      <c r="F29" s="18" t="s">
        <v>861</v>
      </c>
      <c r="G29" s="18" t="s">
        <v>862</v>
      </c>
      <c r="H29" s="18" t="s">
        <v>318</v>
      </c>
      <c r="I29" s="13"/>
    </row>
    <row r="30" spans="1:9" ht="22.5" customHeight="1" x14ac:dyDescent="0.3">
      <c r="A30" s="536" t="s">
        <v>245</v>
      </c>
      <c r="B30" s="138" t="s">
        <v>246</v>
      </c>
      <c r="C30" s="83">
        <v>0</v>
      </c>
      <c r="D30" s="83">
        <v>0</v>
      </c>
      <c r="E30" s="83">
        <v>0</v>
      </c>
      <c r="F30" s="83">
        <v>0</v>
      </c>
      <c r="G30" s="83">
        <v>0</v>
      </c>
      <c r="H30" s="83">
        <v>0</v>
      </c>
      <c r="I30" s="13"/>
    </row>
    <row r="31" spans="1:9" ht="22.5" customHeight="1" x14ac:dyDescent="0.3">
      <c r="A31" s="536"/>
      <c r="B31" s="39" t="s">
        <v>514</v>
      </c>
      <c r="C31" s="38">
        <v>0</v>
      </c>
      <c r="D31" s="38">
        <v>0</v>
      </c>
      <c r="E31" s="38">
        <v>0</v>
      </c>
      <c r="F31" s="38">
        <v>0</v>
      </c>
      <c r="G31" s="38">
        <v>0</v>
      </c>
      <c r="H31" s="38">
        <v>0</v>
      </c>
      <c r="I31" s="13"/>
    </row>
    <row r="32" spans="1:9" ht="22.5" customHeight="1" x14ac:dyDescent="0.3">
      <c r="A32" s="536"/>
      <c r="B32" s="39" t="s">
        <v>247</v>
      </c>
      <c r="C32" s="38">
        <v>0</v>
      </c>
      <c r="D32" s="38">
        <v>0</v>
      </c>
      <c r="E32" s="38">
        <v>0</v>
      </c>
      <c r="F32" s="38">
        <v>0</v>
      </c>
      <c r="G32" s="38">
        <v>0</v>
      </c>
      <c r="H32" s="38">
        <v>0</v>
      </c>
      <c r="I32" s="13"/>
    </row>
    <row r="33" spans="1:9" ht="22.5" customHeight="1" x14ac:dyDescent="0.3">
      <c r="A33" s="536" t="s">
        <v>251</v>
      </c>
      <c r="B33" s="138" t="s">
        <v>252</v>
      </c>
      <c r="C33" s="83">
        <v>0</v>
      </c>
      <c r="D33" s="83">
        <v>0</v>
      </c>
      <c r="E33" s="83">
        <v>0</v>
      </c>
      <c r="F33" s="83">
        <v>0</v>
      </c>
      <c r="G33" s="83">
        <v>0</v>
      </c>
      <c r="H33" s="83">
        <v>0</v>
      </c>
      <c r="I33" s="13"/>
    </row>
    <row r="34" spans="1:9" ht="22.5" customHeight="1" x14ac:dyDescent="0.3">
      <c r="A34" s="536"/>
      <c r="B34" s="39" t="s">
        <v>253</v>
      </c>
      <c r="C34" s="38">
        <v>0</v>
      </c>
      <c r="D34" s="38">
        <v>0</v>
      </c>
      <c r="E34" s="38">
        <v>0</v>
      </c>
      <c r="F34" s="38">
        <v>0</v>
      </c>
      <c r="G34" s="38">
        <v>0</v>
      </c>
      <c r="H34" s="38">
        <v>0</v>
      </c>
      <c r="I34" s="13"/>
    </row>
    <row r="35" spans="1:9" ht="22.5" customHeight="1" x14ac:dyDescent="0.3">
      <c r="A35" s="536"/>
      <c r="B35" s="39" t="s">
        <v>256</v>
      </c>
      <c r="C35" s="38">
        <v>0</v>
      </c>
      <c r="D35" s="38">
        <v>0</v>
      </c>
      <c r="E35" s="38">
        <v>0</v>
      </c>
      <c r="F35" s="38">
        <v>0</v>
      </c>
      <c r="G35" s="38">
        <v>0</v>
      </c>
      <c r="H35" s="38">
        <v>0</v>
      </c>
      <c r="I35" s="13"/>
    </row>
    <row r="36" spans="1:9" ht="22.5" customHeight="1" x14ac:dyDescent="0.3">
      <c r="A36" s="536" t="s">
        <v>213</v>
      </c>
      <c r="B36" s="138" t="s">
        <v>328</v>
      </c>
      <c r="C36" s="83">
        <v>0</v>
      </c>
      <c r="D36" s="83">
        <v>0</v>
      </c>
      <c r="E36" s="83">
        <v>1000</v>
      </c>
      <c r="F36" s="83">
        <v>0</v>
      </c>
      <c r="G36" s="83">
        <v>0</v>
      </c>
      <c r="H36" s="83">
        <v>1000</v>
      </c>
      <c r="I36" s="13"/>
    </row>
    <row r="37" spans="1:9" ht="22.5" customHeight="1" x14ac:dyDescent="0.3">
      <c r="A37" s="536"/>
      <c r="B37" s="39" t="s">
        <v>453</v>
      </c>
      <c r="C37" s="38">
        <v>0</v>
      </c>
      <c r="D37" s="38">
        <v>0</v>
      </c>
      <c r="E37" s="38">
        <v>1000</v>
      </c>
      <c r="F37" s="38">
        <v>0</v>
      </c>
      <c r="G37" s="38">
        <v>0</v>
      </c>
      <c r="H37" s="38">
        <v>1000</v>
      </c>
      <c r="I37" s="13"/>
    </row>
    <row r="38" spans="1:9" ht="22.5" customHeight="1" x14ac:dyDescent="0.3">
      <c r="A38" s="536"/>
      <c r="B38" s="138" t="s">
        <v>265</v>
      </c>
      <c r="C38" s="83">
        <v>1.5699999999999999E-2</v>
      </c>
      <c r="D38" s="83">
        <v>0</v>
      </c>
      <c r="E38" s="83">
        <v>0</v>
      </c>
      <c r="F38" s="83">
        <v>0</v>
      </c>
      <c r="G38" s="83">
        <v>0</v>
      </c>
      <c r="H38" s="83">
        <v>1.5699999999999999E-2</v>
      </c>
      <c r="I38" s="13"/>
    </row>
    <row r="39" spans="1:9" ht="22.5" customHeight="1" x14ac:dyDescent="0.3">
      <c r="A39" s="536"/>
      <c r="B39" s="39" t="s">
        <v>266</v>
      </c>
      <c r="C39" s="38">
        <v>1.5699999999999999E-2</v>
      </c>
      <c r="D39" s="38">
        <v>0</v>
      </c>
      <c r="E39" s="38">
        <v>0</v>
      </c>
      <c r="F39" s="38">
        <v>0</v>
      </c>
      <c r="G39" s="38">
        <v>0</v>
      </c>
      <c r="H39" s="38">
        <v>1.5699999999999999E-2</v>
      </c>
      <c r="I39" s="13"/>
    </row>
    <row r="40" spans="1:9" ht="22.5" customHeight="1" x14ac:dyDescent="0.3">
      <c r="A40" s="536"/>
      <c r="B40" s="138" t="s">
        <v>214</v>
      </c>
      <c r="C40" s="83">
        <v>21.343</v>
      </c>
      <c r="D40" s="83">
        <v>0</v>
      </c>
      <c r="E40" s="83">
        <v>0</v>
      </c>
      <c r="F40" s="83">
        <v>0</v>
      </c>
      <c r="G40" s="83">
        <v>0</v>
      </c>
      <c r="H40" s="83">
        <v>21.343</v>
      </c>
      <c r="I40" s="13"/>
    </row>
    <row r="41" spans="1:9" ht="22.5" customHeight="1" x14ac:dyDescent="0.3">
      <c r="A41" s="536"/>
      <c r="B41" s="39" t="s">
        <v>215</v>
      </c>
      <c r="C41" s="38">
        <v>21.343</v>
      </c>
      <c r="D41" s="38">
        <v>0</v>
      </c>
      <c r="E41" s="38">
        <v>0</v>
      </c>
      <c r="F41" s="38">
        <v>0</v>
      </c>
      <c r="G41" s="38">
        <v>0</v>
      </c>
      <c r="H41" s="38">
        <v>21.343</v>
      </c>
      <c r="I41" s="13"/>
    </row>
    <row r="42" spans="1:9" ht="22.5" customHeight="1" x14ac:dyDescent="0.3">
      <c r="A42" s="536" t="s">
        <v>224</v>
      </c>
      <c r="B42" s="138" t="s">
        <v>225</v>
      </c>
      <c r="C42" s="83">
        <v>0</v>
      </c>
      <c r="D42" s="83">
        <v>0</v>
      </c>
      <c r="E42" s="83">
        <v>0</v>
      </c>
      <c r="F42" s="83">
        <v>0.33</v>
      </c>
      <c r="G42" s="83">
        <v>1.0474000000000001</v>
      </c>
      <c r="H42" s="83">
        <v>1.3774</v>
      </c>
      <c r="I42" s="13"/>
    </row>
    <row r="43" spans="1:9" ht="22.5" customHeight="1" x14ac:dyDescent="0.3">
      <c r="A43" s="536"/>
      <c r="B43" s="39" t="s">
        <v>226</v>
      </c>
      <c r="C43" s="38">
        <v>0</v>
      </c>
      <c r="D43" s="38">
        <v>0</v>
      </c>
      <c r="E43" s="38">
        <v>0</v>
      </c>
      <c r="F43" s="38">
        <v>0.33</v>
      </c>
      <c r="G43" s="38">
        <v>4.3E-3</v>
      </c>
      <c r="H43" s="38">
        <v>0.33429999999999999</v>
      </c>
      <c r="I43" s="13"/>
    </row>
    <row r="44" spans="1:9" ht="22.5" customHeight="1" x14ac:dyDescent="0.3">
      <c r="A44" s="536"/>
      <c r="B44" s="39" t="s">
        <v>454</v>
      </c>
      <c r="C44" s="38">
        <v>0</v>
      </c>
      <c r="D44" s="38">
        <v>0</v>
      </c>
      <c r="E44" s="38">
        <v>0</v>
      </c>
      <c r="F44" s="38">
        <v>0</v>
      </c>
      <c r="G44" s="38">
        <v>1.0430999999999999</v>
      </c>
      <c r="H44" s="38">
        <v>1.0430999999999999</v>
      </c>
      <c r="I44" s="13"/>
    </row>
    <row r="45" spans="1:9" ht="22.5" customHeight="1" x14ac:dyDescent="0.3">
      <c r="A45" s="536"/>
      <c r="B45" s="39" t="s">
        <v>230</v>
      </c>
      <c r="C45" s="38">
        <v>0</v>
      </c>
      <c r="D45" s="38">
        <v>0</v>
      </c>
      <c r="E45" s="38">
        <v>0</v>
      </c>
      <c r="F45" s="38">
        <v>0</v>
      </c>
      <c r="G45" s="38">
        <v>0</v>
      </c>
      <c r="H45" s="38">
        <v>0</v>
      </c>
      <c r="I45" s="13"/>
    </row>
    <row r="46" spans="1:9" ht="22.5" customHeight="1" x14ac:dyDescent="0.3">
      <c r="A46" s="536"/>
      <c r="B46" s="138" t="s">
        <v>276</v>
      </c>
      <c r="C46" s="83">
        <v>28.395</v>
      </c>
      <c r="D46" s="83">
        <v>0</v>
      </c>
      <c r="E46" s="83">
        <v>4702.49</v>
      </c>
      <c r="F46" s="83">
        <v>0</v>
      </c>
      <c r="G46" s="83">
        <v>27.21</v>
      </c>
      <c r="H46" s="83">
        <v>4758.0950000000003</v>
      </c>
      <c r="I46" s="13"/>
    </row>
    <row r="47" spans="1:9" ht="22.5" customHeight="1" x14ac:dyDescent="0.3">
      <c r="A47" s="536"/>
      <c r="B47" s="39" t="s">
        <v>277</v>
      </c>
      <c r="C47" s="38">
        <v>28.395</v>
      </c>
      <c r="D47" s="38">
        <v>0</v>
      </c>
      <c r="E47" s="38">
        <v>4702.49</v>
      </c>
      <c r="F47" s="38">
        <v>0</v>
      </c>
      <c r="G47" s="38">
        <v>27.21</v>
      </c>
      <c r="H47" s="38">
        <v>4758.0950000000003</v>
      </c>
      <c r="I47" s="13"/>
    </row>
    <row r="48" spans="1:9" ht="22.5" customHeight="1" x14ac:dyDescent="0.3">
      <c r="A48" s="640" t="s">
        <v>234</v>
      </c>
      <c r="B48" s="138" t="s">
        <v>235</v>
      </c>
      <c r="C48" s="83">
        <v>20399</v>
      </c>
      <c r="D48" s="83">
        <v>0</v>
      </c>
      <c r="E48" s="83">
        <v>0</v>
      </c>
      <c r="F48" s="83">
        <v>0</v>
      </c>
      <c r="G48" s="83">
        <v>0</v>
      </c>
      <c r="H48" s="83">
        <v>20399</v>
      </c>
      <c r="I48" s="13"/>
    </row>
    <row r="49" spans="1:10" ht="22.5" customHeight="1" x14ac:dyDescent="0.3">
      <c r="A49" s="640"/>
      <c r="B49" s="39" t="s">
        <v>236</v>
      </c>
      <c r="C49" s="38">
        <v>20399</v>
      </c>
      <c r="D49" s="38">
        <v>0</v>
      </c>
      <c r="E49" s="38">
        <v>0</v>
      </c>
      <c r="F49" s="38">
        <v>0</v>
      </c>
      <c r="G49" s="38">
        <v>0</v>
      </c>
      <c r="H49" s="38">
        <v>20399</v>
      </c>
      <c r="I49" s="13"/>
    </row>
    <row r="50" spans="1:10" ht="22.5" customHeight="1" x14ac:dyDescent="0.3">
      <c r="A50" s="6" t="s">
        <v>455</v>
      </c>
      <c r="B50" s="86" t="s">
        <v>644</v>
      </c>
      <c r="C50" s="83">
        <v>20448.753700000001</v>
      </c>
      <c r="D50" s="83">
        <v>0</v>
      </c>
      <c r="E50" s="83">
        <v>5702.49</v>
      </c>
      <c r="F50" s="83">
        <v>0.33</v>
      </c>
      <c r="G50" s="83">
        <v>28.257400000000001</v>
      </c>
      <c r="H50" s="83">
        <v>26179.831099999999</v>
      </c>
      <c r="I50" s="13"/>
    </row>
    <row r="51" spans="1:10" ht="22.5" customHeight="1" x14ac:dyDescent="0.25">
      <c r="A51" s="597" t="s">
        <v>863</v>
      </c>
      <c r="B51" s="597"/>
      <c r="C51" s="597"/>
      <c r="D51" s="597"/>
      <c r="E51" s="597"/>
      <c r="F51" s="597"/>
      <c r="G51" s="597"/>
      <c r="H51" s="597"/>
    </row>
    <row r="52" spans="1:10" ht="36" customHeight="1" x14ac:dyDescent="0.25">
      <c r="A52" s="603"/>
      <c r="B52" s="603"/>
      <c r="C52" s="603"/>
      <c r="D52" s="603"/>
      <c r="E52" s="603"/>
      <c r="F52" s="603"/>
      <c r="G52" s="603"/>
      <c r="H52" s="603"/>
    </row>
    <row r="53" spans="1:10" ht="22.5" customHeight="1" x14ac:dyDescent="0.25"/>
    <row r="54" spans="1:10" ht="22.5" customHeight="1" x14ac:dyDescent="0.25"/>
    <row r="55" spans="1:10" ht="22.5" customHeight="1" x14ac:dyDescent="0.3">
      <c r="C55" s="554" t="s">
        <v>864</v>
      </c>
      <c r="D55" s="556"/>
      <c r="E55" s="554" t="s">
        <v>865</v>
      </c>
      <c r="F55" s="556"/>
      <c r="G55" s="634" t="s">
        <v>866</v>
      </c>
      <c r="H55" s="634"/>
      <c r="I55" s="638" t="s">
        <v>318</v>
      </c>
      <c r="J55" s="13"/>
    </row>
    <row r="56" spans="1:10" ht="49.2" customHeight="1" x14ac:dyDescent="0.3">
      <c r="A56" s="4" t="s">
        <v>109</v>
      </c>
      <c r="B56" s="5" t="s">
        <v>207</v>
      </c>
      <c r="C56" s="115" t="s">
        <v>867</v>
      </c>
      <c r="D56" s="115" t="s">
        <v>868</v>
      </c>
      <c r="E56" s="115" t="s">
        <v>867</v>
      </c>
      <c r="F56" s="115" t="s">
        <v>869</v>
      </c>
      <c r="G56" s="115" t="s">
        <v>867</v>
      </c>
      <c r="H56" s="115" t="s">
        <v>869</v>
      </c>
      <c r="I56" s="639"/>
      <c r="J56" s="13"/>
    </row>
    <row r="57" spans="1:10" ht="22.5" customHeight="1" x14ac:dyDescent="0.3">
      <c r="A57" s="536" t="s">
        <v>245</v>
      </c>
      <c r="B57" s="138" t="s">
        <v>246</v>
      </c>
      <c r="C57" s="83">
        <v>0</v>
      </c>
      <c r="D57" s="83">
        <v>102.79</v>
      </c>
      <c r="E57" s="83">
        <v>42.58</v>
      </c>
      <c r="F57" s="83">
        <v>307.05</v>
      </c>
      <c r="G57" s="83">
        <v>0</v>
      </c>
      <c r="H57" s="83">
        <v>0</v>
      </c>
      <c r="I57" s="83">
        <v>452.42</v>
      </c>
      <c r="J57" s="13"/>
    </row>
    <row r="58" spans="1:10" ht="22.5" customHeight="1" x14ac:dyDescent="0.3">
      <c r="A58" s="536"/>
      <c r="B58" s="39" t="s">
        <v>514</v>
      </c>
      <c r="C58" s="38">
        <v>0</v>
      </c>
      <c r="D58" s="38">
        <v>0</v>
      </c>
      <c r="E58" s="38">
        <v>42.58</v>
      </c>
      <c r="F58" s="38">
        <v>307.05</v>
      </c>
      <c r="G58" s="38">
        <v>0</v>
      </c>
      <c r="H58" s="38">
        <v>0</v>
      </c>
      <c r="I58" s="38">
        <v>349.63</v>
      </c>
      <c r="J58" s="13"/>
    </row>
    <row r="59" spans="1:10" ht="22.5" customHeight="1" x14ac:dyDescent="0.3">
      <c r="A59" s="536"/>
      <c r="B59" s="39" t="s">
        <v>247</v>
      </c>
      <c r="C59" s="38">
        <v>0</v>
      </c>
      <c r="D59" s="38">
        <v>102.79</v>
      </c>
      <c r="E59" s="38">
        <v>0</v>
      </c>
      <c r="F59" s="38">
        <v>0</v>
      </c>
      <c r="G59" s="38">
        <v>0</v>
      </c>
      <c r="H59" s="38">
        <v>0</v>
      </c>
      <c r="I59" s="38">
        <v>102.79</v>
      </c>
      <c r="J59" s="13"/>
    </row>
    <row r="60" spans="1:10" ht="22.5" customHeight="1" x14ac:dyDescent="0.3">
      <c r="A60" s="536" t="s">
        <v>251</v>
      </c>
      <c r="B60" s="138" t="s">
        <v>252</v>
      </c>
      <c r="C60" s="83">
        <v>3018.6849999999999</v>
      </c>
      <c r="D60" s="83">
        <v>1407.15</v>
      </c>
      <c r="E60" s="83">
        <v>0</v>
      </c>
      <c r="F60" s="83">
        <v>1525.5309</v>
      </c>
      <c r="G60" s="83">
        <v>0</v>
      </c>
      <c r="H60" s="83">
        <v>0</v>
      </c>
      <c r="I60" s="83">
        <v>5951.3658999999998</v>
      </c>
      <c r="J60" s="13"/>
    </row>
    <row r="61" spans="1:10" ht="22.5" customHeight="1" x14ac:dyDescent="0.3">
      <c r="A61" s="536"/>
      <c r="B61" s="39" t="s">
        <v>870</v>
      </c>
      <c r="C61" s="38">
        <v>3018.6849999999999</v>
      </c>
      <c r="D61" s="38">
        <v>1407.15</v>
      </c>
      <c r="E61" s="38">
        <v>0</v>
      </c>
      <c r="F61" s="38">
        <v>1020.6529</v>
      </c>
      <c r="G61" s="38">
        <v>0</v>
      </c>
      <c r="H61" s="38">
        <v>0</v>
      </c>
      <c r="I61" s="38">
        <v>5446.4879000000001</v>
      </c>
      <c r="J61" s="13"/>
    </row>
    <row r="62" spans="1:10" ht="22.5" customHeight="1" x14ac:dyDescent="0.3">
      <c r="A62" s="536"/>
      <c r="B62" s="39" t="s">
        <v>256</v>
      </c>
      <c r="C62" s="38">
        <v>0</v>
      </c>
      <c r="D62" s="38">
        <v>0</v>
      </c>
      <c r="E62" s="38">
        <v>0</v>
      </c>
      <c r="F62" s="38">
        <v>504.87799999999999</v>
      </c>
      <c r="G62" s="38">
        <v>0</v>
      </c>
      <c r="H62" s="38">
        <v>0</v>
      </c>
      <c r="I62" s="38">
        <v>504.87799999999999</v>
      </c>
      <c r="J62" s="13"/>
    </row>
    <row r="63" spans="1:10" ht="22.5" customHeight="1" x14ac:dyDescent="0.3">
      <c r="A63" s="536" t="s">
        <v>213</v>
      </c>
      <c r="B63" s="138" t="s">
        <v>328</v>
      </c>
      <c r="C63" s="83">
        <v>0</v>
      </c>
      <c r="D63" s="83">
        <v>11</v>
      </c>
      <c r="E63" s="83">
        <v>0</v>
      </c>
      <c r="F63" s="83">
        <v>0</v>
      </c>
      <c r="G63" s="83">
        <v>0</v>
      </c>
      <c r="H63" s="83">
        <v>0</v>
      </c>
      <c r="I63" s="83">
        <v>11</v>
      </c>
      <c r="J63" s="13"/>
    </row>
    <row r="64" spans="1:10" ht="22.5" customHeight="1" x14ac:dyDescent="0.3">
      <c r="A64" s="536"/>
      <c r="B64" s="39" t="s">
        <v>453</v>
      </c>
      <c r="C64" s="38">
        <v>0</v>
      </c>
      <c r="D64" s="38">
        <v>11</v>
      </c>
      <c r="E64" s="38">
        <v>0</v>
      </c>
      <c r="F64" s="38">
        <v>0</v>
      </c>
      <c r="G64" s="38">
        <v>0</v>
      </c>
      <c r="H64" s="38">
        <v>0</v>
      </c>
      <c r="I64" s="38">
        <v>11</v>
      </c>
      <c r="J64" s="13"/>
    </row>
    <row r="65" spans="1:10" ht="22.5" customHeight="1" x14ac:dyDescent="0.3">
      <c r="A65" s="536"/>
      <c r="B65" s="138" t="s">
        <v>265</v>
      </c>
      <c r="C65" s="83">
        <v>0</v>
      </c>
      <c r="D65" s="83">
        <v>0</v>
      </c>
      <c r="E65" s="83">
        <v>0</v>
      </c>
      <c r="F65" s="83">
        <v>508</v>
      </c>
      <c r="G65" s="83">
        <v>0</v>
      </c>
      <c r="H65" s="83">
        <v>0</v>
      </c>
      <c r="I65" s="83">
        <v>508</v>
      </c>
      <c r="J65" s="13"/>
    </row>
    <row r="66" spans="1:10" ht="22.5" customHeight="1" x14ac:dyDescent="0.3">
      <c r="A66" s="536"/>
      <c r="B66" s="39" t="s">
        <v>266</v>
      </c>
      <c r="C66" s="38">
        <v>0</v>
      </c>
      <c r="D66" s="38">
        <v>0</v>
      </c>
      <c r="E66" s="38">
        <v>0</v>
      </c>
      <c r="F66" s="38">
        <v>508</v>
      </c>
      <c r="G66" s="38">
        <v>0</v>
      </c>
      <c r="H66" s="38">
        <v>0</v>
      </c>
      <c r="I66" s="38">
        <v>508</v>
      </c>
      <c r="J66" s="13"/>
    </row>
    <row r="67" spans="1:10" ht="22.5" customHeight="1" x14ac:dyDescent="0.3">
      <c r="A67" s="536"/>
      <c r="B67" s="138" t="s">
        <v>214</v>
      </c>
      <c r="C67" s="83">
        <v>444.07</v>
      </c>
      <c r="D67" s="83">
        <v>0</v>
      </c>
      <c r="E67" s="83">
        <v>0</v>
      </c>
      <c r="F67" s="83">
        <v>319.60000000000002</v>
      </c>
      <c r="G67" s="83">
        <v>0</v>
      </c>
      <c r="H67" s="83">
        <v>0</v>
      </c>
      <c r="I67" s="83">
        <v>763.67</v>
      </c>
      <c r="J67" s="13"/>
    </row>
    <row r="68" spans="1:10" ht="22.5" customHeight="1" x14ac:dyDescent="0.3">
      <c r="A68" s="536"/>
      <c r="B68" s="39" t="s">
        <v>215</v>
      </c>
      <c r="C68" s="38">
        <v>444.07</v>
      </c>
      <c r="D68" s="38">
        <v>0</v>
      </c>
      <c r="E68" s="38">
        <v>0</v>
      </c>
      <c r="F68" s="38">
        <v>319.60000000000002</v>
      </c>
      <c r="G68" s="38">
        <v>0</v>
      </c>
      <c r="H68" s="38">
        <v>0</v>
      </c>
      <c r="I68" s="38">
        <v>763.67</v>
      </c>
      <c r="J68" s="13"/>
    </row>
    <row r="69" spans="1:10" ht="22.5" customHeight="1" x14ac:dyDescent="0.3">
      <c r="A69" s="536" t="s">
        <v>224</v>
      </c>
      <c r="B69" s="138" t="s">
        <v>225</v>
      </c>
      <c r="C69" s="83">
        <v>34.299999999999997</v>
      </c>
      <c r="D69" s="83">
        <v>8.07</v>
      </c>
      <c r="E69" s="83">
        <v>0</v>
      </c>
      <c r="F69" s="83">
        <v>379.54</v>
      </c>
      <c r="G69" s="83">
        <v>0</v>
      </c>
      <c r="H69" s="83">
        <v>149</v>
      </c>
      <c r="I69" s="83">
        <v>570.91</v>
      </c>
      <c r="J69" s="13"/>
    </row>
    <row r="70" spans="1:10" ht="22.5" customHeight="1" x14ac:dyDescent="0.3">
      <c r="A70" s="536"/>
      <c r="B70" s="39" t="s">
        <v>226</v>
      </c>
      <c r="C70" s="38">
        <v>34.299999999999997</v>
      </c>
      <c r="D70" s="38">
        <v>1</v>
      </c>
      <c r="E70" s="38">
        <v>0</v>
      </c>
      <c r="F70" s="38">
        <v>21.34</v>
      </c>
      <c r="G70" s="38">
        <v>0</v>
      </c>
      <c r="H70" s="38">
        <v>149</v>
      </c>
      <c r="I70" s="38">
        <v>205.64</v>
      </c>
      <c r="J70" s="13"/>
    </row>
    <row r="71" spans="1:10" ht="22.5" customHeight="1" x14ac:dyDescent="0.3">
      <c r="A71" s="536"/>
      <c r="B71" s="39" t="s">
        <v>454</v>
      </c>
      <c r="C71" s="38">
        <v>0</v>
      </c>
      <c r="D71" s="38">
        <v>7.07</v>
      </c>
      <c r="E71" s="38">
        <v>0</v>
      </c>
      <c r="F71" s="38">
        <v>173.2</v>
      </c>
      <c r="G71" s="38">
        <v>0</v>
      </c>
      <c r="H71" s="38">
        <v>0</v>
      </c>
      <c r="I71" s="38">
        <v>180.27</v>
      </c>
      <c r="J71" s="13"/>
    </row>
    <row r="72" spans="1:10" ht="22.5" customHeight="1" x14ac:dyDescent="0.3">
      <c r="A72" s="536"/>
      <c r="B72" s="39" t="s">
        <v>230</v>
      </c>
      <c r="C72" s="38">
        <v>0</v>
      </c>
      <c r="D72" s="38">
        <v>0</v>
      </c>
      <c r="E72" s="38">
        <v>0</v>
      </c>
      <c r="F72" s="38">
        <v>185</v>
      </c>
      <c r="G72" s="38">
        <v>0</v>
      </c>
      <c r="H72" s="38">
        <v>0</v>
      </c>
      <c r="I72" s="38">
        <v>185</v>
      </c>
      <c r="J72" s="13"/>
    </row>
    <row r="73" spans="1:10" ht="22.5" customHeight="1" x14ac:dyDescent="0.3">
      <c r="A73" s="536"/>
      <c r="B73" s="138" t="s">
        <v>276</v>
      </c>
      <c r="C73" s="83">
        <v>0</v>
      </c>
      <c r="D73" s="83">
        <v>0</v>
      </c>
      <c r="E73" s="83">
        <v>0</v>
      </c>
      <c r="F73" s="83">
        <v>101.54</v>
      </c>
      <c r="G73" s="83">
        <v>232.38</v>
      </c>
      <c r="H73" s="83">
        <v>0</v>
      </c>
      <c r="I73" s="83">
        <v>333.92</v>
      </c>
      <c r="J73" s="13"/>
    </row>
    <row r="74" spans="1:10" ht="22.5" customHeight="1" x14ac:dyDescent="0.3">
      <c r="A74" s="536"/>
      <c r="B74" s="39" t="s">
        <v>277</v>
      </c>
      <c r="C74" s="38">
        <v>0</v>
      </c>
      <c r="D74" s="38">
        <v>0</v>
      </c>
      <c r="E74" s="38">
        <v>0</v>
      </c>
      <c r="F74" s="38">
        <v>101.54</v>
      </c>
      <c r="G74" s="38">
        <v>232.38</v>
      </c>
      <c r="H74" s="38">
        <v>0</v>
      </c>
      <c r="I74" s="38">
        <v>333.92</v>
      </c>
      <c r="J74" s="13"/>
    </row>
    <row r="75" spans="1:10" ht="22.5" customHeight="1" x14ac:dyDescent="0.3">
      <c r="A75" s="536" t="s">
        <v>234</v>
      </c>
      <c r="B75" s="138" t="s">
        <v>235</v>
      </c>
      <c r="C75" s="83">
        <v>0</v>
      </c>
      <c r="D75" s="83">
        <v>0</v>
      </c>
      <c r="E75" s="83">
        <v>0</v>
      </c>
      <c r="F75" s="83">
        <v>0</v>
      </c>
      <c r="G75" s="83">
        <v>0</v>
      </c>
      <c r="H75" s="83">
        <v>306.5</v>
      </c>
      <c r="I75" s="83">
        <v>306.5</v>
      </c>
      <c r="J75" s="13"/>
    </row>
    <row r="76" spans="1:10" ht="22.5" customHeight="1" x14ac:dyDescent="0.3">
      <c r="A76" s="536"/>
      <c r="B76" s="39" t="s">
        <v>236</v>
      </c>
      <c r="C76" s="38">
        <v>0</v>
      </c>
      <c r="D76" s="38">
        <v>0</v>
      </c>
      <c r="E76" s="38">
        <v>0</v>
      </c>
      <c r="F76" s="38">
        <v>0</v>
      </c>
      <c r="G76" s="38">
        <v>0</v>
      </c>
      <c r="H76" s="38">
        <v>306.5</v>
      </c>
      <c r="I76" s="38">
        <v>306.5</v>
      </c>
      <c r="J76" s="13"/>
    </row>
    <row r="77" spans="1:10" ht="22.5" customHeight="1" x14ac:dyDescent="0.3">
      <c r="A77" s="6" t="s">
        <v>455</v>
      </c>
      <c r="B77" s="86" t="s">
        <v>644</v>
      </c>
      <c r="C77" s="83">
        <v>3497.0549999999998</v>
      </c>
      <c r="D77" s="83">
        <v>1529.01</v>
      </c>
      <c r="E77" s="83">
        <v>42.58</v>
      </c>
      <c r="F77" s="83">
        <v>3141.2609000000002</v>
      </c>
      <c r="G77" s="83">
        <v>232.38</v>
      </c>
      <c r="H77" s="83">
        <v>455.5</v>
      </c>
      <c r="I77" s="83">
        <v>8897.7859000000008</v>
      </c>
      <c r="J77" s="13"/>
    </row>
    <row r="78" spans="1:10" ht="22.5" customHeight="1" x14ac:dyDescent="0.25">
      <c r="A78" s="532" t="s">
        <v>871</v>
      </c>
      <c r="B78" s="532"/>
      <c r="C78" s="532"/>
      <c r="D78" s="532"/>
      <c r="E78" s="532"/>
      <c r="F78" s="532"/>
      <c r="G78" s="532"/>
      <c r="H78" s="532"/>
      <c r="I78" s="532"/>
    </row>
    <row r="79" spans="1:10" ht="22.5" customHeight="1" x14ac:dyDescent="0.25">
      <c r="A79" s="598"/>
      <c r="B79" s="598"/>
      <c r="C79" s="598"/>
      <c r="D79" s="598"/>
      <c r="E79" s="598"/>
      <c r="F79" s="598"/>
      <c r="G79" s="598"/>
      <c r="H79" s="598"/>
      <c r="I79" s="598"/>
    </row>
    <row r="80" spans="1:10" ht="22.5" customHeight="1" x14ac:dyDescent="0.25"/>
    <row r="81" spans="1:10" ht="22.5" customHeight="1" x14ac:dyDescent="0.25"/>
    <row r="82" spans="1:10" ht="22.5" customHeight="1" x14ac:dyDescent="0.3">
      <c r="C82" s="554" t="s">
        <v>864</v>
      </c>
      <c r="D82" s="556"/>
      <c r="E82" s="554" t="s">
        <v>865</v>
      </c>
      <c r="F82" s="556"/>
      <c r="G82" s="634" t="s">
        <v>872</v>
      </c>
      <c r="H82" s="634"/>
      <c r="I82" s="638" t="s">
        <v>318</v>
      </c>
      <c r="J82" s="13"/>
    </row>
    <row r="83" spans="1:10" ht="49.2" customHeight="1" x14ac:dyDescent="0.3">
      <c r="A83" s="4" t="s">
        <v>110</v>
      </c>
      <c r="B83" s="5" t="s">
        <v>207</v>
      </c>
      <c r="C83" s="115" t="s">
        <v>867</v>
      </c>
      <c r="D83" s="115" t="s">
        <v>868</v>
      </c>
      <c r="E83" s="115" t="s">
        <v>867</v>
      </c>
      <c r="F83" s="115" t="s">
        <v>868</v>
      </c>
      <c r="G83" s="115" t="s">
        <v>867</v>
      </c>
      <c r="H83" s="115" t="s">
        <v>868</v>
      </c>
      <c r="I83" s="639"/>
      <c r="J83" s="13"/>
    </row>
    <row r="84" spans="1:10" ht="20.85" customHeight="1" x14ac:dyDescent="0.3">
      <c r="A84" s="536" t="s">
        <v>245</v>
      </c>
      <c r="B84" s="138" t="s">
        <v>246</v>
      </c>
      <c r="C84" s="83">
        <v>0</v>
      </c>
      <c r="D84" s="83">
        <v>1288.05</v>
      </c>
      <c r="E84" s="83">
        <v>7.02</v>
      </c>
      <c r="F84" s="83">
        <v>1813.17</v>
      </c>
      <c r="G84" s="83">
        <v>0</v>
      </c>
      <c r="H84" s="83">
        <v>0</v>
      </c>
      <c r="I84" s="83">
        <v>3108.24</v>
      </c>
      <c r="J84" s="13"/>
    </row>
    <row r="85" spans="1:10" ht="22.5" customHeight="1" x14ac:dyDescent="0.3">
      <c r="A85" s="536"/>
      <c r="B85" s="39" t="s">
        <v>514</v>
      </c>
      <c r="C85" s="38">
        <v>0</v>
      </c>
      <c r="D85" s="38">
        <v>24.48</v>
      </c>
      <c r="E85" s="38">
        <v>7.02</v>
      </c>
      <c r="F85" s="38">
        <v>1813.17</v>
      </c>
      <c r="G85" s="38">
        <v>0</v>
      </c>
      <c r="H85" s="38">
        <v>0</v>
      </c>
      <c r="I85" s="38">
        <v>1844.67</v>
      </c>
      <c r="J85" s="13"/>
    </row>
    <row r="86" spans="1:10" ht="22.5" customHeight="1" x14ac:dyDescent="0.3">
      <c r="A86" s="536"/>
      <c r="B86" s="39" t="s">
        <v>247</v>
      </c>
      <c r="C86" s="38">
        <v>0</v>
      </c>
      <c r="D86" s="38">
        <v>1263.57</v>
      </c>
      <c r="E86" s="38">
        <v>0</v>
      </c>
      <c r="F86" s="38">
        <v>0</v>
      </c>
      <c r="G86" s="38">
        <v>0</v>
      </c>
      <c r="H86" s="38">
        <v>0</v>
      </c>
      <c r="I86" s="38">
        <v>1263.57</v>
      </c>
      <c r="J86" s="13"/>
    </row>
    <row r="87" spans="1:10" ht="22.5" customHeight="1" x14ac:dyDescent="0.3">
      <c r="A87" s="536" t="s">
        <v>251</v>
      </c>
      <c r="B87" s="138" t="s">
        <v>252</v>
      </c>
      <c r="C87" s="83">
        <v>0</v>
      </c>
      <c r="D87" s="83">
        <v>0</v>
      </c>
      <c r="E87" s="83">
        <v>0</v>
      </c>
      <c r="F87" s="83">
        <v>4392.3652300000003</v>
      </c>
      <c r="G87" s="83">
        <v>0</v>
      </c>
      <c r="H87" s="83">
        <v>0</v>
      </c>
      <c r="I87" s="83">
        <v>4392.3652300000003</v>
      </c>
      <c r="J87" s="13"/>
    </row>
    <row r="88" spans="1:10" ht="22.5" customHeight="1" x14ac:dyDescent="0.3">
      <c r="A88" s="536"/>
      <c r="B88" s="39" t="s">
        <v>253</v>
      </c>
      <c r="C88" s="38">
        <v>0</v>
      </c>
      <c r="D88" s="38">
        <v>0</v>
      </c>
      <c r="E88" s="38">
        <v>0</v>
      </c>
      <c r="F88" s="38">
        <v>4392.22</v>
      </c>
      <c r="G88" s="38">
        <v>0</v>
      </c>
      <c r="H88" s="38">
        <v>0</v>
      </c>
      <c r="I88" s="38">
        <v>4392.22</v>
      </c>
      <c r="J88" s="13"/>
    </row>
    <row r="89" spans="1:10" ht="22.5" customHeight="1" x14ac:dyDescent="0.3">
      <c r="A89" s="536"/>
      <c r="B89" s="39" t="s">
        <v>256</v>
      </c>
      <c r="C89" s="38">
        <v>0</v>
      </c>
      <c r="D89" s="38">
        <v>0</v>
      </c>
      <c r="E89" s="38">
        <v>0</v>
      </c>
      <c r="F89" s="38">
        <v>0.14523</v>
      </c>
      <c r="G89" s="38">
        <v>0</v>
      </c>
      <c r="H89" s="38">
        <v>0</v>
      </c>
      <c r="I89" s="38">
        <v>0.14523</v>
      </c>
      <c r="J89" s="13"/>
    </row>
    <row r="90" spans="1:10" ht="22.5" customHeight="1" x14ac:dyDescent="0.3">
      <c r="A90" s="536" t="s">
        <v>213</v>
      </c>
      <c r="B90" s="138" t="s">
        <v>328</v>
      </c>
      <c r="C90" s="83">
        <v>0</v>
      </c>
      <c r="D90" s="83">
        <v>5</v>
      </c>
      <c r="E90" s="83">
        <v>0</v>
      </c>
      <c r="F90" s="83">
        <v>40</v>
      </c>
      <c r="G90" s="83">
        <v>0</v>
      </c>
      <c r="H90" s="83">
        <v>0</v>
      </c>
      <c r="I90" s="83">
        <v>45</v>
      </c>
      <c r="J90" s="13"/>
    </row>
    <row r="91" spans="1:10" ht="22.5" customHeight="1" x14ac:dyDescent="0.3">
      <c r="A91" s="536"/>
      <c r="B91" s="85" t="s">
        <v>453</v>
      </c>
      <c r="C91" s="38">
        <v>0</v>
      </c>
      <c r="D91" s="38">
        <v>5</v>
      </c>
      <c r="E91" s="38">
        <v>0</v>
      </c>
      <c r="F91" s="38">
        <v>40</v>
      </c>
      <c r="G91" s="38">
        <v>0</v>
      </c>
      <c r="H91" s="38">
        <v>0</v>
      </c>
      <c r="I91" s="38">
        <v>45</v>
      </c>
      <c r="J91" s="13"/>
    </row>
    <row r="92" spans="1:10" ht="22.5" customHeight="1" x14ac:dyDescent="0.3">
      <c r="A92" s="536"/>
      <c r="B92" s="138" t="s">
        <v>214</v>
      </c>
      <c r="C92" s="83">
        <v>118</v>
      </c>
      <c r="D92" s="83">
        <v>0</v>
      </c>
      <c r="E92" s="83">
        <v>0</v>
      </c>
      <c r="F92" s="83">
        <v>3381</v>
      </c>
      <c r="G92" s="83">
        <v>0</v>
      </c>
      <c r="H92" s="83">
        <v>0</v>
      </c>
      <c r="I92" s="83">
        <v>3499</v>
      </c>
      <c r="J92" s="13"/>
    </row>
    <row r="93" spans="1:10" ht="22.5" customHeight="1" x14ac:dyDescent="0.3">
      <c r="A93" s="536"/>
      <c r="B93" s="85" t="s">
        <v>215</v>
      </c>
      <c r="C93" s="38">
        <v>118</v>
      </c>
      <c r="D93" s="38">
        <v>0</v>
      </c>
      <c r="E93" s="38">
        <v>0</v>
      </c>
      <c r="F93" s="38">
        <v>3381</v>
      </c>
      <c r="G93" s="38">
        <v>0</v>
      </c>
      <c r="H93" s="38">
        <v>0</v>
      </c>
      <c r="I93" s="38">
        <v>3499</v>
      </c>
      <c r="J93" s="13"/>
    </row>
    <row r="94" spans="1:10" ht="22.5" customHeight="1" x14ac:dyDescent="0.3">
      <c r="A94" s="536"/>
      <c r="B94" s="138" t="s">
        <v>265</v>
      </c>
      <c r="C94" s="83">
        <v>0</v>
      </c>
      <c r="D94" s="83">
        <v>0</v>
      </c>
      <c r="E94" s="83">
        <v>22</v>
      </c>
      <c r="F94" s="83">
        <v>1679.779</v>
      </c>
      <c r="G94" s="83">
        <v>0</v>
      </c>
      <c r="H94" s="83">
        <v>0</v>
      </c>
      <c r="I94" s="83">
        <v>1701.779</v>
      </c>
      <c r="J94" s="13"/>
    </row>
    <row r="95" spans="1:10" ht="22.5" customHeight="1" x14ac:dyDescent="0.3">
      <c r="A95" s="536"/>
      <c r="B95" s="150" t="s">
        <v>266</v>
      </c>
      <c r="C95" s="38">
        <v>0</v>
      </c>
      <c r="D95" s="38">
        <v>0</v>
      </c>
      <c r="E95" s="38">
        <v>22</v>
      </c>
      <c r="F95" s="38">
        <v>1679.779</v>
      </c>
      <c r="G95" s="38">
        <v>0</v>
      </c>
      <c r="H95" s="38">
        <v>0</v>
      </c>
      <c r="I95" s="38">
        <v>1701.779</v>
      </c>
      <c r="J95" s="13"/>
    </row>
    <row r="96" spans="1:10" ht="22.5" customHeight="1" x14ac:dyDescent="0.3">
      <c r="A96" s="536" t="s">
        <v>224</v>
      </c>
      <c r="B96" s="151" t="s">
        <v>225</v>
      </c>
      <c r="C96" s="83">
        <v>177.2</v>
      </c>
      <c r="D96" s="83">
        <v>2.42</v>
      </c>
      <c r="E96" s="83">
        <v>31.63</v>
      </c>
      <c r="F96" s="83">
        <v>3451.03</v>
      </c>
      <c r="G96" s="83">
        <v>255.6</v>
      </c>
      <c r="H96" s="83">
        <v>0</v>
      </c>
      <c r="I96" s="83">
        <v>3917.88</v>
      </c>
      <c r="J96" s="13"/>
    </row>
    <row r="97" spans="1:12" ht="22.5" customHeight="1" x14ac:dyDescent="0.3">
      <c r="A97" s="536"/>
      <c r="B97" s="39" t="s">
        <v>226</v>
      </c>
      <c r="C97" s="38">
        <v>0</v>
      </c>
      <c r="D97" s="38">
        <v>0</v>
      </c>
      <c r="E97" s="38">
        <v>31.63</v>
      </c>
      <c r="F97" s="38">
        <v>1278.2</v>
      </c>
      <c r="G97" s="38">
        <v>255.6</v>
      </c>
      <c r="H97" s="38">
        <v>0</v>
      </c>
      <c r="I97" s="38">
        <v>1565.43</v>
      </c>
      <c r="J97" s="13"/>
    </row>
    <row r="98" spans="1:12" ht="22.5" customHeight="1" x14ac:dyDescent="0.3">
      <c r="A98" s="536"/>
      <c r="B98" s="39" t="s">
        <v>454</v>
      </c>
      <c r="C98" s="38">
        <v>0</v>
      </c>
      <c r="D98" s="38">
        <v>0.62</v>
      </c>
      <c r="E98" s="38">
        <v>0</v>
      </c>
      <c r="F98" s="38">
        <v>804.03</v>
      </c>
      <c r="G98" s="38">
        <v>0</v>
      </c>
      <c r="H98" s="38">
        <v>0</v>
      </c>
      <c r="I98" s="38">
        <v>804.65</v>
      </c>
      <c r="J98" s="13"/>
    </row>
    <row r="99" spans="1:12" ht="22.5" customHeight="1" x14ac:dyDescent="0.3">
      <c r="A99" s="536"/>
      <c r="B99" s="39" t="s">
        <v>230</v>
      </c>
      <c r="C99" s="38">
        <v>177.2</v>
      </c>
      <c r="D99" s="38">
        <v>1.8</v>
      </c>
      <c r="E99" s="38">
        <v>0</v>
      </c>
      <c r="F99" s="38">
        <v>1368.8</v>
      </c>
      <c r="G99" s="38">
        <v>0</v>
      </c>
      <c r="H99" s="38">
        <v>0</v>
      </c>
      <c r="I99" s="38">
        <v>1547.8</v>
      </c>
      <c r="J99" s="13"/>
    </row>
    <row r="100" spans="1:12" ht="22.5" customHeight="1" x14ac:dyDescent="0.3">
      <c r="A100" s="536"/>
      <c r="B100" s="138" t="s">
        <v>276</v>
      </c>
      <c r="C100" s="83">
        <v>0</v>
      </c>
      <c r="D100" s="83">
        <v>0</v>
      </c>
      <c r="E100" s="83">
        <v>0</v>
      </c>
      <c r="F100" s="83">
        <v>311.673</v>
      </c>
      <c r="G100" s="83">
        <v>0</v>
      </c>
      <c r="H100" s="83">
        <v>0</v>
      </c>
      <c r="I100" s="83">
        <v>311.673</v>
      </c>
      <c r="J100" s="13"/>
    </row>
    <row r="101" spans="1:12" ht="22.5" customHeight="1" x14ac:dyDescent="0.3">
      <c r="A101" s="536"/>
      <c r="B101" s="39" t="s">
        <v>277</v>
      </c>
      <c r="C101" s="38">
        <v>0</v>
      </c>
      <c r="D101" s="38">
        <v>0</v>
      </c>
      <c r="E101" s="38">
        <v>0</v>
      </c>
      <c r="F101" s="38">
        <v>311.673</v>
      </c>
      <c r="G101" s="38">
        <v>0</v>
      </c>
      <c r="H101" s="38">
        <v>0</v>
      </c>
      <c r="I101" s="38">
        <v>311.673</v>
      </c>
      <c r="J101" s="13"/>
    </row>
    <row r="102" spans="1:12" ht="22.5" customHeight="1" x14ac:dyDescent="0.3">
      <c r="A102" s="536" t="s">
        <v>234</v>
      </c>
      <c r="B102" s="138" t="s">
        <v>235</v>
      </c>
      <c r="C102" s="83">
        <v>0</v>
      </c>
      <c r="D102" s="83">
        <v>0</v>
      </c>
      <c r="E102" s="83">
        <v>1062.0999999999999</v>
      </c>
      <c r="F102" s="83">
        <v>2646.4</v>
      </c>
      <c r="G102" s="83">
        <v>0</v>
      </c>
      <c r="H102" s="83">
        <v>177.3</v>
      </c>
      <c r="I102" s="83">
        <v>3885.8</v>
      </c>
      <c r="J102" s="13"/>
    </row>
    <row r="103" spans="1:12" ht="22.5" customHeight="1" x14ac:dyDescent="0.3">
      <c r="A103" s="536"/>
      <c r="B103" s="85" t="s">
        <v>236</v>
      </c>
      <c r="C103" s="38">
        <v>0</v>
      </c>
      <c r="D103" s="38">
        <v>0</v>
      </c>
      <c r="E103" s="38">
        <v>1062.0999999999999</v>
      </c>
      <c r="F103" s="38">
        <v>2646.4</v>
      </c>
      <c r="G103" s="38">
        <v>0</v>
      </c>
      <c r="H103" s="38">
        <v>177.3</v>
      </c>
      <c r="I103" s="38">
        <v>3885.8</v>
      </c>
      <c r="J103" s="13"/>
    </row>
    <row r="104" spans="1:12" ht="22.5" customHeight="1" x14ac:dyDescent="0.3">
      <c r="A104" s="6" t="s">
        <v>455</v>
      </c>
      <c r="B104" s="86" t="s">
        <v>644</v>
      </c>
      <c r="C104" s="83">
        <v>295.2</v>
      </c>
      <c r="D104" s="83">
        <v>1295.47</v>
      </c>
      <c r="E104" s="83">
        <v>1122.75</v>
      </c>
      <c r="F104" s="83">
        <v>17715.417229999999</v>
      </c>
      <c r="G104" s="83">
        <v>255.6</v>
      </c>
      <c r="H104" s="83">
        <v>177.3</v>
      </c>
      <c r="I104" s="83">
        <v>20861.737229999999</v>
      </c>
      <c r="J104" s="13"/>
    </row>
    <row r="105" spans="1:12" ht="22.5" customHeight="1" x14ac:dyDescent="0.25">
      <c r="A105" s="532" t="s">
        <v>873</v>
      </c>
      <c r="B105" s="532"/>
      <c r="C105" s="532"/>
      <c r="D105" s="532"/>
      <c r="E105" s="532"/>
      <c r="F105" s="532"/>
      <c r="G105" s="532"/>
      <c r="H105" s="532"/>
      <c r="I105" s="532"/>
    </row>
    <row r="106" spans="1:12" ht="22.5" customHeight="1" x14ac:dyDescent="0.25">
      <c r="A106" s="598"/>
      <c r="B106" s="598"/>
      <c r="C106" s="598"/>
      <c r="D106" s="598"/>
      <c r="E106" s="598"/>
      <c r="F106" s="598"/>
      <c r="G106" s="598"/>
      <c r="H106" s="598"/>
      <c r="I106" s="598"/>
    </row>
    <row r="107" spans="1:12" ht="22.5" customHeight="1" x14ac:dyDescent="0.3">
      <c r="B107" s="2"/>
      <c r="C107" s="2"/>
      <c r="D107" s="2"/>
      <c r="E107" s="2"/>
      <c r="F107" s="2"/>
      <c r="G107" s="2"/>
      <c r="H107" s="2"/>
      <c r="I107" s="2"/>
    </row>
    <row r="108" spans="1:12" ht="22.5" customHeight="1" x14ac:dyDescent="0.3">
      <c r="B108" s="2"/>
      <c r="C108" s="64"/>
      <c r="D108" s="64"/>
      <c r="E108" s="64"/>
      <c r="F108" s="64"/>
      <c r="G108" s="64"/>
      <c r="H108" s="64"/>
      <c r="I108" s="64"/>
    </row>
    <row r="109" spans="1:12" ht="26.7" customHeight="1" x14ac:dyDescent="0.3">
      <c r="C109" s="634" t="s">
        <v>874</v>
      </c>
      <c r="D109" s="634"/>
      <c r="E109" s="634" t="s">
        <v>875</v>
      </c>
      <c r="F109" s="634"/>
      <c r="G109" s="634" t="s">
        <v>876</v>
      </c>
      <c r="H109" s="634"/>
      <c r="I109" s="634" t="s">
        <v>877</v>
      </c>
      <c r="J109" s="634"/>
      <c r="K109" s="636" t="s">
        <v>318</v>
      </c>
      <c r="L109" s="13"/>
    </row>
    <row r="110" spans="1:12" ht="42.6" customHeight="1" x14ac:dyDescent="0.3">
      <c r="A110" s="4" t="s">
        <v>878</v>
      </c>
      <c r="B110" s="5" t="s">
        <v>207</v>
      </c>
      <c r="C110" s="115" t="s">
        <v>867</v>
      </c>
      <c r="D110" s="115" t="s">
        <v>868</v>
      </c>
      <c r="E110" s="115" t="s">
        <v>867</v>
      </c>
      <c r="F110" s="115" t="s">
        <v>868</v>
      </c>
      <c r="G110" s="115" t="s">
        <v>867</v>
      </c>
      <c r="H110" s="115" t="s">
        <v>868</v>
      </c>
      <c r="I110" s="115" t="s">
        <v>867</v>
      </c>
      <c r="J110" s="115" t="s">
        <v>868</v>
      </c>
      <c r="K110" s="637"/>
      <c r="L110" s="13"/>
    </row>
    <row r="111" spans="1:12" ht="22.5" customHeight="1" x14ac:dyDescent="0.3">
      <c r="A111" s="536" t="s">
        <v>245</v>
      </c>
      <c r="B111" s="138" t="s">
        <v>246</v>
      </c>
      <c r="C111" s="83">
        <v>0</v>
      </c>
      <c r="D111" s="83">
        <v>0</v>
      </c>
      <c r="E111" s="83">
        <v>19.010000000000002</v>
      </c>
      <c r="F111" s="83">
        <v>28.32</v>
      </c>
      <c r="G111" s="83">
        <v>0</v>
      </c>
      <c r="H111" s="83">
        <v>8.9700000000000006</v>
      </c>
      <c r="I111" s="83">
        <v>0</v>
      </c>
      <c r="J111" s="83">
        <v>0.68</v>
      </c>
      <c r="K111" s="83">
        <v>56.98</v>
      </c>
      <c r="L111" s="13"/>
    </row>
    <row r="112" spans="1:12" ht="22.5" customHeight="1" x14ac:dyDescent="0.3">
      <c r="A112" s="536"/>
      <c r="B112" s="39" t="s">
        <v>514</v>
      </c>
      <c r="C112" s="38">
        <v>0</v>
      </c>
      <c r="D112" s="38">
        <v>0</v>
      </c>
      <c r="E112" s="38">
        <v>18.46</v>
      </c>
      <c r="F112" s="38">
        <v>19.399999999999999</v>
      </c>
      <c r="G112" s="38">
        <v>0</v>
      </c>
      <c r="H112" s="38">
        <v>0</v>
      </c>
      <c r="I112" s="38">
        <v>0</v>
      </c>
      <c r="J112" s="38">
        <v>0.68</v>
      </c>
      <c r="K112" s="38">
        <v>38.54</v>
      </c>
      <c r="L112" s="13"/>
    </row>
    <row r="113" spans="1:12" ht="22.5" customHeight="1" x14ac:dyDescent="0.3">
      <c r="A113" s="536"/>
      <c r="B113" s="39" t="s">
        <v>247</v>
      </c>
      <c r="C113" s="38">
        <v>0</v>
      </c>
      <c r="D113" s="38">
        <v>0</v>
      </c>
      <c r="E113" s="38">
        <v>0.55000000000000004</v>
      </c>
      <c r="F113" s="38">
        <v>8.92</v>
      </c>
      <c r="G113" s="38">
        <v>0</v>
      </c>
      <c r="H113" s="38">
        <v>8.9700000000000006</v>
      </c>
      <c r="I113" s="38">
        <v>0</v>
      </c>
      <c r="J113" s="38">
        <v>0</v>
      </c>
      <c r="K113" s="38">
        <v>18.440000000000001</v>
      </c>
      <c r="L113" s="13"/>
    </row>
    <row r="114" spans="1:12" ht="22.5" customHeight="1" x14ac:dyDescent="0.3">
      <c r="A114" s="536" t="s">
        <v>251</v>
      </c>
      <c r="B114" s="138" t="s">
        <v>252</v>
      </c>
      <c r="C114" s="83">
        <v>0</v>
      </c>
      <c r="D114" s="83">
        <v>0</v>
      </c>
      <c r="E114" s="83">
        <v>114.6546</v>
      </c>
      <c r="F114" s="83">
        <v>0.67600000000000005</v>
      </c>
      <c r="G114" s="83">
        <v>0</v>
      </c>
      <c r="H114" s="83">
        <v>334</v>
      </c>
      <c r="I114" s="83">
        <v>1885.95</v>
      </c>
      <c r="J114" s="83">
        <v>267.92</v>
      </c>
      <c r="K114" s="83">
        <v>2603.2006000000001</v>
      </c>
      <c r="L114" s="13"/>
    </row>
    <row r="115" spans="1:12" ht="22.5" customHeight="1" x14ac:dyDescent="0.3">
      <c r="A115" s="536"/>
      <c r="B115" s="39" t="s">
        <v>253</v>
      </c>
      <c r="C115" s="38">
        <v>0</v>
      </c>
      <c r="D115" s="38">
        <v>0</v>
      </c>
      <c r="E115" s="38">
        <v>0</v>
      </c>
      <c r="F115" s="38">
        <v>0.67600000000000005</v>
      </c>
      <c r="G115" s="38">
        <v>0</v>
      </c>
      <c r="H115" s="38">
        <v>334</v>
      </c>
      <c r="I115" s="38">
        <v>1885.95</v>
      </c>
      <c r="J115" s="38">
        <v>257.22000000000003</v>
      </c>
      <c r="K115" s="38">
        <v>2477.846</v>
      </c>
      <c r="L115" s="13"/>
    </row>
    <row r="116" spans="1:12" ht="22.5" customHeight="1" x14ac:dyDescent="0.3">
      <c r="A116" s="536"/>
      <c r="B116" s="39" t="s">
        <v>256</v>
      </c>
      <c r="C116" s="38">
        <v>0</v>
      </c>
      <c r="D116" s="38">
        <v>0</v>
      </c>
      <c r="E116" s="38">
        <v>114.6546</v>
      </c>
      <c r="F116" s="38">
        <v>0</v>
      </c>
      <c r="G116" s="38">
        <v>0</v>
      </c>
      <c r="H116" s="38">
        <v>0</v>
      </c>
      <c r="I116" s="38">
        <v>0</v>
      </c>
      <c r="J116" s="38">
        <v>10.7</v>
      </c>
      <c r="K116" s="38">
        <v>125.3546</v>
      </c>
      <c r="L116" s="13"/>
    </row>
    <row r="117" spans="1:12" ht="22.5" customHeight="1" x14ac:dyDescent="0.3">
      <c r="A117" s="536" t="s">
        <v>213</v>
      </c>
      <c r="B117" s="138" t="s">
        <v>328</v>
      </c>
      <c r="C117" s="83">
        <v>0</v>
      </c>
      <c r="D117" s="83">
        <v>85</v>
      </c>
      <c r="E117" s="83">
        <v>0</v>
      </c>
      <c r="F117" s="83">
        <v>379</v>
      </c>
      <c r="G117" s="83">
        <v>0</v>
      </c>
      <c r="H117" s="83">
        <v>1045</v>
      </c>
      <c r="I117" s="83">
        <v>0</v>
      </c>
      <c r="J117" s="83">
        <v>0</v>
      </c>
      <c r="K117" s="83">
        <v>1509</v>
      </c>
      <c r="L117" s="13"/>
    </row>
    <row r="118" spans="1:12" ht="22.5" customHeight="1" x14ac:dyDescent="0.3">
      <c r="A118" s="536"/>
      <c r="B118" s="85" t="s">
        <v>453</v>
      </c>
      <c r="C118" s="38">
        <v>0</v>
      </c>
      <c r="D118" s="38">
        <v>85</v>
      </c>
      <c r="E118" s="38">
        <v>0</v>
      </c>
      <c r="F118" s="38">
        <v>379</v>
      </c>
      <c r="G118" s="38">
        <v>0</v>
      </c>
      <c r="H118" s="38">
        <v>1045</v>
      </c>
      <c r="I118" s="38">
        <v>0</v>
      </c>
      <c r="J118" s="38">
        <v>0</v>
      </c>
      <c r="K118" s="38">
        <v>1509</v>
      </c>
      <c r="L118" s="13"/>
    </row>
    <row r="119" spans="1:12" ht="22.5" customHeight="1" x14ac:dyDescent="0.3">
      <c r="A119" s="536"/>
      <c r="B119" s="138" t="s">
        <v>214</v>
      </c>
      <c r="C119" s="83">
        <v>0</v>
      </c>
      <c r="D119" s="83">
        <v>0</v>
      </c>
      <c r="E119" s="83">
        <v>0</v>
      </c>
      <c r="F119" s="83">
        <v>0</v>
      </c>
      <c r="G119" s="83">
        <v>0</v>
      </c>
      <c r="H119" s="83">
        <v>946.17</v>
      </c>
      <c r="I119" s="83">
        <v>99.5</v>
      </c>
      <c r="J119" s="83">
        <v>0</v>
      </c>
      <c r="K119" s="83">
        <v>1045.67</v>
      </c>
      <c r="L119" s="13"/>
    </row>
    <row r="120" spans="1:12" ht="22.5" customHeight="1" x14ac:dyDescent="0.3">
      <c r="A120" s="536"/>
      <c r="B120" s="85" t="s">
        <v>215</v>
      </c>
      <c r="C120" s="38">
        <v>0</v>
      </c>
      <c r="D120" s="38">
        <v>0</v>
      </c>
      <c r="E120" s="38">
        <v>0</v>
      </c>
      <c r="F120" s="38">
        <v>0</v>
      </c>
      <c r="G120" s="38">
        <v>0</v>
      </c>
      <c r="H120" s="38">
        <v>946.17</v>
      </c>
      <c r="I120" s="38">
        <v>99.5</v>
      </c>
      <c r="J120" s="38">
        <v>0</v>
      </c>
      <c r="K120" s="38">
        <v>1045.67</v>
      </c>
      <c r="L120" s="13"/>
    </row>
    <row r="121" spans="1:12" ht="22.5" customHeight="1" x14ac:dyDescent="0.3">
      <c r="A121" s="536"/>
      <c r="B121" s="138" t="s">
        <v>265</v>
      </c>
      <c r="C121" s="83">
        <v>0</v>
      </c>
      <c r="D121" s="83">
        <v>0</v>
      </c>
      <c r="E121" s="83">
        <v>220.405</v>
      </c>
      <c r="F121" s="83">
        <v>166.90899999999999</v>
      </c>
      <c r="G121" s="83">
        <v>820.625</v>
      </c>
      <c r="H121" s="83">
        <v>0</v>
      </c>
      <c r="I121" s="83">
        <v>0</v>
      </c>
      <c r="J121" s="83">
        <v>0</v>
      </c>
      <c r="K121" s="83">
        <v>1207.9390000000001</v>
      </c>
      <c r="L121" s="13"/>
    </row>
    <row r="122" spans="1:12" ht="22.5" customHeight="1" x14ac:dyDescent="0.3">
      <c r="A122" s="536"/>
      <c r="B122" s="85" t="s">
        <v>266</v>
      </c>
      <c r="C122" s="38">
        <v>0</v>
      </c>
      <c r="D122" s="38">
        <v>0</v>
      </c>
      <c r="E122" s="38">
        <v>220.405</v>
      </c>
      <c r="F122" s="38">
        <v>166.90899999999999</v>
      </c>
      <c r="G122" s="38">
        <v>820.625</v>
      </c>
      <c r="H122" s="38">
        <v>0</v>
      </c>
      <c r="I122" s="38">
        <v>0</v>
      </c>
      <c r="J122" s="38">
        <v>0</v>
      </c>
      <c r="K122" s="38">
        <v>1207.9390000000001</v>
      </c>
      <c r="L122" s="13"/>
    </row>
    <row r="123" spans="1:12" ht="22.5" customHeight="1" x14ac:dyDescent="0.3">
      <c r="A123" s="536" t="s">
        <v>224</v>
      </c>
      <c r="B123" s="138" t="s">
        <v>225</v>
      </c>
      <c r="C123" s="83">
        <v>0</v>
      </c>
      <c r="D123" s="83">
        <v>0</v>
      </c>
      <c r="E123" s="83">
        <v>0</v>
      </c>
      <c r="F123" s="83">
        <v>0</v>
      </c>
      <c r="G123" s="83">
        <v>0</v>
      </c>
      <c r="H123" s="83">
        <v>454.56</v>
      </c>
      <c r="I123" s="83">
        <v>0</v>
      </c>
      <c r="J123" s="83">
        <v>56.04</v>
      </c>
      <c r="K123" s="83">
        <v>510.6</v>
      </c>
      <c r="L123" s="13"/>
    </row>
    <row r="124" spans="1:12" ht="22.5" customHeight="1" x14ac:dyDescent="0.3">
      <c r="A124" s="536"/>
      <c r="B124" s="39" t="s">
        <v>226</v>
      </c>
      <c r="C124" s="38">
        <v>0</v>
      </c>
      <c r="D124" s="38">
        <v>0</v>
      </c>
      <c r="E124" s="38">
        <v>0</v>
      </c>
      <c r="F124" s="38">
        <v>0</v>
      </c>
      <c r="G124" s="38">
        <v>0</v>
      </c>
      <c r="H124" s="38">
        <v>230.56</v>
      </c>
      <c r="I124" s="38">
        <v>0</v>
      </c>
      <c r="J124" s="38">
        <v>0</v>
      </c>
      <c r="K124" s="38">
        <v>230.56</v>
      </c>
      <c r="L124" s="13"/>
    </row>
    <row r="125" spans="1:12" ht="22.5" customHeight="1" x14ac:dyDescent="0.3">
      <c r="A125" s="536"/>
      <c r="B125" s="39" t="s">
        <v>454</v>
      </c>
      <c r="C125" s="38">
        <v>0</v>
      </c>
      <c r="D125" s="38">
        <v>0</v>
      </c>
      <c r="E125" s="38">
        <v>0</v>
      </c>
      <c r="F125" s="38">
        <v>0</v>
      </c>
      <c r="G125" s="38">
        <v>0</v>
      </c>
      <c r="H125" s="38">
        <v>0</v>
      </c>
      <c r="I125" s="38">
        <v>0</v>
      </c>
      <c r="J125" s="38">
        <v>56.04</v>
      </c>
      <c r="K125" s="38">
        <v>56.04</v>
      </c>
      <c r="L125" s="13"/>
    </row>
    <row r="126" spans="1:12" ht="22.5" customHeight="1" x14ac:dyDescent="0.3">
      <c r="A126" s="536"/>
      <c r="B126" s="39" t="s">
        <v>230</v>
      </c>
      <c r="C126" s="38">
        <v>0</v>
      </c>
      <c r="D126" s="38">
        <v>0</v>
      </c>
      <c r="E126" s="38">
        <v>0</v>
      </c>
      <c r="F126" s="38">
        <v>0</v>
      </c>
      <c r="G126" s="38">
        <v>0</v>
      </c>
      <c r="H126" s="38">
        <v>224</v>
      </c>
      <c r="I126" s="38">
        <v>0</v>
      </c>
      <c r="J126" s="38">
        <v>0</v>
      </c>
      <c r="K126" s="38">
        <v>224</v>
      </c>
      <c r="L126" s="13"/>
    </row>
    <row r="127" spans="1:12" ht="22.5" customHeight="1" x14ac:dyDescent="0.3">
      <c r="A127" s="536"/>
      <c r="B127" s="138" t="s">
        <v>276</v>
      </c>
      <c r="C127" s="83">
        <v>232.38</v>
      </c>
      <c r="D127" s="83">
        <v>0</v>
      </c>
      <c r="E127" s="83">
        <v>0</v>
      </c>
      <c r="F127" s="83">
        <v>4.7024999999999997</v>
      </c>
      <c r="G127" s="83">
        <v>0</v>
      </c>
      <c r="H127" s="83">
        <v>34.575960000000002</v>
      </c>
      <c r="I127" s="83">
        <v>0</v>
      </c>
      <c r="J127" s="83">
        <v>0</v>
      </c>
      <c r="K127" s="83">
        <v>271.65845999999999</v>
      </c>
      <c r="L127" s="13"/>
    </row>
    <row r="128" spans="1:12" ht="22.5" customHeight="1" x14ac:dyDescent="0.3">
      <c r="A128" s="536"/>
      <c r="B128" s="39" t="s">
        <v>277</v>
      </c>
      <c r="C128" s="38">
        <v>232.38</v>
      </c>
      <c r="D128" s="38">
        <v>0</v>
      </c>
      <c r="E128" s="38">
        <v>0</v>
      </c>
      <c r="F128" s="38">
        <v>4.7024999999999997</v>
      </c>
      <c r="G128" s="38">
        <v>0</v>
      </c>
      <c r="H128" s="38">
        <v>34.575960000000002</v>
      </c>
      <c r="I128" s="38">
        <v>0</v>
      </c>
      <c r="J128" s="38">
        <v>0</v>
      </c>
      <c r="K128" s="38">
        <v>271.65845999999999</v>
      </c>
      <c r="L128" s="13"/>
    </row>
    <row r="129" spans="1:12" ht="22.5" customHeight="1" x14ac:dyDescent="0.3">
      <c r="A129" s="536" t="s">
        <v>234</v>
      </c>
      <c r="B129" s="138" t="s">
        <v>235</v>
      </c>
      <c r="C129" s="83">
        <v>0</v>
      </c>
      <c r="D129" s="83">
        <v>0</v>
      </c>
      <c r="E129" s="83">
        <v>0</v>
      </c>
      <c r="F129" s="83">
        <v>0</v>
      </c>
      <c r="G129" s="83">
        <v>146.6</v>
      </c>
      <c r="H129" s="83">
        <v>477.4</v>
      </c>
      <c r="I129" s="83">
        <v>0</v>
      </c>
      <c r="J129" s="83">
        <v>0</v>
      </c>
      <c r="K129" s="83">
        <v>624</v>
      </c>
      <c r="L129" s="13"/>
    </row>
    <row r="130" spans="1:12" ht="22.5" customHeight="1" x14ac:dyDescent="0.3">
      <c r="A130" s="536"/>
      <c r="B130" s="85" t="s">
        <v>236</v>
      </c>
      <c r="C130" s="38">
        <v>0</v>
      </c>
      <c r="D130" s="38">
        <v>0</v>
      </c>
      <c r="E130" s="38">
        <v>0</v>
      </c>
      <c r="F130" s="38">
        <v>0</v>
      </c>
      <c r="G130" s="38">
        <v>146.6</v>
      </c>
      <c r="H130" s="38">
        <v>477.4</v>
      </c>
      <c r="I130" s="38">
        <v>0</v>
      </c>
      <c r="J130" s="38">
        <v>0</v>
      </c>
      <c r="K130" s="38">
        <v>624</v>
      </c>
      <c r="L130" s="13"/>
    </row>
    <row r="131" spans="1:12" ht="22.5" customHeight="1" x14ac:dyDescent="0.3">
      <c r="A131" s="6" t="s">
        <v>455</v>
      </c>
      <c r="B131" s="86" t="s">
        <v>644</v>
      </c>
      <c r="C131" s="83">
        <v>232.38</v>
      </c>
      <c r="D131" s="83">
        <v>85</v>
      </c>
      <c r="E131" s="83">
        <v>354.06959999999998</v>
      </c>
      <c r="F131" s="83">
        <v>579.60749999999996</v>
      </c>
      <c r="G131" s="83">
        <v>967.22500000000002</v>
      </c>
      <c r="H131" s="83">
        <v>3300.67596</v>
      </c>
      <c r="I131" s="83">
        <v>1985.45</v>
      </c>
      <c r="J131" s="83">
        <v>324.64</v>
      </c>
      <c r="K131" s="83">
        <v>7829.0480600000001</v>
      </c>
      <c r="L131" s="13"/>
    </row>
    <row r="132" spans="1:12" ht="22.5" customHeight="1" x14ac:dyDescent="0.25">
      <c r="A132" s="546" t="s">
        <v>879</v>
      </c>
      <c r="B132" s="546"/>
      <c r="C132" s="546"/>
      <c r="D132" s="546"/>
      <c r="E132" s="546"/>
      <c r="F132" s="546"/>
      <c r="G132" s="546"/>
      <c r="H132" s="546"/>
      <c r="I132" s="546"/>
      <c r="J132" s="546"/>
      <c r="K132" s="546"/>
    </row>
    <row r="133" spans="1:12" ht="22.5" customHeight="1" x14ac:dyDescent="0.25">
      <c r="A133" s="518"/>
      <c r="B133" s="518"/>
      <c r="C133" s="518"/>
      <c r="D133" s="518"/>
      <c r="E133" s="518"/>
      <c r="F133" s="518"/>
      <c r="G133" s="518"/>
      <c r="H133" s="518"/>
      <c r="I133" s="518"/>
      <c r="J133" s="518"/>
      <c r="K133" s="518"/>
    </row>
    <row r="134" spans="1:12" ht="22.5" customHeight="1" x14ac:dyDescent="0.25"/>
    <row r="135" spans="1:12" ht="22.5" customHeight="1" x14ac:dyDescent="0.25"/>
    <row r="136" spans="1:12" ht="29.1" customHeight="1" x14ac:dyDescent="0.3">
      <c r="C136" s="554" t="s">
        <v>874</v>
      </c>
      <c r="D136" s="556"/>
      <c r="E136" s="554" t="s">
        <v>875</v>
      </c>
      <c r="F136" s="556"/>
      <c r="G136" s="554" t="s">
        <v>876</v>
      </c>
      <c r="H136" s="556"/>
      <c r="I136" s="554" t="s">
        <v>877</v>
      </c>
      <c r="J136" s="556"/>
      <c r="K136" s="636" t="s">
        <v>318</v>
      </c>
      <c r="L136" s="13"/>
    </row>
    <row r="137" spans="1:12" ht="52.5" customHeight="1" x14ac:dyDescent="0.3">
      <c r="A137" s="4" t="s">
        <v>880</v>
      </c>
      <c r="B137" s="5" t="s">
        <v>207</v>
      </c>
      <c r="C137" s="5" t="s">
        <v>867</v>
      </c>
      <c r="D137" s="5" t="s">
        <v>868</v>
      </c>
      <c r="E137" s="5" t="s">
        <v>867</v>
      </c>
      <c r="F137" s="5" t="s">
        <v>868</v>
      </c>
      <c r="G137" s="5" t="s">
        <v>867</v>
      </c>
      <c r="H137" s="5" t="s">
        <v>868</v>
      </c>
      <c r="I137" s="5" t="s">
        <v>867</v>
      </c>
      <c r="J137" s="5" t="s">
        <v>868</v>
      </c>
      <c r="K137" s="637"/>
      <c r="L137" s="13"/>
    </row>
    <row r="138" spans="1:12" ht="22.5" customHeight="1" x14ac:dyDescent="0.3">
      <c r="A138" s="536" t="s">
        <v>245</v>
      </c>
      <c r="B138" s="138" t="s">
        <v>246</v>
      </c>
      <c r="C138" s="83">
        <v>0</v>
      </c>
      <c r="D138" s="83">
        <v>0</v>
      </c>
      <c r="E138" s="83">
        <v>0</v>
      </c>
      <c r="F138" s="83">
        <v>0</v>
      </c>
      <c r="G138" s="83">
        <v>638.92999999999995</v>
      </c>
      <c r="H138" s="83">
        <v>0</v>
      </c>
      <c r="I138" s="83">
        <v>408.87</v>
      </c>
      <c r="J138" s="83">
        <v>0</v>
      </c>
      <c r="K138" s="83">
        <v>1047.8</v>
      </c>
      <c r="L138" s="13"/>
    </row>
    <row r="139" spans="1:12" ht="22.5" customHeight="1" x14ac:dyDescent="0.3">
      <c r="A139" s="536"/>
      <c r="B139" s="39" t="s">
        <v>514</v>
      </c>
      <c r="C139" s="38">
        <v>0</v>
      </c>
      <c r="D139" s="38">
        <v>0</v>
      </c>
      <c r="E139" s="38">
        <v>0</v>
      </c>
      <c r="F139" s="38">
        <v>0</v>
      </c>
      <c r="G139" s="38">
        <v>402.81</v>
      </c>
      <c r="H139" s="38">
        <v>0</v>
      </c>
      <c r="I139" s="38">
        <v>408.87</v>
      </c>
      <c r="J139" s="38">
        <v>0</v>
      </c>
      <c r="K139" s="38">
        <v>811.68</v>
      </c>
      <c r="L139" s="13"/>
    </row>
    <row r="140" spans="1:12" ht="22.5" customHeight="1" x14ac:dyDescent="0.3">
      <c r="A140" s="536"/>
      <c r="B140" s="39" t="s">
        <v>247</v>
      </c>
      <c r="C140" s="38">
        <v>0</v>
      </c>
      <c r="D140" s="38">
        <v>0</v>
      </c>
      <c r="E140" s="38">
        <v>0</v>
      </c>
      <c r="F140" s="38">
        <v>0</v>
      </c>
      <c r="G140" s="38">
        <v>236.12</v>
      </c>
      <c r="H140" s="38">
        <v>0</v>
      </c>
      <c r="I140" s="38">
        <v>0</v>
      </c>
      <c r="J140" s="38">
        <v>0</v>
      </c>
      <c r="K140" s="38">
        <v>236.12</v>
      </c>
      <c r="L140" s="13"/>
    </row>
    <row r="141" spans="1:12" ht="22.5" customHeight="1" x14ac:dyDescent="0.3">
      <c r="A141" s="536" t="s">
        <v>251</v>
      </c>
      <c r="B141" s="138" t="s">
        <v>252</v>
      </c>
      <c r="C141" s="83">
        <v>0</v>
      </c>
      <c r="D141" s="83">
        <v>0</v>
      </c>
      <c r="E141" s="83">
        <v>6259.74</v>
      </c>
      <c r="F141" s="83">
        <v>0</v>
      </c>
      <c r="G141" s="83">
        <v>7717.19</v>
      </c>
      <c r="H141" s="83">
        <v>761.48</v>
      </c>
      <c r="I141" s="83">
        <v>918</v>
      </c>
      <c r="J141" s="83">
        <v>0</v>
      </c>
      <c r="K141" s="83">
        <v>15656.41</v>
      </c>
      <c r="L141" s="13"/>
    </row>
    <row r="142" spans="1:12" ht="22.5" customHeight="1" x14ac:dyDescent="0.3">
      <c r="A142" s="536"/>
      <c r="B142" s="39" t="s">
        <v>253</v>
      </c>
      <c r="C142" s="38">
        <v>0</v>
      </c>
      <c r="D142" s="38">
        <v>0</v>
      </c>
      <c r="E142" s="38">
        <v>481</v>
      </c>
      <c r="F142" s="38">
        <v>0</v>
      </c>
      <c r="G142" s="38">
        <v>315.74</v>
      </c>
      <c r="H142" s="38">
        <v>761.48</v>
      </c>
      <c r="I142" s="38">
        <v>918</v>
      </c>
      <c r="J142" s="38">
        <v>0</v>
      </c>
      <c r="K142" s="38">
        <v>2476.2199999999998</v>
      </c>
      <c r="L142" s="13"/>
    </row>
    <row r="143" spans="1:12" ht="22.5" customHeight="1" x14ac:dyDescent="0.3">
      <c r="A143" s="536"/>
      <c r="B143" s="39" t="s">
        <v>256</v>
      </c>
      <c r="C143" s="38">
        <v>0</v>
      </c>
      <c r="D143" s="38">
        <v>0</v>
      </c>
      <c r="E143" s="38">
        <v>5778.74</v>
      </c>
      <c r="F143" s="38">
        <v>0</v>
      </c>
      <c r="G143" s="38">
        <v>7401.45</v>
      </c>
      <c r="H143" s="38">
        <v>0</v>
      </c>
      <c r="I143" s="38">
        <v>0</v>
      </c>
      <c r="J143" s="38">
        <v>0</v>
      </c>
      <c r="K143" s="38">
        <v>13180.19</v>
      </c>
      <c r="L143" s="13"/>
    </row>
    <row r="144" spans="1:12" ht="22.5" customHeight="1" x14ac:dyDescent="0.3">
      <c r="A144" s="536" t="s">
        <v>213</v>
      </c>
      <c r="B144" s="138" t="s">
        <v>328</v>
      </c>
      <c r="C144" s="83">
        <v>0</v>
      </c>
      <c r="D144" s="83">
        <v>0</v>
      </c>
      <c r="E144" s="83">
        <v>0</v>
      </c>
      <c r="F144" s="83">
        <v>0</v>
      </c>
      <c r="G144" s="83">
        <v>0</v>
      </c>
      <c r="H144" s="83">
        <v>846</v>
      </c>
      <c r="I144" s="83">
        <v>0</v>
      </c>
      <c r="J144" s="83">
        <v>0</v>
      </c>
      <c r="K144" s="83">
        <v>846</v>
      </c>
      <c r="L144" s="13"/>
    </row>
    <row r="145" spans="1:12" ht="22.5" customHeight="1" x14ac:dyDescent="0.3">
      <c r="A145" s="536"/>
      <c r="B145" s="85" t="s">
        <v>453</v>
      </c>
      <c r="C145" s="38">
        <v>0</v>
      </c>
      <c r="D145" s="38">
        <v>0</v>
      </c>
      <c r="E145" s="38">
        <v>0</v>
      </c>
      <c r="F145" s="38">
        <v>0</v>
      </c>
      <c r="G145" s="38">
        <v>0</v>
      </c>
      <c r="H145" s="38">
        <v>846</v>
      </c>
      <c r="I145" s="38">
        <v>0</v>
      </c>
      <c r="J145" s="38">
        <v>0</v>
      </c>
      <c r="K145" s="38">
        <v>846</v>
      </c>
      <c r="L145" s="13"/>
    </row>
    <row r="146" spans="1:12" ht="22.5" customHeight="1" x14ac:dyDescent="0.3">
      <c r="A146" s="536"/>
      <c r="B146" s="138" t="s">
        <v>214</v>
      </c>
      <c r="C146" s="83">
        <v>0</v>
      </c>
      <c r="D146" s="83">
        <v>0</v>
      </c>
      <c r="E146" s="83">
        <v>0</v>
      </c>
      <c r="F146" s="83">
        <v>0</v>
      </c>
      <c r="G146" s="83">
        <v>353.77</v>
      </c>
      <c r="H146" s="83">
        <v>1718.86</v>
      </c>
      <c r="I146" s="83">
        <v>1098.18</v>
      </c>
      <c r="J146" s="83">
        <v>320</v>
      </c>
      <c r="K146" s="83">
        <v>3490.81</v>
      </c>
      <c r="L146" s="13"/>
    </row>
    <row r="147" spans="1:12" ht="22.5" customHeight="1" x14ac:dyDescent="0.3">
      <c r="A147" s="536"/>
      <c r="B147" s="85" t="s">
        <v>215</v>
      </c>
      <c r="C147" s="38">
        <v>0</v>
      </c>
      <c r="D147" s="38">
        <v>0</v>
      </c>
      <c r="E147" s="38">
        <v>0</v>
      </c>
      <c r="F147" s="38">
        <v>0</v>
      </c>
      <c r="G147" s="38">
        <v>353.77</v>
      </c>
      <c r="H147" s="38">
        <v>1718.86</v>
      </c>
      <c r="I147" s="38">
        <v>1098.18</v>
      </c>
      <c r="J147" s="38">
        <v>320</v>
      </c>
      <c r="K147" s="38">
        <v>3490.81</v>
      </c>
      <c r="L147" s="13"/>
    </row>
    <row r="148" spans="1:12" ht="22.5" customHeight="1" x14ac:dyDescent="0.3">
      <c r="A148" s="536"/>
      <c r="B148" s="138" t="s">
        <v>265</v>
      </c>
      <c r="C148" s="83">
        <v>0</v>
      </c>
      <c r="D148" s="83">
        <v>0</v>
      </c>
      <c r="E148" s="83">
        <v>0</v>
      </c>
      <c r="F148" s="83">
        <v>0</v>
      </c>
      <c r="G148" s="83">
        <v>2207.6</v>
      </c>
      <c r="H148" s="83">
        <v>0</v>
      </c>
      <c r="I148" s="83">
        <v>0</v>
      </c>
      <c r="J148" s="83">
        <v>0</v>
      </c>
      <c r="K148" s="83">
        <v>2207.6</v>
      </c>
      <c r="L148" s="13"/>
    </row>
    <row r="149" spans="1:12" ht="22.5" customHeight="1" x14ac:dyDescent="0.3">
      <c r="A149" s="536"/>
      <c r="B149" s="85" t="s">
        <v>266</v>
      </c>
      <c r="C149" s="38">
        <v>0</v>
      </c>
      <c r="D149" s="38">
        <v>0</v>
      </c>
      <c r="E149" s="38">
        <v>0</v>
      </c>
      <c r="F149" s="38">
        <v>0</v>
      </c>
      <c r="G149" s="38">
        <v>2207.6</v>
      </c>
      <c r="H149" s="38">
        <v>0</v>
      </c>
      <c r="I149" s="38">
        <v>0</v>
      </c>
      <c r="J149" s="38">
        <v>0</v>
      </c>
      <c r="K149" s="38">
        <v>2207.6</v>
      </c>
      <c r="L149" s="13"/>
    </row>
    <row r="150" spans="1:12" ht="22.5" customHeight="1" x14ac:dyDescent="0.3">
      <c r="A150" s="536" t="s">
        <v>224</v>
      </c>
      <c r="B150" s="138" t="s">
        <v>225</v>
      </c>
      <c r="C150" s="83">
        <v>0</v>
      </c>
      <c r="D150" s="83">
        <v>0</v>
      </c>
      <c r="E150" s="83">
        <v>266.2</v>
      </c>
      <c r="F150" s="83">
        <v>0</v>
      </c>
      <c r="G150" s="83">
        <v>5459.8</v>
      </c>
      <c r="H150" s="83">
        <v>207.4</v>
      </c>
      <c r="I150" s="83">
        <v>0</v>
      </c>
      <c r="J150" s="83">
        <v>0</v>
      </c>
      <c r="K150" s="83">
        <v>5933.4</v>
      </c>
      <c r="L150" s="13"/>
    </row>
    <row r="151" spans="1:12" ht="22.5" customHeight="1" x14ac:dyDescent="0.3">
      <c r="A151" s="536"/>
      <c r="B151" s="39" t="s">
        <v>226</v>
      </c>
      <c r="C151" s="38">
        <v>0</v>
      </c>
      <c r="D151" s="38">
        <v>0</v>
      </c>
      <c r="E151" s="38">
        <v>0</v>
      </c>
      <c r="F151" s="38">
        <v>0</v>
      </c>
      <c r="G151" s="38">
        <v>2067.8000000000002</v>
      </c>
      <c r="H151" s="38">
        <v>169.7</v>
      </c>
      <c r="I151" s="38">
        <v>0</v>
      </c>
      <c r="J151" s="38">
        <v>0</v>
      </c>
      <c r="K151" s="38">
        <v>2237.5</v>
      </c>
      <c r="L151" s="13"/>
    </row>
    <row r="152" spans="1:12" ht="22.5" customHeight="1" x14ac:dyDescent="0.3">
      <c r="A152" s="536"/>
      <c r="B152" s="39" t="s">
        <v>454</v>
      </c>
      <c r="C152" s="38">
        <v>0</v>
      </c>
      <c r="D152" s="38">
        <v>0</v>
      </c>
      <c r="E152" s="38">
        <v>266.2</v>
      </c>
      <c r="F152" s="38">
        <v>0</v>
      </c>
      <c r="G152" s="38">
        <v>1174</v>
      </c>
      <c r="H152" s="38">
        <v>0</v>
      </c>
      <c r="I152" s="38">
        <v>0</v>
      </c>
      <c r="J152" s="38">
        <v>0</v>
      </c>
      <c r="K152" s="38">
        <v>1440.2</v>
      </c>
      <c r="L152" s="13"/>
    </row>
    <row r="153" spans="1:12" ht="22.5" customHeight="1" x14ac:dyDescent="0.3">
      <c r="A153" s="536"/>
      <c r="B153" s="39" t="s">
        <v>230</v>
      </c>
      <c r="C153" s="38">
        <v>0</v>
      </c>
      <c r="D153" s="38">
        <v>0</v>
      </c>
      <c r="E153" s="38">
        <v>0</v>
      </c>
      <c r="F153" s="38">
        <v>0</v>
      </c>
      <c r="G153" s="38">
        <v>2218</v>
      </c>
      <c r="H153" s="38">
        <v>37.700000000000003</v>
      </c>
      <c r="I153" s="38">
        <v>0</v>
      </c>
      <c r="J153" s="38">
        <v>0</v>
      </c>
      <c r="K153" s="38">
        <v>2255.6999999999998</v>
      </c>
      <c r="L153" s="13"/>
    </row>
    <row r="154" spans="1:12" ht="22.5" customHeight="1" x14ac:dyDescent="0.3">
      <c r="A154" s="536"/>
      <c r="B154" s="138" t="s">
        <v>276</v>
      </c>
      <c r="C154" s="83">
        <v>0</v>
      </c>
      <c r="D154" s="83">
        <v>0</v>
      </c>
      <c r="E154" s="83">
        <v>0</v>
      </c>
      <c r="F154" s="83">
        <v>0</v>
      </c>
      <c r="G154" s="83">
        <v>0</v>
      </c>
      <c r="H154" s="83">
        <v>326.13150000000002</v>
      </c>
      <c r="I154" s="83">
        <v>0</v>
      </c>
      <c r="J154" s="83">
        <v>0</v>
      </c>
      <c r="K154" s="83">
        <v>326.13150000000002</v>
      </c>
      <c r="L154" s="13"/>
    </row>
    <row r="155" spans="1:12" ht="22.5" customHeight="1" x14ac:dyDescent="0.3">
      <c r="A155" s="536"/>
      <c r="B155" s="39" t="s">
        <v>277</v>
      </c>
      <c r="C155" s="38">
        <v>0</v>
      </c>
      <c r="D155" s="38">
        <v>0</v>
      </c>
      <c r="E155" s="38">
        <v>0</v>
      </c>
      <c r="F155" s="38">
        <v>0</v>
      </c>
      <c r="G155" s="38">
        <v>0</v>
      </c>
      <c r="H155" s="38">
        <v>326.13150000000002</v>
      </c>
      <c r="I155" s="38">
        <v>0</v>
      </c>
      <c r="J155" s="38">
        <v>0</v>
      </c>
      <c r="K155" s="38">
        <v>326.13150000000002</v>
      </c>
      <c r="L155" s="13"/>
    </row>
    <row r="156" spans="1:12" ht="22.5" customHeight="1" x14ac:dyDescent="0.3">
      <c r="A156" s="536" t="s">
        <v>234</v>
      </c>
      <c r="B156" s="138" t="s">
        <v>235</v>
      </c>
      <c r="C156" s="83">
        <v>0</v>
      </c>
      <c r="D156" s="83">
        <v>0</v>
      </c>
      <c r="E156" s="83">
        <v>0</v>
      </c>
      <c r="F156" s="83">
        <v>0</v>
      </c>
      <c r="G156" s="83">
        <v>1714.4</v>
      </c>
      <c r="H156" s="83">
        <v>1667.4</v>
      </c>
      <c r="I156" s="83">
        <v>0</v>
      </c>
      <c r="J156" s="83">
        <v>0</v>
      </c>
      <c r="K156" s="83">
        <v>3381.8</v>
      </c>
      <c r="L156" s="13"/>
    </row>
    <row r="157" spans="1:12" ht="22.5" customHeight="1" x14ac:dyDescent="0.3">
      <c r="A157" s="536"/>
      <c r="B157" s="85" t="s">
        <v>236</v>
      </c>
      <c r="C157" s="38">
        <v>0</v>
      </c>
      <c r="D157" s="38">
        <v>0</v>
      </c>
      <c r="E157" s="38">
        <v>0</v>
      </c>
      <c r="F157" s="38">
        <v>0</v>
      </c>
      <c r="G157" s="38">
        <v>1714.4</v>
      </c>
      <c r="H157" s="38">
        <v>1667.4</v>
      </c>
      <c r="I157" s="38">
        <v>0</v>
      </c>
      <c r="J157" s="38">
        <v>0</v>
      </c>
      <c r="K157" s="38">
        <v>3381.8</v>
      </c>
      <c r="L157" s="13"/>
    </row>
    <row r="158" spans="1:12" ht="22.5" customHeight="1" x14ac:dyDescent="0.3">
      <c r="A158" s="6" t="s">
        <v>455</v>
      </c>
      <c r="B158" s="86" t="s">
        <v>644</v>
      </c>
      <c r="C158" s="83">
        <v>0</v>
      </c>
      <c r="D158" s="83">
        <v>0</v>
      </c>
      <c r="E158" s="83">
        <v>6525.94</v>
      </c>
      <c r="F158" s="83">
        <v>0</v>
      </c>
      <c r="G158" s="83">
        <v>18091.689999999999</v>
      </c>
      <c r="H158" s="83">
        <v>5527.2714999999998</v>
      </c>
      <c r="I158" s="83">
        <v>2425.0500000000002</v>
      </c>
      <c r="J158" s="83">
        <v>320</v>
      </c>
      <c r="K158" s="83">
        <v>32889.951500000003</v>
      </c>
      <c r="L158" s="13"/>
    </row>
    <row r="159" spans="1:12" ht="22.5" customHeight="1" x14ac:dyDescent="0.25">
      <c r="A159" s="546" t="s">
        <v>881</v>
      </c>
      <c r="B159" s="546"/>
      <c r="C159" s="546"/>
      <c r="D159" s="546"/>
      <c r="E159" s="546"/>
      <c r="F159" s="546"/>
      <c r="G159" s="546"/>
      <c r="H159" s="546"/>
      <c r="I159" s="546"/>
      <c r="J159" s="546"/>
      <c r="K159" s="546"/>
    </row>
    <row r="160" spans="1:12" ht="22.5" customHeight="1" x14ac:dyDescent="0.25">
      <c r="A160" s="518"/>
      <c r="B160" s="518"/>
      <c r="C160" s="518"/>
      <c r="D160" s="518"/>
      <c r="E160" s="518"/>
      <c r="F160" s="518"/>
      <c r="G160" s="518"/>
      <c r="H160" s="518"/>
      <c r="I160" s="518"/>
      <c r="J160" s="518"/>
      <c r="K160" s="518"/>
    </row>
    <row r="161" spans="1:7" ht="22.5" customHeight="1" x14ac:dyDescent="0.25"/>
    <row r="162" spans="1:7" ht="22.5" customHeight="1" x14ac:dyDescent="0.25"/>
    <row r="163" spans="1:7" ht="45.75" customHeight="1" x14ac:dyDescent="0.3">
      <c r="A163" s="33" t="s">
        <v>882</v>
      </c>
      <c r="B163" s="25">
        <v>2019</v>
      </c>
      <c r="C163" s="25">
        <v>2020</v>
      </c>
      <c r="D163" s="25">
        <v>2021</v>
      </c>
      <c r="E163" s="5" t="s">
        <v>677</v>
      </c>
      <c r="F163" s="25">
        <v>2023</v>
      </c>
      <c r="G163" s="13"/>
    </row>
    <row r="164" spans="1:7" ht="45.75" customHeight="1" x14ac:dyDescent="0.3">
      <c r="A164" s="61" t="s">
        <v>883</v>
      </c>
      <c r="B164" s="152">
        <v>120700000</v>
      </c>
      <c r="C164" s="152">
        <v>116235571.81999999</v>
      </c>
      <c r="D164" s="152">
        <v>119074960.68000001</v>
      </c>
      <c r="E164" s="152">
        <v>114187803.22</v>
      </c>
      <c r="F164" s="152">
        <v>96751839.230000004</v>
      </c>
      <c r="G164" s="13"/>
    </row>
    <row r="165" spans="1:7" ht="45.75" customHeight="1" x14ac:dyDescent="0.3">
      <c r="A165" s="9" t="s">
        <v>884</v>
      </c>
      <c r="B165" s="153">
        <v>320600000</v>
      </c>
      <c r="C165" s="153">
        <v>285166000</v>
      </c>
      <c r="D165" s="153">
        <v>263524785.06</v>
      </c>
      <c r="E165" s="153">
        <v>302187258.06999999</v>
      </c>
      <c r="F165" s="153">
        <v>234405799.558</v>
      </c>
      <c r="G165" s="13"/>
    </row>
    <row r="166" spans="1:7" ht="45.75" customHeight="1" x14ac:dyDescent="0.3">
      <c r="A166" s="9" t="s">
        <v>885</v>
      </c>
      <c r="B166" s="140" t="s">
        <v>607</v>
      </c>
      <c r="C166" s="152">
        <v>283833046.33668101</v>
      </c>
      <c r="D166" s="152">
        <v>254096600.06</v>
      </c>
      <c r="E166" s="152">
        <v>299720790.1929</v>
      </c>
      <c r="F166" s="152">
        <v>231752576.558</v>
      </c>
      <c r="G166" s="13"/>
    </row>
    <row r="167" spans="1:7" ht="43.35" customHeight="1" x14ac:dyDescent="0.3">
      <c r="A167" s="61" t="s">
        <v>886</v>
      </c>
      <c r="B167" s="154">
        <v>7.6</v>
      </c>
      <c r="C167" s="154">
        <v>24.6661137434319</v>
      </c>
      <c r="D167" s="154">
        <v>5.1682386200000003</v>
      </c>
      <c r="E167" s="155">
        <v>3128.8005480000002</v>
      </c>
      <c r="F167" s="155">
        <v>26179.831099999999</v>
      </c>
      <c r="G167" s="13"/>
    </row>
    <row r="168" spans="1:7" ht="43.35" customHeight="1" x14ac:dyDescent="0.3">
      <c r="A168" s="61" t="s">
        <v>887</v>
      </c>
      <c r="B168" s="155">
        <v>32100</v>
      </c>
      <c r="C168" s="155">
        <v>18753.2</v>
      </c>
      <c r="D168" s="155">
        <v>15452.617</v>
      </c>
      <c r="E168" s="155">
        <v>15033.827230000001</v>
      </c>
      <c r="F168" s="155">
        <v>16726.83396</v>
      </c>
      <c r="G168" s="13"/>
    </row>
    <row r="169" spans="1:7" ht="43.35" customHeight="1" x14ac:dyDescent="0.3">
      <c r="A169" s="61" t="s">
        <v>888</v>
      </c>
      <c r="B169" s="155">
        <v>66600</v>
      </c>
      <c r="C169" s="155">
        <v>52569.3</v>
      </c>
      <c r="D169" s="155">
        <v>60403.89</v>
      </c>
      <c r="E169" s="155">
        <v>59437.786844000002</v>
      </c>
      <c r="F169" s="155">
        <v>53751.688730000002</v>
      </c>
      <c r="G169" s="13"/>
    </row>
    <row r="170" spans="1:7" ht="45.75" customHeight="1" x14ac:dyDescent="0.25">
      <c r="A170" s="532" t="s">
        <v>889</v>
      </c>
      <c r="B170" s="532"/>
      <c r="C170" s="532"/>
      <c r="D170" s="532"/>
      <c r="E170" s="532"/>
      <c r="F170" s="532"/>
    </row>
    <row r="171" spans="1:7" ht="22.5" customHeight="1" x14ac:dyDescent="0.25"/>
    <row r="172" spans="1:7" ht="22.5" customHeight="1" x14ac:dyDescent="0.25"/>
    <row r="173" spans="1:7" ht="22.5" customHeight="1" x14ac:dyDescent="0.25"/>
    <row r="174" spans="1:7" ht="22.5" customHeight="1" x14ac:dyDescent="0.25"/>
    <row r="175" spans="1:7" ht="22.5" customHeight="1" x14ac:dyDescent="0.25"/>
    <row r="176" spans="1:7" ht="22.5" customHeight="1" x14ac:dyDescent="0.25"/>
    <row r="177" ht="22.5" customHeight="1" x14ac:dyDescent="0.25"/>
    <row r="178" ht="22.5" customHeight="1" x14ac:dyDescent="0.25"/>
    <row r="179" ht="22.5" customHeight="1" x14ac:dyDescent="0.25"/>
    <row r="180" ht="22.5" customHeight="1" x14ac:dyDescent="0.25"/>
    <row r="181" ht="22.5" customHeight="1" x14ac:dyDescent="0.25"/>
    <row r="182" ht="22.5" customHeight="1" x14ac:dyDescent="0.25"/>
    <row r="183" ht="22.5" customHeight="1" x14ac:dyDescent="0.25"/>
    <row r="184" ht="22.5" customHeight="1" x14ac:dyDescent="0.25"/>
    <row r="185" ht="22.5" customHeight="1" x14ac:dyDescent="0.25"/>
    <row r="186" ht="22.5" customHeight="1" x14ac:dyDescent="0.25"/>
    <row r="187" ht="22.5" customHeight="1" x14ac:dyDescent="0.25"/>
    <row r="188" ht="22.5" customHeight="1" x14ac:dyDescent="0.25"/>
    <row r="189" ht="22.5" customHeight="1" x14ac:dyDescent="0.25"/>
    <row r="190" ht="22.5" customHeight="1" x14ac:dyDescent="0.25"/>
    <row r="191" ht="22.5" customHeight="1" x14ac:dyDescent="0.25"/>
    <row r="192" ht="22.5" customHeight="1" x14ac:dyDescent="0.25"/>
    <row r="193" ht="22.5" customHeight="1" x14ac:dyDescent="0.25"/>
    <row r="194" ht="22.5" customHeight="1" x14ac:dyDescent="0.25"/>
    <row r="195" ht="22.5" customHeight="1" x14ac:dyDescent="0.25"/>
    <row r="196" ht="15" customHeight="1" x14ac:dyDescent="0.25"/>
  </sheetData>
  <sheetProtection algorithmName="SHA-512" hashValue="Qhb8P3cWUIJmH27aSPZsJ2L6ObGZYL9J9pT1nRYyJKygEdewstPiUbzAgQXsfiRCoH+ew8mBbaJg86p5zQBOsg==" saltValue="Br77j5nptwYdG9AKQD5t7w==" spinCount="100000" sheet="1" objects="1" scenarios="1" formatColumns="0" formatRows="0"/>
  <mergeCells count="56">
    <mergeCell ref="A1:F1"/>
    <mergeCell ref="A4:A6"/>
    <mergeCell ref="A7:A9"/>
    <mergeCell ref="A10:A15"/>
    <mergeCell ref="A16:A21"/>
    <mergeCell ref="A22:A23"/>
    <mergeCell ref="A25:G26"/>
    <mergeCell ref="A30:A32"/>
    <mergeCell ref="A33:A35"/>
    <mergeCell ref="A36:A41"/>
    <mergeCell ref="A42:A47"/>
    <mergeCell ref="A48:A49"/>
    <mergeCell ref="A51:H52"/>
    <mergeCell ref="C55:D55"/>
    <mergeCell ref="E55:F55"/>
    <mergeCell ref="G55:H55"/>
    <mergeCell ref="G109:H109"/>
    <mergeCell ref="A105:I106"/>
    <mergeCell ref="I55:I56"/>
    <mergeCell ref="A57:A59"/>
    <mergeCell ref="A60:A62"/>
    <mergeCell ref="A63:A68"/>
    <mergeCell ref="A69:A74"/>
    <mergeCell ref="C109:D109"/>
    <mergeCell ref="A132:K133"/>
    <mergeCell ref="A129:A130"/>
    <mergeCell ref="A75:A76"/>
    <mergeCell ref="A78:I79"/>
    <mergeCell ref="I82:I83"/>
    <mergeCell ref="K109:K110"/>
    <mergeCell ref="G82:H82"/>
    <mergeCell ref="E82:F82"/>
    <mergeCell ref="C82:D82"/>
    <mergeCell ref="A84:A86"/>
    <mergeCell ref="A87:A89"/>
    <mergeCell ref="A90:A95"/>
    <mergeCell ref="A102:A103"/>
    <mergeCell ref="A96:A101"/>
    <mergeCell ref="I109:J109"/>
    <mergeCell ref="E109:F109"/>
    <mergeCell ref="A111:A113"/>
    <mergeCell ref="A170:F170"/>
    <mergeCell ref="A144:A149"/>
    <mergeCell ref="I136:J136"/>
    <mergeCell ref="A159:K160"/>
    <mergeCell ref="A150:A155"/>
    <mergeCell ref="A156:A157"/>
    <mergeCell ref="A138:A140"/>
    <mergeCell ref="C136:D136"/>
    <mergeCell ref="E136:F136"/>
    <mergeCell ref="G136:H136"/>
    <mergeCell ref="A141:A143"/>
    <mergeCell ref="K136:K137"/>
    <mergeCell ref="A114:A116"/>
    <mergeCell ref="A117:A122"/>
    <mergeCell ref="A123:A12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49"/>
  <sheetViews>
    <sheetView showRuler="0" workbookViewId="0">
      <selection sqref="A1:F1"/>
    </sheetView>
  </sheetViews>
  <sheetFormatPr defaultColWidth="13.6640625" defaultRowHeight="13.2" x14ac:dyDescent="0.25"/>
  <cols>
    <col min="1" max="1" width="29.33203125" customWidth="1"/>
    <col min="2" max="14" width="15.6640625" customWidth="1"/>
    <col min="15" max="15" width="19.88671875" customWidth="1"/>
    <col min="16" max="16" width="17.33203125" customWidth="1"/>
  </cols>
  <sheetData>
    <row r="1" spans="1:14" ht="21.6" customHeight="1" x14ac:dyDescent="0.3">
      <c r="A1" s="595" t="s">
        <v>890</v>
      </c>
      <c r="B1" s="595"/>
      <c r="C1" s="595"/>
      <c r="D1" s="595"/>
      <c r="E1" s="595"/>
      <c r="F1" s="595"/>
      <c r="G1" s="17"/>
      <c r="H1" s="17"/>
      <c r="I1" s="17"/>
      <c r="J1" s="17"/>
      <c r="K1" s="17"/>
      <c r="L1" s="2"/>
    </row>
    <row r="2" spans="1:14" ht="23.25" customHeight="1" x14ac:dyDescent="0.3">
      <c r="B2" s="64"/>
      <c r="C2" s="64"/>
      <c r="D2" s="64"/>
      <c r="E2" s="64"/>
      <c r="F2" s="64"/>
      <c r="G2" s="64"/>
      <c r="H2" s="64"/>
      <c r="I2" s="333"/>
      <c r="J2" s="64"/>
      <c r="K2" s="64"/>
      <c r="L2" s="2"/>
    </row>
    <row r="3" spans="1:14" ht="83.25" customHeight="1" x14ac:dyDescent="0.3">
      <c r="A3" s="33" t="s">
        <v>891</v>
      </c>
      <c r="B3" s="5" t="s">
        <v>207</v>
      </c>
      <c r="C3" s="5" t="s">
        <v>892</v>
      </c>
      <c r="D3" s="22" t="s">
        <v>893</v>
      </c>
      <c r="E3" s="5" t="s">
        <v>894</v>
      </c>
      <c r="F3" s="5" t="s">
        <v>895</v>
      </c>
      <c r="G3" s="5" t="s">
        <v>896</v>
      </c>
      <c r="H3" s="5" t="s">
        <v>897</v>
      </c>
      <c r="I3" s="5" t="s">
        <v>898</v>
      </c>
      <c r="J3" s="5" t="s">
        <v>899</v>
      </c>
      <c r="K3" s="22" t="s">
        <v>900</v>
      </c>
      <c r="L3" s="304"/>
    </row>
    <row r="4" spans="1:14" ht="22.5" customHeight="1" x14ac:dyDescent="0.3">
      <c r="A4" s="536" t="s">
        <v>245</v>
      </c>
      <c r="B4" s="138" t="s">
        <v>246</v>
      </c>
      <c r="C4" s="122">
        <v>16843.368999999999</v>
      </c>
      <c r="D4" s="122">
        <v>3305</v>
      </c>
      <c r="E4" s="122">
        <v>6496</v>
      </c>
      <c r="F4" s="122">
        <v>13652.369000000001</v>
      </c>
      <c r="G4" s="122">
        <v>14365.701999999999</v>
      </c>
      <c r="H4" s="122">
        <v>28018.071</v>
      </c>
      <c r="I4" s="156">
        <v>0.51272987351627497</v>
      </c>
      <c r="J4" s="126">
        <v>15.584896118721501</v>
      </c>
      <c r="K4" s="126">
        <v>0.87391940852643701</v>
      </c>
      <c r="L4" s="13"/>
    </row>
    <row r="5" spans="1:14" ht="22.5" customHeight="1" x14ac:dyDescent="0.3">
      <c r="A5" s="536"/>
      <c r="B5" s="39" t="s">
        <v>514</v>
      </c>
      <c r="C5" s="124">
        <v>9760</v>
      </c>
      <c r="D5" s="124">
        <v>3197</v>
      </c>
      <c r="E5" s="124">
        <v>5084</v>
      </c>
      <c r="F5" s="124">
        <v>7873</v>
      </c>
      <c r="G5" s="124">
        <v>6603.7020000000002</v>
      </c>
      <c r="H5" s="124">
        <v>14476.701999999999</v>
      </c>
      <c r="I5" s="157">
        <v>0.456160664217582</v>
      </c>
      <c r="J5" s="106">
        <v>13.550774526678101</v>
      </c>
      <c r="K5" s="106">
        <v>1.02606542421478</v>
      </c>
      <c r="L5" s="13"/>
      <c r="N5" s="2"/>
    </row>
    <row r="6" spans="1:14" ht="22.5" customHeight="1" x14ac:dyDescent="0.3">
      <c r="A6" s="536"/>
      <c r="B6" s="39" t="s">
        <v>247</v>
      </c>
      <c r="C6" s="124">
        <v>7083.3689999999997</v>
      </c>
      <c r="D6" s="124">
        <v>108</v>
      </c>
      <c r="E6" s="124">
        <v>1412</v>
      </c>
      <c r="F6" s="124">
        <v>5779.3689999999997</v>
      </c>
      <c r="G6" s="124">
        <v>7762</v>
      </c>
      <c r="H6" s="124">
        <v>13541.369000000001</v>
      </c>
      <c r="I6" s="157">
        <v>0.573206446113388</v>
      </c>
      <c r="J6" s="106">
        <v>19.5910813559322</v>
      </c>
      <c r="K6" s="106">
        <v>0.75586829714883597</v>
      </c>
      <c r="L6" s="13"/>
      <c r="N6" s="2"/>
    </row>
    <row r="7" spans="1:14" ht="22.5" customHeight="1" x14ac:dyDescent="0.3">
      <c r="A7" s="536" t="s">
        <v>251</v>
      </c>
      <c r="B7" s="138" t="s">
        <v>252</v>
      </c>
      <c r="C7" s="122">
        <v>22357.964911999999</v>
      </c>
      <c r="D7" s="122">
        <v>521.11599999999999</v>
      </c>
      <c r="E7" s="122">
        <v>2411.9018999999998</v>
      </c>
      <c r="F7" s="122">
        <v>20467.179012000001</v>
      </c>
      <c r="G7" s="122">
        <v>45593.984600000003</v>
      </c>
      <c r="H7" s="122">
        <v>66061.163612000004</v>
      </c>
      <c r="I7" s="156">
        <v>0.69017834544649004</v>
      </c>
      <c r="J7" s="126">
        <v>14.2330869346314</v>
      </c>
      <c r="K7" s="126">
        <v>0.52701563013698605</v>
      </c>
      <c r="L7" s="13"/>
      <c r="N7" s="2"/>
    </row>
    <row r="8" spans="1:14" ht="22.5" customHeight="1" x14ac:dyDescent="0.3">
      <c r="A8" s="536"/>
      <c r="B8" s="39" t="s">
        <v>253</v>
      </c>
      <c r="C8" s="124">
        <v>18202.157641999998</v>
      </c>
      <c r="D8" s="124">
        <v>521.11599999999999</v>
      </c>
      <c r="E8" s="124">
        <v>2342.116</v>
      </c>
      <c r="F8" s="124">
        <v>16381.157642</v>
      </c>
      <c r="G8" s="124">
        <v>42834.127500000002</v>
      </c>
      <c r="H8" s="124">
        <v>59215.285142000001</v>
      </c>
      <c r="I8" s="157">
        <v>0.72336268241016699</v>
      </c>
      <c r="J8" s="106">
        <v>16.546623880808099</v>
      </c>
      <c r="K8" s="106">
        <v>0.44920497002769599</v>
      </c>
      <c r="L8" s="13"/>
      <c r="N8" s="2"/>
    </row>
    <row r="9" spans="1:14" ht="22.5" customHeight="1" x14ac:dyDescent="0.3">
      <c r="A9" s="536"/>
      <c r="B9" s="39" t="s">
        <v>256</v>
      </c>
      <c r="C9" s="124">
        <v>4155.8072700000002</v>
      </c>
      <c r="D9" s="124">
        <v>0</v>
      </c>
      <c r="E9" s="124">
        <v>69.785899999999998</v>
      </c>
      <c r="F9" s="124">
        <v>4086.0213699999999</v>
      </c>
      <c r="G9" s="124">
        <v>2759.8571000000002</v>
      </c>
      <c r="H9" s="124">
        <v>6845.8784699999997</v>
      </c>
      <c r="I9" s="157">
        <v>0.403141410133738</v>
      </c>
      <c r="J9" s="106">
        <v>9.1205834151785705</v>
      </c>
      <c r="K9" s="106">
        <v>1.7247874081891099</v>
      </c>
      <c r="L9" s="13"/>
      <c r="N9" s="2"/>
    </row>
    <row r="10" spans="1:14" ht="22.5" customHeight="1" x14ac:dyDescent="0.3">
      <c r="A10" s="536" t="s">
        <v>213</v>
      </c>
      <c r="B10" s="138" t="s">
        <v>328</v>
      </c>
      <c r="C10" s="122">
        <v>999.41</v>
      </c>
      <c r="D10" s="122">
        <v>0</v>
      </c>
      <c r="E10" s="122">
        <v>0</v>
      </c>
      <c r="F10" s="122">
        <v>999.41</v>
      </c>
      <c r="G10" s="122">
        <v>823.5</v>
      </c>
      <c r="H10" s="122">
        <v>1822.91</v>
      </c>
      <c r="I10" s="156">
        <v>0.451750223543675</v>
      </c>
      <c r="J10" s="126">
        <v>3.7152788104089201</v>
      </c>
      <c r="K10" s="126">
        <v>0.92196494464944601</v>
      </c>
      <c r="L10" s="13"/>
      <c r="N10" s="2"/>
    </row>
    <row r="11" spans="1:14" ht="22.5" customHeight="1" x14ac:dyDescent="0.3">
      <c r="A11" s="536"/>
      <c r="B11" s="85" t="s">
        <v>453</v>
      </c>
      <c r="C11" s="124">
        <v>999.41</v>
      </c>
      <c r="D11" s="124">
        <v>0</v>
      </c>
      <c r="E11" s="124">
        <v>0</v>
      </c>
      <c r="F11" s="124">
        <v>999.41</v>
      </c>
      <c r="G11" s="124">
        <v>823.5</v>
      </c>
      <c r="H11" s="124">
        <v>1822.91</v>
      </c>
      <c r="I11" s="157">
        <v>0.451750223543675</v>
      </c>
      <c r="J11" s="106">
        <v>3.7152788104089201</v>
      </c>
      <c r="K11" s="106">
        <v>0.92196494464944601</v>
      </c>
      <c r="L11" s="13"/>
      <c r="N11" s="2"/>
    </row>
    <row r="12" spans="1:14" ht="22.5" customHeight="1" x14ac:dyDescent="0.3">
      <c r="A12" s="536"/>
      <c r="B12" s="138" t="s">
        <v>214</v>
      </c>
      <c r="C12" s="122">
        <v>21679.438743999999</v>
      </c>
      <c r="D12" s="122">
        <v>205.40209999999999</v>
      </c>
      <c r="E12" s="122">
        <v>503.33510000000001</v>
      </c>
      <c r="F12" s="122">
        <v>21381.505743999998</v>
      </c>
      <c r="G12" s="122">
        <v>41052.8753</v>
      </c>
      <c r="H12" s="122">
        <v>62434.381044000002</v>
      </c>
      <c r="I12" s="156">
        <v>0.65753635438570901</v>
      </c>
      <c r="J12" s="126">
        <v>31.8177168809524</v>
      </c>
      <c r="K12" s="126">
        <v>1.02549188220623</v>
      </c>
      <c r="L12" s="13"/>
      <c r="N12" s="2"/>
    </row>
    <row r="13" spans="1:14" ht="22.5" customHeight="1" x14ac:dyDescent="0.3">
      <c r="A13" s="536"/>
      <c r="B13" s="85" t="s">
        <v>215</v>
      </c>
      <c r="C13" s="124">
        <v>21679.438743999999</v>
      </c>
      <c r="D13" s="124">
        <v>205.40209999999999</v>
      </c>
      <c r="E13" s="124">
        <v>503.33510000000001</v>
      </c>
      <c r="F13" s="124">
        <v>21381.505743999998</v>
      </c>
      <c r="G13" s="124">
        <v>41052.8753</v>
      </c>
      <c r="H13" s="124">
        <v>62434.381044000002</v>
      </c>
      <c r="I13" s="157">
        <v>0.65753635438570901</v>
      </c>
      <c r="J13" s="106">
        <v>31.8177168809524</v>
      </c>
      <c r="K13" s="106">
        <v>1.02549188220623</v>
      </c>
      <c r="L13" s="13"/>
      <c r="N13" s="2"/>
    </row>
    <row r="14" spans="1:14" ht="22.5" customHeight="1" x14ac:dyDescent="0.3">
      <c r="A14" s="536"/>
      <c r="B14" s="138" t="s">
        <v>265</v>
      </c>
      <c r="C14" s="122">
        <v>27752.52</v>
      </c>
      <c r="D14" s="122">
        <v>14901</v>
      </c>
      <c r="E14" s="122">
        <v>36363.599999999999</v>
      </c>
      <c r="F14" s="122">
        <v>6289.9200000000101</v>
      </c>
      <c r="G14" s="122">
        <v>14715</v>
      </c>
      <c r="H14" s="122">
        <v>21004.92</v>
      </c>
      <c r="I14" s="156">
        <v>0.700550156820402</v>
      </c>
      <c r="J14" s="126">
        <v>19.5339130434783</v>
      </c>
      <c r="K14" s="126">
        <v>0.43670901895438502</v>
      </c>
      <c r="L14" s="13"/>
      <c r="N14" s="2"/>
    </row>
    <row r="15" spans="1:14" ht="22.5" customHeight="1" x14ac:dyDescent="0.3">
      <c r="A15" s="536"/>
      <c r="B15" s="85" t="s">
        <v>266</v>
      </c>
      <c r="C15" s="124">
        <v>27752.52</v>
      </c>
      <c r="D15" s="124">
        <v>14901</v>
      </c>
      <c r="E15" s="124">
        <v>36363.599999999999</v>
      </c>
      <c r="F15" s="124">
        <v>6289.9200000000101</v>
      </c>
      <c r="G15" s="124">
        <v>14715</v>
      </c>
      <c r="H15" s="124">
        <v>21004.92</v>
      </c>
      <c r="I15" s="157">
        <v>0.700550156820402</v>
      </c>
      <c r="J15" s="106">
        <v>19.5339130434783</v>
      </c>
      <c r="K15" s="106">
        <v>0.43670901895438502</v>
      </c>
      <c r="L15" s="13"/>
      <c r="N15" s="2"/>
    </row>
    <row r="16" spans="1:14" ht="22.5" customHeight="1" x14ac:dyDescent="0.3">
      <c r="A16" s="536" t="s">
        <v>224</v>
      </c>
      <c r="B16" s="138" t="s">
        <v>225</v>
      </c>
      <c r="C16" s="122">
        <v>10098.935154000001</v>
      </c>
      <c r="D16" s="122">
        <v>9317.4370999999992</v>
      </c>
      <c r="E16" s="122">
        <v>12939.9494</v>
      </c>
      <c r="F16" s="122">
        <v>6476.4228540000004</v>
      </c>
      <c r="G16" s="122">
        <v>13651.061799999999</v>
      </c>
      <c r="H16" s="122">
        <v>20127.484654</v>
      </c>
      <c r="I16" s="156">
        <v>0.67822989482628104</v>
      </c>
      <c r="J16" s="126">
        <v>9.6375340089285704</v>
      </c>
      <c r="K16" s="126">
        <v>1.15650408107143</v>
      </c>
      <c r="L16" s="13"/>
      <c r="N16" s="2"/>
    </row>
    <row r="17" spans="1:14" ht="22.5" customHeight="1" x14ac:dyDescent="0.3">
      <c r="A17" s="536"/>
      <c r="B17" s="39" t="s">
        <v>226</v>
      </c>
      <c r="C17" s="124">
        <v>3232.4589999999998</v>
      </c>
      <c r="D17" s="124">
        <v>0</v>
      </c>
      <c r="E17" s="124">
        <v>2226.0140000000001</v>
      </c>
      <c r="F17" s="124">
        <v>1006.4450000000001</v>
      </c>
      <c r="G17" s="124">
        <v>4530.7608</v>
      </c>
      <c r="H17" s="124">
        <v>5537.2057999999997</v>
      </c>
      <c r="I17" s="157">
        <v>0.81823955324181696</v>
      </c>
      <c r="J17" s="106">
        <v>4.3381249999999998</v>
      </c>
      <c r="K17" s="106">
        <v>0.60592715231788097</v>
      </c>
      <c r="L17" s="13"/>
      <c r="N17" s="2"/>
    </row>
    <row r="18" spans="1:14" ht="22.5" customHeight="1" x14ac:dyDescent="0.3">
      <c r="A18" s="536"/>
      <c r="B18" s="39" t="s">
        <v>454</v>
      </c>
      <c r="C18" s="124">
        <v>1552.3931809999999</v>
      </c>
      <c r="D18" s="124">
        <v>553.12049999999999</v>
      </c>
      <c r="E18" s="124">
        <v>1543.3544999999999</v>
      </c>
      <c r="F18" s="124">
        <v>562.15918099999999</v>
      </c>
      <c r="G18" s="124">
        <v>1490.4254000000001</v>
      </c>
      <c r="H18" s="124">
        <v>2052.5845810000001</v>
      </c>
      <c r="I18" s="157">
        <v>0.72612130764125604</v>
      </c>
      <c r="J18" s="106">
        <v>3.12310656111111</v>
      </c>
      <c r="K18" s="106">
        <v>0.54684745233462995</v>
      </c>
      <c r="L18" s="13"/>
      <c r="N18" s="2"/>
    </row>
    <row r="19" spans="1:14" ht="22.5" customHeight="1" x14ac:dyDescent="0.3">
      <c r="A19" s="536"/>
      <c r="B19" s="39" t="s">
        <v>230</v>
      </c>
      <c r="C19" s="124">
        <v>5314.0829729999996</v>
      </c>
      <c r="D19" s="124">
        <v>8764.3166000000001</v>
      </c>
      <c r="E19" s="124">
        <v>9170.5809000000008</v>
      </c>
      <c r="F19" s="124">
        <v>4907.8186729999998</v>
      </c>
      <c r="G19" s="124">
        <v>7629.8756000000003</v>
      </c>
      <c r="H19" s="124">
        <v>12537.694272999999</v>
      </c>
      <c r="I19" s="157">
        <v>0.60855492516123799</v>
      </c>
      <c r="J19" s="106">
        <v>18.876225665384599</v>
      </c>
      <c r="K19" s="106">
        <v>1.68595626004809</v>
      </c>
      <c r="L19" s="13"/>
      <c r="N19" s="2"/>
    </row>
    <row r="20" spans="1:14" ht="22.5" customHeight="1" x14ac:dyDescent="0.3">
      <c r="A20" s="536"/>
      <c r="B20" s="138" t="s">
        <v>276</v>
      </c>
      <c r="C20" s="122">
        <v>3705.7448220000001</v>
      </c>
      <c r="D20" s="122">
        <v>590.34</v>
      </c>
      <c r="E20" s="122">
        <v>590.34</v>
      </c>
      <c r="F20" s="122">
        <v>3705.7448220000001</v>
      </c>
      <c r="G20" s="122">
        <v>50951.13</v>
      </c>
      <c r="H20" s="122">
        <v>54656.874821999998</v>
      </c>
      <c r="I20" s="156">
        <v>0.932199840659232</v>
      </c>
      <c r="J20" s="126">
        <v>21.5450280348837</v>
      </c>
      <c r="K20" s="126">
        <v>0.14494816639286601</v>
      </c>
      <c r="L20" s="13"/>
      <c r="N20" s="2"/>
    </row>
    <row r="21" spans="1:14" ht="22.5" customHeight="1" x14ac:dyDescent="0.3">
      <c r="A21" s="536"/>
      <c r="B21" s="39" t="s">
        <v>277</v>
      </c>
      <c r="C21" s="124">
        <v>3705.7448220000001</v>
      </c>
      <c r="D21" s="124">
        <v>590.34</v>
      </c>
      <c r="E21" s="124">
        <v>590.34</v>
      </c>
      <c r="F21" s="124">
        <v>3705.7448220000001</v>
      </c>
      <c r="G21" s="124">
        <v>50951.13</v>
      </c>
      <c r="H21" s="124">
        <v>54656.874821999998</v>
      </c>
      <c r="I21" s="157">
        <v>0.932199840659232</v>
      </c>
      <c r="J21" s="106">
        <v>21.5450280348837</v>
      </c>
      <c r="K21" s="106">
        <v>0.14494816639286601</v>
      </c>
      <c r="L21" s="13"/>
      <c r="N21" s="2"/>
    </row>
    <row r="22" spans="1:14" ht="22.5" customHeight="1" x14ac:dyDescent="0.3">
      <c r="A22" s="536" t="s">
        <v>234</v>
      </c>
      <c r="B22" s="138" t="s">
        <v>235</v>
      </c>
      <c r="C22" s="122">
        <v>17527.453951</v>
      </c>
      <c r="D22" s="122">
        <v>23316.206200000001</v>
      </c>
      <c r="E22" s="122">
        <v>31599.427299999999</v>
      </c>
      <c r="F22" s="122">
        <v>9244.2328510000007</v>
      </c>
      <c r="G22" s="122">
        <v>45572.224800000004</v>
      </c>
      <c r="H22" s="122">
        <v>54816.457650999997</v>
      </c>
      <c r="I22" s="156">
        <v>0.83136026574618804</v>
      </c>
      <c r="J22" s="126">
        <v>33.493597286231903</v>
      </c>
      <c r="K22" s="126">
        <v>0.46967954735291101</v>
      </c>
      <c r="L22" s="13"/>
      <c r="N22" s="2"/>
    </row>
    <row r="23" spans="1:14" ht="22.5" customHeight="1" x14ac:dyDescent="0.3">
      <c r="A23" s="536"/>
      <c r="B23" s="85" t="s">
        <v>236</v>
      </c>
      <c r="C23" s="124">
        <v>17527.453951</v>
      </c>
      <c r="D23" s="124">
        <v>23316.206200000001</v>
      </c>
      <c r="E23" s="124">
        <v>31599.427299999999</v>
      </c>
      <c r="F23" s="124">
        <v>9244.2328510000007</v>
      </c>
      <c r="G23" s="124">
        <v>45572.224800000004</v>
      </c>
      <c r="H23" s="124">
        <v>54816.457650999997</v>
      </c>
      <c r="I23" s="157">
        <v>0.83136026574618804</v>
      </c>
      <c r="J23" s="106">
        <v>33.493597286231903</v>
      </c>
      <c r="K23" s="106">
        <v>0.46967954735291101</v>
      </c>
      <c r="L23" s="13"/>
      <c r="N23" s="2"/>
    </row>
    <row r="24" spans="1:14" ht="22.5" customHeight="1" x14ac:dyDescent="0.3">
      <c r="A24" s="6" t="s">
        <v>455</v>
      </c>
      <c r="B24" s="114" t="s">
        <v>644</v>
      </c>
      <c r="C24" s="122">
        <v>120964.836583</v>
      </c>
      <c r="D24" s="122">
        <v>52156.501400000001</v>
      </c>
      <c r="E24" s="122">
        <v>90904.553700000004</v>
      </c>
      <c r="F24" s="122">
        <v>82216.784283000001</v>
      </c>
      <c r="G24" s="122">
        <v>226725.4785</v>
      </c>
      <c r="H24" s="122">
        <v>308942.26278300001</v>
      </c>
      <c r="I24" s="156">
        <v>0.73387653879926196</v>
      </c>
      <c r="J24" s="126">
        <v>17.504105659569898</v>
      </c>
      <c r="K24" s="126">
        <v>0.58045074082729098</v>
      </c>
      <c r="L24" s="13"/>
      <c r="N24" s="2"/>
    </row>
    <row r="25" spans="1:14" ht="49.2" customHeight="1" x14ac:dyDescent="0.3">
      <c r="A25" s="546" t="s">
        <v>901</v>
      </c>
      <c r="B25" s="546"/>
      <c r="C25" s="546"/>
      <c r="D25" s="546"/>
      <c r="E25" s="546"/>
      <c r="F25" s="546"/>
      <c r="G25" s="546"/>
      <c r="H25" s="546"/>
      <c r="I25" s="546"/>
      <c r="J25" s="546"/>
      <c r="K25" s="546"/>
      <c r="L25" s="2"/>
    </row>
    <row r="26" spans="1:14" ht="78" customHeight="1" x14ac:dyDescent="0.3">
      <c r="A26" s="625"/>
      <c r="B26" s="625"/>
      <c r="C26" s="625"/>
      <c r="D26" s="625"/>
      <c r="E26" s="625"/>
      <c r="F26" s="625"/>
      <c r="G26" s="625"/>
      <c r="H26" s="625"/>
      <c r="I26" s="625"/>
      <c r="J26" s="625"/>
      <c r="K26" s="625"/>
      <c r="L26" s="2"/>
    </row>
    <row r="27" spans="1:14" ht="22.5" customHeight="1" x14ac:dyDescent="0.3">
      <c r="A27" s="307"/>
      <c r="B27" s="307"/>
      <c r="C27" s="307"/>
      <c r="D27" s="307"/>
      <c r="E27" s="307"/>
      <c r="F27" s="307"/>
      <c r="G27" s="307"/>
      <c r="H27" s="307"/>
      <c r="I27" s="307"/>
      <c r="J27" s="307"/>
      <c r="K27" s="307"/>
      <c r="L27" s="2"/>
      <c r="M27" s="316"/>
    </row>
    <row r="28" spans="1:14" ht="22.5" customHeight="1" x14ac:dyDescent="0.3">
      <c r="A28" s="332"/>
      <c r="B28" s="332"/>
      <c r="C28" s="332"/>
      <c r="D28" s="332"/>
      <c r="E28" s="332"/>
      <c r="F28" s="332"/>
      <c r="G28" s="332"/>
      <c r="H28" s="332"/>
      <c r="I28" s="332"/>
      <c r="J28" s="332"/>
      <c r="K28" s="307"/>
      <c r="L28" s="2"/>
      <c r="M28" s="316"/>
    </row>
    <row r="29" spans="1:14" ht="22.5" customHeight="1" x14ac:dyDescent="0.3">
      <c r="A29" s="552" t="s">
        <v>902</v>
      </c>
      <c r="B29" s="553" t="s">
        <v>207</v>
      </c>
      <c r="C29" s="634" t="s">
        <v>903</v>
      </c>
      <c r="D29" s="634"/>
      <c r="E29" s="634"/>
      <c r="F29" s="634"/>
      <c r="G29" s="634" t="s">
        <v>894</v>
      </c>
      <c r="H29" s="634"/>
      <c r="I29" s="634"/>
      <c r="J29" s="634"/>
      <c r="K29" s="13"/>
    </row>
    <row r="30" spans="1:14" ht="22.5" customHeight="1" x14ac:dyDescent="0.3">
      <c r="A30" s="552"/>
      <c r="B30" s="553"/>
      <c r="C30" s="5" t="s">
        <v>904</v>
      </c>
      <c r="D30" s="5" t="s">
        <v>905</v>
      </c>
      <c r="E30" s="5" t="s">
        <v>906</v>
      </c>
      <c r="F30" s="5" t="s">
        <v>318</v>
      </c>
      <c r="G30" s="5" t="s">
        <v>904</v>
      </c>
      <c r="H30" s="5" t="s">
        <v>905</v>
      </c>
      <c r="I30" s="5" t="s">
        <v>906</v>
      </c>
      <c r="J30" s="5" t="s">
        <v>318</v>
      </c>
      <c r="K30" s="13"/>
    </row>
    <row r="31" spans="1:14" ht="22.5" customHeight="1" x14ac:dyDescent="0.3">
      <c r="A31" s="536" t="s">
        <v>245</v>
      </c>
      <c r="B31" s="138" t="s">
        <v>246</v>
      </c>
      <c r="C31" s="83">
        <v>17937</v>
      </c>
      <c r="D31" s="83">
        <v>2211.3690000000001</v>
      </c>
      <c r="E31" s="83">
        <v>0</v>
      </c>
      <c r="F31" s="83">
        <v>20148.368999999999</v>
      </c>
      <c r="G31" s="83">
        <v>6496</v>
      </c>
      <c r="H31" s="83">
        <v>0</v>
      </c>
      <c r="I31" s="83">
        <v>0</v>
      </c>
      <c r="J31" s="83">
        <v>6496</v>
      </c>
      <c r="K31" s="13"/>
    </row>
    <row r="32" spans="1:14" ht="22.5" customHeight="1" x14ac:dyDescent="0.3">
      <c r="A32" s="536"/>
      <c r="B32" s="39" t="s">
        <v>514</v>
      </c>
      <c r="C32" s="38">
        <v>10975</v>
      </c>
      <c r="D32" s="38">
        <v>1982</v>
      </c>
      <c r="E32" s="38">
        <v>0</v>
      </c>
      <c r="F32" s="38">
        <v>12957</v>
      </c>
      <c r="G32" s="38">
        <v>5084</v>
      </c>
      <c r="H32" s="38">
        <v>0</v>
      </c>
      <c r="I32" s="38">
        <v>0</v>
      </c>
      <c r="J32" s="38">
        <v>5084</v>
      </c>
      <c r="K32" s="13"/>
    </row>
    <row r="33" spans="1:11" ht="22.5" customHeight="1" x14ac:dyDescent="0.3">
      <c r="A33" s="536"/>
      <c r="B33" s="39" t="s">
        <v>247</v>
      </c>
      <c r="C33" s="38">
        <v>6962</v>
      </c>
      <c r="D33" s="38">
        <v>229.369</v>
      </c>
      <c r="E33" s="38">
        <v>0</v>
      </c>
      <c r="F33" s="38">
        <v>7191.3689999999997</v>
      </c>
      <c r="G33" s="38">
        <v>1412</v>
      </c>
      <c r="H33" s="38">
        <v>0</v>
      </c>
      <c r="I33" s="38">
        <v>0</v>
      </c>
      <c r="J33" s="38">
        <v>1412</v>
      </c>
      <c r="K33" s="13"/>
    </row>
    <row r="34" spans="1:11" ht="22.5" customHeight="1" x14ac:dyDescent="0.3">
      <c r="A34" s="536" t="s">
        <v>251</v>
      </c>
      <c r="B34" s="138" t="s">
        <v>252</v>
      </c>
      <c r="C34" s="83">
        <v>12215.2796</v>
      </c>
      <c r="D34" s="83">
        <v>10646.9917</v>
      </c>
      <c r="E34" s="83">
        <v>16.8096</v>
      </c>
      <c r="F34" s="83">
        <v>22879.080900000001</v>
      </c>
      <c r="G34" s="83">
        <v>0</v>
      </c>
      <c r="H34" s="83">
        <v>521.11599999999999</v>
      </c>
      <c r="I34" s="83">
        <v>1890.7860000000001</v>
      </c>
      <c r="J34" s="83">
        <v>2411.902</v>
      </c>
      <c r="K34" s="13"/>
    </row>
    <row r="35" spans="1:11" ht="22.5" customHeight="1" x14ac:dyDescent="0.3">
      <c r="A35" s="536"/>
      <c r="B35" s="39" t="s">
        <v>253</v>
      </c>
      <c r="C35" s="38">
        <v>10870.6816</v>
      </c>
      <c r="D35" s="38">
        <v>7852.5919999999996</v>
      </c>
      <c r="E35" s="38">
        <v>0</v>
      </c>
      <c r="F35" s="38">
        <v>18723.2736</v>
      </c>
      <c r="G35" s="38">
        <v>0</v>
      </c>
      <c r="H35" s="38">
        <v>521.11599999999999</v>
      </c>
      <c r="I35" s="38">
        <v>1821</v>
      </c>
      <c r="J35" s="38">
        <v>2342.116</v>
      </c>
      <c r="K35" s="13"/>
    </row>
    <row r="36" spans="1:11" ht="22.5" customHeight="1" x14ac:dyDescent="0.3">
      <c r="A36" s="536"/>
      <c r="B36" s="39" t="s">
        <v>256</v>
      </c>
      <c r="C36" s="38">
        <v>1344.598</v>
      </c>
      <c r="D36" s="38">
        <v>2794.3996999999999</v>
      </c>
      <c r="E36" s="38">
        <v>16.8096</v>
      </c>
      <c r="F36" s="38">
        <v>4155.8073000000004</v>
      </c>
      <c r="G36" s="38">
        <v>0</v>
      </c>
      <c r="H36" s="38">
        <v>0</v>
      </c>
      <c r="I36" s="38">
        <v>69.786000000000001</v>
      </c>
      <c r="J36" s="38">
        <v>69.786000000000001</v>
      </c>
      <c r="K36" s="13"/>
    </row>
    <row r="37" spans="1:11" ht="22.5" customHeight="1" x14ac:dyDescent="0.3">
      <c r="A37" s="536" t="s">
        <v>213</v>
      </c>
      <c r="B37" s="23" t="s">
        <v>328</v>
      </c>
      <c r="C37" s="83">
        <v>969.31</v>
      </c>
      <c r="D37" s="83">
        <v>0</v>
      </c>
      <c r="E37" s="83">
        <v>30.1</v>
      </c>
      <c r="F37" s="83">
        <v>999.41</v>
      </c>
      <c r="G37" s="83">
        <v>0</v>
      </c>
      <c r="H37" s="83">
        <v>0</v>
      </c>
      <c r="I37" s="83">
        <v>0</v>
      </c>
      <c r="J37" s="83">
        <v>0</v>
      </c>
      <c r="K37" s="13"/>
    </row>
    <row r="38" spans="1:11" ht="22.5" customHeight="1" x14ac:dyDescent="0.3">
      <c r="A38" s="536"/>
      <c r="B38" s="39" t="s">
        <v>453</v>
      </c>
      <c r="C38" s="38">
        <v>969.31</v>
      </c>
      <c r="D38" s="38">
        <v>0</v>
      </c>
      <c r="E38" s="38">
        <v>30.1</v>
      </c>
      <c r="F38" s="38">
        <v>999.41</v>
      </c>
      <c r="G38" s="38">
        <v>0</v>
      </c>
      <c r="H38" s="38">
        <v>0</v>
      </c>
      <c r="I38" s="38">
        <v>0</v>
      </c>
      <c r="J38" s="38">
        <v>0</v>
      </c>
      <c r="K38" s="13"/>
    </row>
    <row r="39" spans="1:11" ht="22.5" customHeight="1" x14ac:dyDescent="0.3">
      <c r="A39" s="536"/>
      <c r="B39" s="138" t="s">
        <v>214</v>
      </c>
      <c r="C39" s="83">
        <v>2550.5337</v>
      </c>
      <c r="D39" s="83">
        <v>0</v>
      </c>
      <c r="E39" s="83">
        <v>19334.307100000002</v>
      </c>
      <c r="F39" s="83">
        <v>21884.840800000002</v>
      </c>
      <c r="G39" s="83">
        <v>205.40199999999999</v>
      </c>
      <c r="H39" s="83">
        <v>0</v>
      </c>
      <c r="I39" s="83">
        <v>297.93299999999999</v>
      </c>
      <c r="J39" s="83">
        <v>503.33499999999998</v>
      </c>
      <c r="K39" s="13"/>
    </row>
    <row r="40" spans="1:11" ht="22.5" customHeight="1" x14ac:dyDescent="0.3">
      <c r="A40" s="536"/>
      <c r="B40" s="39" t="s">
        <v>215</v>
      </c>
      <c r="C40" s="38">
        <v>2550.5337</v>
      </c>
      <c r="D40" s="38">
        <v>0</v>
      </c>
      <c r="E40" s="38">
        <v>19334.307100000002</v>
      </c>
      <c r="F40" s="38">
        <v>21884.840800000002</v>
      </c>
      <c r="G40" s="38">
        <v>205.40199999999999</v>
      </c>
      <c r="H40" s="38">
        <v>0</v>
      </c>
      <c r="I40" s="38">
        <v>297.93299999999999</v>
      </c>
      <c r="J40" s="38">
        <v>503.33499999999998</v>
      </c>
      <c r="K40" s="13"/>
    </row>
    <row r="41" spans="1:11" ht="22.5" customHeight="1" x14ac:dyDescent="0.3">
      <c r="A41" s="536"/>
      <c r="B41" s="138" t="s">
        <v>265</v>
      </c>
      <c r="C41" s="83">
        <v>40043.519999999997</v>
      </c>
      <c r="D41" s="83">
        <v>2610</v>
      </c>
      <c r="E41" s="83">
        <v>0</v>
      </c>
      <c r="F41" s="83">
        <v>42653.52</v>
      </c>
      <c r="G41" s="83">
        <v>157.6</v>
      </c>
      <c r="H41" s="83">
        <v>36206</v>
      </c>
      <c r="I41" s="83">
        <v>0</v>
      </c>
      <c r="J41" s="83">
        <v>36363.599999999999</v>
      </c>
      <c r="K41" s="13"/>
    </row>
    <row r="42" spans="1:11" ht="22.5" customHeight="1" x14ac:dyDescent="0.3">
      <c r="A42" s="536"/>
      <c r="B42" s="39" t="s">
        <v>266</v>
      </c>
      <c r="C42" s="38">
        <v>40043.519999999997</v>
      </c>
      <c r="D42" s="38">
        <v>2610</v>
      </c>
      <c r="E42" s="38">
        <v>0</v>
      </c>
      <c r="F42" s="38">
        <v>42653.52</v>
      </c>
      <c r="G42" s="38">
        <v>157.6</v>
      </c>
      <c r="H42" s="38">
        <v>36206</v>
      </c>
      <c r="I42" s="38">
        <v>0</v>
      </c>
      <c r="J42" s="38">
        <v>36363.599999999999</v>
      </c>
      <c r="K42" s="13"/>
    </row>
    <row r="43" spans="1:11" ht="22.5" customHeight="1" x14ac:dyDescent="0.3">
      <c r="A43" s="536" t="s">
        <v>224</v>
      </c>
      <c r="B43" s="138" t="s">
        <v>225</v>
      </c>
      <c r="C43" s="83">
        <v>6589.0652</v>
      </c>
      <c r="D43" s="83">
        <v>9995.9228000000003</v>
      </c>
      <c r="E43" s="83">
        <v>2831.3842</v>
      </c>
      <c r="F43" s="83">
        <v>19416.372200000002</v>
      </c>
      <c r="G43" s="83">
        <v>10165.796</v>
      </c>
      <c r="H43" s="83">
        <v>2681.1460000000002</v>
      </c>
      <c r="I43" s="83">
        <v>93.007999999999996</v>
      </c>
      <c r="J43" s="83">
        <v>12939.95</v>
      </c>
      <c r="K43" s="13"/>
    </row>
    <row r="44" spans="1:11" ht="22.5" customHeight="1" x14ac:dyDescent="0.3">
      <c r="A44" s="536"/>
      <c r="B44" s="39" t="s">
        <v>226</v>
      </c>
      <c r="C44" s="38">
        <v>423.65100000000001</v>
      </c>
      <c r="D44" s="38">
        <v>47.814999999999998</v>
      </c>
      <c r="E44" s="38">
        <v>2760.9929999999999</v>
      </c>
      <c r="F44" s="38">
        <v>3232.4589999999998</v>
      </c>
      <c r="G44" s="38">
        <v>2187.223</v>
      </c>
      <c r="H44" s="38">
        <v>38.790999999999997</v>
      </c>
      <c r="I44" s="38">
        <v>0</v>
      </c>
      <c r="J44" s="38">
        <v>2226.0140000000001</v>
      </c>
      <c r="K44" s="13"/>
    </row>
    <row r="45" spans="1:11" ht="22.5" customHeight="1" x14ac:dyDescent="0.3">
      <c r="A45" s="536"/>
      <c r="B45" s="39" t="s">
        <v>454</v>
      </c>
      <c r="C45" s="38">
        <v>266.47190000000001</v>
      </c>
      <c r="D45" s="38">
        <v>1839.0417</v>
      </c>
      <c r="E45" s="38">
        <v>0</v>
      </c>
      <c r="F45" s="38">
        <v>2105.5136000000002</v>
      </c>
      <c r="G45" s="38">
        <v>0</v>
      </c>
      <c r="H45" s="38">
        <v>1543.355</v>
      </c>
      <c r="I45" s="38">
        <v>0</v>
      </c>
      <c r="J45" s="38">
        <v>1543.355</v>
      </c>
      <c r="K45" s="13"/>
    </row>
    <row r="46" spans="1:11" ht="22.5" customHeight="1" x14ac:dyDescent="0.3">
      <c r="A46" s="536"/>
      <c r="B46" s="39" t="s">
        <v>230</v>
      </c>
      <c r="C46" s="38">
        <v>5898.9422999999997</v>
      </c>
      <c r="D46" s="38">
        <v>8109.0661</v>
      </c>
      <c r="E46" s="38">
        <v>70.391199999999998</v>
      </c>
      <c r="F46" s="38">
        <v>14078.399600000001</v>
      </c>
      <c r="G46" s="38">
        <v>7978.5730000000003</v>
      </c>
      <c r="H46" s="38">
        <v>1099</v>
      </c>
      <c r="I46" s="38">
        <v>93.007999999999996</v>
      </c>
      <c r="J46" s="38">
        <v>9170.5810000000001</v>
      </c>
      <c r="K46" s="13"/>
    </row>
    <row r="47" spans="1:11" ht="22.5" customHeight="1" x14ac:dyDescent="0.3">
      <c r="A47" s="536"/>
      <c r="B47" s="138" t="s">
        <v>276</v>
      </c>
      <c r="C47" s="83">
        <v>3251.7143000000001</v>
      </c>
      <c r="D47" s="83">
        <v>0</v>
      </c>
      <c r="E47" s="83">
        <v>1044.3705</v>
      </c>
      <c r="F47" s="83">
        <v>4296.0847999999996</v>
      </c>
      <c r="G47" s="83">
        <v>590.34</v>
      </c>
      <c r="H47" s="83">
        <v>0</v>
      </c>
      <c r="I47" s="83">
        <v>0</v>
      </c>
      <c r="J47" s="83">
        <v>590.34</v>
      </c>
      <c r="K47" s="13"/>
    </row>
    <row r="48" spans="1:11" ht="21.6" customHeight="1" x14ac:dyDescent="0.3">
      <c r="A48" s="536"/>
      <c r="B48" s="39" t="s">
        <v>277</v>
      </c>
      <c r="C48" s="38">
        <v>3251.7143000000001</v>
      </c>
      <c r="D48" s="38">
        <v>0</v>
      </c>
      <c r="E48" s="38">
        <v>1044.3705</v>
      </c>
      <c r="F48" s="38">
        <v>4296.0847999999996</v>
      </c>
      <c r="G48" s="38">
        <v>590.34</v>
      </c>
      <c r="H48" s="38">
        <v>0</v>
      </c>
      <c r="I48" s="38">
        <v>0</v>
      </c>
      <c r="J48" s="38">
        <v>590.34</v>
      </c>
      <c r="K48" s="13"/>
    </row>
    <row r="49" spans="1:12" ht="21.6" customHeight="1" x14ac:dyDescent="0.3">
      <c r="A49" s="536" t="s">
        <v>234</v>
      </c>
      <c r="B49" s="138" t="s">
        <v>235</v>
      </c>
      <c r="C49" s="83">
        <v>40403.1443</v>
      </c>
      <c r="D49" s="83">
        <v>328.04079999999999</v>
      </c>
      <c r="E49" s="83">
        <v>112.4751</v>
      </c>
      <c r="F49" s="83">
        <v>40843.660199999998</v>
      </c>
      <c r="G49" s="83">
        <v>7410.6379999999999</v>
      </c>
      <c r="H49" s="83">
        <v>16883.098000000002</v>
      </c>
      <c r="I49" s="83">
        <v>7305.692</v>
      </c>
      <c r="J49" s="83">
        <v>31599.428</v>
      </c>
      <c r="K49" s="13"/>
    </row>
    <row r="50" spans="1:12" ht="21.6" customHeight="1" x14ac:dyDescent="0.3">
      <c r="A50" s="536"/>
      <c r="B50" s="39" t="s">
        <v>236</v>
      </c>
      <c r="C50" s="38">
        <v>40403.1443</v>
      </c>
      <c r="D50" s="38">
        <v>328.04079999999999</v>
      </c>
      <c r="E50" s="38">
        <v>112.4751</v>
      </c>
      <c r="F50" s="38">
        <v>40843.660199999998</v>
      </c>
      <c r="G50" s="38">
        <v>7410.6379999999999</v>
      </c>
      <c r="H50" s="38">
        <v>16883.098000000002</v>
      </c>
      <c r="I50" s="38">
        <v>7305.692</v>
      </c>
      <c r="J50" s="38">
        <v>31599.428</v>
      </c>
      <c r="K50" s="13"/>
    </row>
    <row r="51" spans="1:12" ht="21.6" customHeight="1" x14ac:dyDescent="0.3">
      <c r="A51" s="6" t="s">
        <v>455</v>
      </c>
      <c r="B51" s="114" t="s">
        <v>644</v>
      </c>
      <c r="C51" s="83">
        <v>123959.5671</v>
      </c>
      <c r="D51" s="83">
        <v>25792.3243</v>
      </c>
      <c r="E51" s="83">
        <v>23369.446499999998</v>
      </c>
      <c r="F51" s="83">
        <v>173121.33790000001</v>
      </c>
      <c r="G51" s="83">
        <v>25025.776000000002</v>
      </c>
      <c r="H51" s="83">
        <v>56291.360000000001</v>
      </c>
      <c r="I51" s="83">
        <v>9587.4189999999999</v>
      </c>
      <c r="J51" s="83">
        <v>90904.554999999993</v>
      </c>
      <c r="K51" s="13"/>
    </row>
    <row r="52" spans="1:12" ht="15.75" customHeight="1" x14ac:dyDescent="0.3">
      <c r="A52" s="532" t="s">
        <v>907</v>
      </c>
      <c r="B52" s="532"/>
      <c r="C52" s="532"/>
      <c r="D52" s="532"/>
      <c r="E52" s="532"/>
      <c r="F52" s="532"/>
      <c r="G52" s="532"/>
      <c r="H52" s="532"/>
      <c r="I52" s="532"/>
      <c r="J52" s="532"/>
      <c r="L52" s="2"/>
    </row>
    <row r="53" spans="1:12" ht="15.75" customHeight="1" x14ac:dyDescent="0.3">
      <c r="A53" s="598"/>
      <c r="B53" s="598"/>
      <c r="C53" s="598"/>
      <c r="D53" s="598"/>
      <c r="E53" s="598"/>
      <c r="F53" s="598"/>
      <c r="G53" s="598"/>
      <c r="H53" s="598"/>
      <c r="I53" s="598"/>
      <c r="J53" s="598"/>
      <c r="L53" s="2"/>
    </row>
    <row r="54" spans="1:12" ht="15.75" customHeight="1" x14ac:dyDescent="0.3">
      <c r="A54" s="598"/>
      <c r="B54" s="598"/>
      <c r="C54" s="598"/>
      <c r="D54" s="598"/>
      <c r="E54" s="598"/>
      <c r="F54" s="598"/>
      <c r="G54" s="598"/>
      <c r="H54" s="598"/>
      <c r="I54" s="598"/>
      <c r="J54" s="598"/>
      <c r="L54" s="2"/>
    </row>
    <row r="55" spans="1:12" ht="13.35" customHeight="1" x14ac:dyDescent="0.3">
      <c r="L55" s="2"/>
    </row>
    <row r="56" spans="1:12" ht="15" customHeight="1" x14ac:dyDescent="0.25"/>
    <row r="57" spans="1:12" ht="37.5" customHeight="1" x14ac:dyDescent="0.3">
      <c r="A57" s="33" t="s">
        <v>908</v>
      </c>
      <c r="B57" s="5" t="s">
        <v>207</v>
      </c>
      <c r="C57" s="5" t="s">
        <v>909</v>
      </c>
      <c r="D57" s="5" t="s">
        <v>910</v>
      </c>
      <c r="E57" s="5" t="s">
        <v>911</v>
      </c>
      <c r="F57" s="5" t="s">
        <v>912</v>
      </c>
      <c r="G57" s="5" t="s">
        <v>913</v>
      </c>
      <c r="H57" s="22" t="s">
        <v>914</v>
      </c>
      <c r="I57" s="13"/>
    </row>
    <row r="58" spans="1:12" ht="22.5" customHeight="1" x14ac:dyDescent="0.3">
      <c r="A58" s="536" t="s">
        <v>245</v>
      </c>
      <c r="B58" s="23" t="s">
        <v>246</v>
      </c>
      <c r="C58" s="83">
        <v>172</v>
      </c>
      <c r="D58" s="83">
        <v>2520.3690000000001</v>
      </c>
      <c r="E58" s="83">
        <v>14151</v>
      </c>
      <c r="F58" s="83">
        <v>0</v>
      </c>
      <c r="G58" s="83">
        <v>16843.368999999999</v>
      </c>
      <c r="H58" s="83">
        <v>3305</v>
      </c>
      <c r="I58" s="13"/>
    </row>
    <row r="59" spans="1:12" ht="22.5" customHeight="1" x14ac:dyDescent="0.3">
      <c r="A59" s="536"/>
      <c r="B59" s="39" t="s">
        <v>514</v>
      </c>
      <c r="C59" s="38">
        <v>0</v>
      </c>
      <c r="D59" s="38">
        <v>2183</v>
      </c>
      <c r="E59" s="38">
        <v>7577</v>
      </c>
      <c r="F59" s="38">
        <v>0</v>
      </c>
      <c r="G59" s="38">
        <v>9760</v>
      </c>
      <c r="H59" s="38">
        <v>3197</v>
      </c>
      <c r="I59" s="13"/>
    </row>
    <row r="60" spans="1:12" ht="22.5" customHeight="1" x14ac:dyDescent="0.3">
      <c r="A60" s="536"/>
      <c r="B60" s="39" t="s">
        <v>247</v>
      </c>
      <c r="C60" s="38">
        <v>172</v>
      </c>
      <c r="D60" s="38">
        <v>337.36900000000003</v>
      </c>
      <c r="E60" s="38">
        <v>6574</v>
      </c>
      <c r="F60" s="38">
        <v>0</v>
      </c>
      <c r="G60" s="38">
        <v>7083.3689999999997</v>
      </c>
      <c r="H60" s="38">
        <v>108</v>
      </c>
      <c r="I60" s="13"/>
    </row>
    <row r="61" spans="1:12" ht="22.5" customHeight="1" x14ac:dyDescent="0.3">
      <c r="A61" s="536" t="s">
        <v>251</v>
      </c>
      <c r="B61" s="23" t="s">
        <v>252</v>
      </c>
      <c r="C61" s="83">
        <v>2129.4760000000001</v>
      </c>
      <c r="D61" s="83">
        <v>7915.2093000000004</v>
      </c>
      <c r="E61" s="83">
        <v>12215.279612</v>
      </c>
      <c r="F61" s="83">
        <v>98</v>
      </c>
      <c r="G61" s="83">
        <v>22357.964911999999</v>
      </c>
      <c r="H61" s="83">
        <v>521.11599999999999</v>
      </c>
      <c r="I61" s="13"/>
    </row>
    <row r="62" spans="1:12" ht="22.5" customHeight="1" x14ac:dyDescent="0.3">
      <c r="A62" s="536"/>
      <c r="B62" s="39" t="s">
        <v>253</v>
      </c>
      <c r="C62" s="38">
        <v>2129.4760000000001</v>
      </c>
      <c r="D62" s="38">
        <v>5104</v>
      </c>
      <c r="E62" s="38">
        <v>10870.681642</v>
      </c>
      <c r="F62" s="38">
        <v>98</v>
      </c>
      <c r="G62" s="38">
        <v>18202.157641999998</v>
      </c>
      <c r="H62" s="124">
        <v>521.11599999999999</v>
      </c>
      <c r="I62" s="13"/>
    </row>
    <row r="63" spans="1:12" ht="22.5" customHeight="1" x14ac:dyDescent="0.3">
      <c r="A63" s="536"/>
      <c r="B63" s="39" t="s">
        <v>256</v>
      </c>
      <c r="C63" s="38">
        <v>0</v>
      </c>
      <c r="D63" s="38">
        <v>2811.2093</v>
      </c>
      <c r="E63" s="38">
        <v>1344.59797</v>
      </c>
      <c r="F63" s="38">
        <v>0</v>
      </c>
      <c r="G63" s="38">
        <v>4155.8072700000002</v>
      </c>
      <c r="H63" s="124">
        <v>0</v>
      </c>
      <c r="I63" s="13"/>
    </row>
    <row r="64" spans="1:12" ht="22.5" customHeight="1" x14ac:dyDescent="0.3">
      <c r="A64" s="536" t="s">
        <v>213</v>
      </c>
      <c r="B64" s="23" t="s">
        <v>328</v>
      </c>
      <c r="C64" s="83">
        <v>7.7</v>
      </c>
      <c r="D64" s="83">
        <v>909.6</v>
      </c>
      <c r="E64" s="83">
        <v>81.099999999999994</v>
      </c>
      <c r="F64" s="83">
        <v>1.01</v>
      </c>
      <c r="G64" s="83">
        <v>999.41</v>
      </c>
      <c r="H64" s="83">
        <v>0</v>
      </c>
      <c r="I64" s="13"/>
    </row>
    <row r="65" spans="1:9" ht="22.5" customHeight="1" x14ac:dyDescent="0.3">
      <c r="A65" s="536"/>
      <c r="B65" s="85" t="s">
        <v>453</v>
      </c>
      <c r="C65" s="38">
        <v>7.7</v>
      </c>
      <c r="D65" s="38">
        <v>909.6</v>
      </c>
      <c r="E65" s="38">
        <v>81.099999999999994</v>
      </c>
      <c r="F65" s="38">
        <v>1.01</v>
      </c>
      <c r="G65" s="38">
        <v>999.41</v>
      </c>
      <c r="H65" s="134">
        <v>0</v>
      </c>
      <c r="I65" s="13"/>
    </row>
    <row r="66" spans="1:9" ht="22.5" customHeight="1" x14ac:dyDescent="0.3">
      <c r="A66" s="536"/>
      <c r="B66" s="23" t="s">
        <v>214</v>
      </c>
      <c r="C66" s="83">
        <v>0</v>
      </c>
      <c r="D66" s="83">
        <v>19128.904999999999</v>
      </c>
      <c r="E66" s="83">
        <v>2548.663744</v>
      </c>
      <c r="F66" s="83">
        <v>1.87</v>
      </c>
      <c r="G66" s="83">
        <v>21679.438743999999</v>
      </c>
      <c r="H66" s="83">
        <v>205.40209999999999</v>
      </c>
      <c r="I66" s="13"/>
    </row>
    <row r="67" spans="1:9" ht="22.5" customHeight="1" x14ac:dyDescent="0.3">
      <c r="A67" s="536"/>
      <c r="B67" s="85" t="s">
        <v>215</v>
      </c>
      <c r="C67" s="38">
        <v>0</v>
      </c>
      <c r="D67" s="38">
        <v>19128.904999999999</v>
      </c>
      <c r="E67" s="38">
        <v>2548.663744</v>
      </c>
      <c r="F67" s="38">
        <v>1.87</v>
      </c>
      <c r="G67" s="38">
        <v>21679.438743999999</v>
      </c>
      <c r="H67" s="158">
        <v>205.40209999999999</v>
      </c>
      <c r="I67" s="13"/>
    </row>
    <row r="68" spans="1:9" ht="22.5" customHeight="1" x14ac:dyDescent="0.3">
      <c r="A68" s="536"/>
      <c r="B68" s="23" t="s">
        <v>265</v>
      </c>
      <c r="C68" s="83">
        <v>0</v>
      </c>
      <c r="D68" s="83">
        <v>2808</v>
      </c>
      <c r="E68" s="83">
        <v>24943</v>
      </c>
      <c r="F68" s="83">
        <v>1.52</v>
      </c>
      <c r="G68" s="83">
        <v>27752.52</v>
      </c>
      <c r="H68" s="83">
        <v>14901</v>
      </c>
      <c r="I68" s="13"/>
    </row>
    <row r="69" spans="1:9" ht="22.5" customHeight="1" x14ac:dyDescent="0.3">
      <c r="A69" s="536"/>
      <c r="B69" s="85" t="s">
        <v>266</v>
      </c>
      <c r="C69" s="38">
        <v>0</v>
      </c>
      <c r="D69" s="38">
        <v>2808</v>
      </c>
      <c r="E69" s="38">
        <v>24943</v>
      </c>
      <c r="F69" s="38">
        <v>1.52</v>
      </c>
      <c r="G69" s="38">
        <v>27752.52</v>
      </c>
      <c r="H69" s="124">
        <v>14901</v>
      </c>
      <c r="I69" s="13"/>
    </row>
    <row r="70" spans="1:9" ht="22.5" customHeight="1" x14ac:dyDescent="0.3">
      <c r="A70" s="536" t="s">
        <v>224</v>
      </c>
      <c r="B70" s="23" t="s">
        <v>225</v>
      </c>
      <c r="C70" s="83">
        <v>1150.6784</v>
      </c>
      <c r="D70" s="83">
        <v>4518.4130999999998</v>
      </c>
      <c r="E70" s="83">
        <v>4370.9191540000002</v>
      </c>
      <c r="F70" s="83">
        <v>58.924500000000002</v>
      </c>
      <c r="G70" s="83">
        <v>10098.935154000001</v>
      </c>
      <c r="H70" s="83">
        <v>9317.4370999999992</v>
      </c>
      <c r="I70" s="13"/>
    </row>
    <row r="71" spans="1:9" ht="22.5" customHeight="1" x14ac:dyDescent="0.3">
      <c r="A71" s="536"/>
      <c r="B71" s="39" t="s">
        <v>226</v>
      </c>
      <c r="C71" s="38">
        <v>1.7130000000000001</v>
      </c>
      <c r="D71" s="38">
        <v>2949.1129999999998</v>
      </c>
      <c r="E71" s="38">
        <v>281.495</v>
      </c>
      <c r="F71" s="38">
        <v>0.13800000000000001</v>
      </c>
      <c r="G71" s="38">
        <v>3232.4589999999998</v>
      </c>
      <c r="H71" s="158">
        <v>0</v>
      </c>
      <c r="I71" s="13"/>
    </row>
    <row r="72" spans="1:9" ht="22.5" customHeight="1" x14ac:dyDescent="0.3">
      <c r="A72" s="536"/>
      <c r="B72" s="39" t="s">
        <v>454</v>
      </c>
      <c r="C72" s="38">
        <v>476.01979999999998</v>
      </c>
      <c r="D72" s="38">
        <v>827.64239999999995</v>
      </c>
      <c r="E72" s="38">
        <v>248.553281</v>
      </c>
      <c r="F72" s="38">
        <v>0.1777</v>
      </c>
      <c r="G72" s="38">
        <v>1552.3931809999999</v>
      </c>
      <c r="H72" s="134">
        <v>553.12049999999999</v>
      </c>
      <c r="I72" s="13"/>
    </row>
    <row r="73" spans="1:9" ht="22.5" customHeight="1" x14ac:dyDescent="0.3">
      <c r="A73" s="536"/>
      <c r="B73" s="39" t="s">
        <v>230</v>
      </c>
      <c r="C73" s="38">
        <v>672.94560000000001</v>
      </c>
      <c r="D73" s="38">
        <v>741.65769999999998</v>
      </c>
      <c r="E73" s="38">
        <v>3840.8708729999998</v>
      </c>
      <c r="F73" s="38">
        <v>58.608800000000002</v>
      </c>
      <c r="G73" s="38">
        <v>5314.0829729999996</v>
      </c>
      <c r="H73" s="110">
        <v>8764.3166000000001</v>
      </c>
      <c r="I73" s="13"/>
    </row>
    <row r="74" spans="1:9" ht="22.5" customHeight="1" x14ac:dyDescent="0.3">
      <c r="A74" s="536"/>
      <c r="B74" s="23" t="s">
        <v>276</v>
      </c>
      <c r="C74" s="83">
        <v>0</v>
      </c>
      <c r="D74" s="83">
        <v>1044.3705</v>
      </c>
      <c r="E74" s="83">
        <v>1732.744322</v>
      </c>
      <c r="F74" s="83">
        <v>928.63</v>
      </c>
      <c r="G74" s="83">
        <v>3705.7448220000001</v>
      </c>
      <c r="H74" s="83">
        <v>590.34</v>
      </c>
      <c r="I74" s="13"/>
    </row>
    <row r="75" spans="1:9" ht="22.5" customHeight="1" x14ac:dyDescent="0.3">
      <c r="A75" s="536"/>
      <c r="B75" s="39" t="s">
        <v>277</v>
      </c>
      <c r="C75" s="38">
        <v>0</v>
      </c>
      <c r="D75" s="38">
        <v>1044.3705</v>
      </c>
      <c r="E75" s="38">
        <v>1732.744322</v>
      </c>
      <c r="F75" s="38">
        <v>928.63</v>
      </c>
      <c r="G75" s="38">
        <v>3705.7448220000001</v>
      </c>
      <c r="H75" s="124">
        <v>590.34</v>
      </c>
      <c r="I75" s="13"/>
    </row>
    <row r="76" spans="1:9" ht="22.5" customHeight="1" x14ac:dyDescent="0.3">
      <c r="A76" s="536" t="s">
        <v>234</v>
      </c>
      <c r="B76" s="23" t="s">
        <v>235</v>
      </c>
      <c r="C76" s="83">
        <v>0</v>
      </c>
      <c r="D76" s="83">
        <v>440.51589999999999</v>
      </c>
      <c r="E76" s="83">
        <v>17086.601450999999</v>
      </c>
      <c r="F76" s="83">
        <v>0.33660000000000001</v>
      </c>
      <c r="G76" s="83">
        <v>17527.453951</v>
      </c>
      <c r="H76" s="83">
        <v>23316.206200000001</v>
      </c>
      <c r="I76" s="13"/>
    </row>
    <row r="77" spans="1:9" ht="22.5" customHeight="1" x14ac:dyDescent="0.3">
      <c r="A77" s="536"/>
      <c r="B77" s="85" t="s">
        <v>236</v>
      </c>
      <c r="C77" s="38">
        <v>0</v>
      </c>
      <c r="D77" s="38">
        <v>440.51589999999999</v>
      </c>
      <c r="E77" s="38">
        <v>17086.601450999999</v>
      </c>
      <c r="F77" s="38">
        <v>0.33660000000000001</v>
      </c>
      <c r="G77" s="38">
        <v>17527.453951</v>
      </c>
      <c r="H77" s="124">
        <v>23316.206200000001</v>
      </c>
      <c r="I77" s="13"/>
    </row>
    <row r="78" spans="1:9" ht="22.5" customHeight="1" x14ac:dyDescent="0.3">
      <c r="A78" s="6" t="s">
        <v>455</v>
      </c>
      <c r="B78" s="114" t="s">
        <v>644</v>
      </c>
      <c r="C78" s="83">
        <v>3459.8544000000002</v>
      </c>
      <c r="D78" s="83">
        <v>39285.382799999999</v>
      </c>
      <c r="E78" s="83">
        <v>77129.308283000006</v>
      </c>
      <c r="F78" s="83">
        <v>1090.2910999999999</v>
      </c>
      <c r="G78" s="83">
        <v>120964.836583</v>
      </c>
      <c r="H78" s="83">
        <v>52156.501400000001</v>
      </c>
      <c r="I78" s="13"/>
    </row>
    <row r="79" spans="1:9" ht="15.75" customHeight="1" x14ac:dyDescent="0.25">
      <c r="A79" s="532" t="s">
        <v>915</v>
      </c>
      <c r="B79" s="532"/>
      <c r="C79" s="532"/>
      <c r="D79" s="532"/>
      <c r="E79" s="532"/>
      <c r="F79" s="532"/>
      <c r="G79" s="532"/>
      <c r="H79" s="532"/>
    </row>
    <row r="80" spans="1:9" ht="15.75" customHeight="1" x14ac:dyDescent="0.25">
      <c r="A80" s="598"/>
      <c r="B80" s="598"/>
      <c r="C80" s="598"/>
      <c r="D80" s="598"/>
      <c r="E80" s="598"/>
      <c r="F80" s="598"/>
      <c r="G80" s="598"/>
      <c r="H80" s="598"/>
    </row>
    <row r="81" spans="1:8" ht="19.2" customHeight="1" x14ac:dyDescent="0.25"/>
    <row r="82" spans="1:8" ht="19.2" customHeight="1" x14ac:dyDescent="0.25"/>
    <row r="83" spans="1:8" ht="62.4" customHeight="1" x14ac:dyDescent="0.3">
      <c r="A83" s="33" t="s">
        <v>916</v>
      </c>
      <c r="B83" s="5" t="s">
        <v>207</v>
      </c>
      <c r="C83" s="5" t="s">
        <v>917</v>
      </c>
      <c r="D83" s="5" t="s">
        <v>918</v>
      </c>
      <c r="E83" s="5" t="s">
        <v>919</v>
      </c>
      <c r="F83" s="22" t="s">
        <v>920</v>
      </c>
      <c r="G83" s="5" t="s">
        <v>921</v>
      </c>
      <c r="H83" s="13"/>
    </row>
    <row r="84" spans="1:8" ht="15" customHeight="1" x14ac:dyDescent="0.3">
      <c r="A84" s="536" t="s">
        <v>245</v>
      </c>
      <c r="B84" s="138" t="s">
        <v>246</v>
      </c>
      <c r="C84" s="83">
        <v>3305</v>
      </c>
      <c r="D84" s="83">
        <v>0</v>
      </c>
      <c r="E84" s="83">
        <v>0</v>
      </c>
      <c r="F84" s="83">
        <v>3191</v>
      </c>
      <c r="G84" s="83">
        <v>6496</v>
      </c>
      <c r="H84" s="13"/>
    </row>
    <row r="85" spans="1:8" ht="15" customHeight="1" x14ac:dyDescent="0.3">
      <c r="A85" s="536"/>
      <c r="B85" s="39" t="s">
        <v>514</v>
      </c>
      <c r="C85" s="38">
        <v>3197</v>
      </c>
      <c r="D85" s="38">
        <v>0</v>
      </c>
      <c r="E85" s="38">
        <v>0</v>
      </c>
      <c r="F85" s="38">
        <v>1887</v>
      </c>
      <c r="G85" s="38">
        <v>5084</v>
      </c>
      <c r="H85" s="13"/>
    </row>
    <row r="86" spans="1:8" ht="15" customHeight="1" x14ac:dyDescent="0.3">
      <c r="A86" s="536"/>
      <c r="B86" s="39" t="s">
        <v>247</v>
      </c>
      <c r="C86" s="38">
        <v>108</v>
      </c>
      <c r="D86" s="38">
        <v>0</v>
      </c>
      <c r="E86" s="38">
        <v>0</v>
      </c>
      <c r="F86" s="38">
        <v>1304</v>
      </c>
      <c r="G86" s="38">
        <v>1412</v>
      </c>
      <c r="H86" s="13"/>
    </row>
    <row r="87" spans="1:8" ht="15" customHeight="1" x14ac:dyDescent="0.3">
      <c r="A87" s="536" t="s">
        <v>251</v>
      </c>
      <c r="B87" s="138" t="s">
        <v>252</v>
      </c>
      <c r="C87" s="83">
        <v>2411.9018999999998</v>
      </c>
      <c r="D87" s="83">
        <v>0</v>
      </c>
      <c r="E87" s="83">
        <v>0</v>
      </c>
      <c r="F87" s="83">
        <v>0</v>
      </c>
      <c r="G87" s="83">
        <v>2411.9018999999998</v>
      </c>
      <c r="H87" s="13"/>
    </row>
    <row r="88" spans="1:8" ht="15" customHeight="1" x14ac:dyDescent="0.3">
      <c r="A88" s="536"/>
      <c r="B88" s="39" t="s">
        <v>253</v>
      </c>
      <c r="C88" s="38">
        <v>2342.116</v>
      </c>
      <c r="D88" s="38">
        <v>0</v>
      </c>
      <c r="E88" s="38">
        <v>0</v>
      </c>
      <c r="F88" s="38">
        <v>0</v>
      </c>
      <c r="G88" s="38">
        <v>2342.116</v>
      </c>
      <c r="H88" s="13"/>
    </row>
    <row r="89" spans="1:8" ht="15" customHeight="1" x14ac:dyDescent="0.3">
      <c r="A89" s="536"/>
      <c r="B89" s="39" t="s">
        <v>256</v>
      </c>
      <c r="C89" s="38">
        <v>69.785899999999998</v>
      </c>
      <c r="D89" s="38">
        <v>0</v>
      </c>
      <c r="E89" s="38">
        <v>0</v>
      </c>
      <c r="F89" s="38">
        <v>0</v>
      </c>
      <c r="G89" s="38">
        <v>69.785899999999998</v>
      </c>
      <c r="H89" s="13"/>
    </row>
    <row r="90" spans="1:8" ht="15" customHeight="1" x14ac:dyDescent="0.3">
      <c r="A90" s="536" t="s">
        <v>213</v>
      </c>
      <c r="B90" s="138" t="s">
        <v>328</v>
      </c>
      <c r="C90" s="83">
        <v>0</v>
      </c>
      <c r="D90" s="83">
        <v>0</v>
      </c>
      <c r="E90" s="83">
        <v>0</v>
      </c>
      <c r="F90" s="83">
        <v>0</v>
      </c>
      <c r="G90" s="83">
        <v>0</v>
      </c>
      <c r="H90" s="13"/>
    </row>
    <row r="91" spans="1:8" ht="15" customHeight="1" x14ac:dyDescent="0.3">
      <c r="A91" s="536"/>
      <c r="B91" s="85" t="s">
        <v>453</v>
      </c>
      <c r="C91" s="38">
        <v>0</v>
      </c>
      <c r="D91" s="38">
        <v>0</v>
      </c>
      <c r="E91" s="38">
        <v>0</v>
      </c>
      <c r="F91" s="38">
        <v>0</v>
      </c>
      <c r="G91" s="38">
        <v>0</v>
      </c>
      <c r="H91" s="13"/>
    </row>
    <row r="92" spans="1:8" ht="15" customHeight="1" x14ac:dyDescent="0.3">
      <c r="A92" s="536"/>
      <c r="B92" s="138" t="s">
        <v>214</v>
      </c>
      <c r="C92" s="83">
        <v>297.93310000000002</v>
      </c>
      <c r="D92" s="83">
        <v>205.40199999999999</v>
      </c>
      <c r="E92" s="83">
        <v>0</v>
      </c>
      <c r="F92" s="83">
        <v>0</v>
      </c>
      <c r="G92" s="83">
        <v>503.33510000000001</v>
      </c>
      <c r="H92" s="13"/>
    </row>
    <row r="93" spans="1:8" ht="15" customHeight="1" x14ac:dyDescent="0.3">
      <c r="A93" s="536"/>
      <c r="B93" s="85" t="s">
        <v>215</v>
      </c>
      <c r="C93" s="135">
        <v>297.93310000000002</v>
      </c>
      <c r="D93" s="135">
        <v>205.40199999999999</v>
      </c>
      <c r="E93" s="135">
        <v>0</v>
      </c>
      <c r="F93" s="135">
        <v>0</v>
      </c>
      <c r="G93" s="135">
        <v>503.33510000000001</v>
      </c>
      <c r="H93" s="13"/>
    </row>
    <row r="94" spans="1:8" ht="15" customHeight="1" x14ac:dyDescent="0.3">
      <c r="A94" s="536"/>
      <c r="B94" s="138" t="s">
        <v>265</v>
      </c>
      <c r="C94" s="83">
        <v>14760.6</v>
      </c>
      <c r="D94" s="83">
        <v>15936</v>
      </c>
      <c r="E94" s="83">
        <v>0</v>
      </c>
      <c r="F94" s="83">
        <v>5667</v>
      </c>
      <c r="G94" s="83">
        <v>36363.599999999999</v>
      </c>
      <c r="H94" s="13"/>
    </row>
    <row r="95" spans="1:8" ht="15" customHeight="1" x14ac:dyDescent="0.3">
      <c r="A95" s="536"/>
      <c r="B95" s="85" t="s">
        <v>266</v>
      </c>
      <c r="C95" s="38">
        <v>14760.6</v>
      </c>
      <c r="D95" s="38">
        <v>15936</v>
      </c>
      <c r="E95" s="38">
        <v>0</v>
      </c>
      <c r="F95" s="38">
        <v>5667</v>
      </c>
      <c r="G95" s="38">
        <v>36363.599999999999</v>
      </c>
      <c r="H95" s="13"/>
    </row>
    <row r="96" spans="1:8" ht="15" customHeight="1" x14ac:dyDescent="0.3">
      <c r="A96" s="536" t="s">
        <v>224</v>
      </c>
      <c r="B96" s="138" t="s">
        <v>225</v>
      </c>
      <c r="C96" s="83">
        <v>5967.9204</v>
      </c>
      <c r="D96" s="83">
        <v>4610.2259999999997</v>
      </c>
      <c r="E96" s="83">
        <v>135.78899999999999</v>
      </c>
      <c r="F96" s="83">
        <v>2226.0140000000001</v>
      </c>
      <c r="G96" s="83">
        <v>12939.9494</v>
      </c>
      <c r="H96" s="13"/>
    </row>
    <row r="97" spans="1:8" ht="15" customHeight="1" x14ac:dyDescent="0.3">
      <c r="A97" s="536"/>
      <c r="B97" s="39" t="s">
        <v>226</v>
      </c>
      <c r="C97" s="38">
        <v>0</v>
      </c>
      <c r="D97" s="38">
        <v>0</v>
      </c>
      <c r="E97" s="38">
        <v>0</v>
      </c>
      <c r="F97" s="38">
        <v>2226.0140000000001</v>
      </c>
      <c r="G97" s="38">
        <v>2226.0140000000001</v>
      </c>
      <c r="H97" s="13"/>
    </row>
    <row r="98" spans="1:8" ht="15" customHeight="1" x14ac:dyDescent="0.3">
      <c r="A98" s="536"/>
      <c r="B98" s="39" t="s">
        <v>454</v>
      </c>
      <c r="C98" s="38">
        <v>553.12049999999999</v>
      </c>
      <c r="D98" s="38">
        <v>990.23400000000004</v>
      </c>
      <c r="E98" s="38">
        <v>0</v>
      </c>
      <c r="F98" s="38">
        <v>0</v>
      </c>
      <c r="G98" s="38">
        <v>1543.3544999999999</v>
      </c>
      <c r="H98" s="13"/>
    </row>
    <row r="99" spans="1:8" ht="15" customHeight="1" x14ac:dyDescent="0.3">
      <c r="A99" s="536"/>
      <c r="B99" s="39" t="s">
        <v>230</v>
      </c>
      <c r="C99" s="38">
        <v>5414.7999</v>
      </c>
      <c r="D99" s="38">
        <v>3619.9920000000002</v>
      </c>
      <c r="E99" s="38">
        <v>135.78899999999999</v>
      </c>
      <c r="F99" s="38">
        <v>0</v>
      </c>
      <c r="G99" s="38">
        <v>9170.5809000000008</v>
      </c>
      <c r="H99" s="13"/>
    </row>
    <row r="100" spans="1:8" ht="15" customHeight="1" x14ac:dyDescent="0.3">
      <c r="A100" s="536"/>
      <c r="B100" s="138" t="s">
        <v>276</v>
      </c>
      <c r="C100" s="83">
        <v>590.34</v>
      </c>
      <c r="D100" s="83">
        <v>0</v>
      </c>
      <c r="E100" s="83">
        <v>0</v>
      </c>
      <c r="F100" s="83">
        <v>0</v>
      </c>
      <c r="G100" s="83">
        <v>590.34</v>
      </c>
      <c r="H100" s="13"/>
    </row>
    <row r="101" spans="1:8" ht="15" customHeight="1" x14ac:dyDescent="0.3">
      <c r="A101" s="536"/>
      <c r="B101" s="39" t="s">
        <v>277</v>
      </c>
      <c r="C101" s="38">
        <v>590.34</v>
      </c>
      <c r="D101" s="38">
        <v>0</v>
      </c>
      <c r="E101" s="38">
        <v>0</v>
      </c>
      <c r="F101" s="38">
        <v>0</v>
      </c>
      <c r="G101" s="38">
        <v>590.34</v>
      </c>
      <c r="H101" s="13"/>
    </row>
    <row r="102" spans="1:8" ht="15" customHeight="1" x14ac:dyDescent="0.3">
      <c r="A102" s="536" t="s">
        <v>234</v>
      </c>
      <c r="B102" s="138" t="s">
        <v>235</v>
      </c>
      <c r="C102" s="83">
        <v>7305.6922999999997</v>
      </c>
      <c r="D102" s="83">
        <v>16084.882</v>
      </c>
      <c r="E102" s="83">
        <v>0</v>
      </c>
      <c r="F102" s="83">
        <v>8208.8529999999992</v>
      </c>
      <c r="G102" s="83">
        <v>31599.427299999999</v>
      </c>
      <c r="H102" s="13"/>
    </row>
    <row r="103" spans="1:8" ht="15" customHeight="1" x14ac:dyDescent="0.3">
      <c r="A103" s="536"/>
      <c r="B103" s="85" t="s">
        <v>236</v>
      </c>
      <c r="C103" s="38">
        <v>7305.6922999999997</v>
      </c>
      <c r="D103" s="38">
        <v>16084.882</v>
      </c>
      <c r="E103" s="38">
        <v>0</v>
      </c>
      <c r="F103" s="38">
        <v>8208.8529999999992</v>
      </c>
      <c r="G103" s="38">
        <v>31599.427299999999</v>
      </c>
      <c r="H103" s="13"/>
    </row>
    <row r="104" spans="1:8" ht="15" customHeight="1" x14ac:dyDescent="0.3">
      <c r="A104" s="6" t="s">
        <v>455</v>
      </c>
      <c r="B104" s="114" t="s">
        <v>644</v>
      </c>
      <c r="C104" s="83">
        <v>34639.387699999999</v>
      </c>
      <c r="D104" s="83">
        <v>36836.51</v>
      </c>
      <c r="E104" s="83">
        <v>135.78899999999999</v>
      </c>
      <c r="F104" s="83">
        <v>19292.866999999998</v>
      </c>
      <c r="G104" s="83">
        <v>90904.553700000004</v>
      </c>
      <c r="H104" s="13"/>
    </row>
    <row r="105" spans="1:8" ht="24.75" customHeight="1" x14ac:dyDescent="0.25">
      <c r="A105" s="546" t="s">
        <v>922</v>
      </c>
      <c r="B105" s="546"/>
      <c r="C105" s="546"/>
      <c r="D105" s="546"/>
      <c r="E105" s="546"/>
      <c r="F105" s="546"/>
      <c r="G105" s="546"/>
    </row>
    <row r="106" spans="1:8" ht="15" customHeight="1" x14ac:dyDescent="0.25">
      <c r="A106" s="625"/>
      <c r="B106" s="625"/>
      <c r="C106" s="625"/>
      <c r="D106" s="625"/>
      <c r="E106" s="625"/>
      <c r="F106" s="625"/>
      <c r="G106" s="625"/>
    </row>
    <row r="107" spans="1:8" ht="15" customHeight="1" x14ac:dyDescent="0.25">
      <c r="A107" s="309"/>
      <c r="B107" s="309"/>
      <c r="C107" s="309"/>
      <c r="D107" s="309"/>
      <c r="E107" s="309"/>
      <c r="F107" s="309"/>
      <c r="G107" s="309"/>
    </row>
    <row r="108" spans="1:8" ht="15" customHeight="1" x14ac:dyDescent="0.25"/>
    <row r="109" spans="1:8" ht="29.1" customHeight="1" x14ac:dyDescent="0.3">
      <c r="A109" s="33" t="s">
        <v>923</v>
      </c>
      <c r="B109" s="25">
        <v>2019</v>
      </c>
      <c r="C109" s="5" t="s">
        <v>924</v>
      </c>
      <c r="D109" s="5" t="s">
        <v>925</v>
      </c>
      <c r="E109" s="5" t="s">
        <v>677</v>
      </c>
      <c r="F109" s="25">
        <v>2023</v>
      </c>
      <c r="G109" s="13"/>
    </row>
    <row r="110" spans="1:8" ht="26.7" customHeight="1" x14ac:dyDescent="0.3">
      <c r="A110" s="6" t="s">
        <v>892</v>
      </c>
      <c r="B110" s="37">
        <v>184665</v>
      </c>
      <c r="C110" s="37">
        <v>190372</v>
      </c>
      <c r="D110" s="37">
        <v>195466.37299999999</v>
      </c>
      <c r="E110" s="37">
        <v>134178.42243306499</v>
      </c>
      <c r="F110" s="37">
        <v>120964.836583</v>
      </c>
      <c r="G110" s="13"/>
    </row>
    <row r="111" spans="1:8" ht="15" customHeight="1" x14ac:dyDescent="0.3">
      <c r="A111" s="85" t="s">
        <v>909</v>
      </c>
      <c r="B111" s="38">
        <v>10575</v>
      </c>
      <c r="C111" s="38">
        <v>13230</v>
      </c>
      <c r="D111" s="38">
        <v>9999.7479999999996</v>
      </c>
      <c r="E111" s="38">
        <v>6110.5721320000002</v>
      </c>
      <c r="F111" s="38">
        <v>3459.8544000000002</v>
      </c>
      <c r="G111" s="13"/>
    </row>
    <row r="112" spans="1:8" ht="15" customHeight="1" x14ac:dyDescent="0.3">
      <c r="A112" s="85" t="s">
        <v>910</v>
      </c>
      <c r="B112" s="38">
        <v>67823</v>
      </c>
      <c r="C112" s="38">
        <v>75871</v>
      </c>
      <c r="D112" s="38">
        <v>81016</v>
      </c>
      <c r="E112" s="38">
        <v>56681.740282407001</v>
      </c>
      <c r="F112" s="38">
        <v>39285.382799999999</v>
      </c>
      <c r="G112" s="13"/>
    </row>
    <row r="113" spans="1:7" ht="15" customHeight="1" x14ac:dyDescent="0.3">
      <c r="A113" s="85" t="s">
        <v>911</v>
      </c>
      <c r="B113" s="38">
        <v>104566</v>
      </c>
      <c r="C113" s="38">
        <v>99362</v>
      </c>
      <c r="D113" s="38">
        <v>102851</v>
      </c>
      <c r="E113" s="38">
        <v>70222.734500000006</v>
      </c>
      <c r="F113" s="38">
        <v>77129.308283000006</v>
      </c>
      <c r="G113" s="13"/>
    </row>
    <row r="114" spans="1:7" ht="15" customHeight="1" x14ac:dyDescent="0.3">
      <c r="A114" s="85" t="s">
        <v>912</v>
      </c>
      <c r="B114" s="38">
        <v>1701</v>
      </c>
      <c r="C114" s="38">
        <v>1909</v>
      </c>
      <c r="D114" s="38">
        <v>1599.625</v>
      </c>
      <c r="E114" s="38">
        <v>1163.3755186579999</v>
      </c>
      <c r="F114" s="38">
        <v>1090.2910999999999</v>
      </c>
      <c r="G114" s="13"/>
    </row>
    <row r="115" spans="1:7" ht="26.7" customHeight="1" x14ac:dyDescent="0.3">
      <c r="A115" s="85" t="s">
        <v>926</v>
      </c>
      <c r="B115" s="38">
        <v>0</v>
      </c>
      <c r="C115" s="38">
        <v>0</v>
      </c>
      <c r="D115" s="38">
        <v>0</v>
      </c>
      <c r="E115" s="38">
        <v>0</v>
      </c>
      <c r="F115" s="38">
        <v>0</v>
      </c>
      <c r="G115" s="13"/>
    </row>
    <row r="116" spans="1:7" ht="15" customHeight="1" x14ac:dyDescent="0.3">
      <c r="A116" s="6" t="s">
        <v>927</v>
      </c>
      <c r="B116" s="159" t="s">
        <v>928</v>
      </c>
      <c r="C116" s="159" t="s">
        <v>928</v>
      </c>
      <c r="D116" s="37">
        <v>3566.527</v>
      </c>
      <c r="E116" s="37">
        <v>70156.175880119001</v>
      </c>
      <c r="F116" s="160">
        <v>52156.501400000001</v>
      </c>
      <c r="G116" s="13"/>
    </row>
    <row r="117" spans="1:7" ht="30.75" customHeight="1" x14ac:dyDescent="0.3">
      <c r="A117" s="31" t="s">
        <v>929</v>
      </c>
      <c r="B117" s="37">
        <v>99771</v>
      </c>
      <c r="C117" s="37">
        <v>103492</v>
      </c>
      <c r="D117" s="37">
        <v>100625</v>
      </c>
      <c r="E117" s="37">
        <v>99369</v>
      </c>
      <c r="F117" s="37">
        <v>82216.782982999997</v>
      </c>
      <c r="G117" s="13"/>
    </row>
    <row r="118" spans="1:7" ht="26.7" customHeight="1" x14ac:dyDescent="0.3">
      <c r="A118" s="6" t="s">
        <v>896</v>
      </c>
      <c r="B118" s="37">
        <v>245866</v>
      </c>
      <c r="C118" s="37">
        <v>257563</v>
      </c>
      <c r="D118" s="37">
        <v>257768.758</v>
      </c>
      <c r="E118" s="37">
        <v>262175</v>
      </c>
      <c r="F118" s="37">
        <v>226725.4785</v>
      </c>
      <c r="G118" s="13"/>
    </row>
    <row r="119" spans="1:7" ht="37.5" customHeight="1" x14ac:dyDescent="0.3">
      <c r="A119" s="31" t="s">
        <v>930</v>
      </c>
      <c r="B119" s="37">
        <v>345637</v>
      </c>
      <c r="C119" s="37">
        <v>361055</v>
      </c>
      <c r="D119" s="37">
        <v>358393.75799999997</v>
      </c>
      <c r="E119" s="37">
        <v>361544</v>
      </c>
      <c r="F119" s="37">
        <v>308942.26148300001</v>
      </c>
      <c r="G119" s="13"/>
    </row>
    <row r="120" spans="1:7" ht="37.5" customHeight="1" x14ac:dyDescent="0.3">
      <c r="A120" s="31" t="s">
        <v>931</v>
      </c>
      <c r="B120" s="43">
        <v>0.71134166770340002</v>
      </c>
      <c r="C120" s="43">
        <v>0.71336223013114297</v>
      </c>
      <c r="D120" s="43">
        <v>0.71923339133601805</v>
      </c>
      <c r="E120" s="43">
        <v>0.72515378487818904</v>
      </c>
      <c r="F120" s="43">
        <v>0.73387653879926196</v>
      </c>
      <c r="G120" s="13"/>
    </row>
    <row r="121" spans="1:7" ht="25.95" customHeight="1" x14ac:dyDescent="0.25">
      <c r="A121" s="532" t="s">
        <v>932</v>
      </c>
      <c r="B121" s="532"/>
      <c r="C121" s="532"/>
      <c r="D121" s="532"/>
      <c r="E121" s="532"/>
      <c r="F121" s="532"/>
    </row>
    <row r="122" spans="1:7" ht="42.75" customHeight="1" x14ac:dyDescent="0.25">
      <c r="A122" s="598"/>
      <c r="B122" s="598"/>
      <c r="C122" s="598"/>
      <c r="D122" s="598"/>
      <c r="E122" s="598"/>
      <c r="F122" s="598"/>
    </row>
    <row r="123" spans="1:7" ht="15" customHeight="1" x14ac:dyDescent="0.25"/>
    <row r="124" spans="1:7" ht="15.75" customHeight="1" x14ac:dyDescent="0.25">
      <c r="A124" s="310"/>
      <c r="B124" s="310"/>
      <c r="C124" s="310"/>
      <c r="D124" s="309"/>
      <c r="E124" s="309"/>
      <c r="F124" s="309"/>
    </row>
    <row r="125" spans="1:7" ht="26.7" customHeight="1" x14ac:dyDescent="0.3">
      <c r="A125" s="33" t="s">
        <v>119</v>
      </c>
      <c r="B125" s="5" t="s">
        <v>318</v>
      </c>
      <c r="C125" s="5" t="s">
        <v>933</v>
      </c>
      <c r="D125" s="13"/>
    </row>
    <row r="126" spans="1:7" ht="15" customHeight="1" x14ac:dyDescent="0.3">
      <c r="A126" s="31" t="s">
        <v>904</v>
      </c>
      <c r="B126" s="38">
        <v>98933.791100000002</v>
      </c>
      <c r="C126" s="41">
        <v>1.2033284143513201</v>
      </c>
      <c r="D126" s="13"/>
    </row>
    <row r="127" spans="1:7" ht="15" customHeight="1" x14ac:dyDescent="0.3">
      <c r="A127" s="31" t="s">
        <v>934</v>
      </c>
      <c r="B127" s="38">
        <v>-30499.0357</v>
      </c>
      <c r="C127" s="41">
        <v>-0.37095875797410199</v>
      </c>
      <c r="D127" s="13"/>
    </row>
    <row r="128" spans="1:7" ht="15" customHeight="1" x14ac:dyDescent="0.3">
      <c r="A128" s="31" t="s">
        <v>906</v>
      </c>
      <c r="B128" s="38">
        <v>13782.0275</v>
      </c>
      <c r="C128" s="41">
        <v>0.16763034261325599</v>
      </c>
      <c r="D128" s="13"/>
    </row>
    <row r="129" spans="1:3" ht="15" customHeight="1" x14ac:dyDescent="0.25">
      <c r="A129" s="544" t="s">
        <v>935</v>
      </c>
      <c r="B129" s="544"/>
      <c r="C129" s="544"/>
    </row>
    <row r="130" spans="1:3" ht="15" customHeight="1" x14ac:dyDescent="0.25">
      <c r="A130" s="641"/>
      <c r="B130" s="641"/>
      <c r="C130" s="641"/>
    </row>
    <row r="131" spans="1:3" ht="15" customHeight="1" x14ac:dyDescent="0.25"/>
    <row r="132" spans="1:3" ht="15" customHeight="1" x14ac:dyDescent="0.25"/>
    <row r="133" spans="1:3" ht="15" customHeight="1" x14ac:dyDescent="0.3">
      <c r="A133" s="33" t="s">
        <v>936</v>
      </c>
      <c r="B133" s="58" t="s">
        <v>937</v>
      </c>
      <c r="C133" s="13"/>
    </row>
    <row r="134" spans="1:3" ht="29.1" customHeight="1" x14ac:dyDescent="0.3">
      <c r="A134" s="40" t="s">
        <v>892</v>
      </c>
      <c r="B134" s="89">
        <v>120964.836583</v>
      </c>
      <c r="C134" s="13"/>
    </row>
    <row r="135" spans="1:3" ht="15" customHeight="1" x14ac:dyDescent="0.3">
      <c r="A135" s="85" t="s">
        <v>938</v>
      </c>
      <c r="B135" s="38">
        <v>3459.8544000000002</v>
      </c>
      <c r="C135" s="13"/>
    </row>
    <row r="136" spans="1:3" ht="15" customHeight="1" x14ac:dyDescent="0.3">
      <c r="A136" s="85" t="s">
        <v>939</v>
      </c>
      <c r="B136" s="38">
        <v>39285.382799999999</v>
      </c>
      <c r="C136" s="13"/>
    </row>
    <row r="137" spans="1:3" ht="26.7" customHeight="1" x14ac:dyDescent="0.3">
      <c r="A137" s="161" t="s">
        <v>940</v>
      </c>
      <c r="B137" s="38">
        <v>77129.308283000006</v>
      </c>
      <c r="C137" s="13"/>
    </row>
    <row r="138" spans="1:3" ht="29.1" customHeight="1" x14ac:dyDescent="0.3">
      <c r="A138" s="161" t="s">
        <v>941</v>
      </c>
      <c r="B138" s="38">
        <v>1090.2910999999999</v>
      </c>
      <c r="C138" s="13"/>
    </row>
    <row r="139" spans="1:3" ht="15" customHeight="1" x14ac:dyDescent="0.3">
      <c r="A139" s="58" t="s">
        <v>914</v>
      </c>
      <c r="B139" s="160">
        <v>52156.501400000001</v>
      </c>
      <c r="C139" s="13"/>
    </row>
    <row r="140" spans="1:3" ht="15" customHeight="1" x14ac:dyDescent="0.3">
      <c r="A140" s="58" t="s">
        <v>894</v>
      </c>
      <c r="B140" s="37">
        <v>90905</v>
      </c>
      <c r="C140" s="13"/>
    </row>
    <row r="141" spans="1:3" ht="15" customHeight="1" x14ac:dyDescent="0.3">
      <c r="A141" s="161" t="s">
        <v>942</v>
      </c>
      <c r="B141" s="38">
        <v>81204.741999999998</v>
      </c>
      <c r="C141" s="13"/>
    </row>
    <row r="142" spans="1:3" ht="15" customHeight="1" x14ac:dyDescent="0.3">
      <c r="A142" s="161" t="s">
        <v>943</v>
      </c>
      <c r="B142" s="38">
        <v>9494.4110000000001</v>
      </c>
      <c r="C142" s="13"/>
    </row>
    <row r="143" spans="1:3" ht="26.7" customHeight="1" x14ac:dyDescent="0.3">
      <c r="A143" s="161" t="s">
        <v>944</v>
      </c>
      <c r="B143" s="38">
        <v>205.40199999999999</v>
      </c>
      <c r="C143" s="13"/>
    </row>
    <row r="144" spans="1:3" ht="15" customHeight="1" x14ac:dyDescent="0.3">
      <c r="A144" s="58" t="s">
        <v>945</v>
      </c>
      <c r="B144" s="37">
        <v>82216.782982999997</v>
      </c>
      <c r="C144" s="13"/>
    </row>
    <row r="145" spans="1:9" ht="15" customHeight="1" x14ac:dyDescent="0.3">
      <c r="A145" s="58" t="s">
        <v>946</v>
      </c>
      <c r="B145" s="37">
        <v>226725.4785</v>
      </c>
      <c r="C145" s="13"/>
      <c r="D145" s="2"/>
      <c r="E145" s="2"/>
      <c r="F145" s="2"/>
    </row>
    <row r="146" spans="1:9" ht="34.5" customHeight="1" x14ac:dyDescent="0.3">
      <c r="A146" s="546" t="s">
        <v>947</v>
      </c>
      <c r="B146" s="546"/>
      <c r="D146" s="2"/>
      <c r="E146" s="2"/>
      <c r="F146" s="2"/>
    </row>
    <row r="147" spans="1:9" ht="54.75" customHeight="1" x14ac:dyDescent="0.3">
      <c r="A147" s="518"/>
      <c r="B147" s="518"/>
      <c r="D147" s="2"/>
      <c r="E147" s="2"/>
      <c r="F147" s="2"/>
    </row>
    <row r="148" spans="1:9" ht="15" customHeight="1" x14ac:dyDescent="0.3">
      <c r="D148" s="2"/>
      <c r="E148" s="2"/>
      <c r="F148" s="2"/>
    </row>
    <row r="149" spans="1:9" ht="15" customHeight="1" x14ac:dyDescent="0.25"/>
    <row r="150" spans="1:9" ht="29.1" customHeight="1" x14ac:dyDescent="0.3">
      <c r="A150" s="33" t="s">
        <v>121</v>
      </c>
      <c r="B150" s="25">
        <v>2019</v>
      </c>
      <c r="C150" s="5" t="s">
        <v>948</v>
      </c>
      <c r="D150" s="5" t="s">
        <v>949</v>
      </c>
      <c r="E150" s="25">
        <v>2022</v>
      </c>
      <c r="F150" s="25">
        <v>2023</v>
      </c>
      <c r="G150" s="13"/>
    </row>
    <row r="151" spans="1:9" ht="26.7" customHeight="1" x14ac:dyDescent="0.3">
      <c r="A151" s="61" t="s">
        <v>950</v>
      </c>
      <c r="B151" s="162">
        <v>20.18</v>
      </c>
      <c r="C151" s="163">
        <v>18.779168934857601</v>
      </c>
      <c r="D151" s="163">
        <v>17.1597885402456</v>
      </c>
      <c r="E151" s="163">
        <v>16.865035440119499</v>
      </c>
      <c r="F151" s="163">
        <v>17.504105659569898</v>
      </c>
      <c r="G151" s="13"/>
    </row>
    <row r="152" spans="1:9" ht="26.7" customHeight="1" x14ac:dyDescent="0.3">
      <c r="A152" s="61" t="s">
        <v>951</v>
      </c>
      <c r="B152" s="131">
        <v>0.68</v>
      </c>
      <c r="C152" s="163">
        <v>0.66702329928136395</v>
      </c>
      <c r="D152" s="163">
        <v>0.64843634207796097</v>
      </c>
      <c r="E152" s="163">
        <v>0.63969401442778995</v>
      </c>
      <c r="F152" s="163">
        <v>0.58045074082729098</v>
      </c>
      <c r="G152" s="13"/>
    </row>
    <row r="153" spans="1:9" ht="27.6" customHeight="1" x14ac:dyDescent="0.3">
      <c r="A153" s="61" t="s">
        <v>952</v>
      </c>
      <c r="B153" s="131">
        <v>13.94</v>
      </c>
      <c r="C153" s="163">
        <v>11.409105942012999</v>
      </c>
      <c r="D153" s="163">
        <v>10.132413654214099</v>
      </c>
      <c r="E153" s="163">
        <v>10.122113559456499</v>
      </c>
      <c r="F153" s="163">
        <v>9.5634271237641109</v>
      </c>
      <c r="G153" s="13"/>
    </row>
    <row r="154" spans="1:9" ht="116.25" customHeight="1" x14ac:dyDescent="0.25">
      <c r="A154" s="532" t="s">
        <v>953</v>
      </c>
      <c r="B154" s="532"/>
      <c r="C154" s="532"/>
      <c r="D154" s="532"/>
      <c r="E154" s="532"/>
      <c r="F154" s="532"/>
    </row>
    <row r="155" spans="1:9" ht="15" customHeight="1" x14ac:dyDescent="0.25">
      <c r="A155" s="518"/>
      <c r="B155" s="518"/>
      <c r="C155" s="518"/>
      <c r="D155" s="518"/>
      <c r="E155" s="518"/>
      <c r="F155" s="518"/>
    </row>
    <row r="156" spans="1:9" ht="15" customHeight="1" x14ac:dyDescent="0.25"/>
    <row r="157" spans="1:9" ht="37.5" customHeight="1" x14ac:dyDescent="0.3">
      <c r="A157" s="45" t="s">
        <v>122</v>
      </c>
      <c r="B157" s="164" t="s">
        <v>954</v>
      </c>
      <c r="C157" s="5" t="s">
        <v>955</v>
      </c>
      <c r="D157" s="5" t="s">
        <v>956</v>
      </c>
      <c r="E157" s="5" t="s">
        <v>957</v>
      </c>
      <c r="F157" s="5" t="s">
        <v>958</v>
      </c>
      <c r="G157" s="5" t="s">
        <v>959</v>
      </c>
      <c r="H157" s="5" t="s">
        <v>960</v>
      </c>
      <c r="I157" s="13"/>
    </row>
    <row r="158" spans="1:9" ht="15" customHeight="1" x14ac:dyDescent="0.3">
      <c r="A158" s="640" t="s">
        <v>245</v>
      </c>
      <c r="B158" s="32" t="s">
        <v>514</v>
      </c>
      <c r="C158" s="32" t="s">
        <v>961</v>
      </c>
      <c r="D158" s="32" t="s">
        <v>962</v>
      </c>
      <c r="E158" s="96"/>
      <c r="F158" s="96" t="s">
        <v>515</v>
      </c>
      <c r="G158" s="96" t="s">
        <v>515</v>
      </c>
      <c r="H158" s="96" t="s">
        <v>515</v>
      </c>
      <c r="I158" s="13"/>
    </row>
    <row r="159" spans="1:9" ht="15" customHeight="1" x14ac:dyDescent="0.3">
      <c r="A159" s="640"/>
      <c r="B159" s="32" t="s">
        <v>247</v>
      </c>
      <c r="C159" s="32" t="s">
        <v>961</v>
      </c>
      <c r="D159" s="32" t="s">
        <v>962</v>
      </c>
      <c r="E159" s="96"/>
      <c r="F159" s="96" t="s">
        <v>515</v>
      </c>
      <c r="G159" s="96" t="s">
        <v>515</v>
      </c>
      <c r="H159" s="96" t="s">
        <v>515</v>
      </c>
      <c r="I159" s="13"/>
    </row>
    <row r="160" spans="1:9" ht="15" customHeight="1" x14ac:dyDescent="0.3">
      <c r="A160" s="640" t="s">
        <v>251</v>
      </c>
      <c r="B160" s="32" t="s">
        <v>870</v>
      </c>
      <c r="C160" s="32" t="s">
        <v>963</v>
      </c>
      <c r="D160" s="32" t="s">
        <v>964</v>
      </c>
      <c r="E160" s="96"/>
      <c r="F160" s="96" t="s">
        <v>515</v>
      </c>
      <c r="G160" s="96"/>
      <c r="H160" s="96"/>
      <c r="I160" s="13"/>
    </row>
    <row r="161" spans="1:9" ht="15" customHeight="1" x14ac:dyDescent="0.3">
      <c r="A161" s="640"/>
      <c r="B161" s="32" t="s">
        <v>965</v>
      </c>
      <c r="C161" s="32" t="s">
        <v>966</v>
      </c>
      <c r="D161" s="32" t="s">
        <v>962</v>
      </c>
      <c r="E161" s="96"/>
      <c r="F161" s="96"/>
      <c r="G161" s="96"/>
      <c r="H161" s="96"/>
      <c r="I161" s="13"/>
    </row>
    <row r="162" spans="1:9" ht="30.75" customHeight="1" x14ac:dyDescent="0.3">
      <c r="A162" s="640" t="s">
        <v>213</v>
      </c>
      <c r="B162" s="32" t="s">
        <v>453</v>
      </c>
      <c r="C162" s="32" t="s">
        <v>966</v>
      </c>
      <c r="D162" s="32" t="s">
        <v>962</v>
      </c>
      <c r="E162" s="96" t="s">
        <v>515</v>
      </c>
      <c r="F162" s="96"/>
      <c r="G162" s="96"/>
      <c r="H162" s="96" t="s">
        <v>515</v>
      </c>
      <c r="I162" s="13"/>
    </row>
    <row r="163" spans="1:9" ht="30.75" customHeight="1" x14ac:dyDescent="0.3">
      <c r="A163" s="640"/>
      <c r="B163" s="32" t="s">
        <v>215</v>
      </c>
      <c r="C163" s="32" t="s">
        <v>966</v>
      </c>
      <c r="D163" s="32" t="s">
        <v>962</v>
      </c>
      <c r="E163" s="96" t="s">
        <v>515</v>
      </c>
      <c r="F163" s="96"/>
      <c r="G163" s="96"/>
      <c r="H163" s="96" t="s">
        <v>515</v>
      </c>
      <c r="I163" s="13"/>
    </row>
    <row r="164" spans="1:9" ht="30.75" customHeight="1" x14ac:dyDescent="0.3">
      <c r="A164" s="640"/>
      <c r="B164" s="32" t="s">
        <v>266</v>
      </c>
      <c r="C164" s="32" t="s">
        <v>967</v>
      </c>
      <c r="D164" s="32" t="s">
        <v>962</v>
      </c>
      <c r="E164" s="96"/>
      <c r="F164" s="96" t="s">
        <v>515</v>
      </c>
      <c r="G164" s="96" t="s">
        <v>515</v>
      </c>
      <c r="H164" s="96" t="s">
        <v>515</v>
      </c>
      <c r="I164" s="13"/>
    </row>
    <row r="165" spans="1:9" ht="36.6" customHeight="1" x14ac:dyDescent="0.3">
      <c r="A165" s="640" t="s">
        <v>224</v>
      </c>
      <c r="B165" s="32" t="s">
        <v>226</v>
      </c>
      <c r="C165" s="32" t="s">
        <v>968</v>
      </c>
      <c r="D165" s="32" t="s">
        <v>962</v>
      </c>
      <c r="E165" s="96"/>
      <c r="F165" s="96"/>
      <c r="G165" s="96"/>
      <c r="H165" s="96"/>
      <c r="I165" s="13"/>
    </row>
    <row r="166" spans="1:9" ht="42.6" customHeight="1" x14ac:dyDescent="0.3">
      <c r="A166" s="640"/>
      <c r="B166" s="32" t="s">
        <v>454</v>
      </c>
      <c r="C166" s="32" t="s">
        <v>967</v>
      </c>
      <c r="D166" s="32" t="s">
        <v>964</v>
      </c>
      <c r="E166" s="96"/>
      <c r="F166" s="96"/>
      <c r="G166" s="96" t="s">
        <v>515</v>
      </c>
      <c r="H166" s="96"/>
      <c r="I166" s="13"/>
    </row>
    <row r="167" spans="1:9" ht="30" customHeight="1" x14ac:dyDescent="0.3">
      <c r="A167" s="640"/>
      <c r="B167" s="32" t="s">
        <v>230</v>
      </c>
      <c r="C167" s="32" t="s">
        <v>967</v>
      </c>
      <c r="D167" s="32" t="s">
        <v>964</v>
      </c>
      <c r="E167" s="96"/>
      <c r="F167" s="96" t="s">
        <v>515</v>
      </c>
      <c r="G167" s="96" t="s">
        <v>515</v>
      </c>
      <c r="H167" s="96"/>
      <c r="I167" s="13"/>
    </row>
    <row r="168" spans="1:9" ht="26.7" customHeight="1" x14ac:dyDescent="0.3">
      <c r="A168" s="640"/>
      <c r="B168" s="32" t="s">
        <v>277</v>
      </c>
      <c r="C168" s="32" t="s">
        <v>967</v>
      </c>
      <c r="D168" s="32" t="s">
        <v>969</v>
      </c>
      <c r="E168" s="96" t="s">
        <v>515</v>
      </c>
      <c r="F168" s="96"/>
      <c r="G168" s="96"/>
      <c r="H168" s="96"/>
      <c r="I168" s="13"/>
    </row>
    <row r="169" spans="1:9" ht="50.85" customHeight="1" x14ac:dyDescent="0.3">
      <c r="A169" s="149" t="s">
        <v>234</v>
      </c>
      <c r="B169" s="32" t="s">
        <v>970</v>
      </c>
      <c r="C169" s="32" t="s">
        <v>971</v>
      </c>
      <c r="D169" s="32" t="s">
        <v>962</v>
      </c>
      <c r="E169" s="96"/>
      <c r="F169" s="96" t="s">
        <v>515</v>
      </c>
      <c r="G169" s="96" t="s">
        <v>515</v>
      </c>
      <c r="H169" s="96" t="s">
        <v>515</v>
      </c>
      <c r="I169" s="13"/>
    </row>
    <row r="170" spans="1:9" ht="16.649999999999999" customHeight="1" x14ac:dyDescent="0.25">
      <c r="A170" s="544" t="s">
        <v>972</v>
      </c>
      <c r="B170" s="544"/>
      <c r="C170" s="544"/>
      <c r="D170" s="544"/>
      <c r="E170" s="544"/>
      <c r="F170" s="544"/>
      <c r="G170" s="544"/>
      <c r="H170" s="544"/>
    </row>
    <row r="171" spans="1:9" ht="16.649999999999999" customHeight="1" x14ac:dyDescent="0.25">
      <c r="A171" s="641"/>
      <c r="B171" s="641"/>
      <c r="C171" s="641"/>
      <c r="D171" s="641"/>
      <c r="E171" s="641"/>
      <c r="F171" s="641"/>
      <c r="G171" s="641"/>
      <c r="H171" s="641"/>
    </row>
    <row r="172" spans="1:9" ht="16.649999999999999" customHeight="1" x14ac:dyDescent="0.25">
      <c r="A172" s="641"/>
      <c r="B172" s="641"/>
      <c r="C172" s="641"/>
      <c r="D172" s="641"/>
      <c r="E172" s="641"/>
      <c r="F172" s="641"/>
      <c r="G172" s="641"/>
      <c r="H172" s="641"/>
    </row>
    <row r="173" spans="1:9" ht="16.649999999999999" customHeight="1" x14ac:dyDescent="0.25">
      <c r="A173" s="641"/>
      <c r="B173" s="641"/>
      <c r="C173" s="641"/>
      <c r="D173" s="641"/>
      <c r="E173" s="641"/>
      <c r="F173" s="641"/>
      <c r="G173" s="641"/>
      <c r="H173" s="641"/>
    </row>
    <row r="174" spans="1:9" ht="16.649999999999999" customHeight="1" x14ac:dyDescent="0.25">
      <c r="A174" s="641"/>
      <c r="B174" s="641"/>
      <c r="C174" s="641"/>
      <c r="D174" s="641"/>
      <c r="E174" s="641"/>
      <c r="F174" s="641"/>
      <c r="G174" s="641"/>
      <c r="H174" s="641"/>
    </row>
    <row r="175" spans="1:9" ht="38.25" customHeight="1" x14ac:dyDescent="0.25">
      <c r="A175" s="641"/>
      <c r="B175" s="641"/>
      <c r="C175" s="641"/>
      <c r="D175" s="641"/>
      <c r="E175" s="641"/>
      <c r="F175" s="641"/>
      <c r="G175" s="641"/>
      <c r="H175" s="641"/>
    </row>
    <row r="176" spans="1:9" ht="15" customHeight="1" x14ac:dyDescent="0.25"/>
    <row r="177" spans="1:15" ht="15" customHeight="1" x14ac:dyDescent="0.25"/>
    <row r="178" spans="1:15" ht="30.75" customHeight="1" x14ac:dyDescent="0.3">
      <c r="A178" s="659" t="s">
        <v>973</v>
      </c>
      <c r="B178" s="658">
        <v>2019</v>
      </c>
      <c r="C178" s="655"/>
      <c r="D178" s="654" t="s">
        <v>924</v>
      </c>
      <c r="E178" s="655"/>
      <c r="F178" s="658">
        <v>2021</v>
      </c>
      <c r="G178" s="655"/>
      <c r="H178" s="654" t="s">
        <v>677</v>
      </c>
      <c r="I178" s="655"/>
      <c r="J178" s="653">
        <v>2023</v>
      </c>
      <c r="K178" s="583"/>
      <c r="L178" s="13"/>
    </row>
    <row r="179" spans="1:15" ht="30.75" customHeight="1" x14ac:dyDescent="0.3">
      <c r="A179" s="659"/>
      <c r="B179" s="656"/>
      <c r="C179" s="518"/>
      <c r="D179" s="656"/>
      <c r="E179" s="518"/>
      <c r="F179" s="656"/>
      <c r="G179" s="518"/>
      <c r="H179" s="656"/>
      <c r="I179" s="657"/>
      <c r="J179" s="583"/>
      <c r="K179" s="583"/>
      <c r="L179" s="13"/>
    </row>
    <row r="180" spans="1:15" ht="15" customHeight="1" x14ac:dyDescent="0.3">
      <c r="A180" s="5" t="s">
        <v>974</v>
      </c>
      <c r="B180" s="5" t="s">
        <v>975</v>
      </c>
      <c r="C180" s="5" t="s">
        <v>308</v>
      </c>
      <c r="D180" s="5" t="s">
        <v>975</v>
      </c>
      <c r="E180" s="5" t="s">
        <v>308</v>
      </c>
      <c r="F180" s="5" t="s">
        <v>975</v>
      </c>
      <c r="G180" s="5" t="s">
        <v>308</v>
      </c>
      <c r="H180" s="5" t="s">
        <v>975</v>
      </c>
      <c r="I180" s="5" t="s">
        <v>308</v>
      </c>
      <c r="J180" s="5" t="s">
        <v>975</v>
      </c>
      <c r="K180" s="5" t="s">
        <v>308</v>
      </c>
      <c r="L180" s="13"/>
    </row>
    <row r="181" spans="1:15" ht="15" customHeight="1" x14ac:dyDescent="0.3">
      <c r="A181" s="32" t="s">
        <v>976</v>
      </c>
      <c r="B181" s="136">
        <v>47246</v>
      </c>
      <c r="C181" s="165">
        <v>0.44</v>
      </c>
      <c r="D181" s="166">
        <v>50541</v>
      </c>
      <c r="E181" s="165">
        <v>0.48835658794882703</v>
      </c>
      <c r="F181" s="166">
        <v>47984</v>
      </c>
      <c r="G181" s="165">
        <v>0.47685962732919301</v>
      </c>
      <c r="H181" s="166">
        <v>66092</v>
      </c>
      <c r="I181" s="165">
        <v>0.67</v>
      </c>
      <c r="J181" s="166">
        <v>68434.755399999995</v>
      </c>
      <c r="K181" s="165">
        <v>0.83236965721751699</v>
      </c>
      <c r="L181" s="13"/>
    </row>
    <row r="182" spans="1:15" ht="15" customHeight="1" x14ac:dyDescent="0.3">
      <c r="A182" s="32" t="s">
        <v>977</v>
      </c>
      <c r="B182" s="136">
        <v>59260</v>
      </c>
      <c r="C182" s="165">
        <v>0.56000000000000005</v>
      </c>
      <c r="D182" s="166">
        <v>52951</v>
      </c>
      <c r="E182" s="165">
        <v>0.51164341205117303</v>
      </c>
      <c r="F182" s="167">
        <v>52641</v>
      </c>
      <c r="G182" s="165">
        <v>0.52314037267080704</v>
      </c>
      <c r="H182" s="167">
        <v>33277</v>
      </c>
      <c r="I182" s="165">
        <v>0.33</v>
      </c>
      <c r="J182" s="167">
        <v>13782.0275</v>
      </c>
      <c r="K182" s="165">
        <v>0.16763034278248301</v>
      </c>
      <c r="L182" s="13"/>
    </row>
    <row r="183" spans="1:15" ht="15" customHeight="1" x14ac:dyDescent="0.3">
      <c r="A183" s="40" t="s">
        <v>362</v>
      </c>
      <c r="B183" s="136">
        <v>106506</v>
      </c>
      <c r="C183" s="32"/>
      <c r="D183" s="168">
        <v>103492</v>
      </c>
      <c r="E183" s="32"/>
      <c r="F183" s="169">
        <v>100625</v>
      </c>
      <c r="G183" s="32"/>
      <c r="H183" s="169">
        <v>99368.788820999995</v>
      </c>
      <c r="I183" s="32"/>
      <c r="J183" s="169">
        <v>82216.782900000006</v>
      </c>
      <c r="K183" s="32"/>
      <c r="L183" s="13"/>
    </row>
    <row r="184" spans="1:15" ht="15" customHeight="1" x14ac:dyDescent="0.25">
      <c r="A184" s="546" t="s">
        <v>978</v>
      </c>
      <c r="B184" s="546"/>
      <c r="C184" s="546"/>
      <c r="D184" s="546"/>
      <c r="E184" s="546"/>
      <c r="F184" s="546"/>
      <c r="G184" s="546"/>
      <c r="H184" s="546"/>
      <c r="I184" s="546"/>
      <c r="J184" s="546"/>
      <c r="K184" s="546"/>
    </row>
    <row r="185" spans="1:15" ht="29.25" customHeight="1" x14ac:dyDescent="0.25">
      <c r="A185" s="518"/>
      <c r="B185" s="518"/>
      <c r="C185" s="518"/>
      <c r="D185" s="518"/>
      <c r="E185" s="518"/>
      <c r="F185" s="518"/>
      <c r="G185" s="518"/>
      <c r="H185" s="518"/>
      <c r="I185" s="518"/>
      <c r="J185" s="518"/>
      <c r="K185" s="518"/>
    </row>
    <row r="186" spans="1:15" ht="15" customHeight="1" x14ac:dyDescent="0.25"/>
    <row r="187" spans="1:15" ht="15" customHeight="1" x14ac:dyDescent="0.25"/>
    <row r="188" spans="1:15" ht="74.099999999999994" customHeight="1" x14ac:dyDescent="0.3">
      <c r="A188" s="33" t="s">
        <v>979</v>
      </c>
      <c r="B188" s="164" t="s">
        <v>954</v>
      </c>
      <c r="C188" s="5" t="s">
        <v>980</v>
      </c>
      <c r="D188" s="5" t="s">
        <v>896</v>
      </c>
      <c r="E188" s="5" t="s">
        <v>981</v>
      </c>
      <c r="F188" s="5" t="s">
        <v>982</v>
      </c>
      <c r="G188" s="58" t="s">
        <v>983</v>
      </c>
      <c r="H188" s="58" t="s">
        <v>984</v>
      </c>
      <c r="I188" s="80"/>
    </row>
    <row r="189" spans="1:15" ht="15" customHeight="1" x14ac:dyDescent="0.3">
      <c r="A189" s="149" t="s">
        <v>251</v>
      </c>
      <c r="B189" s="31" t="s">
        <v>256</v>
      </c>
      <c r="C189" s="124">
        <v>4086.0213699999999</v>
      </c>
      <c r="D189" s="124">
        <v>2759.8571000000002</v>
      </c>
      <c r="E189" s="124">
        <v>6845.8784699999997</v>
      </c>
      <c r="F189" s="157">
        <v>0.403141410133738</v>
      </c>
      <c r="G189" s="162">
        <v>9.1205834151785705</v>
      </c>
      <c r="H189" s="162">
        <v>1.7247874081891099</v>
      </c>
      <c r="I189" s="13"/>
    </row>
    <row r="190" spans="1:15" ht="15" customHeight="1" x14ac:dyDescent="0.3">
      <c r="A190" s="640" t="s">
        <v>213</v>
      </c>
      <c r="B190" s="31" t="s">
        <v>453</v>
      </c>
      <c r="C190" s="124">
        <v>999.41</v>
      </c>
      <c r="D190" s="124">
        <v>823.5</v>
      </c>
      <c r="E190" s="124">
        <v>1822.91</v>
      </c>
      <c r="F190" s="157">
        <v>0.451750223543675</v>
      </c>
      <c r="G190" s="162">
        <v>3.7152788104089201</v>
      </c>
      <c r="H190" s="162">
        <v>0.92196494464944601</v>
      </c>
      <c r="I190" s="13"/>
      <c r="J190" s="2"/>
      <c r="K190" s="2"/>
      <c r="L190" s="2"/>
      <c r="M190" s="2"/>
      <c r="N190" s="2"/>
      <c r="O190" s="2"/>
    </row>
    <row r="191" spans="1:15" ht="15" customHeight="1" x14ac:dyDescent="0.3">
      <c r="A191" s="640"/>
      <c r="B191" s="31" t="s">
        <v>215</v>
      </c>
      <c r="C191" s="124">
        <v>21381.505743999998</v>
      </c>
      <c r="D191" s="124">
        <v>41052.8753</v>
      </c>
      <c r="E191" s="124">
        <v>62434.381044000002</v>
      </c>
      <c r="F191" s="157">
        <v>0.65753635438570901</v>
      </c>
      <c r="G191" s="162">
        <v>31.8177168809524</v>
      </c>
      <c r="H191" s="162">
        <v>1.02549188220623</v>
      </c>
      <c r="I191" s="13"/>
      <c r="J191" s="2"/>
      <c r="K191" s="2"/>
      <c r="L191" s="2"/>
      <c r="M191" s="2"/>
      <c r="N191" s="2"/>
      <c r="O191" s="2"/>
    </row>
    <row r="192" spans="1:15" ht="15" customHeight="1" x14ac:dyDescent="0.3">
      <c r="A192" s="149" t="s">
        <v>224</v>
      </c>
      <c r="B192" s="31" t="s">
        <v>277</v>
      </c>
      <c r="C192" s="124">
        <v>3705.7448220000001</v>
      </c>
      <c r="D192" s="124">
        <v>50951.13</v>
      </c>
      <c r="E192" s="124">
        <v>54656.874821999998</v>
      </c>
      <c r="F192" s="157">
        <v>0.932199840659232</v>
      </c>
      <c r="G192" s="162">
        <v>21.5450280348837</v>
      </c>
      <c r="H192" s="162">
        <v>0.14494816639286601</v>
      </c>
      <c r="I192" s="176"/>
    </row>
    <row r="193" spans="1:9" ht="15" customHeight="1" x14ac:dyDescent="0.3">
      <c r="A193" s="648" t="s">
        <v>644</v>
      </c>
      <c r="B193" s="649"/>
      <c r="C193" s="122">
        <v>30172.681936000001</v>
      </c>
      <c r="D193" s="122">
        <v>95587.362399999998</v>
      </c>
      <c r="E193" s="122">
        <v>125760.04433600001</v>
      </c>
      <c r="F193" s="156">
        <v>0.76007735926534803</v>
      </c>
      <c r="G193" s="170">
        <v>19.329072348494599</v>
      </c>
      <c r="H193" s="170">
        <v>0.60503884048206302</v>
      </c>
      <c r="I193" s="13"/>
    </row>
    <row r="194" spans="1:9" ht="90.75" customHeight="1" x14ac:dyDescent="0.25">
      <c r="A194" s="532" t="s">
        <v>985</v>
      </c>
      <c r="B194" s="532"/>
      <c r="C194" s="532"/>
      <c r="D194" s="532"/>
      <c r="E194" s="532"/>
      <c r="F194" s="532"/>
      <c r="G194" s="532"/>
      <c r="H194" s="532"/>
    </row>
    <row r="195" spans="1:9" ht="15" customHeight="1" x14ac:dyDescent="0.25"/>
    <row r="196" spans="1:9" ht="15" customHeight="1" x14ac:dyDescent="0.25"/>
    <row r="197" spans="1:9" ht="19.2" customHeight="1" x14ac:dyDescent="0.3">
      <c r="A197" s="552" t="s">
        <v>986</v>
      </c>
      <c r="B197" s="622" t="s">
        <v>987</v>
      </c>
      <c r="C197" s="622" t="s">
        <v>988</v>
      </c>
      <c r="D197" s="622"/>
      <c r="E197" s="622"/>
      <c r="F197" s="13"/>
    </row>
    <row r="198" spans="1:9" ht="19.2" customHeight="1" x14ac:dyDescent="0.3">
      <c r="A198" s="552"/>
      <c r="B198" s="622"/>
      <c r="C198" s="164" t="s">
        <v>989</v>
      </c>
      <c r="D198" s="164" t="s">
        <v>990</v>
      </c>
      <c r="E198" s="164" t="s">
        <v>991</v>
      </c>
      <c r="F198" s="13"/>
    </row>
    <row r="199" spans="1:9" ht="15" customHeight="1" x14ac:dyDescent="0.3">
      <c r="A199" s="650" t="s">
        <v>352</v>
      </c>
      <c r="B199" s="650"/>
      <c r="C199" s="650"/>
      <c r="D199" s="650"/>
      <c r="E199" s="650"/>
      <c r="F199" s="13"/>
    </row>
    <row r="200" spans="1:9" ht="15" customHeight="1" x14ac:dyDescent="0.3">
      <c r="A200" s="604" t="s">
        <v>992</v>
      </c>
      <c r="B200" s="11" t="s">
        <v>909</v>
      </c>
      <c r="C200" s="171">
        <v>80589.163</v>
      </c>
      <c r="D200" s="171">
        <v>0</v>
      </c>
      <c r="E200" s="171">
        <v>80589.163</v>
      </c>
      <c r="F200" s="13"/>
    </row>
    <row r="201" spans="1:9" ht="15" customHeight="1" x14ac:dyDescent="0.3">
      <c r="A201" s="604"/>
      <c r="B201" s="11" t="s">
        <v>910</v>
      </c>
      <c r="C201" s="171">
        <v>16121.338</v>
      </c>
      <c r="D201" s="171">
        <v>23164.044000000002</v>
      </c>
      <c r="E201" s="171">
        <v>39285.381999999998</v>
      </c>
      <c r="F201" s="13"/>
    </row>
    <row r="202" spans="1:9" ht="15" customHeight="1" x14ac:dyDescent="0.3">
      <c r="A202" s="604"/>
      <c r="B202" s="11" t="s">
        <v>926</v>
      </c>
      <c r="C202" s="171">
        <v>0</v>
      </c>
      <c r="D202" s="171">
        <v>0</v>
      </c>
      <c r="E202" s="171">
        <v>0</v>
      </c>
      <c r="F202" s="13"/>
    </row>
    <row r="203" spans="1:9" ht="26.7" customHeight="1" x14ac:dyDescent="0.3">
      <c r="A203" s="604"/>
      <c r="B203" s="11" t="s">
        <v>912</v>
      </c>
      <c r="C203" s="171">
        <v>1089.954</v>
      </c>
      <c r="D203" s="171">
        <v>0</v>
      </c>
      <c r="E203" s="171">
        <v>1089.954</v>
      </c>
      <c r="F203" s="13"/>
    </row>
    <row r="204" spans="1:9" ht="15" customHeight="1" x14ac:dyDescent="0.3">
      <c r="A204" s="604"/>
      <c r="B204" s="22" t="s">
        <v>318</v>
      </c>
      <c r="C204" s="172">
        <v>97800.455000000002</v>
      </c>
      <c r="D204" s="172">
        <v>23164.044000000002</v>
      </c>
      <c r="E204" s="172">
        <v>120965</v>
      </c>
      <c r="F204" s="13"/>
    </row>
    <row r="205" spans="1:9" ht="15" customHeight="1" x14ac:dyDescent="0.3">
      <c r="A205" s="651" t="s">
        <v>993</v>
      </c>
      <c r="B205" s="652"/>
      <c r="C205" s="173">
        <v>51951.099000000002</v>
      </c>
      <c r="D205" s="173">
        <v>205.40199999999999</v>
      </c>
      <c r="E205" s="173">
        <v>52156.500999999997</v>
      </c>
      <c r="F205" s="13"/>
    </row>
    <row r="206" spans="1:9" ht="15" customHeight="1" x14ac:dyDescent="0.3">
      <c r="A206" s="645" t="s">
        <v>994</v>
      </c>
      <c r="B206" s="11" t="s">
        <v>909</v>
      </c>
      <c r="C206" s="171">
        <v>81111.732999999993</v>
      </c>
      <c r="D206" s="171">
        <v>93.007999999999996</v>
      </c>
      <c r="E206" s="171">
        <v>81204.740999999995</v>
      </c>
      <c r="F206" s="13"/>
    </row>
    <row r="207" spans="1:9" ht="15" customHeight="1" x14ac:dyDescent="0.3">
      <c r="A207" s="646"/>
      <c r="B207" s="11" t="s">
        <v>910</v>
      </c>
      <c r="C207" s="171">
        <v>0.18</v>
      </c>
      <c r="D207" s="171">
        <v>9494.4110000000001</v>
      </c>
      <c r="E207" s="171">
        <v>9494</v>
      </c>
      <c r="F207" s="13"/>
    </row>
    <row r="208" spans="1:9" ht="15" customHeight="1" x14ac:dyDescent="0.3">
      <c r="A208" s="646"/>
      <c r="B208" s="11" t="s">
        <v>926</v>
      </c>
      <c r="C208" s="171">
        <v>0</v>
      </c>
      <c r="D208" s="171">
        <v>0</v>
      </c>
      <c r="E208" s="171">
        <v>0</v>
      </c>
      <c r="F208" s="13"/>
    </row>
    <row r="209" spans="1:6" ht="34.200000000000003" customHeight="1" x14ac:dyDescent="0.3">
      <c r="A209" s="646"/>
      <c r="B209" s="11" t="s">
        <v>912</v>
      </c>
      <c r="C209" s="171">
        <v>205.40199999999999</v>
      </c>
      <c r="D209" s="171">
        <v>0</v>
      </c>
      <c r="E209" s="171">
        <v>205.40199999999999</v>
      </c>
      <c r="F209" s="13"/>
    </row>
    <row r="210" spans="1:6" ht="15" customHeight="1" x14ac:dyDescent="0.3">
      <c r="A210" s="647"/>
      <c r="B210" s="22" t="s">
        <v>318</v>
      </c>
      <c r="C210" s="172">
        <v>81317.315000000002</v>
      </c>
      <c r="D210" s="172">
        <v>9587.4189999999999</v>
      </c>
      <c r="E210" s="172">
        <v>90904.733999999997</v>
      </c>
      <c r="F210" s="13"/>
    </row>
    <row r="211" spans="1:6" ht="15" customHeight="1" x14ac:dyDescent="0.3">
      <c r="A211" s="642" t="s">
        <v>995</v>
      </c>
      <c r="B211" s="642"/>
      <c r="C211" s="642"/>
      <c r="D211" s="642"/>
      <c r="E211" s="172">
        <v>82216.767000000007</v>
      </c>
      <c r="F211" s="13"/>
    </row>
    <row r="212" spans="1:6" ht="15" customHeight="1" x14ac:dyDescent="0.3">
      <c r="A212" s="642" t="s">
        <v>996</v>
      </c>
      <c r="B212" s="642"/>
      <c r="C212" s="642"/>
      <c r="D212" s="642"/>
      <c r="E212" s="172">
        <v>226725</v>
      </c>
      <c r="F212" s="13"/>
    </row>
    <row r="213" spans="1:6" ht="15" customHeight="1" x14ac:dyDescent="0.3">
      <c r="A213" s="642" t="s">
        <v>997</v>
      </c>
      <c r="B213" s="642"/>
      <c r="C213" s="642"/>
      <c r="D213" s="642"/>
      <c r="E213" s="172">
        <v>308941.76699999999</v>
      </c>
      <c r="F213" s="13"/>
    </row>
    <row r="214" spans="1:6" ht="15" customHeight="1" x14ac:dyDescent="0.3">
      <c r="A214" s="642" t="s">
        <v>998</v>
      </c>
      <c r="B214" s="642"/>
      <c r="C214" s="642"/>
      <c r="D214" s="642"/>
      <c r="E214" s="174">
        <v>0.73387616767272501</v>
      </c>
      <c r="F214" s="13"/>
    </row>
    <row r="215" spans="1:6" ht="15" customHeight="1" x14ac:dyDescent="0.3">
      <c r="A215" s="642" t="s">
        <v>999</v>
      </c>
      <c r="B215" s="642"/>
      <c r="C215" s="642"/>
      <c r="D215" s="642"/>
      <c r="E215" s="172">
        <v>-6111.6239999999998</v>
      </c>
      <c r="F215" s="13"/>
    </row>
    <row r="216" spans="1:6" ht="15" customHeight="1" x14ac:dyDescent="0.3">
      <c r="A216" s="644" t="s">
        <v>1000</v>
      </c>
      <c r="B216" s="644"/>
      <c r="C216" s="644"/>
      <c r="D216" s="644"/>
      <c r="E216" s="644"/>
      <c r="F216" s="13"/>
    </row>
    <row r="217" spans="1:6" ht="15" customHeight="1" x14ac:dyDescent="0.3">
      <c r="A217" s="604" t="s">
        <v>992</v>
      </c>
      <c r="B217" s="11" t="s">
        <v>909</v>
      </c>
      <c r="C217" s="171">
        <v>5714.8059999999996</v>
      </c>
      <c r="D217" s="171">
        <v>0</v>
      </c>
      <c r="E217" s="171">
        <v>5714.8059999999996</v>
      </c>
      <c r="F217" s="13"/>
    </row>
    <row r="218" spans="1:6" ht="15" customHeight="1" x14ac:dyDescent="0.3">
      <c r="A218" s="604"/>
      <c r="B218" s="11" t="s">
        <v>910</v>
      </c>
      <c r="C218" s="171">
        <v>3673.9</v>
      </c>
      <c r="D218" s="171">
        <v>20220.185000000001</v>
      </c>
      <c r="E218" s="171">
        <v>23894.084999999999</v>
      </c>
      <c r="F218" s="13"/>
    </row>
    <row r="219" spans="1:6" ht="15" customHeight="1" x14ac:dyDescent="0.3">
      <c r="A219" s="604"/>
      <c r="B219" s="11" t="s">
        <v>926</v>
      </c>
      <c r="C219" s="171">
        <v>0</v>
      </c>
      <c r="D219" s="171">
        <v>0</v>
      </c>
      <c r="E219" s="171">
        <v>0</v>
      </c>
      <c r="F219" s="13"/>
    </row>
    <row r="220" spans="1:6" ht="29.1" customHeight="1" x14ac:dyDescent="0.3">
      <c r="A220" s="604"/>
      <c r="B220" s="11" t="s">
        <v>912</v>
      </c>
      <c r="C220" s="171">
        <v>931.51</v>
      </c>
      <c r="D220" s="171">
        <v>0</v>
      </c>
      <c r="E220" s="171">
        <v>931.51</v>
      </c>
      <c r="F220" s="13"/>
    </row>
    <row r="221" spans="1:6" ht="15" customHeight="1" x14ac:dyDescent="0.3">
      <c r="A221" s="604"/>
      <c r="B221" s="22" t="s">
        <v>318</v>
      </c>
      <c r="C221" s="172">
        <v>10320.216</v>
      </c>
      <c r="D221" s="172">
        <v>20220.185000000001</v>
      </c>
      <c r="E221" s="172">
        <v>30540.401000000002</v>
      </c>
      <c r="F221" s="13"/>
    </row>
    <row r="222" spans="1:6" ht="15" customHeight="1" x14ac:dyDescent="0.3">
      <c r="A222" s="604" t="s">
        <v>993</v>
      </c>
      <c r="B222" s="604"/>
      <c r="C222" s="172">
        <v>590.34</v>
      </c>
      <c r="D222" s="172">
        <v>205.40199999999999</v>
      </c>
      <c r="E222" s="172">
        <v>795.74199999999996</v>
      </c>
      <c r="F222" s="13"/>
    </row>
    <row r="223" spans="1:6" ht="15" customHeight="1" x14ac:dyDescent="0.3">
      <c r="A223" s="645" t="s">
        <v>994</v>
      </c>
      <c r="B223" s="11" t="s">
        <v>909</v>
      </c>
      <c r="C223" s="171">
        <v>590.34</v>
      </c>
      <c r="D223" s="171">
        <v>0</v>
      </c>
      <c r="E223" s="171">
        <v>590.34</v>
      </c>
      <c r="F223" s="13"/>
    </row>
    <row r="224" spans="1:6" ht="15" customHeight="1" x14ac:dyDescent="0.3">
      <c r="A224" s="646"/>
      <c r="B224" s="11" t="s">
        <v>910</v>
      </c>
      <c r="C224" s="171">
        <v>0.17995</v>
      </c>
      <c r="D224" s="171">
        <v>367.71899999999999</v>
      </c>
      <c r="E224" s="171">
        <v>367.89895000000001</v>
      </c>
      <c r="F224" s="13"/>
    </row>
    <row r="225" spans="1:6" ht="15" customHeight="1" x14ac:dyDescent="0.3">
      <c r="A225" s="646"/>
      <c r="B225" s="11" t="s">
        <v>926</v>
      </c>
      <c r="C225" s="171">
        <v>0</v>
      </c>
      <c r="D225" s="171">
        <v>0</v>
      </c>
      <c r="E225" s="171">
        <v>0</v>
      </c>
      <c r="F225" s="13"/>
    </row>
    <row r="226" spans="1:6" ht="29.1" customHeight="1" x14ac:dyDescent="0.3">
      <c r="A226" s="646"/>
      <c r="B226" s="11" t="s">
        <v>912</v>
      </c>
      <c r="C226" s="171">
        <v>205.40199999999999</v>
      </c>
      <c r="D226" s="171">
        <v>0</v>
      </c>
      <c r="E226" s="171">
        <v>205.40199999999999</v>
      </c>
      <c r="F226" s="13"/>
    </row>
    <row r="227" spans="1:6" ht="15" customHeight="1" x14ac:dyDescent="0.3">
      <c r="A227" s="647"/>
      <c r="B227" s="22" t="s">
        <v>318</v>
      </c>
      <c r="C227" s="172">
        <v>795.92195000000004</v>
      </c>
      <c r="D227" s="172">
        <v>367.71899999999999</v>
      </c>
      <c r="E227" s="172">
        <v>1163</v>
      </c>
      <c r="F227" s="13"/>
    </row>
    <row r="228" spans="1:6" ht="15" customHeight="1" x14ac:dyDescent="0.3">
      <c r="A228" s="642" t="s">
        <v>995</v>
      </c>
      <c r="B228" s="642"/>
      <c r="C228" s="642"/>
      <c r="D228" s="642"/>
      <c r="E228" s="172">
        <v>30173.143</v>
      </c>
      <c r="F228" s="13"/>
    </row>
    <row r="229" spans="1:6" ht="15" customHeight="1" x14ac:dyDescent="0.3">
      <c r="A229" s="642" t="s">
        <v>996</v>
      </c>
      <c r="B229" s="642"/>
      <c r="C229" s="642"/>
      <c r="D229" s="642"/>
      <c r="E229" s="172">
        <v>95587.362399999998</v>
      </c>
      <c r="F229" s="13"/>
    </row>
    <row r="230" spans="1:6" ht="15" customHeight="1" x14ac:dyDescent="0.3">
      <c r="A230" s="642" t="s">
        <v>997</v>
      </c>
      <c r="B230" s="642"/>
      <c r="C230" s="642"/>
      <c r="D230" s="642"/>
      <c r="E230" s="172">
        <v>125760</v>
      </c>
      <c r="F230" s="13"/>
    </row>
    <row r="231" spans="1:6" ht="15" customHeight="1" x14ac:dyDescent="0.3">
      <c r="A231" s="642" t="s">
        <v>998</v>
      </c>
      <c r="B231" s="642"/>
      <c r="C231" s="642"/>
      <c r="D231" s="642"/>
      <c r="E231" s="174">
        <v>0.76007762722646299</v>
      </c>
      <c r="F231" s="13"/>
    </row>
    <row r="232" spans="1:6" ht="15" customHeight="1" x14ac:dyDescent="0.3">
      <c r="A232" s="642" t="s">
        <v>999</v>
      </c>
      <c r="B232" s="642"/>
      <c r="C232" s="642"/>
      <c r="D232" s="642"/>
      <c r="E232" s="52">
        <v>-497</v>
      </c>
      <c r="F232" s="13"/>
    </row>
    <row r="233" spans="1:6" ht="26.7" customHeight="1" x14ac:dyDescent="0.3">
      <c r="A233" s="622" t="s">
        <v>1001</v>
      </c>
      <c r="B233" s="622"/>
      <c r="C233" s="622"/>
      <c r="D233" s="164" t="s">
        <v>1002</v>
      </c>
      <c r="E233" s="95" t="s">
        <v>1003</v>
      </c>
      <c r="F233" s="13"/>
    </row>
    <row r="234" spans="1:6" ht="15" customHeight="1" x14ac:dyDescent="0.3">
      <c r="A234" s="643" t="s">
        <v>1004</v>
      </c>
      <c r="B234" s="643"/>
      <c r="C234" s="643"/>
      <c r="D234" s="136">
        <v>4</v>
      </c>
      <c r="E234" s="175">
        <v>0.33</v>
      </c>
      <c r="F234" s="13"/>
    </row>
    <row r="235" spans="1:6" ht="45.75" customHeight="1" x14ac:dyDescent="0.25">
      <c r="A235" s="532" t="s">
        <v>1005</v>
      </c>
      <c r="B235" s="532"/>
      <c r="C235" s="532"/>
      <c r="D235" s="532"/>
      <c r="E235" s="532"/>
    </row>
    <row r="236" spans="1:6" ht="15" customHeight="1" x14ac:dyDescent="0.25"/>
    <row r="237" spans="1:6" ht="15" customHeight="1" x14ac:dyDescent="0.25"/>
    <row r="238" spans="1:6" ht="15" customHeight="1" x14ac:dyDescent="0.25"/>
    <row r="239" spans="1:6" ht="15" customHeight="1" x14ac:dyDescent="0.25"/>
    <row r="240" spans="1:6"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sheetData>
  <sheetProtection algorithmName="SHA-512" hashValue="sxWedGfQHwH1weBqc99gdJrVv+jYIZoyI8twyV1ZqyyCo+wqo6KI3ai3Ijb0wtaFL/4DNwr1lcobZpnrfeTpUQ==" saltValue="aaobx3c+uAarYMfZZoH0wA==" spinCount="100000" sheet="1" objects="1" scenarios="1" formatColumns="0" formatRows="0"/>
  <mergeCells count="73">
    <mergeCell ref="A1:F1"/>
    <mergeCell ref="A4:A6"/>
    <mergeCell ref="A7:A9"/>
    <mergeCell ref="A10:A15"/>
    <mergeCell ref="A16:A21"/>
    <mergeCell ref="A22:A23"/>
    <mergeCell ref="A29:A30"/>
    <mergeCell ref="B29:B30"/>
    <mergeCell ref="A31:A33"/>
    <mergeCell ref="C29:F29"/>
    <mergeCell ref="G29:J29"/>
    <mergeCell ref="A25:K26"/>
    <mergeCell ref="A34:A36"/>
    <mergeCell ref="A37:A42"/>
    <mergeCell ref="A43:A48"/>
    <mergeCell ref="A76:A77"/>
    <mergeCell ref="A105:G106"/>
    <mergeCell ref="A79:H80"/>
    <mergeCell ref="A121:F122"/>
    <mergeCell ref="A49:A50"/>
    <mergeCell ref="A52:J54"/>
    <mergeCell ref="A84:A86"/>
    <mergeCell ref="A58:A60"/>
    <mergeCell ref="A87:A89"/>
    <mergeCell ref="A61:A63"/>
    <mergeCell ref="A64:A69"/>
    <mergeCell ref="A70:A75"/>
    <mergeCell ref="A129:C130"/>
    <mergeCell ref="A146:B147"/>
    <mergeCell ref="A90:A95"/>
    <mergeCell ref="A170:H175"/>
    <mergeCell ref="A154:F154"/>
    <mergeCell ref="A96:A101"/>
    <mergeCell ref="A102:A103"/>
    <mergeCell ref="A194:H194"/>
    <mergeCell ref="A155:F155"/>
    <mergeCell ref="A158:A159"/>
    <mergeCell ref="A160:A161"/>
    <mergeCell ref="A162:A164"/>
    <mergeCell ref="A165:A168"/>
    <mergeCell ref="A178:A179"/>
    <mergeCell ref="J178:K179"/>
    <mergeCell ref="H178:I179"/>
    <mergeCell ref="F178:G179"/>
    <mergeCell ref="D178:E179"/>
    <mergeCell ref="B178:C179"/>
    <mergeCell ref="A235:E235"/>
    <mergeCell ref="A184:K185"/>
    <mergeCell ref="A190:A191"/>
    <mergeCell ref="A193:B193"/>
    <mergeCell ref="A197:A198"/>
    <mergeCell ref="B197:B198"/>
    <mergeCell ref="C197:E197"/>
    <mergeCell ref="A199:E199"/>
    <mergeCell ref="A200:A204"/>
    <mergeCell ref="A205:B205"/>
    <mergeCell ref="A206:A210"/>
    <mergeCell ref="A212:D212"/>
    <mergeCell ref="A211:D211"/>
    <mergeCell ref="A213:D213"/>
    <mergeCell ref="A214:D214"/>
    <mergeCell ref="A215:D215"/>
    <mergeCell ref="A216:E216"/>
    <mergeCell ref="A217:A221"/>
    <mergeCell ref="A222:B222"/>
    <mergeCell ref="A223:A227"/>
    <mergeCell ref="A228:D228"/>
    <mergeCell ref="A230:D230"/>
    <mergeCell ref="A229:D229"/>
    <mergeCell ref="A231:D231"/>
    <mergeCell ref="A232:D232"/>
    <mergeCell ref="A234:C234"/>
    <mergeCell ref="A233:C23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0"/>
  <sheetViews>
    <sheetView showRuler="0" workbookViewId="0">
      <selection sqref="A1:F1"/>
    </sheetView>
  </sheetViews>
  <sheetFormatPr defaultColWidth="13.6640625" defaultRowHeight="13.2" x14ac:dyDescent="0.25"/>
  <cols>
    <col min="1" max="4" width="22.109375" customWidth="1"/>
    <col min="5" max="5" width="14.33203125" customWidth="1"/>
  </cols>
  <sheetData>
    <row r="1" spans="1:6" ht="24.9" customHeight="1" x14ac:dyDescent="0.25">
      <c r="A1" s="660" t="s">
        <v>1006</v>
      </c>
      <c r="B1" s="660"/>
      <c r="C1" s="660"/>
      <c r="D1" s="660"/>
      <c r="E1" s="660"/>
      <c r="F1" s="660"/>
    </row>
    <row r="2" spans="1:6" ht="70.95" customHeight="1" x14ac:dyDescent="0.25">
      <c r="A2" s="661" t="s">
        <v>1007</v>
      </c>
      <c r="B2" s="518"/>
      <c r="C2" s="518"/>
      <c r="D2" s="518"/>
      <c r="E2" s="518"/>
      <c r="F2" s="518"/>
    </row>
    <row r="3" spans="1:6" ht="22.5" customHeight="1" x14ac:dyDescent="0.25">
      <c r="E3" s="186"/>
    </row>
    <row r="4" spans="1:6" ht="54.9" customHeight="1" x14ac:dyDescent="0.25">
      <c r="A4" s="177" t="s">
        <v>1008</v>
      </c>
      <c r="B4" s="178" t="s">
        <v>1009</v>
      </c>
      <c r="C4" s="179" t="s">
        <v>1010</v>
      </c>
      <c r="D4" s="178" t="s">
        <v>1011</v>
      </c>
      <c r="E4" s="187"/>
    </row>
    <row r="5" spans="1:6" ht="21.6" customHeight="1" x14ac:dyDescent="0.25">
      <c r="A5" s="180" t="s">
        <v>245</v>
      </c>
      <c r="B5" s="181" t="s">
        <v>246</v>
      </c>
      <c r="C5" s="182">
        <v>4</v>
      </c>
      <c r="D5" s="182">
        <v>139</v>
      </c>
      <c r="E5" s="188"/>
    </row>
    <row r="6" spans="1:6" ht="21.6" customHeight="1" x14ac:dyDescent="0.25">
      <c r="A6" s="180" t="s">
        <v>251</v>
      </c>
      <c r="B6" s="181" t="s">
        <v>252</v>
      </c>
      <c r="C6" s="182">
        <v>3</v>
      </c>
      <c r="D6" s="182">
        <v>139</v>
      </c>
      <c r="E6" s="187"/>
    </row>
    <row r="7" spans="1:6" ht="21.6" customHeight="1" x14ac:dyDescent="0.25">
      <c r="A7" s="662" t="s">
        <v>213</v>
      </c>
      <c r="B7" s="181" t="s">
        <v>328</v>
      </c>
      <c r="C7" s="182">
        <v>1</v>
      </c>
      <c r="D7" s="182">
        <v>36</v>
      </c>
      <c r="E7" s="187"/>
    </row>
    <row r="8" spans="1:6" ht="21.6" customHeight="1" x14ac:dyDescent="0.25">
      <c r="A8" s="663"/>
      <c r="B8" s="181" t="s">
        <v>329</v>
      </c>
      <c r="C8" s="182">
        <v>0</v>
      </c>
      <c r="D8" s="182">
        <v>14</v>
      </c>
      <c r="E8" s="187"/>
    </row>
    <row r="9" spans="1:6" ht="21.6" customHeight="1" x14ac:dyDescent="0.25">
      <c r="A9" s="663"/>
      <c r="B9" s="181" t="s">
        <v>214</v>
      </c>
      <c r="C9" s="182">
        <v>2</v>
      </c>
      <c r="D9" s="182">
        <v>38</v>
      </c>
      <c r="E9" s="188"/>
    </row>
    <row r="10" spans="1:6" ht="21.6" customHeight="1" x14ac:dyDescent="0.25">
      <c r="A10" s="664"/>
      <c r="B10" s="181" t="s">
        <v>265</v>
      </c>
      <c r="C10" s="182">
        <v>1</v>
      </c>
      <c r="D10" s="182">
        <v>40</v>
      </c>
      <c r="E10" s="187"/>
    </row>
    <row r="11" spans="1:6" ht="21.6" customHeight="1" x14ac:dyDescent="0.25">
      <c r="A11" s="662" t="s">
        <v>224</v>
      </c>
      <c r="B11" s="181" t="s">
        <v>225</v>
      </c>
      <c r="C11" s="182">
        <v>3</v>
      </c>
      <c r="D11" s="182">
        <v>133</v>
      </c>
      <c r="E11" s="187"/>
    </row>
    <row r="12" spans="1:6" ht="21.6" customHeight="1" x14ac:dyDescent="0.25">
      <c r="A12" s="664"/>
      <c r="B12" s="181" t="s">
        <v>695</v>
      </c>
      <c r="C12" s="182">
        <v>3</v>
      </c>
      <c r="D12" s="182">
        <v>109</v>
      </c>
      <c r="E12" s="187"/>
    </row>
    <row r="13" spans="1:6" ht="21.6" customHeight="1" x14ac:dyDescent="0.25">
      <c r="A13" s="180" t="s">
        <v>234</v>
      </c>
      <c r="B13" s="181" t="s">
        <v>235</v>
      </c>
      <c r="C13" s="183">
        <v>1</v>
      </c>
      <c r="D13" s="182">
        <v>68</v>
      </c>
      <c r="E13" s="188"/>
    </row>
    <row r="14" spans="1:6" ht="21.6" customHeight="1" x14ac:dyDescent="0.25">
      <c r="A14" s="184" t="s">
        <v>1012</v>
      </c>
      <c r="B14" s="181" t="s">
        <v>1013</v>
      </c>
      <c r="C14" s="183">
        <v>0</v>
      </c>
      <c r="D14" s="182">
        <v>56</v>
      </c>
      <c r="E14" s="187"/>
    </row>
    <row r="15" spans="1:6" ht="21.6" customHeight="1" x14ac:dyDescent="0.25">
      <c r="A15" s="180" t="s">
        <v>455</v>
      </c>
      <c r="B15" s="181" t="s">
        <v>318</v>
      </c>
      <c r="C15" s="185">
        <v>18</v>
      </c>
      <c r="D15" s="185">
        <v>772</v>
      </c>
      <c r="E15" s="187"/>
    </row>
    <row r="16" spans="1:6" ht="44.1" customHeight="1" x14ac:dyDescent="0.25">
      <c r="A16" s="665" t="s">
        <v>1014</v>
      </c>
      <c r="B16" s="665"/>
      <c r="C16" s="665"/>
      <c r="D16" s="665"/>
      <c r="E16" s="186"/>
    </row>
    <row r="17" spans="1:5" ht="21.6" customHeight="1" x14ac:dyDescent="0.25">
      <c r="A17" s="189"/>
      <c r="B17" s="189"/>
      <c r="C17" s="189"/>
      <c r="D17" s="189"/>
      <c r="E17" s="186"/>
    </row>
    <row r="18" spans="1:5" ht="21.6" customHeight="1" x14ac:dyDescent="0.25">
      <c r="A18" s="189"/>
      <c r="B18" s="189"/>
      <c r="C18" s="189"/>
      <c r="D18" s="189"/>
      <c r="E18" s="186"/>
    </row>
    <row r="19" spans="1:5" ht="21.6" customHeight="1" x14ac:dyDescent="0.25">
      <c r="E19" s="186"/>
    </row>
    <row r="20" spans="1:5" ht="21.6" customHeight="1" x14ac:dyDescent="0.25">
      <c r="E20" s="186"/>
    </row>
    <row r="21" spans="1:5" ht="21.6" customHeight="1" x14ac:dyDescent="0.25">
      <c r="E21" s="186"/>
    </row>
    <row r="22" spans="1:5" ht="21.6" customHeight="1" x14ac:dyDescent="0.25">
      <c r="E22" s="186"/>
    </row>
    <row r="23" spans="1:5" ht="21.6" customHeight="1" x14ac:dyDescent="0.25">
      <c r="E23" s="186"/>
    </row>
    <row r="24" spans="1:5" ht="21.6" customHeight="1" x14ac:dyDescent="0.25">
      <c r="E24" s="186"/>
    </row>
    <row r="25" spans="1:5" ht="21.6" customHeight="1" x14ac:dyDescent="0.25">
      <c r="E25" s="186"/>
    </row>
    <row r="26" spans="1:5" ht="21.6" customHeight="1" x14ac:dyDescent="0.25">
      <c r="E26" s="190"/>
    </row>
    <row r="27" spans="1:5" ht="21.6" customHeight="1" x14ac:dyDescent="0.25">
      <c r="E27" s="190"/>
    </row>
    <row r="28" spans="1:5" ht="21.6" customHeight="1" x14ac:dyDescent="0.25">
      <c r="E28" s="186"/>
    </row>
    <row r="29" spans="1:5" ht="21.6" customHeight="1" x14ac:dyDescent="0.25">
      <c r="E29" s="186"/>
    </row>
    <row r="30" spans="1:5" ht="21.6" customHeight="1" x14ac:dyDescent="0.25">
      <c r="E30" s="186"/>
    </row>
    <row r="31" spans="1:5" ht="21.6" customHeight="1" x14ac:dyDescent="0.25">
      <c r="E31" s="186"/>
    </row>
    <row r="32" spans="1:5" ht="21.6" customHeight="1" x14ac:dyDescent="0.25">
      <c r="E32" s="186"/>
    </row>
    <row r="33" spans="5:5" ht="69.900000000000006" customHeight="1" x14ac:dyDescent="0.25">
      <c r="E33" s="186"/>
    </row>
    <row r="34" spans="5:5" ht="69.900000000000006" customHeight="1" x14ac:dyDescent="0.25">
      <c r="E34" s="186"/>
    </row>
    <row r="35" spans="5:5" ht="15" customHeight="1" x14ac:dyDescent="0.25"/>
    <row r="36" spans="5:5" ht="15" customHeight="1" x14ac:dyDescent="0.25"/>
    <row r="37" spans="5:5" ht="15" customHeight="1" x14ac:dyDescent="0.25"/>
    <row r="38" spans="5:5" ht="15" customHeight="1" x14ac:dyDescent="0.25"/>
    <row r="39" spans="5:5" ht="15" customHeight="1" x14ac:dyDescent="0.25"/>
    <row r="40" spans="5:5" ht="15" customHeight="1" x14ac:dyDescent="0.25"/>
    <row r="41" spans="5:5" ht="15" customHeight="1" x14ac:dyDescent="0.25"/>
    <row r="42" spans="5:5" ht="15" customHeight="1" x14ac:dyDescent="0.25"/>
    <row r="43" spans="5:5" ht="15" customHeight="1" x14ac:dyDescent="0.25"/>
    <row r="44" spans="5:5" ht="15" customHeight="1" x14ac:dyDescent="0.25"/>
    <row r="45" spans="5:5" ht="15" customHeight="1" x14ac:dyDescent="0.25"/>
    <row r="46" spans="5:5" ht="15" customHeight="1" x14ac:dyDescent="0.25"/>
    <row r="47" spans="5:5" ht="15" customHeight="1" x14ac:dyDescent="0.25"/>
    <row r="48" spans="5:5"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heetProtection algorithmName="SHA-512" hashValue="6JKjl/WHWJ0B19Pr6KNJd82EJTJfVCeYekH+1xZc9w3sROUKUbHpF3zXfXF9q5m5OGLt6td02r/EBTMtPy/Ecg==" saltValue="FhEo9B+XX3hTWz6PAcz9yA==" spinCount="100000" sheet="1" objects="1" scenarios="1" formatColumns="0" formatRows="0"/>
  <mergeCells count="5">
    <mergeCell ref="A1:F1"/>
    <mergeCell ref="A2:F2"/>
    <mergeCell ref="A7:A10"/>
    <mergeCell ref="A11:A12"/>
    <mergeCell ref="A16:D1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35"/>
  <sheetViews>
    <sheetView showRuler="0" workbookViewId="0">
      <selection sqref="A1:F1"/>
    </sheetView>
  </sheetViews>
  <sheetFormatPr defaultColWidth="13.6640625" defaultRowHeight="13.2" x14ac:dyDescent="0.25"/>
  <cols>
    <col min="1" max="1" width="28.6640625" customWidth="1"/>
    <col min="2" max="10" width="16.6640625" customWidth="1"/>
    <col min="11" max="11" width="17.33203125" customWidth="1"/>
    <col min="12" max="12" width="23.109375" customWidth="1"/>
  </cols>
  <sheetData>
    <row r="1" spans="1:12" ht="26.7" customHeight="1" x14ac:dyDescent="0.3">
      <c r="A1" s="595" t="s">
        <v>1015</v>
      </c>
      <c r="B1" s="595"/>
      <c r="C1" s="595"/>
      <c r="D1" s="595"/>
      <c r="E1" s="595"/>
      <c r="F1" s="595"/>
      <c r="G1" s="17"/>
      <c r="H1" s="17"/>
      <c r="I1" s="17"/>
      <c r="J1" s="17"/>
      <c r="K1" s="17"/>
      <c r="L1" s="17"/>
    </row>
    <row r="2" spans="1:12" ht="30.75" customHeight="1" x14ac:dyDescent="0.3">
      <c r="B2" s="64"/>
      <c r="C2" s="64"/>
      <c r="D2" s="64"/>
      <c r="E2" s="64"/>
      <c r="F2" s="64"/>
      <c r="G2" s="2"/>
      <c r="H2" s="2"/>
      <c r="I2" s="2"/>
      <c r="J2" s="2"/>
      <c r="K2" s="2"/>
      <c r="L2" s="2"/>
    </row>
    <row r="3" spans="1:12" ht="42.6" customHeight="1" x14ac:dyDescent="0.3">
      <c r="A3" s="63" t="s">
        <v>130</v>
      </c>
      <c r="B3" s="25">
        <v>2019</v>
      </c>
      <c r="C3" s="25">
        <v>2020</v>
      </c>
      <c r="D3" s="25">
        <v>2021</v>
      </c>
      <c r="E3" s="25">
        <v>2022</v>
      </c>
      <c r="F3" s="25">
        <v>2023</v>
      </c>
      <c r="G3" s="13"/>
      <c r="H3" s="2"/>
      <c r="I3" s="2"/>
      <c r="J3" s="2"/>
    </row>
    <row r="4" spans="1:12" ht="21.6" customHeight="1" x14ac:dyDescent="0.3">
      <c r="A4" s="6" t="s">
        <v>1016</v>
      </c>
      <c r="B4" s="191">
        <v>0</v>
      </c>
      <c r="C4" s="191">
        <v>0</v>
      </c>
      <c r="D4" s="191">
        <v>0</v>
      </c>
      <c r="E4" s="191">
        <v>0</v>
      </c>
      <c r="F4" s="10">
        <v>0</v>
      </c>
      <c r="G4" s="13"/>
      <c r="H4" s="2"/>
      <c r="I4" s="2"/>
      <c r="J4" s="2"/>
    </row>
    <row r="5" spans="1:12" ht="26.7" customHeight="1" x14ac:dyDescent="0.3">
      <c r="A5" s="6" t="s">
        <v>1017</v>
      </c>
      <c r="B5" s="192">
        <v>0.27</v>
      </c>
      <c r="C5" s="192">
        <v>0.18</v>
      </c>
      <c r="D5" s="192">
        <v>0.22</v>
      </c>
      <c r="E5" s="192">
        <v>0.22</v>
      </c>
      <c r="F5" s="193">
        <v>0.46650758679009702</v>
      </c>
      <c r="G5" s="13"/>
      <c r="H5" s="2"/>
      <c r="I5" s="2"/>
      <c r="J5" s="2"/>
    </row>
    <row r="6" spans="1:12" ht="26.7" customHeight="1" x14ac:dyDescent="0.3">
      <c r="A6" s="6" t="s">
        <v>1018</v>
      </c>
      <c r="B6" s="192">
        <v>0.41</v>
      </c>
      <c r="C6" s="192">
        <v>0.3</v>
      </c>
      <c r="D6" s="192">
        <v>0.41</v>
      </c>
      <c r="E6" s="192">
        <v>0.41</v>
      </c>
      <c r="F6" s="193">
        <v>0.77512029805123805</v>
      </c>
      <c r="G6" s="13"/>
      <c r="H6" s="2"/>
      <c r="I6" s="2"/>
      <c r="J6" s="2"/>
    </row>
    <row r="7" spans="1:12" ht="26.7" customHeight="1" x14ac:dyDescent="0.3">
      <c r="A7" s="6" t="s">
        <v>1019</v>
      </c>
      <c r="B7" s="192">
        <v>7.0000000000000007E-2</v>
      </c>
      <c r="C7" s="192">
        <v>0.05</v>
      </c>
      <c r="D7" s="192">
        <v>0.06</v>
      </c>
      <c r="E7" s="192">
        <v>0.01</v>
      </c>
      <c r="F7" s="193">
        <v>7.1770397967707206E-2</v>
      </c>
      <c r="G7" s="13"/>
      <c r="H7" s="2"/>
      <c r="I7" s="2"/>
      <c r="J7" s="2"/>
    </row>
    <row r="8" spans="1:12" ht="36.6" customHeight="1" x14ac:dyDescent="0.3">
      <c r="A8" s="678"/>
      <c r="B8" s="547"/>
      <c r="C8" s="547"/>
      <c r="D8" s="547"/>
      <c r="E8" s="547"/>
      <c r="F8" s="547"/>
      <c r="G8" s="2"/>
      <c r="H8" s="2"/>
      <c r="I8" s="2"/>
      <c r="J8" s="2"/>
    </row>
    <row r="9" spans="1:12" ht="25.95" customHeight="1" x14ac:dyDescent="0.25"/>
    <row r="10" spans="1:12" ht="21.6" customHeight="1" x14ac:dyDescent="0.25"/>
    <row r="11" spans="1:12" ht="45.75" customHeight="1" x14ac:dyDescent="0.3">
      <c r="A11" s="194" t="s">
        <v>31</v>
      </c>
      <c r="B11" s="164" t="s">
        <v>207</v>
      </c>
      <c r="C11" s="5" t="s">
        <v>1020</v>
      </c>
      <c r="D11" s="5" t="s">
        <v>1016</v>
      </c>
      <c r="E11" s="5" t="s">
        <v>1021</v>
      </c>
      <c r="F11" s="5" t="s">
        <v>1022</v>
      </c>
      <c r="G11" s="5" t="s">
        <v>1023</v>
      </c>
      <c r="H11" s="5" t="s">
        <v>1024</v>
      </c>
      <c r="I11" s="5" t="s">
        <v>1025</v>
      </c>
      <c r="J11" s="5" t="s">
        <v>1026</v>
      </c>
      <c r="K11" s="5" t="s">
        <v>1027</v>
      </c>
      <c r="L11" s="13"/>
    </row>
    <row r="12" spans="1:12" ht="22.5" customHeight="1" x14ac:dyDescent="0.3">
      <c r="A12" s="690" t="s">
        <v>245</v>
      </c>
      <c r="B12" s="194" t="s">
        <v>350</v>
      </c>
      <c r="C12" s="195">
        <v>5520097.8799999999</v>
      </c>
      <c r="D12" s="195">
        <v>0</v>
      </c>
      <c r="E12" s="195">
        <v>2</v>
      </c>
      <c r="F12" s="195">
        <v>2</v>
      </c>
      <c r="G12" s="195">
        <v>0</v>
      </c>
      <c r="H12" s="196">
        <v>7.2462483219591006E-2</v>
      </c>
      <c r="I12" s="196">
        <v>0.14492496643918201</v>
      </c>
      <c r="J12" s="195">
        <v>0</v>
      </c>
      <c r="K12" s="196">
        <v>0</v>
      </c>
      <c r="L12" s="13"/>
    </row>
    <row r="13" spans="1:12" ht="22.5" customHeight="1" x14ac:dyDescent="0.3">
      <c r="A13" s="691"/>
      <c r="B13" s="161" t="s">
        <v>1028</v>
      </c>
      <c r="C13" s="125">
        <v>266186.2</v>
      </c>
      <c r="D13" s="125">
        <v>0</v>
      </c>
      <c r="E13" s="125">
        <v>0</v>
      </c>
      <c r="F13" s="125">
        <v>0</v>
      </c>
      <c r="G13" s="125">
        <v>0</v>
      </c>
      <c r="H13" s="163">
        <v>0</v>
      </c>
      <c r="I13" s="163">
        <v>0</v>
      </c>
      <c r="J13" s="125">
        <v>0</v>
      </c>
      <c r="K13" s="163">
        <v>0</v>
      </c>
      <c r="L13" s="13"/>
    </row>
    <row r="14" spans="1:12" ht="22.5" customHeight="1" x14ac:dyDescent="0.3">
      <c r="A14" s="691"/>
      <c r="B14" s="161" t="s">
        <v>514</v>
      </c>
      <c r="C14" s="125">
        <v>2845971.53</v>
      </c>
      <c r="D14" s="125">
        <v>0</v>
      </c>
      <c r="E14" s="125">
        <v>0</v>
      </c>
      <c r="F14" s="125">
        <v>2</v>
      </c>
      <c r="G14" s="125">
        <v>0</v>
      </c>
      <c r="H14" s="163">
        <v>0</v>
      </c>
      <c r="I14" s="163">
        <v>0.140549543726462</v>
      </c>
      <c r="J14" s="125">
        <v>0</v>
      </c>
      <c r="K14" s="163">
        <v>0</v>
      </c>
      <c r="L14" s="13"/>
    </row>
    <row r="15" spans="1:12" ht="22.5" customHeight="1" x14ac:dyDescent="0.3">
      <c r="A15" s="691"/>
      <c r="B15" s="161" t="s">
        <v>247</v>
      </c>
      <c r="C15" s="125">
        <v>1892733.45</v>
      </c>
      <c r="D15" s="125">
        <v>0</v>
      </c>
      <c r="E15" s="125">
        <v>1</v>
      </c>
      <c r="F15" s="125">
        <v>0</v>
      </c>
      <c r="G15" s="125">
        <v>0</v>
      </c>
      <c r="H15" s="163">
        <v>0.10566728241633799</v>
      </c>
      <c r="I15" s="163">
        <v>0.10566728241633799</v>
      </c>
      <c r="J15" s="125">
        <v>0</v>
      </c>
      <c r="K15" s="163">
        <v>0</v>
      </c>
      <c r="L15" s="13"/>
    </row>
    <row r="16" spans="1:12" ht="22.5" customHeight="1" x14ac:dyDescent="0.3">
      <c r="A16" s="691"/>
      <c r="B16" s="161" t="s">
        <v>1029</v>
      </c>
      <c r="C16" s="125">
        <v>157700.18</v>
      </c>
      <c r="D16" s="125">
        <v>0</v>
      </c>
      <c r="E16" s="125">
        <v>1</v>
      </c>
      <c r="F16" s="125">
        <v>0</v>
      </c>
      <c r="G16" s="125">
        <v>0</v>
      </c>
      <c r="H16" s="163">
        <v>1.26822937044206</v>
      </c>
      <c r="I16" s="163">
        <v>1.26822937044206</v>
      </c>
      <c r="J16" s="125">
        <v>0</v>
      </c>
      <c r="K16" s="163">
        <v>0</v>
      </c>
      <c r="L16" s="13"/>
    </row>
    <row r="17" spans="1:12" ht="22.5" customHeight="1" x14ac:dyDescent="0.3">
      <c r="A17" s="692"/>
      <c r="B17" s="161" t="s">
        <v>1030</v>
      </c>
      <c r="C17" s="125">
        <v>357506.52</v>
      </c>
      <c r="D17" s="125">
        <v>0</v>
      </c>
      <c r="E17" s="125">
        <v>0</v>
      </c>
      <c r="F17" s="125">
        <v>0</v>
      </c>
      <c r="G17" s="125">
        <v>0</v>
      </c>
      <c r="H17" s="163">
        <v>0</v>
      </c>
      <c r="I17" s="163">
        <v>0</v>
      </c>
      <c r="J17" s="125">
        <v>0</v>
      </c>
      <c r="K17" s="163">
        <v>0</v>
      </c>
      <c r="L17" s="13"/>
    </row>
    <row r="18" spans="1:12" ht="22.5" customHeight="1" x14ac:dyDescent="0.3">
      <c r="A18" s="690" t="s">
        <v>251</v>
      </c>
      <c r="B18" s="194" t="s">
        <v>252</v>
      </c>
      <c r="C18" s="195">
        <v>4005247</v>
      </c>
      <c r="D18" s="195">
        <v>0</v>
      </c>
      <c r="E18" s="195">
        <v>15</v>
      </c>
      <c r="F18" s="195">
        <v>6</v>
      </c>
      <c r="G18" s="195">
        <v>8</v>
      </c>
      <c r="H18" s="196">
        <v>1.1484934636989901</v>
      </c>
      <c r="I18" s="196">
        <v>1.44810045422916</v>
      </c>
      <c r="J18" s="195">
        <v>10</v>
      </c>
      <c r="K18" s="196">
        <v>0.499344984216953</v>
      </c>
      <c r="L18" s="13"/>
    </row>
    <row r="19" spans="1:12" ht="22.5" customHeight="1" x14ac:dyDescent="0.3">
      <c r="A19" s="691"/>
      <c r="B19" s="161" t="s">
        <v>1031</v>
      </c>
      <c r="C19" s="125">
        <v>429916</v>
      </c>
      <c r="D19" s="125">
        <v>0</v>
      </c>
      <c r="E19" s="10">
        <v>0</v>
      </c>
      <c r="F19" s="10">
        <v>0</v>
      </c>
      <c r="G19" s="10">
        <v>0</v>
      </c>
      <c r="H19" s="163">
        <v>0</v>
      </c>
      <c r="I19" s="163">
        <v>0</v>
      </c>
      <c r="J19" s="125">
        <v>0</v>
      </c>
      <c r="K19" s="163">
        <v>0</v>
      </c>
      <c r="L19" s="13"/>
    </row>
    <row r="20" spans="1:12" ht="22.5" customHeight="1" x14ac:dyDescent="0.3">
      <c r="A20" s="691"/>
      <c r="B20" s="161" t="s">
        <v>253</v>
      </c>
      <c r="C20" s="125">
        <v>1834074</v>
      </c>
      <c r="D20" s="125">
        <v>0</v>
      </c>
      <c r="E20" s="125">
        <v>12</v>
      </c>
      <c r="F20" s="125">
        <v>3</v>
      </c>
      <c r="G20" s="125">
        <v>1</v>
      </c>
      <c r="H20" s="163">
        <v>1.41760910410376</v>
      </c>
      <c r="I20" s="163">
        <v>1.7447496665892399</v>
      </c>
      <c r="J20" s="125">
        <v>6</v>
      </c>
      <c r="K20" s="163">
        <v>0.65428112497096602</v>
      </c>
      <c r="L20" s="13"/>
    </row>
    <row r="21" spans="1:12" ht="22.5" customHeight="1" x14ac:dyDescent="0.3">
      <c r="A21" s="691"/>
      <c r="B21" s="161" t="s">
        <v>256</v>
      </c>
      <c r="C21" s="125">
        <v>1560338</v>
      </c>
      <c r="D21" s="125">
        <v>0</v>
      </c>
      <c r="E21" s="125">
        <v>3</v>
      </c>
      <c r="F21" s="125">
        <v>3</v>
      </c>
      <c r="G21" s="125">
        <v>7</v>
      </c>
      <c r="H21" s="163">
        <v>1.28177356444565</v>
      </c>
      <c r="I21" s="163">
        <v>1.66630563377935</v>
      </c>
      <c r="J21" s="125">
        <v>4</v>
      </c>
      <c r="K21" s="163">
        <v>0.51270942577826095</v>
      </c>
      <c r="L21" s="13"/>
    </row>
    <row r="22" spans="1:12" ht="22.5" customHeight="1" x14ac:dyDescent="0.3">
      <c r="A22" s="691"/>
      <c r="B22" s="161" t="s">
        <v>1029</v>
      </c>
      <c r="C22" s="125">
        <v>127899</v>
      </c>
      <c r="D22" s="125">
        <v>0</v>
      </c>
      <c r="E22" s="125">
        <v>0</v>
      </c>
      <c r="F22" s="125">
        <v>0</v>
      </c>
      <c r="G22" s="125">
        <v>0</v>
      </c>
      <c r="H22" s="163">
        <v>0</v>
      </c>
      <c r="I22" s="163">
        <v>0</v>
      </c>
      <c r="J22" s="125">
        <v>0</v>
      </c>
      <c r="K22" s="163">
        <v>0</v>
      </c>
      <c r="L22" s="13"/>
    </row>
    <row r="23" spans="1:12" ht="22.5" customHeight="1" x14ac:dyDescent="0.3">
      <c r="A23" s="691"/>
      <c r="B23" s="161" t="s">
        <v>1032</v>
      </c>
      <c r="C23" s="125">
        <v>47734</v>
      </c>
      <c r="D23" s="125">
        <v>0</v>
      </c>
      <c r="E23" s="197">
        <v>0</v>
      </c>
      <c r="F23" s="125">
        <v>0</v>
      </c>
      <c r="G23" s="125">
        <v>0</v>
      </c>
      <c r="H23" s="163">
        <v>0</v>
      </c>
      <c r="I23" s="163">
        <v>0</v>
      </c>
      <c r="J23" s="125">
        <v>0</v>
      </c>
      <c r="K23" s="163">
        <v>0</v>
      </c>
      <c r="L23" s="13"/>
    </row>
    <row r="24" spans="1:12" ht="22.5" customHeight="1" x14ac:dyDescent="0.3">
      <c r="A24" s="692"/>
      <c r="B24" s="161" t="s">
        <v>1033</v>
      </c>
      <c r="C24" s="125">
        <v>5286</v>
      </c>
      <c r="D24" s="125">
        <v>0</v>
      </c>
      <c r="E24" s="125">
        <v>0</v>
      </c>
      <c r="F24" s="125">
        <v>0</v>
      </c>
      <c r="G24" s="125">
        <v>0</v>
      </c>
      <c r="H24" s="163">
        <v>0</v>
      </c>
      <c r="I24" s="163">
        <v>0</v>
      </c>
      <c r="J24" s="125">
        <v>0</v>
      </c>
      <c r="K24" s="163">
        <v>0</v>
      </c>
      <c r="L24" s="13"/>
    </row>
    <row r="25" spans="1:12" ht="22.5" customHeight="1" x14ac:dyDescent="0.3">
      <c r="A25" s="690" t="s">
        <v>213</v>
      </c>
      <c r="B25" s="194" t="s">
        <v>328</v>
      </c>
      <c r="C25" s="195">
        <v>3101928</v>
      </c>
      <c r="D25" s="195">
        <v>0</v>
      </c>
      <c r="E25" s="195">
        <v>0</v>
      </c>
      <c r="F25" s="195">
        <v>11</v>
      </c>
      <c r="G25" s="195">
        <v>2</v>
      </c>
      <c r="H25" s="196">
        <v>0.12895205820380101</v>
      </c>
      <c r="I25" s="196">
        <v>0.83818837832470605</v>
      </c>
      <c r="J25" s="195">
        <v>0</v>
      </c>
      <c r="K25" s="196">
        <v>0</v>
      </c>
      <c r="L25" s="13"/>
    </row>
    <row r="26" spans="1:12" ht="22.5" customHeight="1" x14ac:dyDescent="0.3">
      <c r="A26" s="691"/>
      <c r="B26" s="161" t="s">
        <v>453</v>
      </c>
      <c r="C26" s="125">
        <v>3101928</v>
      </c>
      <c r="D26" s="125">
        <v>0</v>
      </c>
      <c r="E26" s="125">
        <v>0</v>
      </c>
      <c r="F26" s="125">
        <v>11</v>
      </c>
      <c r="G26" s="125">
        <v>2</v>
      </c>
      <c r="H26" s="163">
        <v>0.12895205820380101</v>
      </c>
      <c r="I26" s="163">
        <v>0.83818837832470605</v>
      </c>
      <c r="J26" s="125">
        <v>0</v>
      </c>
      <c r="K26" s="163">
        <v>0</v>
      </c>
      <c r="L26" s="13"/>
    </row>
    <row r="27" spans="1:12" ht="22.5" customHeight="1" x14ac:dyDescent="0.3">
      <c r="A27" s="691"/>
      <c r="B27" s="194" t="s">
        <v>331</v>
      </c>
      <c r="C27" s="195">
        <v>31663</v>
      </c>
      <c r="D27" s="195">
        <v>0</v>
      </c>
      <c r="E27" s="195">
        <v>0</v>
      </c>
      <c r="F27" s="195">
        <v>0</v>
      </c>
      <c r="G27" s="195">
        <v>0</v>
      </c>
      <c r="H27" s="196">
        <v>0</v>
      </c>
      <c r="I27" s="196">
        <v>0</v>
      </c>
      <c r="J27" s="195">
        <v>0</v>
      </c>
      <c r="K27" s="196">
        <v>0</v>
      </c>
      <c r="L27" s="13"/>
    </row>
    <row r="28" spans="1:12" ht="22.5" customHeight="1" x14ac:dyDescent="0.3">
      <c r="A28" s="691"/>
      <c r="B28" s="161" t="s">
        <v>1033</v>
      </c>
      <c r="C28" s="125">
        <v>31663</v>
      </c>
      <c r="D28" s="125">
        <v>0</v>
      </c>
      <c r="E28" s="125">
        <v>0</v>
      </c>
      <c r="F28" s="125">
        <v>0</v>
      </c>
      <c r="G28" s="125">
        <v>0</v>
      </c>
      <c r="H28" s="163">
        <v>0</v>
      </c>
      <c r="I28" s="163">
        <v>0</v>
      </c>
      <c r="J28" s="125">
        <v>0</v>
      </c>
      <c r="K28" s="163">
        <v>0</v>
      </c>
      <c r="L28" s="13"/>
    </row>
    <row r="29" spans="1:12" ht="22.5" customHeight="1" x14ac:dyDescent="0.3">
      <c r="A29" s="691"/>
      <c r="B29" s="194" t="s">
        <v>214</v>
      </c>
      <c r="C29" s="195">
        <v>3433941</v>
      </c>
      <c r="D29" s="195">
        <v>0</v>
      </c>
      <c r="E29" s="195">
        <v>2</v>
      </c>
      <c r="F29" s="195">
        <v>8</v>
      </c>
      <c r="G29" s="195">
        <v>10</v>
      </c>
      <c r="H29" s="196">
        <v>0.69890542673854905</v>
      </c>
      <c r="I29" s="196">
        <v>1.1648423778975801</v>
      </c>
      <c r="J29" s="195">
        <v>0</v>
      </c>
      <c r="K29" s="196">
        <v>0</v>
      </c>
      <c r="L29" s="13"/>
    </row>
    <row r="30" spans="1:12" ht="22.5" customHeight="1" x14ac:dyDescent="0.3">
      <c r="A30" s="691"/>
      <c r="B30" s="161" t="s">
        <v>215</v>
      </c>
      <c r="C30" s="125">
        <v>3415161</v>
      </c>
      <c r="D30" s="125">
        <v>0</v>
      </c>
      <c r="E30" s="125">
        <v>2</v>
      </c>
      <c r="F30" s="125">
        <v>8</v>
      </c>
      <c r="G30" s="125">
        <v>10</v>
      </c>
      <c r="H30" s="163">
        <v>0.70274871375024495</v>
      </c>
      <c r="I30" s="163">
        <v>1.1712478562504101</v>
      </c>
      <c r="J30" s="125">
        <v>0</v>
      </c>
      <c r="K30" s="163">
        <v>0</v>
      </c>
      <c r="L30" s="13"/>
    </row>
    <row r="31" spans="1:12" ht="22.5" customHeight="1" x14ac:dyDescent="0.3">
      <c r="A31" s="691"/>
      <c r="B31" s="161" t="s">
        <v>1033</v>
      </c>
      <c r="C31" s="125">
        <v>18780</v>
      </c>
      <c r="D31" s="125">
        <v>0</v>
      </c>
      <c r="E31" s="125">
        <v>0</v>
      </c>
      <c r="F31" s="125">
        <v>0</v>
      </c>
      <c r="G31" s="125">
        <v>0</v>
      </c>
      <c r="H31" s="163">
        <v>0</v>
      </c>
      <c r="I31" s="163">
        <v>0</v>
      </c>
      <c r="J31" s="125">
        <v>0</v>
      </c>
      <c r="K31" s="163">
        <v>0</v>
      </c>
      <c r="L31" s="13"/>
    </row>
    <row r="32" spans="1:12" ht="22.5" customHeight="1" x14ac:dyDescent="0.3">
      <c r="A32" s="691"/>
      <c r="B32" s="194" t="s">
        <v>265</v>
      </c>
      <c r="C32" s="195">
        <v>3340644.3</v>
      </c>
      <c r="D32" s="195">
        <v>0</v>
      </c>
      <c r="E32" s="195">
        <v>2</v>
      </c>
      <c r="F32" s="195">
        <v>1</v>
      </c>
      <c r="G32" s="195">
        <v>3</v>
      </c>
      <c r="H32" s="196">
        <v>0.29934345299797399</v>
      </c>
      <c r="I32" s="196">
        <v>0.35921214359756898</v>
      </c>
      <c r="J32" s="195">
        <v>0</v>
      </c>
      <c r="K32" s="196">
        <v>0</v>
      </c>
      <c r="L32" s="13"/>
    </row>
    <row r="33" spans="1:12" ht="22.5" customHeight="1" x14ac:dyDescent="0.3">
      <c r="A33" s="691"/>
      <c r="B33" s="161" t="s">
        <v>266</v>
      </c>
      <c r="C33" s="125">
        <v>3340644.3</v>
      </c>
      <c r="D33" s="125">
        <v>0</v>
      </c>
      <c r="E33" s="125">
        <v>2</v>
      </c>
      <c r="F33" s="125">
        <v>1</v>
      </c>
      <c r="G33" s="125">
        <v>3</v>
      </c>
      <c r="H33" s="163">
        <v>0.29934345299797399</v>
      </c>
      <c r="I33" s="163">
        <v>0.35921214359756898</v>
      </c>
      <c r="J33" s="125">
        <v>0</v>
      </c>
      <c r="K33" s="163">
        <v>0</v>
      </c>
      <c r="L33" s="13"/>
    </row>
    <row r="34" spans="1:12" ht="22.5" customHeight="1" x14ac:dyDescent="0.3">
      <c r="A34" s="691"/>
      <c r="B34" s="194" t="s">
        <v>213</v>
      </c>
      <c r="C34" s="195">
        <v>321838</v>
      </c>
      <c r="D34" s="195">
        <v>0</v>
      </c>
      <c r="E34" s="195">
        <v>0</v>
      </c>
      <c r="F34" s="195">
        <v>0</v>
      </c>
      <c r="G34" s="195">
        <v>1</v>
      </c>
      <c r="H34" s="196">
        <v>0.621430657660065</v>
      </c>
      <c r="I34" s="196">
        <v>0.621430657660065</v>
      </c>
      <c r="J34" s="195">
        <v>0</v>
      </c>
      <c r="K34" s="196">
        <v>0</v>
      </c>
      <c r="L34" s="13"/>
    </row>
    <row r="35" spans="1:12" ht="22.5" customHeight="1" x14ac:dyDescent="0.3">
      <c r="A35" s="691"/>
      <c r="B35" s="161" t="s">
        <v>1029</v>
      </c>
      <c r="C35" s="125">
        <v>321838</v>
      </c>
      <c r="D35" s="125">
        <v>0</v>
      </c>
      <c r="E35" s="125">
        <v>0</v>
      </c>
      <c r="F35" s="125">
        <v>0</v>
      </c>
      <c r="G35" s="125">
        <v>1</v>
      </c>
      <c r="H35" s="163">
        <v>0.621430657660065</v>
      </c>
      <c r="I35" s="163">
        <v>0.621430657660065</v>
      </c>
      <c r="J35" s="125">
        <v>0</v>
      </c>
      <c r="K35" s="163">
        <v>0</v>
      </c>
      <c r="L35" s="13"/>
    </row>
    <row r="36" spans="1:12" ht="22.5" customHeight="1" x14ac:dyDescent="0.3">
      <c r="A36" s="692"/>
      <c r="B36" s="161" t="s">
        <v>1032</v>
      </c>
      <c r="C36" s="125">
        <v>0</v>
      </c>
      <c r="D36" s="125">
        <v>0</v>
      </c>
      <c r="E36" s="125">
        <v>0</v>
      </c>
      <c r="F36" s="125">
        <v>0</v>
      </c>
      <c r="G36" s="125">
        <v>0</v>
      </c>
      <c r="H36" s="163">
        <v>0</v>
      </c>
      <c r="I36" s="163">
        <v>0</v>
      </c>
      <c r="J36" s="125">
        <v>0</v>
      </c>
      <c r="K36" s="163">
        <v>0</v>
      </c>
      <c r="L36" s="13"/>
    </row>
    <row r="37" spans="1:12" ht="22.5" customHeight="1" x14ac:dyDescent="0.3">
      <c r="A37" s="690" t="s">
        <v>224</v>
      </c>
      <c r="B37" s="194" t="s">
        <v>225</v>
      </c>
      <c r="C37" s="195">
        <v>3809061.29</v>
      </c>
      <c r="D37" s="195">
        <v>0</v>
      </c>
      <c r="E37" s="195">
        <v>6</v>
      </c>
      <c r="F37" s="195">
        <v>9</v>
      </c>
      <c r="G37" s="195">
        <v>6</v>
      </c>
      <c r="H37" s="196">
        <v>0.63007649845403202</v>
      </c>
      <c r="I37" s="196">
        <v>1.1026338722945599</v>
      </c>
      <c r="J37" s="195">
        <v>0</v>
      </c>
      <c r="K37" s="196">
        <v>0</v>
      </c>
      <c r="L37" s="13"/>
    </row>
    <row r="38" spans="1:12" ht="25.95" customHeight="1" x14ac:dyDescent="0.3">
      <c r="A38" s="691"/>
      <c r="B38" s="161" t="s">
        <v>1034</v>
      </c>
      <c r="C38" s="125">
        <v>207600</v>
      </c>
      <c r="D38" s="125">
        <v>0</v>
      </c>
      <c r="E38" s="125">
        <v>0</v>
      </c>
      <c r="F38" s="125">
        <v>0</v>
      </c>
      <c r="G38" s="125">
        <v>0</v>
      </c>
      <c r="H38" s="163">
        <v>0</v>
      </c>
      <c r="I38" s="163">
        <v>0</v>
      </c>
      <c r="J38" s="125">
        <v>0</v>
      </c>
      <c r="K38" s="163">
        <v>0</v>
      </c>
      <c r="L38" s="13"/>
    </row>
    <row r="39" spans="1:12" ht="22.5" customHeight="1" x14ac:dyDescent="0.3">
      <c r="A39" s="691"/>
      <c r="B39" s="161" t="s">
        <v>226</v>
      </c>
      <c r="C39" s="125">
        <v>1349820</v>
      </c>
      <c r="D39" s="125">
        <v>0</v>
      </c>
      <c r="E39" s="125">
        <v>4</v>
      </c>
      <c r="F39" s="125">
        <v>4</v>
      </c>
      <c r="G39" s="125">
        <v>6</v>
      </c>
      <c r="H39" s="163">
        <v>1.4816790386866401</v>
      </c>
      <c r="I39" s="163">
        <v>2.0743506541613002</v>
      </c>
      <c r="J39" s="125">
        <v>0</v>
      </c>
      <c r="K39" s="163">
        <v>0</v>
      </c>
      <c r="L39" s="13"/>
    </row>
    <row r="40" spans="1:12" ht="22.5" customHeight="1" x14ac:dyDescent="0.3">
      <c r="A40" s="691"/>
      <c r="B40" s="161" t="s">
        <v>454</v>
      </c>
      <c r="C40" s="125">
        <v>1030465.71</v>
      </c>
      <c r="D40" s="125">
        <v>0</v>
      </c>
      <c r="E40" s="125">
        <v>2</v>
      </c>
      <c r="F40" s="125">
        <v>3</v>
      </c>
      <c r="G40" s="125">
        <v>0</v>
      </c>
      <c r="H40" s="163">
        <v>0.38817400338338298</v>
      </c>
      <c r="I40" s="163">
        <v>0.97043500845845698</v>
      </c>
      <c r="J40" s="125">
        <v>0</v>
      </c>
      <c r="K40" s="163">
        <v>0</v>
      </c>
      <c r="L40" s="13"/>
    </row>
    <row r="41" spans="1:12" ht="22.5" customHeight="1" x14ac:dyDescent="0.3">
      <c r="A41" s="691"/>
      <c r="B41" s="161" t="s">
        <v>230</v>
      </c>
      <c r="C41" s="125">
        <v>1204973</v>
      </c>
      <c r="D41" s="125">
        <v>0</v>
      </c>
      <c r="E41" s="125">
        <v>0</v>
      </c>
      <c r="F41" s="125">
        <v>2</v>
      </c>
      <c r="G41" s="125">
        <v>0</v>
      </c>
      <c r="H41" s="163">
        <v>0</v>
      </c>
      <c r="I41" s="163">
        <v>0.33195764552400803</v>
      </c>
      <c r="J41" s="125">
        <v>0</v>
      </c>
      <c r="K41" s="163">
        <v>0</v>
      </c>
      <c r="L41" s="13"/>
    </row>
    <row r="42" spans="1:12" ht="22.5" customHeight="1" x14ac:dyDescent="0.3">
      <c r="A42" s="691"/>
      <c r="B42" s="161" t="s">
        <v>1035</v>
      </c>
      <c r="C42" s="125">
        <v>16202.58</v>
      </c>
      <c r="D42" s="125">
        <v>0</v>
      </c>
      <c r="E42" s="125">
        <v>0</v>
      </c>
      <c r="F42" s="125">
        <v>0</v>
      </c>
      <c r="G42" s="125">
        <v>0</v>
      </c>
      <c r="H42" s="163">
        <v>0</v>
      </c>
      <c r="I42" s="163">
        <v>0</v>
      </c>
      <c r="J42" s="125">
        <v>0</v>
      </c>
      <c r="K42" s="163">
        <v>0</v>
      </c>
      <c r="L42" s="13"/>
    </row>
    <row r="43" spans="1:12" ht="22.5" customHeight="1" x14ac:dyDescent="0.3">
      <c r="A43" s="691"/>
      <c r="B43" s="194" t="s">
        <v>695</v>
      </c>
      <c r="C43" s="195">
        <v>2170304</v>
      </c>
      <c r="D43" s="195">
        <v>0</v>
      </c>
      <c r="E43" s="195">
        <v>1</v>
      </c>
      <c r="F43" s="195">
        <v>5</v>
      </c>
      <c r="G43" s="195">
        <v>7</v>
      </c>
      <c r="H43" s="196">
        <v>0.73722390964583795</v>
      </c>
      <c r="I43" s="196">
        <v>1.19798885317449</v>
      </c>
      <c r="J43" s="195">
        <v>0</v>
      </c>
      <c r="K43" s="196">
        <v>0</v>
      </c>
      <c r="L43" s="13"/>
    </row>
    <row r="44" spans="1:12" ht="32.4" customHeight="1" x14ac:dyDescent="0.3">
      <c r="A44" s="691"/>
      <c r="B44" s="161" t="s">
        <v>1036</v>
      </c>
      <c r="C44" s="125">
        <v>1014240</v>
      </c>
      <c r="D44" s="125">
        <v>0</v>
      </c>
      <c r="E44" s="125">
        <v>0</v>
      </c>
      <c r="F44" s="125">
        <v>0</v>
      </c>
      <c r="G44" s="125">
        <v>0</v>
      </c>
      <c r="H44" s="163">
        <v>0</v>
      </c>
      <c r="I44" s="163">
        <v>0</v>
      </c>
      <c r="J44" s="125">
        <v>0</v>
      </c>
      <c r="K44" s="163">
        <v>0</v>
      </c>
      <c r="L44" s="13"/>
    </row>
    <row r="45" spans="1:12" ht="22.5" customHeight="1" x14ac:dyDescent="0.3">
      <c r="A45" s="691"/>
      <c r="B45" s="161" t="s">
        <v>277</v>
      </c>
      <c r="C45" s="125">
        <v>1092586</v>
      </c>
      <c r="D45" s="125">
        <v>0</v>
      </c>
      <c r="E45" s="125">
        <v>1</v>
      </c>
      <c r="F45" s="125">
        <v>5</v>
      </c>
      <c r="G45" s="125">
        <v>7</v>
      </c>
      <c r="H45" s="163">
        <v>1.4644156157959201</v>
      </c>
      <c r="I45" s="163">
        <v>2.37967537566837</v>
      </c>
      <c r="J45" s="125">
        <v>0</v>
      </c>
      <c r="K45" s="163">
        <v>0</v>
      </c>
      <c r="L45" s="13"/>
    </row>
    <row r="46" spans="1:12" ht="22.5" customHeight="1" x14ac:dyDescent="0.3">
      <c r="A46" s="691"/>
      <c r="B46" s="161" t="s">
        <v>1032</v>
      </c>
      <c r="C46" s="125">
        <v>0</v>
      </c>
      <c r="D46" s="125">
        <v>0</v>
      </c>
      <c r="E46" s="125">
        <v>0</v>
      </c>
      <c r="F46" s="125">
        <v>0</v>
      </c>
      <c r="G46" s="125">
        <v>0</v>
      </c>
      <c r="H46" s="163">
        <v>0</v>
      </c>
      <c r="I46" s="163">
        <v>0</v>
      </c>
      <c r="J46" s="125">
        <v>0</v>
      </c>
      <c r="K46" s="163">
        <v>0</v>
      </c>
      <c r="L46" s="13"/>
    </row>
    <row r="47" spans="1:12" ht="22.5" customHeight="1" x14ac:dyDescent="0.3">
      <c r="A47" s="691"/>
      <c r="B47" s="161" t="s">
        <v>1033</v>
      </c>
      <c r="C47" s="125">
        <v>63478</v>
      </c>
      <c r="D47" s="125">
        <v>0</v>
      </c>
      <c r="E47" s="125">
        <v>0</v>
      </c>
      <c r="F47" s="125">
        <v>0</v>
      </c>
      <c r="G47" s="125">
        <v>0</v>
      </c>
      <c r="H47" s="163">
        <v>0</v>
      </c>
      <c r="I47" s="163">
        <v>0</v>
      </c>
      <c r="J47" s="125">
        <v>0</v>
      </c>
      <c r="K47" s="163">
        <v>0</v>
      </c>
      <c r="L47" s="13"/>
    </row>
    <row r="48" spans="1:12" ht="22.5" customHeight="1" x14ac:dyDescent="0.3">
      <c r="A48" s="691"/>
      <c r="B48" s="194" t="s">
        <v>351</v>
      </c>
      <c r="C48" s="195">
        <v>157529.89000000001</v>
      </c>
      <c r="D48" s="195">
        <v>0</v>
      </c>
      <c r="E48" s="195">
        <v>0</v>
      </c>
      <c r="F48" s="195">
        <v>0</v>
      </c>
      <c r="G48" s="195">
        <v>0</v>
      </c>
      <c r="H48" s="196">
        <v>0</v>
      </c>
      <c r="I48" s="196">
        <v>0</v>
      </c>
      <c r="J48" s="195">
        <v>0</v>
      </c>
      <c r="K48" s="196">
        <v>0</v>
      </c>
      <c r="L48" s="13"/>
    </row>
    <row r="49" spans="1:12" ht="22.5" customHeight="1" x14ac:dyDescent="0.3">
      <c r="A49" s="692"/>
      <c r="B49" s="161" t="s">
        <v>1029</v>
      </c>
      <c r="C49" s="125">
        <v>157529.89000000001</v>
      </c>
      <c r="D49" s="125">
        <v>0</v>
      </c>
      <c r="E49" s="125">
        <v>0</v>
      </c>
      <c r="F49" s="125">
        <v>0</v>
      </c>
      <c r="G49" s="125">
        <v>0</v>
      </c>
      <c r="H49" s="163">
        <v>0</v>
      </c>
      <c r="I49" s="163">
        <v>0</v>
      </c>
      <c r="J49" s="125">
        <v>0</v>
      </c>
      <c r="K49" s="163">
        <v>0</v>
      </c>
      <c r="L49" s="13"/>
    </row>
    <row r="50" spans="1:12" ht="22.5" customHeight="1" x14ac:dyDescent="0.3">
      <c r="A50" s="640" t="s">
        <v>234</v>
      </c>
      <c r="B50" s="194" t="s">
        <v>235</v>
      </c>
      <c r="C50" s="195">
        <v>1974387.83</v>
      </c>
      <c r="D50" s="195">
        <v>0</v>
      </c>
      <c r="E50" s="195">
        <v>0</v>
      </c>
      <c r="F50" s="195">
        <v>1</v>
      </c>
      <c r="G50" s="195">
        <v>0</v>
      </c>
      <c r="H50" s="196">
        <v>0</v>
      </c>
      <c r="I50" s="196">
        <v>0.10129722082008601</v>
      </c>
      <c r="J50" s="195">
        <v>0</v>
      </c>
      <c r="K50" s="196">
        <v>0</v>
      </c>
      <c r="L50" s="13"/>
    </row>
    <row r="51" spans="1:12" ht="22.5" customHeight="1" x14ac:dyDescent="0.3">
      <c r="A51" s="581"/>
      <c r="B51" s="161" t="s">
        <v>236</v>
      </c>
      <c r="C51" s="125">
        <v>1845544.39</v>
      </c>
      <c r="D51" s="125">
        <v>0</v>
      </c>
      <c r="E51" s="125">
        <v>0</v>
      </c>
      <c r="F51" s="125">
        <v>1</v>
      </c>
      <c r="G51" s="125">
        <v>0</v>
      </c>
      <c r="H51" s="163">
        <v>0</v>
      </c>
      <c r="I51" s="163">
        <v>0.108369108369157</v>
      </c>
      <c r="J51" s="125">
        <v>0</v>
      </c>
      <c r="K51" s="163">
        <v>0</v>
      </c>
      <c r="L51" s="13"/>
    </row>
    <row r="52" spans="1:12" ht="22.5" customHeight="1" x14ac:dyDescent="0.3">
      <c r="A52" s="581"/>
      <c r="B52" s="198" t="s">
        <v>1029</v>
      </c>
      <c r="C52" s="173">
        <v>51130</v>
      </c>
      <c r="D52" s="173">
        <v>0</v>
      </c>
      <c r="E52" s="173">
        <v>0</v>
      </c>
      <c r="F52" s="173">
        <v>0</v>
      </c>
      <c r="G52" s="173">
        <v>0</v>
      </c>
      <c r="H52" s="199">
        <v>0</v>
      </c>
      <c r="I52" s="199">
        <v>0</v>
      </c>
      <c r="J52" s="173">
        <v>0</v>
      </c>
      <c r="K52" s="199">
        <v>0</v>
      </c>
      <c r="L52" s="13"/>
    </row>
    <row r="53" spans="1:12" ht="22.5" customHeight="1" x14ac:dyDescent="0.3">
      <c r="A53" s="581"/>
      <c r="B53" s="198" t="s">
        <v>1032</v>
      </c>
      <c r="C53" s="173">
        <v>77713.440000000002</v>
      </c>
      <c r="D53" s="173">
        <v>0</v>
      </c>
      <c r="E53" s="173">
        <v>0</v>
      </c>
      <c r="F53" s="173">
        <v>0</v>
      </c>
      <c r="G53" s="173">
        <v>0</v>
      </c>
      <c r="H53" s="199">
        <v>0</v>
      </c>
      <c r="I53" s="199">
        <v>0</v>
      </c>
      <c r="J53" s="173">
        <v>0</v>
      </c>
      <c r="K53" s="199">
        <v>0</v>
      </c>
      <c r="L53" s="13"/>
    </row>
    <row r="54" spans="1:12" ht="22.5" customHeight="1" x14ac:dyDescent="0.3">
      <c r="A54" s="164"/>
      <c r="B54" s="194" t="s">
        <v>318</v>
      </c>
      <c r="C54" s="195">
        <v>27866642.190000001</v>
      </c>
      <c r="D54" s="195">
        <v>0</v>
      </c>
      <c r="E54" s="195">
        <v>28</v>
      </c>
      <c r="F54" s="195">
        <v>43</v>
      </c>
      <c r="G54" s="195">
        <v>37</v>
      </c>
      <c r="H54" s="196">
        <v>0.46650758679009702</v>
      </c>
      <c r="I54" s="196">
        <v>0.77512029805123805</v>
      </c>
      <c r="J54" s="195">
        <v>10</v>
      </c>
      <c r="K54" s="196">
        <v>7.1770397967707206E-2</v>
      </c>
      <c r="L54" s="13"/>
    </row>
    <row r="55" spans="1:12" ht="21.6" customHeight="1" x14ac:dyDescent="0.3">
      <c r="A55" s="532" t="s">
        <v>1037</v>
      </c>
      <c r="B55" s="532"/>
      <c r="C55" s="532"/>
      <c r="D55" s="532"/>
      <c r="E55" s="532"/>
      <c r="F55" s="532"/>
      <c r="G55" s="532"/>
      <c r="H55" s="532"/>
      <c r="I55" s="532"/>
      <c r="J55" s="532"/>
      <c r="K55" s="532"/>
      <c r="L55" s="2"/>
    </row>
    <row r="56" spans="1:12" ht="30" customHeight="1" x14ac:dyDescent="0.3">
      <c r="D56" s="2"/>
      <c r="E56" s="2"/>
      <c r="F56" s="2"/>
      <c r="G56" s="2"/>
      <c r="H56" s="2"/>
      <c r="I56" s="2"/>
      <c r="J56" s="2"/>
      <c r="K56" s="2"/>
      <c r="L56" s="2"/>
    </row>
    <row r="57" spans="1:12" ht="21.6" customHeight="1" x14ac:dyDescent="0.3">
      <c r="D57" s="64"/>
      <c r="E57" s="64"/>
      <c r="F57" s="64"/>
      <c r="G57" s="2"/>
      <c r="H57" s="2"/>
      <c r="I57" s="2"/>
      <c r="J57" s="2"/>
      <c r="K57" s="2"/>
      <c r="L57" s="2"/>
    </row>
    <row r="58" spans="1:12" ht="39.15" customHeight="1" x14ac:dyDescent="0.3">
      <c r="A58" s="63" t="s">
        <v>131</v>
      </c>
      <c r="B58" s="25">
        <v>2019</v>
      </c>
      <c r="C58" s="25">
        <v>2020</v>
      </c>
      <c r="D58" s="25">
        <v>2021</v>
      </c>
      <c r="E58" s="25">
        <v>2022</v>
      </c>
      <c r="F58" s="25">
        <v>2023</v>
      </c>
      <c r="G58" s="13"/>
      <c r="H58" s="2"/>
      <c r="I58" s="2"/>
      <c r="J58" s="2"/>
      <c r="K58" s="2"/>
      <c r="L58" s="2"/>
    </row>
    <row r="59" spans="1:12" ht="20.100000000000001" customHeight="1" x14ac:dyDescent="0.3">
      <c r="A59" s="6" t="s">
        <v>1016</v>
      </c>
      <c r="B59" s="10">
        <v>0</v>
      </c>
      <c r="C59" s="10">
        <v>0</v>
      </c>
      <c r="D59" s="10">
        <v>0</v>
      </c>
      <c r="E59" s="10">
        <v>0</v>
      </c>
      <c r="F59" s="10">
        <v>0</v>
      </c>
      <c r="G59" s="13"/>
      <c r="H59" s="2"/>
      <c r="I59" s="2"/>
      <c r="J59" s="2"/>
      <c r="K59" s="2"/>
      <c r="L59" s="2"/>
    </row>
    <row r="60" spans="1:12" ht="20.100000000000001" customHeight="1" x14ac:dyDescent="0.3">
      <c r="A60" s="6" t="s">
        <v>1038</v>
      </c>
      <c r="B60" s="193">
        <v>0.18</v>
      </c>
      <c r="C60" s="193">
        <v>0.23</v>
      </c>
      <c r="D60" s="193">
        <v>0.15</v>
      </c>
      <c r="E60" s="193">
        <v>0.17</v>
      </c>
      <c r="F60" s="193">
        <v>0.23969826800461899</v>
      </c>
      <c r="G60" s="13"/>
      <c r="H60" s="2"/>
      <c r="I60" s="2"/>
      <c r="J60" s="2"/>
      <c r="K60" s="2"/>
      <c r="L60" s="2"/>
    </row>
    <row r="61" spans="1:12" ht="20.100000000000001" customHeight="1" x14ac:dyDescent="0.3">
      <c r="A61" s="6" t="s">
        <v>1039</v>
      </c>
      <c r="B61" s="193">
        <v>0.41</v>
      </c>
      <c r="C61" s="193">
        <v>0.36</v>
      </c>
      <c r="D61" s="193">
        <v>0.31</v>
      </c>
      <c r="E61" s="193">
        <v>0.34</v>
      </c>
      <c r="F61" s="193">
        <v>0.39181447654601198</v>
      </c>
      <c r="G61" s="13"/>
      <c r="H61" s="2"/>
      <c r="I61" s="2"/>
      <c r="J61" s="2"/>
      <c r="K61" s="2"/>
      <c r="L61" s="2"/>
    </row>
    <row r="62" spans="1:12" ht="20.100000000000001" customHeight="1" x14ac:dyDescent="0.3">
      <c r="A62" s="6" t="s">
        <v>1040</v>
      </c>
      <c r="B62" s="193">
        <v>0.06</v>
      </c>
      <c r="C62" s="193">
        <v>0.08</v>
      </c>
      <c r="D62" s="193">
        <v>0.03</v>
      </c>
      <c r="E62" s="193">
        <v>0.02</v>
      </c>
      <c r="F62" s="193">
        <v>2.7657492462071401E-2</v>
      </c>
      <c r="G62" s="13"/>
      <c r="H62" s="2"/>
      <c r="I62" s="2"/>
      <c r="J62" s="2"/>
      <c r="K62" s="2"/>
      <c r="L62" s="2"/>
    </row>
    <row r="63" spans="1:12" ht="32.4" customHeight="1" x14ac:dyDescent="0.3">
      <c r="A63" s="678"/>
      <c r="B63" s="547"/>
      <c r="C63" s="547"/>
      <c r="D63" s="547"/>
      <c r="E63" s="547"/>
      <c r="F63" s="547"/>
      <c r="G63" s="2"/>
      <c r="H63" s="2"/>
      <c r="I63" s="2"/>
      <c r="J63" s="2"/>
    </row>
    <row r="64" spans="1:12" ht="21.6" customHeight="1" x14ac:dyDescent="0.25"/>
    <row r="65" spans="1:12" ht="21.6" customHeight="1" x14ac:dyDescent="0.25"/>
    <row r="66" spans="1:12" ht="39.15" customHeight="1" x14ac:dyDescent="0.3">
      <c r="A66" s="63" t="s">
        <v>33</v>
      </c>
      <c r="B66" s="164" t="s">
        <v>1041</v>
      </c>
      <c r="C66" s="5" t="s">
        <v>1020</v>
      </c>
      <c r="D66" s="5" t="s">
        <v>1016</v>
      </c>
      <c r="E66" s="5" t="s">
        <v>1021</v>
      </c>
      <c r="F66" s="5" t="s">
        <v>1022</v>
      </c>
      <c r="G66" s="5" t="s">
        <v>1023</v>
      </c>
      <c r="H66" s="5" t="s">
        <v>1024</v>
      </c>
      <c r="I66" s="5" t="s">
        <v>1042</v>
      </c>
      <c r="J66" s="5" t="s">
        <v>1026</v>
      </c>
      <c r="K66" s="5" t="s">
        <v>1027</v>
      </c>
      <c r="L66" s="13"/>
    </row>
    <row r="67" spans="1:12" ht="22.5" customHeight="1" x14ac:dyDescent="0.3">
      <c r="A67" s="666" t="s">
        <v>245</v>
      </c>
      <c r="B67" s="194" t="s">
        <v>350</v>
      </c>
      <c r="C67" s="195">
        <v>10750061</v>
      </c>
      <c r="D67" s="195">
        <v>0</v>
      </c>
      <c r="E67" s="195">
        <v>0</v>
      </c>
      <c r="F67" s="195">
        <v>1</v>
      </c>
      <c r="G67" s="195">
        <v>2</v>
      </c>
      <c r="H67" s="196">
        <v>3.7209091185622101E-2</v>
      </c>
      <c r="I67" s="196">
        <v>5.58136367784332E-2</v>
      </c>
      <c r="J67" s="195">
        <v>0</v>
      </c>
      <c r="K67" s="196">
        <v>0</v>
      </c>
      <c r="L67" s="13"/>
    </row>
    <row r="68" spans="1:12" ht="22.5" customHeight="1" x14ac:dyDescent="0.3">
      <c r="A68" s="669"/>
      <c r="B68" s="161" t="s">
        <v>1028</v>
      </c>
      <c r="C68" s="125">
        <v>172368</v>
      </c>
      <c r="D68" s="125">
        <v>0</v>
      </c>
      <c r="E68" s="125">
        <v>0</v>
      </c>
      <c r="F68" s="125">
        <v>0</v>
      </c>
      <c r="G68" s="125">
        <v>0</v>
      </c>
      <c r="H68" s="163">
        <v>0</v>
      </c>
      <c r="I68" s="163">
        <v>0</v>
      </c>
      <c r="J68" s="125">
        <v>0</v>
      </c>
      <c r="K68" s="163">
        <v>0</v>
      </c>
      <c r="L68" s="13"/>
    </row>
    <row r="69" spans="1:12" ht="22.5" customHeight="1" x14ac:dyDescent="0.3">
      <c r="A69" s="669"/>
      <c r="B69" s="161" t="s">
        <v>514</v>
      </c>
      <c r="C69" s="125">
        <v>6384160</v>
      </c>
      <c r="D69" s="125">
        <v>0</v>
      </c>
      <c r="E69" s="125">
        <v>0</v>
      </c>
      <c r="F69" s="125">
        <v>1</v>
      </c>
      <c r="G69" s="125">
        <v>1</v>
      </c>
      <c r="H69" s="163">
        <v>3.1327535650735601E-2</v>
      </c>
      <c r="I69" s="163">
        <v>6.2655071301471105E-2</v>
      </c>
      <c r="J69" s="125">
        <v>0</v>
      </c>
      <c r="K69" s="163">
        <v>0</v>
      </c>
      <c r="L69" s="13"/>
    </row>
    <row r="70" spans="1:12" ht="22.5" customHeight="1" x14ac:dyDescent="0.3">
      <c r="A70" s="669"/>
      <c r="B70" s="161" t="s">
        <v>247</v>
      </c>
      <c r="C70" s="125">
        <v>2050173</v>
      </c>
      <c r="D70" s="125">
        <v>0</v>
      </c>
      <c r="E70" s="125">
        <v>0</v>
      </c>
      <c r="F70" s="125">
        <v>0</v>
      </c>
      <c r="G70" s="125">
        <v>1</v>
      </c>
      <c r="H70" s="163">
        <v>9.7552743109971696E-2</v>
      </c>
      <c r="I70" s="163">
        <v>9.7552743109971696E-2</v>
      </c>
      <c r="J70" s="125">
        <v>0</v>
      </c>
      <c r="K70" s="163">
        <v>0</v>
      </c>
      <c r="L70" s="13"/>
    </row>
    <row r="71" spans="1:12" ht="22.5" customHeight="1" x14ac:dyDescent="0.3">
      <c r="A71" s="669"/>
      <c r="B71" s="161" t="s">
        <v>1029</v>
      </c>
      <c r="C71" s="125">
        <v>705610</v>
      </c>
      <c r="D71" s="125">
        <v>0</v>
      </c>
      <c r="E71" s="125">
        <v>0</v>
      </c>
      <c r="F71" s="125">
        <v>0</v>
      </c>
      <c r="G71" s="125">
        <v>0</v>
      </c>
      <c r="H71" s="163">
        <v>0</v>
      </c>
      <c r="I71" s="163">
        <v>0</v>
      </c>
      <c r="J71" s="125">
        <v>0</v>
      </c>
      <c r="K71" s="163">
        <v>0</v>
      </c>
      <c r="L71" s="13"/>
    </row>
    <row r="72" spans="1:12" ht="22.5" customHeight="1" x14ac:dyDescent="0.3">
      <c r="A72" s="667"/>
      <c r="B72" s="161" t="s">
        <v>1030</v>
      </c>
      <c r="C72" s="125">
        <v>1437750</v>
      </c>
      <c r="D72" s="125">
        <v>0</v>
      </c>
      <c r="E72" s="125">
        <v>0</v>
      </c>
      <c r="F72" s="125">
        <v>0</v>
      </c>
      <c r="G72" s="125">
        <v>0</v>
      </c>
      <c r="H72" s="163">
        <v>0</v>
      </c>
      <c r="I72" s="163">
        <v>0</v>
      </c>
      <c r="J72" s="125">
        <v>0</v>
      </c>
      <c r="K72" s="163">
        <v>0</v>
      </c>
      <c r="L72" s="13"/>
    </row>
    <row r="73" spans="1:12" ht="22.5" customHeight="1" x14ac:dyDescent="0.3">
      <c r="A73" s="666" t="s">
        <v>251</v>
      </c>
      <c r="B73" s="194" t="s">
        <v>252</v>
      </c>
      <c r="C73" s="195">
        <v>5046283</v>
      </c>
      <c r="D73" s="195">
        <v>0</v>
      </c>
      <c r="E73" s="195">
        <v>18</v>
      </c>
      <c r="F73" s="195">
        <v>5</v>
      </c>
      <c r="G73" s="195">
        <v>8</v>
      </c>
      <c r="H73" s="196">
        <v>1.0304614307203901</v>
      </c>
      <c r="I73" s="196">
        <v>1.2286270904743199</v>
      </c>
      <c r="J73" s="195">
        <v>4</v>
      </c>
      <c r="K73" s="196">
        <v>0.15853252780313701</v>
      </c>
      <c r="L73" s="13"/>
    </row>
    <row r="74" spans="1:12" ht="22.5" customHeight="1" x14ac:dyDescent="0.3">
      <c r="A74" s="669"/>
      <c r="B74" s="161" t="s">
        <v>1031</v>
      </c>
      <c r="C74" s="125">
        <v>99958</v>
      </c>
      <c r="D74" s="125">
        <v>0</v>
      </c>
      <c r="E74" s="10">
        <v>0</v>
      </c>
      <c r="F74" s="10">
        <v>0</v>
      </c>
      <c r="G74" s="10">
        <v>0</v>
      </c>
      <c r="H74" s="163">
        <v>0</v>
      </c>
      <c r="I74" s="163">
        <v>0</v>
      </c>
      <c r="J74" s="125">
        <v>0</v>
      </c>
      <c r="K74" s="163">
        <v>0</v>
      </c>
      <c r="L74" s="13"/>
    </row>
    <row r="75" spans="1:12" ht="22.5" customHeight="1" x14ac:dyDescent="0.3">
      <c r="A75" s="669"/>
      <c r="B75" s="161" t="s">
        <v>253</v>
      </c>
      <c r="C75" s="125">
        <v>2223303</v>
      </c>
      <c r="D75" s="125">
        <v>0</v>
      </c>
      <c r="E75" s="125">
        <v>10</v>
      </c>
      <c r="F75" s="125">
        <v>2</v>
      </c>
      <c r="G75" s="125">
        <v>4</v>
      </c>
      <c r="H75" s="163">
        <v>1.25938749689089</v>
      </c>
      <c r="I75" s="163">
        <v>1.4392999964467299</v>
      </c>
      <c r="J75" s="125">
        <v>0</v>
      </c>
      <c r="K75" s="163">
        <v>0</v>
      </c>
      <c r="L75" s="13"/>
    </row>
    <row r="76" spans="1:12" ht="22.5" customHeight="1" x14ac:dyDescent="0.3">
      <c r="A76" s="669"/>
      <c r="B76" s="161" t="s">
        <v>256</v>
      </c>
      <c r="C76" s="125">
        <v>1507659</v>
      </c>
      <c r="D76" s="125">
        <v>0</v>
      </c>
      <c r="E76" s="125">
        <v>3</v>
      </c>
      <c r="F76" s="125">
        <v>2</v>
      </c>
      <c r="G76" s="125">
        <v>4</v>
      </c>
      <c r="H76" s="163">
        <v>0.92859194287302405</v>
      </c>
      <c r="I76" s="163">
        <v>1.1939039265510301</v>
      </c>
      <c r="J76" s="125">
        <v>4</v>
      </c>
      <c r="K76" s="163">
        <v>0.53062396735601403</v>
      </c>
      <c r="L76" s="13"/>
    </row>
    <row r="77" spans="1:12" ht="22.5" customHeight="1" x14ac:dyDescent="0.3">
      <c r="A77" s="669"/>
      <c r="B77" s="161" t="s">
        <v>1029</v>
      </c>
      <c r="C77" s="125">
        <v>168092</v>
      </c>
      <c r="D77" s="125">
        <v>0</v>
      </c>
      <c r="E77" s="125">
        <v>1</v>
      </c>
      <c r="F77" s="125">
        <v>1</v>
      </c>
      <c r="G77" s="125">
        <v>0</v>
      </c>
      <c r="H77" s="163">
        <v>1.1898246198510301</v>
      </c>
      <c r="I77" s="163">
        <v>2.3796492397020699</v>
      </c>
      <c r="J77" s="125">
        <v>0</v>
      </c>
      <c r="K77" s="163">
        <v>0</v>
      </c>
      <c r="L77" s="13"/>
    </row>
    <row r="78" spans="1:12" ht="22.5" customHeight="1" x14ac:dyDescent="0.3">
      <c r="A78" s="669"/>
      <c r="B78" s="161" t="s">
        <v>1032</v>
      </c>
      <c r="C78" s="125">
        <v>1040597</v>
      </c>
      <c r="D78" s="125">
        <v>0</v>
      </c>
      <c r="E78" s="125">
        <v>4</v>
      </c>
      <c r="F78" s="125">
        <v>0</v>
      </c>
      <c r="G78" s="125">
        <v>0</v>
      </c>
      <c r="H78" s="163">
        <v>0.76878945451505198</v>
      </c>
      <c r="I78" s="163">
        <v>0.76878945451505198</v>
      </c>
      <c r="J78" s="125">
        <v>0</v>
      </c>
      <c r="K78" s="163">
        <v>0</v>
      </c>
      <c r="L78" s="13"/>
    </row>
    <row r="79" spans="1:12" ht="22.5" customHeight="1" x14ac:dyDescent="0.3">
      <c r="A79" s="667"/>
      <c r="B79" s="161" t="s">
        <v>1033</v>
      </c>
      <c r="C79" s="125">
        <v>6674</v>
      </c>
      <c r="D79" s="125">
        <v>0</v>
      </c>
      <c r="E79" s="125">
        <v>0</v>
      </c>
      <c r="F79" s="125">
        <v>0</v>
      </c>
      <c r="G79" s="125">
        <v>0</v>
      </c>
      <c r="H79" s="163">
        <v>0</v>
      </c>
      <c r="I79" s="163">
        <v>0</v>
      </c>
      <c r="J79" s="125">
        <v>0</v>
      </c>
      <c r="K79" s="163">
        <v>0</v>
      </c>
      <c r="L79" s="13"/>
    </row>
    <row r="80" spans="1:12" ht="22.5" customHeight="1" x14ac:dyDescent="0.3">
      <c r="A80" s="666" t="s">
        <v>213</v>
      </c>
      <c r="B80" s="194" t="s">
        <v>328</v>
      </c>
      <c r="C80" s="195">
        <v>1897358</v>
      </c>
      <c r="D80" s="195">
        <v>0</v>
      </c>
      <c r="E80" s="195">
        <v>0</v>
      </c>
      <c r="F80" s="195">
        <v>1</v>
      </c>
      <c r="G80" s="195">
        <v>3</v>
      </c>
      <c r="H80" s="196">
        <v>0.31622919870683303</v>
      </c>
      <c r="I80" s="196">
        <v>0.42163893160911098</v>
      </c>
      <c r="J80" s="195">
        <v>0</v>
      </c>
      <c r="K80" s="196">
        <v>0</v>
      </c>
      <c r="L80" s="13"/>
    </row>
    <row r="81" spans="1:12" ht="22.5" customHeight="1" x14ac:dyDescent="0.3">
      <c r="A81" s="669"/>
      <c r="B81" s="161" t="s">
        <v>453</v>
      </c>
      <c r="C81" s="125">
        <v>1897358</v>
      </c>
      <c r="D81" s="125">
        <v>0</v>
      </c>
      <c r="E81" s="125">
        <v>0</v>
      </c>
      <c r="F81" s="125">
        <v>1</v>
      </c>
      <c r="G81" s="125">
        <v>3</v>
      </c>
      <c r="H81" s="163">
        <v>0.31622919870683303</v>
      </c>
      <c r="I81" s="163">
        <v>0.42163893160911098</v>
      </c>
      <c r="J81" s="125">
        <v>0</v>
      </c>
      <c r="K81" s="163">
        <v>0</v>
      </c>
      <c r="L81" s="13"/>
    </row>
    <row r="82" spans="1:12" ht="22.5" customHeight="1" x14ac:dyDescent="0.3">
      <c r="A82" s="669"/>
      <c r="B82" s="194" t="s">
        <v>331</v>
      </c>
      <c r="C82" s="195">
        <v>105999</v>
      </c>
      <c r="D82" s="195">
        <v>0</v>
      </c>
      <c r="E82" s="195">
        <v>0</v>
      </c>
      <c r="F82" s="195">
        <v>0</v>
      </c>
      <c r="G82" s="195">
        <v>0</v>
      </c>
      <c r="H82" s="196">
        <v>0</v>
      </c>
      <c r="I82" s="196">
        <v>0</v>
      </c>
      <c r="J82" s="195">
        <v>0</v>
      </c>
      <c r="K82" s="196">
        <v>0</v>
      </c>
      <c r="L82" s="13"/>
    </row>
    <row r="83" spans="1:12" ht="22.5" customHeight="1" x14ac:dyDescent="0.3">
      <c r="A83" s="669"/>
      <c r="B83" s="161" t="s">
        <v>1033</v>
      </c>
      <c r="C83" s="125">
        <v>105999</v>
      </c>
      <c r="D83" s="125">
        <v>0</v>
      </c>
      <c r="E83" s="125">
        <v>0</v>
      </c>
      <c r="F83" s="125">
        <v>0</v>
      </c>
      <c r="G83" s="125">
        <v>0</v>
      </c>
      <c r="H83" s="163">
        <v>0</v>
      </c>
      <c r="I83" s="163">
        <v>0</v>
      </c>
      <c r="J83" s="125">
        <v>0</v>
      </c>
      <c r="K83" s="163">
        <v>0</v>
      </c>
      <c r="L83" s="13"/>
    </row>
    <row r="84" spans="1:12" ht="22.5" customHeight="1" x14ac:dyDescent="0.3">
      <c r="A84" s="669"/>
      <c r="B84" s="194" t="s">
        <v>214</v>
      </c>
      <c r="C84" s="195">
        <v>4857378</v>
      </c>
      <c r="D84" s="195">
        <v>0</v>
      </c>
      <c r="E84" s="195">
        <v>0</v>
      </c>
      <c r="F84" s="195">
        <v>4</v>
      </c>
      <c r="G84" s="195">
        <v>2</v>
      </c>
      <c r="H84" s="196">
        <v>8.23489545182607E-2</v>
      </c>
      <c r="I84" s="196">
        <v>0.247046863554782</v>
      </c>
      <c r="J84" s="195">
        <v>0</v>
      </c>
      <c r="K84" s="196">
        <v>0</v>
      </c>
      <c r="L84" s="13"/>
    </row>
    <row r="85" spans="1:12" ht="22.5" customHeight="1" x14ac:dyDescent="0.3">
      <c r="A85" s="669"/>
      <c r="B85" s="161" t="s">
        <v>215</v>
      </c>
      <c r="C85" s="125">
        <v>4721131</v>
      </c>
      <c r="D85" s="125">
        <v>0</v>
      </c>
      <c r="E85" s="125">
        <v>0</v>
      </c>
      <c r="F85" s="125">
        <v>4</v>
      </c>
      <c r="G85" s="125">
        <v>2</v>
      </c>
      <c r="H85" s="163">
        <v>8.4725460911802705E-2</v>
      </c>
      <c r="I85" s="163">
        <v>0.25417638273540799</v>
      </c>
      <c r="J85" s="125">
        <v>0</v>
      </c>
      <c r="K85" s="163">
        <v>0</v>
      </c>
      <c r="L85" s="13"/>
    </row>
    <row r="86" spans="1:12" ht="22.5" customHeight="1" x14ac:dyDescent="0.3">
      <c r="A86" s="669"/>
      <c r="B86" s="161" t="s">
        <v>1033</v>
      </c>
      <c r="C86" s="125">
        <v>136247</v>
      </c>
      <c r="D86" s="125">
        <v>0</v>
      </c>
      <c r="E86" s="125">
        <v>0</v>
      </c>
      <c r="F86" s="125">
        <v>0</v>
      </c>
      <c r="G86" s="125">
        <v>0</v>
      </c>
      <c r="H86" s="163">
        <v>0</v>
      </c>
      <c r="I86" s="163">
        <v>0</v>
      </c>
      <c r="J86" s="125">
        <v>0</v>
      </c>
      <c r="K86" s="163">
        <v>0</v>
      </c>
      <c r="L86" s="13"/>
    </row>
    <row r="87" spans="1:12" ht="22.5" customHeight="1" x14ac:dyDescent="0.3">
      <c r="A87" s="669"/>
      <c r="B87" s="194" t="s">
        <v>265</v>
      </c>
      <c r="C87" s="195">
        <v>1244528.5</v>
      </c>
      <c r="D87" s="195">
        <v>0</v>
      </c>
      <c r="E87" s="195">
        <v>1</v>
      </c>
      <c r="F87" s="195">
        <v>0</v>
      </c>
      <c r="G87" s="195">
        <v>1</v>
      </c>
      <c r="H87" s="196">
        <v>0.32140686211685798</v>
      </c>
      <c r="I87" s="196">
        <v>0.32140686211685798</v>
      </c>
      <c r="J87" s="195">
        <v>2</v>
      </c>
      <c r="K87" s="196">
        <v>0.32140686211685798</v>
      </c>
      <c r="L87" s="13"/>
    </row>
    <row r="88" spans="1:12" ht="22.5" customHeight="1" x14ac:dyDescent="0.3">
      <c r="A88" s="669"/>
      <c r="B88" s="161" t="s">
        <v>266</v>
      </c>
      <c r="C88" s="125">
        <v>1244528.5</v>
      </c>
      <c r="D88" s="125">
        <v>0</v>
      </c>
      <c r="E88" s="125">
        <v>1</v>
      </c>
      <c r="F88" s="125">
        <v>0</v>
      </c>
      <c r="G88" s="125">
        <v>1</v>
      </c>
      <c r="H88" s="163">
        <v>0.32140686211685798</v>
      </c>
      <c r="I88" s="163">
        <v>0.32140686211685798</v>
      </c>
      <c r="J88" s="125">
        <v>2</v>
      </c>
      <c r="K88" s="163">
        <v>0.32140686211685798</v>
      </c>
      <c r="L88" s="13"/>
    </row>
    <row r="89" spans="1:12" ht="22.5" customHeight="1" x14ac:dyDescent="0.3">
      <c r="A89" s="669"/>
      <c r="B89" s="194" t="s">
        <v>213</v>
      </c>
      <c r="C89" s="195">
        <v>686720.25</v>
      </c>
      <c r="D89" s="195">
        <v>0</v>
      </c>
      <c r="E89" s="195">
        <v>0</v>
      </c>
      <c r="F89" s="195">
        <v>6</v>
      </c>
      <c r="G89" s="195">
        <v>3</v>
      </c>
      <c r="H89" s="196">
        <v>0.87371822805574795</v>
      </c>
      <c r="I89" s="196">
        <v>2.62115468416724</v>
      </c>
      <c r="J89" s="195">
        <v>0</v>
      </c>
      <c r="K89" s="196">
        <v>0</v>
      </c>
      <c r="L89" s="13"/>
    </row>
    <row r="90" spans="1:12" ht="22.5" customHeight="1" x14ac:dyDescent="0.3">
      <c r="A90" s="669"/>
      <c r="B90" s="161" t="s">
        <v>1029</v>
      </c>
      <c r="C90" s="125">
        <v>686720.25</v>
      </c>
      <c r="D90" s="125">
        <v>0</v>
      </c>
      <c r="E90" s="125">
        <v>0</v>
      </c>
      <c r="F90" s="125">
        <v>6</v>
      </c>
      <c r="G90" s="125">
        <v>3</v>
      </c>
      <c r="H90" s="163">
        <v>0.87371822805574795</v>
      </c>
      <c r="I90" s="163">
        <v>2.62115468416724</v>
      </c>
      <c r="J90" s="125">
        <v>0</v>
      </c>
      <c r="K90" s="163">
        <v>0</v>
      </c>
      <c r="L90" s="13"/>
    </row>
    <row r="91" spans="1:12" ht="22.5" customHeight="1" x14ac:dyDescent="0.3">
      <c r="A91" s="667"/>
      <c r="B91" s="161" t="s">
        <v>1032</v>
      </c>
      <c r="C91" s="125">
        <v>0</v>
      </c>
      <c r="D91" s="125">
        <v>0</v>
      </c>
      <c r="E91" s="125">
        <v>0</v>
      </c>
      <c r="F91" s="125">
        <v>0</v>
      </c>
      <c r="G91" s="125">
        <v>0</v>
      </c>
      <c r="H91" s="163">
        <v>0</v>
      </c>
      <c r="I91" s="163">
        <v>0</v>
      </c>
      <c r="J91" s="125">
        <v>0</v>
      </c>
      <c r="K91" s="163">
        <v>0</v>
      </c>
      <c r="L91" s="13"/>
    </row>
    <row r="92" spans="1:12" ht="22.5" customHeight="1" x14ac:dyDescent="0.3">
      <c r="A92" s="666" t="s">
        <v>224</v>
      </c>
      <c r="B92" s="194" t="s">
        <v>225</v>
      </c>
      <c r="C92" s="195">
        <v>2808181.67</v>
      </c>
      <c r="D92" s="195">
        <v>0</v>
      </c>
      <c r="E92" s="195">
        <v>6</v>
      </c>
      <c r="F92" s="195">
        <v>10</v>
      </c>
      <c r="G92" s="195">
        <v>3</v>
      </c>
      <c r="H92" s="196">
        <v>0.64098417108462902</v>
      </c>
      <c r="I92" s="196">
        <v>1.3531888056231101</v>
      </c>
      <c r="J92" s="195">
        <v>0</v>
      </c>
      <c r="K92" s="196">
        <v>0</v>
      </c>
      <c r="L92" s="13"/>
    </row>
    <row r="93" spans="1:12" ht="22.5" customHeight="1" x14ac:dyDescent="0.3">
      <c r="A93" s="669"/>
      <c r="B93" s="161" t="s">
        <v>1034</v>
      </c>
      <c r="C93" s="125">
        <v>157776</v>
      </c>
      <c r="D93" s="125">
        <v>0</v>
      </c>
      <c r="E93" s="125">
        <v>0</v>
      </c>
      <c r="F93" s="125">
        <v>0</v>
      </c>
      <c r="G93" s="125">
        <v>0</v>
      </c>
      <c r="H93" s="163">
        <v>0</v>
      </c>
      <c r="I93" s="163">
        <v>0</v>
      </c>
      <c r="J93" s="125">
        <v>0</v>
      </c>
      <c r="K93" s="163">
        <v>0</v>
      </c>
      <c r="L93" s="13"/>
    </row>
    <row r="94" spans="1:12" ht="22.5" customHeight="1" x14ac:dyDescent="0.3">
      <c r="A94" s="669"/>
      <c r="B94" s="161" t="s">
        <v>226</v>
      </c>
      <c r="C94" s="125">
        <v>884658</v>
      </c>
      <c r="D94" s="125">
        <v>0</v>
      </c>
      <c r="E94" s="125">
        <v>4</v>
      </c>
      <c r="F94" s="125">
        <v>0</v>
      </c>
      <c r="G94" s="125">
        <v>3</v>
      </c>
      <c r="H94" s="163">
        <v>1.58253245887111</v>
      </c>
      <c r="I94" s="163">
        <v>1.58253245887111</v>
      </c>
      <c r="J94" s="125">
        <v>0</v>
      </c>
      <c r="K94" s="163">
        <v>0</v>
      </c>
      <c r="L94" s="13"/>
    </row>
    <row r="95" spans="1:12" ht="22.5" customHeight="1" x14ac:dyDescent="0.3">
      <c r="A95" s="669"/>
      <c r="B95" s="161" t="s">
        <v>454</v>
      </c>
      <c r="C95" s="125">
        <v>524924.67000000004</v>
      </c>
      <c r="D95" s="125">
        <v>0</v>
      </c>
      <c r="E95" s="125">
        <v>2</v>
      </c>
      <c r="F95" s="125">
        <v>1</v>
      </c>
      <c r="G95" s="125">
        <v>0</v>
      </c>
      <c r="H95" s="163">
        <v>0.76201410004220205</v>
      </c>
      <c r="I95" s="163">
        <v>1.1430211500633001</v>
      </c>
      <c r="J95" s="125">
        <v>0</v>
      </c>
      <c r="K95" s="163">
        <v>0</v>
      </c>
      <c r="L95" s="13"/>
    </row>
    <row r="96" spans="1:12" ht="22.5" customHeight="1" x14ac:dyDescent="0.3">
      <c r="A96" s="669"/>
      <c r="B96" s="161" t="s">
        <v>230</v>
      </c>
      <c r="C96" s="125">
        <v>1232074</v>
      </c>
      <c r="D96" s="125">
        <v>0</v>
      </c>
      <c r="E96" s="125">
        <v>0</v>
      </c>
      <c r="F96" s="125">
        <v>9</v>
      </c>
      <c r="G96" s="125">
        <v>0</v>
      </c>
      <c r="H96" s="163">
        <v>0</v>
      </c>
      <c r="I96" s="163">
        <v>1.4609512090994501</v>
      </c>
      <c r="J96" s="125">
        <v>0</v>
      </c>
      <c r="K96" s="163">
        <v>0</v>
      </c>
      <c r="L96" s="13"/>
    </row>
    <row r="97" spans="1:12" ht="22.5" customHeight="1" x14ac:dyDescent="0.3">
      <c r="A97" s="669"/>
      <c r="B97" s="161" t="s">
        <v>1035</v>
      </c>
      <c r="C97" s="125">
        <v>8749</v>
      </c>
      <c r="D97" s="125">
        <v>0</v>
      </c>
      <c r="E97" s="125">
        <v>0</v>
      </c>
      <c r="F97" s="125">
        <v>0</v>
      </c>
      <c r="G97" s="125">
        <v>0</v>
      </c>
      <c r="H97" s="163">
        <v>0</v>
      </c>
      <c r="I97" s="163">
        <v>0</v>
      </c>
      <c r="J97" s="125">
        <v>0</v>
      </c>
      <c r="K97" s="163">
        <v>0</v>
      </c>
      <c r="L97" s="13"/>
    </row>
    <row r="98" spans="1:12" ht="22.5" customHeight="1" x14ac:dyDescent="0.3">
      <c r="A98" s="669"/>
      <c r="B98" s="194" t="s">
        <v>695</v>
      </c>
      <c r="C98" s="195">
        <v>1410211</v>
      </c>
      <c r="D98" s="195">
        <v>0</v>
      </c>
      <c r="E98" s="195">
        <v>0</v>
      </c>
      <c r="F98" s="195">
        <v>0</v>
      </c>
      <c r="G98" s="195">
        <v>0</v>
      </c>
      <c r="H98" s="196">
        <v>0</v>
      </c>
      <c r="I98" s="196">
        <v>0</v>
      </c>
      <c r="J98" s="195">
        <v>0</v>
      </c>
      <c r="K98" s="196">
        <v>0</v>
      </c>
      <c r="L98" s="13"/>
    </row>
    <row r="99" spans="1:12" ht="22.5" customHeight="1" x14ac:dyDescent="0.3">
      <c r="A99" s="669"/>
      <c r="B99" s="161" t="s">
        <v>1043</v>
      </c>
      <c r="C99" s="125">
        <v>1005280</v>
      </c>
      <c r="D99" s="125">
        <v>0</v>
      </c>
      <c r="E99" s="125">
        <v>0</v>
      </c>
      <c r="F99" s="125">
        <v>0</v>
      </c>
      <c r="G99" s="125">
        <v>0</v>
      </c>
      <c r="H99" s="163">
        <v>0</v>
      </c>
      <c r="I99" s="163">
        <v>0</v>
      </c>
      <c r="J99" s="125">
        <v>0</v>
      </c>
      <c r="K99" s="163">
        <v>0</v>
      </c>
      <c r="L99" s="13"/>
    </row>
    <row r="100" spans="1:12" ht="22.5" customHeight="1" x14ac:dyDescent="0.3">
      <c r="A100" s="669"/>
      <c r="B100" s="161" t="s">
        <v>1044</v>
      </c>
      <c r="C100" s="125">
        <v>70560</v>
      </c>
      <c r="D100" s="125">
        <v>0</v>
      </c>
      <c r="E100" s="125">
        <v>0</v>
      </c>
      <c r="F100" s="125">
        <v>0</v>
      </c>
      <c r="G100" s="125">
        <v>0</v>
      </c>
      <c r="H100" s="163">
        <v>0</v>
      </c>
      <c r="I100" s="163">
        <v>0</v>
      </c>
      <c r="J100" s="125">
        <v>0</v>
      </c>
      <c r="K100" s="163">
        <v>0</v>
      </c>
      <c r="L100" s="13"/>
    </row>
    <row r="101" spans="1:12" ht="22.5" customHeight="1" x14ac:dyDescent="0.3">
      <c r="A101" s="669"/>
      <c r="B101" s="161" t="s">
        <v>277</v>
      </c>
      <c r="C101" s="125">
        <v>203092</v>
      </c>
      <c r="D101" s="125">
        <v>0</v>
      </c>
      <c r="E101" s="125">
        <v>0</v>
      </c>
      <c r="F101" s="125">
        <v>0</v>
      </c>
      <c r="G101" s="125">
        <v>0</v>
      </c>
      <c r="H101" s="163">
        <v>0</v>
      </c>
      <c r="I101" s="163">
        <v>0</v>
      </c>
      <c r="J101" s="125">
        <v>0</v>
      </c>
      <c r="K101" s="163">
        <v>0</v>
      </c>
      <c r="L101" s="13"/>
    </row>
    <row r="102" spans="1:12" ht="22.5" customHeight="1" x14ac:dyDescent="0.3">
      <c r="A102" s="669"/>
      <c r="B102" s="161" t="s">
        <v>1032</v>
      </c>
      <c r="C102" s="125">
        <v>0</v>
      </c>
      <c r="D102" s="125">
        <v>0</v>
      </c>
      <c r="E102" s="125">
        <v>0</v>
      </c>
      <c r="F102" s="125">
        <v>0</v>
      </c>
      <c r="G102" s="125">
        <v>0</v>
      </c>
      <c r="H102" s="163">
        <v>0</v>
      </c>
      <c r="I102" s="163">
        <v>0</v>
      </c>
      <c r="J102" s="125">
        <v>0</v>
      </c>
      <c r="K102" s="163">
        <v>0</v>
      </c>
      <c r="L102" s="13"/>
    </row>
    <row r="103" spans="1:12" ht="22.5" customHeight="1" x14ac:dyDescent="0.3">
      <c r="A103" s="669"/>
      <c r="B103" s="161" t="s">
        <v>1033</v>
      </c>
      <c r="C103" s="125">
        <v>131279</v>
      </c>
      <c r="D103" s="125">
        <v>0</v>
      </c>
      <c r="E103" s="125">
        <v>0</v>
      </c>
      <c r="F103" s="125">
        <v>0</v>
      </c>
      <c r="G103" s="125">
        <v>0</v>
      </c>
      <c r="H103" s="163">
        <v>0</v>
      </c>
      <c r="I103" s="163">
        <v>0</v>
      </c>
      <c r="J103" s="125">
        <v>0</v>
      </c>
      <c r="K103" s="163">
        <v>0</v>
      </c>
      <c r="L103" s="13"/>
    </row>
    <row r="104" spans="1:12" ht="22.5" customHeight="1" x14ac:dyDescent="0.3">
      <c r="A104" s="669"/>
      <c r="B104" s="194" t="s">
        <v>351</v>
      </c>
      <c r="C104" s="195">
        <v>484308</v>
      </c>
      <c r="D104" s="195">
        <v>0</v>
      </c>
      <c r="E104" s="195">
        <v>1</v>
      </c>
      <c r="F104" s="195">
        <v>0</v>
      </c>
      <c r="G104" s="195">
        <v>1</v>
      </c>
      <c r="H104" s="196">
        <v>0.82592069509485699</v>
      </c>
      <c r="I104" s="196">
        <v>0.82592069509485699</v>
      </c>
      <c r="J104" s="195">
        <v>0</v>
      </c>
      <c r="K104" s="196">
        <v>0</v>
      </c>
      <c r="L104" s="13"/>
    </row>
    <row r="105" spans="1:12" ht="22.5" customHeight="1" x14ac:dyDescent="0.3">
      <c r="A105" s="667"/>
      <c r="B105" s="161" t="s">
        <v>1029</v>
      </c>
      <c r="C105" s="125">
        <v>484308</v>
      </c>
      <c r="D105" s="125">
        <v>0</v>
      </c>
      <c r="E105" s="125">
        <v>1</v>
      </c>
      <c r="F105" s="125">
        <v>0</v>
      </c>
      <c r="G105" s="125">
        <v>1</v>
      </c>
      <c r="H105" s="163">
        <v>0.82592069509485699</v>
      </c>
      <c r="I105" s="163">
        <v>0.82592069509485699</v>
      </c>
      <c r="J105" s="125">
        <v>0</v>
      </c>
      <c r="K105" s="163">
        <v>0</v>
      </c>
      <c r="L105" s="13"/>
    </row>
    <row r="106" spans="1:12" ht="22.5" customHeight="1" x14ac:dyDescent="0.3">
      <c r="A106" s="676" t="s">
        <v>234</v>
      </c>
      <c r="B106" s="194" t="s">
        <v>235</v>
      </c>
      <c r="C106" s="195">
        <v>14096852.880000001</v>
      </c>
      <c r="D106" s="195">
        <v>0</v>
      </c>
      <c r="E106" s="195">
        <v>1</v>
      </c>
      <c r="F106" s="195">
        <v>6</v>
      </c>
      <c r="G106" s="195">
        <v>2</v>
      </c>
      <c r="H106" s="196">
        <v>4.2562691482100498E-2</v>
      </c>
      <c r="I106" s="196">
        <v>0.12768807444630201</v>
      </c>
      <c r="J106" s="195">
        <v>0</v>
      </c>
      <c r="K106" s="196">
        <v>0</v>
      </c>
      <c r="L106" s="55"/>
    </row>
    <row r="107" spans="1:12" ht="22.5" customHeight="1" x14ac:dyDescent="0.3">
      <c r="A107" s="677"/>
      <c r="B107" s="161" t="s">
        <v>236</v>
      </c>
      <c r="C107" s="125">
        <v>9531249.3000000007</v>
      </c>
      <c r="D107" s="125">
        <v>0</v>
      </c>
      <c r="E107" s="125">
        <v>1</v>
      </c>
      <c r="F107" s="125">
        <v>4</v>
      </c>
      <c r="G107" s="125">
        <v>2</v>
      </c>
      <c r="H107" s="163">
        <v>6.29508242954048E-2</v>
      </c>
      <c r="I107" s="163">
        <v>0.14688525668927799</v>
      </c>
      <c r="J107" s="125">
        <v>0</v>
      </c>
      <c r="K107" s="163">
        <v>0</v>
      </c>
      <c r="L107" s="55"/>
    </row>
    <row r="108" spans="1:12" ht="22.5" customHeight="1" x14ac:dyDescent="0.3">
      <c r="A108" s="677"/>
      <c r="B108" s="198" t="s">
        <v>1029</v>
      </c>
      <c r="C108" s="173">
        <v>192994.75</v>
      </c>
      <c r="D108" s="173">
        <v>0</v>
      </c>
      <c r="E108" s="173">
        <v>0</v>
      </c>
      <c r="F108" s="173">
        <v>0</v>
      </c>
      <c r="G108" s="173">
        <v>0</v>
      </c>
      <c r="H108" s="199">
        <v>0</v>
      </c>
      <c r="I108" s="199">
        <v>0</v>
      </c>
      <c r="J108" s="173">
        <v>0</v>
      </c>
      <c r="K108" s="199">
        <v>0</v>
      </c>
      <c r="L108" s="55"/>
    </row>
    <row r="109" spans="1:12" ht="22.5" customHeight="1" x14ac:dyDescent="0.3">
      <c r="A109" s="677"/>
      <c r="B109" s="198" t="s">
        <v>1032</v>
      </c>
      <c r="C109" s="173">
        <v>4372608.83</v>
      </c>
      <c r="D109" s="173">
        <v>0</v>
      </c>
      <c r="E109" s="173">
        <v>0</v>
      </c>
      <c r="F109" s="173">
        <v>2</v>
      </c>
      <c r="G109" s="173">
        <v>0</v>
      </c>
      <c r="H109" s="199">
        <v>0</v>
      </c>
      <c r="I109" s="199">
        <v>9.1478569328141801E-2</v>
      </c>
      <c r="J109" s="173">
        <v>0</v>
      </c>
      <c r="K109" s="199">
        <v>0</v>
      </c>
      <c r="L109" s="55"/>
    </row>
    <row r="110" spans="1:12" ht="22.5" customHeight="1" x14ac:dyDescent="0.3">
      <c r="A110" s="194"/>
      <c r="B110" s="194" t="s">
        <v>318</v>
      </c>
      <c r="C110" s="195">
        <v>43387881.299999997</v>
      </c>
      <c r="D110" s="195">
        <v>0</v>
      </c>
      <c r="E110" s="195">
        <v>27</v>
      </c>
      <c r="F110" s="195">
        <v>33</v>
      </c>
      <c r="G110" s="195">
        <v>25</v>
      </c>
      <c r="H110" s="196">
        <v>0.23969826800461899</v>
      </c>
      <c r="I110" s="196">
        <v>0.39181447654601198</v>
      </c>
      <c r="J110" s="195">
        <v>6</v>
      </c>
      <c r="K110" s="196">
        <v>2.7657492462071401E-2</v>
      </c>
      <c r="L110" s="55"/>
    </row>
    <row r="111" spans="1:12" ht="15.75" customHeight="1" x14ac:dyDescent="0.3">
      <c r="A111" s="678"/>
      <c r="B111" s="547"/>
      <c r="C111" s="547"/>
      <c r="D111" s="547"/>
      <c r="E111" s="547"/>
      <c r="F111" s="547"/>
      <c r="G111" s="547"/>
      <c r="H111" s="547"/>
      <c r="I111" s="547"/>
      <c r="J111" s="547"/>
      <c r="K111" s="547"/>
      <c r="L111" s="17"/>
    </row>
    <row r="112" spans="1:12" ht="21.6" customHeight="1" x14ac:dyDescent="0.3">
      <c r="F112" s="17"/>
      <c r="G112" s="17"/>
      <c r="H112" s="17"/>
      <c r="I112" s="17"/>
      <c r="J112" s="17"/>
      <c r="K112" s="17"/>
      <c r="L112" s="17"/>
    </row>
    <row r="113" spans="1:12" ht="21.6" customHeight="1" x14ac:dyDescent="0.3">
      <c r="F113" s="28"/>
      <c r="G113" s="17"/>
      <c r="H113" s="17"/>
      <c r="I113" s="17"/>
      <c r="J113" s="17"/>
      <c r="K113" s="17"/>
      <c r="L113" s="17"/>
    </row>
    <row r="114" spans="1:12" ht="42.6" customHeight="1" x14ac:dyDescent="0.3">
      <c r="A114" s="63" t="s">
        <v>132</v>
      </c>
      <c r="B114" s="25">
        <v>2019</v>
      </c>
      <c r="C114" s="25">
        <v>2020</v>
      </c>
      <c r="D114" s="25">
        <v>2021</v>
      </c>
      <c r="E114" s="25">
        <v>2022</v>
      </c>
      <c r="F114" s="25">
        <v>2023</v>
      </c>
      <c r="G114" s="55"/>
      <c r="H114" s="17"/>
      <c r="I114" s="17"/>
      <c r="J114" s="17"/>
      <c r="K114" s="17"/>
      <c r="L114" s="17"/>
    </row>
    <row r="115" spans="1:12" ht="25.95" customHeight="1" x14ac:dyDescent="0.3">
      <c r="A115" s="5" t="s">
        <v>1016</v>
      </c>
      <c r="B115" s="10">
        <v>0</v>
      </c>
      <c r="C115" s="10">
        <v>0</v>
      </c>
      <c r="D115" s="10">
        <v>0</v>
      </c>
      <c r="E115" s="10">
        <v>0</v>
      </c>
      <c r="F115" s="191">
        <v>0</v>
      </c>
      <c r="G115" s="55"/>
      <c r="H115" s="17"/>
      <c r="I115" s="17"/>
      <c r="J115" s="17"/>
      <c r="K115" s="17"/>
      <c r="L115" s="17"/>
    </row>
    <row r="116" spans="1:12" ht="25.95" customHeight="1" x14ac:dyDescent="0.3">
      <c r="A116" s="5" t="s">
        <v>1038</v>
      </c>
      <c r="B116" s="193">
        <v>0.22</v>
      </c>
      <c r="C116" s="193">
        <v>0.21</v>
      </c>
      <c r="D116" s="193">
        <v>0.18</v>
      </c>
      <c r="E116" s="193">
        <v>0.19</v>
      </c>
      <c r="F116" s="192">
        <v>0.328400203297746</v>
      </c>
      <c r="G116" s="55"/>
      <c r="H116" s="17"/>
      <c r="I116" s="17"/>
      <c r="J116" s="17"/>
      <c r="K116" s="17"/>
      <c r="L116" s="17"/>
    </row>
    <row r="117" spans="1:12" ht="25.95" customHeight="1" x14ac:dyDescent="0.3">
      <c r="A117" s="5" t="s">
        <v>1039</v>
      </c>
      <c r="B117" s="193">
        <v>0.41</v>
      </c>
      <c r="C117" s="193">
        <v>0.33</v>
      </c>
      <c r="D117" s="193">
        <v>0.35</v>
      </c>
      <c r="E117" s="193">
        <v>0.37</v>
      </c>
      <c r="F117" s="192">
        <v>0.54171999347405897</v>
      </c>
      <c r="G117" s="55"/>
      <c r="H117" s="17"/>
      <c r="I117" s="17"/>
      <c r="J117" s="17"/>
      <c r="K117" s="17"/>
      <c r="L117" s="17"/>
    </row>
    <row r="118" spans="1:12" ht="25.95" customHeight="1" x14ac:dyDescent="0.3">
      <c r="A118" s="5" t="s">
        <v>1040</v>
      </c>
      <c r="B118" s="193">
        <v>0.06</v>
      </c>
      <c r="C118" s="193">
        <v>7.0000000000000007E-2</v>
      </c>
      <c r="D118" s="193">
        <v>0.04</v>
      </c>
      <c r="E118" s="193">
        <v>0.02</v>
      </c>
      <c r="F118" s="192">
        <v>4.4909429510802797E-2</v>
      </c>
      <c r="G118" s="55"/>
      <c r="H118" s="17"/>
      <c r="I118" s="17"/>
      <c r="J118" s="17"/>
      <c r="K118" s="17"/>
      <c r="L118" s="17"/>
    </row>
    <row r="119" spans="1:12" ht="25.95" customHeight="1" x14ac:dyDescent="0.3">
      <c r="A119" s="22" t="s">
        <v>1045</v>
      </c>
      <c r="B119" s="192">
        <v>3.0000000000000001E-3</v>
      </c>
      <c r="C119" s="192">
        <v>0</v>
      </c>
      <c r="D119" s="192">
        <v>0</v>
      </c>
      <c r="E119" s="192">
        <v>0</v>
      </c>
      <c r="F119" s="192">
        <v>0</v>
      </c>
      <c r="G119" s="55"/>
      <c r="H119" s="17"/>
      <c r="I119" s="17"/>
      <c r="J119" s="17"/>
      <c r="K119" s="17"/>
      <c r="L119" s="17"/>
    </row>
    <row r="120" spans="1:12" ht="27.6" customHeight="1" x14ac:dyDescent="0.3">
      <c r="A120" s="678"/>
      <c r="B120" s="547"/>
      <c r="C120" s="547"/>
      <c r="D120" s="547"/>
      <c r="E120" s="547"/>
      <c r="F120" s="547"/>
      <c r="G120" s="17"/>
      <c r="H120" s="17"/>
      <c r="I120" s="17"/>
      <c r="J120" s="17"/>
      <c r="K120" s="17"/>
      <c r="L120" s="17"/>
    </row>
    <row r="121" spans="1:12" ht="20.85" customHeight="1" x14ac:dyDescent="0.3">
      <c r="F121" s="17"/>
      <c r="G121" s="17"/>
      <c r="H121" s="17"/>
      <c r="I121" s="17"/>
      <c r="J121" s="17"/>
      <c r="K121" s="17"/>
      <c r="L121" s="17"/>
    </row>
    <row r="122" spans="1:12" ht="20.85" customHeight="1" x14ac:dyDescent="0.3">
      <c r="F122" s="28"/>
      <c r="G122" s="28"/>
      <c r="H122" s="28"/>
      <c r="I122" s="28"/>
      <c r="J122" s="28"/>
      <c r="K122" s="28"/>
      <c r="L122" s="17"/>
    </row>
    <row r="123" spans="1:12" ht="42.6" customHeight="1" x14ac:dyDescent="0.3">
      <c r="A123" s="63" t="s">
        <v>133</v>
      </c>
      <c r="B123" s="164" t="s">
        <v>1041</v>
      </c>
      <c r="C123" s="5" t="s">
        <v>1020</v>
      </c>
      <c r="D123" s="5" t="s">
        <v>1016</v>
      </c>
      <c r="E123" s="5" t="s">
        <v>1021</v>
      </c>
      <c r="F123" s="5" t="s">
        <v>1022</v>
      </c>
      <c r="G123" s="5" t="s">
        <v>1023</v>
      </c>
      <c r="H123" s="5" t="s">
        <v>1024</v>
      </c>
      <c r="I123" s="5" t="s">
        <v>1042</v>
      </c>
      <c r="J123" s="5" t="s">
        <v>1026</v>
      </c>
      <c r="K123" s="5" t="s">
        <v>1027</v>
      </c>
      <c r="L123" s="55"/>
    </row>
    <row r="124" spans="1:12" ht="25.95" customHeight="1" x14ac:dyDescent="0.3">
      <c r="A124" s="666" t="s">
        <v>245</v>
      </c>
      <c r="B124" s="200" t="s">
        <v>350</v>
      </c>
      <c r="C124" s="109">
        <v>16270158.880000001</v>
      </c>
      <c r="D124" s="201">
        <v>0</v>
      </c>
      <c r="E124" s="201">
        <v>2</v>
      </c>
      <c r="F124" s="201">
        <v>3</v>
      </c>
      <c r="G124" s="201">
        <v>2</v>
      </c>
      <c r="H124" s="202">
        <v>4.9169771844293102E-2</v>
      </c>
      <c r="I124" s="202">
        <v>8.6047100727512996E-2</v>
      </c>
      <c r="J124" s="201">
        <v>0</v>
      </c>
      <c r="K124" s="202">
        <v>0</v>
      </c>
      <c r="L124" s="55"/>
    </row>
    <row r="125" spans="1:12" ht="25.95" customHeight="1" x14ac:dyDescent="0.3">
      <c r="A125" s="669"/>
      <c r="B125" s="161" t="s">
        <v>1028</v>
      </c>
      <c r="C125" s="136">
        <v>438554.2</v>
      </c>
      <c r="D125" s="10">
        <v>0</v>
      </c>
      <c r="E125" s="10">
        <v>0</v>
      </c>
      <c r="F125" s="10">
        <v>0</v>
      </c>
      <c r="G125" s="10">
        <v>0</v>
      </c>
      <c r="H125" s="203">
        <v>0</v>
      </c>
      <c r="I125" s="203">
        <v>0</v>
      </c>
      <c r="J125" s="10">
        <v>0</v>
      </c>
      <c r="K125" s="203">
        <v>0</v>
      </c>
      <c r="L125" s="55"/>
    </row>
    <row r="126" spans="1:12" ht="25.95" customHeight="1" x14ac:dyDescent="0.3">
      <c r="A126" s="669"/>
      <c r="B126" s="161" t="s">
        <v>514</v>
      </c>
      <c r="C126" s="136">
        <v>9230131.5299999993</v>
      </c>
      <c r="D126" s="10">
        <v>0</v>
      </c>
      <c r="E126" s="10">
        <v>0</v>
      </c>
      <c r="F126" s="10">
        <v>3</v>
      </c>
      <c r="G126" s="10">
        <v>1</v>
      </c>
      <c r="H126" s="203">
        <v>2.1668163595497499E-2</v>
      </c>
      <c r="I126" s="203">
        <v>8.6672654381990205E-2</v>
      </c>
      <c r="J126" s="10">
        <v>0</v>
      </c>
      <c r="K126" s="203">
        <v>0</v>
      </c>
      <c r="L126" s="55"/>
    </row>
    <row r="127" spans="1:12" ht="25.95" customHeight="1" x14ac:dyDescent="0.3">
      <c r="A127" s="669"/>
      <c r="B127" s="161" t="s">
        <v>247</v>
      </c>
      <c r="C127" s="136">
        <v>3942906.45</v>
      </c>
      <c r="D127" s="10">
        <v>0</v>
      </c>
      <c r="E127" s="10">
        <v>1</v>
      </c>
      <c r="F127" s="10">
        <v>0</v>
      </c>
      <c r="G127" s="10">
        <v>1</v>
      </c>
      <c r="H127" s="203">
        <v>0.101448006710887</v>
      </c>
      <c r="I127" s="203">
        <v>0.101448006710887</v>
      </c>
      <c r="J127" s="10">
        <v>0</v>
      </c>
      <c r="K127" s="203">
        <v>0</v>
      </c>
      <c r="L127" s="55"/>
    </row>
    <row r="128" spans="1:12" ht="25.95" customHeight="1" x14ac:dyDescent="0.3">
      <c r="A128" s="669"/>
      <c r="B128" s="161" t="s">
        <v>1029</v>
      </c>
      <c r="C128" s="136">
        <v>863310.18</v>
      </c>
      <c r="D128" s="10">
        <v>0</v>
      </c>
      <c r="E128" s="10">
        <v>1</v>
      </c>
      <c r="F128" s="10">
        <v>0</v>
      </c>
      <c r="G128" s="10">
        <v>0</v>
      </c>
      <c r="H128" s="203">
        <v>0.23166644461437999</v>
      </c>
      <c r="I128" s="203">
        <v>0.23166644461437999</v>
      </c>
      <c r="J128" s="10">
        <v>0</v>
      </c>
      <c r="K128" s="203">
        <v>0</v>
      </c>
      <c r="L128" s="55"/>
    </row>
    <row r="129" spans="1:12" ht="25.95" customHeight="1" x14ac:dyDescent="0.3">
      <c r="A129" s="667"/>
      <c r="B129" s="161" t="s">
        <v>1030</v>
      </c>
      <c r="C129" s="136">
        <v>1795256.52</v>
      </c>
      <c r="D129" s="10">
        <v>0</v>
      </c>
      <c r="E129" s="10">
        <v>0</v>
      </c>
      <c r="F129" s="10">
        <v>0</v>
      </c>
      <c r="G129" s="10">
        <v>0</v>
      </c>
      <c r="H129" s="203">
        <v>0</v>
      </c>
      <c r="I129" s="203">
        <v>0</v>
      </c>
      <c r="J129" s="10">
        <v>0</v>
      </c>
      <c r="K129" s="203">
        <v>0</v>
      </c>
      <c r="L129" s="55"/>
    </row>
    <row r="130" spans="1:12" ht="25.95" customHeight="1" x14ac:dyDescent="0.3">
      <c r="A130" s="666" t="s">
        <v>251</v>
      </c>
      <c r="B130" s="204" t="s">
        <v>252</v>
      </c>
      <c r="C130" s="109">
        <v>9051530</v>
      </c>
      <c r="D130" s="201">
        <v>0</v>
      </c>
      <c r="E130" s="201">
        <v>33</v>
      </c>
      <c r="F130" s="201">
        <v>11</v>
      </c>
      <c r="G130" s="201">
        <v>16</v>
      </c>
      <c r="H130" s="202">
        <v>1.08268988778693</v>
      </c>
      <c r="I130" s="202">
        <v>1.3257427197390901</v>
      </c>
      <c r="J130" s="201">
        <v>14</v>
      </c>
      <c r="K130" s="202">
        <v>0.309339967939122</v>
      </c>
      <c r="L130" s="55"/>
    </row>
    <row r="131" spans="1:12" ht="25.95" customHeight="1" x14ac:dyDescent="0.3">
      <c r="A131" s="669"/>
      <c r="B131" s="161" t="s">
        <v>1031</v>
      </c>
      <c r="C131" s="136">
        <v>529874</v>
      </c>
      <c r="D131" s="10">
        <v>0</v>
      </c>
      <c r="E131" s="10">
        <v>0</v>
      </c>
      <c r="F131" s="10">
        <v>0</v>
      </c>
      <c r="G131" s="10">
        <v>0</v>
      </c>
      <c r="H131" s="203">
        <v>0</v>
      </c>
      <c r="I131" s="203">
        <v>0</v>
      </c>
      <c r="J131" s="10">
        <v>0</v>
      </c>
      <c r="K131" s="203">
        <v>0</v>
      </c>
      <c r="L131" s="55"/>
    </row>
    <row r="132" spans="1:12" ht="25.95" customHeight="1" x14ac:dyDescent="0.3">
      <c r="A132" s="669"/>
      <c r="B132" s="161" t="s">
        <v>253</v>
      </c>
      <c r="C132" s="136">
        <v>4057377</v>
      </c>
      <c r="D132" s="10">
        <v>0</v>
      </c>
      <c r="E132" s="10">
        <v>22</v>
      </c>
      <c r="F132" s="10">
        <v>5</v>
      </c>
      <c r="G132" s="10">
        <v>5</v>
      </c>
      <c r="H132" s="203">
        <v>1.3309091070413199</v>
      </c>
      <c r="I132" s="203">
        <v>1.57737375649342</v>
      </c>
      <c r="J132" s="10">
        <v>6</v>
      </c>
      <c r="K132" s="203">
        <v>0.29575757934251601</v>
      </c>
      <c r="L132" s="55"/>
    </row>
    <row r="133" spans="1:12" ht="25.95" customHeight="1" x14ac:dyDescent="0.3">
      <c r="A133" s="669"/>
      <c r="B133" s="161" t="s">
        <v>256</v>
      </c>
      <c r="C133" s="136">
        <v>3067997</v>
      </c>
      <c r="D133" s="10">
        <v>0</v>
      </c>
      <c r="E133" s="10">
        <v>6</v>
      </c>
      <c r="F133" s="10">
        <v>5</v>
      </c>
      <c r="G133" s="10">
        <v>11</v>
      </c>
      <c r="H133" s="203">
        <v>1.1082149037303499</v>
      </c>
      <c r="I133" s="203">
        <v>1.4341604636510401</v>
      </c>
      <c r="J133" s="10">
        <v>8</v>
      </c>
      <c r="K133" s="203">
        <v>0.52151289587310501</v>
      </c>
      <c r="L133" s="55"/>
    </row>
    <row r="134" spans="1:12" ht="25.95" customHeight="1" x14ac:dyDescent="0.3">
      <c r="A134" s="669"/>
      <c r="B134" s="161" t="s">
        <v>1029</v>
      </c>
      <c r="C134" s="136">
        <v>295991</v>
      </c>
      <c r="D134" s="10">
        <v>0</v>
      </c>
      <c r="E134" s="10">
        <v>1</v>
      </c>
      <c r="F134" s="10">
        <v>1</v>
      </c>
      <c r="G134" s="10">
        <v>0</v>
      </c>
      <c r="H134" s="203">
        <v>0.675696220493191</v>
      </c>
      <c r="I134" s="203">
        <v>1.35139244098638</v>
      </c>
      <c r="J134" s="10">
        <v>0</v>
      </c>
      <c r="K134" s="203">
        <v>0</v>
      </c>
      <c r="L134" s="55"/>
    </row>
    <row r="135" spans="1:12" ht="25.95" customHeight="1" x14ac:dyDescent="0.3">
      <c r="A135" s="669"/>
      <c r="B135" s="161" t="s">
        <v>1032</v>
      </c>
      <c r="C135" s="136">
        <v>1088331</v>
      </c>
      <c r="D135" s="10">
        <v>0</v>
      </c>
      <c r="E135" s="10">
        <v>4</v>
      </c>
      <c r="F135" s="10">
        <v>0</v>
      </c>
      <c r="G135" s="10">
        <v>0</v>
      </c>
      <c r="H135" s="203">
        <v>0.73507048866567204</v>
      </c>
      <c r="I135" s="203">
        <v>0.73507048866567204</v>
      </c>
      <c r="J135" s="10">
        <v>0</v>
      </c>
      <c r="K135" s="203">
        <v>0</v>
      </c>
      <c r="L135" s="55"/>
    </row>
    <row r="136" spans="1:12" ht="25.95" customHeight="1" x14ac:dyDescent="0.3">
      <c r="A136" s="667"/>
      <c r="B136" s="161" t="s">
        <v>1033</v>
      </c>
      <c r="C136" s="136">
        <v>11960</v>
      </c>
      <c r="D136" s="10">
        <v>0</v>
      </c>
      <c r="E136" s="10">
        <v>0</v>
      </c>
      <c r="F136" s="10">
        <v>0</v>
      </c>
      <c r="G136" s="10">
        <v>0</v>
      </c>
      <c r="H136" s="203">
        <v>0</v>
      </c>
      <c r="I136" s="203">
        <v>0</v>
      </c>
      <c r="J136" s="10">
        <v>0</v>
      </c>
      <c r="K136" s="203">
        <v>0</v>
      </c>
      <c r="L136" s="55"/>
    </row>
    <row r="137" spans="1:12" ht="25.95" customHeight="1" x14ac:dyDescent="0.3">
      <c r="A137" s="666" t="s">
        <v>213</v>
      </c>
      <c r="B137" s="204" t="s">
        <v>328</v>
      </c>
      <c r="C137" s="109">
        <v>4999286</v>
      </c>
      <c r="D137" s="201">
        <v>0</v>
      </c>
      <c r="E137" s="201">
        <v>0</v>
      </c>
      <c r="F137" s="201">
        <v>12</v>
      </c>
      <c r="G137" s="201">
        <v>5</v>
      </c>
      <c r="H137" s="202">
        <v>0.20002856407895001</v>
      </c>
      <c r="I137" s="202">
        <v>0.68009711786843197</v>
      </c>
      <c r="J137" s="201">
        <v>0</v>
      </c>
      <c r="K137" s="202">
        <v>0</v>
      </c>
      <c r="L137" s="55"/>
    </row>
    <row r="138" spans="1:12" ht="25.95" customHeight="1" x14ac:dyDescent="0.3">
      <c r="A138" s="669"/>
      <c r="B138" s="161" t="s">
        <v>453</v>
      </c>
      <c r="C138" s="136">
        <v>4999286</v>
      </c>
      <c r="D138" s="10">
        <v>0</v>
      </c>
      <c r="E138" s="10">
        <v>0</v>
      </c>
      <c r="F138" s="10">
        <v>12</v>
      </c>
      <c r="G138" s="10">
        <v>5</v>
      </c>
      <c r="H138" s="203">
        <v>0.20002856407895001</v>
      </c>
      <c r="I138" s="203">
        <v>0.68009711786843197</v>
      </c>
      <c r="J138" s="10">
        <v>0</v>
      </c>
      <c r="K138" s="203">
        <v>0</v>
      </c>
      <c r="L138" s="55"/>
    </row>
    <row r="139" spans="1:12" ht="25.95" customHeight="1" x14ac:dyDescent="0.3">
      <c r="A139" s="669"/>
      <c r="B139" s="204" t="s">
        <v>331</v>
      </c>
      <c r="C139" s="109">
        <v>137662</v>
      </c>
      <c r="D139" s="201">
        <v>0</v>
      </c>
      <c r="E139" s="201">
        <v>0</v>
      </c>
      <c r="F139" s="201">
        <v>0</v>
      </c>
      <c r="G139" s="201">
        <v>0</v>
      </c>
      <c r="H139" s="202">
        <v>0</v>
      </c>
      <c r="I139" s="202">
        <v>0</v>
      </c>
      <c r="J139" s="201">
        <v>0</v>
      </c>
      <c r="K139" s="202">
        <v>0</v>
      </c>
      <c r="L139" s="55"/>
    </row>
    <row r="140" spans="1:12" ht="25.95" customHeight="1" x14ac:dyDescent="0.3">
      <c r="A140" s="669"/>
      <c r="B140" s="161" t="s">
        <v>1033</v>
      </c>
      <c r="C140" s="136">
        <v>137662</v>
      </c>
      <c r="D140" s="10">
        <v>0</v>
      </c>
      <c r="E140" s="10">
        <v>0</v>
      </c>
      <c r="F140" s="10">
        <v>0</v>
      </c>
      <c r="G140" s="10">
        <v>0</v>
      </c>
      <c r="H140" s="203">
        <v>0</v>
      </c>
      <c r="I140" s="203">
        <v>0</v>
      </c>
      <c r="J140" s="10">
        <v>0</v>
      </c>
      <c r="K140" s="203">
        <v>0</v>
      </c>
      <c r="L140" s="55"/>
    </row>
    <row r="141" spans="1:12" ht="25.95" customHeight="1" x14ac:dyDescent="0.3">
      <c r="A141" s="669"/>
      <c r="B141" s="204" t="s">
        <v>214</v>
      </c>
      <c r="C141" s="109">
        <v>8291319</v>
      </c>
      <c r="D141" s="201">
        <v>0</v>
      </c>
      <c r="E141" s="201">
        <v>2</v>
      </c>
      <c r="F141" s="201">
        <v>12</v>
      </c>
      <c r="G141" s="201">
        <v>12</v>
      </c>
      <c r="H141" s="202">
        <v>0.33770260196236601</v>
      </c>
      <c r="I141" s="202">
        <v>0.62716197507296501</v>
      </c>
      <c r="J141" s="201">
        <v>0</v>
      </c>
      <c r="K141" s="202">
        <v>0</v>
      </c>
      <c r="L141" s="55"/>
    </row>
    <row r="142" spans="1:12" ht="25.95" customHeight="1" x14ac:dyDescent="0.3">
      <c r="A142" s="669"/>
      <c r="B142" s="161" t="s">
        <v>215</v>
      </c>
      <c r="C142" s="136">
        <v>8136292</v>
      </c>
      <c r="D142" s="10">
        <v>0</v>
      </c>
      <c r="E142" s="10">
        <v>2</v>
      </c>
      <c r="F142" s="10">
        <v>12</v>
      </c>
      <c r="G142" s="10">
        <v>12</v>
      </c>
      <c r="H142" s="203">
        <v>0.34413710815688497</v>
      </c>
      <c r="I142" s="203">
        <v>0.63911177229135796</v>
      </c>
      <c r="J142" s="10">
        <v>0</v>
      </c>
      <c r="K142" s="203">
        <v>0</v>
      </c>
      <c r="L142" s="55"/>
    </row>
    <row r="143" spans="1:12" ht="25.95" customHeight="1" x14ac:dyDescent="0.3">
      <c r="A143" s="669"/>
      <c r="B143" s="161" t="s">
        <v>1033</v>
      </c>
      <c r="C143" s="136">
        <v>155027</v>
      </c>
      <c r="D143" s="10">
        <v>0</v>
      </c>
      <c r="E143" s="10">
        <v>0</v>
      </c>
      <c r="F143" s="10">
        <v>0</v>
      </c>
      <c r="G143" s="10">
        <v>0</v>
      </c>
      <c r="H143" s="203">
        <v>0</v>
      </c>
      <c r="I143" s="203">
        <v>0</v>
      </c>
      <c r="J143" s="10">
        <v>0</v>
      </c>
      <c r="K143" s="203">
        <v>0</v>
      </c>
      <c r="L143" s="55"/>
    </row>
    <row r="144" spans="1:12" ht="25.95" customHeight="1" x14ac:dyDescent="0.3">
      <c r="A144" s="669"/>
      <c r="B144" s="204" t="s">
        <v>265</v>
      </c>
      <c r="C144" s="109">
        <v>4585172.8</v>
      </c>
      <c r="D144" s="201">
        <v>0</v>
      </c>
      <c r="E144" s="201">
        <v>3</v>
      </c>
      <c r="F144" s="201">
        <v>1</v>
      </c>
      <c r="G144" s="201">
        <v>4</v>
      </c>
      <c r="H144" s="202">
        <v>0.305332004063184</v>
      </c>
      <c r="I144" s="202">
        <v>0.34895086178649598</v>
      </c>
      <c r="J144" s="201">
        <v>2</v>
      </c>
      <c r="K144" s="202">
        <v>8.7237715446623995E-2</v>
      </c>
      <c r="L144" s="55"/>
    </row>
    <row r="145" spans="1:12" ht="25.95" customHeight="1" x14ac:dyDescent="0.3">
      <c r="A145" s="669"/>
      <c r="B145" s="161" t="s">
        <v>266</v>
      </c>
      <c r="C145" s="136">
        <v>4585172.8</v>
      </c>
      <c r="D145" s="10">
        <v>0</v>
      </c>
      <c r="E145" s="10">
        <v>3</v>
      </c>
      <c r="F145" s="10">
        <v>1</v>
      </c>
      <c r="G145" s="10">
        <v>4</v>
      </c>
      <c r="H145" s="203">
        <v>0.305332004063184</v>
      </c>
      <c r="I145" s="203">
        <v>0.34895086178649598</v>
      </c>
      <c r="J145" s="10">
        <v>2</v>
      </c>
      <c r="K145" s="203">
        <v>8.7237715446623995E-2</v>
      </c>
      <c r="L145" s="55"/>
    </row>
    <row r="146" spans="1:12" ht="25.95" customHeight="1" x14ac:dyDescent="0.3">
      <c r="A146" s="669"/>
      <c r="B146" s="204" t="s">
        <v>213</v>
      </c>
      <c r="C146" s="109">
        <v>1008558.25</v>
      </c>
      <c r="D146" s="201">
        <v>0</v>
      </c>
      <c r="E146" s="201">
        <v>0</v>
      </c>
      <c r="F146" s="201">
        <v>6</v>
      </c>
      <c r="G146" s="201">
        <v>4</v>
      </c>
      <c r="H146" s="202">
        <v>0.79321149769981103</v>
      </c>
      <c r="I146" s="202">
        <v>1.98302874424953</v>
      </c>
      <c r="J146" s="201">
        <v>0</v>
      </c>
      <c r="K146" s="202">
        <v>0</v>
      </c>
      <c r="L146" s="55"/>
    </row>
    <row r="147" spans="1:12" ht="25.95" customHeight="1" x14ac:dyDescent="0.3">
      <c r="A147" s="669"/>
      <c r="B147" s="161" t="s">
        <v>1029</v>
      </c>
      <c r="C147" s="136">
        <v>1008558.25</v>
      </c>
      <c r="D147" s="10">
        <v>0</v>
      </c>
      <c r="E147" s="10">
        <v>0</v>
      </c>
      <c r="F147" s="10">
        <v>6</v>
      </c>
      <c r="G147" s="10">
        <v>4</v>
      </c>
      <c r="H147" s="203">
        <v>0.79321149769981103</v>
      </c>
      <c r="I147" s="203">
        <v>1.98302874424953</v>
      </c>
      <c r="J147" s="10">
        <v>0</v>
      </c>
      <c r="K147" s="203">
        <v>0</v>
      </c>
      <c r="L147" s="55"/>
    </row>
    <row r="148" spans="1:12" ht="25.95" customHeight="1" x14ac:dyDescent="0.3">
      <c r="A148" s="667"/>
      <c r="B148" s="161" t="s">
        <v>1032</v>
      </c>
      <c r="C148" s="136">
        <v>0</v>
      </c>
      <c r="D148" s="10">
        <v>0</v>
      </c>
      <c r="E148" s="10">
        <v>0</v>
      </c>
      <c r="F148" s="10">
        <v>0</v>
      </c>
      <c r="G148" s="10">
        <v>0</v>
      </c>
      <c r="H148" s="203">
        <v>0</v>
      </c>
      <c r="I148" s="203">
        <v>0</v>
      </c>
      <c r="J148" s="10">
        <v>0</v>
      </c>
      <c r="K148" s="203">
        <v>0</v>
      </c>
      <c r="L148" s="55"/>
    </row>
    <row r="149" spans="1:12" ht="25.95" customHeight="1" x14ac:dyDescent="0.3">
      <c r="A149" s="666" t="s">
        <v>224</v>
      </c>
      <c r="B149" s="204" t="s">
        <v>225</v>
      </c>
      <c r="C149" s="109">
        <v>6617242.96</v>
      </c>
      <c r="D149" s="201">
        <v>0</v>
      </c>
      <c r="E149" s="201">
        <v>12</v>
      </c>
      <c r="F149" s="201">
        <v>19</v>
      </c>
      <c r="G149" s="201">
        <v>9</v>
      </c>
      <c r="H149" s="202">
        <v>0.63470542420585396</v>
      </c>
      <c r="I149" s="202">
        <v>1.20896271277305</v>
      </c>
      <c r="J149" s="201">
        <v>0</v>
      </c>
      <c r="K149" s="202">
        <v>0</v>
      </c>
      <c r="L149" s="55"/>
    </row>
    <row r="150" spans="1:12" ht="25.95" customHeight="1" x14ac:dyDescent="0.3">
      <c r="A150" s="669"/>
      <c r="B150" s="161" t="s">
        <v>1034</v>
      </c>
      <c r="C150" s="136">
        <v>365376</v>
      </c>
      <c r="D150" s="10">
        <v>0</v>
      </c>
      <c r="E150" s="10">
        <v>0</v>
      </c>
      <c r="F150" s="10">
        <v>0</v>
      </c>
      <c r="G150" s="10">
        <v>0</v>
      </c>
      <c r="H150" s="203">
        <v>0</v>
      </c>
      <c r="I150" s="203">
        <v>0</v>
      </c>
      <c r="J150" s="10">
        <v>0</v>
      </c>
      <c r="K150" s="203">
        <v>0</v>
      </c>
      <c r="L150" s="55"/>
    </row>
    <row r="151" spans="1:12" ht="25.95" customHeight="1" x14ac:dyDescent="0.3">
      <c r="A151" s="669"/>
      <c r="B151" s="161" t="s">
        <v>226</v>
      </c>
      <c r="C151" s="136">
        <v>2234478</v>
      </c>
      <c r="D151" s="10">
        <v>0</v>
      </c>
      <c r="E151" s="10">
        <v>8</v>
      </c>
      <c r="F151" s="10">
        <v>4</v>
      </c>
      <c r="G151" s="10">
        <v>9</v>
      </c>
      <c r="H151" s="203">
        <v>1.5216081787334701</v>
      </c>
      <c r="I151" s="203">
        <v>1.87963363255311</v>
      </c>
      <c r="J151" s="10">
        <v>0</v>
      </c>
      <c r="K151" s="203">
        <v>0</v>
      </c>
      <c r="L151" s="55"/>
    </row>
    <row r="152" spans="1:12" ht="25.95" customHeight="1" x14ac:dyDescent="0.3">
      <c r="A152" s="669"/>
      <c r="B152" s="161" t="s">
        <v>454</v>
      </c>
      <c r="C152" s="136">
        <v>1555390.38</v>
      </c>
      <c r="D152" s="10">
        <v>0</v>
      </c>
      <c r="E152" s="10">
        <v>4</v>
      </c>
      <c r="F152" s="10">
        <v>4</v>
      </c>
      <c r="G152" s="10">
        <v>0</v>
      </c>
      <c r="H152" s="203">
        <v>0.514340329146179</v>
      </c>
      <c r="I152" s="203">
        <v>1.02868065829236</v>
      </c>
      <c r="J152" s="10">
        <v>0</v>
      </c>
      <c r="K152" s="203">
        <v>0</v>
      </c>
      <c r="L152" s="55"/>
    </row>
    <row r="153" spans="1:12" ht="25.95" customHeight="1" x14ac:dyDescent="0.3">
      <c r="A153" s="669"/>
      <c r="B153" s="161" t="s">
        <v>230</v>
      </c>
      <c r="C153" s="136">
        <v>2437047</v>
      </c>
      <c r="D153" s="10">
        <v>0</v>
      </c>
      <c r="E153" s="10">
        <v>0</v>
      </c>
      <c r="F153" s="10">
        <v>11</v>
      </c>
      <c r="G153" s="10">
        <v>0</v>
      </c>
      <c r="H153" s="203">
        <v>0</v>
      </c>
      <c r="I153" s="203">
        <v>0.90273187181043302</v>
      </c>
      <c r="J153" s="10">
        <v>0</v>
      </c>
      <c r="K153" s="203">
        <v>0</v>
      </c>
      <c r="L153" s="55"/>
    </row>
    <row r="154" spans="1:12" ht="25.95" customHeight="1" x14ac:dyDescent="0.3">
      <c r="A154" s="669"/>
      <c r="B154" s="161" t="s">
        <v>1033</v>
      </c>
      <c r="C154" s="136">
        <v>24951.58</v>
      </c>
      <c r="D154" s="10">
        <v>0</v>
      </c>
      <c r="E154" s="10">
        <v>0</v>
      </c>
      <c r="F154" s="10">
        <v>0</v>
      </c>
      <c r="G154" s="10">
        <v>0</v>
      </c>
      <c r="H154" s="203">
        <v>0</v>
      </c>
      <c r="I154" s="203">
        <v>0</v>
      </c>
      <c r="J154" s="10">
        <v>0</v>
      </c>
      <c r="K154" s="203">
        <v>0</v>
      </c>
      <c r="L154" s="55"/>
    </row>
    <row r="155" spans="1:12" ht="25.95" customHeight="1" x14ac:dyDescent="0.3">
      <c r="A155" s="669"/>
      <c r="B155" s="204" t="s">
        <v>695</v>
      </c>
      <c r="C155" s="109">
        <v>3580515</v>
      </c>
      <c r="D155" s="201">
        <v>0</v>
      </c>
      <c r="E155" s="201">
        <v>1</v>
      </c>
      <c r="F155" s="201">
        <v>5</v>
      </c>
      <c r="G155" s="201">
        <v>7</v>
      </c>
      <c r="H155" s="202">
        <v>0.446863090924071</v>
      </c>
      <c r="I155" s="202">
        <v>0.72615252275161501</v>
      </c>
      <c r="J155" s="201">
        <v>0</v>
      </c>
      <c r="K155" s="202">
        <v>0</v>
      </c>
      <c r="L155" s="55"/>
    </row>
    <row r="156" spans="1:12" ht="25.95" customHeight="1" x14ac:dyDescent="0.3">
      <c r="A156" s="669"/>
      <c r="B156" s="161" t="s">
        <v>1043</v>
      </c>
      <c r="C156" s="136">
        <v>2019520</v>
      </c>
      <c r="D156" s="10">
        <v>0</v>
      </c>
      <c r="E156" s="10">
        <v>0</v>
      </c>
      <c r="F156" s="10">
        <v>0</v>
      </c>
      <c r="G156" s="10">
        <v>0</v>
      </c>
      <c r="H156" s="203">
        <v>0</v>
      </c>
      <c r="I156" s="203">
        <v>0</v>
      </c>
      <c r="J156" s="10">
        <v>0</v>
      </c>
      <c r="K156" s="203">
        <v>0</v>
      </c>
      <c r="L156" s="55"/>
    </row>
    <row r="157" spans="1:12" ht="25.95" customHeight="1" x14ac:dyDescent="0.3">
      <c r="A157" s="669"/>
      <c r="B157" s="161" t="s">
        <v>1044</v>
      </c>
      <c r="C157" s="136">
        <v>70560</v>
      </c>
      <c r="D157" s="10">
        <v>0</v>
      </c>
      <c r="E157" s="10">
        <v>0</v>
      </c>
      <c r="F157" s="10">
        <v>0</v>
      </c>
      <c r="G157" s="10">
        <v>0</v>
      </c>
      <c r="H157" s="203">
        <v>0</v>
      </c>
      <c r="I157" s="203">
        <v>0</v>
      </c>
      <c r="J157" s="10">
        <v>0</v>
      </c>
      <c r="K157" s="203">
        <v>0</v>
      </c>
      <c r="L157" s="55"/>
    </row>
    <row r="158" spans="1:12" ht="25.95" customHeight="1" x14ac:dyDescent="0.3">
      <c r="A158" s="669"/>
      <c r="B158" s="161" t="s">
        <v>277</v>
      </c>
      <c r="C158" s="136">
        <v>1295678</v>
      </c>
      <c r="D158" s="10">
        <v>0</v>
      </c>
      <c r="E158" s="10">
        <v>1</v>
      </c>
      <c r="F158" s="10">
        <v>5</v>
      </c>
      <c r="G158" s="10">
        <v>7</v>
      </c>
      <c r="H158" s="203">
        <v>1.23487471424227</v>
      </c>
      <c r="I158" s="203">
        <v>2.00667141064369</v>
      </c>
      <c r="J158" s="10">
        <v>0</v>
      </c>
      <c r="K158" s="203">
        <v>0</v>
      </c>
      <c r="L158" s="55"/>
    </row>
    <row r="159" spans="1:12" ht="25.95" customHeight="1" x14ac:dyDescent="0.3">
      <c r="A159" s="669"/>
      <c r="B159" s="161" t="s">
        <v>1032</v>
      </c>
      <c r="C159" s="10">
        <v>0</v>
      </c>
      <c r="D159" s="10">
        <v>0</v>
      </c>
      <c r="E159" s="10">
        <v>0</v>
      </c>
      <c r="F159" s="10">
        <v>0</v>
      </c>
      <c r="G159" s="10">
        <v>0</v>
      </c>
      <c r="H159" s="203">
        <v>0</v>
      </c>
      <c r="I159" s="203">
        <v>0</v>
      </c>
      <c r="J159" s="10">
        <v>0</v>
      </c>
      <c r="K159" s="203">
        <v>0</v>
      </c>
      <c r="L159" s="55"/>
    </row>
    <row r="160" spans="1:12" ht="25.95" customHeight="1" x14ac:dyDescent="0.3">
      <c r="A160" s="669"/>
      <c r="B160" s="161" t="s">
        <v>1033</v>
      </c>
      <c r="C160" s="136">
        <v>194757</v>
      </c>
      <c r="D160" s="10">
        <v>0</v>
      </c>
      <c r="E160" s="10">
        <v>0</v>
      </c>
      <c r="F160" s="10">
        <v>0</v>
      </c>
      <c r="G160" s="10">
        <v>0</v>
      </c>
      <c r="H160" s="203">
        <v>0</v>
      </c>
      <c r="I160" s="203">
        <v>0</v>
      </c>
      <c r="J160" s="10">
        <v>0</v>
      </c>
      <c r="K160" s="203">
        <v>0</v>
      </c>
      <c r="L160" s="205"/>
    </row>
    <row r="161" spans="1:12" ht="25.95" customHeight="1" x14ac:dyDescent="0.3">
      <c r="A161" s="669"/>
      <c r="B161" s="204" t="s">
        <v>351</v>
      </c>
      <c r="C161" s="109">
        <v>641837.89</v>
      </c>
      <c r="D161" s="201">
        <v>0</v>
      </c>
      <c r="E161" s="201">
        <v>1</v>
      </c>
      <c r="F161" s="201">
        <v>0</v>
      </c>
      <c r="G161" s="201">
        <v>1</v>
      </c>
      <c r="H161" s="202">
        <v>0.62321032496227402</v>
      </c>
      <c r="I161" s="202">
        <v>0.62321032496227402</v>
      </c>
      <c r="J161" s="201">
        <v>0</v>
      </c>
      <c r="K161" s="202">
        <v>0</v>
      </c>
      <c r="L161" s="13"/>
    </row>
    <row r="162" spans="1:12" ht="25.95" customHeight="1" x14ac:dyDescent="0.3">
      <c r="A162" s="667"/>
      <c r="B162" s="161" t="s">
        <v>1029</v>
      </c>
      <c r="C162" s="136">
        <v>641837.89</v>
      </c>
      <c r="D162" s="10">
        <v>0</v>
      </c>
      <c r="E162" s="10">
        <v>1</v>
      </c>
      <c r="F162" s="10">
        <v>0</v>
      </c>
      <c r="G162" s="10">
        <v>1</v>
      </c>
      <c r="H162" s="203">
        <v>0.62321032496227402</v>
      </c>
      <c r="I162" s="203">
        <v>0.62321032496227402</v>
      </c>
      <c r="J162" s="10">
        <v>0</v>
      </c>
      <c r="K162" s="203">
        <v>0</v>
      </c>
      <c r="L162" s="13"/>
    </row>
    <row r="163" spans="1:12" ht="25.95" customHeight="1" x14ac:dyDescent="0.3">
      <c r="A163" s="676" t="s">
        <v>234</v>
      </c>
      <c r="B163" s="194" t="s">
        <v>235</v>
      </c>
      <c r="C163" s="109">
        <v>16071240.710000001</v>
      </c>
      <c r="D163" s="201">
        <v>0</v>
      </c>
      <c r="E163" s="201">
        <v>1</v>
      </c>
      <c r="F163" s="201">
        <v>7</v>
      </c>
      <c r="G163" s="201">
        <v>2</v>
      </c>
      <c r="H163" s="196">
        <v>3.7333769733575203E-2</v>
      </c>
      <c r="I163" s="196">
        <v>0.124445899111917</v>
      </c>
      <c r="J163" s="201">
        <v>0</v>
      </c>
      <c r="K163" s="196">
        <v>0</v>
      </c>
      <c r="L163" s="13"/>
    </row>
    <row r="164" spans="1:12" ht="25.95" customHeight="1" x14ac:dyDescent="0.3">
      <c r="A164" s="677"/>
      <c r="B164" s="161" t="s">
        <v>236</v>
      </c>
      <c r="C164" s="136">
        <v>11376793.689999999</v>
      </c>
      <c r="D164" s="10">
        <v>0</v>
      </c>
      <c r="E164" s="10">
        <v>1</v>
      </c>
      <c r="F164" s="10">
        <v>5</v>
      </c>
      <c r="G164" s="10">
        <v>2</v>
      </c>
      <c r="H164" s="163">
        <v>5.2738936500834097E-2</v>
      </c>
      <c r="I164" s="163">
        <v>0.14063716400222401</v>
      </c>
      <c r="J164" s="10">
        <v>0</v>
      </c>
      <c r="K164" s="163">
        <v>0</v>
      </c>
      <c r="L164" s="13"/>
    </row>
    <row r="165" spans="1:12" ht="25.95" customHeight="1" x14ac:dyDescent="0.3">
      <c r="A165" s="677"/>
      <c r="B165" s="198" t="s">
        <v>1029</v>
      </c>
      <c r="C165" s="173">
        <v>244124.75</v>
      </c>
      <c r="D165" s="173">
        <v>0</v>
      </c>
      <c r="E165" s="173">
        <v>0</v>
      </c>
      <c r="F165" s="173">
        <v>0</v>
      </c>
      <c r="G165" s="173">
        <v>0</v>
      </c>
      <c r="H165" s="199">
        <v>0</v>
      </c>
      <c r="I165" s="199">
        <v>0</v>
      </c>
      <c r="J165" s="173">
        <v>0</v>
      </c>
      <c r="K165" s="199">
        <v>0</v>
      </c>
      <c r="L165" s="13"/>
    </row>
    <row r="166" spans="1:12" ht="25.95" customHeight="1" x14ac:dyDescent="0.3">
      <c r="A166" s="677"/>
      <c r="B166" s="198" t="s">
        <v>1032</v>
      </c>
      <c r="C166" s="173">
        <v>4450322.2699999996</v>
      </c>
      <c r="D166" s="173">
        <v>0</v>
      </c>
      <c r="E166" s="173">
        <v>0</v>
      </c>
      <c r="F166" s="173">
        <v>2</v>
      </c>
      <c r="G166" s="173">
        <v>0</v>
      </c>
      <c r="H166" s="199">
        <v>0</v>
      </c>
      <c r="I166" s="199">
        <v>8.9881131237715906E-2</v>
      </c>
      <c r="J166" s="173">
        <v>0</v>
      </c>
      <c r="K166" s="199">
        <v>0</v>
      </c>
      <c r="L166" s="13"/>
    </row>
    <row r="167" spans="1:12" ht="25.95" customHeight="1" x14ac:dyDescent="0.3">
      <c r="A167" s="194"/>
      <c r="B167" s="204" t="s">
        <v>318</v>
      </c>
      <c r="C167" s="109">
        <v>71254523.489999995</v>
      </c>
      <c r="D167" s="201">
        <v>0</v>
      </c>
      <c r="E167" s="201">
        <v>55</v>
      </c>
      <c r="F167" s="201">
        <v>76</v>
      </c>
      <c r="G167" s="201">
        <v>62</v>
      </c>
      <c r="H167" s="202">
        <v>0.328400203297746</v>
      </c>
      <c r="I167" s="202">
        <v>0.54171999347405897</v>
      </c>
      <c r="J167" s="201">
        <v>16</v>
      </c>
      <c r="K167" s="202">
        <v>4.4909429510802797E-2</v>
      </c>
      <c r="L167" s="13"/>
    </row>
    <row r="168" spans="1:12" ht="32.4" customHeight="1" x14ac:dyDescent="0.3">
      <c r="A168" s="678"/>
      <c r="B168" s="547"/>
      <c r="C168" s="547"/>
      <c r="D168" s="547"/>
      <c r="E168" s="547"/>
      <c r="F168" s="547"/>
      <c r="G168" s="547"/>
      <c r="H168" s="547"/>
      <c r="I168" s="547"/>
      <c r="J168" s="547"/>
      <c r="K168" s="547"/>
    </row>
    <row r="169" spans="1:12" ht="21.6" customHeight="1" x14ac:dyDescent="0.25"/>
    <row r="170" spans="1:12" ht="21.6" customHeight="1" x14ac:dyDescent="0.25"/>
    <row r="171" spans="1:12" ht="10.95" customHeight="1" x14ac:dyDescent="0.3">
      <c r="A171" s="687" t="s">
        <v>1046</v>
      </c>
      <c r="B171" s="616" t="s">
        <v>1041</v>
      </c>
      <c r="C171" s="679" t="s">
        <v>1047</v>
      </c>
      <c r="D171" s="680"/>
      <c r="E171" s="681"/>
      <c r="F171" s="670" t="s">
        <v>1048</v>
      </c>
      <c r="G171" s="671"/>
      <c r="H171" s="672"/>
      <c r="I171" s="13"/>
    </row>
    <row r="172" spans="1:12" ht="10.95" customHeight="1" x14ac:dyDescent="0.3">
      <c r="A172" s="688"/>
      <c r="B172" s="685"/>
      <c r="C172" s="682"/>
      <c r="D172" s="683"/>
      <c r="E172" s="684"/>
      <c r="F172" s="673"/>
      <c r="G172" s="674"/>
      <c r="H172" s="675"/>
      <c r="I172" s="13"/>
    </row>
    <row r="173" spans="1:12" ht="29.1" customHeight="1" x14ac:dyDescent="0.3">
      <c r="A173" s="689"/>
      <c r="B173" s="686"/>
      <c r="C173" s="5" t="s">
        <v>1049</v>
      </c>
      <c r="D173" s="5" t="s">
        <v>1050</v>
      </c>
      <c r="E173" s="5" t="s">
        <v>349</v>
      </c>
      <c r="F173" s="5" t="s">
        <v>1051</v>
      </c>
      <c r="G173" s="5" t="s">
        <v>1050</v>
      </c>
      <c r="H173" s="5" t="s">
        <v>349</v>
      </c>
      <c r="I173" s="13"/>
    </row>
    <row r="174" spans="1:12" ht="21.6" customHeight="1" x14ac:dyDescent="0.3">
      <c r="A174" s="668" t="s">
        <v>245</v>
      </c>
      <c r="B174" s="194" t="s">
        <v>350</v>
      </c>
      <c r="C174" s="195">
        <v>12</v>
      </c>
      <c r="D174" s="195">
        <v>59633</v>
      </c>
      <c r="E174" s="195">
        <v>16703</v>
      </c>
      <c r="F174" s="195">
        <v>80567.5</v>
      </c>
      <c r="G174" s="195">
        <v>156</v>
      </c>
      <c r="H174" s="195">
        <v>34543</v>
      </c>
      <c r="I174" s="13"/>
    </row>
    <row r="175" spans="1:12" ht="26.7" customHeight="1" x14ac:dyDescent="0.3">
      <c r="A175" s="669"/>
      <c r="B175" s="161" t="s">
        <v>1028</v>
      </c>
      <c r="C175" s="125">
        <v>4</v>
      </c>
      <c r="D175" s="125">
        <v>604</v>
      </c>
      <c r="E175" s="125">
        <v>156</v>
      </c>
      <c r="F175" s="125">
        <v>200.5</v>
      </c>
      <c r="G175" s="125">
        <v>52</v>
      </c>
      <c r="H175" s="125">
        <v>69</v>
      </c>
      <c r="I175" s="13"/>
    </row>
    <row r="176" spans="1:12" ht="21.6" customHeight="1" x14ac:dyDescent="0.3">
      <c r="A176" s="669"/>
      <c r="B176" s="161" t="s">
        <v>514</v>
      </c>
      <c r="C176" s="125">
        <v>4</v>
      </c>
      <c r="D176" s="125">
        <v>46072</v>
      </c>
      <c r="E176" s="125">
        <v>12831</v>
      </c>
      <c r="F176" s="125">
        <v>57508</v>
      </c>
      <c r="G176" s="125">
        <v>52</v>
      </c>
      <c r="H176" s="125">
        <v>24533</v>
      </c>
      <c r="I176" s="13"/>
    </row>
    <row r="177" spans="1:9" ht="21.6" customHeight="1" x14ac:dyDescent="0.3">
      <c r="A177" s="667"/>
      <c r="B177" s="161" t="s">
        <v>247</v>
      </c>
      <c r="C177" s="125">
        <v>4</v>
      </c>
      <c r="D177" s="125">
        <v>12957</v>
      </c>
      <c r="E177" s="125">
        <v>3716</v>
      </c>
      <c r="F177" s="125">
        <v>22859</v>
      </c>
      <c r="G177" s="125">
        <v>52</v>
      </c>
      <c r="H177" s="125">
        <v>9941</v>
      </c>
      <c r="I177" s="13"/>
    </row>
    <row r="178" spans="1:9" ht="21.6" customHeight="1" x14ac:dyDescent="0.3">
      <c r="A178" s="666" t="s">
        <v>251</v>
      </c>
      <c r="B178" s="194" t="s">
        <v>252</v>
      </c>
      <c r="C178" s="195">
        <v>322</v>
      </c>
      <c r="D178" s="195">
        <v>202</v>
      </c>
      <c r="E178" s="195">
        <v>12960</v>
      </c>
      <c r="F178" s="195">
        <v>0</v>
      </c>
      <c r="G178" s="195">
        <v>0</v>
      </c>
      <c r="H178" s="195">
        <v>0</v>
      </c>
      <c r="I178" s="13"/>
    </row>
    <row r="179" spans="1:9" ht="21.6" customHeight="1" x14ac:dyDescent="0.3">
      <c r="A179" s="669"/>
      <c r="B179" s="161" t="s">
        <v>253</v>
      </c>
      <c r="C179" s="125">
        <v>148</v>
      </c>
      <c r="D179" s="125">
        <v>78</v>
      </c>
      <c r="E179" s="125">
        <v>2526</v>
      </c>
      <c r="F179" s="125">
        <v>0</v>
      </c>
      <c r="G179" s="125">
        <v>0</v>
      </c>
      <c r="H179" s="125">
        <v>0</v>
      </c>
      <c r="I179" s="13"/>
    </row>
    <row r="180" spans="1:9" ht="21.6" customHeight="1" x14ac:dyDescent="0.3">
      <c r="A180" s="667"/>
      <c r="B180" s="161" t="s">
        <v>256</v>
      </c>
      <c r="C180" s="125">
        <v>174</v>
      </c>
      <c r="D180" s="125">
        <v>124</v>
      </c>
      <c r="E180" s="125">
        <v>10434</v>
      </c>
      <c r="F180" s="125">
        <v>0</v>
      </c>
      <c r="G180" s="125">
        <v>0</v>
      </c>
      <c r="H180" s="125">
        <v>0</v>
      </c>
      <c r="I180" s="13"/>
    </row>
    <row r="181" spans="1:9" ht="21.6" customHeight="1" x14ac:dyDescent="0.3">
      <c r="A181" s="666" t="s">
        <v>213</v>
      </c>
      <c r="B181" s="194" t="s">
        <v>328</v>
      </c>
      <c r="C181" s="195">
        <v>54</v>
      </c>
      <c r="D181" s="195">
        <v>24131</v>
      </c>
      <c r="E181" s="195">
        <v>2664</v>
      </c>
      <c r="F181" s="195">
        <v>49</v>
      </c>
      <c r="G181" s="195">
        <v>23251</v>
      </c>
      <c r="H181" s="195">
        <v>2664</v>
      </c>
      <c r="I181" s="13"/>
    </row>
    <row r="182" spans="1:9" ht="21.6" customHeight="1" x14ac:dyDescent="0.3">
      <c r="A182" s="669"/>
      <c r="B182" s="161" t="s">
        <v>453</v>
      </c>
      <c r="C182" s="125">
        <v>54</v>
      </c>
      <c r="D182" s="125">
        <v>24131</v>
      </c>
      <c r="E182" s="125">
        <v>2664</v>
      </c>
      <c r="F182" s="125">
        <v>49</v>
      </c>
      <c r="G182" s="125">
        <v>23251</v>
      </c>
      <c r="H182" s="125">
        <v>2664</v>
      </c>
      <c r="I182" s="13"/>
    </row>
    <row r="183" spans="1:9" ht="21.6" customHeight="1" x14ac:dyDescent="0.3">
      <c r="A183" s="669"/>
      <c r="B183" s="194" t="s">
        <v>214</v>
      </c>
      <c r="C183" s="195">
        <v>0</v>
      </c>
      <c r="D183" s="195">
        <v>0</v>
      </c>
      <c r="E183" s="195">
        <v>0</v>
      </c>
      <c r="F183" s="195">
        <v>119</v>
      </c>
      <c r="G183" s="195">
        <v>9633.7999999999993</v>
      </c>
      <c r="H183" s="195">
        <v>2930</v>
      </c>
      <c r="I183" s="13"/>
    </row>
    <row r="184" spans="1:9" ht="21.6" customHeight="1" x14ac:dyDescent="0.3">
      <c r="A184" s="669"/>
      <c r="B184" s="161" t="s">
        <v>215</v>
      </c>
      <c r="C184" s="125">
        <v>0</v>
      </c>
      <c r="D184" s="125">
        <v>0</v>
      </c>
      <c r="E184" s="125">
        <v>0</v>
      </c>
      <c r="F184" s="125">
        <v>119</v>
      </c>
      <c r="G184" s="125">
        <v>9633.7999999999993</v>
      </c>
      <c r="H184" s="125">
        <v>2930</v>
      </c>
      <c r="I184" s="13"/>
    </row>
    <row r="185" spans="1:9" ht="21.6" customHeight="1" x14ac:dyDescent="0.3">
      <c r="A185" s="669"/>
      <c r="B185" s="194" t="s">
        <v>265</v>
      </c>
      <c r="C185" s="195">
        <v>75</v>
      </c>
      <c r="D185" s="195">
        <v>30600.5</v>
      </c>
      <c r="E185" s="195">
        <v>8521</v>
      </c>
      <c r="F185" s="195">
        <v>40</v>
      </c>
      <c r="G185" s="195">
        <v>19285</v>
      </c>
      <c r="H185" s="195">
        <v>6415</v>
      </c>
      <c r="I185" s="13"/>
    </row>
    <row r="186" spans="1:9" ht="21.6" customHeight="1" x14ac:dyDescent="0.3">
      <c r="A186" s="667"/>
      <c r="B186" s="161" t="s">
        <v>266</v>
      </c>
      <c r="C186" s="125">
        <v>75</v>
      </c>
      <c r="D186" s="125">
        <v>30600.5</v>
      </c>
      <c r="E186" s="125">
        <v>8521</v>
      </c>
      <c r="F186" s="125">
        <v>40</v>
      </c>
      <c r="G186" s="125">
        <v>19285</v>
      </c>
      <c r="H186" s="125">
        <v>6415</v>
      </c>
      <c r="I186" s="13"/>
    </row>
    <row r="187" spans="1:9" ht="21.6" customHeight="1" x14ac:dyDescent="0.3">
      <c r="A187" s="666" t="s">
        <v>224</v>
      </c>
      <c r="B187" s="194" t="s">
        <v>225</v>
      </c>
      <c r="C187" s="195">
        <v>680</v>
      </c>
      <c r="D187" s="195">
        <v>14636</v>
      </c>
      <c r="E187" s="195">
        <v>7585</v>
      </c>
      <c r="F187" s="195">
        <v>3459</v>
      </c>
      <c r="G187" s="195">
        <v>21776</v>
      </c>
      <c r="H187" s="195">
        <v>4523</v>
      </c>
      <c r="I187" s="13"/>
    </row>
    <row r="188" spans="1:9" ht="21.6" customHeight="1" x14ac:dyDescent="0.3">
      <c r="A188" s="669"/>
      <c r="B188" s="161" t="s">
        <v>454</v>
      </c>
      <c r="C188" s="125">
        <v>13</v>
      </c>
      <c r="D188" s="125">
        <v>7497</v>
      </c>
      <c r="E188" s="125">
        <v>1792</v>
      </c>
      <c r="F188" s="125">
        <v>16</v>
      </c>
      <c r="G188" s="125">
        <v>1898</v>
      </c>
      <c r="H188" s="125">
        <v>436</v>
      </c>
      <c r="I188" s="13"/>
    </row>
    <row r="189" spans="1:9" ht="21.6" customHeight="1" x14ac:dyDescent="0.3">
      <c r="A189" s="669"/>
      <c r="B189" s="161" t="s">
        <v>226</v>
      </c>
      <c r="C189" s="125">
        <v>632</v>
      </c>
      <c r="D189" s="125">
        <v>947</v>
      </c>
      <c r="E189" s="125">
        <v>553</v>
      </c>
      <c r="F189" s="125">
        <v>3413</v>
      </c>
      <c r="G189" s="125">
        <v>4835</v>
      </c>
      <c r="H189" s="125">
        <v>2727</v>
      </c>
      <c r="I189" s="13"/>
    </row>
    <row r="190" spans="1:9" ht="21.6" customHeight="1" x14ac:dyDescent="0.3">
      <c r="A190" s="669"/>
      <c r="B190" s="161" t="s">
        <v>230</v>
      </c>
      <c r="C190" s="125">
        <v>35</v>
      </c>
      <c r="D190" s="125">
        <v>6192</v>
      </c>
      <c r="E190" s="125">
        <v>5240</v>
      </c>
      <c r="F190" s="125">
        <v>30</v>
      </c>
      <c r="G190" s="125">
        <v>15043</v>
      </c>
      <c r="H190" s="125">
        <v>1360</v>
      </c>
      <c r="I190" s="13"/>
    </row>
    <row r="191" spans="1:9" ht="21.6" customHeight="1" x14ac:dyDescent="0.3">
      <c r="A191" s="669"/>
      <c r="B191" s="194" t="s">
        <v>1052</v>
      </c>
      <c r="C191" s="195">
        <v>37</v>
      </c>
      <c r="D191" s="195">
        <v>27000</v>
      </c>
      <c r="E191" s="195">
        <v>638</v>
      </c>
      <c r="F191" s="195">
        <v>14700</v>
      </c>
      <c r="G191" s="195">
        <v>3675</v>
      </c>
      <c r="H191" s="195">
        <v>540</v>
      </c>
      <c r="I191" s="13"/>
    </row>
    <row r="192" spans="1:9" ht="21.6" customHeight="1" x14ac:dyDescent="0.3">
      <c r="A192" s="667"/>
      <c r="B192" s="161" t="s">
        <v>277</v>
      </c>
      <c r="C192" s="125">
        <v>37</v>
      </c>
      <c r="D192" s="125">
        <v>27000</v>
      </c>
      <c r="E192" s="125">
        <v>638</v>
      </c>
      <c r="F192" s="125">
        <v>14700</v>
      </c>
      <c r="G192" s="125">
        <v>3675</v>
      </c>
      <c r="H192" s="125">
        <v>540</v>
      </c>
      <c r="I192" s="13"/>
    </row>
    <row r="193" spans="1:12" ht="21.6" customHeight="1" x14ac:dyDescent="0.3">
      <c r="A193" s="666" t="s">
        <v>234</v>
      </c>
      <c r="B193" s="194" t="s">
        <v>235</v>
      </c>
      <c r="C193" s="195">
        <v>17</v>
      </c>
      <c r="D193" s="195">
        <v>17735</v>
      </c>
      <c r="E193" s="195">
        <v>1236</v>
      </c>
      <c r="F193" s="195">
        <v>36</v>
      </c>
      <c r="G193" s="195">
        <v>13884</v>
      </c>
      <c r="H193" s="195">
        <v>1175</v>
      </c>
      <c r="I193" s="13"/>
      <c r="K193" s="9"/>
      <c r="L193" s="13"/>
    </row>
    <row r="194" spans="1:12" ht="21.6" customHeight="1" x14ac:dyDescent="0.3">
      <c r="A194" s="667"/>
      <c r="B194" s="161" t="s">
        <v>236</v>
      </c>
      <c r="C194" s="125">
        <v>17</v>
      </c>
      <c r="D194" s="125">
        <v>17735</v>
      </c>
      <c r="E194" s="125">
        <v>1236</v>
      </c>
      <c r="F194" s="125">
        <v>36</v>
      </c>
      <c r="G194" s="125">
        <v>13884</v>
      </c>
      <c r="H194" s="125">
        <v>1175</v>
      </c>
      <c r="I194" s="13"/>
      <c r="K194" s="44"/>
    </row>
    <row r="195" spans="1:12" ht="21.6" customHeight="1" x14ac:dyDescent="0.3">
      <c r="A195" s="194" t="s">
        <v>318</v>
      </c>
      <c r="B195" s="194" t="s">
        <v>318</v>
      </c>
      <c r="C195" s="195">
        <v>1197</v>
      </c>
      <c r="D195" s="195">
        <v>173937.5</v>
      </c>
      <c r="E195" s="195">
        <v>50307</v>
      </c>
      <c r="F195" s="195">
        <v>98970.5</v>
      </c>
      <c r="G195" s="195">
        <v>91660.800000000003</v>
      </c>
      <c r="H195" s="195">
        <v>52790</v>
      </c>
      <c r="I195" s="13"/>
    </row>
    <row r="196" spans="1:12" ht="66.599999999999994" customHeight="1" x14ac:dyDescent="0.25">
      <c r="A196" s="532" t="s">
        <v>1053</v>
      </c>
      <c r="B196" s="532"/>
      <c r="C196" s="532"/>
      <c r="D196" s="532"/>
      <c r="E196" s="532"/>
      <c r="F196" s="532"/>
      <c r="G196" s="532"/>
      <c r="H196" s="532"/>
    </row>
    <row r="197" spans="1:12" ht="21.6" customHeight="1" x14ac:dyDescent="0.25">
      <c r="A197" s="234"/>
      <c r="B197" s="234"/>
      <c r="C197" s="234"/>
      <c r="D197" s="234"/>
      <c r="E197" s="234"/>
      <c r="F197" s="234"/>
      <c r="G197" s="234"/>
    </row>
    <row r="198" spans="1:12" ht="21.6" customHeight="1" x14ac:dyDescent="0.25">
      <c r="A198" s="234"/>
      <c r="B198" s="234"/>
      <c r="C198" s="234"/>
      <c r="D198" s="234"/>
      <c r="E198" s="234"/>
      <c r="F198" s="234"/>
      <c r="G198" s="234"/>
    </row>
    <row r="199" spans="1:12" ht="21.6" customHeight="1" x14ac:dyDescent="0.25">
      <c r="A199" s="234"/>
      <c r="B199" s="234"/>
      <c r="C199" s="234"/>
      <c r="D199" s="234"/>
      <c r="E199" s="234"/>
      <c r="F199" s="234"/>
      <c r="G199" s="234"/>
    </row>
    <row r="200" spans="1:12" ht="21.6" customHeight="1" x14ac:dyDescent="0.25"/>
    <row r="201" spans="1:12" ht="21.6" customHeight="1" x14ac:dyDescent="0.25"/>
    <row r="202" spans="1:12" ht="21.6" customHeight="1" x14ac:dyDescent="0.25"/>
    <row r="203" spans="1:12" ht="21.6" customHeight="1" x14ac:dyDescent="0.3">
      <c r="K203" s="2"/>
      <c r="L203" s="2"/>
    </row>
    <row r="204" spans="1:12" ht="28.35" customHeight="1" x14ac:dyDescent="0.3">
      <c r="K204" s="2"/>
      <c r="L204" s="2"/>
    </row>
    <row r="205" spans="1:12" ht="27.6" customHeight="1" x14ac:dyDescent="0.3">
      <c r="A205" s="2"/>
      <c r="B205" s="2"/>
      <c r="C205" s="2"/>
      <c r="D205" s="2"/>
      <c r="E205" s="2"/>
      <c r="F205" s="2"/>
      <c r="G205" s="2"/>
      <c r="H205" s="2"/>
      <c r="I205" s="2"/>
      <c r="J205" s="2"/>
      <c r="K205" s="2"/>
      <c r="L205" s="2"/>
    </row>
    <row r="206" spans="1:12" ht="21.6" customHeight="1" x14ac:dyDescent="0.3">
      <c r="G206" s="2"/>
      <c r="H206" s="2"/>
      <c r="I206" s="2"/>
      <c r="J206" s="2"/>
      <c r="K206" s="2"/>
      <c r="L206" s="2"/>
    </row>
    <row r="207" spans="1:12" ht="35.85" customHeight="1" x14ac:dyDescent="0.3">
      <c r="G207" s="2"/>
      <c r="H207" s="2"/>
      <c r="I207" s="2"/>
      <c r="J207" s="2"/>
      <c r="K207" s="2"/>
      <c r="L207" s="2"/>
    </row>
    <row r="208" spans="1:12" ht="21.6" customHeight="1" x14ac:dyDescent="0.3">
      <c r="G208" s="2"/>
      <c r="H208" s="2"/>
      <c r="I208" s="2"/>
      <c r="J208" s="2"/>
      <c r="K208" s="2"/>
      <c r="L208" s="2"/>
    </row>
    <row r="209" spans="7:12" ht="21.6" customHeight="1" x14ac:dyDescent="0.3">
      <c r="G209" s="2"/>
      <c r="H209" s="2"/>
      <c r="I209" s="2"/>
      <c r="J209" s="2"/>
      <c r="K209" s="2"/>
      <c r="L209" s="2"/>
    </row>
    <row r="210" spans="7:12" ht="21.6" customHeight="1" x14ac:dyDescent="0.3">
      <c r="G210" s="2"/>
      <c r="H210" s="2"/>
      <c r="I210" s="2"/>
      <c r="J210" s="2"/>
      <c r="K210" s="2"/>
      <c r="L210" s="2"/>
    </row>
    <row r="211" spans="7:12" ht="21.6" customHeight="1" x14ac:dyDescent="0.3">
      <c r="G211" s="2"/>
      <c r="H211" s="2"/>
      <c r="I211" s="2"/>
      <c r="J211" s="2"/>
      <c r="K211" s="2"/>
      <c r="L211" s="2"/>
    </row>
    <row r="212" spans="7:12" ht="21.6" customHeight="1" x14ac:dyDescent="0.3">
      <c r="G212" s="2"/>
      <c r="H212" s="2"/>
      <c r="I212" s="2"/>
      <c r="J212" s="2"/>
      <c r="K212" s="2"/>
      <c r="L212" s="2"/>
    </row>
    <row r="213" spans="7:12" ht="21.6" customHeight="1" x14ac:dyDescent="0.3">
      <c r="G213" s="2"/>
      <c r="H213" s="2"/>
      <c r="I213" s="2"/>
      <c r="J213" s="2"/>
      <c r="K213" s="2"/>
      <c r="L213" s="2"/>
    </row>
    <row r="214" spans="7:12" ht="21.6" customHeight="1" x14ac:dyDescent="0.3">
      <c r="G214" s="2"/>
      <c r="H214" s="2"/>
      <c r="I214" s="2"/>
      <c r="J214" s="2"/>
      <c r="K214" s="2"/>
      <c r="L214" s="2"/>
    </row>
    <row r="215" spans="7:12" ht="21.6" customHeight="1" x14ac:dyDescent="0.3">
      <c r="G215" s="2"/>
      <c r="H215" s="2"/>
      <c r="I215" s="2"/>
      <c r="J215" s="2"/>
      <c r="K215" s="2"/>
      <c r="L215" s="2"/>
    </row>
    <row r="216" spans="7:12" ht="21.6" customHeight="1" x14ac:dyDescent="0.3">
      <c r="G216" s="2"/>
      <c r="H216" s="2"/>
      <c r="I216" s="2"/>
      <c r="J216" s="2"/>
      <c r="K216" s="2"/>
      <c r="L216" s="2"/>
    </row>
    <row r="217" spans="7:12" ht="21.6" customHeight="1" x14ac:dyDescent="0.3">
      <c r="G217" s="2"/>
      <c r="H217" s="2"/>
      <c r="I217" s="2"/>
      <c r="J217" s="2"/>
      <c r="K217" s="2"/>
      <c r="L217" s="2"/>
    </row>
    <row r="218" spans="7:12" ht="21.6" customHeight="1" x14ac:dyDescent="0.3">
      <c r="G218" s="2"/>
      <c r="H218" s="2"/>
      <c r="I218" s="2"/>
      <c r="J218" s="2"/>
      <c r="K218" s="2"/>
      <c r="L218" s="2"/>
    </row>
    <row r="219" spans="7:12" ht="21.6" customHeight="1" x14ac:dyDescent="0.3">
      <c r="G219" s="2"/>
      <c r="H219" s="2"/>
      <c r="I219" s="2"/>
      <c r="J219" s="2"/>
      <c r="K219" s="2"/>
      <c r="L219" s="2"/>
    </row>
    <row r="220" spans="7:12" ht="21.6" customHeight="1" x14ac:dyDescent="0.3">
      <c r="G220" s="17"/>
      <c r="H220" s="17"/>
      <c r="I220" s="17"/>
      <c r="J220" s="17"/>
      <c r="K220" s="17"/>
      <c r="L220" s="17"/>
    </row>
    <row r="221" spans="7:12" ht="21.6" customHeight="1" x14ac:dyDescent="0.3">
      <c r="G221" s="17"/>
      <c r="H221" s="17"/>
      <c r="I221" s="17"/>
      <c r="J221" s="17"/>
      <c r="K221" s="17"/>
      <c r="L221" s="17"/>
    </row>
    <row r="222" spans="7:12" ht="21.6" customHeight="1" x14ac:dyDescent="0.3">
      <c r="G222" s="17"/>
      <c r="H222" s="17"/>
      <c r="I222" s="17"/>
      <c r="J222" s="17"/>
      <c r="K222" s="17"/>
      <c r="L222" s="17"/>
    </row>
    <row r="223" spans="7:12" ht="21.6" customHeight="1" x14ac:dyDescent="0.3">
      <c r="G223" s="17"/>
      <c r="H223" s="17"/>
      <c r="I223" s="17"/>
      <c r="J223" s="17"/>
      <c r="K223" s="17"/>
      <c r="L223" s="17"/>
    </row>
    <row r="224" spans="7:12" ht="21.6" customHeight="1" x14ac:dyDescent="0.3">
      <c r="G224" s="17"/>
      <c r="H224" s="17"/>
      <c r="I224" s="17"/>
      <c r="J224" s="17"/>
      <c r="K224" s="17"/>
      <c r="L224" s="17"/>
    </row>
    <row r="225" spans="1:12" ht="21.6" customHeight="1" x14ac:dyDescent="0.3">
      <c r="G225" s="17"/>
      <c r="H225" s="17"/>
      <c r="I225" s="17"/>
      <c r="J225" s="17"/>
      <c r="K225" s="17"/>
      <c r="L225" s="17"/>
    </row>
    <row r="226" spans="1:12" ht="21.6" customHeight="1" x14ac:dyDescent="0.3">
      <c r="G226" s="17"/>
      <c r="H226" s="17"/>
      <c r="I226" s="17"/>
      <c r="J226" s="17"/>
      <c r="K226" s="17"/>
      <c r="L226" s="17"/>
    </row>
    <row r="227" spans="1:12" ht="21.6" customHeight="1" x14ac:dyDescent="0.3">
      <c r="G227" s="17"/>
      <c r="H227" s="17"/>
      <c r="I227" s="17"/>
      <c r="J227" s="17"/>
      <c r="K227" s="17"/>
      <c r="L227" s="17"/>
    </row>
    <row r="228" spans="1:12" ht="21.6" customHeight="1" x14ac:dyDescent="0.3">
      <c r="G228" s="17"/>
      <c r="H228" s="17"/>
      <c r="I228" s="17"/>
      <c r="J228" s="17"/>
      <c r="K228" s="17"/>
      <c r="L228" s="17"/>
    </row>
    <row r="229" spans="1:12" ht="21.6" customHeight="1" x14ac:dyDescent="0.3">
      <c r="G229" s="17"/>
      <c r="H229" s="17"/>
      <c r="I229" s="17"/>
      <c r="J229" s="17"/>
      <c r="K229" s="17"/>
      <c r="L229" s="17"/>
    </row>
    <row r="230" spans="1:12" ht="21.6" customHeight="1" x14ac:dyDescent="0.3">
      <c r="G230" s="17"/>
      <c r="H230" s="17"/>
      <c r="I230" s="17"/>
      <c r="J230" s="17"/>
      <c r="K230" s="17"/>
      <c r="L230" s="17"/>
    </row>
    <row r="231" spans="1:12" ht="21.6" customHeight="1" x14ac:dyDescent="0.3">
      <c r="G231" s="17"/>
      <c r="H231" s="17"/>
      <c r="I231" s="17"/>
      <c r="J231" s="17"/>
      <c r="K231" s="17"/>
      <c r="L231" s="17"/>
    </row>
    <row r="232" spans="1:12" ht="80.849999999999994" customHeight="1" x14ac:dyDescent="0.3">
      <c r="G232" s="17"/>
      <c r="H232" s="17"/>
      <c r="I232" s="17"/>
      <c r="J232" s="17"/>
      <c r="K232" s="17"/>
      <c r="L232" s="17"/>
    </row>
    <row r="233" spans="1:12" ht="14.1" customHeight="1" x14ac:dyDescent="0.3">
      <c r="A233" s="101"/>
      <c r="B233" s="206"/>
      <c r="C233" s="206"/>
      <c r="D233" s="17"/>
      <c r="E233" s="17"/>
      <c r="F233" s="17"/>
      <c r="G233" s="17"/>
      <c r="H233" s="17"/>
      <c r="I233" s="17"/>
      <c r="J233" s="17"/>
    </row>
    <row r="234" spans="1:12" ht="14.1" customHeight="1" x14ac:dyDescent="0.3">
      <c r="A234" s="17"/>
      <c r="B234" s="17"/>
      <c r="C234" s="17"/>
      <c r="D234" s="17"/>
      <c r="E234" s="17"/>
      <c r="F234" s="17"/>
      <c r="G234" s="17"/>
      <c r="H234" s="17"/>
      <c r="I234" s="17"/>
      <c r="J234" s="17"/>
    </row>
    <row r="235" spans="1:12" ht="15" customHeight="1" x14ac:dyDescent="0.25"/>
  </sheetData>
  <sheetProtection algorithmName="SHA-512" hashValue="JZNxYg9xUaD1gZhvU7wfaxQbkTfLeFcWToi1Qg3aEYshWmpShePK/slytctS+NxmRCTL0ItTSGUegTaUSPS8LQ==" saltValue="tZMCXpgoYdFD20B1tV/Zhw==" spinCount="100000" sheet="1" objects="1" scenarios="1" formatColumns="0" formatRows="0"/>
  <mergeCells count="32">
    <mergeCell ref="A1:F1"/>
    <mergeCell ref="A8:F8"/>
    <mergeCell ref="A12:A17"/>
    <mergeCell ref="A18:A24"/>
    <mergeCell ref="A25:A36"/>
    <mergeCell ref="A37:A49"/>
    <mergeCell ref="A50:A53"/>
    <mergeCell ref="A55:K55"/>
    <mergeCell ref="A63:F63"/>
    <mergeCell ref="A67:A72"/>
    <mergeCell ref="A73:A79"/>
    <mergeCell ref="A80:A91"/>
    <mergeCell ref="A92:A105"/>
    <mergeCell ref="A111:K111"/>
    <mergeCell ref="A106:A109"/>
    <mergeCell ref="A120:F120"/>
    <mergeCell ref="A124:A129"/>
    <mergeCell ref="A130:A136"/>
    <mergeCell ref="A137:A148"/>
    <mergeCell ref="A149:A162"/>
    <mergeCell ref="A163:A166"/>
    <mergeCell ref="A168:K168"/>
    <mergeCell ref="C171:E172"/>
    <mergeCell ref="B171:B173"/>
    <mergeCell ref="A171:A173"/>
    <mergeCell ref="A193:A194"/>
    <mergeCell ref="A196:H196"/>
    <mergeCell ref="A174:A177"/>
    <mergeCell ref="F171:H172"/>
    <mergeCell ref="A178:A180"/>
    <mergeCell ref="A181:A186"/>
    <mergeCell ref="A187:A19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48"/>
  <sheetViews>
    <sheetView showRuler="0" workbookViewId="0">
      <selection sqref="A1:E1"/>
    </sheetView>
  </sheetViews>
  <sheetFormatPr defaultColWidth="13.6640625" defaultRowHeight="13.2" x14ac:dyDescent="0.25"/>
  <cols>
    <col min="1" max="1" width="28" customWidth="1"/>
    <col min="2" max="3" width="22.44140625" customWidth="1"/>
    <col min="4" max="6" width="28" customWidth="1"/>
    <col min="7" max="17" width="14.33203125" customWidth="1"/>
  </cols>
  <sheetData>
    <row r="1" spans="1:17" ht="24.15" customHeight="1" x14ac:dyDescent="0.3">
      <c r="A1" s="595" t="s">
        <v>1054</v>
      </c>
      <c r="B1" s="595"/>
      <c r="C1" s="595"/>
      <c r="D1" s="595"/>
      <c r="E1" s="595"/>
      <c r="F1" s="17"/>
      <c r="G1" s="17"/>
      <c r="H1" s="17"/>
      <c r="I1" s="17"/>
      <c r="J1" s="17"/>
      <c r="K1" s="17"/>
      <c r="L1" s="17"/>
      <c r="M1" s="17"/>
      <c r="N1" s="17"/>
      <c r="O1" s="17"/>
      <c r="P1" s="17"/>
      <c r="Q1" s="17"/>
    </row>
    <row r="2" spans="1:17" ht="24.15" customHeight="1" x14ac:dyDescent="0.3">
      <c r="A2" s="28"/>
      <c r="B2" s="28"/>
      <c r="C2" s="28"/>
      <c r="D2" s="17"/>
      <c r="E2" s="17"/>
      <c r="F2" s="17"/>
      <c r="G2" s="17"/>
      <c r="H2" s="17"/>
      <c r="I2" s="17"/>
      <c r="J2" s="17"/>
      <c r="K2" s="17"/>
      <c r="L2" s="17"/>
      <c r="M2" s="17"/>
      <c r="N2" s="17"/>
      <c r="O2" s="17"/>
      <c r="P2" s="17"/>
      <c r="Q2" s="17"/>
    </row>
    <row r="3" spans="1:17" ht="47.4" customHeight="1" x14ac:dyDescent="0.3">
      <c r="A3" s="45" t="s">
        <v>1055</v>
      </c>
      <c r="B3" s="5" t="s">
        <v>207</v>
      </c>
      <c r="C3" s="18" t="s">
        <v>1056</v>
      </c>
      <c r="D3" s="209"/>
      <c r="E3" s="17"/>
      <c r="F3" s="17"/>
      <c r="G3" s="17"/>
      <c r="H3" s="17"/>
      <c r="I3" s="17"/>
      <c r="J3" s="17"/>
      <c r="K3" s="17"/>
      <c r="L3" s="17"/>
      <c r="M3" s="17"/>
      <c r="N3" s="17"/>
      <c r="O3" s="17"/>
      <c r="P3" s="17"/>
      <c r="Q3" s="17"/>
    </row>
    <row r="4" spans="1:17" ht="21.6" customHeight="1" x14ac:dyDescent="0.3">
      <c r="A4" s="536" t="s">
        <v>245</v>
      </c>
      <c r="B4" s="7" t="s">
        <v>246</v>
      </c>
      <c r="C4" s="210"/>
      <c r="D4" s="207"/>
      <c r="E4" s="17"/>
      <c r="F4" s="17"/>
      <c r="G4" s="17"/>
      <c r="H4" s="17"/>
      <c r="I4" s="17"/>
      <c r="J4" s="17"/>
      <c r="K4" s="17"/>
      <c r="L4" s="17"/>
      <c r="M4" s="17"/>
      <c r="N4" s="17"/>
      <c r="O4" s="17"/>
      <c r="P4" s="17"/>
      <c r="Q4" s="17"/>
    </row>
    <row r="5" spans="1:17" ht="21.6" customHeight="1" x14ac:dyDescent="0.3">
      <c r="A5" s="536"/>
      <c r="B5" s="123" t="s">
        <v>514</v>
      </c>
      <c r="C5" s="140" t="s">
        <v>694</v>
      </c>
      <c r="D5" s="207"/>
      <c r="E5" s="17"/>
      <c r="F5" s="17"/>
      <c r="G5" s="17"/>
      <c r="H5" s="17"/>
      <c r="I5" s="17"/>
      <c r="J5" s="17"/>
      <c r="K5" s="17"/>
      <c r="L5" s="17"/>
      <c r="M5" s="17"/>
      <c r="N5" s="17"/>
      <c r="O5" s="17"/>
      <c r="P5" s="17"/>
      <c r="Q5" s="17"/>
    </row>
    <row r="6" spans="1:17" ht="21.6" customHeight="1" x14ac:dyDescent="0.3">
      <c r="A6" s="536"/>
      <c r="B6" s="123" t="s">
        <v>247</v>
      </c>
      <c r="C6" s="208" t="s">
        <v>693</v>
      </c>
      <c r="D6" s="207"/>
      <c r="E6" s="17"/>
      <c r="F6" s="17"/>
      <c r="G6" s="17"/>
      <c r="H6" s="17"/>
      <c r="I6" s="17"/>
      <c r="J6" s="17"/>
      <c r="K6" s="17"/>
      <c r="L6" s="17"/>
      <c r="M6" s="17"/>
      <c r="N6" s="17"/>
      <c r="O6" s="17"/>
      <c r="P6" s="17"/>
      <c r="Q6" s="17"/>
    </row>
    <row r="7" spans="1:17" ht="21.6" customHeight="1" x14ac:dyDescent="0.3">
      <c r="A7" s="536" t="s">
        <v>251</v>
      </c>
      <c r="B7" s="7" t="s">
        <v>252</v>
      </c>
      <c r="C7" s="211"/>
      <c r="D7" s="207"/>
      <c r="E7" s="17"/>
      <c r="F7" s="17"/>
      <c r="G7" s="17"/>
      <c r="H7" s="17"/>
      <c r="I7" s="17"/>
      <c r="J7" s="17"/>
      <c r="K7" s="17"/>
      <c r="L7" s="17"/>
      <c r="M7" s="17"/>
      <c r="N7" s="17"/>
      <c r="O7" s="17"/>
      <c r="P7" s="17"/>
      <c r="Q7" s="17"/>
    </row>
    <row r="8" spans="1:17" ht="21.6" customHeight="1" x14ac:dyDescent="0.3">
      <c r="A8" s="536"/>
      <c r="B8" s="123" t="s">
        <v>253</v>
      </c>
      <c r="C8" s="140" t="s">
        <v>693</v>
      </c>
      <c r="D8" s="207"/>
      <c r="E8" s="17"/>
      <c r="F8" s="17"/>
      <c r="G8" s="17"/>
      <c r="H8" s="17"/>
      <c r="I8" s="17"/>
      <c r="J8" s="17"/>
      <c r="K8" s="17"/>
      <c r="L8" s="17"/>
      <c r="M8" s="17"/>
      <c r="N8" s="17"/>
      <c r="O8" s="17"/>
      <c r="P8" s="17"/>
      <c r="Q8" s="17"/>
    </row>
    <row r="9" spans="1:17" ht="21.6" customHeight="1" x14ac:dyDescent="0.3">
      <c r="A9" s="536"/>
      <c r="B9" s="123" t="s">
        <v>256</v>
      </c>
      <c r="C9" s="140" t="s">
        <v>693</v>
      </c>
      <c r="D9" s="207"/>
      <c r="E9" s="17"/>
      <c r="F9" s="17"/>
      <c r="G9" s="17"/>
      <c r="H9" s="17"/>
      <c r="I9" s="17"/>
      <c r="J9" s="17"/>
      <c r="K9" s="17"/>
      <c r="L9" s="17"/>
      <c r="M9" s="17"/>
      <c r="N9" s="17"/>
      <c r="O9" s="17"/>
      <c r="P9" s="17"/>
      <c r="Q9" s="17"/>
    </row>
    <row r="10" spans="1:17" ht="21.6" customHeight="1" x14ac:dyDescent="0.3">
      <c r="A10" s="536" t="s">
        <v>213</v>
      </c>
      <c r="B10" s="7" t="s">
        <v>328</v>
      </c>
      <c r="C10" s="211"/>
      <c r="D10" s="207"/>
      <c r="E10" s="17"/>
      <c r="F10" s="17"/>
      <c r="G10" s="17"/>
      <c r="H10" s="17"/>
      <c r="I10" s="17"/>
      <c r="J10" s="17"/>
      <c r="K10" s="17"/>
      <c r="L10" s="17"/>
      <c r="M10" s="17"/>
      <c r="N10" s="17"/>
      <c r="O10" s="17"/>
      <c r="P10" s="17"/>
      <c r="Q10" s="17"/>
    </row>
    <row r="11" spans="1:17" ht="21.6" customHeight="1" x14ac:dyDescent="0.3">
      <c r="A11" s="536"/>
      <c r="B11" s="123" t="s">
        <v>453</v>
      </c>
      <c r="C11" s="140" t="s">
        <v>693</v>
      </c>
      <c r="D11" s="207"/>
      <c r="E11" s="17"/>
      <c r="F11" s="17"/>
      <c r="G11" s="17"/>
      <c r="H11" s="17"/>
      <c r="I11" s="17"/>
      <c r="J11" s="17"/>
      <c r="K11" s="17"/>
      <c r="L11" s="17"/>
      <c r="M11" s="17"/>
      <c r="N11" s="17"/>
      <c r="O11" s="17"/>
      <c r="P11" s="17"/>
      <c r="Q11" s="17"/>
    </row>
    <row r="12" spans="1:17" ht="21.6" customHeight="1" x14ac:dyDescent="0.3">
      <c r="A12" s="536"/>
      <c r="B12" s="7" t="s">
        <v>214</v>
      </c>
      <c r="C12" s="211"/>
      <c r="D12" s="207"/>
      <c r="E12" s="17"/>
      <c r="F12" s="17"/>
      <c r="G12" s="17"/>
      <c r="H12" s="17"/>
      <c r="I12" s="17"/>
      <c r="J12" s="17"/>
      <c r="K12" s="17"/>
      <c r="L12" s="17"/>
      <c r="M12" s="17"/>
      <c r="N12" s="17"/>
      <c r="O12" s="17"/>
      <c r="P12" s="17"/>
      <c r="Q12" s="17"/>
    </row>
    <row r="13" spans="1:17" ht="21.6" customHeight="1" x14ac:dyDescent="0.3">
      <c r="A13" s="536"/>
      <c r="B13" s="123" t="s">
        <v>215</v>
      </c>
      <c r="C13" s="140" t="s">
        <v>693</v>
      </c>
      <c r="D13" s="207"/>
      <c r="E13" s="17"/>
      <c r="F13" s="17"/>
      <c r="G13" s="17"/>
      <c r="H13" s="17"/>
      <c r="I13" s="17"/>
      <c r="J13" s="17"/>
      <c r="K13" s="17"/>
      <c r="L13" s="17"/>
      <c r="M13" s="17"/>
      <c r="N13" s="17"/>
      <c r="O13" s="17"/>
      <c r="P13" s="17"/>
      <c r="Q13" s="17"/>
    </row>
    <row r="14" spans="1:17" ht="21.6" customHeight="1" x14ac:dyDescent="0.3">
      <c r="A14" s="536"/>
      <c r="B14" s="7" t="s">
        <v>265</v>
      </c>
      <c r="C14" s="211"/>
      <c r="D14" s="207"/>
      <c r="E14" s="17"/>
      <c r="F14" s="17"/>
      <c r="G14" s="17"/>
      <c r="H14" s="17"/>
      <c r="I14" s="17"/>
      <c r="J14" s="17"/>
      <c r="K14" s="17"/>
      <c r="L14" s="17"/>
      <c r="M14" s="17"/>
      <c r="N14" s="17"/>
      <c r="O14" s="17"/>
      <c r="P14" s="17"/>
      <c r="Q14" s="17"/>
    </row>
    <row r="15" spans="1:17" ht="21.6" customHeight="1" x14ac:dyDescent="0.3">
      <c r="A15" s="536"/>
      <c r="B15" s="123" t="s">
        <v>266</v>
      </c>
      <c r="C15" s="140" t="s">
        <v>694</v>
      </c>
      <c r="D15" s="207"/>
      <c r="E15" s="17"/>
      <c r="F15" s="17"/>
      <c r="G15" s="17"/>
      <c r="H15" s="17"/>
      <c r="I15" s="17"/>
      <c r="J15" s="17"/>
      <c r="K15" s="17"/>
      <c r="L15" s="17"/>
      <c r="M15" s="17"/>
      <c r="N15" s="17"/>
      <c r="O15" s="17"/>
      <c r="P15" s="17"/>
      <c r="Q15" s="17"/>
    </row>
    <row r="16" spans="1:17" ht="21.6" customHeight="1" x14ac:dyDescent="0.3">
      <c r="A16" s="536" t="s">
        <v>224</v>
      </c>
      <c r="B16" s="7" t="s">
        <v>225</v>
      </c>
      <c r="C16" s="211"/>
      <c r="D16" s="207"/>
      <c r="E16" s="17"/>
      <c r="F16" s="17"/>
      <c r="G16" s="17"/>
      <c r="H16" s="17"/>
      <c r="I16" s="17"/>
      <c r="J16" s="17"/>
      <c r="K16" s="17"/>
      <c r="L16" s="17"/>
      <c r="M16" s="17"/>
      <c r="N16" s="17"/>
      <c r="O16" s="17"/>
      <c r="P16" s="17"/>
      <c r="Q16" s="17"/>
    </row>
    <row r="17" spans="1:17" ht="21.6" customHeight="1" x14ac:dyDescent="0.3">
      <c r="A17" s="536"/>
      <c r="B17" s="123" t="s">
        <v>226</v>
      </c>
      <c r="C17" s="140" t="s">
        <v>693</v>
      </c>
      <c r="D17" s="207"/>
      <c r="E17" s="17"/>
      <c r="F17" s="17"/>
      <c r="G17" s="17"/>
      <c r="H17" s="17"/>
      <c r="I17" s="17"/>
      <c r="J17" s="17"/>
      <c r="K17" s="17"/>
      <c r="L17" s="17"/>
      <c r="M17" s="17"/>
      <c r="N17" s="17"/>
      <c r="O17" s="17"/>
      <c r="P17" s="17"/>
      <c r="Q17" s="17"/>
    </row>
    <row r="18" spans="1:17" ht="21.6" customHeight="1" x14ac:dyDescent="0.3">
      <c r="A18" s="536"/>
      <c r="B18" s="123" t="s">
        <v>454</v>
      </c>
      <c r="C18" s="140" t="s">
        <v>693</v>
      </c>
      <c r="D18" s="207"/>
      <c r="E18" s="17"/>
      <c r="F18" s="17"/>
      <c r="G18" s="17"/>
      <c r="H18" s="17"/>
      <c r="I18" s="17"/>
      <c r="J18" s="17"/>
      <c r="K18" s="17"/>
      <c r="L18" s="17"/>
      <c r="M18" s="17"/>
      <c r="N18" s="17"/>
      <c r="O18" s="17"/>
      <c r="P18" s="17"/>
      <c r="Q18" s="17"/>
    </row>
    <row r="19" spans="1:17" ht="21.6" customHeight="1" x14ac:dyDescent="0.3">
      <c r="A19" s="536"/>
      <c r="B19" s="123" t="s">
        <v>230</v>
      </c>
      <c r="C19" s="140" t="s">
        <v>693</v>
      </c>
      <c r="D19" s="207"/>
      <c r="E19" s="17"/>
      <c r="F19" s="17"/>
      <c r="G19" s="17"/>
      <c r="H19" s="17"/>
      <c r="I19" s="17"/>
      <c r="J19" s="17"/>
      <c r="K19" s="17"/>
      <c r="L19" s="17"/>
      <c r="M19" s="17"/>
      <c r="N19" s="17"/>
      <c r="O19" s="17"/>
      <c r="P19" s="17"/>
      <c r="Q19" s="17"/>
    </row>
    <row r="20" spans="1:17" ht="21.6" customHeight="1" x14ac:dyDescent="0.3">
      <c r="A20" s="536"/>
      <c r="B20" s="7" t="s">
        <v>276</v>
      </c>
      <c r="C20" s="211"/>
      <c r="D20" s="207"/>
      <c r="E20" s="17"/>
      <c r="F20" s="17"/>
      <c r="G20" s="17"/>
      <c r="H20" s="17"/>
      <c r="I20" s="17"/>
      <c r="J20" s="17"/>
      <c r="K20" s="17"/>
      <c r="L20" s="17"/>
      <c r="M20" s="17"/>
      <c r="N20" s="17"/>
      <c r="O20" s="17"/>
      <c r="P20" s="17"/>
      <c r="Q20" s="17"/>
    </row>
    <row r="21" spans="1:17" ht="21.6" customHeight="1" x14ac:dyDescent="0.3">
      <c r="A21" s="536"/>
      <c r="B21" s="123" t="s">
        <v>1057</v>
      </c>
      <c r="C21" s="140" t="s">
        <v>693</v>
      </c>
      <c r="D21" s="207"/>
      <c r="E21" s="17"/>
      <c r="F21" s="17"/>
      <c r="G21" s="17"/>
      <c r="H21" s="17"/>
      <c r="I21" s="17"/>
      <c r="J21" s="17"/>
      <c r="K21" s="17"/>
      <c r="L21" s="17"/>
      <c r="M21" s="17"/>
      <c r="N21" s="17"/>
      <c r="O21" s="17"/>
      <c r="P21" s="17"/>
      <c r="Q21" s="17"/>
    </row>
    <row r="22" spans="1:17" ht="21.6" customHeight="1" x14ac:dyDescent="0.3">
      <c r="A22" s="536" t="s">
        <v>234</v>
      </c>
      <c r="B22" s="7" t="s">
        <v>235</v>
      </c>
      <c r="C22" s="211"/>
      <c r="D22" s="207"/>
      <c r="E22" s="17"/>
      <c r="F22" s="17"/>
      <c r="G22" s="17"/>
      <c r="H22" s="17"/>
      <c r="I22" s="17"/>
      <c r="J22" s="17"/>
      <c r="K22" s="17"/>
      <c r="L22" s="17"/>
      <c r="M22" s="17"/>
      <c r="N22" s="17"/>
      <c r="O22" s="17"/>
      <c r="P22" s="17"/>
      <c r="Q22" s="17"/>
    </row>
    <row r="23" spans="1:17" ht="21.6" customHeight="1" x14ac:dyDescent="0.3">
      <c r="A23" s="536"/>
      <c r="B23" s="123" t="s">
        <v>236</v>
      </c>
      <c r="C23" s="140" t="s">
        <v>694</v>
      </c>
      <c r="D23" s="207"/>
      <c r="E23" s="17"/>
      <c r="F23" s="17"/>
      <c r="G23" s="17"/>
      <c r="H23" s="17"/>
      <c r="I23" s="17"/>
      <c r="J23" s="17"/>
      <c r="K23" s="17"/>
      <c r="L23" s="17"/>
      <c r="M23" s="17"/>
      <c r="N23" s="17"/>
      <c r="O23" s="17"/>
      <c r="P23" s="17"/>
      <c r="Q23" s="17"/>
    </row>
    <row r="24" spans="1:17" ht="55.95" customHeight="1" x14ac:dyDescent="0.3">
      <c r="A24" s="532" t="s">
        <v>1058</v>
      </c>
      <c r="B24" s="532"/>
      <c r="C24" s="532"/>
      <c r="D24" s="17"/>
      <c r="E24" s="17"/>
      <c r="F24" s="17"/>
      <c r="G24" s="17"/>
      <c r="H24" s="17"/>
      <c r="I24" s="17"/>
      <c r="J24" s="17"/>
      <c r="K24" s="17"/>
      <c r="L24" s="17"/>
      <c r="M24" s="17"/>
      <c r="N24" s="17"/>
      <c r="O24" s="17"/>
      <c r="P24" s="17"/>
      <c r="Q24" s="17"/>
    </row>
    <row r="25" spans="1:17" ht="14.1" customHeight="1" x14ac:dyDescent="0.3">
      <c r="A25" s="17"/>
      <c r="B25" s="17"/>
      <c r="C25" s="17"/>
      <c r="D25" s="17"/>
      <c r="E25" s="17"/>
      <c r="F25" s="17"/>
      <c r="G25" s="17"/>
      <c r="H25" s="17"/>
      <c r="I25" s="17"/>
      <c r="J25" s="17"/>
      <c r="K25" s="17"/>
      <c r="L25" s="17"/>
      <c r="M25" s="17"/>
      <c r="N25" s="17"/>
      <c r="O25" s="17"/>
      <c r="P25" s="17"/>
      <c r="Q25" s="17"/>
    </row>
    <row r="26" spans="1:17" ht="14.1" customHeight="1" x14ac:dyDescent="0.3">
      <c r="A26" s="17"/>
      <c r="B26" s="17"/>
      <c r="C26" s="17"/>
      <c r="D26" s="17"/>
      <c r="E26" s="17"/>
      <c r="F26" s="17"/>
      <c r="G26" s="17"/>
      <c r="H26" s="17"/>
      <c r="I26" s="17"/>
      <c r="J26" s="17"/>
      <c r="K26" s="17"/>
      <c r="L26" s="17"/>
      <c r="M26" s="17"/>
      <c r="N26" s="17"/>
      <c r="O26" s="17"/>
      <c r="P26" s="17"/>
      <c r="Q26" s="17"/>
    </row>
    <row r="27" spans="1:17" ht="14.1" customHeight="1" x14ac:dyDescent="0.3">
      <c r="A27" s="17"/>
      <c r="B27" s="17"/>
      <c r="C27" s="17"/>
      <c r="D27" s="137"/>
      <c r="E27" s="17"/>
      <c r="F27" s="17"/>
      <c r="G27" s="17"/>
      <c r="H27" s="17"/>
      <c r="I27" s="17"/>
      <c r="J27" s="17"/>
      <c r="K27" s="17"/>
      <c r="L27" s="17"/>
      <c r="M27" s="17"/>
      <c r="N27" s="17"/>
      <c r="O27" s="17"/>
      <c r="P27" s="17"/>
      <c r="Q27" s="17"/>
    </row>
    <row r="28" spans="1:17" ht="15" customHeight="1" x14ac:dyDescent="0.25"/>
    <row r="29" spans="1:17" ht="15" customHeight="1" x14ac:dyDescent="0.25"/>
    <row r="30" spans="1:17" ht="15" customHeight="1" x14ac:dyDescent="0.25"/>
    <row r="31" spans="1:17" ht="15" customHeight="1" x14ac:dyDescent="0.25"/>
    <row r="32" spans="1:17"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sheetData>
  <sheetProtection algorithmName="SHA-512" hashValue="v19Y8Z7+W7kl91f3skRckutXVm+7pEaFPX6PJTsmwfHWHTMCOGdNdfGxbg8SKavapsY5qx5Vqr+Fz46X2G09uQ==" saltValue="IoLFvFgVhsqR7966Yj/+lQ==" spinCount="100000" sheet="1" objects="1" scenarios="1" formatColumns="0" formatRows="0"/>
  <mergeCells count="7">
    <mergeCell ref="A22:A23"/>
    <mergeCell ref="A24:C24"/>
    <mergeCell ref="A1:E1"/>
    <mergeCell ref="A4:A6"/>
    <mergeCell ref="A7:A9"/>
    <mergeCell ref="A10:A15"/>
    <mergeCell ref="A16:A2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49"/>
  <sheetViews>
    <sheetView showRuler="0" workbookViewId="0">
      <selection sqref="A1:F1"/>
    </sheetView>
  </sheetViews>
  <sheetFormatPr defaultColWidth="13.6640625" defaultRowHeight="13.2" x14ac:dyDescent="0.25"/>
  <cols>
    <col min="1" max="1" width="21.88671875" customWidth="1"/>
    <col min="2" max="2" width="17.33203125" customWidth="1"/>
    <col min="3" max="3" width="29.33203125" customWidth="1"/>
    <col min="4" max="4" width="62.88671875" customWidth="1"/>
    <col min="5" max="5" width="29.33203125" customWidth="1"/>
    <col min="6" max="6" width="71.6640625" customWidth="1"/>
    <col min="7" max="7" width="29.33203125" customWidth="1"/>
    <col min="8" max="8" width="59.5546875" customWidth="1"/>
    <col min="9" max="14" width="73.44140625" customWidth="1"/>
    <col min="15" max="18" width="14.33203125" customWidth="1"/>
  </cols>
  <sheetData>
    <row r="1" spans="1:22" ht="23.25" customHeight="1" x14ac:dyDescent="0.3">
      <c r="A1" s="595" t="s">
        <v>1059</v>
      </c>
      <c r="B1" s="595"/>
      <c r="C1" s="595"/>
      <c r="D1" s="595"/>
      <c r="E1" s="595"/>
      <c r="F1" s="595"/>
      <c r="G1" s="17"/>
      <c r="H1" s="17"/>
      <c r="I1" s="17"/>
      <c r="J1" s="17"/>
      <c r="K1" s="17"/>
      <c r="L1" s="17"/>
      <c r="M1" s="17"/>
      <c r="N1" s="17"/>
      <c r="O1" s="17"/>
      <c r="P1" s="17"/>
      <c r="Q1" s="17"/>
      <c r="R1" s="17"/>
    </row>
    <row r="2" spans="1:22" ht="34.200000000000003" customHeight="1" x14ac:dyDescent="0.3">
      <c r="B2" s="28"/>
      <c r="O2" s="17"/>
      <c r="P2" s="17"/>
      <c r="Q2" s="17"/>
      <c r="R2" s="17"/>
    </row>
    <row r="3" spans="1:22" ht="60" customHeight="1" x14ac:dyDescent="0.3">
      <c r="A3" s="45" t="s">
        <v>1060</v>
      </c>
      <c r="B3" s="5" t="s">
        <v>207</v>
      </c>
      <c r="C3" s="643"/>
      <c r="D3" s="643"/>
      <c r="E3" s="643"/>
      <c r="F3" s="643"/>
      <c r="G3" s="643"/>
      <c r="H3" s="643"/>
      <c r="I3" s="13"/>
      <c r="O3" s="17"/>
      <c r="P3" s="17"/>
      <c r="Q3" s="17"/>
      <c r="R3" s="17"/>
    </row>
    <row r="4" spans="1:22" ht="15.75" customHeight="1" x14ac:dyDescent="0.3">
      <c r="A4" s="536" t="s">
        <v>245</v>
      </c>
      <c r="B4" s="7" t="s">
        <v>246</v>
      </c>
      <c r="C4" s="7" t="s">
        <v>1061</v>
      </c>
      <c r="D4" s="7" t="s">
        <v>1062</v>
      </c>
      <c r="E4" s="7" t="s">
        <v>1063</v>
      </c>
      <c r="F4" s="7" t="s">
        <v>1064</v>
      </c>
      <c r="G4" s="7" t="s">
        <v>1065</v>
      </c>
      <c r="H4" s="7" t="s">
        <v>1066</v>
      </c>
      <c r="I4" s="13"/>
      <c r="O4" s="17"/>
      <c r="P4" s="17"/>
      <c r="Q4" s="17"/>
      <c r="R4" s="17"/>
    </row>
    <row r="5" spans="1:22" ht="170.85" customHeight="1" x14ac:dyDescent="0.3">
      <c r="A5" s="536"/>
      <c r="B5" s="39" t="s">
        <v>514</v>
      </c>
      <c r="C5" s="31" t="s">
        <v>1067</v>
      </c>
      <c r="D5" s="31" t="s">
        <v>1068</v>
      </c>
      <c r="E5" s="31" t="s">
        <v>1069</v>
      </c>
      <c r="F5" s="31" t="s">
        <v>1070</v>
      </c>
      <c r="G5" s="31" t="s">
        <v>1071</v>
      </c>
      <c r="H5" s="31" t="s">
        <v>1072</v>
      </c>
      <c r="I5" s="13"/>
      <c r="J5" s="2"/>
      <c r="K5" s="2"/>
      <c r="O5" s="17"/>
      <c r="P5" s="17"/>
      <c r="Q5" s="17"/>
      <c r="R5" s="17"/>
      <c r="S5" s="17"/>
      <c r="T5" s="17"/>
      <c r="U5" s="17"/>
      <c r="V5" s="17"/>
    </row>
    <row r="6" spans="1:22" ht="15.75" customHeight="1" x14ac:dyDescent="0.3">
      <c r="A6" s="536"/>
      <c r="B6" s="694" t="s">
        <v>247</v>
      </c>
      <c r="C6" s="7" t="s">
        <v>1061</v>
      </c>
      <c r="D6" s="7" t="s">
        <v>1073</v>
      </c>
      <c r="E6" s="7" t="s">
        <v>1074</v>
      </c>
      <c r="F6" s="7" t="s">
        <v>1075</v>
      </c>
      <c r="G6" s="7" t="s">
        <v>1065</v>
      </c>
      <c r="H6" s="7" t="s">
        <v>1076</v>
      </c>
      <c r="I6" s="13"/>
      <c r="O6" s="17"/>
      <c r="P6" s="17"/>
      <c r="Q6" s="17"/>
      <c r="R6" s="17"/>
      <c r="S6" s="17"/>
      <c r="T6" s="17"/>
      <c r="U6" s="17"/>
      <c r="V6" s="17"/>
    </row>
    <row r="7" spans="1:22" ht="93.45" customHeight="1" x14ac:dyDescent="0.3">
      <c r="A7" s="536"/>
      <c r="B7" s="694"/>
      <c r="C7" s="31" t="s">
        <v>1077</v>
      </c>
      <c r="D7" s="31" t="s">
        <v>1078</v>
      </c>
      <c r="E7" s="31" t="s">
        <v>1079</v>
      </c>
      <c r="F7" s="31" t="s">
        <v>1080</v>
      </c>
      <c r="G7" s="31" t="s">
        <v>1081</v>
      </c>
      <c r="H7" s="31" t="s">
        <v>1082</v>
      </c>
      <c r="I7" s="13"/>
      <c r="J7" s="2"/>
      <c r="K7" s="2"/>
      <c r="O7" s="17"/>
      <c r="P7" s="17"/>
      <c r="Q7" s="17"/>
      <c r="R7" s="17"/>
      <c r="S7" s="17"/>
      <c r="T7" s="17"/>
      <c r="U7" s="17"/>
      <c r="V7" s="17"/>
    </row>
    <row r="8" spans="1:22" ht="15.75" customHeight="1" x14ac:dyDescent="0.3">
      <c r="A8" s="536" t="s">
        <v>251</v>
      </c>
      <c r="B8" s="7" t="s">
        <v>252</v>
      </c>
      <c r="C8" s="7" t="s">
        <v>1061</v>
      </c>
      <c r="D8" s="7" t="s">
        <v>1073</v>
      </c>
      <c r="E8" s="7" t="s">
        <v>1074</v>
      </c>
      <c r="F8" s="7" t="s">
        <v>1075</v>
      </c>
      <c r="G8" s="7" t="s">
        <v>1065</v>
      </c>
      <c r="H8" s="7" t="s">
        <v>1076</v>
      </c>
      <c r="I8" s="13"/>
      <c r="O8" s="17"/>
      <c r="P8" s="17"/>
      <c r="Q8" s="17"/>
      <c r="R8" s="17"/>
    </row>
    <row r="9" spans="1:22" ht="115.95" customHeight="1" x14ac:dyDescent="0.3">
      <c r="A9" s="536"/>
      <c r="B9" s="39" t="s">
        <v>253</v>
      </c>
      <c r="C9" s="92" t="s">
        <v>1083</v>
      </c>
      <c r="D9" s="92" t="s">
        <v>1084</v>
      </c>
      <c r="E9" s="92" t="s">
        <v>1085</v>
      </c>
      <c r="F9" s="92" t="s">
        <v>1086</v>
      </c>
      <c r="G9" s="92" t="s">
        <v>1087</v>
      </c>
      <c r="H9" s="92" t="s">
        <v>1088</v>
      </c>
      <c r="I9" s="13"/>
      <c r="O9" s="17"/>
      <c r="P9" s="17"/>
      <c r="Q9" s="17"/>
      <c r="R9" s="17"/>
    </row>
    <row r="10" spans="1:22" ht="15.75" customHeight="1" x14ac:dyDescent="0.3">
      <c r="A10" s="536"/>
      <c r="B10" s="694" t="s">
        <v>256</v>
      </c>
      <c r="C10" s="7" t="s">
        <v>1061</v>
      </c>
      <c r="D10" s="7" t="s">
        <v>1073</v>
      </c>
      <c r="E10" s="7" t="s">
        <v>1074</v>
      </c>
      <c r="F10" s="7" t="s">
        <v>1075</v>
      </c>
      <c r="G10" s="7" t="s">
        <v>1065</v>
      </c>
      <c r="H10" s="7" t="s">
        <v>1076</v>
      </c>
      <c r="I10" s="13"/>
      <c r="O10" s="17"/>
      <c r="P10" s="17"/>
      <c r="Q10" s="17"/>
      <c r="R10" s="17"/>
    </row>
    <row r="11" spans="1:22" ht="170.85" customHeight="1" x14ac:dyDescent="0.3">
      <c r="A11" s="536"/>
      <c r="B11" s="694"/>
      <c r="C11" s="92" t="s">
        <v>1089</v>
      </c>
      <c r="D11" s="92" t="s">
        <v>1090</v>
      </c>
      <c r="E11" s="92" t="s">
        <v>1091</v>
      </c>
      <c r="F11" s="92" t="s">
        <v>1092</v>
      </c>
      <c r="G11" s="92" t="s">
        <v>1093</v>
      </c>
      <c r="H11" s="92" t="s">
        <v>1094</v>
      </c>
      <c r="I11" s="13"/>
      <c r="O11" s="17"/>
      <c r="P11" s="17"/>
      <c r="Q11" s="17"/>
      <c r="R11" s="17"/>
    </row>
    <row r="12" spans="1:22" ht="15.75" customHeight="1" x14ac:dyDescent="0.3">
      <c r="A12" s="537" t="s">
        <v>213</v>
      </c>
      <c r="B12" s="7" t="s">
        <v>328</v>
      </c>
      <c r="C12" s="7" t="s">
        <v>1061</v>
      </c>
      <c r="D12" s="7" t="s">
        <v>1073</v>
      </c>
      <c r="E12" s="7" t="s">
        <v>1074</v>
      </c>
      <c r="F12" s="7" t="s">
        <v>1075</v>
      </c>
      <c r="G12" s="7" t="s">
        <v>1065</v>
      </c>
      <c r="H12" s="7" t="s">
        <v>1076</v>
      </c>
      <c r="I12" s="13"/>
      <c r="O12" s="17"/>
      <c r="P12" s="17"/>
      <c r="Q12" s="17"/>
      <c r="R12" s="17"/>
    </row>
    <row r="13" spans="1:22" ht="142.5" customHeight="1" x14ac:dyDescent="0.3">
      <c r="A13" s="591"/>
      <c r="B13" s="212" t="s">
        <v>453</v>
      </c>
      <c r="C13" s="92" t="s">
        <v>1095</v>
      </c>
      <c r="D13" s="92" t="s">
        <v>1096</v>
      </c>
      <c r="E13" s="92" t="s">
        <v>1097</v>
      </c>
      <c r="F13" s="92" t="s">
        <v>1098</v>
      </c>
      <c r="G13" s="92" t="s">
        <v>1099</v>
      </c>
      <c r="H13" s="92" t="s">
        <v>1100</v>
      </c>
      <c r="I13" s="13"/>
      <c r="O13" s="17"/>
      <c r="P13" s="17"/>
      <c r="Q13" s="17"/>
      <c r="R13" s="17"/>
    </row>
    <row r="14" spans="1:22" ht="15.75" customHeight="1" x14ac:dyDescent="0.3">
      <c r="A14" s="591"/>
      <c r="B14" s="7" t="s">
        <v>214</v>
      </c>
      <c r="C14" s="7" t="s">
        <v>1061</v>
      </c>
      <c r="D14" s="7" t="s">
        <v>1073</v>
      </c>
      <c r="E14" s="7" t="s">
        <v>1074</v>
      </c>
      <c r="F14" s="7" t="s">
        <v>1075</v>
      </c>
      <c r="G14" s="7" t="s">
        <v>1065</v>
      </c>
      <c r="H14" s="7" t="s">
        <v>1076</v>
      </c>
      <c r="I14" s="13"/>
      <c r="O14" s="17"/>
      <c r="P14" s="17"/>
      <c r="Q14" s="17"/>
      <c r="R14" s="17"/>
    </row>
    <row r="15" spans="1:22" ht="93.45" customHeight="1" x14ac:dyDescent="0.3">
      <c r="A15" s="591"/>
      <c r="B15" s="85" t="s">
        <v>215</v>
      </c>
      <c r="C15" s="92" t="s">
        <v>1101</v>
      </c>
      <c r="D15" s="92" t="s">
        <v>1102</v>
      </c>
      <c r="E15" s="92" t="s">
        <v>1103</v>
      </c>
      <c r="F15" s="92" t="s">
        <v>1104</v>
      </c>
      <c r="G15" s="92" t="s">
        <v>1105</v>
      </c>
      <c r="H15" s="92" t="s">
        <v>1106</v>
      </c>
      <c r="I15" s="13"/>
      <c r="O15" s="17"/>
      <c r="P15" s="17"/>
      <c r="Q15" s="17"/>
      <c r="R15" s="17"/>
    </row>
    <row r="16" spans="1:22" ht="15.75" customHeight="1" x14ac:dyDescent="0.3">
      <c r="A16" s="591"/>
      <c r="B16" s="7" t="s">
        <v>265</v>
      </c>
      <c r="C16" s="7" t="s">
        <v>1061</v>
      </c>
      <c r="D16" s="7" t="s">
        <v>1073</v>
      </c>
      <c r="E16" s="7" t="s">
        <v>1074</v>
      </c>
      <c r="F16" s="7" t="s">
        <v>1075</v>
      </c>
      <c r="G16" s="7" t="s">
        <v>1065</v>
      </c>
      <c r="H16" s="7" t="s">
        <v>1076</v>
      </c>
      <c r="I16" s="13"/>
      <c r="O16" s="17"/>
      <c r="P16" s="17"/>
      <c r="Q16" s="17"/>
      <c r="R16" s="17"/>
    </row>
    <row r="17" spans="1:23" ht="104.1" customHeight="1" x14ac:dyDescent="0.3">
      <c r="A17" s="538"/>
      <c r="B17" s="85" t="s">
        <v>266</v>
      </c>
      <c r="C17" s="92" t="s">
        <v>1107</v>
      </c>
      <c r="D17" s="92" t="s">
        <v>1108</v>
      </c>
      <c r="E17" s="92" t="s">
        <v>1109</v>
      </c>
      <c r="F17" s="92" t="s">
        <v>1110</v>
      </c>
      <c r="G17" s="92" t="s">
        <v>1111</v>
      </c>
      <c r="H17" s="92" t="s">
        <v>1112</v>
      </c>
      <c r="I17" s="13"/>
      <c r="O17" s="17"/>
      <c r="P17" s="17"/>
      <c r="Q17" s="17"/>
      <c r="R17" s="17"/>
    </row>
    <row r="18" spans="1:23" ht="15.75" customHeight="1" x14ac:dyDescent="0.3">
      <c r="A18" s="537" t="s">
        <v>224</v>
      </c>
      <c r="B18" s="7" t="s">
        <v>225</v>
      </c>
      <c r="C18" s="7" t="s">
        <v>1061</v>
      </c>
      <c r="D18" s="7" t="s">
        <v>1073</v>
      </c>
      <c r="E18" s="7" t="s">
        <v>1074</v>
      </c>
      <c r="F18" s="7" t="s">
        <v>1075</v>
      </c>
      <c r="G18" s="7" t="s">
        <v>1065</v>
      </c>
      <c r="H18" s="7" t="s">
        <v>1076</v>
      </c>
      <c r="I18" s="13"/>
      <c r="O18" s="17"/>
      <c r="P18" s="17"/>
      <c r="Q18" s="17"/>
      <c r="R18" s="17"/>
    </row>
    <row r="19" spans="1:23" ht="115.95" customHeight="1" x14ac:dyDescent="0.3">
      <c r="A19" s="591"/>
      <c r="B19" s="39" t="s">
        <v>226</v>
      </c>
      <c r="C19" s="92" t="s">
        <v>1113</v>
      </c>
      <c r="D19" s="92" t="s">
        <v>1114</v>
      </c>
      <c r="E19" s="92" t="s">
        <v>1115</v>
      </c>
      <c r="F19" s="92" t="s">
        <v>1116</v>
      </c>
      <c r="G19" s="92" t="s">
        <v>1117</v>
      </c>
      <c r="H19" s="92" t="s">
        <v>1118</v>
      </c>
      <c r="I19" s="13"/>
      <c r="J19" s="2"/>
      <c r="K19" s="2"/>
      <c r="O19" s="17"/>
      <c r="P19" s="17"/>
      <c r="Q19" s="17"/>
      <c r="R19" s="17"/>
    </row>
    <row r="20" spans="1:23" ht="15.75" customHeight="1" x14ac:dyDescent="0.3">
      <c r="A20" s="591"/>
      <c r="B20" s="694" t="s">
        <v>454</v>
      </c>
      <c r="C20" s="7" t="s">
        <v>1061</v>
      </c>
      <c r="D20" s="7" t="s">
        <v>1073</v>
      </c>
      <c r="E20" s="7" t="s">
        <v>1074</v>
      </c>
      <c r="F20" s="7" t="s">
        <v>1075</v>
      </c>
      <c r="G20" s="7" t="s">
        <v>1065</v>
      </c>
      <c r="H20" s="7" t="s">
        <v>1076</v>
      </c>
      <c r="I20" s="13"/>
      <c r="O20" s="17"/>
      <c r="P20" s="17"/>
      <c r="Q20" s="17"/>
      <c r="R20" s="17"/>
    </row>
    <row r="21" spans="1:23" ht="60" customHeight="1" x14ac:dyDescent="0.3">
      <c r="A21" s="591"/>
      <c r="B21" s="694"/>
      <c r="C21" s="92" t="s">
        <v>1119</v>
      </c>
      <c r="D21" s="92" t="s">
        <v>1120</v>
      </c>
      <c r="E21" s="92" t="s">
        <v>1121</v>
      </c>
      <c r="F21" s="92" t="s">
        <v>1122</v>
      </c>
      <c r="G21" s="92" t="s">
        <v>1123</v>
      </c>
      <c r="H21" s="92" t="s">
        <v>1124</v>
      </c>
      <c r="I21" s="13"/>
      <c r="O21" s="17"/>
      <c r="P21" s="17"/>
      <c r="Q21" s="17"/>
      <c r="R21" s="17"/>
    </row>
    <row r="22" spans="1:23" ht="15.75" customHeight="1" x14ac:dyDescent="0.3">
      <c r="A22" s="591"/>
      <c r="B22" s="694" t="s">
        <v>230</v>
      </c>
      <c r="C22" s="7" t="s">
        <v>1061</v>
      </c>
      <c r="D22" s="7" t="s">
        <v>1073</v>
      </c>
      <c r="E22" s="7" t="s">
        <v>1074</v>
      </c>
      <c r="F22" s="7" t="s">
        <v>1075</v>
      </c>
      <c r="G22" s="7" t="s">
        <v>1065</v>
      </c>
      <c r="H22" s="7" t="s">
        <v>1076</v>
      </c>
      <c r="I22" s="13"/>
      <c r="O22" s="17"/>
      <c r="P22" s="17"/>
      <c r="Q22" s="17"/>
      <c r="R22" s="17"/>
    </row>
    <row r="23" spans="1:23" ht="82.5" customHeight="1" x14ac:dyDescent="0.3">
      <c r="A23" s="591"/>
      <c r="B23" s="694"/>
      <c r="C23" s="92" t="s">
        <v>1125</v>
      </c>
      <c r="D23" s="92" t="s">
        <v>1126</v>
      </c>
      <c r="E23" s="92" t="s">
        <v>1127</v>
      </c>
      <c r="F23" s="92" t="s">
        <v>1128</v>
      </c>
      <c r="G23" s="92" t="s">
        <v>1129</v>
      </c>
      <c r="H23" s="92" t="s">
        <v>1130</v>
      </c>
      <c r="I23" s="13"/>
      <c r="J23" s="2"/>
      <c r="K23" s="2"/>
      <c r="O23" s="17"/>
      <c r="P23" s="17"/>
      <c r="Q23" s="17"/>
      <c r="R23" s="17"/>
    </row>
    <row r="24" spans="1:23" ht="15.75" customHeight="1" x14ac:dyDescent="0.3">
      <c r="A24" s="591"/>
      <c r="B24" s="7" t="s">
        <v>276</v>
      </c>
      <c r="C24" s="7" t="s">
        <v>1061</v>
      </c>
      <c r="D24" s="7" t="s">
        <v>1073</v>
      </c>
      <c r="E24" s="7" t="s">
        <v>1074</v>
      </c>
      <c r="F24" s="7" t="s">
        <v>1075</v>
      </c>
      <c r="G24" s="7" t="s">
        <v>1065</v>
      </c>
      <c r="H24" s="7" t="s">
        <v>1076</v>
      </c>
      <c r="I24" s="13"/>
      <c r="O24" s="17"/>
      <c r="P24" s="17"/>
      <c r="Q24" s="17"/>
      <c r="R24" s="17"/>
    </row>
    <row r="25" spans="1:23" ht="93.45" customHeight="1" x14ac:dyDescent="0.3">
      <c r="A25" s="538"/>
      <c r="B25" s="39" t="s">
        <v>277</v>
      </c>
      <c r="C25" s="92" t="s">
        <v>1131</v>
      </c>
      <c r="D25" s="92" t="s">
        <v>1132</v>
      </c>
      <c r="E25" s="92" t="s">
        <v>1133</v>
      </c>
      <c r="F25" s="92" t="s">
        <v>1134</v>
      </c>
      <c r="G25" s="92" t="s">
        <v>1135</v>
      </c>
      <c r="H25" s="92" t="s">
        <v>1136</v>
      </c>
      <c r="I25" s="13"/>
      <c r="J25" s="2"/>
      <c r="K25" s="2"/>
      <c r="O25" s="17"/>
      <c r="P25" s="17"/>
      <c r="Q25" s="17"/>
      <c r="R25" s="17"/>
      <c r="S25" s="17"/>
    </row>
    <row r="26" spans="1:23" ht="15.75" customHeight="1" x14ac:dyDescent="0.3">
      <c r="A26" s="536" t="s">
        <v>234</v>
      </c>
      <c r="B26" s="7" t="s">
        <v>235</v>
      </c>
      <c r="C26" s="7" t="s">
        <v>1061</v>
      </c>
      <c r="D26" s="7" t="s">
        <v>1073</v>
      </c>
      <c r="E26" s="7" t="s">
        <v>1074</v>
      </c>
      <c r="F26" s="7" t="s">
        <v>1075</v>
      </c>
      <c r="G26" s="7" t="s">
        <v>1065</v>
      </c>
      <c r="H26" s="7" t="s">
        <v>1076</v>
      </c>
      <c r="I26" s="13"/>
      <c r="O26" s="17"/>
      <c r="P26" s="17"/>
      <c r="Q26" s="17"/>
      <c r="R26" s="17"/>
    </row>
    <row r="27" spans="1:23" ht="104.1" customHeight="1" x14ac:dyDescent="0.3">
      <c r="A27" s="536"/>
      <c r="B27" s="85" t="s">
        <v>236</v>
      </c>
      <c r="C27" s="92" t="s">
        <v>1137</v>
      </c>
      <c r="D27" s="92" t="s">
        <v>1138</v>
      </c>
      <c r="E27" s="92" t="s">
        <v>1139</v>
      </c>
      <c r="F27" s="92" t="s">
        <v>1139</v>
      </c>
      <c r="G27" s="92" t="s">
        <v>1140</v>
      </c>
      <c r="H27" s="92" t="s">
        <v>1141</v>
      </c>
      <c r="I27" s="13"/>
      <c r="J27" s="2"/>
      <c r="K27" s="2"/>
      <c r="O27" s="17"/>
      <c r="P27" s="17"/>
      <c r="Q27" s="17"/>
      <c r="R27" s="17"/>
      <c r="S27" s="17"/>
      <c r="T27" s="17"/>
      <c r="U27" s="17"/>
      <c r="V27" s="17"/>
      <c r="W27" s="17"/>
    </row>
    <row r="28" spans="1:23" ht="47.4" customHeight="1" x14ac:dyDescent="0.3">
      <c r="A28" s="693"/>
      <c r="B28" s="693"/>
      <c r="C28" s="693"/>
      <c r="D28" s="693"/>
      <c r="E28" s="693"/>
      <c r="F28" s="693"/>
      <c r="G28" s="693"/>
      <c r="H28" s="693"/>
      <c r="I28" s="17"/>
      <c r="J28" s="17"/>
      <c r="K28" s="17"/>
      <c r="L28" s="17"/>
      <c r="M28" s="17"/>
      <c r="N28" s="17"/>
      <c r="O28" s="17"/>
      <c r="P28" s="17"/>
      <c r="Q28" s="17"/>
      <c r="R28" s="17"/>
    </row>
    <row r="29" spans="1:23" ht="15" customHeight="1" x14ac:dyDescent="0.25"/>
    <row r="30" spans="1:23" ht="15" customHeight="1" x14ac:dyDescent="0.25"/>
    <row r="31" spans="1:23" ht="15" customHeight="1" x14ac:dyDescent="0.25"/>
    <row r="32" spans="1:23"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sheetProtection algorithmName="SHA-512" hashValue="eUgKkgZzbraKXg2psNcfF1QWwyra9zC8jZL+uxJ2AC1yGPVYcZ1ZimV1IgZPssOKzA/RU+BRwdmnUMww6sDaTA==" saltValue="IwnODzyi2pLrwpRG2fBqlQ==" spinCount="100000" sheet="1" objects="1" scenarios="1" formatColumns="0" formatRows="0"/>
  <mergeCells count="12">
    <mergeCell ref="A1:F1"/>
    <mergeCell ref="A4:A7"/>
    <mergeCell ref="B6:B7"/>
    <mergeCell ref="C3:H3"/>
    <mergeCell ref="B10:B11"/>
    <mergeCell ref="A8:A11"/>
    <mergeCell ref="A28:H28"/>
    <mergeCell ref="A12:A17"/>
    <mergeCell ref="A26:A27"/>
    <mergeCell ref="B20:B21"/>
    <mergeCell ref="B22:B23"/>
    <mergeCell ref="A18:A2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44"/>
  <sheetViews>
    <sheetView showRuler="0" workbookViewId="0">
      <selection sqref="A1:F1"/>
    </sheetView>
  </sheetViews>
  <sheetFormatPr defaultColWidth="13.6640625" defaultRowHeight="13.2" x14ac:dyDescent="0.25"/>
  <cols>
    <col min="1" max="1" width="41.33203125" customWidth="1"/>
    <col min="2" max="2" width="21.44140625" customWidth="1"/>
    <col min="3" max="4" width="22.5546875" customWidth="1"/>
    <col min="5" max="5" width="14.33203125" customWidth="1"/>
    <col min="6" max="6" width="19.109375" customWidth="1"/>
    <col min="7" max="10" width="37.88671875" customWidth="1"/>
    <col min="11" max="11" width="14.33203125" customWidth="1"/>
  </cols>
  <sheetData>
    <row r="1" spans="1:11" ht="20.100000000000001" customHeight="1" x14ac:dyDescent="0.3">
      <c r="A1" s="595" t="s">
        <v>1142</v>
      </c>
      <c r="B1" s="595"/>
      <c r="C1" s="595"/>
      <c r="D1" s="595"/>
      <c r="E1" s="595"/>
      <c r="F1" s="595"/>
      <c r="G1" s="17"/>
      <c r="H1" s="17"/>
      <c r="I1" s="17"/>
      <c r="J1" s="17"/>
      <c r="K1" s="17"/>
    </row>
    <row r="2" spans="1:11" ht="21.6" customHeight="1" x14ac:dyDescent="0.3">
      <c r="D2" s="28"/>
      <c r="E2" s="17"/>
      <c r="I2" s="17"/>
    </row>
    <row r="3" spans="1:11" ht="30.75" customHeight="1" x14ac:dyDescent="0.3">
      <c r="A3" s="49" t="s">
        <v>1143</v>
      </c>
      <c r="B3" s="58" t="s">
        <v>207</v>
      </c>
      <c r="C3" s="58" t="s">
        <v>1144</v>
      </c>
      <c r="D3" s="58" t="s">
        <v>1145</v>
      </c>
      <c r="E3" s="55"/>
      <c r="I3" s="17"/>
    </row>
    <row r="4" spans="1:11" ht="21.6" customHeight="1" x14ac:dyDescent="0.3">
      <c r="A4" s="537" t="s">
        <v>245</v>
      </c>
      <c r="B4" s="23" t="s">
        <v>246</v>
      </c>
      <c r="C4" s="213">
        <v>225</v>
      </c>
      <c r="D4" s="98"/>
      <c r="E4" s="55"/>
      <c r="I4" s="17"/>
    </row>
    <row r="5" spans="1:11" ht="21.6" customHeight="1" x14ac:dyDescent="0.3">
      <c r="A5" s="591"/>
      <c r="B5" s="85" t="s">
        <v>514</v>
      </c>
      <c r="C5" s="127">
        <v>187</v>
      </c>
      <c r="D5" s="214">
        <v>1</v>
      </c>
      <c r="E5" s="55"/>
      <c r="I5" s="17"/>
    </row>
    <row r="6" spans="1:11" ht="21.6" customHeight="1" x14ac:dyDescent="0.3">
      <c r="A6" s="538"/>
      <c r="B6" s="85" t="s">
        <v>247</v>
      </c>
      <c r="C6" s="127">
        <v>38</v>
      </c>
      <c r="D6" s="214">
        <v>1</v>
      </c>
      <c r="E6" s="55"/>
      <c r="I6" s="17"/>
    </row>
    <row r="7" spans="1:11" ht="21.6" customHeight="1" x14ac:dyDescent="0.3">
      <c r="A7" s="537" t="s">
        <v>251</v>
      </c>
      <c r="B7" s="23" t="s">
        <v>252</v>
      </c>
      <c r="C7" s="213">
        <v>10</v>
      </c>
      <c r="D7" s="98"/>
      <c r="E7" s="55"/>
      <c r="I7" s="17"/>
    </row>
    <row r="8" spans="1:11" ht="21.6" customHeight="1" x14ac:dyDescent="0.3">
      <c r="A8" s="596"/>
      <c r="B8" s="85" t="s">
        <v>253</v>
      </c>
      <c r="C8" s="127">
        <v>10</v>
      </c>
      <c r="D8" s="214">
        <v>1</v>
      </c>
      <c r="E8" s="55"/>
      <c r="I8" s="17"/>
    </row>
    <row r="9" spans="1:11" ht="21.6" customHeight="1" x14ac:dyDescent="0.3">
      <c r="A9" s="594"/>
      <c r="B9" s="32" t="s">
        <v>965</v>
      </c>
      <c r="C9" s="127">
        <v>0</v>
      </c>
      <c r="D9" s="208" t="s">
        <v>410</v>
      </c>
      <c r="E9" s="55"/>
      <c r="I9" s="17"/>
    </row>
    <row r="10" spans="1:11" ht="26.7" customHeight="1" x14ac:dyDescent="0.3">
      <c r="A10" s="537" t="s">
        <v>213</v>
      </c>
      <c r="B10" s="23" t="s">
        <v>328</v>
      </c>
      <c r="C10" s="213">
        <v>5</v>
      </c>
      <c r="D10" s="98"/>
      <c r="E10" s="55"/>
      <c r="I10" s="17"/>
    </row>
    <row r="11" spans="1:11" ht="19.2" customHeight="1" x14ac:dyDescent="0.3">
      <c r="A11" s="596"/>
      <c r="B11" s="85" t="s">
        <v>453</v>
      </c>
      <c r="C11" s="84">
        <v>5</v>
      </c>
      <c r="D11" s="215">
        <v>1</v>
      </c>
      <c r="E11" s="55"/>
      <c r="I11" s="17"/>
    </row>
    <row r="12" spans="1:11" ht="21.6" customHeight="1" x14ac:dyDescent="0.3">
      <c r="A12" s="596"/>
      <c r="B12" s="23" t="s">
        <v>214</v>
      </c>
      <c r="C12" s="213">
        <v>3</v>
      </c>
      <c r="D12" s="98"/>
      <c r="E12" s="55"/>
      <c r="I12" s="17"/>
    </row>
    <row r="13" spans="1:11" ht="20.100000000000001" customHeight="1" x14ac:dyDescent="0.3">
      <c r="A13" s="596"/>
      <c r="B13" s="85" t="s">
        <v>215</v>
      </c>
      <c r="C13" s="84">
        <v>3</v>
      </c>
      <c r="D13" s="215">
        <v>1</v>
      </c>
      <c r="E13" s="55"/>
      <c r="I13" s="17"/>
    </row>
    <row r="14" spans="1:11" ht="21.6" customHeight="1" x14ac:dyDescent="0.3">
      <c r="A14" s="596"/>
      <c r="B14" s="23" t="s">
        <v>265</v>
      </c>
      <c r="C14" s="213">
        <v>20</v>
      </c>
      <c r="D14" s="98"/>
      <c r="E14" s="55"/>
      <c r="I14" s="17"/>
    </row>
    <row r="15" spans="1:11" ht="21.6" customHeight="1" x14ac:dyDescent="0.3">
      <c r="A15" s="594"/>
      <c r="B15" s="85" t="s">
        <v>266</v>
      </c>
      <c r="C15" s="84">
        <v>20</v>
      </c>
      <c r="D15" s="215">
        <v>1</v>
      </c>
      <c r="E15" s="55"/>
      <c r="I15" s="17"/>
    </row>
    <row r="16" spans="1:11" ht="21.6" customHeight="1" x14ac:dyDescent="0.3">
      <c r="A16" s="537" t="s">
        <v>224</v>
      </c>
      <c r="B16" s="23" t="s">
        <v>225</v>
      </c>
      <c r="C16" s="213">
        <v>113</v>
      </c>
      <c r="D16" s="98"/>
      <c r="E16" s="55"/>
      <c r="I16" s="17"/>
    </row>
    <row r="17" spans="1:9" ht="21.6" customHeight="1" x14ac:dyDescent="0.3">
      <c r="A17" s="596"/>
      <c r="B17" s="85" t="s">
        <v>226</v>
      </c>
      <c r="C17" s="127">
        <v>12</v>
      </c>
      <c r="D17" s="214">
        <v>1</v>
      </c>
      <c r="E17" s="55"/>
      <c r="I17" s="17"/>
    </row>
    <row r="18" spans="1:9" ht="21.6" customHeight="1" x14ac:dyDescent="0.3">
      <c r="A18" s="596"/>
      <c r="B18" s="32" t="s">
        <v>1146</v>
      </c>
      <c r="C18" s="127">
        <v>0</v>
      </c>
      <c r="D18" s="208" t="s">
        <v>410</v>
      </c>
      <c r="E18" s="55"/>
      <c r="I18" s="17"/>
    </row>
    <row r="19" spans="1:9" ht="21.6" customHeight="1" x14ac:dyDescent="0.3">
      <c r="A19" s="596"/>
      <c r="B19" s="85" t="s">
        <v>230</v>
      </c>
      <c r="C19" s="127">
        <v>101</v>
      </c>
      <c r="D19" s="214">
        <v>1</v>
      </c>
      <c r="E19" s="13"/>
      <c r="I19" s="17"/>
    </row>
    <row r="20" spans="1:9" ht="22.5" customHeight="1" x14ac:dyDescent="0.3">
      <c r="A20" s="596"/>
      <c r="B20" s="23" t="s">
        <v>276</v>
      </c>
      <c r="C20" s="213">
        <v>3</v>
      </c>
      <c r="D20" s="98"/>
      <c r="E20" s="13"/>
      <c r="I20" s="17"/>
    </row>
    <row r="21" spans="1:9" ht="22.5" customHeight="1" x14ac:dyDescent="0.3">
      <c r="A21" s="594"/>
      <c r="B21" s="85" t="s">
        <v>277</v>
      </c>
      <c r="C21" s="127">
        <v>3</v>
      </c>
      <c r="D21" s="215">
        <v>1</v>
      </c>
      <c r="E21" s="13"/>
      <c r="I21" s="17"/>
    </row>
    <row r="22" spans="1:9" ht="22.5" customHeight="1" x14ac:dyDescent="0.3">
      <c r="A22" s="537" t="s">
        <v>234</v>
      </c>
      <c r="B22" s="23" t="s">
        <v>235</v>
      </c>
      <c r="C22" s="213">
        <v>24</v>
      </c>
      <c r="D22" s="98"/>
      <c r="E22" s="13"/>
      <c r="I22" s="17"/>
    </row>
    <row r="23" spans="1:9" ht="22.5" customHeight="1" x14ac:dyDescent="0.3">
      <c r="A23" s="594"/>
      <c r="B23" s="85" t="s">
        <v>236</v>
      </c>
      <c r="C23" s="84">
        <v>24</v>
      </c>
      <c r="D23" s="215">
        <v>1</v>
      </c>
      <c r="E23" s="13"/>
      <c r="I23" s="17"/>
    </row>
    <row r="24" spans="1:9" ht="22.5" customHeight="1" x14ac:dyDescent="0.3">
      <c r="A24" s="6" t="s">
        <v>455</v>
      </c>
      <c r="B24" s="86" t="s">
        <v>318</v>
      </c>
      <c r="C24" s="83">
        <v>403</v>
      </c>
      <c r="D24" s="216">
        <v>1</v>
      </c>
      <c r="E24" s="13"/>
      <c r="I24" s="17"/>
    </row>
    <row r="25" spans="1:9" ht="77.400000000000006" customHeight="1" x14ac:dyDescent="0.3">
      <c r="A25" s="547" t="s">
        <v>1147</v>
      </c>
      <c r="B25" s="547"/>
      <c r="C25" s="547"/>
      <c r="D25" s="547"/>
      <c r="E25" s="67"/>
      <c r="I25" s="17"/>
    </row>
    <row r="26" spans="1:9" ht="21.6" customHeight="1" x14ac:dyDescent="0.3">
      <c r="B26" s="54"/>
      <c r="C26" s="54"/>
      <c r="I26" s="17"/>
    </row>
    <row r="27" spans="1:9" ht="21.6" customHeight="1" x14ac:dyDescent="0.3">
      <c r="B27" s="57"/>
      <c r="C27" s="57"/>
      <c r="I27" s="17"/>
    </row>
    <row r="28" spans="1:9" ht="39.15" customHeight="1" x14ac:dyDescent="0.3">
      <c r="A28" s="49" t="s">
        <v>1148</v>
      </c>
      <c r="B28" s="217" t="s">
        <v>1149</v>
      </c>
      <c r="C28" s="32" t="s">
        <v>1150</v>
      </c>
      <c r="D28" s="13"/>
      <c r="I28" s="17"/>
    </row>
    <row r="29" spans="1:9" ht="15" customHeight="1" x14ac:dyDescent="0.3">
      <c r="A29" s="61" t="s">
        <v>1151</v>
      </c>
      <c r="B29" s="218">
        <v>142</v>
      </c>
      <c r="C29" s="219">
        <v>0.34466019417475702</v>
      </c>
      <c r="D29" s="13"/>
      <c r="I29" s="17"/>
    </row>
    <row r="30" spans="1:9" ht="21.6" customHeight="1" x14ac:dyDescent="0.3">
      <c r="A30" s="61" t="s">
        <v>1152</v>
      </c>
      <c r="B30" s="218">
        <v>116</v>
      </c>
      <c r="C30" s="219">
        <v>0.28155339805825202</v>
      </c>
      <c r="D30" s="13"/>
      <c r="I30" s="17"/>
    </row>
    <row r="31" spans="1:9" ht="21.6" customHeight="1" x14ac:dyDescent="0.3">
      <c r="A31" s="61" t="s">
        <v>1111</v>
      </c>
      <c r="B31" s="218">
        <v>28</v>
      </c>
      <c r="C31" s="219">
        <v>6.7961165048543701E-2</v>
      </c>
      <c r="D31" s="13"/>
      <c r="I31" s="17"/>
    </row>
    <row r="32" spans="1:9" ht="21.6" customHeight="1" x14ac:dyDescent="0.3">
      <c r="A32" s="61" t="s">
        <v>1153</v>
      </c>
      <c r="B32" s="218">
        <v>27</v>
      </c>
      <c r="C32" s="219">
        <v>6.5533980582524298E-2</v>
      </c>
      <c r="D32" s="13"/>
      <c r="I32" s="17"/>
    </row>
    <row r="33" spans="1:11" ht="21.6" customHeight="1" x14ac:dyDescent="0.3">
      <c r="A33" s="61" t="s">
        <v>1154</v>
      </c>
      <c r="B33" s="218">
        <v>18</v>
      </c>
      <c r="C33" s="219">
        <v>4.3689320388349502E-2</v>
      </c>
      <c r="D33" s="13"/>
      <c r="I33" s="17"/>
    </row>
    <row r="34" spans="1:11" ht="21.6" customHeight="1" x14ac:dyDescent="0.3">
      <c r="A34" s="61" t="s">
        <v>1155</v>
      </c>
      <c r="B34" s="218">
        <v>15</v>
      </c>
      <c r="C34" s="219">
        <v>3.6407766990291301E-2</v>
      </c>
      <c r="D34" s="13"/>
      <c r="I34" s="17"/>
    </row>
    <row r="35" spans="1:11" ht="21.6" customHeight="1" x14ac:dyDescent="0.3">
      <c r="A35" s="61" t="s">
        <v>1156</v>
      </c>
      <c r="B35" s="218">
        <v>14</v>
      </c>
      <c r="C35" s="219">
        <v>3.3980582524271802E-2</v>
      </c>
      <c r="D35" s="13"/>
      <c r="I35" s="17"/>
    </row>
    <row r="36" spans="1:11" ht="21.6" customHeight="1" x14ac:dyDescent="0.3">
      <c r="A36" s="220" t="s">
        <v>1157</v>
      </c>
      <c r="B36" s="218">
        <v>11</v>
      </c>
      <c r="C36" s="219">
        <v>2.6699029126213601E-2</v>
      </c>
      <c r="D36" s="13"/>
      <c r="F36" s="17"/>
      <c r="G36" s="17"/>
      <c r="H36" s="17"/>
      <c r="I36" s="17"/>
    </row>
    <row r="37" spans="1:11" ht="21.6" customHeight="1" x14ac:dyDescent="0.3">
      <c r="A37" s="61" t="s">
        <v>1158</v>
      </c>
      <c r="B37" s="218">
        <v>9</v>
      </c>
      <c r="C37" s="219">
        <v>2.18446601941748E-2</v>
      </c>
      <c r="D37" s="13"/>
      <c r="F37" s="17"/>
      <c r="G37" s="17"/>
      <c r="H37" s="17"/>
      <c r="I37" s="67"/>
      <c r="J37" s="67"/>
      <c r="K37" s="17"/>
    </row>
    <row r="38" spans="1:11" ht="21.6" customHeight="1" x14ac:dyDescent="0.3">
      <c r="A38" s="61" t="s">
        <v>1159</v>
      </c>
      <c r="B38" s="218">
        <v>8</v>
      </c>
      <c r="C38" s="219">
        <v>1.94174757281553E-2</v>
      </c>
      <c r="D38" s="13"/>
      <c r="F38" s="17"/>
      <c r="G38" s="17"/>
      <c r="H38" s="17"/>
      <c r="I38" s="67"/>
      <c r="J38" s="67"/>
      <c r="K38" s="17"/>
    </row>
    <row r="39" spans="1:11" ht="15" customHeight="1" x14ac:dyDescent="0.3">
      <c r="A39" s="45" t="s">
        <v>318</v>
      </c>
      <c r="B39" s="221">
        <v>388</v>
      </c>
      <c r="C39" s="222">
        <v>0.96277915632754296</v>
      </c>
      <c r="D39" s="13"/>
    </row>
    <row r="40" spans="1:11" ht="90.75" customHeight="1" x14ac:dyDescent="0.3">
      <c r="A40" s="547" t="s">
        <v>1160</v>
      </c>
      <c r="B40" s="547"/>
      <c r="C40" s="547"/>
    </row>
    <row r="41" spans="1:11" ht="15" customHeight="1" x14ac:dyDescent="0.25">
      <c r="A41" s="67"/>
      <c r="B41" s="67"/>
      <c r="C41" s="67"/>
    </row>
    <row r="42" spans="1:11" ht="15" customHeight="1" x14ac:dyDescent="0.25">
      <c r="A42" s="67"/>
      <c r="B42" s="67"/>
      <c r="C42" s="67"/>
    </row>
    <row r="43" spans="1:11" ht="15" customHeight="1" x14ac:dyDescent="0.25">
      <c r="A43" s="67"/>
      <c r="B43" s="67"/>
      <c r="C43" s="67"/>
    </row>
    <row r="44" spans="1:11" ht="15" customHeight="1" x14ac:dyDescent="0.25">
      <c r="A44" s="67"/>
      <c r="B44" s="67"/>
      <c r="C44" s="67"/>
    </row>
  </sheetData>
  <sheetProtection algorithmName="SHA-512" hashValue="AGlJoWrDli2ZkWVcw1GMfYGuYT9W3OmTKIcw/zxu6RLChbpVW6crpsoCB1Esq8UhWBGBUHh/9Vc48alzU/AbTg==" saltValue="7WUCKZg6M8aAMfVDz2hbYg==" spinCount="100000" sheet="1" objects="1" scenarios="1" formatColumns="0" formatRows="0"/>
  <mergeCells count="8">
    <mergeCell ref="A22:A23"/>
    <mergeCell ref="A25:D25"/>
    <mergeCell ref="A40:C40"/>
    <mergeCell ref="A1:F1"/>
    <mergeCell ref="A4:A6"/>
    <mergeCell ref="A7:A9"/>
    <mergeCell ref="A10:A15"/>
    <mergeCell ref="A16:A2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28"/>
  <sheetViews>
    <sheetView showRuler="0" workbookViewId="0">
      <selection sqref="A1:F1"/>
    </sheetView>
  </sheetViews>
  <sheetFormatPr defaultColWidth="13.6640625" defaultRowHeight="13.2" x14ac:dyDescent="0.25"/>
  <cols>
    <col min="1" max="1" width="28" customWidth="1"/>
    <col min="2" max="2" width="24" customWidth="1"/>
    <col min="3" max="6" width="29.33203125" customWidth="1"/>
  </cols>
  <sheetData>
    <row r="1" spans="1:7" ht="22.5" customHeight="1" x14ac:dyDescent="0.3">
      <c r="A1" s="595" t="s">
        <v>1161</v>
      </c>
      <c r="B1" s="595"/>
      <c r="C1" s="595"/>
      <c r="D1" s="595"/>
      <c r="E1" s="595"/>
      <c r="F1" s="595"/>
    </row>
    <row r="2" spans="1:7" ht="16.649999999999999" customHeight="1" x14ac:dyDescent="0.3">
      <c r="B2" s="17"/>
      <c r="C2" s="17"/>
    </row>
    <row r="3" spans="1:7" ht="15" customHeight="1" x14ac:dyDescent="0.25"/>
    <row r="4" spans="1:7" ht="45.75" customHeight="1" x14ac:dyDescent="0.3">
      <c r="A4" s="49" t="s">
        <v>1162</v>
      </c>
      <c r="B4" s="5" t="s">
        <v>207</v>
      </c>
      <c r="C4" s="711" t="s">
        <v>1163</v>
      </c>
      <c r="D4" s="712"/>
      <c r="E4" s="712"/>
      <c r="F4" s="713"/>
      <c r="G4" s="13"/>
    </row>
    <row r="5" spans="1:7" ht="22.5" customHeight="1" x14ac:dyDescent="0.3">
      <c r="A5" s="537" t="s">
        <v>245</v>
      </c>
      <c r="B5" s="7" t="s">
        <v>246</v>
      </c>
      <c r="C5" s="703"/>
      <c r="D5" s="704"/>
      <c r="E5" s="704"/>
      <c r="F5" s="705"/>
      <c r="G5" s="13"/>
    </row>
    <row r="6" spans="1:7" ht="22.5" customHeight="1" x14ac:dyDescent="0.3">
      <c r="A6" s="591"/>
      <c r="B6" s="123" t="s">
        <v>514</v>
      </c>
      <c r="C6" s="574" t="s">
        <v>1164</v>
      </c>
      <c r="D6" s="549"/>
      <c r="E6" s="549"/>
      <c r="F6" s="550"/>
      <c r="G6" s="13"/>
    </row>
    <row r="7" spans="1:7" ht="22.5" customHeight="1" x14ac:dyDescent="0.3">
      <c r="A7" s="591"/>
      <c r="B7" s="123" t="s">
        <v>247</v>
      </c>
      <c r="C7" s="574" t="s">
        <v>1165</v>
      </c>
      <c r="D7" s="549"/>
      <c r="E7" s="549"/>
      <c r="F7" s="550"/>
      <c r="G7" s="13"/>
    </row>
    <row r="8" spans="1:7" ht="26.7" customHeight="1" x14ac:dyDescent="0.3">
      <c r="A8" s="538"/>
      <c r="B8" s="61" t="s">
        <v>1166</v>
      </c>
      <c r="C8" s="574" t="s">
        <v>1167</v>
      </c>
      <c r="D8" s="549"/>
      <c r="E8" s="549"/>
      <c r="F8" s="550"/>
      <c r="G8" s="13"/>
    </row>
    <row r="9" spans="1:7" ht="22.5" customHeight="1" x14ac:dyDescent="0.3">
      <c r="A9" s="537" t="s">
        <v>251</v>
      </c>
      <c r="B9" s="7" t="s">
        <v>252</v>
      </c>
      <c r="C9" s="703"/>
      <c r="D9" s="704"/>
      <c r="E9" s="704"/>
      <c r="F9" s="705"/>
      <c r="G9" s="13"/>
    </row>
    <row r="10" spans="1:7" ht="22.5" customHeight="1" x14ac:dyDescent="0.3">
      <c r="A10" s="591"/>
      <c r="B10" s="161" t="s">
        <v>253</v>
      </c>
      <c r="C10" s="574" t="s">
        <v>1168</v>
      </c>
      <c r="D10" s="549"/>
      <c r="E10" s="549"/>
      <c r="F10" s="550"/>
      <c r="G10" s="13"/>
    </row>
    <row r="11" spans="1:7" ht="22.5" customHeight="1" x14ac:dyDescent="0.3">
      <c r="A11" s="538"/>
      <c r="B11" s="161" t="s">
        <v>256</v>
      </c>
      <c r="C11" s="574" t="s">
        <v>1168</v>
      </c>
      <c r="D11" s="549"/>
      <c r="E11" s="549"/>
      <c r="F11" s="550"/>
      <c r="G11" s="13"/>
    </row>
    <row r="12" spans="1:7" ht="22.5" customHeight="1" x14ac:dyDescent="0.3">
      <c r="A12" s="537" t="s">
        <v>213</v>
      </c>
      <c r="B12" s="7" t="s">
        <v>328</v>
      </c>
      <c r="C12" s="700"/>
      <c r="D12" s="709"/>
      <c r="E12" s="709"/>
      <c r="F12" s="710"/>
      <c r="G12" s="13"/>
    </row>
    <row r="13" spans="1:7" ht="26.7" customHeight="1" x14ac:dyDescent="0.3">
      <c r="A13" s="596"/>
      <c r="B13" s="161" t="s">
        <v>453</v>
      </c>
      <c r="C13" s="574" t="s">
        <v>1169</v>
      </c>
      <c r="D13" s="549"/>
      <c r="E13" s="549"/>
      <c r="F13" s="550"/>
      <c r="G13" s="13"/>
    </row>
    <row r="14" spans="1:7" ht="22.5" customHeight="1" x14ac:dyDescent="0.3">
      <c r="A14" s="596"/>
      <c r="B14" s="7" t="s">
        <v>214</v>
      </c>
      <c r="C14" s="700"/>
      <c r="D14" s="701"/>
      <c r="E14" s="701"/>
      <c r="F14" s="702"/>
      <c r="G14" s="13"/>
    </row>
    <row r="15" spans="1:7" ht="22.5" customHeight="1" x14ac:dyDescent="0.3">
      <c r="A15" s="596"/>
      <c r="B15" s="161" t="s">
        <v>215</v>
      </c>
      <c r="C15" s="574" t="s">
        <v>1170</v>
      </c>
      <c r="D15" s="549"/>
      <c r="E15" s="549"/>
      <c r="F15" s="550"/>
      <c r="G15" s="13"/>
    </row>
    <row r="16" spans="1:7" ht="22.5" customHeight="1" x14ac:dyDescent="0.3">
      <c r="A16" s="596"/>
      <c r="B16" s="7" t="s">
        <v>265</v>
      </c>
      <c r="C16" s="703"/>
      <c r="D16" s="704"/>
      <c r="E16" s="704"/>
      <c r="F16" s="705"/>
      <c r="G16" s="13"/>
    </row>
    <row r="17" spans="1:7" ht="22.5" customHeight="1" x14ac:dyDescent="0.3">
      <c r="A17" s="594"/>
      <c r="B17" s="161" t="s">
        <v>266</v>
      </c>
      <c r="C17" s="706" t="s">
        <v>1171</v>
      </c>
      <c r="D17" s="707"/>
      <c r="E17" s="707"/>
      <c r="F17" s="708"/>
      <c r="G17" s="13"/>
    </row>
    <row r="18" spans="1:7" ht="22.5" customHeight="1" x14ac:dyDescent="0.3">
      <c r="A18" s="537" t="s">
        <v>224</v>
      </c>
      <c r="B18" s="7" t="s">
        <v>225</v>
      </c>
      <c r="C18" s="700"/>
      <c r="D18" s="701"/>
      <c r="E18" s="701"/>
      <c r="F18" s="702"/>
      <c r="G18" s="13"/>
    </row>
    <row r="19" spans="1:7" ht="22.5" customHeight="1" x14ac:dyDescent="0.3">
      <c r="A19" s="596"/>
      <c r="B19" s="123" t="s">
        <v>226</v>
      </c>
      <c r="C19" s="574" t="s">
        <v>1172</v>
      </c>
      <c r="D19" s="549"/>
      <c r="E19" s="549"/>
      <c r="F19" s="550"/>
      <c r="G19" s="13"/>
    </row>
    <row r="20" spans="1:7" ht="22.5" customHeight="1" x14ac:dyDescent="0.3">
      <c r="A20" s="596"/>
      <c r="B20" s="123" t="s">
        <v>454</v>
      </c>
      <c r="C20" s="574" t="s">
        <v>1173</v>
      </c>
      <c r="D20" s="549"/>
      <c r="E20" s="549"/>
      <c r="F20" s="550"/>
      <c r="G20" s="13"/>
    </row>
    <row r="21" spans="1:7" ht="22.5" customHeight="1" x14ac:dyDescent="0.3">
      <c r="A21" s="596"/>
      <c r="B21" s="123" t="s">
        <v>230</v>
      </c>
      <c r="C21" s="574" t="s">
        <v>1165</v>
      </c>
      <c r="D21" s="549"/>
      <c r="E21" s="549"/>
      <c r="F21" s="550"/>
      <c r="G21" s="13"/>
    </row>
    <row r="22" spans="1:7" ht="22.5" customHeight="1" x14ac:dyDescent="0.3">
      <c r="A22" s="596"/>
      <c r="B22" s="7" t="s">
        <v>276</v>
      </c>
      <c r="C22" s="697"/>
      <c r="D22" s="698"/>
      <c r="E22" s="698"/>
      <c r="F22" s="699"/>
      <c r="G22" s="13"/>
    </row>
    <row r="23" spans="1:7" ht="22.5" customHeight="1" x14ac:dyDescent="0.3">
      <c r="A23" s="594"/>
      <c r="B23" s="123" t="s">
        <v>277</v>
      </c>
      <c r="C23" s="574" t="s">
        <v>1174</v>
      </c>
      <c r="D23" s="549"/>
      <c r="E23" s="549"/>
      <c r="F23" s="550"/>
      <c r="G23" s="13"/>
    </row>
    <row r="24" spans="1:7" ht="22.5" customHeight="1" x14ac:dyDescent="0.3">
      <c r="A24" s="536" t="s">
        <v>234</v>
      </c>
      <c r="B24" s="7" t="s">
        <v>235</v>
      </c>
      <c r="C24" s="696"/>
      <c r="D24" s="696"/>
      <c r="E24" s="696"/>
      <c r="F24" s="696"/>
      <c r="G24" s="13"/>
    </row>
    <row r="25" spans="1:7" ht="22.5" customHeight="1" x14ac:dyDescent="0.3">
      <c r="A25" s="562"/>
      <c r="B25" s="61" t="s">
        <v>1175</v>
      </c>
      <c r="C25" s="577" t="s">
        <v>1176</v>
      </c>
      <c r="D25" s="643"/>
      <c r="E25" s="643"/>
      <c r="F25" s="643"/>
      <c r="G25" s="13"/>
    </row>
    <row r="26" spans="1:7" ht="22.5" customHeight="1" x14ac:dyDescent="0.3">
      <c r="A26" s="562"/>
      <c r="B26" s="161" t="s">
        <v>236</v>
      </c>
      <c r="C26" s="581" t="s">
        <v>1177</v>
      </c>
      <c r="D26" s="581"/>
      <c r="E26" s="581"/>
      <c r="F26" s="581"/>
      <c r="G26" s="13"/>
    </row>
    <row r="27" spans="1:7" ht="73.349999999999994" customHeight="1" x14ac:dyDescent="0.3">
      <c r="A27" s="695" t="s">
        <v>1178</v>
      </c>
      <c r="B27" s="695"/>
      <c r="C27" s="695"/>
      <c r="D27" s="695"/>
      <c r="E27" s="695"/>
      <c r="F27" s="695"/>
    </row>
    <row r="28" spans="1:7" ht="15" customHeight="1" x14ac:dyDescent="0.25">
      <c r="A28" s="67"/>
      <c r="B28" s="67"/>
      <c r="C28" s="67"/>
    </row>
  </sheetData>
  <sheetProtection algorithmName="SHA-512" hashValue="7caV+BiqKJ6pUdwv5Kj5I91/7Dnvq8p0ltvIFxZctgEFpyymF6QEiFtt0ih7DCwx7Yzst5dGP2M+gxt8Uxv8Mw==" saltValue="MV5oQ15N7rEcfH0KWBmkcw==" spinCount="100000" sheet="1" objects="1" scenarios="1" formatColumns="0" formatRows="0"/>
  <mergeCells count="30">
    <mergeCell ref="A1:F1"/>
    <mergeCell ref="C4:F4"/>
    <mergeCell ref="A5:A8"/>
    <mergeCell ref="C8:F8"/>
    <mergeCell ref="C7:F7"/>
    <mergeCell ref="C6:F6"/>
    <mergeCell ref="C5:F5"/>
    <mergeCell ref="A9:A11"/>
    <mergeCell ref="A12:A17"/>
    <mergeCell ref="C13:F13"/>
    <mergeCell ref="C14:F14"/>
    <mergeCell ref="C15:F15"/>
    <mergeCell ref="C16:F16"/>
    <mergeCell ref="C17:F17"/>
    <mergeCell ref="C12:F12"/>
    <mergeCell ref="C11:F11"/>
    <mergeCell ref="C10:F10"/>
    <mergeCell ref="C9:F9"/>
    <mergeCell ref="A27:F27"/>
    <mergeCell ref="C24:F24"/>
    <mergeCell ref="C23:F23"/>
    <mergeCell ref="C22:F22"/>
    <mergeCell ref="C21:F21"/>
    <mergeCell ref="A24:A26"/>
    <mergeCell ref="C25:F25"/>
    <mergeCell ref="C26:F26"/>
    <mergeCell ref="A18:A23"/>
    <mergeCell ref="C20:F20"/>
    <mergeCell ref="C19:F19"/>
    <mergeCell ref="C18:F18"/>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51"/>
  <sheetViews>
    <sheetView showRuler="0" workbookViewId="0">
      <selection sqref="A1:F1"/>
    </sheetView>
  </sheetViews>
  <sheetFormatPr defaultColWidth="13.6640625" defaultRowHeight="13.2" x14ac:dyDescent="0.25"/>
  <cols>
    <col min="1" max="5" width="26.33203125" customWidth="1"/>
    <col min="6" max="6" width="22.5546875" customWidth="1"/>
    <col min="7" max="22" width="14.33203125" customWidth="1"/>
  </cols>
  <sheetData>
    <row r="1" spans="1:22" ht="22.5" customHeight="1" x14ac:dyDescent="0.3">
      <c r="A1" s="595" t="s">
        <v>1179</v>
      </c>
      <c r="B1" s="595"/>
      <c r="C1" s="595"/>
      <c r="D1" s="595"/>
      <c r="E1" s="595"/>
      <c r="F1" s="595"/>
      <c r="G1" s="17"/>
      <c r="H1" s="17"/>
      <c r="I1" s="17"/>
      <c r="J1" s="17"/>
      <c r="K1" s="17"/>
      <c r="L1" s="17"/>
      <c r="M1" s="17"/>
      <c r="N1" s="17"/>
      <c r="O1" s="17"/>
      <c r="P1" s="17"/>
      <c r="Q1" s="17"/>
      <c r="R1" s="17"/>
      <c r="S1" s="17"/>
      <c r="T1" s="17"/>
      <c r="U1" s="17"/>
      <c r="V1" s="17"/>
    </row>
    <row r="2" spans="1:22" ht="26.7" customHeight="1" x14ac:dyDescent="0.3">
      <c r="A2" s="28"/>
      <c r="B2" s="28"/>
      <c r="C2" s="28"/>
      <c r="D2" s="28"/>
      <c r="E2" s="28"/>
      <c r="F2" s="17"/>
      <c r="G2" s="17"/>
      <c r="H2" s="17"/>
      <c r="I2" s="17"/>
      <c r="J2" s="17"/>
      <c r="K2" s="17"/>
      <c r="L2" s="17"/>
      <c r="M2" s="17"/>
      <c r="N2" s="17"/>
      <c r="O2" s="17"/>
      <c r="P2" s="17"/>
      <c r="Q2" s="17"/>
      <c r="R2" s="17"/>
      <c r="S2" s="17"/>
      <c r="T2" s="17"/>
      <c r="U2" s="17"/>
      <c r="V2" s="17"/>
    </row>
    <row r="3" spans="1:22" ht="26.7" customHeight="1" x14ac:dyDescent="0.3">
      <c r="A3" s="719" t="s">
        <v>1180</v>
      </c>
      <c r="B3" s="717" t="s">
        <v>1009</v>
      </c>
      <c r="C3" s="714" t="s">
        <v>1181</v>
      </c>
      <c r="D3" s="715"/>
      <c r="E3" s="716"/>
      <c r="F3" s="55"/>
      <c r="G3" s="17"/>
      <c r="H3" s="17"/>
      <c r="I3" s="17"/>
      <c r="J3" s="17"/>
      <c r="K3" s="17"/>
      <c r="L3" s="17"/>
      <c r="M3" s="17"/>
      <c r="N3" s="17"/>
      <c r="O3" s="17"/>
      <c r="P3" s="17"/>
      <c r="Q3" s="17"/>
      <c r="R3" s="17"/>
      <c r="S3" s="17"/>
      <c r="T3" s="17"/>
      <c r="U3" s="17"/>
      <c r="V3" s="17"/>
    </row>
    <row r="4" spans="1:22" ht="49.2" customHeight="1" x14ac:dyDescent="0.3">
      <c r="A4" s="720"/>
      <c r="B4" s="718"/>
      <c r="C4" s="18" t="s">
        <v>1182</v>
      </c>
      <c r="D4" s="159" t="s">
        <v>1183</v>
      </c>
      <c r="E4" s="32" t="s">
        <v>1184</v>
      </c>
      <c r="F4" s="55"/>
      <c r="G4" s="17"/>
      <c r="H4" s="17"/>
      <c r="I4" s="17"/>
      <c r="J4" s="17"/>
      <c r="K4" s="17"/>
      <c r="L4" s="17"/>
      <c r="M4" s="17"/>
      <c r="N4" s="17"/>
      <c r="O4" s="17"/>
      <c r="P4" s="17"/>
      <c r="Q4" s="17"/>
      <c r="R4" s="17"/>
      <c r="S4" s="17"/>
      <c r="T4" s="17"/>
      <c r="U4" s="17"/>
    </row>
    <row r="5" spans="1:22" ht="21.6" customHeight="1" x14ac:dyDescent="0.3">
      <c r="A5" s="6" t="s">
        <v>245</v>
      </c>
      <c r="B5" s="58" t="s">
        <v>246</v>
      </c>
      <c r="C5" s="10">
        <v>143</v>
      </c>
      <c r="D5" s="127">
        <v>119</v>
      </c>
      <c r="E5" s="127">
        <v>25</v>
      </c>
      <c r="F5" s="55"/>
      <c r="G5" s="17"/>
      <c r="H5" s="17"/>
      <c r="I5" s="17"/>
      <c r="J5" s="17"/>
      <c r="K5" s="17"/>
      <c r="L5" s="17"/>
      <c r="M5" s="17"/>
      <c r="N5" s="17"/>
      <c r="O5" s="17"/>
      <c r="P5" s="17"/>
      <c r="Q5" s="17"/>
      <c r="R5" s="17"/>
      <c r="S5" s="17"/>
      <c r="T5" s="17"/>
      <c r="U5" s="17"/>
    </row>
    <row r="6" spans="1:22" ht="21.6" customHeight="1" x14ac:dyDescent="0.3">
      <c r="A6" s="6" t="s">
        <v>251</v>
      </c>
      <c r="B6" s="58" t="s">
        <v>252</v>
      </c>
      <c r="C6" s="127">
        <v>301</v>
      </c>
      <c r="D6" s="127">
        <v>213</v>
      </c>
      <c r="E6" s="127">
        <v>32</v>
      </c>
      <c r="F6" s="55"/>
      <c r="G6" s="17"/>
      <c r="H6" s="17"/>
      <c r="I6" s="17"/>
      <c r="J6" s="17"/>
      <c r="K6" s="17"/>
      <c r="L6" s="17"/>
      <c r="M6" s="17"/>
      <c r="N6" s="17"/>
      <c r="O6" s="17"/>
      <c r="P6" s="17"/>
      <c r="Q6" s="17"/>
      <c r="R6" s="17"/>
      <c r="S6" s="17"/>
      <c r="T6" s="17"/>
      <c r="U6" s="17"/>
    </row>
    <row r="7" spans="1:22" ht="21.6" customHeight="1" x14ac:dyDescent="0.3">
      <c r="A7" s="6" t="s">
        <v>213</v>
      </c>
      <c r="B7" s="58" t="s">
        <v>265</v>
      </c>
      <c r="C7" s="127">
        <v>182</v>
      </c>
      <c r="D7" s="127">
        <v>117</v>
      </c>
      <c r="E7" s="127">
        <v>34</v>
      </c>
      <c r="F7" s="55"/>
      <c r="G7" s="17"/>
      <c r="H7" s="17"/>
      <c r="I7" s="17"/>
      <c r="J7" s="17"/>
      <c r="K7" s="17"/>
      <c r="L7" s="17"/>
      <c r="M7" s="17"/>
      <c r="N7" s="17"/>
      <c r="O7" s="17"/>
      <c r="P7" s="17"/>
      <c r="Q7" s="17"/>
      <c r="R7" s="17"/>
      <c r="S7" s="17"/>
      <c r="T7" s="17"/>
      <c r="U7" s="17"/>
    </row>
    <row r="8" spans="1:22" ht="21.6" customHeight="1" x14ac:dyDescent="0.3">
      <c r="A8" s="6" t="s">
        <v>224</v>
      </c>
      <c r="B8" s="58" t="s">
        <v>276</v>
      </c>
      <c r="C8" s="127">
        <v>273</v>
      </c>
      <c r="D8" s="127">
        <v>212</v>
      </c>
      <c r="E8" s="127">
        <v>64</v>
      </c>
      <c r="F8" s="55"/>
      <c r="G8" s="17"/>
      <c r="H8" s="17"/>
      <c r="I8" s="17"/>
      <c r="J8" s="17"/>
      <c r="K8" s="17"/>
      <c r="L8" s="17"/>
      <c r="M8" s="17"/>
      <c r="N8" s="17"/>
      <c r="O8" s="17"/>
      <c r="P8" s="17"/>
      <c r="Q8" s="17"/>
      <c r="R8" s="17"/>
      <c r="S8" s="17"/>
      <c r="T8" s="17"/>
      <c r="U8" s="17"/>
    </row>
    <row r="9" spans="1:22" ht="21.6" customHeight="1" x14ac:dyDescent="0.3">
      <c r="A9" s="6" t="s">
        <v>234</v>
      </c>
      <c r="B9" s="58" t="s">
        <v>235</v>
      </c>
      <c r="C9" s="127">
        <v>353</v>
      </c>
      <c r="D9" s="127">
        <v>252</v>
      </c>
      <c r="E9" s="127">
        <v>93</v>
      </c>
      <c r="F9" s="55"/>
      <c r="G9" s="17"/>
      <c r="H9" s="17"/>
      <c r="I9" s="17"/>
      <c r="J9" s="17"/>
      <c r="K9" s="17"/>
      <c r="L9" s="17"/>
      <c r="M9" s="17"/>
      <c r="N9" s="17"/>
      <c r="O9" s="17"/>
      <c r="P9" s="17"/>
      <c r="Q9" s="17"/>
      <c r="R9" s="17"/>
      <c r="S9" s="17"/>
      <c r="T9" s="17"/>
      <c r="U9" s="17"/>
    </row>
    <row r="10" spans="1:22" ht="21.6" customHeight="1" x14ac:dyDescent="0.3">
      <c r="A10" s="6" t="s">
        <v>455</v>
      </c>
      <c r="B10" s="33" t="s">
        <v>318</v>
      </c>
      <c r="C10" s="109">
        <v>1252</v>
      </c>
      <c r="D10" s="109">
        <v>913</v>
      </c>
      <c r="E10" s="201">
        <v>248</v>
      </c>
      <c r="F10" s="55"/>
      <c r="G10" s="17"/>
      <c r="H10" s="17"/>
      <c r="I10" s="17"/>
      <c r="J10" s="17"/>
      <c r="K10" s="17"/>
      <c r="L10" s="17"/>
      <c r="M10" s="17"/>
      <c r="N10" s="17"/>
      <c r="O10" s="17"/>
      <c r="P10" s="17"/>
      <c r="Q10" s="17"/>
      <c r="R10" s="17"/>
      <c r="S10" s="17"/>
      <c r="T10" s="17"/>
      <c r="U10" s="17"/>
    </row>
    <row r="11" spans="1:22" ht="67.5" customHeight="1" x14ac:dyDescent="0.3">
      <c r="A11" s="547" t="s">
        <v>1185</v>
      </c>
      <c r="B11" s="547"/>
      <c r="C11" s="547"/>
      <c r="D11" s="547"/>
      <c r="E11" s="547"/>
      <c r="F11" s="67"/>
      <c r="G11" s="17"/>
      <c r="H11" s="17"/>
      <c r="I11" s="17"/>
      <c r="J11" s="17"/>
      <c r="K11" s="17"/>
      <c r="L11" s="17"/>
      <c r="M11" s="17"/>
      <c r="N11" s="17"/>
      <c r="O11" s="17"/>
      <c r="P11" s="17"/>
      <c r="Q11" s="17"/>
      <c r="R11" s="17"/>
      <c r="S11" s="17"/>
      <c r="T11" s="17"/>
      <c r="U11" s="17"/>
      <c r="V11" s="17"/>
    </row>
    <row r="12" spans="1:22" ht="14.1" customHeight="1" x14ac:dyDescent="0.3">
      <c r="A12" s="67"/>
      <c r="B12" s="67"/>
      <c r="C12" s="67"/>
      <c r="D12" s="67"/>
      <c r="E12" s="67"/>
      <c r="G12" s="17"/>
      <c r="H12" s="17"/>
      <c r="I12" s="17"/>
      <c r="J12" s="17"/>
      <c r="K12" s="17"/>
      <c r="L12" s="17"/>
      <c r="M12" s="17"/>
      <c r="N12" s="17"/>
      <c r="O12" s="17"/>
      <c r="P12" s="17"/>
      <c r="Q12" s="17"/>
      <c r="R12" s="17"/>
      <c r="S12" s="17"/>
      <c r="T12" s="17"/>
      <c r="U12" s="17"/>
      <c r="V12" s="17"/>
    </row>
    <row r="13" spans="1:22" ht="14.1" customHeight="1" x14ac:dyDescent="0.3">
      <c r="A13" s="67"/>
      <c r="B13" s="67"/>
      <c r="C13" s="67"/>
      <c r="D13" s="67"/>
      <c r="E13" s="67"/>
      <c r="F13" s="17"/>
      <c r="G13" s="17"/>
      <c r="H13" s="17"/>
      <c r="I13" s="17"/>
      <c r="J13" s="17"/>
      <c r="K13" s="17"/>
      <c r="L13" s="17"/>
      <c r="M13" s="17"/>
      <c r="N13" s="17"/>
      <c r="O13" s="17"/>
      <c r="P13" s="17"/>
      <c r="Q13" s="17"/>
      <c r="R13" s="17"/>
      <c r="S13" s="17"/>
      <c r="T13" s="17"/>
      <c r="U13" s="17"/>
      <c r="V13" s="17"/>
    </row>
    <row r="14" spans="1:22" ht="14.1" customHeight="1" x14ac:dyDescent="0.3">
      <c r="A14" s="67"/>
      <c r="B14" s="67"/>
      <c r="C14" s="67"/>
      <c r="D14" s="67"/>
      <c r="E14" s="67"/>
      <c r="F14" s="17"/>
      <c r="G14" s="17"/>
      <c r="H14" s="17"/>
      <c r="I14" s="17"/>
      <c r="J14" s="17"/>
      <c r="K14" s="17"/>
      <c r="L14" s="17"/>
      <c r="M14" s="17"/>
      <c r="N14" s="17"/>
      <c r="O14" s="17"/>
      <c r="P14" s="17"/>
      <c r="Q14" s="17"/>
      <c r="R14" s="17"/>
      <c r="S14" s="17"/>
      <c r="T14" s="17"/>
      <c r="U14" s="17"/>
      <c r="V14" s="17"/>
    </row>
    <row r="15" spans="1:22" ht="14.1" customHeight="1" x14ac:dyDescent="0.3">
      <c r="A15" s="67"/>
      <c r="B15" s="67"/>
      <c r="C15" s="67"/>
      <c r="D15" s="67"/>
      <c r="E15" s="67"/>
      <c r="F15" s="17"/>
      <c r="G15" s="17"/>
      <c r="H15" s="17"/>
      <c r="I15" s="17"/>
      <c r="J15" s="17"/>
      <c r="K15" s="17"/>
      <c r="L15" s="17"/>
      <c r="M15" s="17"/>
      <c r="N15" s="17"/>
      <c r="O15" s="17"/>
      <c r="P15" s="17"/>
      <c r="Q15" s="17"/>
      <c r="R15" s="17"/>
      <c r="S15" s="17"/>
      <c r="T15" s="17"/>
      <c r="U15" s="17"/>
      <c r="V15" s="17"/>
    </row>
    <row r="16" spans="1:22" ht="14.1" customHeight="1" x14ac:dyDescent="0.3">
      <c r="A16" s="67"/>
      <c r="B16" s="67"/>
      <c r="C16" s="67"/>
      <c r="D16" s="67"/>
      <c r="E16" s="67"/>
      <c r="F16" s="17"/>
      <c r="G16" s="17"/>
      <c r="H16" s="17"/>
      <c r="I16" s="17"/>
      <c r="J16" s="17"/>
      <c r="K16" s="17"/>
      <c r="L16" s="17"/>
      <c r="M16" s="17"/>
      <c r="N16" s="17"/>
      <c r="O16" s="17"/>
      <c r="P16" s="17"/>
      <c r="Q16" s="17"/>
      <c r="R16" s="17"/>
      <c r="S16" s="17"/>
      <c r="T16" s="17"/>
      <c r="U16" s="17"/>
      <c r="V16" s="17"/>
    </row>
    <row r="17" spans="1:22" ht="14.1" customHeight="1" x14ac:dyDescent="0.3">
      <c r="A17" s="67"/>
      <c r="B17" s="67"/>
      <c r="C17" s="67"/>
      <c r="D17" s="67"/>
      <c r="E17" s="67"/>
      <c r="F17" s="17"/>
      <c r="G17" s="17"/>
      <c r="H17" s="17"/>
      <c r="I17" s="17"/>
      <c r="J17" s="17"/>
      <c r="K17" s="17"/>
      <c r="L17" s="17"/>
      <c r="M17" s="17"/>
      <c r="N17" s="17"/>
      <c r="O17" s="17"/>
      <c r="P17" s="17"/>
      <c r="Q17" s="17"/>
      <c r="R17" s="17"/>
      <c r="S17" s="17"/>
      <c r="T17" s="17"/>
      <c r="U17" s="17"/>
      <c r="V17" s="17"/>
    </row>
    <row r="18" spans="1:22" ht="14.1" customHeight="1" x14ac:dyDescent="0.3">
      <c r="A18" s="17"/>
      <c r="B18" s="17"/>
      <c r="C18" s="17"/>
      <c r="D18" s="17"/>
      <c r="E18" s="17"/>
      <c r="F18" s="17"/>
      <c r="G18" s="17"/>
      <c r="H18" s="17"/>
      <c r="I18" s="17"/>
      <c r="J18" s="17"/>
      <c r="K18" s="17"/>
      <c r="L18" s="17"/>
      <c r="M18" s="17"/>
      <c r="N18" s="17"/>
      <c r="O18" s="17"/>
      <c r="P18" s="17"/>
      <c r="Q18" s="17"/>
      <c r="R18" s="17"/>
      <c r="S18" s="17"/>
      <c r="T18" s="17"/>
      <c r="U18" s="17"/>
      <c r="V18" s="17"/>
    </row>
    <row r="19" spans="1:22" ht="14.1" customHeight="1" x14ac:dyDescent="0.3">
      <c r="A19" s="17"/>
      <c r="B19" s="17"/>
      <c r="C19" s="17"/>
      <c r="D19" s="17"/>
      <c r="E19" s="17"/>
      <c r="F19" s="17"/>
      <c r="G19" s="17"/>
      <c r="H19" s="17"/>
      <c r="I19" s="17"/>
      <c r="J19" s="17"/>
      <c r="K19" s="17"/>
      <c r="L19" s="17"/>
      <c r="M19" s="17"/>
      <c r="N19" s="17"/>
      <c r="O19" s="17"/>
      <c r="P19" s="17"/>
      <c r="Q19" s="17"/>
      <c r="R19" s="17"/>
      <c r="S19" s="17"/>
      <c r="T19" s="17"/>
      <c r="U19" s="17"/>
      <c r="V19" s="17"/>
    </row>
    <row r="20" spans="1:22" ht="14.1" customHeight="1" x14ac:dyDescent="0.3">
      <c r="A20" s="17"/>
      <c r="B20" s="17"/>
      <c r="C20" s="17"/>
      <c r="D20" s="17"/>
      <c r="E20" s="17"/>
      <c r="F20" s="17"/>
      <c r="G20" s="17"/>
      <c r="H20" s="17"/>
      <c r="I20" s="17"/>
      <c r="J20" s="17"/>
      <c r="K20" s="17"/>
      <c r="L20" s="17"/>
      <c r="M20" s="17"/>
      <c r="N20" s="17"/>
      <c r="O20" s="17"/>
      <c r="P20" s="17"/>
      <c r="Q20" s="17"/>
      <c r="R20" s="17"/>
      <c r="S20" s="17"/>
      <c r="T20" s="17"/>
      <c r="U20" s="17"/>
      <c r="V20" s="17"/>
    </row>
    <row r="21" spans="1:22" ht="14.1" customHeight="1" x14ac:dyDescent="0.3">
      <c r="A21" s="17"/>
      <c r="B21" s="17"/>
      <c r="C21" s="17"/>
      <c r="D21" s="17"/>
      <c r="E21" s="17"/>
      <c r="F21" s="17"/>
      <c r="G21" s="17"/>
      <c r="H21" s="17"/>
      <c r="I21" s="17"/>
      <c r="J21" s="17"/>
      <c r="K21" s="17"/>
      <c r="L21" s="17"/>
      <c r="M21" s="17"/>
      <c r="N21" s="17"/>
      <c r="O21" s="17"/>
      <c r="P21" s="17"/>
      <c r="Q21" s="17"/>
      <c r="R21" s="17"/>
      <c r="S21" s="17"/>
      <c r="T21" s="17"/>
      <c r="U21" s="17"/>
      <c r="V21" s="17"/>
    </row>
    <row r="22" spans="1:22" ht="14.1" customHeight="1" x14ac:dyDescent="0.3">
      <c r="A22" s="17"/>
      <c r="B22" s="17"/>
      <c r="C22" s="17"/>
      <c r="D22" s="17"/>
      <c r="E22" s="17"/>
      <c r="F22" s="17"/>
      <c r="G22" s="17"/>
      <c r="H22" s="17"/>
      <c r="I22" s="17"/>
      <c r="J22" s="17"/>
      <c r="K22" s="17"/>
      <c r="L22" s="17"/>
      <c r="M22" s="17"/>
      <c r="N22" s="17"/>
      <c r="O22" s="17"/>
      <c r="P22" s="17"/>
      <c r="Q22" s="17"/>
      <c r="R22" s="17"/>
      <c r="S22" s="17"/>
      <c r="T22" s="17"/>
      <c r="U22" s="17"/>
      <c r="V22" s="17"/>
    </row>
    <row r="23" spans="1:22" ht="14.1" customHeight="1" x14ac:dyDescent="0.3">
      <c r="A23" s="17"/>
      <c r="B23" s="17"/>
      <c r="C23" s="17"/>
      <c r="D23" s="17"/>
      <c r="E23" s="17"/>
      <c r="F23" s="17"/>
      <c r="G23" s="17"/>
      <c r="H23" s="17"/>
      <c r="I23" s="17"/>
      <c r="J23" s="17"/>
      <c r="K23" s="17"/>
      <c r="L23" s="17"/>
      <c r="M23" s="17"/>
      <c r="N23" s="17"/>
      <c r="O23" s="17"/>
      <c r="P23" s="17"/>
      <c r="Q23" s="17"/>
      <c r="R23" s="17"/>
      <c r="S23" s="17"/>
      <c r="T23" s="17"/>
      <c r="U23" s="17"/>
      <c r="V23" s="17"/>
    </row>
    <row r="24" spans="1:22" ht="14.1" customHeight="1" x14ac:dyDescent="0.3">
      <c r="A24" s="17"/>
      <c r="B24" s="17"/>
      <c r="C24" s="17"/>
      <c r="D24" s="17"/>
      <c r="E24" s="17"/>
      <c r="F24" s="17"/>
      <c r="G24" s="17"/>
      <c r="H24" s="17"/>
      <c r="I24" s="17"/>
      <c r="J24" s="17"/>
      <c r="K24" s="17"/>
      <c r="L24" s="17"/>
      <c r="M24" s="17"/>
      <c r="N24" s="17"/>
      <c r="O24" s="17"/>
      <c r="P24" s="17"/>
      <c r="Q24" s="17"/>
      <c r="R24" s="17"/>
      <c r="S24" s="17"/>
      <c r="T24" s="17"/>
      <c r="U24" s="17"/>
      <c r="V24" s="17"/>
    </row>
    <row r="25" spans="1:22" ht="14.1" customHeight="1" x14ac:dyDescent="0.3">
      <c r="A25" s="17"/>
      <c r="B25" s="17"/>
      <c r="C25" s="17"/>
      <c r="D25" s="17"/>
      <c r="E25" s="17"/>
      <c r="F25" s="17"/>
      <c r="G25" s="17"/>
      <c r="H25" s="17"/>
      <c r="I25" s="17"/>
      <c r="J25" s="17"/>
      <c r="K25" s="17"/>
      <c r="L25" s="17"/>
      <c r="M25" s="17"/>
      <c r="N25" s="17"/>
      <c r="O25" s="17"/>
      <c r="P25" s="17"/>
      <c r="Q25" s="17"/>
      <c r="R25" s="17"/>
      <c r="S25" s="17"/>
      <c r="T25" s="17"/>
      <c r="U25" s="17"/>
      <c r="V25" s="17"/>
    </row>
    <row r="26" spans="1:22" ht="14.1" customHeight="1" x14ac:dyDescent="0.3">
      <c r="A26" s="17"/>
      <c r="B26" s="17"/>
      <c r="C26" s="17"/>
      <c r="D26" s="17"/>
      <c r="E26" s="17"/>
      <c r="F26" s="17"/>
      <c r="G26" s="17"/>
      <c r="H26" s="17"/>
      <c r="I26" s="17"/>
      <c r="J26" s="17"/>
      <c r="K26" s="17"/>
      <c r="L26" s="17"/>
      <c r="M26" s="17"/>
      <c r="N26" s="17"/>
      <c r="O26" s="17"/>
      <c r="P26" s="17"/>
      <c r="Q26" s="17"/>
      <c r="R26" s="17"/>
      <c r="S26" s="17"/>
      <c r="T26" s="17"/>
      <c r="U26" s="17"/>
      <c r="V26" s="17"/>
    </row>
    <row r="27" spans="1:22" ht="14.1" customHeight="1" x14ac:dyDescent="0.3">
      <c r="A27" s="17"/>
      <c r="B27" s="17"/>
      <c r="C27" s="17"/>
      <c r="D27" s="17"/>
      <c r="E27" s="17"/>
      <c r="F27" s="17"/>
      <c r="G27" s="17"/>
      <c r="H27" s="17"/>
      <c r="I27" s="17"/>
      <c r="J27" s="17"/>
      <c r="K27" s="17"/>
      <c r="L27" s="17"/>
      <c r="M27" s="17"/>
      <c r="N27" s="17"/>
      <c r="O27" s="17"/>
      <c r="P27" s="17"/>
      <c r="Q27" s="17"/>
      <c r="R27" s="17"/>
      <c r="S27" s="17"/>
      <c r="T27" s="17"/>
      <c r="U27" s="17"/>
      <c r="V27" s="17"/>
    </row>
    <row r="28" spans="1:22" ht="14.1" customHeight="1" x14ac:dyDescent="0.3">
      <c r="A28" s="17"/>
      <c r="B28" s="17"/>
      <c r="C28" s="17"/>
      <c r="D28" s="17"/>
      <c r="E28" s="17"/>
      <c r="F28" s="17"/>
      <c r="G28" s="17"/>
      <c r="H28" s="17"/>
      <c r="I28" s="17"/>
      <c r="J28" s="17"/>
      <c r="K28" s="17"/>
      <c r="L28" s="17"/>
      <c r="M28" s="17"/>
      <c r="N28" s="17"/>
      <c r="O28" s="17"/>
      <c r="P28" s="17"/>
      <c r="Q28" s="17"/>
      <c r="R28" s="17"/>
      <c r="S28" s="17"/>
      <c r="T28" s="17"/>
      <c r="U28" s="17"/>
      <c r="V28" s="17"/>
    </row>
    <row r="29" spans="1:22" ht="14.1" customHeight="1" x14ac:dyDescent="0.3">
      <c r="A29" s="17"/>
      <c r="B29" s="17"/>
      <c r="C29" s="17"/>
      <c r="D29" s="137"/>
      <c r="E29" s="17"/>
      <c r="F29" s="17"/>
      <c r="G29" s="17"/>
      <c r="H29" s="17"/>
      <c r="I29" s="17"/>
      <c r="J29" s="17"/>
      <c r="K29" s="17"/>
      <c r="L29" s="17"/>
      <c r="M29" s="17"/>
      <c r="N29" s="17"/>
      <c r="O29" s="17"/>
      <c r="P29" s="17"/>
      <c r="Q29" s="17"/>
      <c r="R29" s="17"/>
      <c r="S29" s="17"/>
      <c r="T29" s="17"/>
      <c r="U29" s="17"/>
      <c r="V29" s="17"/>
    </row>
    <row r="30" spans="1:22" ht="15" customHeight="1" x14ac:dyDescent="0.25"/>
    <row r="31" spans="1:22" ht="15" customHeight="1" x14ac:dyDescent="0.25"/>
    <row r="32" spans="1:2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sheetProtection algorithmName="SHA-512" hashValue="IaiGkIAuwVksD7/80deljliZwcDJdA2uTqbLTivJ4jpCOmvJCC77DYJa1g+/Ac1IWh5QDQV6wVSfbNBaUF5scA==" saltValue="oCIv7NPIus9s/Xjc/g9BKg==" spinCount="100000" sheet="1" objects="1" scenarios="1" formatColumns="0" formatRows="0"/>
  <mergeCells count="5">
    <mergeCell ref="A1:F1"/>
    <mergeCell ref="C3:E3"/>
    <mergeCell ref="B3:B4"/>
    <mergeCell ref="A3:A4"/>
    <mergeCell ref="A11:E1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46"/>
  <sheetViews>
    <sheetView showRuler="0" workbookViewId="0">
      <selection activeCell="D18" sqref="D18"/>
    </sheetView>
  </sheetViews>
  <sheetFormatPr defaultColWidth="13.6640625" defaultRowHeight="13.2" x14ac:dyDescent="0.25"/>
  <cols>
    <col min="1" max="1" width="23.109375" customWidth="1"/>
    <col min="2" max="2" width="19.109375" customWidth="1"/>
    <col min="3" max="10" width="17.33203125" customWidth="1"/>
  </cols>
  <sheetData>
    <row r="1" spans="1:11" ht="25.95" customHeight="1" x14ac:dyDescent="0.3">
      <c r="A1" s="595" t="s">
        <v>1186</v>
      </c>
      <c r="B1" s="595"/>
      <c r="C1" s="595"/>
      <c r="D1" s="595"/>
      <c r="E1" s="595"/>
      <c r="F1" s="595"/>
      <c r="G1" s="17"/>
      <c r="H1" s="17"/>
      <c r="I1" s="17"/>
      <c r="J1" s="17"/>
    </row>
    <row r="2" spans="1:11" ht="22.5" customHeight="1" x14ac:dyDescent="0.3">
      <c r="A2" s="28"/>
      <c r="B2" s="28"/>
      <c r="C2" s="28"/>
      <c r="J2" s="28"/>
    </row>
    <row r="3" spans="1:11" ht="40.950000000000003" customHeight="1" x14ac:dyDescent="0.3">
      <c r="A3" s="719" t="s">
        <v>1187</v>
      </c>
      <c r="B3" s="717" t="s">
        <v>207</v>
      </c>
      <c r="C3" s="554" t="s">
        <v>1188</v>
      </c>
      <c r="D3" s="556"/>
      <c r="E3" s="554" t="s">
        <v>1189</v>
      </c>
      <c r="F3" s="555"/>
      <c r="G3" s="555"/>
      <c r="H3" s="555"/>
      <c r="I3" s="556"/>
      <c r="J3" s="115"/>
      <c r="K3" s="13"/>
    </row>
    <row r="4" spans="1:11" ht="65.849999999999994" customHeight="1" x14ac:dyDescent="0.3">
      <c r="A4" s="720"/>
      <c r="B4" s="718"/>
      <c r="C4" s="18" t="s">
        <v>1190</v>
      </c>
      <c r="D4" s="61" t="s">
        <v>1191</v>
      </c>
      <c r="E4" s="18" t="s">
        <v>1192</v>
      </c>
      <c r="F4" s="18" t="s">
        <v>1193</v>
      </c>
      <c r="G4" s="18" t="s">
        <v>1194</v>
      </c>
      <c r="H4" s="18" t="s">
        <v>1195</v>
      </c>
      <c r="I4" s="18" t="s">
        <v>1196</v>
      </c>
      <c r="J4" s="18" t="s">
        <v>1197</v>
      </c>
      <c r="K4" s="13"/>
    </row>
    <row r="5" spans="1:11" ht="19.2" customHeight="1" x14ac:dyDescent="0.3">
      <c r="A5" s="537" t="s">
        <v>245</v>
      </c>
      <c r="B5" s="7" t="s">
        <v>246</v>
      </c>
      <c r="C5" s="122">
        <v>39</v>
      </c>
      <c r="D5" s="122">
        <v>71</v>
      </c>
      <c r="E5" s="122">
        <v>274</v>
      </c>
      <c r="F5" s="122">
        <v>15</v>
      </c>
      <c r="G5" s="122">
        <v>420</v>
      </c>
      <c r="H5" s="122">
        <v>605</v>
      </c>
      <c r="I5" s="122">
        <v>235</v>
      </c>
      <c r="J5" s="223"/>
      <c r="K5" s="13"/>
    </row>
    <row r="6" spans="1:11" ht="19.2" customHeight="1" x14ac:dyDescent="0.3">
      <c r="A6" s="596"/>
      <c r="B6" s="123" t="s">
        <v>1198</v>
      </c>
      <c r="C6" s="127">
        <v>1</v>
      </c>
      <c r="D6" s="127">
        <v>2</v>
      </c>
      <c r="E6" s="127">
        <v>0</v>
      </c>
      <c r="F6" s="127">
        <v>4</v>
      </c>
      <c r="G6" s="127">
        <v>0</v>
      </c>
      <c r="H6" s="127">
        <v>24</v>
      </c>
      <c r="I6" s="127">
        <v>0</v>
      </c>
      <c r="J6" s="214">
        <v>1</v>
      </c>
      <c r="K6" s="13"/>
    </row>
    <row r="7" spans="1:11" ht="19.2" customHeight="1" x14ac:dyDescent="0.3">
      <c r="A7" s="596"/>
      <c r="B7" s="123" t="s">
        <v>1199</v>
      </c>
      <c r="C7" s="127">
        <v>7</v>
      </c>
      <c r="D7" s="127">
        <v>35</v>
      </c>
      <c r="E7" s="127">
        <v>75</v>
      </c>
      <c r="F7" s="127">
        <v>2</v>
      </c>
      <c r="G7" s="127">
        <v>118</v>
      </c>
      <c r="H7" s="127">
        <v>96</v>
      </c>
      <c r="I7" s="127">
        <v>102</v>
      </c>
      <c r="J7" s="214">
        <v>1</v>
      </c>
      <c r="K7" s="13"/>
    </row>
    <row r="8" spans="1:11" ht="19.2" customHeight="1" x14ac:dyDescent="0.3">
      <c r="A8" s="596"/>
      <c r="B8" s="123" t="s">
        <v>514</v>
      </c>
      <c r="C8" s="127">
        <v>15</v>
      </c>
      <c r="D8" s="127">
        <v>2</v>
      </c>
      <c r="E8" s="127">
        <v>103</v>
      </c>
      <c r="F8" s="127">
        <v>5</v>
      </c>
      <c r="G8" s="127">
        <v>252</v>
      </c>
      <c r="H8" s="127">
        <v>369</v>
      </c>
      <c r="I8" s="127">
        <v>0</v>
      </c>
      <c r="J8" s="214">
        <v>1</v>
      </c>
      <c r="K8" s="13"/>
    </row>
    <row r="9" spans="1:11" ht="19.2" customHeight="1" x14ac:dyDescent="0.3">
      <c r="A9" s="594"/>
      <c r="B9" s="123" t="s">
        <v>247</v>
      </c>
      <c r="C9" s="127">
        <v>16</v>
      </c>
      <c r="D9" s="127">
        <v>32</v>
      </c>
      <c r="E9" s="127">
        <v>96</v>
      </c>
      <c r="F9" s="127">
        <v>4</v>
      </c>
      <c r="G9" s="127">
        <v>50</v>
      </c>
      <c r="H9" s="127">
        <v>116</v>
      </c>
      <c r="I9" s="127">
        <v>133</v>
      </c>
      <c r="J9" s="214">
        <v>1</v>
      </c>
      <c r="K9" s="13"/>
    </row>
    <row r="10" spans="1:11" ht="19.2" customHeight="1" x14ac:dyDescent="0.3">
      <c r="A10" s="537" t="s">
        <v>213</v>
      </c>
      <c r="B10" s="7" t="s">
        <v>328</v>
      </c>
      <c r="C10" s="122">
        <v>13</v>
      </c>
      <c r="D10" s="122">
        <v>17</v>
      </c>
      <c r="E10" s="122">
        <v>2</v>
      </c>
      <c r="F10" s="122">
        <v>10</v>
      </c>
      <c r="G10" s="122">
        <v>3</v>
      </c>
      <c r="H10" s="122">
        <v>124</v>
      </c>
      <c r="I10" s="122">
        <v>0</v>
      </c>
      <c r="J10" s="223"/>
      <c r="K10" s="13"/>
    </row>
    <row r="11" spans="1:11" ht="19.2" customHeight="1" x14ac:dyDescent="0.3">
      <c r="A11" s="596"/>
      <c r="B11" s="161" t="s">
        <v>453</v>
      </c>
      <c r="C11" s="127">
        <v>13</v>
      </c>
      <c r="D11" s="127">
        <v>17</v>
      </c>
      <c r="E11" s="127">
        <v>2</v>
      </c>
      <c r="F11" s="127">
        <v>10</v>
      </c>
      <c r="G11" s="127">
        <v>3</v>
      </c>
      <c r="H11" s="127">
        <v>124</v>
      </c>
      <c r="I11" s="127">
        <v>0</v>
      </c>
      <c r="J11" s="214">
        <v>1</v>
      </c>
      <c r="K11" s="13"/>
    </row>
    <row r="12" spans="1:11" ht="19.2" customHeight="1" x14ac:dyDescent="0.3">
      <c r="A12" s="596"/>
      <c r="B12" s="7" t="s">
        <v>331</v>
      </c>
      <c r="C12" s="122">
        <v>3</v>
      </c>
      <c r="D12" s="122">
        <v>4</v>
      </c>
      <c r="E12" s="122">
        <v>4</v>
      </c>
      <c r="F12" s="122">
        <v>3</v>
      </c>
      <c r="G12" s="122">
        <v>0</v>
      </c>
      <c r="H12" s="122">
        <v>28</v>
      </c>
      <c r="I12" s="122">
        <v>0</v>
      </c>
      <c r="J12" s="223"/>
      <c r="K12" s="13"/>
    </row>
    <row r="13" spans="1:11" ht="19.2" customHeight="1" x14ac:dyDescent="0.3">
      <c r="A13" s="596"/>
      <c r="B13" s="161" t="s">
        <v>1200</v>
      </c>
      <c r="C13" s="127">
        <v>3</v>
      </c>
      <c r="D13" s="127">
        <v>4</v>
      </c>
      <c r="E13" s="127">
        <v>4</v>
      </c>
      <c r="F13" s="127">
        <v>3</v>
      </c>
      <c r="G13" s="127">
        <v>0</v>
      </c>
      <c r="H13" s="127">
        <v>28</v>
      </c>
      <c r="I13" s="127">
        <v>0</v>
      </c>
      <c r="J13" s="214">
        <v>1</v>
      </c>
      <c r="K13" s="13"/>
    </row>
    <row r="14" spans="1:11" ht="19.2" customHeight="1" x14ac:dyDescent="0.3">
      <c r="A14" s="596"/>
      <c r="B14" s="7" t="s">
        <v>1201</v>
      </c>
      <c r="C14" s="122">
        <v>2</v>
      </c>
      <c r="D14" s="122">
        <v>4</v>
      </c>
      <c r="E14" s="122">
        <v>0</v>
      </c>
      <c r="F14" s="122">
        <v>1</v>
      </c>
      <c r="G14" s="122">
        <v>0</v>
      </c>
      <c r="H14" s="122">
        <v>16</v>
      </c>
      <c r="I14" s="122">
        <v>0</v>
      </c>
      <c r="J14" s="223"/>
      <c r="K14" s="13"/>
    </row>
    <row r="15" spans="1:11" ht="25.95" customHeight="1" x14ac:dyDescent="0.3">
      <c r="A15" s="596"/>
      <c r="B15" s="161" t="s">
        <v>1202</v>
      </c>
      <c r="C15" s="127">
        <v>2</v>
      </c>
      <c r="D15" s="127">
        <v>4</v>
      </c>
      <c r="E15" s="127">
        <v>0</v>
      </c>
      <c r="F15" s="127">
        <v>1</v>
      </c>
      <c r="G15" s="127">
        <v>0</v>
      </c>
      <c r="H15" s="127">
        <v>16</v>
      </c>
      <c r="I15" s="127">
        <v>0</v>
      </c>
      <c r="J15" s="214">
        <v>1</v>
      </c>
      <c r="K15" s="13"/>
    </row>
    <row r="16" spans="1:11" ht="19.2" customHeight="1" x14ac:dyDescent="0.3">
      <c r="A16" s="596"/>
      <c r="B16" s="7" t="s">
        <v>214</v>
      </c>
      <c r="C16" s="122">
        <v>84</v>
      </c>
      <c r="D16" s="122">
        <v>84</v>
      </c>
      <c r="E16" s="122">
        <v>2202</v>
      </c>
      <c r="F16" s="122">
        <v>9</v>
      </c>
      <c r="G16" s="122">
        <v>0</v>
      </c>
      <c r="H16" s="122">
        <v>608</v>
      </c>
      <c r="I16" s="122">
        <v>3847</v>
      </c>
      <c r="J16" s="223"/>
      <c r="K16" s="13"/>
    </row>
    <row r="17" spans="1:11" ht="19.2" customHeight="1" x14ac:dyDescent="0.3">
      <c r="A17" s="596"/>
      <c r="B17" s="161" t="s">
        <v>215</v>
      </c>
      <c r="C17" s="127">
        <v>84</v>
      </c>
      <c r="D17" s="127">
        <v>84</v>
      </c>
      <c r="E17" s="127">
        <v>2202</v>
      </c>
      <c r="F17" s="127">
        <v>9</v>
      </c>
      <c r="G17" s="127">
        <v>0</v>
      </c>
      <c r="H17" s="127">
        <v>608</v>
      </c>
      <c r="I17" s="127">
        <v>3847</v>
      </c>
      <c r="J17" s="214">
        <v>1</v>
      </c>
      <c r="K17" s="13"/>
    </row>
    <row r="18" spans="1:11" ht="19.2" customHeight="1" x14ac:dyDescent="0.3">
      <c r="A18" s="596"/>
      <c r="B18" s="7" t="s">
        <v>265</v>
      </c>
      <c r="C18" s="122">
        <v>21</v>
      </c>
      <c r="D18" s="122">
        <v>42</v>
      </c>
      <c r="E18" s="122">
        <v>0</v>
      </c>
      <c r="F18" s="122">
        <v>23</v>
      </c>
      <c r="G18" s="122">
        <v>23</v>
      </c>
      <c r="H18" s="122">
        <v>115</v>
      </c>
      <c r="I18" s="122">
        <v>0</v>
      </c>
      <c r="J18" s="223"/>
      <c r="K18" s="13"/>
    </row>
    <row r="19" spans="1:11" ht="19.2" customHeight="1" x14ac:dyDescent="0.3">
      <c r="A19" s="594"/>
      <c r="B19" s="161" t="s">
        <v>266</v>
      </c>
      <c r="C19" s="127">
        <v>21</v>
      </c>
      <c r="D19" s="127">
        <v>42</v>
      </c>
      <c r="E19" s="127">
        <v>0</v>
      </c>
      <c r="F19" s="127">
        <v>23</v>
      </c>
      <c r="G19" s="127">
        <v>23</v>
      </c>
      <c r="H19" s="127">
        <v>115</v>
      </c>
      <c r="I19" s="127">
        <v>0</v>
      </c>
      <c r="J19" s="224">
        <v>0.96</v>
      </c>
      <c r="K19" s="13"/>
    </row>
    <row r="20" spans="1:11" ht="19.2" customHeight="1" x14ac:dyDescent="0.3">
      <c r="A20" s="537" t="s">
        <v>224</v>
      </c>
      <c r="B20" s="7" t="s">
        <v>225</v>
      </c>
      <c r="C20" s="122">
        <v>12</v>
      </c>
      <c r="D20" s="122">
        <v>10</v>
      </c>
      <c r="E20" s="122">
        <v>3</v>
      </c>
      <c r="F20" s="122">
        <v>4</v>
      </c>
      <c r="G20" s="122">
        <v>0</v>
      </c>
      <c r="H20" s="122">
        <v>48</v>
      </c>
      <c r="I20" s="122">
        <v>0</v>
      </c>
      <c r="J20" s="223"/>
      <c r="K20" s="13"/>
    </row>
    <row r="21" spans="1:11" ht="19.2" customHeight="1" x14ac:dyDescent="0.3">
      <c r="A21" s="596"/>
      <c r="B21" s="123" t="s">
        <v>226</v>
      </c>
      <c r="C21" s="127">
        <v>8</v>
      </c>
      <c r="D21" s="127">
        <v>4</v>
      </c>
      <c r="E21" s="127">
        <v>2</v>
      </c>
      <c r="F21" s="127">
        <v>2</v>
      </c>
      <c r="G21" s="127">
        <v>0</v>
      </c>
      <c r="H21" s="127">
        <v>9</v>
      </c>
      <c r="I21" s="127">
        <v>0</v>
      </c>
      <c r="J21" s="214">
        <v>1</v>
      </c>
      <c r="K21" s="13"/>
    </row>
    <row r="22" spans="1:11" ht="19.2" customHeight="1" x14ac:dyDescent="0.3">
      <c r="A22" s="596"/>
      <c r="B22" s="123" t="s">
        <v>454</v>
      </c>
      <c r="C22" s="127" t="s">
        <v>1203</v>
      </c>
      <c r="D22" s="127" t="s">
        <v>1203</v>
      </c>
      <c r="E22" s="127">
        <v>1</v>
      </c>
      <c r="F22" s="127">
        <v>0</v>
      </c>
      <c r="G22" s="127">
        <v>0</v>
      </c>
      <c r="H22" s="127">
        <v>5</v>
      </c>
      <c r="I22" s="127">
        <v>0</v>
      </c>
      <c r="J22" s="214">
        <v>1</v>
      </c>
      <c r="K22" s="13"/>
    </row>
    <row r="23" spans="1:11" ht="19.2" customHeight="1" x14ac:dyDescent="0.3">
      <c r="A23" s="596"/>
      <c r="B23" s="123" t="s">
        <v>230</v>
      </c>
      <c r="C23" s="127">
        <v>2</v>
      </c>
      <c r="D23" s="127">
        <v>4</v>
      </c>
      <c r="E23" s="127">
        <v>0</v>
      </c>
      <c r="F23" s="127">
        <v>2</v>
      </c>
      <c r="G23" s="127">
        <v>0</v>
      </c>
      <c r="H23" s="127">
        <v>34</v>
      </c>
      <c r="I23" s="127">
        <v>0</v>
      </c>
      <c r="J23" s="214">
        <v>1</v>
      </c>
      <c r="K23" s="13"/>
    </row>
    <row r="24" spans="1:11" ht="19.2" customHeight="1" x14ac:dyDescent="0.3">
      <c r="A24" s="596"/>
      <c r="B24" s="7" t="s">
        <v>276</v>
      </c>
      <c r="C24" s="122">
        <v>9</v>
      </c>
      <c r="D24" s="225" t="s">
        <v>410</v>
      </c>
      <c r="E24" s="122">
        <v>0</v>
      </c>
      <c r="F24" s="122">
        <v>9</v>
      </c>
      <c r="G24" s="122">
        <v>0</v>
      </c>
      <c r="H24" s="122">
        <v>0</v>
      </c>
      <c r="I24" s="122">
        <v>0</v>
      </c>
      <c r="J24" s="223"/>
      <c r="K24" s="13"/>
    </row>
    <row r="25" spans="1:11" ht="19.2" customHeight="1" x14ac:dyDescent="0.3">
      <c r="A25" s="594"/>
      <c r="B25" s="123" t="s">
        <v>277</v>
      </c>
      <c r="C25" s="127">
        <v>9</v>
      </c>
      <c r="D25" s="208" t="s">
        <v>1204</v>
      </c>
      <c r="E25" s="127">
        <v>0</v>
      </c>
      <c r="F25" s="127">
        <v>9</v>
      </c>
      <c r="G25" s="127">
        <v>0</v>
      </c>
      <c r="H25" s="127">
        <v>0</v>
      </c>
      <c r="I25" s="127">
        <v>0</v>
      </c>
      <c r="J25" s="214">
        <v>1</v>
      </c>
      <c r="K25" s="13"/>
    </row>
    <row r="26" spans="1:11" ht="19.2" customHeight="1" x14ac:dyDescent="0.3">
      <c r="A26" s="537" t="s">
        <v>234</v>
      </c>
      <c r="B26" s="7" t="s">
        <v>235</v>
      </c>
      <c r="C26" s="122">
        <v>25</v>
      </c>
      <c r="D26" s="122">
        <v>1</v>
      </c>
      <c r="E26" s="122">
        <v>4</v>
      </c>
      <c r="F26" s="122">
        <v>4</v>
      </c>
      <c r="G26" s="122">
        <v>975</v>
      </c>
      <c r="H26" s="122">
        <v>490</v>
      </c>
      <c r="I26" s="122">
        <v>0</v>
      </c>
      <c r="J26" s="223"/>
      <c r="K26" s="13"/>
    </row>
    <row r="27" spans="1:11" ht="19.2" customHeight="1" x14ac:dyDescent="0.3">
      <c r="A27" s="538"/>
      <c r="B27" s="161" t="s">
        <v>236</v>
      </c>
      <c r="C27" s="127">
        <v>25</v>
      </c>
      <c r="D27" s="127">
        <v>1</v>
      </c>
      <c r="E27" s="127">
        <v>4</v>
      </c>
      <c r="F27" s="127">
        <v>4</v>
      </c>
      <c r="G27" s="127">
        <v>975</v>
      </c>
      <c r="H27" s="127">
        <v>490</v>
      </c>
      <c r="I27" s="127">
        <v>0</v>
      </c>
      <c r="J27" s="214">
        <v>1</v>
      </c>
      <c r="K27" s="13"/>
    </row>
    <row r="28" spans="1:11" ht="19.2" customHeight="1" x14ac:dyDescent="0.3">
      <c r="A28" s="40" t="s">
        <v>455</v>
      </c>
      <c r="B28" s="7" t="s">
        <v>318</v>
      </c>
      <c r="C28" s="122">
        <v>208</v>
      </c>
      <c r="D28" s="122">
        <v>233</v>
      </c>
      <c r="E28" s="122">
        <v>2489</v>
      </c>
      <c r="F28" s="122">
        <v>78</v>
      </c>
      <c r="G28" s="122">
        <v>1421</v>
      </c>
      <c r="H28" s="122">
        <v>2034</v>
      </c>
      <c r="I28" s="122">
        <v>4082</v>
      </c>
      <c r="J28" s="223"/>
      <c r="K28" s="13"/>
    </row>
    <row r="29" spans="1:11" ht="49.2" customHeight="1" x14ac:dyDescent="0.3">
      <c r="A29" s="547" t="s">
        <v>1205</v>
      </c>
      <c r="B29" s="547"/>
      <c r="C29" s="547"/>
      <c r="D29" s="547"/>
      <c r="E29" s="547"/>
      <c r="F29" s="547"/>
      <c r="G29" s="547"/>
      <c r="H29" s="547"/>
      <c r="I29" s="547"/>
      <c r="J29" s="547"/>
    </row>
    <row r="30" spans="1:11" ht="9.15" customHeight="1" x14ac:dyDescent="0.25">
      <c r="A30" s="100"/>
      <c r="B30" s="100"/>
      <c r="C30" s="100"/>
      <c r="D30" s="100"/>
      <c r="E30" s="100"/>
      <c r="F30" s="100"/>
      <c r="G30" s="100"/>
      <c r="H30" s="100"/>
      <c r="I30" s="100"/>
      <c r="J30" s="100"/>
    </row>
    <row r="31" spans="1:11" ht="9.15" customHeight="1" x14ac:dyDescent="0.25">
      <c r="A31" s="100"/>
      <c r="B31" s="100"/>
      <c r="C31" s="100"/>
      <c r="D31" s="100"/>
      <c r="E31" s="100"/>
      <c r="F31" s="100"/>
      <c r="G31" s="100"/>
      <c r="H31" s="100"/>
      <c r="I31" s="100"/>
      <c r="J31" s="100"/>
    </row>
    <row r="32" spans="1:11" ht="9.15" customHeight="1" x14ac:dyDescent="0.25">
      <c r="A32" s="100"/>
      <c r="B32" s="100"/>
      <c r="C32" s="100"/>
      <c r="D32" s="100"/>
      <c r="E32" s="100"/>
      <c r="F32" s="100"/>
      <c r="G32" s="100"/>
      <c r="H32" s="100"/>
      <c r="I32" s="100"/>
      <c r="J32" s="100"/>
    </row>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sheetData>
  <sheetProtection algorithmName="SHA-512" hashValue="pVbTbZFo41JHhkgeShb2dTfd0Fqw4RUJ4GsnbricQQXQxbhJYPw+tlvVuvRsmK0Jjgsm9u5+JkK6gIaa5sOTIg==" saltValue="ry9QWFcI7irgStw1fON2RQ==" spinCount="100000" sheet="1" objects="1" scenarios="1" formatColumns="0" formatRows="0"/>
  <mergeCells count="10">
    <mergeCell ref="A10:A19"/>
    <mergeCell ref="A20:A25"/>
    <mergeCell ref="A26:A27"/>
    <mergeCell ref="A29:J29"/>
    <mergeCell ref="A1:F1"/>
    <mergeCell ref="C3:D3"/>
    <mergeCell ref="B3:B4"/>
    <mergeCell ref="A3:A4"/>
    <mergeCell ref="A5:A9"/>
    <mergeCell ref="E3:I3"/>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8"/>
  <sheetViews>
    <sheetView showRuler="0" workbookViewId="0">
      <selection activeCell="D18" sqref="D18"/>
    </sheetView>
  </sheetViews>
  <sheetFormatPr defaultColWidth="13.6640625" defaultRowHeight="13.2" x14ac:dyDescent="0.25"/>
  <cols>
    <col min="1" max="1" width="24" customWidth="1"/>
    <col min="2" max="2" width="20.44140625" customWidth="1"/>
    <col min="3" max="7" width="19.44140625" customWidth="1"/>
    <col min="8" max="11" width="14.33203125" customWidth="1"/>
  </cols>
  <sheetData>
    <row r="1" spans="1:12" ht="26.7" customHeight="1" x14ac:dyDescent="0.3">
      <c r="A1" s="595" t="s">
        <v>1206</v>
      </c>
      <c r="B1" s="595"/>
      <c r="C1" s="595"/>
      <c r="D1" s="595"/>
      <c r="E1" s="595"/>
      <c r="F1" s="595"/>
      <c r="G1" s="17"/>
      <c r="H1" s="17"/>
      <c r="I1" s="17"/>
      <c r="J1" s="17"/>
      <c r="K1" s="17"/>
    </row>
    <row r="2" spans="1:12" ht="25.95" customHeight="1" x14ac:dyDescent="0.3">
      <c r="B2" s="28"/>
      <c r="C2" s="28"/>
      <c r="D2" s="28"/>
      <c r="E2" s="28"/>
      <c r="F2" s="28"/>
      <c r="G2" s="17"/>
      <c r="H2" s="17"/>
      <c r="I2" s="17"/>
      <c r="J2" s="17"/>
      <c r="K2" s="17"/>
    </row>
    <row r="3" spans="1:12" ht="54.15" customHeight="1" x14ac:dyDescent="0.3">
      <c r="A3" s="45" t="s">
        <v>1207</v>
      </c>
      <c r="B3" s="5" t="s">
        <v>207</v>
      </c>
      <c r="C3" s="18" t="s">
        <v>1190</v>
      </c>
      <c r="D3" s="95" t="s">
        <v>1208</v>
      </c>
      <c r="E3" s="95" t="s">
        <v>1209</v>
      </c>
      <c r="F3" s="95" t="s">
        <v>1210</v>
      </c>
      <c r="G3" s="226"/>
      <c r="H3" s="17"/>
      <c r="I3" s="17"/>
      <c r="J3" s="17"/>
      <c r="K3" s="17"/>
      <c r="L3" s="17"/>
    </row>
    <row r="4" spans="1:12" ht="19.2" customHeight="1" x14ac:dyDescent="0.3">
      <c r="A4" s="536" t="s">
        <v>245</v>
      </c>
      <c r="B4" s="7" t="s">
        <v>246</v>
      </c>
      <c r="C4" s="139">
        <v>34</v>
      </c>
      <c r="D4" s="139">
        <v>68</v>
      </c>
      <c r="E4" s="139">
        <v>187</v>
      </c>
      <c r="F4" s="139">
        <v>906</v>
      </c>
      <c r="G4" s="227"/>
      <c r="H4" s="17"/>
      <c r="I4" s="17"/>
      <c r="J4" s="17"/>
      <c r="K4" s="17"/>
      <c r="L4" s="17"/>
    </row>
    <row r="5" spans="1:12" ht="19.2" customHeight="1" x14ac:dyDescent="0.3">
      <c r="A5" s="536"/>
      <c r="B5" s="123" t="s">
        <v>514</v>
      </c>
      <c r="C5" s="134">
        <v>25</v>
      </c>
      <c r="D5" s="134" t="s">
        <v>1211</v>
      </c>
      <c r="E5" s="134" t="s">
        <v>1212</v>
      </c>
      <c r="F5" s="124">
        <v>560</v>
      </c>
      <c r="G5" s="227"/>
      <c r="H5" s="17"/>
      <c r="I5" s="17"/>
      <c r="J5" s="17"/>
      <c r="K5" s="17"/>
      <c r="L5" s="17"/>
    </row>
    <row r="6" spans="1:12" ht="19.2" customHeight="1" x14ac:dyDescent="0.3">
      <c r="A6" s="536"/>
      <c r="B6" s="123" t="s">
        <v>247</v>
      </c>
      <c r="C6" s="134">
        <v>9</v>
      </c>
      <c r="D6" s="134" t="s">
        <v>1213</v>
      </c>
      <c r="E6" s="134" t="s">
        <v>1214</v>
      </c>
      <c r="F6" s="124">
        <v>346</v>
      </c>
      <c r="G6" s="227"/>
      <c r="H6" s="17"/>
      <c r="I6" s="17"/>
      <c r="J6" s="17"/>
      <c r="K6" s="17"/>
      <c r="L6" s="17"/>
    </row>
    <row r="7" spans="1:12" ht="19.2" customHeight="1" x14ac:dyDescent="0.3">
      <c r="A7" s="537" t="s">
        <v>251</v>
      </c>
      <c r="B7" s="7" t="s">
        <v>252</v>
      </c>
      <c r="C7" s="139">
        <v>1</v>
      </c>
      <c r="D7" s="139">
        <v>1</v>
      </c>
      <c r="E7" s="139">
        <v>5</v>
      </c>
      <c r="F7" s="139">
        <v>5</v>
      </c>
      <c r="G7" s="227"/>
      <c r="H7" s="17"/>
      <c r="I7" s="17"/>
      <c r="J7" s="17"/>
      <c r="K7" s="17"/>
      <c r="L7" s="17"/>
    </row>
    <row r="8" spans="1:12" ht="19.2" customHeight="1" x14ac:dyDescent="0.3">
      <c r="A8" s="591"/>
      <c r="B8" s="123" t="s">
        <v>253</v>
      </c>
      <c r="C8" s="134">
        <v>0</v>
      </c>
      <c r="D8" s="134" t="s">
        <v>1215</v>
      </c>
      <c r="E8" s="134" t="s">
        <v>1215</v>
      </c>
      <c r="F8" s="134">
        <v>0</v>
      </c>
      <c r="G8" s="227"/>
      <c r="H8" s="17"/>
      <c r="I8" s="17"/>
      <c r="J8" s="17"/>
      <c r="K8" s="17"/>
      <c r="L8" s="17"/>
    </row>
    <row r="9" spans="1:12" ht="19.2" customHeight="1" x14ac:dyDescent="0.3">
      <c r="A9" s="591"/>
      <c r="B9" s="123" t="s">
        <v>256</v>
      </c>
      <c r="C9" s="134">
        <v>0</v>
      </c>
      <c r="D9" s="134" t="s">
        <v>1215</v>
      </c>
      <c r="E9" s="134" t="s">
        <v>1215</v>
      </c>
      <c r="F9" s="134">
        <v>0</v>
      </c>
      <c r="G9" s="227"/>
      <c r="H9" s="17"/>
      <c r="I9" s="17"/>
      <c r="J9" s="17"/>
      <c r="K9" s="17"/>
      <c r="L9" s="17"/>
    </row>
    <row r="10" spans="1:12" ht="26.7" customHeight="1" x14ac:dyDescent="0.3">
      <c r="A10" s="538"/>
      <c r="B10" s="123" t="s">
        <v>1216</v>
      </c>
      <c r="C10" s="134">
        <v>1</v>
      </c>
      <c r="D10" s="134" t="s">
        <v>1217</v>
      </c>
      <c r="E10" s="134" t="s">
        <v>1218</v>
      </c>
      <c r="F10" s="134">
        <v>5</v>
      </c>
      <c r="G10" s="227"/>
      <c r="H10" s="17"/>
      <c r="I10" s="17"/>
      <c r="J10" s="17"/>
      <c r="K10" s="17"/>
      <c r="L10" s="17"/>
    </row>
    <row r="11" spans="1:12" ht="19.2" customHeight="1" x14ac:dyDescent="0.3">
      <c r="A11" s="536" t="s">
        <v>213</v>
      </c>
      <c r="B11" s="7" t="s">
        <v>328</v>
      </c>
      <c r="C11" s="139">
        <v>0</v>
      </c>
      <c r="D11" s="139">
        <v>0</v>
      </c>
      <c r="E11" s="139">
        <v>0</v>
      </c>
      <c r="F11" s="139">
        <v>0</v>
      </c>
      <c r="G11" s="226"/>
      <c r="H11" s="17"/>
      <c r="I11" s="17"/>
      <c r="J11" s="17"/>
      <c r="K11" s="17"/>
      <c r="L11" s="17"/>
    </row>
    <row r="12" spans="1:12" ht="19.2" customHeight="1" x14ac:dyDescent="0.3">
      <c r="A12" s="536"/>
      <c r="B12" s="123" t="s">
        <v>453</v>
      </c>
      <c r="C12" s="134">
        <v>0</v>
      </c>
      <c r="D12" s="134" t="s">
        <v>1215</v>
      </c>
      <c r="E12" s="134" t="s">
        <v>1215</v>
      </c>
      <c r="F12" s="127">
        <v>0</v>
      </c>
      <c r="G12" s="227"/>
      <c r="H12" s="17"/>
      <c r="I12" s="17"/>
      <c r="J12" s="17"/>
      <c r="K12" s="17"/>
      <c r="L12" s="17"/>
    </row>
    <row r="13" spans="1:12" ht="19.2" customHeight="1" x14ac:dyDescent="0.3">
      <c r="A13" s="536"/>
      <c r="B13" s="7" t="s">
        <v>214</v>
      </c>
      <c r="C13" s="139">
        <v>0</v>
      </c>
      <c r="D13" s="139">
        <v>0</v>
      </c>
      <c r="E13" s="139">
        <v>0</v>
      </c>
      <c r="F13" s="139">
        <v>0</v>
      </c>
      <c r="G13" s="227"/>
      <c r="H13" s="17"/>
      <c r="I13" s="17"/>
      <c r="J13" s="17"/>
      <c r="K13" s="17"/>
      <c r="L13" s="17"/>
    </row>
    <row r="14" spans="1:12" ht="19.2" customHeight="1" x14ac:dyDescent="0.3">
      <c r="A14" s="536"/>
      <c r="B14" s="123" t="s">
        <v>215</v>
      </c>
      <c r="C14" s="127">
        <v>0</v>
      </c>
      <c r="D14" s="127" t="s">
        <v>1215</v>
      </c>
      <c r="E14" s="127" t="s">
        <v>1215</v>
      </c>
      <c r="F14" s="127">
        <v>0</v>
      </c>
      <c r="G14" s="227"/>
      <c r="H14" s="17"/>
      <c r="I14" s="17"/>
      <c r="J14" s="17"/>
      <c r="K14" s="17"/>
      <c r="L14" s="17"/>
    </row>
    <row r="15" spans="1:12" ht="19.2" customHeight="1" x14ac:dyDescent="0.3">
      <c r="A15" s="536"/>
      <c r="B15" s="7" t="s">
        <v>265</v>
      </c>
      <c r="C15" s="139">
        <v>2</v>
      </c>
      <c r="D15" s="139">
        <v>3</v>
      </c>
      <c r="E15" s="139">
        <v>9</v>
      </c>
      <c r="F15" s="139">
        <v>4</v>
      </c>
      <c r="G15" s="226"/>
      <c r="H15" s="17"/>
      <c r="I15" s="17"/>
      <c r="J15" s="17"/>
      <c r="K15" s="17"/>
      <c r="L15" s="17"/>
    </row>
    <row r="16" spans="1:12" ht="19.2" customHeight="1" x14ac:dyDescent="0.3">
      <c r="A16" s="536"/>
      <c r="B16" s="123" t="s">
        <v>266</v>
      </c>
      <c r="C16" s="134">
        <v>2</v>
      </c>
      <c r="D16" s="134" t="s">
        <v>1219</v>
      </c>
      <c r="E16" s="134" t="s">
        <v>1220</v>
      </c>
      <c r="F16" s="127">
        <v>4</v>
      </c>
      <c r="G16" s="227"/>
      <c r="H16" s="17"/>
      <c r="I16" s="17"/>
      <c r="J16" s="17"/>
      <c r="K16" s="17"/>
      <c r="L16" s="17"/>
    </row>
    <row r="17" spans="1:12" ht="19.2" customHeight="1" x14ac:dyDescent="0.3">
      <c r="A17" s="536" t="s">
        <v>224</v>
      </c>
      <c r="B17" s="7" t="s">
        <v>225</v>
      </c>
      <c r="C17" s="139">
        <v>14</v>
      </c>
      <c r="D17" s="228">
        <v>22.5</v>
      </c>
      <c r="E17" s="139">
        <v>299</v>
      </c>
      <c r="F17" s="139">
        <v>59</v>
      </c>
      <c r="G17" s="227"/>
      <c r="H17" s="17"/>
      <c r="I17" s="17"/>
      <c r="J17" s="17"/>
      <c r="K17" s="17"/>
      <c r="L17" s="17"/>
    </row>
    <row r="18" spans="1:12" ht="19.2" customHeight="1" x14ac:dyDescent="0.3">
      <c r="A18" s="536"/>
      <c r="B18" s="123" t="s">
        <v>226</v>
      </c>
      <c r="C18" s="127">
        <v>0</v>
      </c>
      <c r="D18" s="127" t="s">
        <v>1215</v>
      </c>
      <c r="E18" s="127" t="s">
        <v>1215</v>
      </c>
      <c r="F18" s="127">
        <v>0</v>
      </c>
      <c r="G18" s="227"/>
      <c r="H18" s="17"/>
      <c r="I18" s="17"/>
      <c r="J18" s="17"/>
      <c r="K18" s="17"/>
      <c r="L18" s="17"/>
    </row>
    <row r="19" spans="1:12" ht="19.2" customHeight="1" x14ac:dyDescent="0.3">
      <c r="A19" s="536"/>
      <c r="B19" s="123" t="s">
        <v>454</v>
      </c>
      <c r="C19" s="127">
        <v>14</v>
      </c>
      <c r="D19" s="229" t="s">
        <v>1221</v>
      </c>
      <c r="E19" s="127" t="s">
        <v>1222</v>
      </c>
      <c r="F19" s="127">
        <v>59</v>
      </c>
      <c r="G19" s="227"/>
      <c r="H19" s="17"/>
      <c r="I19" s="17"/>
      <c r="J19" s="17"/>
      <c r="K19" s="17"/>
      <c r="L19" s="17"/>
    </row>
    <row r="20" spans="1:12" ht="19.2" customHeight="1" x14ac:dyDescent="0.3">
      <c r="A20" s="536"/>
      <c r="B20" s="123" t="s">
        <v>230</v>
      </c>
      <c r="C20" s="134">
        <v>0</v>
      </c>
      <c r="D20" s="134" t="s">
        <v>1215</v>
      </c>
      <c r="E20" s="134" t="s">
        <v>1215</v>
      </c>
      <c r="F20" s="127">
        <v>0</v>
      </c>
      <c r="G20" s="227"/>
      <c r="H20" s="17"/>
      <c r="I20" s="17"/>
      <c r="J20" s="17"/>
      <c r="K20" s="17"/>
      <c r="L20" s="17"/>
    </row>
    <row r="21" spans="1:12" ht="19.2" customHeight="1" x14ac:dyDescent="0.3">
      <c r="A21" s="536"/>
      <c r="B21" s="7" t="s">
        <v>276</v>
      </c>
      <c r="C21" s="139">
        <v>1</v>
      </c>
      <c r="D21" s="139">
        <v>1</v>
      </c>
      <c r="E21" s="139">
        <v>1</v>
      </c>
      <c r="F21" s="139">
        <v>19</v>
      </c>
      <c r="G21" s="227"/>
      <c r="H21" s="17"/>
      <c r="I21" s="17"/>
      <c r="J21" s="17"/>
      <c r="K21" s="17"/>
      <c r="L21" s="17"/>
    </row>
    <row r="22" spans="1:12" ht="19.2" customHeight="1" x14ac:dyDescent="0.3">
      <c r="A22" s="536"/>
      <c r="B22" s="123" t="s">
        <v>277</v>
      </c>
      <c r="C22" s="127">
        <v>1</v>
      </c>
      <c r="D22" s="127" t="s">
        <v>1217</v>
      </c>
      <c r="E22" s="127" t="s">
        <v>1217</v>
      </c>
      <c r="F22" s="127">
        <v>19</v>
      </c>
      <c r="G22" s="227"/>
      <c r="H22" s="17"/>
      <c r="I22" s="17"/>
      <c r="J22" s="17"/>
      <c r="K22" s="17"/>
      <c r="L22" s="17"/>
    </row>
    <row r="23" spans="1:12" ht="19.2" customHeight="1" x14ac:dyDescent="0.3">
      <c r="A23" s="537" t="s">
        <v>234</v>
      </c>
      <c r="B23" s="7" t="s">
        <v>235</v>
      </c>
      <c r="C23" s="139">
        <v>83</v>
      </c>
      <c r="D23" s="139">
        <v>126</v>
      </c>
      <c r="E23" s="139">
        <v>0</v>
      </c>
      <c r="F23" s="139">
        <v>2182</v>
      </c>
      <c r="G23" s="226"/>
      <c r="H23" s="17"/>
      <c r="I23" s="17"/>
      <c r="J23" s="17"/>
      <c r="K23" s="17"/>
      <c r="L23" s="17"/>
    </row>
    <row r="24" spans="1:12" ht="19.2" customHeight="1" x14ac:dyDescent="0.3">
      <c r="A24" s="538"/>
      <c r="B24" s="123" t="s">
        <v>236</v>
      </c>
      <c r="C24" s="134">
        <v>83</v>
      </c>
      <c r="D24" s="125">
        <v>126</v>
      </c>
      <c r="E24" s="127" t="s">
        <v>1215</v>
      </c>
      <c r="F24" s="127">
        <v>2182</v>
      </c>
      <c r="G24" s="227"/>
      <c r="H24" s="17"/>
      <c r="I24" s="17"/>
      <c r="J24" s="17"/>
      <c r="K24" s="17"/>
      <c r="L24" s="17"/>
    </row>
    <row r="25" spans="1:12" ht="19.2" customHeight="1" x14ac:dyDescent="0.3">
      <c r="A25" s="65" t="s">
        <v>455</v>
      </c>
      <c r="B25" s="230" t="s">
        <v>318</v>
      </c>
      <c r="C25" s="231">
        <v>236</v>
      </c>
      <c r="D25" s="231">
        <v>375</v>
      </c>
      <c r="E25" s="231">
        <v>815</v>
      </c>
      <c r="F25" s="231">
        <v>5444</v>
      </c>
      <c r="G25" s="226"/>
    </row>
    <row r="26" spans="1:12" ht="30.75" customHeight="1" x14ac:dyDescent="0.3">
      <c r="A26" s="695" t="s">
        <v>1223</v>
      </c>
      <c r="B26" s="695"/>
      <c r="C26" s="695"/>
      <c r="D26" s="695"/>
      <c r="E26" s="695"/>
      <c r="F26" s="695"/>
      <c r="G26" s="17"/>
    </row>
    <row r="27" spans="1:12" ht="15" customHeight="1" x14ac:dyDescent="0.25"/>
    <row r="28" spans="1:12" ht="15" customHeight="1" x14ac:dyDescent="0.25"/>
    <row r="29" spans="1:12" ht="29.1" customHeight="1" x14ac:dyDescent="0.3">
      <c r="A29" s="232"/>
      <c r="B29" s="233"/>
    </row>
    <row r="30" spans="1:12" ht="15" customHeight="1" x14ac:dyDescent="0.25">
      <c r="A30" s="234"/>
      <c r="B30" s="234"/>
    </row>
    <row r="31" spans="1:12" ht="15" customHeight="1" x14ac:dyDescent="0.25"/>
    <row r="32" spans="1:1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sheetData>
  <sheetProtection algorithmName="SHA-512" hashValue="zcp1joWZys4ZgKxtbYxs5f9vrQIR9yxWsefqVdcphtCLOUDylBoAXnhjNOeg37K0bKHVOTVj+bCU0EgsTwjGzA==" saltValue="FTApPekcfHZ5Mjz7CINWIA==" spinCount="100000" sheet="1" objects="1" scenarios="1" formatColumns="0" formatRows="0"/>
  <mergeCells count="7">
    <mergeCell ref="A23:A24"/>
    <mergeCell ref="A26:F26"/>
    <mergeCell ref="A1:F1"/>
    <mergeCell ref="A4:A6"/>
    <mergeCell ref="A7:A10"/>
    <mergeCell ref="A11:A16"/>
    <mergeCell ref="A17:A22"/>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69"/>
  <sheetViews>
    <sheetView showRuler="0" workbookViewId="0">
      <selection activeCell="D18" sqref="D18"/>
    </sheetView>
  </sheetViews>
  <sheetFormatPr defaultColWidth="13.6640625" defaultRowHeight="13.2" x14ac:dyDescent="0.25"/>
  <cols>
    <col min="1" max="1" width="25.5546875" customWidth="1"/>
    <col min="2" max="2" width="22.44140625" customWidth="1"/>
    <col min="3" max="3" width="43.6640625" customWidth="1"/>
    <col min="4" max="4" width="20.88671875" customWidth="1"/>
    <col min="5" max="5" width="27.44140625" customWidth="1"/>
  </cols>
  <sheetData>
    <row r="1" spans="1:6" ht="23.25" customHeight="1" x14ac:dyDescent="0.3">
      <c r="A1" s="595" t="s">
        <v>1224</v>
      </c>
      <c r="B1" s="595"/>
      <c r="C1" s="595"/>
      <c r="D1" s="595"/>
      <c r="E1" s="595"/>
      <c r="F1" s="595"/>
    </row>
    <row r="2" spans="1:6" ht="27.6" customHeight="1" x14ac:dyDescent="0.3">
      <c r="C2" s="28"/>
      <c r="D2" s="28"/>
      <c r="E2" s="17"/>
    </row>
    <row r="3" spans="1:6" ht="63.45" customHeight="1" x14ac:dyDescent="0.3">
      <c r="A3" s="235" t="s">
        <v>1225</v>
      </c>
      <c r="B3" s="22" t="s">
        <v>207</v>
      </c>
      <c r="C3" s="236" t="s">
        <v>1226</v>
      </c>
      <c r="D3" s="237" t="s">
        <v>1227</v>
      </c>
      <c r="E3" s="55"/>
    </row>
    <row r="4" spans="1:6" ht="22.5" customHeight="1" x14ac:dyDescent="0.3">
      <c r="A4" s="536" t="s">
        <v>251</v>
      </c>
      <c r="B4" s="723" t="s">
        <v>252</v>
      </c>
      <c r="C4" s="723"/>
      <c r="D4" s="723"/>
      <c r="E4" s="55"/>
    </row>
    <row r="5" spans="1:6" ht="24.15" customHeight="1" x14ac:dyDescent="0.3">
      <c r="A5" s="536"/>
      <c r="B5" s="31" t="s">
        <v>253</v>
      </c>
      <c r="C5" s="31" t="s">
        <v>1228</v>
      </c>
      <c r="D5" s="140" t="s">
        <v>694</v>
      </c>
      <c r="E5" s="55"/>
    </row>
    <row r="6" spans="1:6" ht="24.15" customHeight="1" x14ac:dyDescent="0.3">
      <c r="A6" s="536"/>
      <c r="B6" s="31" t="s">
        <v>256</v>
      </c>
      <c r="C6" s="31" t="s">
        <v>1229</v>
      </c>
      <c r="D6" s="140" t="s">
        <v>694</v>
      </c>
      <c r="E6" s="55"/>
    </row>
    <row r="7" spans="1:6" ht="24.15" customHeight="1" x14ac:dyDescent="0.3">
      <c r="A7" s="537" t="s">
        <v>213</v>
      </c>
      <c r="B7" s="723" t="s">
        <v>265</v>
      </c>
      <c r="C7" s="723"/>
      <c r="D7" s="723"/>
      <c r="E7" s="55"/>
    </row>
    <row r="8" spans="1:6" ht="24.15" customHeight="1" x14ac:dyDescent="0.3">
      <c r="A8" s="591"/>
      <c r="B8" s="721" t="s">
        <v>266</v>
      </c>
      <c r="C8" s="31" t="s">
        <v>1230</v>
      </c>
      <c r="D8" s="140" t="s">
        <v>694</v>
      </c>
      <c r="E8" s="55"/>
    </row>
    <row r="9" spans="1:6" ht="24.15" customHeight="1" x14ac:dyDescent="0.3">
      <c r="A9" s="538"/>
      <c r="B9" s="722"/>
      <c r="C9" s="31" t="s">
        <v>1231</v>
      </c>
      <c r="D9" s="140" t="s">
        <v>694</v>
      </c>
      <c r="E9" s="13"/>
      <c r="F9" s="2"/>
    </row>
    <row r="10" spans="1:6" ht="24.15" customHeight="1" x14ac:dyDescent="0.3">
      <c r="A10" s="536" t="s">
        <v>224</v>
      </c>
      <c r="B10" s="723" t="s">
        <v>225</v>
      </c>
      <c r="C10" s="723"/>
      <c r="D10" s="723"/>
      <c r="E10" s="55"/>
    </row>
    <row r="11" spans="1:6" ht="24.15" customHeight="1" x14ac:dyDescent="0.3">
      <c r="A11" s="536"/>
      <c r="B11" s="561" t="s">
        <v>226</v>
      </c>
      <c r="C11" s="31" t="s">
        <v>1232</v>
      </c>
      <c r="D11" s="238" t="s">
        <v>694</v>
      </c>
      <c r="E11" s="55"/>
    </row>
    <row r="12" spans="1:6" ht="29.1" customHeight="1" x14ac:dyDescent="0.3">
      <c r="A12" s="536"/>
      <c r="B12" s="561"/>
      <c r="C12" s="31" t="s">
        <v>1233</v>
      </c>
      <c r="D12" s="238" t="s">
        <v>694</v>
      </c>
      <c r="E12" s="55"/>
    </row>
    <row r="13" spans="1:6" ht="24.15" customHeight="1" x14ac:dyDescent="0.3">
      <c r="A13" s="536"/>
      <c r="B13" s="561" t="s">
        <v>454</v>
      </c>
      <c r="C13" s="31" t="s">
        <v>1234</v>
      </c>
      <c r="D13" s="140" t="s">
        <v>694</v>
      </c>
      <c r="E13" s="55"/>
      <c r="F13" s="2"/>
    </row>
    <row r="14" spans="1:6" ht="24.15" customHeight="1" x14ac:dyDescent="0.3">
      <c r="A14" s="536"/>
      <c r="B14" s="561"/>
      <c r="C14" s="31" t="s">
        <v>1235</v>
      </c>
      <c r="D14" s="140" t="s">
        <v>694</v>
      </c>
      <c r="E14" s="55"/>
      <c r="F14" s="2"/>
    </row>
    <row r="15" spans="1:6" ht="24.15" customHeight="1" x14ac:dyDescent="0.3">
      <c r="A15" s="536"/>
      <c r="B15" s="561"/>
      <c r="C15" s="31" t="s">
        <v>1236</v>
      </c>
      <c r="D15" s="140" t="s">
        <v>694</v>
      </c>
      <c r="E15" s="55"/>
      <c r="F15" s="2"/>
    </row>
    <row r="16" spans="1:6" ht="24.15" customHeight="1" x14ac:dyDescent="0.3">
      <c r="A16" s="536"/>
      <c r="B16" s="561"/>
      <c r="C16" s="31" t="s">
        <v>1237</v>
      </c>
      <c r="D16" s="140" t="s">
        <v>694</v>
      </c>
      <c r="E16" s="55"/>
      <c r="F16" s="2"/>
    </row>
    <row r="17" spans="1:6" ht="24.15" customHeight="1" x14ac:dyDescent="0.3">
      <c r="A17" s="536"/>
      <c r="B17" s="561"/>
      <c r="C17" s="31" t="s">
        <v>1238</v>
      </c>
      <c r="D17" s="140" t="s">
        <v>694</v>
      </c>
      <c r="E17" s="55"/>
      <c r="F17" s="2"/>
    </row>
    <row r="18" spans="1:6" ht="24.15" customHeight="1" x14ac:dyDescent="0.3">
      <c r="A18" s="536"/>
      <c r="B18" s="561"/>
      <c r="C18" s="31" t="s">
        <v>1239</v>
      </c>
      <c r="D18" s="140" t="s">
        <v>694</v>
      </c>
      <c r="E18" s="55"/>
      <c r="F18" s="2"/>
    </row>
    <row r="19" spans="1:6" ht="24.15" customHeight="1" x14ac:dyDescent="0.3">
      <c r="A19" s="536"/>
      <c r="B19" s="561"/>
      <c r="C19" s="31" t="s">
        <v>1240</v>
      </c>
      <c r="D19" s="140" t="s">
        <v>694</v>
      </c>
      <c r="E19" s="55"/>
      <c r="F19" s="2"/>
    </row>
    <row r="20" spans="1:6" ht="24.15" customHeight="1" x14ac:dyDescent="0.3">
      <c r="A20" s="536"/>
      <c r="B20" s="561" t="s">
        <v>1241</v>
      </c>
      <c r="C20" s="31" t="s">
        <v>1242</v>
      </c>
      <c r="D20" s="140" t="s">
        <v>694</v>
      </c>
      <c r="E20" s="55"/>
      <c r="F20" s="2"/>
    </row>
    <row r="21" spans="1:6" ht="24.15" customHeight="1" x14ac:dyDescent="0.3">
      <c r="A21" s="536"/>
      <c r="B21" s="561"/>
      <c r="C21" s="31" t="s">
        <v>1243</v>
      </c>
      <c r="D21" s="140" t="s">
        <v>694</v>
      </c>
      <c r="E21" s="55"/>
      <c r="F21" s="2"/>
    </row>
    <row r="22" spans="1:6" ht="24.15" customHeight="1" x14ac:dyDescent="0.3">
      <c r="A22" s="536"/>
      <c r="B22" s="561"/>
      <c r="C22" s="31" t="s">
        <v>1244</v>
      </c>
      <c r="D22" s="140" t="s">
        <v>694</v>
      </c>
      <c r="E22" s="55"/>
      <c r="F22" s="2"/>
    </row>
    <row r="23" spans="1:6" ht="24.15" customHeight="1" x14ac:dyDescent="0.3">
      <c r="A23" s="536"/>
      <c r="B23" s="561"/>
      <c r="C23" s="31" t="s">
        <v>1245</v>
      </c>
      <c r="D23" s="140" t="s">
        <v>694</v>
      </c>
      <c r="E23" s="55"/>
      <c r="F23" s="2"/>
    </row>
    <row r="24" spans="1:6" ht="26.7" customHeight="1" x14ac:dyDescent="0.3">
      <c r="A24" s="536"/>
      <c r="B24" s="561" t="s">
        <v>1246</v>
      </c>
      <c r="C24" s="31" t="s">
        <v>1247</v>
      </c>
      <c r="D24" s="140" t="s">
        <v>694</v>
      </c>
      <c r="E24" s="55"/>
    </row>
    <row r="25" spans="1:6" ht="24.15" customHeight="1" x14ac:dyDescent="0.3">
      <c r="A25" s="536"/>
      <c r="B25" s="561"/>
      <c r="C25" s="31" t="s">
        <v>1248</v>
      </c>
      <c r="D25" s="208" t="s">
        <v>694</v>
      </c>
      <c r="E25" s="55"/>
    </row>
    <row r="26" spans="1:6" ht="24.15" customHeight="1" x14ac:dyDescent="0.3">
      <c r="A26" s="536"/>
      <c r="B26" s="561"/>
      <c r="C26" s="31" t="s">
        <v>1249</v>
      </c>
      <c r="D26" s="140" t="s">
        <v>694</v>
      </c>
      <c r="E26" s="55"/>
    </row>
    <row r="27" spans="1:6" ht="24.15" customHeight="1" x14ac:dyDescent="0.3">
      <c r="A27" s="536"/>
      <c r="B27" s="561"/>
      <c r="C27" s="31" t="s">
        <v>1250</v>
      </c>
      <c r="D27" s="140" t="s">
        <v>693</v>
      </c>
      <c r="E27" s="55"/>
    </row>
    <row r="28" spans="1:6" ht="24.15" customHeight="1" x14ac:dyDescent="0.3">
      <c r="A28" s="536"/>
      <c r="B28" s="561"/>
      <c r="C28" s="31" t="s">
        <v>1251</v>
      </c>
      <c r="D28" s="208" t="s">
        <v>693</v>
      </c>
      <c r="E28" s="55"/>
    </row>
    <row r="29" spans="1:6" ht="26.7" customHeight="1" x14ac:dyDescent="0.3">
      <c r="A29" s="536"/>
      <c r="B29" s="561"/>
      <c r="C29" s="92" t="s">
        <v>1252</v>
      </c>
      <c r="D29" s="208" t="s">
        <v>693</v>
      </c>
      <c r="E29" s="55"/>
    </row>
    <row r="30" spans="1:6" ht="39.15" customHeight="1" x14ac:dyDescent="0.3">
      <c r="A30" s="597" t="s">
        <v>1253</v>
      </c>
      <c r="B30" s="597"/>
      <c r="C30" s="597"/>
      <c r="D30" s="597"/>
      <c r="E30" s="17"/>
    </row>
    <row r="31" spans="1:6" ht="39.15" customHeight="1" x14ac:dyDescent="0.3">
      <c r="A31" s="603"/>
      <c r="B31" s="603"/>
      <c r="C31" s="603"/>
      <c r="D31" s="603"/>
      <c r="E31" s="17"/>
    </row>
    <row r="32" spans="1:6" ht="22.5" customHeight="1" x14ac:dyDescent="0.3">
      <c r="A32" s="56"/>
      <c r="B32" s="56"/>
      <c r="C32" s="56"/>
      <c r="D32" s="56"/>
      <c r="E32" s="17"/>
    </row>
    <row r="33" spans="1:5" ht="22.5" customHeight="1" x14ac:dyDescent="0.3">
      <c r="A33" s="56"/>
      <c r="B33" s="56"/>
      <c r="C33" s="56"/>
      <c r="D33" s="56"/>
      <c r="E33" s="17"/>
    </row>
    <row r="34" spans="1:5" ht="24.15" customHeight="1" x14ac:dyDescent="0.3">
      <c r="E34" s="17"/>
    </row>
    <row r="35" spans="1:5" ht="24.15" customHeight="1" x14ac:dyDescent="0.3">
      <c r="E35" s="17"/>
    </row>
    <row r="36" spans="1:5" ht="24.15" customHeight="1" x14ac:dyDescent="0.3">
      <c r="E36" s="17"/>
    </row>
    <row r="37" spans="1:5" ht="152.4" customHeight="1" x14ac:dyDescent="0.3">
      <c r="E37" s="17"/>
    </row>
    <row r="38" spans="1:5" ht="161.69999999999999" customHeight="1" x14ac:dyDescent="0.25"/>
    <row r="39" spans="1:5" ht="14.1" customHeight="1" x14ac:dyDescent="0.25"/>
    <row r="40" spans="1:5" ht="14.1" customHeight="1" x14ac:dyDescent="0.25"/>
    <row r="41" spans="1:5" ht="14.1" customHeight="1" x14ac:dyDescent="0.25"/>
    <row r="42" spans="1:5" ht="14.1" customHeight="1" x14ac:dyDescent="0.25"/>
    <row r="43" spans="1:5" ht="14.1" customHeight="1" x14ac:dyDescent="0.25"/>
    <row r="44" spans="1:5" ht="14.1" customHeight="1" x14ac:dyDescent="0.25"/>
    <row r="45" spans="1:5" ht="14.1" customHeight="1" x14ac:dyDescent="0.25"/>
    <row r="46" spans="1:5" ht="14.1" customHeight="1" x14ac:dyDescent="0.25"/>
    <row r="47" spans="1:5" ht="14.1" customHeight="1" x14ac:dyDescent="0.25"/>
    <row r="48" spans="1:5"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sheetData>
  <sheetProtection algorithmName="SHA-512" hashValue="oodIxHQRbzlI23faKuwCdkfFg/j/Ig89413lxYcOiDDwY6roqtwFHc2UglAIlo9P4hf58ZzwOwwnbqirss+5YQ==" saltValue="SUbh1+HNGuf+UPxWzmCzZQ==" spinCount="100000" sheet="1" objects="1" scenarios="1"/>
  <mergeCells count="13">
    <mergeCell ref="A1:F1"/>
    <mergeCell ref="B10:D10"/>
    <mergeCell ref="B7:D7"/>
    <mergeCell ref="B4:D4"/>
    <mergeCell ref="A4:A6"/>
    <mergeCell ref="A30:D31"/>
    <mergeCell ref="B11:B12"/>
    <mergeCell ref="A7:A9"/>
    <mergeCell ref="B8:B9"/>
    <mergeCell ref="B13:B19"/>
    <mergeCell ref="A10:A29"/>
    <mergeCell ref="B20:B23"/>
    <mergeCell ref="B24:B29"/>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8"/>
  <sheetViews>
    <sheetView showRuler="0" workbookViewId="0">
      <selection activeCell="D18" sqref="D18"/>
    </sheetView>
  </sheetViews>
  <sheetFormatPr defaultColWidth="13.6640625" defaultRowHeight="13.2" x14ac:dyDescent="0.25"/>
  <cols>
    <col min="1" max="1" width="23.6640625" customWidth="1"/>
    <col min="2" max="4" width="22" customWidth="1"/>
    <col min="5" max="5" width="34.33203125" customWidth="1"/>
    <col min="6" max="6" width="28" customWidth="1"/>
    <col min="7" max="17" width="14.33203125" customWidth="1"/>
  </cols>
  <sheetData>
    <row r="1" spans="1:17" ht="25.95" customHeight="1" x14ac:dyDescent="0.3">
      <c r="A1" s="595" t="s">
        <v>1254</v>
      </c>
      <c r="B1" s="595"/>
      <c r="C1" s="595"/>
      <c r="D1" s="595"/>
      <c r="E1" s="595"/>
      <c r="F1" s="595"/>
      <c r="G1" s="17"/>
      <c r="H1" s="17"/>
      <c r="I1" s="17"/>
      <c r="J1" s="17"/>
      <c r="K1" s="17"/>
      <c r="L1" s="17"/>
      <c r="M1" s="17"/>
      <c r="N1" s="17"/>
      <c r="O1" s="17"/>
      <c r="P1" s="17"/>
      <c r="Q1" s="17"/>
    </row>
    <row r="2" spans="1:17" ht="33.450000000000003" customHeight="1" x14ac:dyDescent="0.3">
      <c r="B2" s="28"/>
      <c r="C2" s="28"/>
      <c r="D2" s="28"/>
      <c r="E2" s="28"/>
      <c r="F2" s="17"/>
      <c r="G2" s="17"/>
      <c r="H2" s="17"/>
      <c r="I2" s="17"/>
      <c r="J2" s="17"/>
      <c r="K2" s="17"/>
      <c r="L2" s="17"/>
      <c r="M2" s="17"/>
      <c r="N2" s="17"/>
      <c r="O2" s="17"/>
      <c r="P2" s="17"/>
      <c r="Q2" s="17"/>
    </row>
    <row r="3" spans="1:17" ht="62.4" customHeight="1" x14ac:dyDescent="0.3">
      <c r="A3" s="235" t="s">
        <v>1255</v>
      </c>
      <c r="B3" s="5" t="s">
        <v>207</v>
      </c>
      <c r="C3" s="18" t="s">
        <v>1256</v>
      </c>
      <c r="D3" s="18" t="s">
        <v>1257</v>
      </c>
      <c r="E3" s="18" t="s">
        <v>1258</v>
      </c>
      <c r="F3" s="55"/>
      <c r="G3" s="17"/>
      <c r="H3" s="17"/>
      <c r="I3" s="17"/>
      <c r="J3" s="17"/>
      <c r="K3" s="17"/>
      <c r="L3" s="17"/>
      <c r="M3" s="17"/>
      <c r="N3" s="17"/>
      <c r="O3" s="17"/>
      <c r="P3" s="17"/>
      <c r="Q3" s="17"/>
    </row>
    <row r="4" spans="1:17" ht="23.25" customHeight="1" x14ac:dyDescent="0.3">
      <c r="A4" s="536" t="s">
        <v>245</v>
      </c>
      <c r="B4" s="23" t="s">
        <v>246</v>
      </c>
      <c r="C4" s="239"/>
      <c r="D4" s="239"/>
      <c r="E4" s="239"/>
      <c r="F4" s="55"/>
      <c r="G4" s="17"/>
      <c r="H4" s="17"/>
      <c r="I4" s="17"/>
      <c r="J4" s="17"/>
      <c r="K4" s="17"/>
      <c r="L4" s="17"/>
      <c r="M4" s="17"/>
      <c r="N4" s="17"/>
      <c r="O4" s="17"/>
      <c r="P4" s="17"/>
      <c r="Q4" s="17"/>
    </row>
    <row r="5" spans="1:17" ht="23.25" customHeight="1" x14ac:dyDescent="0.3">
      <c r="A5" s="536"/>
      <c r="B5" s="39" t="s">
        <v>514</v>
      </c>
      <c r="C5" s="35">
        <v>0</v>
      </c>
      <c r="D5" s="35">
        <v>0</v>
      </c>
      <c r="E5" s="92" t="s">
        <v>410</v>
      </c>
      <c r="F5" s="55"/>
      <c r="G5" s="17"/>
      <c r="H5" s="17"/>
      <c r="I5" s="17"/>
      <c r="J5" s="17"/>
      <c r="K5" s="17"/>
      <c r="L5" s="17"/>
      <c r="M5" s="17"/>
      <c r="N5" s="17"/>
      <c r="O5" s="17"/>
      <c r="P5" s="17"/>
      <c r="Q5" s="17"/>
    </row>
    <row r="6" spans="1:17" ht="23.25" customHeight="1" x14ac:dyDescent="0.3">
      <c r="A6" s="536"/>
      <c r="B6" s="39" t="s">
        <v>247</v>
      </c>
      <c r="C6" s="35">
        <v>0</v>
      </c>
      <c r="D6" s="35" t="s">
        <v>1215</v>
      </c>
      <c r="E6" s="74" t="s">
        <v>410</v>
      </c>
      <c r="F6" s="55"/>
      <c r="G6" s="17"/>
      <c r="H6" s="17"/>
      <c r="I6" s="17"/>
      <c r="J6" s="17"/>
      <c r="K6" s="17"/>
      <c r="L6" s="17"/>
      <c r="M6" s="17"/>
      <c r="N6" s="17"/>
      <c r="O6" s="17"/>
      <c r="P6" s="17"/>
      <c r="Q6" s="17"/>
    </row>
    <row r="7" spans="1:17" ht="23.25" customHeight="1" x14ac:dyDescent="0.3">
      <c r="A7" s="536" t="s">
        <v>251</v>
      </c>
      <c r="B7" s="23" t="s">
        <v>252</v>
      </c>
      <c r="C7" s="239"/>
      <c r="D7" s="239"/>
      <c r="E7" s="239"/>
      <c r="F7" s="55"/>
      <c r="G7" s="17"/>
      <c r="H7" s="17"/>
      <c r="I7" s="17"/>
      <c r="J7" s="17"/>
      <c r="K7" s="17"/>
      <c r="L7" s="17"/>
      <c r="M7" s="17"/>
      <c r="N7" s="17"/>
      <c r="O7" s="17"/>
      <c r="P7" s="17"/>
      <c r="Q7" s="17"/>
    </row>
    <row r="8" spans="1:17" ht="23.25" customHeight="1" x14ac:dyDescent="0.3">
      <c r="A8" s="536"/>
      <c r="B8" s="39" t="s">
        <v>253</v>
      </c>
      <c r="C8" s="74"/>
      <c r="D8" s="74"/>
      <c r="E8" s="74"/>
      <c r="F8" s="55"/>
      <c r="G8" s="17"/>
      <c r="H8" s="17"/>
      <c r="I8" s="17"/>
      <c r="J8" s="17"/>
      <c r="K8" s="17"/>
      <c r="L8" s="17"/>
      <c r="M8" s="17"/>
      <c r="N8" s="17"/>
      <c r="O8" s="17"/>
      <c r="P8" s="17"/>
      <c r="Q8" s="17"/>
    </row>
    <row r="9" spans="1:17" ht="23.25" customHeight="1" x14ac:dyDescent="0.3">
      <c r="A9" s="536"/>
      <c r="B9" s="39" t="s">
        <v>256</v>
      </c>
      <c r="C9" s="35">
        <v>0</v>
      </c>
      <c r="D9" s="35">
        <v>0</v>
      </c>
      <c r="E9" s="74" t="s">
        <v>410</v>
      </c>
      <c r="F9" s="55"/>
      <c r="G9" s="17"/>
      <c r="H9" s="17"/>
      <c r="I9" s="17"/>
      <c r="J9" s="17"/>
      <c r="K9" s="17"/>
      <c r="L9" s="17"/>
      <c r="M9" s="17"/>
      <c r="N9" s="17"/>
      <c r="O9" s="17"/>
      <c r="P9" s="17"/>
      <c r="Q9" s="17"/>
    </row>
    <row r="10" spans="1:17" ht="23.25" customHeight="1" x14ac:dyDescent="0.3">
      <c r="A10" s="536" t="s">
        <v>213</v>
      </c>
      <c r="B10" s="23" t="s">
        <v>328</v>
      </c>
      <c r="C10" s="239"/>
      <c r="D10" s="239"/>
      <c r="E10" s="239"/>
      <c r="F10" s="55"/>
      <c r="G10" s="17"/>
      <c r="H10" s="17"/>
      <c r="I10" s="17"/>
      <c r="J10" s="17"/>
      <c r="K10" s="17"/>
      <c r="L10" s="17"/>
      <c r="M10" s="17"/>
      <c r="N10" s="17"/>
      <c r="O10" s="17"/>
      <c r="P10" s="17"/>
      <c r="Q10" s="17"/>
    </row>
    <row r="11" spans="1:17" ht="23.25" customHeight="1" x14ac:dyDescent="0.3">
      <c r="A11" s="536"/>
      <c r="B11" s="39" t="s">
        <v>453</v>
      </c>
      <c r="C11" s="35">
        <v>0</v>
      </c>
      <c r="D11" s="35">
        <v>0</v>
      </c>
      <c r="E11" s="74" t="s">
        <v>410</v>
      </c>
      <c r="F11" s="55"/>
      <c r="G11" s="17"/>
      <c r="H11" s="17"/>
      <c r="I11" s="17"/>
      <c r="J11" s="17"/>
      <c r="K11" s="17"/>
      <c r="L11" s="17"/>
      <c r="M11" s="17"/>
      <c r="N11" s="17"/>
      <c r="O11" s="17"/>
      <c r="P11" s="17"/>
      <c r="Q11" s="17"/>
    </row>
    <row r="12" spans="1:17" ht="23.25" customHeight="1" x14ac:dyDescent="0.3">
      <c r="A12" s="536"/>
      <c r="B12" s="23" t="s">
        <v>214</v>
      </c>
      <c r="C12" s="239"/>
      <c r="D12" s="239"/>
      <c r="E12" s="239"/>
      <c r="F12" s="55"/>
      <c r="G12" s="17"/>
      <c r="H12" s="17"/>
      <c r="I12" s="17"/>
      <c r="J12" s="17"/>
      <c r="K12" s="17"/>
      <c r="L12" s="17"/>
      <c r="M12" s="17"/>
      <c r="N12" s="17"/>
      <c r="O12" s="17"/>
      <c r="P12" s="17"/>
      <c r="Q12" s="17"/>
    </row>
    <row r="13" spans="1:17" ht="82.5" customHeight="1" x14ac:dyDescent="0.3">
      <c r="A13" s="536"/>
      <c r="B13" s="39" t="s">
        <v>215</v>
      </c>
      <c r="C13" s="35">
        <v>9</v>
      </c>
      <c r="D13" s="35">
        <v>9</v>
      </c>
      <c r="E13" s="31" t="s">
        <v>1259</v>
      </c>
      <c r="F13" s="55"/>
      <c r="G13" s="17"/>
      <c r="H13" s="17"/>
      <c r="I13" s="17"/>
      <c r="J13" s="17"/>
      <c r="K13" s="17"/>
      <c r="L13" s="17"/>
      <c r="M13" s="17"/>
      <c r="N13" s="17"/>
      <c r="O13" s="17"/>
      <c r="P13" s="17"/>
      <c r="Q13" s="17"/>
    </row>
    <row r="14" spans="1:17" ht="23.25" customHeight="1" x14ac:dyDescent="0.3">
      <c r="A14" s="536"/>
      <c r="B14" s="23" t="s">
        <v>265</v>
      </c>
      <c r="C14" s="239"/>
      <c r="D14" s="239"/>
      <c r="E14" s="239"/>
      <c r="F14" s="55"/>
      <c r="G14" s="17"/>
      <c r="H14" s="17"/>
      <c r="I14" s="17"/>
      <c r="J14" s="17"/>
      <c r="K14" s="17"/>
      <c r="L14" s="17"/>
      <c r="M14" s="17"/>
      <c r="N14" s="17"/>
      <c r="O14" s="17"/>
      <c r="P14" s="17"/>
      <c r="Q14" s="17"/>
    </row>
    <row r="15" spans="1:17" ht="23.25" customHeight="1" x14ac:dyDescent="0.3">
      <c r="A15" s="536"/>
      <c r="B15" s="39" t="s">
        <v>266</v>
      </c>
      <c r="C15" s="35">
        <v>0</v>
      </c>
      <c r="D15" s="35">
        <v>0</v>
      </c>
      <c r="E15" s="74" t="s">
        <v>410</v>
      </c>
      <c r="F15" s="55"/>
      <c r="G15" s="17"/>
      <c r="H15" s="17"/>
      <c r="I15" s="17"/>
      <c r="J15" s="17"/>
      <c r="K15" s="17"/>
      <c r="L15" s="17"/>
      <c r="M15" s="17"/>
      <c r="N15" s="17"/>
      <c r="O15" s="17"/>
      <c r="P15" s="17"/>
      <c r="Q15" s="17"/>
    </row>
    <row r="16" spans="1:17" ht="23.25" customHeight="1" x14ac:dyDescent="0.3">
      <c r="A16" s="536" t="s">
        <v>224</v>
      </c>
      <c r="B16" s="23" t="s">
        <v>225</v>
      </c>
      <c r="C16" s="239"/>
      <c r="D16" s="239"/>
      <c r="E16" s="239"/>
      <c r="F16" s="55"/>
      <c r="G16" s="17"/>
      <c r="H16" s="17"/>
      <c r="I16" s="17"/>
      <c r="J16" s="17"/>
      <c r="K16" s="17"/>
      <c r="L16" s="17"/>
      <c r="M16" s="17"/>
      <c r="N16" s="17"/>
      <c r="O16" s="17"/>
      <c r="P16" s="17"/>
      <c r="Q16" s="17"/>
    </row>
    <row r="17" spans="1:17" ht="23.25" customHeight="1" x14ac:dyDescent="0.3">
      <c r="A17" s="536"/>
      <c r="B17" s="39" t="s">
        <v>226</v>
      </c>
      <c r="C17" s="35">
        <v>0</v>
      </c>
      <c r="D17" s="35">
        <v>0</v>
      </c>
      <c r="E17" s="74" t="s">
        <v>410</v>
      </c>
      <c r="F17" s="55"/>
      <c r="G17" s="17"/>
      <c r="H17" s="17"/>
      <c r="I17" s="17"/>
      <c r="J17" s="17"/>
      <c r="K17" s="17"/>
      <c r="L17" s="17"/>
      <c r="M17" s="17"/>
      <c r="N17" s="17"/>
      <c r="O17" s="17"/>
      <c r="P17" s="17"/>
      <c r="Q17" s="17"/>
    </row>
    <row r="18" spans="1:17" ht="23.25" customHeight="1" x14ac:dyDescent="0.3">
      <c r="A18" s="536"/>
      <c r="B18" s="39" t="s">
        <v>454</v>
      </c>
      <c r="C18" s="35">
        <v>0</v>
      </c>
      <c r="D18" s="35">
        <v>0</v>
      </c>
      <c r="E18" s="74" t="s">
        <v>410</v>
      </c>
      <c r="F18" s="55"/>
      <c r="G18" s="17"/>
      <c r="H18" s="17"/>
      <c r="I18" s="17"/>
      <c r="J18" s="17"/>
      <c r="K18" s="17"/>
      <c r="L18" s="17"/>
      <c r="M18" s="17"/>
      <c r="N18" s="17"/>
      <c r="O18" s="17"/>
      <c r="P18" s="17"/>
      <c r="Q18" s="17"/>
    </row>
    <row r="19" spans="1:17" ht="23.25" customHeight="1" x14ac:dyDescent="0.3">
      <c r="A19" s="536"/>
      <c r="B19" s="39" t="s">
        <v>230</v>
      </c>
      <c r="C19" s="35">
        <v>0</v>
      </c>
      <c r="D19" s="35">
        <v>0</v>
      </c>
      <c r="E19" s="74" t="s">
        <v>410</v>
      </c>
      <c r="F19" s="55"/>
      <c r="G19" s="17"/>
      <c r="H19" s="17"/>
      <c r="I19" s="17"/>
      <c r="J19" s="17"/>
      <c r="K19" s="17"/>
      <c r="L19" s="17"/>
      <c r="M19" s="17"/>
      <c r="N19" s="17"/>
      <c r="O19" s="17"/>
      <c r="P19" s="17"/>
      <c r="Q19" s="17"/>
    </row>
    <row r="20" spans="1:17" ht="23.25" customHeight="1" x14ac:dyDescent="0.3">
      <c r="A20" s="536"/>
      <c r="B20" s="23" t="s">
        <v>276</v>
      </c>
      <c r="C20" s="239"/>
      <c r="D20" s="239"/>
      <c r="E20" s="239"/>
      <c r="F20" s="55"/>
      <c r="G20" s="17"/>
      <c r="H20" s="17"/>
      <c r="I20" s="17"/>
      <c r="J20" s="17"/>
      <c r="K20" s="17"/>
      <c r="L20" s="17"/>
      <c r="M20" s="17"/>
      <c r="N20" s="17"/>
      <c r="O20" s="17"/>
      <c r="P20" s="17"/>
      <c r="Q20" s="17"/>
    </row>
    <row r="21" spans="1:17" ht="23.25" customHeight="1" x14ac:dyDescent="0.3">
      <c r="A21" s="536"/>
      <c r="B21" s="39" t="s">
        <v>277</v>
      </c>
      <c r="C21" s="35">
        <v>0</v>
      </c>
      <c r="D21" s="35">
        <v>0</v>
      </c>
      <c r="E21" s="74" t="s">
        <v>410</v>
      </c>
      <c r="F21" s="55"/>
      <c r="G21" s="17"/>
      <c r="H21" s="17"/>
      <c r="I21" s="17"/>
      <c r="J21" s="17"/>
      <c r="K21" s="17"/>
      <c r="L21" s="17"/>
      <c r="M21" s="17"/>
      <c r="N21" s="17"/>
      <c r="O21" s="17"/>
      <c r="P21" s="17"/>
      <c r="Q21" s="17"/>
    </row>
    <row r="22" spans="1:17" ht="23.25" customHeight="1" x14ac:dyDescent="0.3">
      <c r="A22" s="536" t="s">
        <v>234</v>
      </c>
      <c r="B22" s="23" t="s">
        <v>235</v>
      </c>
      <c r="C22" s="239"/>
      <c r="D22" s="239"/>
      <c r="E22" s="239"/>
      <c r="F22" s="55"/>
      <c r="G22" s="17"/>
      <c r="H22" s="17"/>
      <c r="I22" s="17"/>
      <c r="J22" s="17"/>
      <c r="K22" s="17"/>
      <c r="L22" s="17"/>
      <c r="M22" s="17"/>
      <c r="N22" s="17"/>
      <c r="O22" s="17"/>
      <c r="P22" s="17"/>
      <c r="Q22" s="17"/>
    </row>
    <row r="23" spans="1:17" ht="15.75" customHeight="1" x14ac:dyDescent="0.3">
      <c r="A23" s="536"/>
      <c r="B23" s="39" t="s">
        <v>236</v>
      </c>
      <c r="C23" s="35">
        <v>0</v>
      </c>
      <c r="D23" s="35">
        <v>0</v>
      </c>
      <c r="E23" s="74" t="s">
        <v>410</v>
      </c>
      <c r="F23" s="55"/>
      <c r="G23" s="17"/>
      <c r="H23" s="17"/>
      <c r="I23" s="17"/>
      <c r="J23" s="17"/>
      <c r="K23" s="17"/>
      <c r="L23" s="17"/>
      <c r="M23" s="17"/>
      <c r="N23" s="17"/>
      <c r="O23" s="17"/>
      <c r="P23" s="17"/>
      <c r="Q23" s="17"/>
    </row>
    <row r="24" spans="1:17" ht="23.25" customHeight="1" x14ac:dyDescent="0.3">
      <c r="A24" s="6" t="s">
        <v>455</v>
      </c>
      <c r="B24" s="86" t="s">
        <v>318</v>
      </c>
      <c r="C24" s="213">
        <v>9</v>
      </c>
      <c r="D24" s="213">
        <v>9</v>
      </c>
      <c r="E24" s="239"/>
      <c r="F24" s="55"/>
      <c r="G24" s="17"/>
      <c r="H24" s="17"/>
      <c r="I24" s="17"/>
      <c r="J24" s="17"/>
      <c r="K24" s="17"/>
      <c r="L24" s="17"/>
      <c r="M24" s="17"/>
      <c r="N24" s="17"/>
      <c r="O24" s="17"/>
      <c r="P24" s="17"/>
      <c r="Q24" s="17"/>
    </row>
    <row r="25" spans="1:17" ht="25.95" customHeight="1" x14ac:dyDescent="0.3">
      <c r="A25" s="544" t="s">
        <v>1260</v>
      </c>
      <c r="B25" s="544"/>
      <c r="C25" s="544"/>
      <c r="D25" s="544"/>
      <c r="E25" s="544"/>
      <c r="F25" s="17"/>
      <c r="G25" s="17"/>
      <c r="H25" s="17"/>
      <c r="I25" s="17"/>
      <c r="J25" s="17"/>
      <c r="K25" s="17"/>
      <c r="L25" s="17"/>
      <c r="M25" s="17"/>
      <c r="N25" s="17"/>
      <c r="O25" s="17"/>
      <c r="P25" s="17"/>
      <c r="Q25" s="17"/>
    </row>
    <row r="26" spans="1:17" ht="14.1" customHeight="1" x14ac:dyDescent="0.3">
      <c r="A26" s="17"/>
      <c r="B26" s="17"/>
      <c r="C26" s="17"/>
      <c r="D26" s="17"/>
      <c r="E26" s="17"/>
      <c r="F26" s="17"/>
      <c r="G26" s="17"/>
      <c r="H26" s="17"/>
      <c r="I26" s="17"/>
      <c r="J26" s="17"/>
      <c r="K26" s="17"/>
      <c r="L26" s="17"/>
      <c r="M26" s="17"/>
      <c r="N26" s="17"/>
      <c r="O26" s="17"/>
      <c r="P26" s="17"/>
      <c r="Q26" s="17"/>
    </row>
    <row r="27" spans="1:17" ht="19.2" customHeight="1" x14ac:dyDescent="0.3">
      <c r="A27" s="17"/>
      <c r="B27" s="17"/>
      <c r="C27" s="17"/>
      <c r="D27" s="137"/>
      <c r="E27" s="17"/>
      <c r="F27" s="17"/>
      <c r="G27" s="17"/>
      <c r="H27" s="17"/>
      <c r="I27" s="17"/>
      <c r="J27" s="17"/>
      <c r="K27" s="17"/>
      <c r="L27" s="17"/>
      <c r="M27" s="17"/>
      <c r="N27" s="17"/>
      <c r="O27" s="17"/>
      <c r="P27" s="17"/>
      <c r="Q27" s="17"/>
    </row>
    <row r="28" spans="1:17" ht="15" customHeight="1" x14ac:dyDescent="0.25"/>
    <row r="29" spans="1:17" ht="15" customHeight="1" x14ac:dyDescent="0.25"/>
    <row r="30" spans="1:17" ht="15" customHeight="1" x14ac:dyDescent="0.25"/>
    <row r="31" spans="1:17" ht="15" customHeight="1" x14ac:dyDescent="0.25"/>
    <row r="32" spans="1:17"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sheetData>
  <sheetProtection algorithmName="SHA-512" hashValue="QqoD/P+9u5FN7rAbmbCGTvn5Xntmd9GYSJ3EpbFJwAQhIABujUdItqVrGFKMzfN6LeFDokcssjjuKSgdQztS1A==" saltValue="gXmHb3zJv58fkPVHfuDk4A==" spinCount="100000" sheet="1" objects="1" scenarios="1" formatColumns="0" formatRows="0"/>
  <mergeCells count="7">
    <mergeCell ref="A22:A23"/>
    <mergeCell ref="A25:E25"/>
    <mergeCell ref="A1:F1"/>
    <mergeCell ref="A4:A6"/>
    <mergeCell ref="A7:A9"/>
    <mergeCell ref="A10:A15"/>
    <mergeCell ref="A16:A2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8"/>
  <sheetViews>
    <sheetView showRuler="0" topLeftCell="A5" workbookViewId="0">
      <selection activeCell="D18" sqref="D18"/>
    </sheetView>
  </sheetViews>
  <sheetFormatPr defaultColWidth="13.6640625" defaultRowHeight="13.2" x14ac:dyDescent="0.25"/>
  <cols>
    <col min="1" max="1" width="29.5546875" customWidth="1"/>
    <col min="2" max="5" width="28" customWidth="1"/>
  </cols>
  <sheetData>
    <row r="1" spans="1:6" ht="20.100000000000001" customHeight="1" x14ac:dyDescent="0.3">
      <c r="A1" s="595" t="s">
        <v>1261</v>
      </c>
      <c r="B1" s="595"/>
      <c r="C1" s="595"/>
      <c r="D1" s="595"/>
      <c r="E1" s="595"/>
      <c r="F1" s="595"/>
    </row>
    <row r="2" spans="1:6" ht="30.75" customHeight="1" x14ac:dyDescent="0.3">
      <c r="A2" s="28"/>
      <c r="B2" s="28"/>
      <c r="C2" s="28"/>
      <c r="D2" s="28"/>
      <c r="E2" s="17"/>
    </row>
    <row r="3" spans="1:6" ht="44.1" customHeight="1" x14ac:dyDescent="0.3">
      <c r="A3" s="45" t="s">
        <v>156</v>
      </c>
      <c r="B3" s="5" t="s">
        <v>207</v>
      </c>
      <c r="C3" s="18" t="s">
        <v>1262</v>
      </c>
      <c r="D3" s="18" t="s">
        <v>1263</v>
      </c>
      <c r="E3" s="55"/>
    </row>
    <row r="4" spans="1:6" ht="21.6" customHeight="1" x14ac:dyDescent="0.3">
      <c r="A4" s="536" t="s">
        <v>245</v>
      </c>
      <c r="B4" s="7" t="s">
        <v>246</v>
      </c>
      <c r="C4" s="210"/>
      <c r="D4" s="210"/>
      <c r="E4" s="55"/>
    </row>
    <row r="5" spans="1:6" ht="21.6" customHeight="1" x14ac:dyDescent="0.3">
      <c r="A5" s="536"/>
      <c r="B5" s="123" t="s">
        <v>452</v>
      </c>
      <c r="C5" s="140" t="s">
        <v>693</v>
      </c>
      <c r="D5" s="140" t="s">
        <v>410</v>
      </c>
      <c r="E5" s="55"/>
    </row>
    <row r="6" spans="1:6" ht="21.6" customHeight="1" x14ac:dyDescent="0.3">
      <c r="A6" s="536"/>
      <c r="B6" s="123" t="s">
        <v>247</v>
      </c>
      <c r="C6" s="140" t="s">
        <v>693</v>
      </c>
      <c r="D6" s="140" t="s">
        <v>410</v>
      </c>
      <c r="E6" s="55"/>
    </row>
    <row r="7" spans="1:6" ht="21.6" customHeight="1" x14ac:dyDescent="0.3">
      <c r="A7" s="536" t="s">
        <v>251</v>
      </c>
      <c r="B7" s="7" t="s">
        <v>252</v>
      </c>
      <c r="C7" s="210"/>
      <c r="D7" s="121"/>
      <c r="E7" s="55"/>
    </row>
    <row r="8" spans="1:6" ht="21.6" customHeight="1" x14ac:dyDescent="0.3">
      <c r="A8" s="536"/>
      <c r="B8" s="123" t="s">
        <v>253</v>
      </c>
      <c r="C8" s="140" t="s">
        <v>693</v>
      </c>
      <c r="D8" s="140" t="s">
        <v>410</v>
      </c>
      <c r="E8" s="55"/>
    </row>
    <row r="9" spans="1:6" ht="21.6" customHeight="1" x14ac:dyDescent="0.3">
      <c r="A9" s="536"/>
      <c r="B9" s="123" t="s">
        <v>256</v>
      </c>
      <c r="C9" s="140" t="s">
        <v>693</v>
      </c>
      <c r="D9" s="140" t="s">
        <v>410</v>
      </c>
      <c r="E9" s="55"/>
    </row>
    <row r="10" spans="1:6" ht="21.6" customHeight="1" x14ac:dyDescent="0.3">
      <c r="A10" s="536" t="s">
        <v>213</v>
      </c>
      <c r="B10" s="7" t="s">
        <v>328</v>
      </c>
      <c r="C10" s="210"/>
      <c r="D10" s="121"/>
      <c r="E10" s="55"/>
    </row>
    <row r="11" spans="1:6" ht="21.6" customHeight="1" x14ac:dyDescent="0.3">
      <c r="A11" s="536"/>
      <c r="B11" s="123" t="s">
        <v>453</v>
      </c>
      <c r="C11" s="140" t="s">
        <v>693</v>
      </c>
      <c r="D11" s="140" t="s">
        <v>410</v>
      </c>
      <c r="E11" s="55"/>
    </row>
    <row r="12" spans="1:6" ht="21.6" customHeight="1" x14ac:dyDescent="0.3">
      <c r="A12" s="536"/>
      <c r="B12" s="7" t="s">
        <v>214</v>
      </c>
      <c r="C12" s="210"/>
      <c r="D12" s="121"/>
      <c r="E12" s="55"/>
    </row>
    <row r="13" spans="1:6" ht="21.6" customHeight="1" x14ac:dyDescent="0.3">
      <c r="A13" s="536"/>
      <c r="B13" s="123" t="s">
        <v>215</v>
      </c>
      <c r="C13" s="140" t="s">
        <v>693</v>
      </c>
      <c r="D13" s="140" t="s">
        <v>410</v>
      </c>
      <c r="E13" s="55"/>
    </row>
    <row r="14" spans="1:6" ht="21.6" customHeight="1" x14ac:dyDescent="0.3">
      <c r="A14" s="536"/>
      <c r="B14" s="7" t="s">
        <v>265</v>
      </c>
      <c r="C14" s="210"/>
      <c r="D14" s="121"/>
      <c r="E14" s="55"/>
    </row>
    <row r="15" spans="1:6" ht="21.6" customHeight="1" x14ac:dyDescent="0.3">
      <c r="A15" s="536"/>
      <c r="B15" s="123" t="s">
        <v>266</v>
      </c>
      <c r="C15" s="140" t="s">
        <v>693</v>
      </c>
      <c r="D15" s="140" t="s">
        <v>410</v>
      </c>
      <c r="E15" s="55"/>
    </row>
    <row r="16" spans="1:6" ht="21.6" customHeight="1" x14ac:dyDescent="0.3">
      <c r="A16" s="536" t="s">
        <v>224</v>
      </c>
      <c r="B16" s="7" t="s">
        <v>225</v>
      </c>
      <c r="C16" s="210"/>
      <c r="D16" s="121"/>
      <c r="E16" s="55"/>
    </row>
    <row r="17" spans="1:5" ht="21.6" customHeight="1" x14ac:dyDescent="0.3">
      <c r="A17" s="536"/>
      <c r="B17" s="123" t="s">
        <v>226</v>
      </c>
      <c r="C17" s="140" t="s">
        <v>693</v>
      </c>
      <c r="D17" s="140" t="s">
        <v>410</v>
      </c>
      <c r="E17" s="55"/>
    </row>
    <row r="18" spans="1:5" ht="21.6" customHeight="1" x14ac:dyDescent="0.3">
      <c r="A18" s="536"/>
      <c r="B18" s="123" t="s">
        <v>454</v>
      </c>
      <c r="C18" s="140" t="s">
        <v>693</v>
      </c>
      <c r="D18" s="140" t="s">
        <v>410</v>
      </c>
      <c r="E18" s="55"/>
    </row>
    <row r="19" spans="1:5" ht="21.6" customHeight="1" x14ac:dyDescent="0.3">
      <c r="A19" s="536"/>
      <c r="B19" s="123" t="s">
        <v>230</v>
      </c>
      <c r="C19" s="140" t="s">
        <v>693</v>
      </c>
      <c r="D19" s="140" t="s">
        <v>410</v>
      </c>
      <c r="E19" s="55"/>
    </row>
    <row r="20" spans="1:5" ht="21.6" customHeight="1" x14ac:dyDescent="0.3">
      <c r="A20" s="536"/>
      <c r="B20" s="7" t="s">
        <v>276</v>
      </c>
      <c r="C20" s="210"/>
      <c r="D20" s="121"/>
      <c r="E20" s="55"/>
    </row>
    <row r="21" spans="1:5" ht="21.6" customHeight="1" x14ac:dyDescent="0.3">
      <c r="A21" s="536"/>
      <c r="B21" s="123" t="s">
        <v>277</v>
      </c>
      <c r="C21" s="140" t="s">
        <v>693</v>
      </c>
      <c r="D21" s="140" t="s">
        <v>410</v>
      </c>
      <c r="E21" s="55"/>
    </row>
    <row r="22" spans="1:5" ht="21.6" customHeight="1" x14ac:dyDescent="0.3">
      <c r="A22" s="604" t="s">
        <v>234</v>
      </c>
      <c r="B22" s="7" t="s">
        <v>235</v>
      </c>
      <c r="C22" s="210"/>
      <c r="D22" s="121"/>
      <c r="E22" s="55"/>
    </row>
    <row r="23" spans="1:5" ht="21.6" customHeight="1" x14ac:dyDescent="0.3">
      <c r="A23" s="604"/>
      <c r="B23" s="123" t="s">
        <v>236</v>
      </c>
      <c r="C23" s="140" t="s">
        <v>693</v>
      </c>
      <c r="D23" s="140" t="s">
        <v>410</v>
      </c>
      <c r="E23" s="55"/>
    </row>
    <row r="24" spans="1:5" ht="21.6" customHeight="1" x14ac:dyDescent="0.3">
      <c r="A24" s="6" t="s">
        <v>455</v>
      </c>
      <c r="B24" s="33" t="s">
        <v>318</v>
      </c>
      <c r="C24" s="225"/>
      <c r="D24" s="139">
        <v>0</v>
      </c>
      <c r="E24" s="55"/>
    </row>
    <row r="25" spans="1:5" ht="40.950000000000003" customHeight="1" x14ac:dyDescent="0.3">
      <c r="A25" s="544" t="s">
        <v>1264</v>
      </c>
      <c r="B25" s="695"/>
      <c r="C25" s="695"/>
      <c r="D25" s="695"/>
      <c r="E25" s="17"/>
    </row>
    <row r="26" spans="1:5" ht="14.1" customHeight="1" x14ac:dyDescent="0.3">
      <c r="A26" s="17"/>
      <c r="B26" s="17"/>
      <c r="C26" s="17"/>
      <c r="E26" s="17"/>
    </row>
    <row r="27" spans="1:5" ht="14.1" customHeight="1" x14ac:dyDescent="0.3">
      <c r="A27" s="17"/>
      <c r="B27" s="17"/>
      <c r="C27" s="17"/>
      <c r="D27" s="137"/>
      <c r="E27" s="17"/>
    </row>
    <row r="28" spans="1:5" ht="15" customHeight="1" x14ac:dyDescent="0.25"/>
    <row r="29" spans="1:5" ht="15" customHeight="1" x14ac:dyDescent="0.25"/>
    <row r="30" spans="1:5" ht="15" customHeight="1" x14ac:dyDescent="0.25"/>
    <row r="31" spans="1:5" ht="15" customHeight="1" x14ac:dyDescent="0.25"/>
    <row r="32" spans="1:5"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sheetData>
  <sheetProtection algorithmName="SHA-512" hashValue="8Y7I1Y2NcpXX28ul9UJrdnINXg+DAYcFxEpsYzMQHsY0ykPi8d3/W9ccIQJg0cTt3CnqZ6bCB2eIHWS6GMRLXA==" saltValue="GvHJmJ+R2+9j1yExjjmH4Q==" spinCount="100000" sheet="1" objects="1" scenarios="1" formatColumns="0" formatRows="0"/>
  <mergeCells count="7">
    <mergeCell ref="A22:A23"/>
    <mergeCell ref="A25:D25"/>
    <mergeCell ref="A1:F1"/>
    <mergeCell ref="A4:A6"/>
    <mergeCell ref="A7:A9"/>
    <mergeCell ref="A10:A15"/>
    <mergeCell ref="A16:A2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7"/>
  <sheetViews>
    <sheetView showRuler="0" workbookViewId="0">
      <selection activeCell="D18" sqref="D18"/>
    </sheetView>
  </sheetViews>
  <sheetFormatPr defaultColWidth="13.6640625" defaultRowHeight="13.2" x14ac:dyDescent="0.25"/>
  <cols>
    <col min="1" max="1" width="25.109375" customWidth="1"/>
    <col min="2" max="7" width="21.6640625" customWidth="1"/>
    <col min="8" max="8" width="14.33203125" customWidth="1"/>
  </cols>
  <sheetData>
    <row r="1" spans="1:8" ht="25.95" customHeight="1" x14ac:dyDescent="0.3">
      <c r="A1" s="595" t="s">
        <v>1265</v>
      </c>
      <c r="B1" s="595"/>
      <c r="C1" s="595"/>
      <c r="D1" s="595"/>
      <c r="E1" s="595"/>
      <c r="F1" s="595"/>
      <c r="G1" s="17"/>
      <c r="H1" s="17"/>
    </row>
    <row r="2" spans="1:8" ht="20.85" customHeight="1" x14ac:dyDescent="0.3">
      <c r="A2" s="28"/>
      <c r="B2" s="28"/>
      <c r="C2" s="28"/>
      <c r="D2" s="28"/>
      <c r="E2" s="28"/>
      <c r="F2" s="28"/>
      <c r="G2" s="28"/>
      <c r="H2" s="17"/>
    </row>
    <row r="3" spans="1:8" ht="103.35" customHeight="1" x14ac:dyDescent="0.3">
      <c r="A3" s="45" t="s">
        <v>1266</v>
      </c>
      <c r="B3" s="5" t="s">
        <v>207</v>
      </c>
      <c r="C3" s="18" t="s">
        <v>1267</v>
      </c>
      <c r="D3" s="18" t="s">
        <v>1268</v>
      </c>
      <c r="E3" s="18" t="s">
        <v>1269</v>
      </c>
      <c r="F3" s="95" t="s">
        <v>1270</v>
      </c>
      <c r="G3" s="18" t="s">
        <v>1271</v>
      </c>
      <c r="H3" s="55"/>
    </row>
    <row r="4" spans="1:8" ht="21.6" customHeight="1" x14ac:dyDescent="0.3">
      <c r="A4" s="536" t="s">
        <v>245</v>
      </c>
      <c r="B4" s="7" t="s">
        <v>246</v>
      </c>
      <c r="C4" s="7"/>
      <c r="D4" s="7"/>
      <c r="E4" s="7"/>
      <c r="F4" s="7"/>
      <c r="G4" s="7"/>
      <c r="H4" s="55"/>
    </row>
    <row r="5" spans="1:8" ht="21.6" customHeight="1" x14ac:dyDescent="0.3">
      <c r="A5" s="536"/>
      <c r="B5" s="161" t="s">
        <v>514</v>
      </c>
      <c r="C5" s="134">
        <v>2020</v>
      </c>
      <c r="D5" s="140" t="s">
        <v>694</v>
      </c>
      <c r="E5" s="140" t="s">
        <v>694</v>
      </c>
      <c r="F5" s="140" t="s">
        <v>694</v>
      </c>
      <c r="G5" s="140" t="s">
        <v>694</v>
      </c>
      <c r="H5" s="55"/>
    </row>
    <row r="6" spans="1:8" ht="21.6" customHeight="1" x14ac:dyDescent="0.3">
      <c r="A6" s="536"/>
      <c r="B6" s="161" t="s">
        <v>247</v>
      </c>
      <c r="C6" s="127">
        <v>2015</v>
      </c>
      <c r="D6" s="140" t="s">
        <v>694</v>
      </c>
      <c r="E6" s="140" t="s">
        <v>694</v>
      </c>
      <c r="F6" s="140" t="s">
        <v>694</v>
      </c>
      <c r="G6" s="140" t="s">
        <v>694</v>
      </c>
      <c r="H6" s="55"/>
    </row>
    <row r="7" spans="1:8" ht="21.6" customHeight="1" x14ac:dyDescent="0.3">
      <c r="A7" s="536" t="s">
        <v>251</v>
      </c>
      <c r="B7" s="7" t="s">
        <v>252</v>
      </c>
      <c r="C7" s="225"/>
      <c r="D7" s="225"/>
      <c r="E7" s="225"/>
      <c r="F7" s="225"/>
      <c r="G7" s="225"/>
      <c r="H7" s="55"/>
    </row>
    <row r="8" spans="1:8" ht="21.6" customHeight="1" x14ac:dyDescent="0.3">
      <c r="A8" s="536"/>
      <c r="B8" s="161" t="s">
        <v>253</v>
      </c>
      <c r="C8" s="134">
        <v>2020</v>
      </c>
      <c r="D8" s="140" t="s">
        <v>694</v>
      </c>
      <c r="E8" s="140" t="s">
        <v>694</v>
      </c>
      <c r="F8" s="140" t="s">
        <v>694</v>
      </c>
      <c r="G8" s="140" t="s">
        <v>694</v>
      </c>
      <c r="H8" s="55"/>
    </row>
    <row r="9" spans="1:8" ht="21.6" customHeight="1" x14ac:dyDescent="0.3">
      <c r="A9" s="536"/>
      <c r="B9" s="161" t="s">
        <v>256</v>
      </c>
      <c r="C9" s="134">
        <v>2019</v>
      </c>
      <c r="D9" s="140" t="s">
        <v>694</v>
      </c>
      <c r="E9" s="140" t="s">
        <v>694</v>
      </c>
      <c r="F9" s="208" t="s">
        <v>693</v>
      </c>
      <c r="G9" s="140" t="s">
        <v>694</v>
      </c>
      <c r="H9" s="55"/>
    </row>
    <row r="10" spans="1:8" ht="21.6" customHeight="1" x14ac:dyDescent="0.3">
      <c r="A10" s="536" t="s">
        <v>213</v>
      </c>
      <c r="B10" s="7" t="s">
        <v>328</v>
      </c>
      <c r="C10" s="225"/>
      <c r="D10" s="225"/>
      <c r="E10" s="225"/>
      <c r="F10" s="225"/>
      <c r="G10" s="225"/>
      <c r="H10" s="55"/>
    </row>
    <row r="11" spans="1:8" ht="21.6" customHeight="1" x14ac:dyDescent="0.3">
      <c r="A11" s="536"/>
      <c r="B11" s="161" t="s">
        <v>453</v>
      </c>
      <c r="C11" s="134">
        <v>2020</v>
      </c>
      <c r="D11" s="140" t="s">
        <v>694</v>
      </c>
      <c r="E11" s="140" t="s">
        <v>694</v>
      </c>
      <c r="F11" s="140" t="s">
        <v>694</v>
      </c>
      <c r="G11" s="140" t="s">
        <v>694</v>
      </c>
      <c r="H11" s="55"/>
    </row>
    <row r="12" spans="1:8" ht="21.6" customHeight="1" x14ac:dyDescent="0.3">
      <c r="A12" s="536"/>
      <c r="B12" s="7" t="s">
        <v>214</v>
      </c>
      <c r="C12" s="225"/>
      <c r="D12" s="225"/>
      <c r="E12" s="225"/>
      <c r="F12" s="225"/>
      <c r="G12" s="225"/>
      <c r="H12" s="55"/>
    </row>
    <row r="13" spans="1:8" ht="21.6" customHeight="1" x14ac:dyDescent="0.3">
      <c r="A13" s="536"/>
      <c r="B13" s="161" t="s">
        <v>215</v>
      </c>
      <c r="C13" s="134">
        <v>2022</v>
      </c>
      <c r="D13" s="140" t="s">
        <v>694</v>
      </c>
      <c r="E13" s="140" t="s">
        <v>694</v>
      </c>
      <c r="F13" s="140" t="s">
        <v>694</v>
      </c>
      <c r="G13" s="140" t="s">
        <v>694</v>
      </c>
      <c r="H13" s="55"/>
    </row>
    <row r="14" spans="1:8" ht="21.6" customHeight="1" x14ac:dyDescent="0.3">
      <c r="A14" s="536"/>
      <c r="B14" s="7" t="s">
        <v>265</v>
      </c>
      <c r="C14" s="225"/>
      <c r="D14" s="225"/>
      <c r="E14" s="225"/>
      <c r="F14" s="225"/>
      <c r="G14" s="225"/>
      <c r="H14" s="55"/>
    </row>
    <row r="15" spans="1:8" ht="21.6" customHeight="1" x14ac:dyDescent="0.3">
      <c r="A15" s="536"/>
      <c r="B15" s="161" t="s">
        <v>266</v>
      </c>
      <c r="C15" s="134">
        <v>2019</v>
      </c>
      <c r="D15" s="140" t="s">
        <v>694</v>
      </c>
      <c r="E15" s="140" t="s">
        <v>694</v>
      </c>
      <c r="F15" s="140" t="s">
        <v>694</v>
      </c>
      <c r="G15" s="140" t="s">
        <v>694</v>
      </c>
      <c r="H15" s="55"/>
    </row>
    <row r="16" spans="1:8" ht="21.6" customHeight="1" x14ac:dyDescent="0.3">
      <c r="A16" s="536" t="s">
        <v>224</v>
      </c>
      <c r="B16" s="7" t="s">
        <v>225</v>
      </c>
      <c r="C16" s="225"/>
      <c r="D16" s="225"/>
      <c r="E16" s="225"/>
      <c r="F16" s="225"/>
      <c r="G16" s="225"/>
      <c r="H16" s="55"/>
    </row>
    <row r="17" spans="1:8" ht="21.6" customHeight="1" x14ac:dyDescent="0.3">
      <c r="A17" s="536"/>
      <c r="B17" s="161" t="s">
        <v>226</v>
      </c>
      <c r="C17" s="134">
        <v>2022</v>
      </c>
      <c r="D17" s="140" t="s">
        <v>694</v>
      </c>
      <c r="E17" s="140" t="s">
        <v>694</v>
      </c>
      <c r="F17" s="140" t="s">
        <v>694</v>
      </c>
      <c r="G17" s="140" t="s">
        <v>694</v>
      </c>
      <c r="H17" s="55"/>
    </row>
    <row r="18" spans="1:8" ht="21.6" customHeight="1" x14ac:dyDescent="0.3">
      <c r="A18" s="536"/>
      <c r="B18" s="161" t="s">
        <v>454</v>
      </c>
      <c r="C18" s="134">
        <v>2023</v>
      </c>
      <c r="D18" s="140" t="s">
        <v>694</v>
      </c>
      <c r="E18" s="140" t="s">
        <v>694</v>
      </c>
      <c r="F18" s="140" t="s">
        <v>694</v>
      </c>
      <c r="G18" s="140" t="s">
        <v>694</v>
      </c>
      <c r="H18" s="55"/>
    </row>
    <row r="19" spans="1:8" ht="21.6" customHeight="1" x14ac:dyDescent="0.3">
      <c r="A19" s="536"/>
      <c r="B19" s="161" t="s">
        <v>230</v>
      </c>
      <c r="C19" s="127">
        <v>2018</v>
      </c>
      <c r="D19" s="140" t="s">
        <v>694</v>
      </c>
      <c r="E19" s="140" t="s">
        <v>694</v>
      </c>
      <c r="F19" s="140" t="s">
        <v>693</v>
      </c>
      <c r="G19" s="140" t="s">
        <v>694</v>
      </c>
      <c r="H19" s="55"/>
    </row>
    <row r="20" spans="1:8" ht="21.6" customHeight="1" x14ac:dyDescent="0.3">
      <c r="A20" s="536"/>
      <c r="B20" s="7" t="s">
        <v>276</v>
      </c>
      <c r="C20" s="225"/>
      <c r="D20" s="225"/>
      <c r="E20" s="225"/>
      <c r="F20" s="225"/>
      <c r="G20" s="225"/>
      <c r="H20" s="55"/>
    </row>
    <row r="21" spans="1:8" ht="21.6" customHeight="1" x14ac:dyDescent="0.3">
      <c r="A21" s="536"/>
      <c r="B21" s="161" t="s">
        <v>277</v>
      </c>
      <c r="C21" s="134">
        <v>2022</v>
      </c>
      <c r="D21" s="140" t="s">
        <v>694</v>
      </c>
      <c r="E21" s="140" t="s">
        <v>694</v>
      </c>
      <c r="F21" s="140" t="s">
        <v>694</v>
      </c>
      <c r="G21" s="140" t="s">
        <v>694</v>
      </c>
      <c r="H21" s="55"/>
    </row>
    <row r="22" spans="1:8" ht="21.6" customHeight="1" x14ac:dyDescent="0.3">
      <c r="A22" s="536" t="s">
        <v>234</v>
      </c>
      <c r="B22" s="7" t="s">
        <v>235</v>
      </c>
      <c r="C22" s="225"/>
      <c r="D22" s="225"/>
      <c r="E22" s="225"/>
      <c r="F22" s="225"/>
      <c r="G22" s="225"/>
      <c r="H22" s="55"/>
    </row>
    <row r="23" spans="1:8" ht="21.6" customHeight="1" x14ac:dyDescent="0.3">
      <c r="A23" s="536"/>
      <c r="B23" s="161" t="s">
        <v>236</v>
      </c>
      <c r="C23" s="134">
        <v>2014</v>
      </c>
      <c r="D23" s="140" t="s">
        <v>694</v>
      </c>
      <c r="E23" s="140" t="s">
        <v>694</v>
      </c>
      <c r="F23" s="208" t="s">
        <v>694</v>
      </c>
      <c r="G23" s="140" t="s">
        <v>694</v>
      </c>
      <c r="H23" s="55"/>
    </row>
    <row r="24" spans="1:8" ht="55.95" customHeight="1" x14ac:dyDescent="0.3">
      <c r="A24" s="544" t="s">
        <v>1272</v>
      </c>
      <c r="B24" s="544"/>
      <c r="C24" s="544"/>
      <c r="D24" s="544"/>
      <c r="E24" s="544"/>
      <c r="F24" s="544"/>
      <c r="G24" s="544"/>
      <c r="H24" s="17"/>
    </row>
    <row r="25" spans="1:8" ht="14.1" customHeight="1" x14ac:dyDescent="0.3">
      <c r="A25" s="17"/>
      <c r="B25" s="17"/>
      <c r="C25" s="17"/>
      <c r="D25" s="17"/>
      <c r="E25" s="17"/>
      <c r="F25" s="17"/>
      <c r="G25" s="17"/>
      <c r="H25" s="17"/>
    </row>
    <row r="26" spans="1:8" ht="14.1" customHeight="1" x14ac:dyDescent="0.3">
      <c r="A26" s="17"/>
      <c r="B26" s="17"/>
      <c r="C26" s="17"/>
      <c r="D26" s="17"/>
      <c r="E26" s="17"/>
      <c r="F26" s="17"/>
      <c r="G26" s="17"/>
      <c r="H26" s="17"/>
    </row>
    <row r="27" spans="1:8" ht="14.1" customHeight="1" x14ac:dyDescent="0.3">
      <c r="A27" s="67"/>
      <c r="B27" s="67"/>
      <c r="C27" s="67"/>
      <c r="D27" s="67"/>
      <c r="E27" s="67"/>
      <c r="F27" s="67"/>
      <c r="G27" s="67"/>
      <c r="H27" s="17"/>
    </row>
    <row r="28" spans="1:8" ht="14.1" customHeight="1" x14ac:dyDescent="0.3">
      <c r="A28" s="17"/>
      <c r="B28" s="17"/>
      <c r="C28" s="17"/>
      <c r="H28" s="17"/>
    </row>
    <row r="29" spans="1:8" ht="14.1" customHeight="1" x14ac:dyDescent="0.3">
      <c r="A29" s="17"/>
      <c r="B29" s="17"/>
      <c r="C29" s="17"/>
      <c r="D29" s="17"/>
      <c r="E29" s="17"/>
      <c r="F29" s="17"/>
      <c r="G29" s="17"/>
      <c r="H29" s="17"/>
    </row>
    <row r="30" spans="1:8" ht="14.1" customHeight="1" x14ac:dyDescent="0.3">
      <c r="A30" s="17"/>
      <c r="B30" s="17"/>
      <c r="C30" s="17"/>
      <c r="D30" s="17"/>
      <c r="E30" s="17"/>
      <c r="F30" s="17"/>
      <c r="G30" s="17"/>
      <c r="H30" s="17"/>
    </row>
    <row r="31" spans="1:8" ht="14.1" customHeight="1" x14ac:dyDescent="0.3">
      <c r="A31" s="17"/>
      <c r="B31" s="17"/>
      <c r="C31" s="17"/>
      <c r="D31" s="17"/>
      <c r="E31" s="17"/>
      <c r="F31" s="17"/>
      <c r="G31" s="17"/>
      <c r="H31" s="17"/>
    </row>
    <row r="32" spans="1:8" ht="14.1" customHeight="1" x14ac:dyDescent="0.3">
      <c r="A32" s="17"/>
      <c r="B32" s="17"/>
      <c r="C32" s="17"/>
      <c r="D32" s="17"/>
      <c r="E32" s="17"/>
      <c r="F32" s="17"/>
      <c r="G32" s="17"/>
      <c r="H32" s="17"/>
    </row>
    <row r="33" spans="1:8" ht="14.1" customHeight="1" x14ac:dyDescent="0.3">
      <c r="A33" s="17"/>
      <c r="B33" s="17"/>
      <c r="C33" s="17"/>
      <c r="D33" s="17"/>
      <c r="E33" s="17"/>
      <c r="F33" s="17"/>
      <c r="G33" s="17"/>
      <c r="H33" s="17"/>
    </row>
    <row r="34" spans="1:8" ht="14.1" customHeight="1" x14ac:dyDescent="0.3">
      <c r="A34" s="17"/>
      <c r="B34" s="17"/>
      <c r="C34" s="17"/>
      <c r="D34" s="17"/>
      <c r="E34" s="17"/>
      <c r="F34" s="17"/>
      <c r="G34" s="17"/>
      <c r="H34" s="17"/>
    </row>
    <row r="35" spans="1:8" ht="14.1" customHeight="1" x14ac:dyDescent="0.3">
      <c r="A35" s="17"/>
      <c r="B35" s="17"/>
      <c r="C35" s="17"/>
      <c r="D35" s="17"/>
      <c r="E35" s="17"/>
      <c r="F35" s="17"/>
      <c r="G35" s="17"/>
      <c r="H35" s="17"/>
    </row>
    <row r="36" spans="1:8" ht="14.1" customHeight="1" x14ac:dyDescent="0.3">
      <c r="A36" s="17"/>
      <c r="B36" s="17"/>
      <c r="C36" s="17"/>
      <c r="D36" s="137"/>
      <c r="E36" s="17"/>
      <c r="F36" s="17"/>
      <c r="G36" s="17"/>
      <c r="H36" s="17"/>
    </row>
    <row r="37" spans="1:8" ht="15" customHeight="1" x14ac:dyDescent="0.25"/>
    <row r="38" spans="1:8" ht="15" customHeight="1" x14ac:dyDescent="0.25"/>
    <row r="39" spans="1:8" ht="15" customHeight="1" x14ac:dyDescent="0.25"/>
    <row r="40" spans="1:8" ht="15" customHeight="1" x14ac:dyDescent="0.25"/>
    <row r="41" spans="1:8" ht="15" customHeight="1" x14ac:dyDescent="0.25"/>
    <row r="42" spans="1:8" ht="15" customHeight="1" x14ac:dyDescent="0.25"/>
    <row r="43" spans="1:8" ht="15" customHeight="1" x14ac:dyDescent="0.25"/>
    <row r="44" spans="1:8" ht="15" customHeight="1" x14ac:dyDescent="0.25"/>
    <row r="45" spans="1:8" ht="15" customHeight="1" x14ac:dyDescent="0.25"/>
    <row r="46" spans="1:8" ht="15" customHeight="1" x14ac:dyDescent="0.25"/>
    <row r="47" spans="1:8" ht="15" customHeight="1" x14ac:dyDescent="0.25"/>
    <row r="48" spans="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heetProtection algorithmName="SHA-512" hashValue="tsmZEEg6x5EVwy3FduiS9xYs+ktKrZWv2LDVwwlj0mvNVrUd1lkPWhKcdZlxoPjApaKDDYicA9lISMeIO1WZtw==" saltValue="nCwFxNO3w0jmM7+GoFNNLQ==" spinCount="100000" sheet="1" objects="1" scenarios="1" formatColumns="0" formatRows="0"/>
  <mergeCells count="7">
    <mergeCell ref="A24:G24"/>
    <mergeCell ref="A22:A23"/>
    <mergeCell ref="A1:F1"/>
    <mergeCell ref="A4:A6"/>
    <mergeCell ref="A7:A9"/>
    <mergeCell ref="A10:A15"/>
    <mergeCell ref="A16:A2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8"/>
  <sheetViews>
    <sheetView showRuler="0" workbookViewId="0">
      <selection activeCell="D18" sqref="D18"/>
    </sheetView>
  </sheetViews>
  <sheetFormatPr defaultColWidth="13.6640625" defaultRowHeight="13.2" x14ac:dyDescent="0.25"/>
  <cols>
    <col min="1" max="1" width="21.109375" customWidth="1"/>
    <col min="2" max="4" width="15.6640625" customWidth="1"/>
  </cols>
  <sheetData>
    <row r="1" spans="1:10" ht="26.7" customHeight="1" x14ac:dyDescent="0.3">
      <c r="A1" s="595" t="s">
        <v>1273</v>
      </c>
      <c r="B1" s="595"/>
      <c r="C1" s="595"/>
      <c r="D1" s="595"/>
      <c r="E1" s="595"/>
    </row>
    <row r="2" spans="1:10" ht="30" customHeight="1" x14ac:dyDescent="0.25"/>
    <row r="3" spans="1:10" ht="20.85" customHeight="1" x14ac:dyDescent="0.3">
      <c r="A3" s="728" t="s">
        <v>1274</v>
      </c>
      <c r="B3" s="9"/>
      <c r="C3" s="725" t="s">
        <v>1275</v>
      </c>
      <c r="D3" s="726"/>
      <c r="E3" s="726"/>
      <c r="F3" s="727"/>
      <c r="G3" s="730" t="s">
        <v>1276</v>
      </c>
      <c r="H3" s="13"/>
    </row>
    <row r="4" spans="1:10" ht="39.9" customHeight="1" x14ac:dyDescent="0.3">
      <c r="A4" s="729"/>
      <c r="B4" s="5" t="s">
        <v>207</v>
      </c>
      <c r="C4" s="115" t="s">
        <v>1277</v>
      </c>
      <c r="D4" s="115" t="s">
        <v>1278</v>
      </c>
      <c r="E4" s="115" t="s">
        <v>1279</v>
      </c>
      <c r="F4" s="115" t="s">
        <v>1280</v>
      </c>
      <c r="G4" s="731"/>
      <c r="H4" s="13"/>
    </row>
    <row r="5" spans="1:10" ht="22.5" customHeight="1" x14ac:dyDescent="0.3">
      <c r="A5" s="602" t="s">
        <v>245</v>
      </c>
      <c r="B5" s="240" t="s">
        <v>246</v>
      </c>
      <c r="C5" s="241">
        <v>0</v>
      </c>
      <c r="D5" s="241">
        <v>0</v>
      </c>
      <c r="E5" s="241">
        <v>46000</v>
      </c>
      <c r="F5" s="241">
        <v>0</v>
      </c>
      <c r="G5" s="241">
        <v>50000</v>
      </c>
      <c r="H5" s="13"/>
    </row>
    <row r="6" spans="1:10" ht="22.5" customHeight="1" x14ac:dyDescent="0.3">
      <c r="A6" s="602"/>
      <c r="B6" s="61" t="s">
        <v>1199</v>
      </c>
      <c r="C6" s="242">
        <v>0</v>
      </c>
      <c r="D6" s="242">
        <v>0</v>
      </c>
      <c r="E6" s="242">
        <v>0</v>
      </c>
      <c r="F6" s="242">
        <v>0</v>
      </c>
      <c r="G6" s="242">
        <v>50000</v>
      </c>
      <c r="H6" s="13"/>
    </row>
    <row r="7" spans="1:10" ht="22.5" customHeight="1" x14ac:dyDescent="0.3">
      <c r="A7" s="602"/>
      <c r="B7" s="61" t="s">
        <v>514</v>
      </c>
      <c r="C7" s="242">
        <v>0</v>
      </c>
      <c r="D7" s="242">
        <v>0</v>
      </c>
      <c r="E7" s="242">
        <v>23000</v>
      </c>
      <c r="F7" s="242">
        <v>0</v>
      </c>
      <c r="G7" s="242">
        <v>2949162</v>
      </c>
      <c r="H7" s="13"/>
    </row>
    <row r="8" spans="1:10" ht="22.5" customHeight="1" x14ac:dyDescent="0.3">
      <c r="A8" s="602"/>
      <c r="B8" s="61" t="s">
        <v>247</v>
      </c>
      <c r="C8" s="242">
        <v>0</v>
      </c>
      <c r="D8" s="242">
        <v>0</v>
      </c>
      <c r="E8" s="242">
        <v>23000</v>
      </c>
      <c r="F8" s="242">
        <v>0</v>
      </c>
      <c r="G8" s="242">
        <v>143741</v>
      </c>
      <c r="H8" s="13"/>
    </row>
    <row r="9" spans="1:10" ht="22.5" customHeight="1" x14ac:dyDescent="0.3">
      <c r="A9" s="602"/>
      <c r="B9" s="61" t="s">
        <v>1281</v>
      </c>
      <c r="C9" s="242">
        <v>0</v>
      </c>
      <c r="D9" s="242">
        <v>0</v>
      </c>
      <c r="E9" s="242">
        <v>0</v>
      </c>
      <c r="F9" s="242">
        <v>0</v>
      </c>
      <c r="G9" s="242">
        <v>582242</v>
      </c>
      <c r="H9" s="13"/>
    </row>
    <row r="10" spans="1:10" ht="22.5" customHeight="1" x14ac:dyDescent="0.3">
      <c r="A10" s="602" t="s">
        <v>251</v>
      </c>
      <c r="B10" s="63" t="s">
        <v>252</v>
      </c>
      <c r="C10" s="241">
        <v>0</v>
      </c>
      <c r="D10" s="241">
        <v>0</v>
      </c>
      <c r="E10" s="241">
        <v>0</v>
      </c>
      <c r="F10" s="241">
        <v>0</v>
      </c>
      <c r="G10" s="241">
        <v>196589</v>
      </c>
      <c r="H10" s="13"/>
      <c r="J10" s="2"/>
    </row>
    <row r="11" spans="1:10" ht="22.5" customHeight="1" x14ac:dyDescent="0.3">
      <c r="A11" s="602"/>
      <c r="B11" s="61" t="s">
        <v>253</v>
      </c>
      <c r="C11" s="242">
        <v>0</v>
      </c>
      <c r="D11" s="242">
        <v>0</v>
      </c>
      <c r="E11" s="242">
        <v>0</v>
      </c>
      <c r="F11" s="242">
        <v>0</v>
      </c>
      <c r="G11" s="242">
        <v>2026590</v>
      </c>
      <c r="H11" s="13"/>
    </row>
    <row r="12" spans="1:10" ht="22.5" customHeight="1" x14ac:dyDescent="0.3">
      <c r="A12" s="602"/>
      <c r="B12" s="61" t="s">
        <v>256</v>
      </c>
      <c r="C12" s="242">
        <v>0</v>
      </c>
      <c r="D12" s="242">
        <v>0</v>
      </c>
      <c r="E12" s="242">
        <v>0</v>
      </c>
      <c r="F12" s="242">
        <v>0</v>
      </c>
      <c r="G12" s="242">
        <v>957122</v>
      </c>
      <c r="H12" s="13"/>
    </row>
    <row r="13" spans="1:10" ht="22.5" customHeight="1" x14ac:dyDescent="0.3">
      <c r="A13" s="724" t="s">
        <v>213</v>
      </c>
      <c r="B13" s="240" t="s">
        <v>328</v>
      </c>
      <c r="C13" s="241">
        <v>84643</v>
      </c>
      <c r="D13" s="241">
        <v>116128.4</v>
      </c>
      <c r="E13" s="241">
        <v>0</v>
      </c>
      <c r="F13" s="241">
        <v>0</v>
      </c>
      <c r="G13" s="241">
        <v>445872</v>
      </c>
      <c r="H13" s="13"/>
    </row>
    <row r="14" spans="1:10" ht="22.5" customHeight="1" x14ac:dyDescent="0.3">
      <c r="A14" s="724"/>
      <c r="B14" s="61" t="s">
        <v>453</v>
      </c>
      <c r="C14" s="242">
        <v>84643</v>
      </c>
      <c r="D14" s="242">
        <v>116128.4</v>
      </c>
      <c r="E14" s="242">
        <v>0</v>
      </c>
      <c r="F14" s="242">
        <v>0</v>
      </c>
      <c r="G14" s="242">
        <v>511250</v>
      </c>
      <c r="H14" s="13"/>
    </row>
    <row r="15" spans="1:10" ht="22.5" customHeight="1" x14ac:dyDescent="0.3">
      <c r="A15" s="724"/>
      <c r="B15" s="240" t="s">
        <v>214</v>
      </c>
      <c r="C15" s="241">
        <v>0</v>
      </c>
      <c r="D15" s="241">
        <v>221403.36</v>
      </c>
      <c r="E15" s="241">
        <v>0</v>
      </c>
      <c r="F15" s="241">
        <v>0</v>
      </c>
      <c r="G15" s="241">
        <v>1517067</v>
      </c>
      <c r="H15" s="13"/>
    </row>
    <row r="16" spans="1:10" ht="22.5" customHeight="1" x14ac:dyDescent="0.3">
      <c r="A16" s="724"/>
      <c r="B16" s="61" t="s">
        <v>215</v>
      </c>
      <c r="C16" s="242">
        <v>0</v>
      </c>
      <c r="D16" s="242">
        <v>221403.36</v>
      </c>
      <c r="E16" s="242">
        <v>0</v>
      </c>
      <c r="F16" s="242">
        <v>0</v>
      </c>
      <c r="G16" s="242">
        <v>1517067</v>
      </c>
      <c r="H16" s="13"/>
    </row>
    <row r="17" spans="1:8" ht="22.5" customHeight="1" x14ac:dyDescent="0.3">
      <c r="A17" s="724"/>
      <c r="B17" s="240" t="s">
        <v>265</v>
      </c>
      <c r="C17" s="241">
        <v>644828.5</v>
      </c>
      <c r="D17" s="241">
        <v>81379.94</v>
      </c>
      <c r="E17" s="241">
        <v>0</v>
      </c>
      <c r="F17" s="241">
        <v>0</v>
      </c>
      <c r="G17" s="241">
        <v>2312070</v>
      </c>
      <c r="H17" s="13"/>
    </row>
    <row r="18" spans="1:8" ht="22.5" customHeight="1" x14ac:dyDescent="0.3">
      <c r="A18" s="724"/>
      <c r="B18" s="61" t="s">
        <v>266</v>
      </c>
      <c r="C18" s="242">
        <v>644828.5</v>
      </c>
      <c r="D18" s="242">
        <v>81379.94</v>
      </c>
      <c r="E18" s="242">
        <v>0</v>
      </c>
      <c r="F18" s="242">
        <v>0</v>
      </c>
      <c r="G18" s="242">
        <v>2312070</v>
      </c>
      <c r="H18" s="13"/>
    </row>
    <row r="19" spans="1:8" ht="22.5" customHeight="1" x14ac:dyDescent="0.3">
      <c r="A19" s="602" t="s">
        <v>224</v>
      </c>
      <c r="B19" s="240" t="s">
        <v>225</v>
      </c>
      <c r="C19" s="241">
        <v>0</v>
      </c>
      <c r="D19" s="241">
        <v>100000</v>
      </c>
      <c r="E19" s="241">
        <v>0</v>
      </c>
      <c r="F19" s="241">
        <v>0</v>
      </c>
      <c r="G19" s="241">
        <v>3312305</v>
      </c>
      <c r="H19" s="13"/>
    </row>
    <row r="20" spans="1:8" ht="22.5" customHeight="1" x14ac:dyDescent="0.3">
      <c r="A20" s="602"/>
      <c r="B20" s="61" t="s">
        <v>1282</v>
      </c>
      <c r="C20" s="242">
        <v>0</v>
      </c>
      <c r="D20" s="242">
        <v>40000</v>
      </c>
      <c r="E20" s="242">
        <v>0</v>
      </c>
      <c r="F20" s="242">
        <v>0</v>
      </c>
      <c r="G20" s="242">
        <v>3312305</v>
      </c>
      <c r="H20" s="13"/>
    </row>
    <row r="21" spans="1:8" ht="22.5" customHeight="1" x14ac:dyDescent="0.3">
      <c r="A21" s="602"/>
      <c r="B21" s="61" t="s">
        <v>1283</v>
      </c>
      <c r="C21" s="242">
        <v>0</v>
      </c>
      <c r="D21" s="242">
        <v>20000</v>
      </c>
      <c r="E21" s="242">
        <v>0</v>
      </c>
      <c r="F21" s="242">
        <v>0</v>
      </c>
      <c r="G21" s="242">
        <v>2613292</v>
      </c>
      <c r="H21" s="13"/>
    </row>
    <row r="22" spans="1:8" ht="22.5" customHeight="1" x14ac:dyDescent="0.3">
      <c r="A22" s="602"/>
      <c r="B22" s="61" t="s">
        <v>226</v>
      </c>
      <c r="C22" s="242">
        <v>0</v>
      </c>
      <c r="D22" s="242">
        <v>20000</v>
      </c>
      <c r="E22" s="242">
        <v>0</v>
      </c>
      <c r="F22" s="242">
        <v>0</v>
      </c>
      <c r="G22" s="242">
        <v>878743</v>
      </c>
      <c r="H22" s="13"/>
    </row>
    <row r="23" spans="1:8" ht="22.5" customHeight="1" x14ac:dyDescent="0.3">
      <c r="A23" s="602"/>
      <c r="B23" s="61" t="s">
        <v>454</v>
      </c>
      <c r="C23" s="242">
        <v>0</v>
      </c>
      <c r="D23" s="242">
        <v>40000</v>
      </c>
      <c r="E23" s="242">
        <v>0</v>
      </c>
      <c r="F23" s="242">
        <v>0</v>
      </c>
      <c r="G23" s="242">
        <v>1024857</v>
      </c>
      <c r="H23" s="13"/>
    </row>
    <row r="24" spans="1:8" ht="22.5" customHeight="1" x14ac:dyDescent="0.3">
      <c r="A24" s="602"/>
      <c r="B24" s="61" t="s">
        <v>230</v>
      </c>
      <c r="C24" s="242">
        <v>0</v>
      </c>
      <c r="D24" s="242">
        <v>40000</v>
      </c>
      <c r="E24" s="242">
        <v>0</v>
      </c>
      <c r="F24" s="242">
        <v>0</v>
      </c>
      <c r="G24" s="242">
        <v>117143</v>
      </c>
      <c r="H24" s="13"/>
    </row>
    <row r="25" spans="1:8" ht="22.5" customHeight="1" x14ac:dyDescent="0.3">
      <c r="A25" s="602"/>
      <c r="B25" s="240" t="s">
        <v>276</v>
      </c>
      <c r="C25" s="241">
        <v>0</v>
      </c>
      <c r="D25" s="241">
        <v>0</v>
      </c>
      <c r="E25" s="241">
        <v>0</v>
      </c>
      <c r="F25" s="241">
        <v>0</v>
      </c>
      <c r="G25" s="241">
        <v>20000</v>
      </c>
      <c r="H25" s="13"/>
    </row>
    <row r="26" spans="1:8" ht="22.5" customHeight="1" x14ac:dyDescent="0.3">
      <c r="A26" s="602"/>
      <c r="B26" s="61" t="s">
        <v>277</v>
      </c>
      <c r="C26" s="242">
        <v>0</v>
      </c>
      <c r="D26" s="242">
        <v>0</v>
      </c>
      <c r="E26" s="242">
        <v>0</v>
      </c>
      <c r="F26" s="242">
        <v>0</v>
      </c>
      <c r="G26" s="242">
        <v>1008624</v>
      </c>
      <c r="H26" s="13"/>
    </row>
    <row r="27" spans="1:8" ht="22.5" customHeight="1" x14ac:dyDescent="0.3">
      <c r="A27" s="602"/>
      <c r="B27" s="61" t="s">
        <v>1284</v>
      </c>
      <c r="C27" s="242">
        <v>0</v>
      </c>
      <c r="D27" s="242">
        <v>0</v>
      </c>
      <c r="E27" s="242">
        <v>0</v>
      </c>
      <c r="F27" s="242">
        <v>0</v>
      </c>
      <c r="G27" s="242">
        <v>976272</v>
      </c>
      <c r="H27" s="13"/>
    </row>
    <row r="28" spans="1:8" ht="22.5" customHeight="1" x14ac:dyDescent="0.3">
      <c r="A28" s="602" t="s">
        <v>234</v>
      </c>
      <c r="B28" s="240" t="s">
        <v>235</v>
      </c>
      <c r="C28" s="241">
        <v>0</v>
      </c>
      <c r="D28" s="241">
        <v>0</v>
      </c>
      <c r="E28" s="241">
        <v>0</v>
      </c>
      <c r="F28" s="241">
        <v>923000</v>
      </c>
      <c r="G28" s="241">
        <v>32352</v>
      </c>
      <c r="H28" s="13"/>
    </row>
    <row r="29" spans="1:8" ht="22.5" customHeight="1" x14ac:dyDescent="0.3">
      <c r="A29" s="602"/>
      <c r="B29" s="61" t="s">
        <v>236</v>
      </c>
      <c r="C29" s="242">
        <v>0</v>
      </c>
      <c r="D29" s="242">
        <v>0</v>
      </c>
      <c r="E29" s="242">
        <v>0</v>
      </c>
      <c r="F29" s="242">
        <v>923000</v>
      </c>
      <c r="G29" s="242">
        <v>4970627</v>
      </c>
      <c r="H29" s="13"/>
    </row>
    <row r="30" spans="1:8" ht="22.5" customHeight="1" x14ac:dyDescent="0.3">
      <c r="A30" s="602" t="s">
        <v>1285</v>
      </c>
      <c r="B30" s="240" t="s">
        <v>1286</v>
      </c>
      <c r="C30" s="241">
        <v>0</v>
      </c>
      <c r="D30" s="241">
        <v>0</v>
      </c>
      <c r="E30" s="241">
        <v>0</v>
      </c>
      <c r="F30" s="241">
        <v>0</v>
      </c>
      <c r="G30" s="241">
        <v>4970627</v>
      </c>
      <c r="H30" s="13"/>
    </row>
    <row r="31" spans="1:8" ht="22.5" customHeight="1" x14ac:dyDescent="0.3">
      <c r="A31" s="602"/>
      <c r="B31" s="61" t="s">
        <v>1287</v>
      </c>
      <c r="C31" s="242">
        <v>0</v>
      </c>
      <c r="D31" s="242">
        <v>0</v>
      </c>
      <c r="E31" s="242">
        <v>0</v>
      </c>
      <c r="F31" s="242">
        <v>0</v>
      </c>
      <c r="G31" s="242">
        <v>98636</v>
      </c>
      <c r="H31" s="13"/>
    </row>
    <row r="32" spans="1:8" ht="22.5" customHeight="1" x14ac:dyDescent="0.3">
      <c r="A32" s="602"/>
      <c r="B32" s="61" t="s">
        <v>1288</v>
      </c>
      <c r="C32" s="242">
        <v>0</v>
      </c>
      <c r="D32" s="242">
        <v>0</v>
      </c>
      <c r="E32" s="242">
        <v>0</v>
      </c>
      <c r="F32" s="242">
        <v>0</v>
      </c>
      <c r="G32" s="242">
        <v>88636</v>
      </c>
      <c r="H32" s="13"/>
    </row>
    <row r="33" spans="1:8" ht="22.5" customHeight="1" x14ac:dyDescent="0.3">
      <c r="A33" s="602"/>
      <c r="B33" s="61" t="s">
        <v>1289</v>
      </c>
      <c r="C33" s="242">
        <v>0</v>
      </c>
      <c r="D33" s="242">
        <v>0</v>
      </c>
      <c r="E33" s="242">
        <v>0</v>
      </c>
      <c r="F33" s="242">
        <v>0</v>
      </c>
      <c r="G33" s="242">
        <v>10000</v>
      </c>
      <c r="H33" s="13"/>
    </row>
    <row r="34" spans="1:8" ht="22.5" customHeight="1" x14ac:dyDescent="0.3">
      <c r="A34" s="58" t="s">
        <v>455</v>
      </c>
      <c r="B34" s="240" t="s">
        <v>644</v>
      </c>
      <c r="C34" s="243">
        <v>729471.5</v>
      </c>
      <c r="D34" s="243">
        <v>518911.7</v>
      </c>
      <c r="E34" s="243">
        <v>46000</v>
      </c>
      <c r="F34" s="243">
        <v>923000</v>
      </c>
      <c r="G34" s="243">
        <v>19788905</v>
      </c>
      <c r="H34" s="13"/>
    </row>
    <row r="35" spans="1:8" ht="59.1" customHeight="1" x14ac:dyDescent="0.3">
      <c r="A35" s="547" t="s">
        <v>1290</v>
      </c>
      <c r="B35" s="547"/>
      <c r="C35" s="547"/>
      <c r="D35" s="547"/>
      <c r="E35" s="547"/>
      <c r="F35" s="547"/>
      <c r="G35" s="547"/>
    </row>
    <row r="36" spans="1:8" ht="15" customHeight="1" x14ac:dyDescent="0.25"/>
    <row r="37" spans="1:8" ht="15" customHeight="1" x14ac:dyDescent="0.25"/>
    <row r="38" spans="1:8" ht="34.200000000000003" customHeight="1" x14ac:dyDescent="0.25"/>
    <row r="39" spans="1:8" ht="15" customHeight="1" x14ac:dyDescent="0.25"/>
    <row r="40" spans="1:8" ht="15" customHeight="1" x14ac:dyDescent="0.25"/>
    <row r="41" spans="1:8" ht="15" customHeight="1" x14ac:dyDescent="0.25"/>
    <row r="42" spans="1:8" ht="15" customHeight="1" x14ac:dyDescent="0.25"/>
    <row r="43" spans="1:8" ht="15" customHeight="1" x14ac:dyDescent="0.25"/>
    <row r="44" spans="1:8" ht="15" customHeight="1" x14ac:dyDescent="0.25"/>
    <row r="45" spans="1:8" ht="27.6" customHeight="1" x14ac:dyDescent="0.25"/>
    <row r="46" spans="1:8" ht="27.6" customHeight="1" x14ac:dyDescent="0.25"/>
    <row r="47" spans="1:8" ht="27.6" customHeight="1" x14ac:dyDescent="0.25"/>
    <row r="48" spans="1:8" ht="27.6"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heetProtection algorithmName="SHA-512" hashValue="aL1F2+vlAE2BWe5AX5/Ceus35SEfPYRtZcxjghRB3McXZ4TQimcgNwdEwjpdydF7leEP5g5p+hHRo7QmrLYHVQ==" saltValue="kwMQzVx8UsgBhNief3g19w==" spinCount="100000" sheet="1" objects="1" scenarios="1" formatColumns="0" formatRows="0"/>
  <mergeCells count="11">
    <mergeCell ref="A1:E1"/>
    <mergeCell ref="C3:F3"/>
    <mergeCell ref="A3:A4"/>
    <mergeCell ref="A5:A9"/>
    <mergeCell ref="G3:G4"/>
    <mergeCell ref="A35:G35"/>
    <mergeCell ref="A10:A12"/>
    <mergeCell ref="A13:A18"/>
    <mergeCell ref="A19:A27"/>
    <mergeCell ref="A28:A29"/>
    <mergeCell ref="A30:A33"/>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50"/>
  <sheetViews>
    <sheetView showRuler="0" workbookViewId="0">
      <selection activeCell="D18" sqref="D18"/>
    </sheetView>
  </sheetViews>
  <sheetFormatPr defaultColWidth="13.6640625" defaultRowHeight="13.2" x14ac:dyDescent="0.25"/>
  <cols>
    <col min="1" max="1" width="26.109375" customWidth="1"/>
    <col min="2" max="6" width="20.109375" customWidth="1"/>
    <col min="7" max="7" width="76.6640625" customWidth="1"/>
    <col min="8" max="11" width="14.33203125" customWidth="1"/>
  </cols>
  <sheetData>
    <row r="1" spans="1:11" ht="22.5" customHeight="1" x14ac:dyDescent="0.3">
      <c r="A1" s="595" t="s">
        <v>1291</v>
      </c>
      <c r="B1" s="595"/>
      <c r="C1" s="595"/>
      <c r="D1" s="595"/>
      <c r="E1" s="595"/>
      <c r="F1" s="595"/>
      <c r="G1" s="595"/>
      <c r="H1" s="17"/>
      <c r="I1" s="17"/>
      <c r="J1" s="17"/>
      <c r="K1" s="17"/>
    </row>
    <row r="2" spans="1:11" ht="25.95" customHeight="1" x14ac:dyDescent="0.3">
      <c r="C2" s="64"/>
      <c r="D2" s="64"/>
      <c r="E2" s="64"/>
      <c r="F2" s="64"/>
      <c r="G2" s="334"/>
      <c r="H2" s="2"/>
      <c r="I2" s="2"/>
      <c r="J2" s="2"/>
      <c r="K2" s="2"/>
    </row>
    <row r="3" spans="1:11" ht="60" customHeight="1" x14ac:dyDescent="0.3">
      <c r="A3" s="45" t="s">
        <v>1292</v>
      </c>
      <c r="B3" s="5" t="s">
        <v>207</v>
      </c>
      <c r="C3" s="18" t="s">
        <v>1293</v>
      </c>
      <c r="D3" s="18" t="s">
        <v>1294</v>
      </c>
      <c r="E3" s="18" t="s">
        <v>1295</v>
      </c>
      <c r="F3" s="18" t="s">
        <v>1296</v>
      </c>
      <c r="G3" s="55"/>
      <c r="H3" s="17"/>
      <c r="I3" s="17"/>
      <c r="J3" s="17"/>
      <c r="K3" s="17"/>
    </row>
    <row r="4" spans="1:11" ht="21.6" customHeight="1" x14ac:dyDescent="0.3">
      <c r="A4" s="536" t="s">
        <v>245</v>
      </c>
      <c r="B4" s="7" t="s">
        <v>246</v>
      </c>
      <c r="C4" s="243">
        <v>2340832.16</v>
      </c>
      <c r="D4" s="243">
        <v>9736854.7300000004</v>
      </c>
      <c r="E4" s="243">
        <v>126842.63</v>
      </c>
      <c r="F4" s="243">
        <v>12204529.52</v>
      </c>
      <c r="G4" s="55"/>
      <c r="H4" s="17"/>
      <c r="I4" s="17"/>
      <c r="J4" s="17"/>
      <c r="K4" s="17"/>
    </row>
    <row r="5" spans="1:11" ht="21.6" customHeight="1" x14ac:dyDescent="0.3">
      <c r="A5" s="536"/>
      <c r="B5" s="123" t="s">
        <v>514</v>
      </c>
      <c r="C5" s="244">
        <v>0</v>
      </c>
      <c r="D5" s="244">
        <v>9735708.7300000004</v>
      </c>
      <c r="E5" s="244">
        <v>78011.740000000005</v>
      </c>
      <c r="F5" s="244">
        <v>9813720.4700000007</v>
      </c>
      <c r="G5" s="55"/>
      <c r="H5" s="17"/>
      <c r="I5" s="17"/>
      <c r="J5" s="17"/>
      <c r="K5" s="17"/>
    </row>
    <row r="6" spans="1:11" ht="21.6" customHeight="1" x14ac:dyDescent="0.3">
      <c r="A6" s="536"/>
      <c r="B6" s="123" t="s">
        <v>247</v>
      </c>
      <c r="C6" s="244">
        <v>2340832.16</v>
      </c>
      <c r="D6" s="244">
        <v>1146</v>
      </c>
      <c r="E6" s="244">
        <v>48830.89</v>
      </c>
      <c r="F6" s="244">
        <v>2390809.0499999998</v>
      </c>
      <c r="G6" s="55"/>
      <c r="H6" s="17"/>
      <c r="I6" s="17"/>
      <c r="J6" s="17"/>
      <c r="K6" s="17"/>
    </row>
    <row r="7" spans="1:11" ht="21.6" customHeight="1" x14ac:dyDescent="0.3">
      <c r="A7" s="536" t="s">
        <v>251</v>
      </c>
      <c r="B7" s="7" t="s">
        <v>252</v>
      </c>
      <c r="C7" s="243">
        <v>201941.55</v>
      </c>
      <c r="D7" s="243">
        <v>662338.38150000002</v>
      </c>
      <c r="E7" s="243">
        <v>256319.5785</v>
      </c>
      <c r="F7" s="243">
        <v>1120599.51</v>
      </c>
      <c r="G7" s="55"/>
      <c r="H7" s="17"/>
      <c r="I7" s="17"/>
      <c r="J7" s="17"/>
      <c r="K7" s="17"/>
    </row>
    <row r="8" spans="1:11" ht="21.6" customHeight="1" x14ac:dyDescent="0.3">
      <c r="A8" s="536"/>
      <c r="B8" s="123" t="s">
        <v>253</v>
      </c>
      <c r="C8" s="244">
        <v>49106.55</v>
      </c>
      <c r="D8" s="244">
        <v>283077</v>
      </c>
      <c r="E8" s="244">
        <v>86794.331999999995</v>
      </c>
      <c r="F8" s="244">
        <v>418977.88199999998</v>
      </c>
      <c r="G8" s="55"/>
      <c r="H8" s="17"/>
      <c r="I8" s="17"/>
      <c r="J8" s="17"/>
      <c r="K8" s="17"/>
    </row>
    <row r="9" spans="1:11" ht="21.6" customHeight="1" x14ac:dyDescent="0.3">
      <c r="A9" s="536"/>
      <c r="B9" s="123" t="s">
        <v>1297</v>
      </c>
      <c r="C9" s="244">
        <v>119610</v>
      </c>
      <c r="D9" s="244">
        <v>159480</v>
      </c>
      <c r="E9" s="244">
        <v>102367.554</v>
      </c>
      <c r="F9" s="244">
        <v>381457.554</v>
      </c>
      <c r="G9" s="55"/>
      <c r="H9" s="17"/>
      <c r="I9" s="17"/>
      <c r="J9" s="17"/>
      <c r="K9" s="17"/>
    </row>
    <row r="10" spans="1:11" ht="21.6" customHeight="1" x14ac:dyDescent="0.3">
      <c r="A10" s="536"/>
      <c r="B10" s="123" t="s">
        <v>256</v>
      </c>
      <c r="C10" s="244">
        <v>33225</v>
      </c>
      <c r="D10" s="244">
        <v>219781.38149999999</v>
      </c>
      <c r="E10" s="244">
        <v>67157.692500000005</v>
      </c>
      <c r="F10" s="244">
        <v>320164.07400000002</v>
      </c>
      <c r="G10" s="55"/>
      <c r="H10" s="17"/>
      <c r="I10" s="17"/>
      <c r="J10" s="17"/>
      <c r="K10" s="17"/>
    </row>
    <row r="11" spans="1:11" ht="21.6" customHeight="1" x14ac:dyDescent="0.3">
      <c r="A11" s="536" t="s">
        <v>213</v>
      </c>
      <c r="B11" s="7" t="s">
        <v>328</v>
      </c>
      <c r="C11" s="243">
        <v>113837.03</v>
      </c>
      <c r="D11" s="243">
        <v>14923612.859999999</v>
      </c>
      <c r="E11" s="243">
        <v>37086</v>
      </c>
      <c r="F11" s="243">
        <v>15074535.890000001</v>
      </c>
      <c r="G11" s="55"/>
      <c r="H11" s="17"/>
      <c r="I11" s="17"/>
      <c r="J11" s="17"/>
      <c r="K11" s="17"/>
    </row>
    <row r="12" spans="1:11" ht="21.6" customHeight="1" x14ac:dyDescent="0.3">
      <c r="A12" s="536"/>
      <c r="B12" s="123" t="s">
        <v>453</v>
      </c>
      <c r="C12" s="244">
        <v>113837.03</v>
      </c>
      <c r="D12" s="244">
        <v>14923612.859999999</v>
      </c>
      <c r="E12" s="244">
        <v>37086</v>
      </c>
      <c r="F12" s="244">
        <v>15074535.890000001</v>
      </c>
      <c r="G12" s="55"/>
      <c r="H12" s="17"/>
      <c r="I12" s="17"/>
      <c r="J12" s="17"/>
      <c r="K12" s="17"/>
    </row>
    <row r="13" spans="1:11" ht="21.6" customHeight="1" x14ac:dyDescent="0.3">
      <c r="A13" s="536"/>
      <c r="B13" s="7" t="s">
        <v>214</v>
      </c>
      <c r="C13" s="243">
        <v>1212767.81</v>
      </c>
      <c r="D13" s="243">
        <v>854704.97</v>
      </c>
      <c r="E13" s="243">
        <v>106473</v>
      </c>
      <c r="F13" s="243">
        <v>2173945.7799999998</v>
      </c>
      <c r="G13" s="55"/>
      <c r="H13" s="17"/>
      <c r="I13" s="17"/>
      <c r="J13" s="17"/>
      <c r="K13" s="17"/>
    </row>
    <row r="14" spans="1:11" ht="21.6" customHeight="1" x14ac:dyDescent="0.3">
      <c r="A14" s="536"/>
      <c r="B14" s="123" t="s">
        <v>215</v>
      </c>
      <c r="C14" s="244">
        <v>1212767.81</v>
      </c>
      <c r="D14" s="244">
        <v>854704.97</v>
      </c>
      <c r="E14" s="244">
        <v>106473</v>
      </c>
      <c r="F14" s="244">
        <v>2173945.7799999998</v>
      </c>
      <c r="G14" s="55"/>
      <c r="H14" s="17"/>
      <c r="I14" s="17"/>
      <c r="J14" s="17"/>
      <c r="K14" s="17"/>
    </row>
    <row r="15" spans="1:11" ht="21.6" customHeight="1" x14ac:dyDescent="0.3">
      <c r="A15" s="536"/>
      <c r="B15" s="7" t="s">
        <v>265</v>
      </c>
      <c r="C15" s="243">
        <v>36513.07</v>
      </c>
      <c r="D15" s="243">
        <v>727401.69</v>
      </c>
      <c r="E15" s="243">
        <v>292457.07</v>
      </c>
      <c r="F15" s="243">
        <v>1056371.83</v>
      </c>
      <c r="G15" s="55"/>
      <c r="H15" s="17"/>
      <c r="I15" s="17"/>
      <c r="J15" s="17"/>
      <c r="K15" s="17"/>
    </row>
    <row r="16" spans="1:11" ht="21.6" customHeight="1" x14ac:dyDescent="0.3">
      <c r="A16" s="536"/>
      <c r="B16" s="123" t="s">
        <v>266</v>
      </c>
      <c r="C16" s="244">
        <v>36513.07</v>
      </c>
      <c r="D16" s="244">
        <v>727401.69</v>
      </c>
      <c r="E16" s="244">
        <v>292457.07</v>
      </c>
      <c r="F16" s="244">
        <v>1056371.83</v>
      </c>
      <c r="G16" s="55"/>
      <c r="H16" s="17"/>
      <c r="I16" s="17"/>
      <c r="J16" s="17"/>
      <c r="K16" s="17"/>
    </row>
    <row r="17" spans="1:11" ht="21.6" customHeight="1" x14ac:dyDescent="0.3">
      <c r="A17" s="536" t="s">
        <v>224</v>
      </c>
      <c r="B17" s="7" t="s">
        <v>225</v>
      </c>
      <c r="C17" s="243">
        <v>3705.5</v>
      </c>
      <c r="D17" s="243">
        <v>87789.964900000006</v>
      </c>
      <c r="E17" s="243">
        <v>1425961.026209</v>
      </c>
      <c r="F17" s="243">
        <v>1517456.4911090001</v>
      </c>
      <c r="G17" s="55"/>
      <c r="H17" s="17"/>
      <c r="I17" s="17"/>
      <c r="J17" s="17"/>
      <c r="K17" s="17"/>
    </row>
    <row r="18" spans="1:11" ht="21.6" customHeight="1" x14ac:dyDescent="0.3">
      <c r="A18" s="536"/>
      <c r="B18" s="123" t="s">
        <v>226</v>
      </c>
      <c r="C18" s="244">
        <v>0</v>
      </c>
      <c r="D18" s="244">
        <v>0</v>
      </c>
      <c r="E18" s="244">
        <v>483743.83536000003</v>
      </c>
      <c r="F18" s="244">
        <v>483743.83536000003</v>
      </c>
      <c r="G18" s="55"/>
      <c r="H18" s="17"/>
      <c r="I18" s="17"/>
      <c r="J18" s="17"/>
      <c r="K18" s="17"/>
    </row>
    <row r="19" spans="1:11" ht="21.6" customHeight="1" x14ac:dyDescent="0.3">
      <c r="A19" s="536"/>
      <c r="B19" s="123" t="s">
        <v>454</v>
      </c>
      <c r="C19" s="244">
        <v>3705.5</v>
      </c>
      <c r="D19" s="244">
        <v>87789.964900000006</v>
      </c>
      <c r="E19" s="244">
        <v>136672.17980000001</v>
      </c>
      <c r="F19" s="244">
        <v>228167.6447</v>
      </c>
      <c r="G19" s="55"/>
      <c r="H19" s="17"/>
      <c r="I19" s="17"/>
      <c r="J19" s="17"/>
      <c r="K19" s="17"/>
    </row>
    <row r="20" spans="1:11" ht="21.6" customHeight="1" x14ac:dyDescent="0.3">
      <c r="A20" s="536"/>
      <c r="B20" s="123" t="s">
        <v>230</v>
      </c>
      <c r="C20" s="244">
        <v>0</v>
      </c>
      <c r="D20" s="244">
        <v>0</v>
      </c>
      <c r="E20" s="244">
        <v>404239.361049</v>
      </c>
      <c r="F20" s="244">
        <v>404239.361049</v>
      </c>
      <c r="G20" s="55"/>
      <c r="H20" s="17"/>
      <c r="I20" s="17"/>
      <c r="J20" s="17"/>
      <c r="K20" s="17"/>
    </row>
    <row r="21" spans="1:11" ht="21.6" customHeight="1" x14ac:dyDescent="0.3">
      <c r="A21" s="536"/>
      <c r="B21" s="123" t="s">
        <v>1298</v>
      </c>
      <c r="C21" s="244">
        <v>0</v>
      </c>
      <c r="D21" s="244">
        <v>0</v>
      </c>
      <c r="E21" s="244">
        <v>401305.65</v>
      </c>
      <c r="F21" s="244">
        <v>401305.65</v>
      </c>
      <c r="G21" s="55"/>
      <c r="H21" s="17"/>
      <c r="I21" s="17"/>
      <c r="J21" s="17"/>
      <c r="K21" s="17"/>
    </row>
    <row r="22" spans="1:11" ht="21.6" customHeight="1" x14ac:dyDescent="0.3">
      <c r="A22" s="536"/>
      <c r="B22" s="7" t="s">
        <v>276</v>
      </c>
      <c r="C22" s="243">
        <v>73500</v>
      </c>
      <c r="D22" s="243">
        <v>160555</v>
      </c>
      <c r="E22" s="243">
        <v>1000157.44</v>
      </c>
      <c r="F22" s="243">
        <v>1234212.44</v>
      </c>
      <c r="G22" s="55"/>
      <c r="H22" s="17"/>
      <c r="I22" s="17"/>
      <c r="J22" s="17"/>
      <c r="K22" s="17"/>
    </row>
    <row r="23" spans="1:11" ht="21.6" customHeight="1" x14ac:dyDescent="0.3">
      <c r="A23" s="536"/>
      <c r="B23" s="123" t="s">
        <v>277</v>
      </c>
      <c r="C23" s="244">
        <v>73500</v>
      </c>
      <c r="D23" s="244">
        <v>160555</v>
      </c>
      <c r="E23" s="244">
        <v>270225.69</v>
      </c>
      <c r="F23" s="244">
        <v>504280.69</v>
      </c>
      <c r="G23" s="55"/>
      <c r="H23" s="17"/>
      <c r="I23" s="17"/>
      <c r="J23" s="17"/>
      <c r="K23" s="17"/>
    </row>
    <row r="24" spans="1:11" ht="21.6" customHeight="1" x14ac:dyDescent="0.3">
      <c r="A24" s="536"/>
      <c r="B24" s="123" t="s">
        <v>1284</v>
      </c>
      <c r="C24" s="244">
        <v>0</v>
      </c>
      <c r="D24" s="244">
        <v>0</v>
      </c>
      <c r="E24" s="244">
        <v>729931.75</v>
      </c>
      <c r="F24" s="244">
        <v>729931.75</v>
      </c>
      <c r="G24" s="55"/>
      <c r="H24" s="17"/>
      <c r="I24" s="17"/>
      <c r="J24" s="17"/>
      <c r="K24" s="17"/>
    </row>
    <row r="25" spans="1:11" ht="21.6" customHeight="1" x14ac:dyDescent="0.3">
      <c r="A25" s="536" t="s">
        <v>234</v>
      </c>
      <c r="B25" s="7" t="s">
        <v>235</v>
      </c>
      <c r="C25" s="243">
        <v>0</v>
      </c>
      <c r="D25" s="243">
        <v>2377326.27</v>
      </c>
      <c r="E25" s="243">
        <v>411193.09</v>
      </c>
      <c r="F25" s="243">
        <v>2788519.36</v>
      </c>
      <c r="G25" s="55"/>
      <c r="H25" s="17"/>
      <c r="I25" s="17"/>
      <c r="J25" s="17"/>
      <c r="K25" s="17"/>
    </row>
    <row r="26" spans="1:11" ht="21.6" customHeight="1" x14ac:dyDescent="0.3">
      <c r="A26" s="536"/>
      <c r="B26" s="123" t="s">
        <v>236</v>
      </c>
      <c r="C26" s="244">
        <v>0</v>
      </c>
      <c r="D26" s="244">
        <v>2377326.27</v>
      </c>
      <c r="E26" s="244">
        <v>411193.09</v>
      </c>
      <c r="F26" s="244">
        <v>2788519.36</v>
      </c>
      <c r="G26" s="55"/>
      <c r="H26" s="17"/>
      <c r="I26" s="17"/>
      <c r="J26" s="17"/>
      <c r="K26" s="17"/>
    </row>
    <row r="27" spans="1:11" ht="27.6" customHeight="1" x14ac:dyDescent="0.3">
      <c r="A27" s="6" t="s">
        <v>455</v>
      </c>
      <c r="B27" s="33" t="s">
        <v>318</v>
      </c>
      <c r="C27" s="243">
        <v>3983097.12</v>
      </c>
      <c r="D27" s="243">
        <v>29530583.8664</v>
      </c>
      <c r="E27" s="243">
        <v>3656489.8347089998</v>
      </c>
      <c r="F27" s="243">
        <v>37170170.821108997</v>
      </c>
      <c r="G27" s="55"/>
      <c r="H27" s="17"/>
      <c r="I27" s="17"/>
      <c r="J27" s="17"/>
      <c r="K27" s="17"/>
    </row>
    <row r="28" spans="1:11" ht="29.1" customHeight="1" x14ac:dyDescent="0.25">
      <c r="A28" s="546" t="s">
        <v>1299</v>
      </c>
      <c r="B28" s="546"/>
      <c r="C28" s="546"/>
      <c r="D28" s="546"/>
      <c r="E28" s="546"/>
      <c r="F28" s="546"/>
    </row>
    <row r="29" spans="1:11" ht="29.1" customHeight="1" x14ac:dyDescent="0.25">
      <c r="A29" s="625"/>
      <c r="B29" s="625"/>
      <c r="C29" s="625"/>
      <c r="D29" s="625"/>
      <c r="E29" s="625"/>
      <c r="F29" s="625"/>
    </row>
    <row r="30" spans="1:11" ht="29.1" customHeight="1" x14ac:dyDescent="0.25">
      <c r="A30" s="625"/>
      <c r="B30" s="625"/>
      <c r="C30" s="625"/>
      <c r="D30" s="625"/>
      <c r="E30" s="625"/>
      <c r="F30" s="625"/>
    </row>
    <row r="31" spans="1:11" ht="29.1" customHeight="1" x14ac:dyDescent="0.25">
      <c r="A31" s="625"/>
      <c r="B31" s="625"/>
      <c r="C31" s="625"/>
      <c r="D31" s="625"/>
      <c r="E31" s="625"/>
      <c r="F31" s="625"/>
    </row>
    <row r="32" spans="1:11" ht="51.75" customHeight="1" x14ac:dyDescent="0.25">
      <c r="A32" s="625"/>
      <c r="B32" s="625"/>
      <c r="C32" s="625"/>
      <c r="D32" s="625"/>
      <c r="E32" s="625"/>
      <c r="F32" s="625"/>
    </row>
    <row r="33" spans="1:5" ht="15" customHeight="1" x14ac:dyDescent="0.25"/>
    <row r="34" spans="1:5" ht="15" customHeight="1" x14ac:dyDescent="0.25"/>
    <row r="35" spans="1:5" ht="48" customHeight="1" x14ac:dyDescent="0.3">
      <c r="A35" s="49" t="s">
        <v>1300</v>
      </c>
      <c r="B35" s="95" t="s">
        <v>1301</v>
      </c>
      <c r="C35" s="9" t="s">
        <v>1302</v>
      </c>
      <c r="D35" s="95" t="s">
        <v>1303</v>
      </c>
      <c r="E35" s="13"/>
    </row>
    <row r="36" spans="1:5" ht="26.7" customHeight="1" x14ac:dyDescent="0.3">
      <c r="A36" s="164" t="s">
        <v>1304</v>
      </c>
      <c r="B36" s="125">
        <v>9</v>
      </c>
      <c r="C36" s="125">
        <v>397</v>
      </c>
      <c r="D36" s="242">
        <v>365483.15</v>
      </c>
      <c r="E36" s="13"/>
    </row>
    <row r="37" spans="1:5" ht="26.7" customHeight="1" x14ac:dyDescent="0.3">
      <c r="A37" s="164" t="s">
        <v>1305</v>
      </c>
      <c r="B37" s="125">
        <v>3</v>
      </c>
      <c r="C37" s="125">
        <v>2231</v>
      </c>
      <c r="D37" s="242">
        <v>40501.980000000003</v>
      </c>
      <c r="E37" s="13"/>
    </row>
    <row r="38" spans="1:5" ht="29.1" customHeight="1" x14ac:dyDescent="0.3">
      <c r="A38" s="245" t="s">
        <v>1306</v>
      </c>
      <c r="B38" s="125">
        <v>11</v>
      </c>
      <c r="C38" s="125">
        <v>47436</v>
      </c>
      <c r="D38" s="242">
        <v>2836535.08</v>
      </c>
      <c r="E38" s="13"/>
    </row>
    <row r="39" spans="1:5" ht="15" customHeight="1" x14ac:dyDescent="0.3">
      <c r="A39" s="245" t="s">
        <v>1307</v>
      </c>
      <c r="B39" s="125">
        <v>8</v>
      </c>
      <c r="C39" s="125">
        <v>157</v>
      </c>
      <c r="D39" s="242">
        <v>116689.14</v>
      </c>
      <c r="E39" s="13"/>
    </row>
    <row r="40" spans="1:5" ht="42.6" customHeight="1" x14ac:dyDescent="0.3">
      <c r="A40" s="245" t="s">
        <v>1308</v>
      </c>
      <c r="B40" s="125">
        <v>3</v>
      </c>
      <c r="C40" s="125">
        <v>156</v>
      </c>
      <c r="D40" s="242">
        <v>623887.77</v>
      </c>
      <c r="E40" s="13"/>
    </row>
    <row r="41" spans="1:5" ht="15.75" customHeight="1" x14ac:dyDescent="0.3">
      <c r="A41" s="45" t="s">
        <v>318</v>
      </c>
      <c r="B41" s="122">
        <v>34</v>
      </c>
      <c r="C41" s="122">
        <v>50377</v>
      </c>
      <c r="D41" s="243">
        <v>3983097.12</v>
      </c>
      <c r="E41" s="13"/>
    </row>
    <row r="42" spans="1:5" ht="145.5" customHeight="1" x14ac:dyDescent="0.25">
      <c r="A42" s="532" t="s">
        <v>1309</v>
      </c>
      <c r="B42" s="532"/>
      <c r="C42" s="532"/>
      <c r="D42" s="532"/>
    </row>
    <row r="43" spans="1:5" ht="15" customHeight="1" x14ac:dyDescent="0.25"/>
    <row r="44" spans="1:5" ht="15" customHeight="1" x14ac:dyDescent="0.25"/>
    <row r="45" spans="1:5" ht="15" customHeight="1" x14ac:dyDescent="0.25"/>
    <row r="46" spans="1:5" ht="15" customHeight="1" x14ac:dyDescent="0.25"/>
    <row r="47" spans="1:5" ht="15" customHeight="1" x14ac:dyDescent="0.25"/>
    <row r="48" spans="1:5" ht="15" customHeight="1" x14ac:dyDescent="0.25"/>
    <row r="49" ht="15" customHeight="1" x14ac:dyDescent="0.25"/>
    <row r="50" ht="15" customHeight="1" x14ac:dyDescent="0.25"/>
  </sheetData>
  <sheetProtection algorithmName="SHA-512" hashValue="PQo1Zq/lHaqWrtjNddel0r/BzPwW6o5eXpHcU8Vabm5Sf1WiAR2DDsXQk2Lzvtdzbq6uARJz4noj9BxxkJucdA==" saltValue="p00dWjsTGfYicu5PByk1sA==" spinCount="100000" sheet="1" objects="1" scenarios="1" formatColumns="0" formatRows="0"/>
  <mergeCells count="8">
    <mergeCell ref="A28:F32"/>
    <mergeCell ref="A42:D42"/>
    <mergeCell ref="A1:G1"/>
    <mergeCell ref="A4:A6"/>
    <mergeCell ref="A7:A10"/>
    <mergeCell ref="A11:A16"/>
    <mergeCell ref="A25:A26"/>
    <mergeCell ref="A17:A2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58"/>
  <sheetViews>
    <sheetView showRuler="0" workbookViewId="0">
      <selection activeCell="D18" sqref="D18"/>
    </sheetView>
  </sheetViews>
  <sheetFormatPr defaultColWidth="13.6640625" defaultRowHeight="13.2" x14ac:dyDescent="0.25"/>
  <cols>
    <col min="1" max="8" width="19.109375" customWidth="1"/>
    <col min="9" max="9" width="14.33203125" customWidth="1"/>
    <col min="10" max="11" width="18.109375" customWidth="1"/>
  </cols>
  <sheetData>
    <row r="1" spans="1:10" ht="25.95" customHeight="1" x14ac:dyDescent="0.3">
      <c r="A1" s="595" t="s">
        <v>1310</v>
      </c>
      <c r="B1" s="595"/>
      <c r="C1" s="595"/>
      <c r="D1" s="595"/>
      <c r="E1" s="595"/>
      <c r="F1" s="595"/>
      <c r="G1" s="2"/>
      <c r="H1" s="2"/>
      <c r="I1" s="2"/>
    </row>
    <row r="2" spans="1:10" ht="23.25" customHeight="1" x14ac:dyDescent="0.3">
      <c r="B2" s="64"/>
      <c r="C2" s="64"/>
      <c r="D2" s="64"/>
      <c r="E2" s="64"/>
      <c r="F2" s="64"/>
      <c r="G2" s="64"/>
      <c r="H2" s="64"/>
      <c r="I2" s="2"/>
    </row>
    <row r="3" spans="1:10" ht="25.95" customHeight="1" x14ac:dyDescent="0.3">
      <c r="A3" s="659" t="s">
        <v>1311</v>
      </c>
      <c r="B3" s="659"/>
      <c r="C3" s="659"/>
      <c r="D3" s="659"/>
      <c r="E3" s="659"/>
      <c r="F3" s="659"/>
      <c r="G3" s="659"/>
      <c r="H3" s="659"/>
      <c r="I3" s="13"/>
    </row>
    <row r="4" spans="1:10" ht="40.950000000000003" customHeight="1" x14ac:dyDescent="0.3">
      <c r="A4" s="5" t="s">
        <v>1009</v>
      </c>
      <c r="B4" s="18" t="s">
        <v>1312</v>
      </c>
      <c r="C4" s="18" t="s">
        <v>1313</v>
      </c>
      <c r="D4" s="18" t="s">
        <v>1314</v>
      </c>
      <c r="E4" s="18" t="s">
        <v>1315</v>
      </c>
      <c r="F4" s="18" t="s">
        <v>1316</v>
      </c>
      <c r="G4" s="18" t="s">
        <v>1317</v>
      </c>
      <c r="H4" s="18" t="s">
        <v>318</v>
      </c>
      <c r="I4" s="13"/>
    </row>
    <row r="5" spans="1:10" ht="21.6" customHeight="1" x14ac:dyDescent="0.3">
      <c r="A5" s="61" t="s">
        <v>328</v>
      </c>
      <c r="B5" s="246">
        <v>153000000</v>
      </c>
      <c r="C5" s="246">
        <v>108000000</v>
      </c>
      <c r="D5" s="246">
        <v>160000000</v>
      </c>
      <c r="E5" s="246">
        <v>0</v>
      </c>
      <c r="F5" s="247">
        <v>90000000</v>
      </c>
      <c r="G5" s="247">
        <v>15074535.890000001</v>
      </c>
      <c r="H5" s="246">
        <v>526074535.88999999</v>
      </c>
      <c r="I5" s="13"/>
    </row>
    <row r="6" spans="1:10" ht="21.6" customHeight="1" x14ac:dyDescent="0.3">
      <c r="A6" s="61" t="s">
        <v>252</v>
      </c>
      <c r="B6" s="246">
        <v>1069000000</v>
      </c>
      <c r="C6" s="246">
        <v>322000000</v>
      </c>
      <c r="D6" s="246">
        <v>620000000</v>
      </c>
      <c r="E6" s="246">
        <v>42000000</v>
      </c>
      <c r="F6" s="247">
        <v>527000000</v>
      </c>
      <c r="G6" s="247">
        <v>1120599.51</v>
      </c>
      <c r="H6" s="246">
        <v>2581120599.5100002</v>
      </c>
      <c r="I6" s="13"/>
    </row>
    <row r="7" spans="1:10" ht="21.6" customHeight="1" x14ac:dyDescent="0.3">
      <c r="A7" s="61" t="s">
        <v>225</v>
      </c>
      <c r="B7" s="246">
        <v>743000000</v>
      </c>
      <c r="C7" s="246">
        <v>293000000</v>
      </c>
      <c r="D7" s="246">
        <v>408000000</v>
      </c>
      <c r="E7" s="246">
        <v>10000000</v>
      </c>
      <c r="F7" s="247">
        <v>18000000</v>
      </c>
      <c r="G7" s="247">
        <v>1517456.4911090001</v>
      </c>
      <c r="H7" s="246">
        <v>1473517456.4911101</v>
      </c>
      <c r="I7" s="13"/>
    </row>
    <row r="8" spans="1:10" ht="21.6" customHeight="1" x14ac:dyDescent="0.3">
      <c r="A8" s="61" t="s">
        <v>246</v>
      </c>
      <c r="B8" s="246">
        <v>680000000</v>
      </c>
      <c r="C8" s="246">
        <v>143000000</v>
      </c>
      <c r="D8" s="246">
        <v>320000000</v>
      </c>
      <c r="E8" s="246">
        <v>15000000</v>
      </c>
      <c r="F8" s="247">
        <v>316000000</v>
      </c>
      <c r="G8" s="247">
        <v>12204529.52</v>
      </c>
      <c r="H8" s="246">
        <v>1486204529.52</v>
      </c>
      <c r="I8" s="13"/>
    </row>
    <row r="9" spans="1:10" ht="21.6" customHeight="1" x14ac:dyDescent="0.3">
      <c r="A9" s="61" t="s">
        <v>214</v>
      </c>
      <c r="B9" s="246">
        <v>636000000</v>
      </c>
      <c r="C9" s="246">
        <v>184000000</v>
      </c>
      <c r="D9" s="246">
        <v>110000000</v>
      </c>
      <c r="E9" s="246">
        <v>18000000</v>
      </c>
      <c r="F9" s="247">
        <v>136000000</v>
      </c>
      <c r="G9" s="247">
        <v>2173945.7799999998</v>
      </c>
      <c r="H9" s="246">
        <v>1086173945.78</v>
      </c>
      <c r="I9" s="13"/>
    </row>
    <row r="10" spans="1:10" ht="21.6" customHeight="1" x14ac:dyDescent="0.3">
      <c r="A10" s="61" t="s">
        <v>332</v>
      </c>
      <c r="B10" s="246">
        <v>135000000</v>
      </c>
      <c r="C10" s="246">
        <v>30000000</v>
      </c>
      <c r="D10" s="246">
        <v>53000000</v>
      </c>
      <c r="E10" s="246">
        <v>1000000</v>
      </c>
      <c r="F10" s="247">
        <v>22000000</v>
      </c>
      <c r="G10" s="247">
        <v>0</v>
      </c>
      <c r="H10" s="246">
        <v>241000000</v>
      </c>
      <c r="I10" s="13"/>
    </row>
    <row r="11" spans="1:10" ht="21.6" customHeight="1" x14ac:dyDescent="0.3">
      <c r="A11" s="61" t="s">
        <v>235</v>
      </c>
      <c r="B11" s="246">
        <v>440000000</v>
      </c>
      <c r="C11" s="246">
        <v>95000000</v>
      </c>
      <c r="D11" s="246">
        <v>262000000</v>
      </c>
      <c r="E11" s="246">
        <v>33000000</v>
      </c>
      <c r="F11" s="247">
        <v>51000000</v>
      </c>
      <c r="G11" s="247">
        <v>2788519.36</v>
      </c>
      <c r="H11" s="246">
        <v>883788519.36000001</v>
      </c>
      <c r="I11" s="13"/>
      <c r="J11" s="2"/>
    </row>
    <row r="12" spans="1:10" ht="21.6" customHeight="1" x14ac:dyDescent="0.3">
      <c r="A12" s="61" t="s">
        <v>265</v>
      </c>
      <c r="B12" s="246">
        <v>272000000</v>
      </c>
      <c r="C12" s="246">
        <v>87000000</v>
      </c>
      <c r="D12" s="246">
        <v>82000000</v>
      </c>
      <c r="E12" s="248">
        <v>1000000</v>
      </c>
      <c r="F12" s="247">
        <v>67000000</v>
      </c>
      <c r="G12" s="247">
        <v>1056371.83</v>
      </c>
      <c r="H12" s="246">
        <v>510056371.82999998</v>
      </c>
      <c r="I12" s="13"/>
    </row>
    <row r="13" spans="1:10" ht="21.6" customHeight="1" x14ac:dyDescent="0.3">
      <c r="A13" s="61" t="s">
        <v>276</v>
      </c>
      <c r="B13" s="246">
        <v>174000000</v>
      </c>
      <c r="C13" s="246">
        <v>422000000</v>
      </c>
      <c r="D13" s="246">
        <v>101000000</v>
      </c>
      <c r="E13" s="246">
        <v>1616000000</v>
      </c>
      <c r="F13" s="247">
        <v>40000000</v>
      </c>
      <c r="G13" s="247">
        <v>1234212.44</v>
      </c>
      <c r="H13" s="246">
        <v>2354234212.4400001</v>
      </c>
      <c r="I13" s="13"/>
    </row>
    <row r="14" spans="1:10" ht="21.6" customHeight="1" x14ac:dyDescent="0.3">
      <c r="A14" s="58" t="s">
        <v>318</v>
      </c>
      <c r="B14" s="249">
        <v>4302000000</v>
      </c>
      <c r="C14" s="249">
        <v>1684000000</v>
      </c>
      <c r="D14" s="249">
        <v>2116000000</v>
      </c>
      <c r="E14" s="249">
        <v>1736000000</v>
      </c>
      <c r="F14" s="250">
        <v>1267000000</v>
      </c>
      <c r="G14" s="250">
        <v>37170170.821108997</v>
      </c>
      <c r="H14" s="249">
        <v>11142170170.8211</v>
      </c>
      <c r="I14" s="13"/>
    </row>
    <row r="15" spans="1:10" ht="174.75" customHeight="1" x14ac:dyDescent="0.25">
      <c r="A15" s="546" t="s">
        <v>1318</v>
      </c>
      <c r="B15" s="532"/>
      <c r="C15" s="532"/>
      <c r="D15" s="532"/>
      <c r="E15" s="532"/>
      <c r="F15" s="532"/>
      <c r="G15" s="532"/>
      <c r="H15" s="532"/>
    </row>
    <row r="16" spans="1:10" ht="29.1" customHeight="1" x14ac:dyDescent="0.3">
      <c r="A16" s="2"/>
    </row>
    <row r="17" spans="1:9" ht="27.6" customHeight="1" x14ac:dyDescent="0.25"/>
    <row r="18" spans="1:9" ht="35.85" customHeight="1" x14ac:dyDescent="0.3">
      <c r="A18" s="659" t="s">
        <v>1319</v>
      </c>
      <c r="B18" s="659"/>
      <c r="C18" s="13"/>
    </row>
    <row r="19" spans="1:9" ht="23.25" customHeight="1" x14ac:dyDescent="0.3">
      <c r="A19" s="58" t="s">
        <v>1009</v>
      </c>
      <c r="B19" s="115" t="s">
        <v>380</v>
      </c>
      <c r="C19" s="13"/>
    </row>
    <row r="20" spans="1:9" ht="21.6" customHeight="1" x14ac:dyDescent="0.3">
      <c r="A20" s="61" t="s">
        <v>328</v>
      </c>
      <c r="B20" s="251">
        <v>555000000</v>
      </c>
      <c r="C20" s="13"/>
    </row>
    <row r="21" spans="1:9" ht="21.6" customHeight="1" x14ac:dyDescent="0.3">
      <c r="A21" s="61" t="s">
        <v>252</v>
      </c>
      <c r="B21" s="251">
        <v>3289000000</v>
      </c>
      <c r="C21" s="13"/>
    </row>
    <row r="22" spans="1:9" ht="21.6" customHeight="1" x14ac:dyDescent="0.3">
      <c r="A22" s="61" t="s">
        <v>225</v>
      </c>
      <c r="B22" s="251">
        <v>1417000000</v>
      </c>
      <c r="C22" s="13"/>
      <c r="D22" s="307"/>
      <c r="E22" s="2"/>
      <c r="F22" s="2"/>
      <c r="G22" s="2"/>
      <c r="H22" s="2"/>
      <c r="I22" s="2"/>
    </row>
    <row r="23" spans="1:9" ht="21.6" customHeight="1" x14ac:dyDescent="0.3">
      <c r="A23" s="61" t="s">
        <v>246</v>
      </c>
      <c r="B23" s="251">
        <v>1740000000</v>
      </c>
      <c r="C23" s="13"/>
      <c r="D23" s="307"/>
      <c r="E23" s="2"/>
      <c r="F23" s="2"/>
      <c r="G23" s="2"/>
      <c r="H23" s="2"/>
      <c r="I23" s="2"/>
    </row>
    <row r="24" spans="1:9" ht="21.6" customHeight="1" x14ac:dyDescent="0.3">
      <c r="A24" s="61" t="s">
        <v>214</v>
      </c>
      <c r="B24" s="251">
        <v>906000000</v>
      </c>
      <c r="C24" s="13"/>
      <c r="D24" s="307"/>
      <c r="E24" s="2"/>
      <c r="F24" s="2"/>
      <c r="G24" s="2"/>
      <c r="H24" s="2"/>
      <c r="I24" s="2"/>
    </row>
    <row r="25" spans="1:9" ht="21.6" customHeight="1" x14ac:dyDescent="0.3">
      <c r="A25" s="61" t="s">
        <v>332</v>
      </c>
      <c r="B25" s="251">
        <v>266000000</v>
      </c>
      <c r="C25" s="13"/>
      <c r="D25" s="307"/>
      <c r="E25" s="2"/>
      <c r="F25" s="2"/>
      <c r="G25" s="2"/>
      <c r="H25" s="2"/>
      <c r="I25" s="2"/>
    </row>
    <row r="26" spans="1:9" ht="21.6" customHeight="1" x14ac:dyDescent="0.3">
      <c r="A26" s="61" t="s">
        <v>235</v>
      </c>
      <c r="B26" s="251">
        <v>772000000</v>
      </c>
      <c r="C26" s="13"/>
      <c r="D26" s="307"/>
      <c r="E26" s="2"/>
      <c r="F26" s="2"/>
      <c r="G26" s="2"/>
      <c r="H26" s="2"/>
      <c r="I26" s="2"/>
    </row>
    <row r="27" spans="1:9" ht="21.6" customHeight="1" x14ac:dyDescent="0.3">
      <c r="A27" s="61" t="s">
        <v>265</v>
      </c>
      <c r="B27" s="251">
        <v>627000000</v>
      </c>
      <c r="C27" s="13"/>
      <c r="D27" s="307"/>
      <c r="E27" s="2"/>
      <c r="F27" s="2"/>
      <c r="G27" s="2"/>
      <c r="H27" s="2"/>
      <c r="I27" s="2"/>
    </row>
    <row r="28" spans="1:9" ht="21.6" customHeight="1" x14ac:dyDescent="0.3">
      <c r="A28" s="61" t="s">
        <v>276</v>
      </c>
      <c r="B28" s="251">
        <v>420000000</v>
      </c>
      <c r="C28" s="13"/>
      <c r="D28" s="307"/>
      <c r="E28" s="2"/>
      <c r="F28" s="2"/>
      <c r="G28" s="2"/>
      <c r="H28" s="2"/>
      <c r="I28" s="2"/>
    </row>
    <row r="29" spans="1:9" ht="23.25" customHeight="1" x14ac:dyDescent="0.3">
      <c r="A29" s="61" t="s">
        <v>318</v>
      </c>
      <c r="B29" s="249">
        <v>9992000000</v>
      </c>
      <c r="C29" s="13"/>
      <c r="D29" s="2"/>
      <c r="E29" s="2"/>
      <c r="F29" s="2"/>
      <c r="G29" s="2"/>
      <c r="H29" s="2"/>
      <c r="I29" s="2"/>
    </row>
    <row r="30" spans="1:9" ht="128.25" customHeight="1" x14ac:dyDescent="0.3">
      <c r="A30" s="532" t="s">
        <v>1320</v>
      </c>
      <c r="B30" s="532"/>
      <c r="C30" s="2"/>
      <c r="D30" s="234"/>
      <c r="E30" s="2"/>
      <c r="F30" s="2"/>
      <c r="G30" s="2"/>
      <c r="H30" s="2"/>
      <c r="I30" s="2"/>
    </row>
    <row r="31" spans="1:9" ht="18.45" customHeight="1" x14ac:dyDescent="0.3">
      <c r="A31" s="2"/>
      <c r="B31" s="2"/>
      <c r="C31" s="2"/>
      <c r="D31" s="2"/>
      <c r="E31" s="2"/>
      <c r="F31" s="2"/>
      <c r="G31" s="2"/>
      <c r="H31" s="2"/>
      <c r="I31" s="2"/>
    </row>
    <row r="32" spans="1:9" ht="26.7" customHeight="1" x14ac:dyDescent="0.3">
      <c r="A32" s="2"/>
      <c r="B32" s="2"/>
      <c r="C32" s="2"/>
      <c r="D32" s="2"/>
      <c r="E32" s="2"/>
      <c r="F32" s="2"/>
      <c r="G32" s="2"/>
      <c r="H32" s="2"/>
      <c r="I32" s="2"/>
    </row>
    <row r="33" spans="1:9" ht="134.1" customHeight="1" x14ac:dyDescent="0.3">
      <c r="A33" s="2"/>
      <c r="B33" s="2"/>
      <c r="C33" s="2"/>
      <c r="D33" s="2"/>
      <c r="E33" s="2"/>
      <c r="F33" s="2"/>
      <c r="G33" s="2"/>
      <c r="H33" s="2"/>
      <c r="I33" s="2"/>
    </row>
    <row r="34" spans="1:9" ht="18.45" customHeight="1" x14ac:dyDescent="0.3">
      <c r="A34" s="2"/>
      <c r="B34" s="2"/>
      <c r="C34" s="2"/>
      <c r="D34" s="2"/>
      <c r="E34" s="2"/>
      <c r="F34" s="2"/>
      <c r="G34" s="2"/>
      <c r="H34" s="2"/>
      <c r="I34" s="2"/>
    </row>
    <row r="35" spans="1:9" ht="18.45" customHeight="1" x14ac:dyDescent="0.3">
      <c r="A35" s="2"/>
      <c r="B35" s="2"/>
      <c r="C35" s="2"/>
      <c r="D35" s="2"/>
      <c r="E35" s="2"/>
      <c r="F35" s="2"/>
      <c r="G35" s="2"/>
      <c r="H35" s="2"/>
      <c r="I35" s="2"/>
    </row>
    <row r="36" spans="1:9" ht="18.45" customHeight="1" x14ac:dyDescent="0.3">
      <c r="A36" s="2"/>
      <c r="B36" s="2"/>
      <c r="C36" s="2"/>
      <c r="D36" s="2"/>
      <c r="E36" s="2"/>
      <c r="F36" s="2"/>
      <c r="G36" s="2"/>
      <c r="H36" s="2"/>
      <c r="I36" s="2"/>
    </row>
    <row r="37" spans="1:9" ht="18.45" customHeight="1" x14ac:dyDescent="0.3">
      <c r="A37" s="2"/>
      <c r="B37" s="2"/>
      <c r="C37" s="2"/>
      <c r="D37" s="2"/>
      <c r="E37" s="2"/>
      <c r="F37" s="2"/>
      <c r="G37" s="2"/>
      <c r="H37" s="2"/>
      <c r="I37" s="2"/>
    </row>
    <row r="38" spans="1:9" ht="18.45" customHeight="1" x14ac:dyDescent="0.3">
      <c r="A38" s="2"/>
      <c r="B38" s="2"/>
      <c r="C38" s="2"/>
      <c r="D38" s="2"/>
      <c r="E38" s="2"/>
      <c r="F38" s="2"/>
      <c r="G38" s="2"/>
      <c r="H38" s="2"/>
      <c r="I38" s="2"/>
    </row>
    <row r="39" spans="1:9" ht="18.45" customHeight="1" x14ac:dyDescent="0.3">
      <c r="A39" s="2"/>
      <c r="B39" s="2"/>
      <c r="C39" s="2"/>
      <c r="D39" s="2"/>
      <c r="E39" s="2"/>
      <c r="F39" s="2"/>
      <c r="G39" s="2"/>
      <c r="H39" s="2"/>
      <c r="I39" s="2"/>
    </row>
    <row r="40" spans="1:9" ht="18.45" customHeight="1" x14ac:dyDescent="0.3">
      <c r="A40" s="2"/>
      <c r="B40" s="2"/>
      <c r="C40" s="2"/>
      <c r="D40" s="2"/>
      <c r="E40" s="2"/>
      <c r="F40" s="2"/>
      <c r="G40" s="2"/>
      <c r="H40" s="2"/>
      <c r="I40" s="2"/>
    </row>
    <row r="41" spans="1:9" ht="18.45" customHeight="1" x14ac:dyDescent="0.3">
      <c r="A41" s="2"/>
      <c r="B41" s="2"/>
      <c r="C41" s="2"/>
      <c r="D41" s="2"/>
      <c r="E41" s="2"/>
      <c r="F41" s="2"/>
      <c r="G41" s="2"/>
      <c r="H41" s="2"/>
      <c r="I41" s="2"/>
    </row>
    <row r="42" spans="1:9" ht="18.45" customHeight="1" x14ac:dyDescent="0.3">
      <c r="A42" s="2"/>
      <c r="B42" s="2"/>
      <c r="C42" s="2"/>
      <c r="D42" s="2"/>
      <c r="E42" s="2"/>
      <c r="F42" s="2"/>
      <c r="G42" s="2"/>
      <c r="H42" s="2"/>
      <c r="I42" s="2"/>
    </row>
    <row r="43" spans="1:9" ht="30" customHeight="1" x14ac:dyDescent="0.3">
      <c r="A43" s="2"/>
      <c r="B43" s="2"/>
      <c r="C43" s="2"/>
      <c r="D43" s="2"/>
      <c r="E43" s="2"/>
      <c r="F43" s="2"/>
      <c r="G43" s="2"/>
      <c r="H43" s="2"/>
      <c r="I43" s="2"/>
    </row>
    <row r="44" spans="1:9" ht="18.45" customHeight="1" x14ac:dyDescent="0.3">
      <c r="A44" s="2"/>
      <c r="B44" s="2"/>
      <c r="C44" s="2"/>
      <c r="D44" s="2"/>
      <c r="E44" s="2"/>
      <c r="F44" s="2"/>
      <c r="G44" s="2"/>
      <c r="H44" s="2"/>
      <c r="I44" s="2"/>
    </row>
    <row r="45" spans="1:9" ht="18.45" customHeight="1" x14ac:dyDescent="0.3">
      <c r="A45" s="2"/>
      <c r="B45" s="2"/>
      <c r="C45" s="2"/>
      <c r="D45" s="2"/>
      <c r="E45" s="2"/>
      <c r="F45" s="2"/>
      <c r="G45" s="2"/>
      <c r="H45" s="2"/>
      <c r="I45" s="2"/>
    </row>
    <row r="46" spans="1:9" ht="18.45" customHeight="1" x14ac:dyDescent="0.3">
      <c r="A46" s="2"/>
      <c r="B46" s="2"/>
      <c r="C46" s="2"/>
      <c r="D46" s="2"/>
      <c r="E46" s="2"/>
      <c r="F46" s="2"/>
      <c r="G46" s="2"/>
      <c r="H46" s="2"/>
      <c r="I46" s="2"/>
    </row>
    <row r="47" spans="1:9" ht="18.45" customHeight="1" x14ac:dyDescent="0.3">
      <c r="A47" s="2"/>
      <c r="B47" s="2"/>
      <c r="C47" s="2"/>
      <c r="D47" s="2"/>
      <c r="E47" s="2"/>
      <c r="F47" s="2"/>
      <c r="G47" s="2"/>
      <c r="H47" s="2"/>
      <c r="I47" s="2"/>
    </row>
    <row r="48" spans="1:9" ht="18.45" customHeight="1" x14ac:dyDescent="0.3">
      <c r="A48" s="2"/>
      <c r="B48" s="2"/>
      <c r="C48" s="2"/>
      <c r="D48" s="2"/>
      <c r="E48" s="2"/>
      <c r="F48" s="2"/>
      <c r="G48" s="2"/>
      <c r="H48" s="2"/>
      <c r="I48" s="2"/>
    </row>
    <row r="49" spans="1:9" ht="18.45" customHeight="1" x14ac:dyDescent="0.3">
      <c r="A49" s="2"/>
      <c r="B49" s="2"/>
      <c r="C49" s="2"/>
      <c r="D49" s="2"/>
      <c r="E49" s="2"/>
      <c r="F49" s="2"/>
      <c r="G49" s="2"/>
      <c r="H49" s="2"/>
      <c r="I49" s="2"/>
    </row>
    <row r="50" spans="1:9" ht="18.45" customHeight="1" x14ac:dyDescent="0.3">
      <c r="A50" s="2"/>
      <c r="B50" s="2"/>
      <c r="C50" s="2"/>
      <c r="D50" s="2"/>
      <c r="E50" s="2"/>
      <c r="F50" s="2"/>
      <c r="G50" s="2"/>
      <c r="H50" s="2"/>
      <c r="I50" s="2"/>
    </row>
    <row r="51" spans="1:9" ht="18.45" customHeight="1" x14ac:dyDescent="0.3">
      <c r="A51" s="2"/>
      <c r="B51" s="2"/>
      <c r="C51" s="2"/>
      <c r="D51" s="2"/>
      <c r="E51" s="2"/>
      <c r="F51" s="2"/>
      <c r="G51" s="2"/>
      <c r="H51" s="2"/>
      <c r="I51" s="2"/>
    </row>
    <row r="52" spans="1:9" ht="18.45" customHeight="1" x14ac:dyDescent="0.3">
      <c r="A52" s="2"/>
      <c r="B52" s="2"/>
      <c r="C52" s="2"/>
      <c r="D52" s="2"/>
      <c r="E52" s="2"/>
      <c r="F52" s="2"/>
      <c r="G52" s="2"/>
      <c r="H52" s="2"/>
      <c r="I52" s="2"/>
    </row>
    <row r="53" spans="1:9" ht="18.45" customHeight="1" x14ac:dyDescent="0.3">
      <c r="A53" s="17"/>
      <c r="B53" s="17"/>
      <c r="C53" s="17"/>
      <c r="D53" s="17"/>
      <c r="E53" s="17"/>
      <c r="F53" s="17"/>
      <c r="G53" s="17"/>
      <c r="H53" s="17"/>
      <c r="I53" s="2"/>
    </row>
    <row r="54" spans="1:9" ht="18.45" customHeight="1" x14ac:dyDescent="0.3">
      <c r="A54" s="17"/>
      <c r="B54" s="17"/>
      <c r="C54" s="17"/>
      <c r="D54" s="17"/>
      <c r="E54" s="17"/>
      <c r="F54" s="17"/>
      <c r="G54" s="17"/>
      <c r="H54" s="17"/>
      <c r="I54" s="2"/>
    </row>
    <row r="55" spans="1:9" ht="18.45" customHeight="1" x14ac:dyDescent="0.3">
      <c r="A55" s="17"/>
      <c r="B55" s="17"/>
      <c r="C55" s="17"/>
      <c r="D55" s="17"/>
      <c r="E55" s="17"/>
      <c r="F55" s="17"/>
      <c r="G55" s="17"/>
      <c r="H55" s="17"/>
      <c r="I55" s="2"/>
    </row>
    <row r="56" spans="1:9" ht="18.45" customHeight="1" x14ac:dyDescent="0.3">
      <c r="A56" s="17"/>
      <c r="B56" s="17"/>
      <c r="C56" s="17"/>
      <c r="D56" s="17"/>
      <c r="E56" s="17"/>
      <c r="F56" s="17"/>
      <c r="G56" s="17"/>
      <c r="H56" s="17"/>
      <c r="I56" s="2"/>
    </row>
    <row r="57" spans="1:9" ht="18.45" customHeight="1" x14ac:dyDescent="0.3">
      <c r="A57" s="17"/>
      <c r="B57" s="17"/>
      <c r="C57" s="17"/>
      <c r="D57" s="17"/>
      <c r="E57" s="17"/>
      <c r="F57" s="17"/>
      <c r="G57" s="17"/>
      <c r="H57" s="17"/>
      <c r="I57" s="2"/>
    </row>
    <row r="58" spans="1:9" ht="52.5" customHeight="1" x14ac:dyDescent="0.3">
      <c r="A58" s="17"/>
      <c r="B58" s="17"/>
      <c r="C58" s="17"/>
      <c r="D58" s="17"/>
      <c r="E58" s="17"/>
      <c r="F58" s="17"/>
      <c r="G58" s="17"/>
      <c r="H58" s="17"/>
      <c r="I58" s="2"/>
    </row>
  </sheetData>
  <sheetProtection algorithmName="SHA-512" hashValue="vjvsYNK5gyuu7+5p/lwYIbPhntuakl05PIEZwh1i9GxHv3fnby9sZn/fYRG3rCzXdenw2KbnhOCpXSeUApgJfw==" saltValue="xbMGer+HgTDd6BvQ81yDcQ==" spinCount="100000" sheet="1" objects="1" scenarios="1" formatColumns="0" formatRows="0"/>
  <mergeCells count="5">
    <mergeCell ref="A1:F1"/>
    <mergeCell ref="A3:H3"/>
    <mergeCell ref="A15:H15"/>
    <mergeCell ref="A18:B18"/>
    <mergeCell ref="A30:B30"/>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94"/>
  <sheetViews>
    <sheetView showRuler="0" topLeftCell="A9" workbookViewId="0">
      <selection activeCell="I29" sqref="I29"/>
    </sheetView>
  </sheetViews>
  <sheetFormatPr defaultColWidth="13.6640625" defaultRowHeight="13.2" x14ac:dyDescent="0.25"/>
  <cols>
    <col min="1" max="1" width="28.6640625" customWidth="1"/>
    <col min="2" max="2" width="24.33203125" customWidth="1"/>
    <col min="3" max="11" width="18.33203125" customWidth="1"/>
    <col min="12" max="14" width="23.5546875" customWidth="1"/>
    <col min="16" max="16" width="41.33203125" customWidth="1"/>
  </cols>
  <sheetData>
    <row r="1" spans="1:12" ht="24.15" customHeight="1" x14ac:dyDescent="0.3">
      <c r="A1" s="595" t="s">
        <v>1321</v>
      </c>
      <c r="B1" s="595"/>
      <c r="C1" s="595"/>
      <c r="D1" s="595"/>
      <c r="E1" s="595"/>
      <c r="F1" s="595"/>
      <c r="J1" s="17"/>
      <c r="K1" s="17"/>
      <c r="L1" s="17"/>
    </row>
    <row r="2" spans="1:12" ht="42.6" customHeight="1" x14ac:dyDescent="0.3">
      <c r="A2" s="738" t="s">
        <v>1322</v>
      </c>
      <c r="B2" s="518"/>
      <c r="C2" s="518"/>
      <c r="D2" s="518"/>
      <c r="E2" s="518"/>
      <c r="F2" s="518"/>
      <c r="G2" s="2"/>
      <c r="H2" s="2"/>
      <c r="I2" s="2"/>
      <c r="J2" s="2"/>
      <c r="K2" s="2"/>
      <c r="L2" s="2"/>
    </row>
    <row r="3" spans="1:12" ht="22.5" customHeight="1" x14ac:dyDescent="0.3">
      <c r="B3" s="64"/>
      <c r="C3" s="2"/>
      <c r="D3" s="2"/>
      <c r="E3" s="2"/>
      <c r="F3" s="2"/>
      <c r="G3" s="2"/>
      <c r="H3" s="2"/>
      <c r="I3" s="2"/>
      <c r="J3" s="2"/>
      <c r="K3" s="2"/>
      <c r="L3" s="2"/>
    </row>
    <row r="4" spans="1:12" ht="37.5" customHeight="1" x14ac:dyDescent="0.3">
      <c r="A4" s="548" t="s">
        <v>1323</v>
      </c>
      <c r="B4" s="550"/>
      <c r="C4" s="80"/>
      <c r="D4" s="3"/>
      <c r="E4" s="3"/>
    </row>
    <row r="5" spans="1:12" ht="25.95" customHeight="1" x14ac:dyDescent="0.25">
      <c r="A5" s="50" t="s">
        <v>1324</v>
      </c>
      <c r="B5" s="252">
        <v>7000</v>
      </c>
      <c r="C5" s="335"/>
      <c r="D5" s="301"/>
    </row>
    <row r="6" spans="1:12" ht="49.2" customHeight="1" x14ac:dyDescent="0.3">
      <c r="A6" s="547" t="s">
        <v>1325</v>
      </c>
      <c r="B6" s="547"/>
      <c r="C6" s="316"/>
      <c r="D6" s="316"/>
      <c r="E6" s="301"/>
    </row>
    <row r="7" spans="1:12" ht="22.5" customHeight="1" x14ac:dyDescent="0.3">
      <c r="A7" s="27"/>
      <c r="B7" s="27"/>
      <c r="C7" s="2"/>
      <c r="D7" s="2"/>
      <c r="E7" s="2"/>
    </row>
    <row r="8" spans="1:12" ht="22.5" customHeight="1" x14ac:dyDescent="0.25"/>
    <row r="9" spans="1:12" ht="39.15" customHeight="1" x14ac:dyDescent="0.3">
      <c r="A9" s="49" t="s">
        <v>1326</v>
      </c>
      <c r="B9" s="5" t="s">
        <v>207</v>
      </c>
      <c r="C9" s="58" t="s">
        <v>1327</v>
      </c>
      <c r="D9" s="61" t="s">
        <v>1328</v>
      </c>
      <c r="E9" s="58" t="s">
        <v>1329</v>
      </c>
      <c r="F9" s="61" t="s">
        <v>1330</v>
      </c>
      <c r="G9" s="58" t="s">
        <v>1331</v>
      </c>
      <c r="H9" s="58" t="s">
        <v>1332</v>
      </c>
      <c r="I9" s="58" t="s">
        <v>1333</v>
      </c>
      <c r="J9" s="58" t="s">
        <v>1334</v>
      </c>
      <c r="K9" s="58" t="s">
        <v>1335</v>
      </c>
      <c r="L9" s="13"/>
    </row>
    <row r="10" spans="1:12" ht="22.5" customHeight="1" x14ac:dyDescent="0.3">
      <c r="A10" s="537" t="s">
        <v>245</v>
      </c>
      <c r="B10" s="7" t="s">
        <v>246</v>
      </c>
      <c r="C10" s="253">
        <v>688991093</v>
      </c>
      <c r="D10" s="253">
        <v>23537391</v>
      </c>
      <c r="E10" s="254">
        <v>3.4162112165359998E-2</v>
      </c>
      <c r="F10" s="253">
        <v>3481083</v>
      </c>
      <c r="G10" s="254">
        <v>5.0524354166070502E-3</v>
      </c>
      <c r="H10" s="253">
        <v>546303567</v>
      </c>
      <c r="I10" s="254">
        <v>0.79290367110740001</v>
      </c>
      <c r="J10" s="253">
        <v>115669053</v>
      </c>
      <c r="K10" s="255">
        <v>0.167881782762031</v>
      </c>
      <c r="L10" s="13"/>
    </row>
    <row r="11" spans="1:12" ht="22.5" customHeight="1" x14ac:dyDescent="0.3">
      <c r="A11" s="596"/>
      <c r="B11" s="123" t="s">
        <v>519</v>
      </c>
      <c r="C11" s="242">
        <v>507826264</v>
      </c>
      <c r="D11" s="242">
        <v>12355882</v>
      </c>
      <c r="E11" s="256">
        <v>2.4330923538054699E-2</v>
      </c>
      <c r="F11" s="242">
        <v>3349359</v>
      </c>
      <c r="G11" s="256">
        <v>6.59548203280798E-3</v>
      </c>
      <c r="H11" s="242">
        <v>399926026</v>
      </c>
      <c r="I11" s="256">
        <v>0.78752529034220997</v>
      </c>
      <c r="J11" s="242">
        <v>92194997</v>
      </c>
      <c r="K11" s="257">
        <v>0.18154830408692699</v>
      </c>
      <c r="L11" s="13"/>
    </row>
    <row r="12" spans="1:12" ht="22.5" customHeight="1" x14ac:dyDescent="0.3">
      <c r="A12" s="594"/>
      <c r="B12" s="123" t="s">
        <v>247</v>
      </c>
      <c r="C12" s="242">
        <v>181164829</v>
      </c>
      <c r="D12" s="242">
        <v>11181509</v>
      </c>
      <c r="E12" s="256">
        <v>6.1720086960146102E-2</v>
      </c>
      <c r="F12" s="242">
        <v>131724</v>
      </c>
      <c r="G12" s="50" t="s">
        <v>1336</v>
      </c>
      <c r="H12" s="242">
        <v>146377541</v>
      </c>
      <c r="I12" s="256">
        <v>0.80797990320737101</v>
      </c>
      <c r="J12" s="242">
        <v>23474056</v>
      </c>
      <c r="K12" s="257">
        <v>0.129572920580517</v>
      </c>
      <c r="L12" s="13"/>
    </row>
    <row r="13" spans="1:12" ht="22.5" customHeight="1" x14ac:dyDescent="0.3">
      <c r="A13" s="735" t="s">
        <v>1337</v>
      </c>
      <c r="B13" s="7" t="s">
        <v>252</v>
      </c>
      <c r="C13" s="253">
        <v>1369595623</v>
      </c>
      <c r="D13" s="253">
        <v>11272664</v>
      </c>
      <c r="E13" s="254">
        <v>8.2306513037096601E-3</v>
      </c>
      <c r="F13" s="253">
        <v>526728659</v>
      </c>
      <c r="G13" s="254">
        <v>0.38458699060839502</v>
      </c>
      <c r="H13" s="253">
        <v>798814286</v>
      </c>
      <c r="I13" s="254">
        <v>0.58324827604972596</v>
      </c>
      <c r="J13" s="253">
        <v>32780012</v>
      </c>
      <c r="K13" s="255">
        <v>2.3934080577884601E-2</v>
      </c>
      <c r="L13" s="13"/>
    </row>
    <row r="14" spans="1:12" ht="22.5" customHeight="1" x14ac:dyDescent="0.3">
      <c r="A14" s="596"/>
      <c r="B14" s="61" t="s">
        <v>1338</v>
      </c>
      <c r="C14" s="242">
        <v>725809160</v>
      </c>
      <c r="D14" s="242">
        <v>8265866</v>
      </c>
      <c r="E14" s="256">
        <v>1.13884839921282E-2</v>
      </c>
      <c r="F14" s="242">
        <v>456471986</v>
      </c>
      <c r="G14" s="256">
        <v>0.62891461165907603</v>
      </c>
      <c r="H14" s="242">
        <v>238524693</v>
      </c>
      <c r="I14" s="256">
        <v>0.32863279515513399</v>
      </c>
      <c r="J14" s="242">
        <v>22546615</v>
      </c>
      <c r="K14" s="257">
        <v>3.1064109193661898E-2</v>
      </c>
      <c r="L14" s="13"/>
    </row>
    <row r="15" spans="1:12" ht="22.5" customHeight="1" x14ac:dyDescent="0.3">
      <c r="A15" s="596"/>
      <c r="B15" s="123" t="s">
        <v>256</v>
      </c>
      <c r="C15" s="242">
        <v>588571474</v>
      </c>
      <c r="D15" s="242">
        <v>1287177</v>
      </c>
      <c r="E15" s="50" t="s">
        <v>1336</v>
      </c>
      <c r="F15" s="242">
        <v>61250120</v>
      </c>
      <c r="G15" s="256">
        <v>0.10406572983182</v>
      </c>
      <c r="H15" s="242">
        <v>516802883</v>
      </c>
      <c r="I15" s="256">
        <v>0.87806308295532498</v>
      </c>
      <c r="J15" s="242">
        <v>9231292</v>
      </c>
      <c r="K15" s="257">
        <v>1.5684232770003401E-2</v>
      </c>
      <c r="L15" s="13"/>
    </row>
    <row r="16" spans="1:12" ht="22.5" customHeight="1" x14ac:dyDescent="0.3">
      <c r="A16" s="594"/>
      <c r="B16" s="123" t="s">
        <v>1286</v>
      </c>
      <c r="C16" s="242">
        <v>55214989</v>
      </c>
      <c r="D16" s="242">
        <v>1719621</v>
      </c>
      <c r="E16" s="256">
        <v>3.1144097484108901E-2</v>
      </c>
      <c r="F16" s="242">
        <v>9006553</v>
      </c>
      <c r="G16" s="256">
        <v>0.16311789901832599</v>
      </c>
      <c r="H16" s="242">
        <v>43486710</v>
      </c>
      <c r="I16" s="256">
        <v>0.78758885562759096</v>
      </c>
      <c r="J16" s="242">
        <v>1002105</v>
      </c>
      <c r="K16" s="257">
        <v>1.8149147869974201E-2</v>
      </c>
      <c r="L16" s="13"/>
    </row>
    <row r="17" spans="1:12" ht="22.5" customHeight="1" x14ac:dyDescent="0.3">
      <c r="A17" s="537" t="s">
        <v>213</v>
      </c>
      <c r="B17" s="7" t="s">
        <v>328</v>
      </c>
      <c r="C17" s="253">
        <v>362458536</v>
      </c>
      <c r="D17" s="253">
        <v>32133005</v>
      </c>
      <c r="E17" s="254">
        <v>8.8652912839663395E-2</v>
      </c>
      <c r="F17" s="253">
        <v>108792927</v>
      </c>
      <c r="G17" s="254">
        <v>0.30015275181710699</v>
      </c>
      <c r="H17" s="253">
        <v>196169392</v>
      </c>
      <c r="I17" s="254">
        <v>0.54121884992660196</v>
      </c>
      <c r="J17" s="253">
        <v>25363211</v>
      </c>
      <c r="K17" s="255">
        <v>6.9975482657690796E-2</v>
      </c>
      <c r="L17" s="13"/>
    </row>
    <row r="18" spans="1:12" ht="22.5" customHeight="1" x14ac:dyDescent="0.3">
      <c r="A18" s="596"/>
      <c r="B18" s="161" t="s">
        <v>453</v>
      </c>
      <c r="C18" s="242">
        <v>362458536</v>
      </c>
      <c r="D18" s="242">
        <v>32133005</v>
      </c>
      <c r="E18" s="256">
        <v>8.8652912839663395E-2</v>
      </c>
      <c r="F18" s="242">
        <v>108792927</v>
      </c>
      <c r="G18" s="256">
        <v>0.30015275181710699</v>
      </c>
      <c r="H18" s="242">
        <v>196169392</v>
      </c>
      <c r="I18" s="256">
        <v>0.54121884992660196</v>
      </c>
      <c r="J18" s="242">
        <v>25363211</v>
      </c>
      <c r="K18" s="257">
        <v>6.9975482657690796E-2</v>
      </c>
      <c r="L18" s="13"/>
    </row>
    <row r="19" spans="1:12" ht="22.5" customHeight="1" x14ac:dyDescent="0.3">
      <c r="A19" s="596"/>
      <c r="B19" s="7" t="s">
        <v>214</v>
      </c>
      <c r="C19" s="253">
        <v>985942814</v>
      </c>
      <c r="D19" s="253">
        <v>8961053</v>
      </c>
      <c r="E19" s="254">
        <v>9.0888161795558298E-3</v>
      </c>
      <c r="F19" s="253">
        <v>33653114</v>
      </c>
      <c r="G19" s="254">
        <v>3.4132926902188498E-2</v>
      </c>
      <c r="H19" s="253">
        <v>815170584</v>
      </c>
      <c r="I19" s="254">
        <v>0.82679296651377598</v>
      </c>
      <c r="J19" s="253">
        <v>128158063</v>
      </c>
      <c r="K19" s="255">
        <v>0.12998529040448001</v>
      </c>
      <c r="L19" s="13"/>
    </row>
    <row r="20" spans="1:12" ht="22.5" customHeight="1" x14ac:dyDescent="0.3">
      <c r="A20" s="596"/>
      <c r="B20" s="161" t="s">
        <v>215</v>
      </c>
      <c r="C20" s="242">
        <v>985942814</v>
      </c>
      <c r="D20" s="242">
        <v>8961053</v>
      </c>
      <c r="E20" s="256">
        <v>9.0888161795558298E-3</v>
      </c>
      <c r="F20" s="242">
        <v>33653114</v>
      </c>
      <c r="G20" s="256">
        <v>3.4132926902188498E-2</v>
      </c>
      <c r="H20" s="242">
        <v>815170584</v>
      </c>
      <c r="I20" s="256">
        <v>0.82679296651377598</v>
      </c>
      <c r="J20" s="242">
        <v>128158063</v>
      </c>
      <c r="K20" s="257">
        <v>0.12998529040448001</v>
      </c>
      <c r="L20" s="13"/>
    </row>
    <row r="21" spans="1:12" ht="22.5" customHeight="1" x14ac:dyDescent="0.3">
      <c r="A21" s="596"/>
      <c r="B21" s="7" t="s">
        <v>265</v>
      </c>
      <c r="C21" s="253">
        <v>350553984</v>
      </c>
      <c r="D21" s="33" t="s">
        <v>410</v>
      </c>
      <c r="E21" s="254">
        <v>0</v>
      </c>
      <c r="F21" s="253">
        <v>2503097</v>
      </c>
      <c r="G21" s="254">
        <v>7.1404038015440204E-3</v>
      </c>
      <c r="H21" s="253">
        <v>242676170</v>
      </c>
      <c r="I21" s="254">
        <v>0.69226476113875801</v>
      </c>
      <c r="J21" s="253">
        <v>105374718</v>
      </c>
      <c r="K21" s="255">
        <v>0.300594837912326</v>
      </c>
      <c r="L21" s="13"/>
    </row>
    <row r="22" spans="1:12" ht="22.5" customHeight="1" x14ac:dyDescent="0.3">
      <c r="A22" s="594"/>
      <c r="B22" s="61" t="s">
        <v>1339</v>
      </c>
      <c r="C22" s="242">
        <v>350553984</v>
      </c>
      <c r="D22" s="9" t="s">
        <v>410</v>
      </c>
      <c r="E22" s="256">
        <v>0</v>
      </c>
      <c r="F22" s="242">
        <v>2503097</v>
      </c>
      <c r="G22" s="256">
        <v>7.1404038015440204E-3</v>
      </c>
      <c r="H22" s="242">
        <v>242676170</v>
      </c>
      <c r="I22" s="256">
        <v>0.69226476113875801</v>
      </c>
      <c r="J22" s="242">
        <v>105374718</v>
      </c>
      <c r="K22" s="257">
        <v>0.300594837912326</v>
      </c>
      <c r="L22" s="13"/>
    </row>
    <row r="23" spans="1:12" ht="22.5" customHeight="1" x14ac:dyDescent="0.3">
      <c r="A23" s="537" t="s">
        <v>224</v>
      </c>
      <c r="B23" s="7" t="s">
        <v>225</v>
      </c>
      <c r="C23" s="253">
        <v>770530165</v>
      </c>
      <c r="D23" s="253">
        <v>125872731</v>
      </c>
      <c r="E23" s="254">
        <v>0.16335860257982199</v>
      </c>
      <c r="F23" s="253">
        <f>SUM(F24:F26)</f>
        <v>199651597.59</v>
      </c>
      <c r="G23" s="254">
        <v>0.26</v>
      </c>
      <c r="H23" s="253">
        <f>SUM(H24:H26)</f>
        <v>438430446.40999997</v>
      </c>
      <c r="I23" s="254">
        <v>0.56999999999999995</v>
      </c>
      <c r="J23" s="253">
        <v>6575392</v>
      </c>
      <c r="K23" s="255">
        <v>8.53359452838553E-3</v>
      </c>
      <c r="L23" s="13"/>
    </row>
    <row r="24" spans="1:12" ht="22.5" customHeight="1" x14ac:dyDescent="0.3">
      <c r="A24" s="596"/>
      <c r="B24" s="123" t="s">
        <v>226</v>
      </c>
      <c r="C24" s="242">
        <v>244552363</v>
      </c>
      <c r="D24" s="242">
        <v>23278873</v>
      </c>
      <c r="E24" s="256">
        <v>9.5189728344600003E-2</v>
      </c>
      <c r="F24" s="242">
        <v>43910971.590000004</v>
      </c>
      <c r="G24" s="256">
        <v>0.17955652135735001</v>
      </c>
      <c r="H24" s="242">
        <v>174299715.41</v>
      </c>
      <c r="I24" s="256">
        <v>0.71272963087255103</v>
      </c>
      <c r="J24" s="242">
        <v>3062803</v>
      </c>
      <c r="K24" s="257">
        <v>1.25241194254991E-2</v>
      </c>
      <c r="L24" s="13"/>
    </row>
    <row r="25" spans="1:12" ht="22.5" customHeight="1" x14ac:dyDescent="0.3">
      <c r="A25" s="596"/>
      <c r="B25" s="123" t="s">
        <v>454</v>
      </c>
      <c r="C25" s="242">
        <v>193613211</v>
      </c>
      <c r="D25" s="242">
        <v>15793168</v>
      </c>
      <c r="E25" s="256">
        <v>8.1570714717396006E-2</v>
      </c>
      <c r="F25" s="242">
        <v>68058676</v>
      </c>
      <c r="G25" s="256">
        <v>0.35151876077299299</v>
      </c>
      <c r="H25" s="242">
        <v>107998020</v>
      </c>
      <c r="I25" s="256">
        <v>0.55780294868411595</v>
      </c>
      <c r="J25" s="242">
        <v>1763348</v>
      </c>
      <c r="K25" s="257">
        <v>9.1075809904314804E-3</v>
      </c>
      <c r="L25" s="13"/>
    </row>
    <row r="26" spans="1:12" ht="22.5" customHeight="1" x14ac:dyDescent="0.3">
      <c r="A26" s="596"/>
      <c r="B26" s="123" t="s">
        <v>230</v>
      </c>
      <c r="C26" s="242">
        <v>332364591</v>
      </c>
      <c r="D26" s="242">
        <v>86800690</v>
      </c>
      <c r="E26" s="256">
        <v>0.261161063333609</v>
      </c>
      <c r="F26" s="242">
        <v>87681950</v>
      </c>
      <c r="G26" s="256">
        <v>0.26</v>
      </c>
      <c r="H26" s="242">
        <v>156132711</v>
      </c>
      <c r="I26" s="256">
        <v>0.47</v>
      </c>
      <c r="J26" s="242">
        <v>1749241</v>
      </c>
      <c r="K26" s="257">
        <v>5.2630185265433397E-3</v>
      </c>
      <c r="L26" s="13"/>
    </row>
    <row r="27" spans="1:12" ht="22.5" customHeight="1" x14ac:dyDescent="0.3">
      <c r="A27" s="596"/>
      <c r="B27" s="7" t="s">
        <v>276</v>
      </c>
      <c r="C27" s="253">
        <v>193551331</v>
      </c>
      <c r="D27" s="253">
        <v>11031940</v>
      </c>
      <c r="E27" s="254">
        <v>5.6997489725348398E-2</v>
      </c>
      <c r="F27" s="253">
        <v>80483855</v>
      </c>
      <c r="G27" s="254">
        <v>0.41582692603648402</v>
      </c>
      <c r="H27" s="253">
        <v>99313633</v>
      </c>
      <c r="I27" s="254">
        <v>0.513112632638005</v>
      </c>
      <c r="J27" s="253">
        <v>2721903</v>
      </c>
      <c r="K27" s="255">
        <v>1.4062951600162301E-2</v>
      </c>
      <c r="L27" s="13"/>
    </row>
    <row r="28" spans="1:12" ht="22.5" customHeight="1" x14ac:dyDescent="0.3">
      <c r="A28" s="594"/>
      <c r="B28" s="61" t="s">
        <v>1340</v>
      </c>
      <c r="C28" s="242">
        <v>193551331</v>
      </c>
      <c r="D28" s="242">
        <v>11031940</v>
      </c>
      <c r="E28" s="256">
        <v>5.6997489725348398E-2</v>
      </c>
      <c r="F28" s="242">
        <v>80483855</v>
      </c>
      <c r="G28" s="256">
        <v>0.41582692603648402</v>
      </c>
      <c r="H28" s="242">
        <v>99313633</v>
      </c>
      <c r="I28" s="256">
        <v>0.513112632638005</v>
      </c>
      <c r="J28" s="242">
        <v>2721903</v>
      </c>
      <c r="K28" s="257">
        <v>1.4062951600162301E-2</v>
      </c>
      <c r="L28" s="13"/>
    </row>
    <row r="29" spans="1:12" ht="22.5" customHeight="1" x14ac:dyDescent="0.3">
      <c r="A29" s="537" t="s">
        <v>234</v>
      </c>
      <c r="B29" s="7" t="s">
        <v>235</v>
      </c>
      <c r="C29" s="253">
        <v>795261821</v>
      </c>
      <c r="D29" s="253">
        <v>126928777</v>
      </c>
      <c r="E29" s="254">
        <v>0.15960627512634001</v>
      </c>
      <c r="F29" s="253">
        <v>70717908</v>
      </c>
      <c r="G29" s="254">
        <v>8.8924057628060105E-2</v>
      </c>
      <c r="H29" s="253">
        <v>526494463</v>
      </c>
      <c r="I29" s="254">
        <v>0.66203915376945999</v>
      </c>
      <c r="J29" s="253">
        <v>71120674</v>
      </c>
      <c r="K29" s="255">
        <v>8.9430514733587305E-2</v>
      </c>
      <c r="L29" s="13"/>
    </row>
    <row r="30" spans="1:12" ht="22.5" customHeight="1" x14ac:dyDescent="0.3">
      <c r="A30" s="594"/>
      <c r="B30" s="61" t="s">
        <v>970</v>
      </c>
      <c r="C30" s="242">
        <v>795261821</v>
      </c>
      <c r="D30" s="242">
        <v>126928777</v>
      </c>
      <c r="E30" s="256">
        <v>0.15960627512634001</v>
      </c>
      <c r="F30" s="242">
        <v>70717908</v>
      </c>
      <c r="G30" s="256">
        <v>8.8924057628060105E-2</v>
      </c>
      <c r="H30" s="242">
        <v>526494463</v>
      </c>
      <c r="I30" s="256">
        <v>0.66203915376945999</v>
      </c>
      <c r="J30" s="242">
        <v>71120674</v>
      </c>
      <c r="K30" s="257">
        <v>8.9430514733587305E-2</v>
      </c>
      <c r="L30" s="13"/>
    </row>
    <row r="31" spans="1:12" ht="22.5" customHeight="1" x14ac:dyDescent="0.3">
      <c r="A31" s="6" t="s">
        <v>455</v>
      </c>
      <c r="B31" s="33" t="s">
        <v>318</v>
      </c>
      <c r="C31" s="253">
        <v>5516885367</v>
      </c>
      <c r="D31" s="253">
        <v>339737561</v>
      </c>
      <c r="E31" s="254">
        <v>6.1581406608915E-2</v>
      </c>
      <c r="F31" s="253">
        <f>F10+F13+F17+F19+F21+F23+F27+F29</f>
        <v>1026012240.59</v>
      </c>
      <c r="G31" s="254">
        <v>0.18847661359971801</v>
      </c>
      <c r="H31" s="253">
        <f>H10+H13+H17+H19+H21+H23+H27+H29</f>
        <v>3663372541.4099998</v>
      </c>
      <c r="I31" s="254">
        <v>0.66152922666119995</v>
      </c>
      <c r="J31" s="253">
        <v>487763026</v>
      </c>
      <c r="K31" s="255">
        <v>8.8412753492690094E-2</v>
      </c>
      <c r="L31" s="13"/>
    </row>
    <row r="32" spans="1:12" ht="93.45" customHeight="1" x14ac:dyDescent="0.3">
      <c r="A32" s="736" t="s">
        <v>1341</v>
      </c>
      <c r="B32" s="737"/>
      <c r="C32" s="737"/>
      <c r="D32" s="737"/>
      <c r="E32" s="737"/>
      <c r="F32" s="737"/>
      <c r="G32" s="737"/>
      <c r="H32" s="737"/>
      <c r="I32" s="737"/>
      <c r="J32" s="737"/>
      <c r="K32" s="737"/>
    </row>
    <row r="33" spans="1:5" ht="15" customHeight="1" x14ac:dyDescent="0.25"/>
    <row r="34" spans="1:5" ht="15" customHeight="1" x14ac:dyDescent="0.25"/>
    <row r="35" spans="1:5" ht="43.35" customHeight="1" x14ac:dyDescent="0.3">
      <c r="A35" s="33" t="s">
        <v>171</v>
      </c>
      <c r="B35" s="5" t="s">
        <v>394</v>
      </c>
      <c r="C35" s="115" t="s">
        <v>1342</v>
      </c>
      <c r="D35" s="115" t="s">
        <v>1343</v>
      </c>
      <c r="E35" s="13"/>
    </row>
    <row r="36" spans="1:5" ht="15" customHeight="1" x14ac:dyDescent="0.3">
      <c r="A36" s="537" t="s">
        <v>245</v>
      </c>
      <c r="B36" s="7" t="s">
        <v>246</v>
      </c>
      <c r="C36" s="253">
        <v>25000000</v>
      </c>
      <c r="D36" s="253">
        <v>27018472</v>
      </c>
      <c r="E36" s="13"/>
    </row>
    <row r="37" spans="1:5" ht="15" customHeight="1" x14ac:dyDescent="0.3">
      <c r="A37" s="591"/>
      <c r="B37" s="123" t="s">
        <v>1344</v>
      </c>
      <c r="C37" s="258">
        <v>17000000</v>
      </c>
      <c r="D37" s="258">
        <v>15705240</v>
      </c>
      <c r="E37" s="13"/>
    </row>
    <row r="38" spans="1:5" ht="15" customHeight="1" x14ac:dyDescent="0.3">
      <c r="A38" s="538"/>
      <c r="B38" s="123" t="s">
        <v>247</v>
      </c>
      <c r="C38" s="258">
        <v>8000000</v>
      </c>
      <c r="D38" s="258">
        <v>11313232</v>
      </c>
      <c r="E38" s="13"/>
    </row>
    <row r="39" spans="1:5" ht="15" customHeight="1" x14ac:dyDescent="0.3">
      <c r="A39" s="690" t="s">
        <v>251</v>
      </c>
      <c r="B39" s="7" t="s">
        <v>252</v>
      </c>
      <c r="C39" s="253">
        <v>449500000</v>
      </c>
      <c r="D39" s="253">
        <v>538001324</v>
      </c>
      <c r="E39" s="13"/>
    </row>
    <row r="40" spans="1:5" ht="15" customHeight="1" x14ac:dyDescent="0.3">
      <c r="A40" s="691"/>
      <c r="B40" s="123" t="s">
        <v>253</v>
      </c>
      <c r="C40" s="258">
        <v>364000000</v>
      </c>
      <c r="D40" s="258">
        <v>464737852</v>
      </c>
      <c r="E40" s="13"/>
    </row>
    <row r="41" spans="1:5" ht="15" customHeight="1" x14ac:dyDescent="0.3">
      <c r="A41" s="691"/>
      <c r="B41" s="123" t="s">
        <v>256</v>
      </c>
      <c r="C41" s="258">
        <v>68000000</v>
      </c>
      <c r="D41" s="258">
        <v>62537298</v>
      </c>
      <c r="E41" s="13"/>
    </row>
    <row r="42" spans="1:5" ht="15" customHeight="1" x14ac:dyDescent="0.3">
      <c r="A42" s="692"/>
      <c r="B42" s="123" t="s">
        <v>1286</v>
      </c>
      <c r="C42" s="258">
        <v>17500000</v>
      </c>
      <c r="D42" s="258">
        <v>10726174</v>
      </c>
      <c r="E42" s="13"/>
    </row>
    <row r="43" spans="1:5" ht="15" customHeight="1" x14ac:dyDescent="0.3">
      <c r="A43" s="599" t="s">
        <v>213</v>
      </c>
      <c r="B43" s="7" t="s">
        <v>328</v>
      </c>
      <c r="C43" s="253">
        <v>129000000</v>
      </c>
      <c r="D43" s="253">
        <v>140925932</v>
      </c>
      <c r="E43" s="13"/>
    </row>
    <row r="44" spans="1:5" ht="15" customHeight="1" x14ac:dyDescent="0.3">
      <c r="A44" s="596"/>
      <c r="B44" s="123" t="s">
        <v>453</v>
      </c>
      <c r="C44" s="258">
        <v>129000000</v>
      </c>
      <c r="D44" s="258">
        <v>140925932</v>
      </c>
      <c r="E44" s="13"/>
    </row>
    <row r="45" spans="1:5" ht="15" customHeight="1" x14ac:dyDescent="0.3">
      <c r="A45" s="596"/>
      <c r="B45" s="7" t="s">
        <v>214</v>
      </c>
      <c r="C45" s="253">
        <v>61000000</v>
      </c>
      <c r="D45" s="253">
        <v>42614167</v>
      </c>
      <c r="E45" s="13"/>
    </row>
    <row r="46" spans="1:5" ht="15" customHeight="1" x14ac:dyDescent="0.3">
      <c r="A46" s="596"/>
      <c r="B46" s="123" t="s">
        <v>215</v>
      </c>
      <c r="C46" s="258">
        <v>61000000</v>
      </c>
      <c r="D46" s="258">
        <v>42614167</v>
      </c>
      <c r="E46" s="13"/>
    </row>
    <row r="47" spans="1:5" ht="15" customHeight="1" x14ac:dyDescent="0.3">
      <c r="A47" s="596"/>
      <c r="B47" s="7" t="s">
        <v>265</v>
      </c>
      <c r="C47" s="253">
        <v>1500000</v>
      </c>
      <c r="D47" s="253">
        <v>2503097</v>
      </c>
      <c r="E47" s="13"/>
    </row>
    <row r="48" spans="1:5" ht="15" customHeight="1" x14ac:dyDescent="0.3">
      <c r="A48" s="594"/>
      <c r="B48" s="123" t="s">
        <v>266</v>
      </c>
      <c r="C48" s="258">
        <v>1500000</v>
      </c>
      <c r="D48" s="258">
        <v>2503097</v>
      </c>
      <c r="E48" s="13"/>
    </row>
    <row r="49" spans="1:5" ht="15" customHeight="1" x14ac:dyDescent="0.3">
      <c r="A49" s="599" t="s">
        <v>224</v>
      </c>
      <c r="B49" s="7" t="s">
        <v>225</v>
      </c>
      <c r="C49" s="253">
        <v>301000000</v>
      </c>
      <c r="D49" s="253">
        <v>339315960</v>
      </c>
      <c r="E49" s="13"/>
    </row>
    <row r="50" spans="1:5" ht="15" customHeight="1" x14ac:dyDescent="0.3">
      <c r="A50" s="600"/>
      <c r="B50" s="123" t="s">
        <v>226</v>
      </c>
      <c r="C50" s="258">
        <v>57000000</v>
      </c>
      <c r="D50" s="258">
        <v>67189845</v>
      </c>
      <c r="E50" s="13"/>
    </row>
    <row r="51" spans="1:5" ht="15" customHeight="1" x14ac:dyDescent="0.3">
      <c r="A51" s="600"/>
      <c r="B51" s="123" t="s">
        <v>454</v>
      </c>
      <c r="C51" s="258">
        <v>74000000</v>
      </c>
      <c r="D51" s="258">
        <v>83851844</v>
      </c>
      <c r="E51" s="13"/>
    </row>
    <row r="52" spans="1:5" ht="15" customHeight="1" x14ac:dyDescent="0.3">
      <c r="A52" s="600"/>
      <c r="B52" s="123" t="s">
        <v>230</v>
      </c>
      <c r="C52" s="258">
        <v>170000000</v>
      </c>
      <c r="D52" s="258">
        <v>188274271</v>
      </c>
      <c r="E52" s="13"/>
    </row>
    <row r="53" spans="1:5" ht="15" customHeight="1" x14ac:dyDescent="0.3">
      <c r="A53" s="600"/>
      <c r="B53" s="7" t="s">
        <v>695</v>
      </c>
      <c r="C53" s="253">
        <v>86000000</v>
      </c>
      <c r="D53" s="253">
        <v>91515795</v>
      </c>
      <c r="E53" s="13"/>
    </row>
    <row r="54" spans="1:5" ht="15" customHeight="1" x14ac:dyDescent="0.3">
      <c r="A54" s="601"/>
      <c r="B54" s="123" t="s">
        <v>277</v>
      </c>
      <c r="C54" s="258">
        <v>86000000</v>
      </c>
      <c r="D54" s="258">
        <v>91515795</v>
      </c>
      <c r="E54" s="13"/>
    </row>
    <row r="55" spans="1:5" ht="15" customHeight="1" x14ac:dyDescent="0.3">
      <c r="A55" s="599" t="s">
        <v>234</v>
      </c>
      <c r="B55" s="63" t="s">
        <v>235</v>
      </c>
      <c r="C55" s="259">
        <v>156000000</v>
      </c>
      <c r="D55" s="259">
        <v>197646684</v>
      </c>
      <c r="E55" s="13"/>
    </row>
    <row r="56" spans="1:5" ht="15" customHeight="1" x14ac:dyDescent="0.3">
      <c r="A56" s="601"/>
      <c r="B56" s="123" t="s">
        <v>236</v>
      </c>
      <c r="C56" s="258">
        <v>156000000</v>
      </c>
      <c r="D56" s="258">
        <v>197646684</v>
      </c>
      <c r="E56" s="13"/>
    </row>
    <row r="57" spans="1:5" ht="15" customHeight="1" x14ac:dyDescent="0.3">
      <c r="A57" s="58" t="s">
        <v>455</v>
      </c>
      <c r="B57" s="260" t="s">
        <v>318</v>
      </c>
      <c r="C57" s="261">
        <v>1209000000</v>
      </c>
      <c r="D57" s="261">
        <v>1379541431</v>
      </c>
      <c r="E57" s="13"/>
    </row>
    <row r="58" spans="1:5" ht="52.5" customHeight="1" x14ac:dyDescent="0.3">
      <c r="A58" s="532"/>
      <c r="B58" s="547"/>
      <c r="C58" s="547"/>
      <c r="D58" s="547"/>
    </row>
    <row r="59" spans="1:5" ht="15" customHeight="1" x14ac:dyDescent="0.25"/>
    <row r="60" spans="1:5" ht="15" customHeight="1" x14ac:dyDescent="0.25"/>
    <row r="61" spans="1:5" ht="39.9" customHeight="1" x14ac:dyDescent="0.3">
      <c r="A61" s="194" t="s">
        <v>172</v>
      </c>
      <c r="B61" s="58" t="s">
        <v>207</v>
      </c>
      <c r="C61" s="58" t="s">
        <v>1327</v>
      </c>
      <c r="D61" s="58" t="s">
        <v>1345</v>
      </c>
      <c r="E61" s="13"/>
    </row>
    <row r="62" spans="1:5" ht="15" customHeight="1" x14ac:dyDescent="0.3">
      <c r="A62" s="732" t="s">
        <v>251</v>
      </c>
      <c r="B62" s="262" t="s">
        <v>252</v>
      </c>
      <c r="C62" s="259">
        <v>1369595623</v>
      </c>
      <c r="D62" s="259">
        <v>1250238</v>
      </c>
      <c r="E62" s="13"/>
    </row>
    <row r="63" spans="1:5" ht="15" customHeight="1" x14ac:dyDescent="0.3">
      <c r="A63" s="596"/>
      <c r="B63" s="263" t="s">
        <v>253</v>
      </c>
      <c r="C63" s="264">
        <v>725809160</v>
      </c>
      <c r="D63" s="258">
        <v>951530</v>
      </c>
      <c r="E63" s="13"/>
    </row>
    <row r="64" spans="1:5" ht="15" customHeight="1" x14ac:dyDescent="0.3">
      <c r="A64" s="596"/>
      <c r="B64" s="263" t="s">
        <v>256</v>
      </c>
      <c r="C64" s="264">
        <v>588571474</v>
      </c>
      <c r="D64" s="258">
        <v>287767</v>
      </c>
      <c r="E64" s="13"/>
    </row>
    <row r="65" spans="1:5" ht="15" customHeight="1" x14ac:dyDescent="0.3">
      <c r="A65" s="594"/>
      <c r="B65" s="263" t="s">
        <v>1286</v>
      </c>
      <c r="C65" s="264">
        <v>55214989</v>
      </c>
      <c r="D65" s="258">
        <v>10941</v>
      </c>
      <c r="E65" s="13"/>
    </row>
    <row r="66" spans="1:5" ht="15" customHeight="1" x14ac:dyDescent="0.3">
      <c r="A66" s="732" t="s">
        <v>213</v>
      </c>
      <c r="B66" s="262" t="s">
        <v>265</v>
      </c>
      <c r="C66" s="259">
        <v>350553984</v>
      </c>
      <c r="D66" s="259">
        <v>572580</v>
      </c>
      <c r="E66" s="13"/>
    </row>
    <row r="67" spans="1:5" ht="15" customHeight="1" x14ac:dyDescent="0.3">
      <c r="A67" s="594"/>
      <c r="B67" s="263" t="s">
        <v>266</v>
      </c>
      <c r="C67" s="264">
        <v>350553984</v>
      </c>
      <c r="D67" s="258">
        <v>572580</v>
      </c>
      <c r="E67" s="13"/>
    </row>
    <row r="68" spans="1:5" ht="15" customHeight="1" x14ac:dyDescent="0.3">
      <c r="A68" s="733" t="s">
        <v>224</v>
      </c>
      <c r="B68" s="262" t="s">
        <v>225</v>
      </c>
      <c r="C68" s="259">
        <v>770530165</v>
      </c>
      <c r="D68" s="259">
        <v>32279470</v>
      </c>
      <c r="E68" s="13"/>
    </row>
    <row r="69" spans="1:5" ht="15" customHeight="1" x14ac:dyDescent="0.3">
      <c r="A69" s="596"/>
      <c r="B69" s="263" t="s">
        <v>226</v>
      </c>
      <c r="C69" s="264">
        <v>244552363</v>
      </c>
      <c r="D69" s="258">
        <v>11650234</v>
      </c>
      <c r="E69" s="13"/>
    </row>
    <row r="70" spans="1:5" ht="15" customHeight="1" x14ac:dyDescent="0.3">
      <c r="A70" s="596"/>
      <c r="B70" s="263" t="s">
        <v>454</v>
      </c>
      <c r="C70" s="264">
        <v>193613211</v>
      </c>
      <c r="D70" s="258">
        <v>7115825</v>
      </c>
      <c r="E70" s="13"/>
    </row>
    <row r="71" spans="1:5" ht="15" customHeight="1" x14ac:dyDescent="0.3">
      <c r="A71" s="594"/>
      <c r="B71" s="263" t="s">
        <v>230</v>
      </c>
      <c r="C71" s="264">
        <v>332364591</v>
      </c>
      <c r="D71" s="258">
        <v>13513411</v>
      </c>
      <c r="E71" s="13"/>
    </row>
    <row r="72" spans="1:5" ht="15" customHeight="1" x14ac:dyDescent="0.3">
      <c r="A72" s="265" t="s">
        <v>455</v>
      </c>
      <c r="B72" s="262" t="s">
        <v>318</v>
      </c>
      <c r="C72" s="259">
        <v>2490679772</v>
      </c>
      <c r="D72" s="259">
        <v>34102288</v>
      </c>
      <c r="E72" s="13"/>
    </row>
    <row r="73" spans="1:5" ht="29.1" customHeight="1" x14ac:dyDescent="0.25">
      <c r="A73" s="563"/>
      <c r="B73" s="734"/>
      <c r="C73" s="734"/>
      <c r="D73" s="734"/>
    </row>
    <row r="74" spans="1:5" ht="29.1" customHeight="1" x14ac:dyDescent="0.25"/>
    <row r="75" spans="1:5" ht="15" customHeight="1" x14ac:dyDescent="0.25"/>
    <row r="76" spans="1:5" ht="15" customHeight="1" x14ac:dyDescent="0.25"/>
    <row r="77" spans="1:5" ht="15" customHeight="1" x14ac:dyDescent="0.25"/>
    <row r="78" spans="1:5" ht="15" customHeight="1" x14ac:dyDescent="0.25"/>
    <row r="79" spans="1:5" ht="15" customHeight="1" x14ac:dyDescent="0.25"/>
    <row r="80" spans="1:5"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sheetData>
  <sheetProtection algorithmName="SHA-512" hashValue="UyPLrlilQqgQNfXEVudsYvEy41c8t0+12oTbxsv99WN+DCsNiZC0dPXdquPYAW/wbqQ8s+iYyCvXLysuHAq4hw==" saltValue="2zMXpq28MKUHnMDMLCm+Pg==" spinCount="100000" sheet="1" objects="1" scenarios="1" formatColumns="0" formatRows="0"/>
  <mergeCells count="20">
    <mergeCell ref="A1:F1"/>
    <mergeCell ref="A2:F2"/>
    <mergeCell ref="A4:B4"/>
    <mergeCell ref="A6:B6"/>
    <mergeCell ref="A10:A12"/>
    <mergeCell ref="A13:A16"/>
    <mergeCell ref="A17:A22"/>
    <mergeCell ref="A23:A28"/>
    <mergeCell ref="A29:A30"/>
    <mergeCell ref="A32:K32"/>
    <mergeCell ref="A36:A38"/>
    <mergeCell ref="A39:A42"/>
    <mergeCell ref="A43:A48"/>
    <mergeCell ref="A49:A54"/>
    <mergeCell ref="A55:A56"/>
    <mergeCell ref="A58:D58"/>
    <mergeCell ref="A62:A65"/>
    <mergeCell ref="A66:A67"/>
    <mergeCell ref="A68:A71"/>
    <mergeCell ref="A73:D7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48"/>
  <sheetViews>
    <sheetView showRuler="0" workbookViewId="0">
      <selection activeCell="D18" sqref="D18"/>
    </sheetView>
  </sheetViews>
  <sheetFormatPr defaultColWidth="13.6640625" defaultRowHeight="13.2" x14ac:dyDescent="0.25"/>
  <cols>
    <col min="1" max="1" width="22.44140625" customWidth="1"/>
    <col min="2" max="4" width="19.88671875" customWidth="1"/>
    <col min="5" max="5" width="14.33203125" customWidth="1"/>
    <col min="6" max="7" width="23.33203125" customWidth="1"/>
  </cols>
  <sheetData>
    <row r="1" spans="1:6" ht="20.85" customHeight="1" x14ac:dyDescent="0.3">
      <c r="A1" s="595" t="s">
        <v>1346</v>
      </c>
      <c r="B1" s="595"/>
      <c r="C1" s="595"/>
      <c r="D1" s="595"/>
      <c r="E1" s="595"/>
      <c r="F1" s="595"/>
    </row>
    <row r="2" spans="1:6" ht="29.1" customHeight="1" x14ac:dyDescent="0.3">
      <c r="B2" s="64"/>
      <c r="C2" s="64"/>
      <c r="D2" s="64"/>
      <c r="E2" s="2"/>
    </row>
    <row r="3" spans="1:6" ht="32.4" customHeight="1" x14ac:dyDescent="0.3">
      <c r="A3" s="581" t="s">
        <v>1347</v>
      </c>
      <c r="B3" s="581"/>
      <c r="C3" s="581"/>
      <c r="D3" s="581"/>
      <c r="E3" s="13"/>
    </row>
    <row r="4" spans="1:6" ht="29.1" customHeight="1" x14ac:dyDescent="0.3">
      <c r="A4" s="65" t="s">
        <v>1009</v>
      </c>
      <c r="B4" s="65" t="s">
        <v>1348</v>
      </c>
      <c r="C4" s="65" t="s">
        <v>1349</v>
      </c>
      <c r="D4" s="50" t="s">
        <v>1350</v>
      </c>
      <c r="E4" s="13"/>
    </row>
    <row r="5" spans="1:6" ht="26.7" customHeight="1" x14ac:dyDescent="0.3">
      <c r="A5" s="9" t="s">
        <v>328</v>
      </c>
      <c r="B5" s="336">
        <v>24000000</v>
      </c>
      <c r="C5" s="336">
        <v>66000000</v>
      </c>
      <c r="D5" s="336">
        <v>90000000</v>
      </c>
      <c r="E5" s="13"/>
    </row>
    <row r="6" spans="1:6" ht="21.6" customHeight="1" x14ac:dyDescent="0.3">
      <c r="A6" s="9" t="s">
        <v>252</v>
      </c>
      <c r="B6" s="336">
        <v>74000000</v>
      </c>
      <c r="C6" s="336">
        <v>453000000</v>
      </c>
      <c r="D6" s="336">
        <v>527000000</v>
      </c>
      <c r="E6" s="13"/>
    </row>
    <row r="7" spans="1:6" ht="21.6" customHeight="1" x14ac:dyDescent="0.3">
      <c r="A7" s="9" t="s">
        <v>225</v>
      </c>
      <c r="B7" s="336">
        <v>0</v>
      </c>
      <c r="C7" s="336">
        <v>18000000</v>
      </c>
      <c r="D7" s="336">
        <v>18000000</v>
      </c>
      <c r="E7" s="13"/>
    </row>
    <row r="8" spans="1:6" ht="21.6" customHeight="1" x14ac:dyDescent="0.3">
      <c r="A8" s="9" t="s">
        <v>246</v>
      </c>
      <c r="B8" s="336">
        <v>82000000</v>
      </c>
      <c r="C8" s="336">
        <v>234000000</v>
      </c>
      <c r="D8" s="336">
        <v>316000000</v>
      </c>
      <c r="E8" s="13"/>
    </row>
    <row r="9" spans="1:6" ht="21.6" customHeight="1" x14ac:dyDescent="0.3">
      <c r="A9" s="9" t="s">
        <v>214</v>
      </c>
      <c r="B9" s="336">
        <v>8000000</v>
      </c>
      <c r="C9" s="336">
        <v>128000000</v>
      </c>
      <c r="D9" s="336">
        <v>136000000</v>
      </c>
      <c r="E9" s="13"/>
    </row>
    <row r="10" spans="1:6" ht="21.6" customHeight="1" x14ac:dyDescent="0.3">
      <c r="A10" s="9" t="s">
        <v>332</v>
      </c>
      <c r="B10" s="336">
        <v>7000000</v>
      </c>
      <c r="C10" s="336">
        <v>15000000</v>
      </c>
      <c r="D10" s="336">
        <v>22000000</v>
      </c>
      <c r="E10" s="13"/>
    </row>
    <row r="11" spans="1:6" ht="21.6" customHeight="1" x14ac:dyDescent="0.3">
      <c r="A11" s="9" t="s">
        <v>235</v>
      </c>
      <c r="B11" s="336">
        <v>1000000</v>
      </c>
      <c r="C11" s="336">
        <v>50000000</v>
      </c>
      <c r="D11" s="336">
        <v>51000000</v>
      </c>
      <c r="E11" s="13"/>
    </row>
    <row r="12" spans="1:6" ht="21.6" customHeight="1" x14ac:dyDescent="0.3">
      <c r="A12" s="9" t="s">
        <v>265</v>
      </c>
      <c r="B12" s="336">
        <v>36000000</v>
      </c>
      <c r="C12" s="336">
        <v>31000000</v>
      </c>
      <c r="D12" s="336">
        <v>67000000</v>
      </c>
      <c r="E12" s="13"/>
    </row>
    <row r="13" spans="1:6" ht="21.6" customHeight="1" x14ac:dyDescent="0.3">
      <c r="A13" s="9" t="s">
        <v>1351</v>
      </c>
      <c r="B13" s="336">
        <v>0</v>
      </c>
      <c r="C13" s="336">
        <v>40000000</v>
      </c>
      <c r="D13" s="336">
        <v>40000000</v>
      </c>
      <c r="E13" s="13"/>
    </row>
    <row r="14" spans="1:6" ht="21.6" customHeight="1" x14ac:dyDescent="0.3">
      <c r="A14" s="22" t="s">
        <v>644</v>
      </c>
      <c r="B14" s="337">
        <v>232000000</v>
      </c>
      <c r="C14" s="337">
        <v>1035000000</v>
      </c>
      <c r="D14" s="337">
        <v>1267000000</v>
      </c>
      <c r="E14" s="13"/>
    </row>
    <row r="15" spans="1:6" ht="84" customHeight="1" x14ac:dyDescent="0.3">
      <c r="A15" s="547" t="s">
        <v>1352</v>
      </c>
      <c r="B15" s="547"/>
      <c r="C15" s="547"/>
      <c r="D15" s="547"/>
      <c r="E15" s="2"/>
    </row>
    <row r="16" spans="1:6" ht="21.6" customHeight="1" x14ac:dyDescent="0.3">
      <c r="A16" s="2"/>
      <c r="B16" s="2"/>
      <c r="C16" s="2"/>
      <c r="D16" s="2"/>
      <c r="E16" s="2"/>
    </row>
    <row r="17" spans="1:5" ht="21.6" customHeight="1" x14ac:dyDescent="0.3">
      <c r="A17" s="64"/>
      <c r="B17" s="64"/>
      <c r="C17" s="2"/>
      <c r="D17" s="2"/>
      <c r="E17" s="2"/>
    </row>
    <row r="18" spans="1:5" ht="21.6" customHeight="1" x14ac:dyDescent="0.3">
      <c r="A18" s="739" t="s">
        <v>1353</v>
      </c>
      <c r="B18" s="740"/>
      <c r="C18" s="13"/>
      <c r="D18" s="2"/>
      <c r="E18" s="2"/>
    </row>
    <row r="19" spans="1:5" ht="22.5" customHeight="1" x14ac:dyDescent="0.3">
      <c r="A19" s="6" t="s">
        <v>1009</v>
      </c>
      <c r="B19" s="6" t="s">
        <v>1354</v>
      </c>
      <c r="C19" s="13"/>
      <c r="D19" s="2"/>
      <c r="E19" s="2"/>
    </row>
    <row r="20" spans="1:5" ht="22.5" customHeight="1" x14ac:dyDescent="0.3">
      <c r="A20" s="32" t="s">
        <v>328</v>
      </c>
      <c r="B20" s="268">
        <v>0</v>
      </c>
      <c r="C20" s="13"/>
      <c r="D20" s="2"/>
      <c r="E20" s="2"/>
    </row>
    <row r="21" spans="1:5" ht="22.5" customHeight="1" x14ac:dyDescent="0.3">
      <c r="A21" s="31" t="s">
        <v>252</v>
      </c>
      <c r="B21" s="268">
        <v>0.5</v>
      </c>
      <c r="C21" s="13"/>
      <c r="D21" s="2"/>
      <c r="E21" s="2"/>
    </row>
    <row r="22" spans="1:5" ht="22.5" customHeight="1" x14ac:dyDescent="0.3">
      <c r="A22" s="31" t="s">
        <v>225</v>
      </c>
      <c r="B22" s="268">
        <v>-0.06</v>
      </c>
      <c r="C22" s="13"/>
      <c r="D22" s="2"/>
      <c r="E22" s="2"/>
    </row>
    <row r="23" spans="1:5" ht="22.5" customHeight="1" x14ac:dyDescent="0.3">
      <c r="A23" s="31" t="s">
        <v>246</v>
      </c>
      <c r="B23" s="268">
        <v>0.35</v>
      </c>
      <c r="C23" s="13"/>
      <c r="E23" s="2"/>
    </row>
    <row r="24" spans="1:5" ht="22.5" customHeight="1" x14ac:dyDescent="0.3">
      <c r="A24" s="31" t="s">
        <v>214</v>
      </c>
      <c r="B24" s="268">
        <v>0.05</v>
      </c>
      <c r="C24" s="13"/>
      <c r="D24" s="2"/>
      <c r="E24" s="2"/>
    </row>
    <row r="25" spans="1:5" ht="22.5" customHeight="1" x14ac:dyDescent="0.3">
      <c r="A25" s="31" t="s">
        <v>332</v>
      </c>
      <c r="B25" s="268">
        <v>0.28999999999999998</v>
      </c>
      <c r="C25" s="13"/>
      <c r="D25" s="234"/>
      <c r="E25" s="2"/>
    </row>
    <row r="26" spans="1:5" ht="22.5" customHeight="1" x14ac:dyDescent="0.3">
      <c r="A26" s="31" t="s">
        <v>235</v>
      </c>
      <c r="B26" s="268">
        <v>-0.02</v>
      </c>
      <c r="C26" s="13"/>
      <c r="D26" s="234"/>
      <c r="E26" s="2"/>
    </row>
    <row r="27" spans="1:5" ht="22.5" customHeight="1" x14ac:dyDescent="0.3">
      <c r="A27" s="31" t="s">
        <v>265</v>
      </c>
      <c r="B27" s="268">
        <v>0.19</v>
      </c>
      <c r="C27" s="13"/>
    </row>
    <row r="28" spans="1:5" ht="22.5" customHeight="1" x14ac:dyDescent="0.3">
      <c r="A28" s="32" t="s">
        <v>1355</v>
      </c>
      <c r="B28" s="268">
        <v>-0.38</v>
      </c>
      <c r="C28" s="13"/>
    </row>
    <row r="29" spans="1:5" ht="22.5" customHeight="1" x14ac:dyDescent="0.3">
      <c r="A29" s="31" t="s">
        <v>1356</v>
      </c>
      <c r="B29" s="268">
        <v>1</v>
      </c>
      <c r="C29" s="13"/>
    </row>
    <row r="30" spans="1:5" ht="22.5" customHeight="1" x14ac:dyDescent="0.3">
      <c r="A30" s="32" t="s">
        <v>1357</v>
      </c>
      <c r="B30" s="269">
        <v>-0.26</v>
      </c>
      <c r="C30" s="13"/>
    </row>
    <row r="31" spans="1:5" ht="180" customHeight="1" x14ac:dyDescent="0.25">
      <c r="A31" s="734" t="s">
        <v>1358</v>
      </c>
      <c r="B31" s="734"/>
    </row>
    <row r="32" spans="1:5" ht="15" customHeight="1" x14ac:dyDescent="0.3">
      <c r="A32" s="309"/>
      <c r="B32" s="309"/>
      <c r="D32" s="2"/>
    </row>
    <row r="33" spans="1:2" ht="34.200000000000003" customHeight="1" x14ac:dyDescent="0.25">
      <c r="A33" s="309"/>
      <c r="B33" s="309"/>
    </row>
    <row r="34" spans="1:2" ht="47.4" customHeight="1" x14ac:dyDescent="0.25">
      <c r="A34" s="309"/>
      <c r="B34" s="309"/>
    </row>
    <row r="35" spans="1:2" ht="15" customHeight="1" x14ac:dyDescent="0.25"/>
    <row r="36" spans="1:2" ht="15" customHeight="1" x14ac:dyDescent="0.25"/>
    <row r="37" spans="1:2" ht="15" customHeight="1" x14ac:dyDescent="0.25"/>
    <row r="38" spans="1:2" ht="15" customHeight="1" x14ac:dyDescent="0.25"/>
    <row r="39" spans="1:2" ht="15" customHeight="1" x14ac:dyDescent="0.25"/>
    <row r="40" spans="1:2" ht="15" customHeight="1" x14ac:dyDescent="0.25"/>
    <row r="41" spans="1:2" ht="15" customHeight="1" x14ac:dyDescent="0.25"/>
    <row r="42" spans="1:2" ht="15" customHeight="1" x14ac:dyDescent="0.25"/>
    <row r="43" spans="1:2" ht="15" customHeight="1" x14ac:dyDescent="0.25"/>
    <row r="44" spans="1:2" ht="15" customHeight="1" x14ac:dyDescent="0.25"/>
    <row r="45" spans="1:2" ht="15" customHeight="1" x14ac:dyDescent="0.25"/>
    <row r="46" spans="1:2" ht="15" customHeight="1" x14ac:dyDescent="0.25"/>
    <row r="47" spans="1:2" ht="15" customHeight="1" x14ac:dyDescent="0.25"/>
    <row r="48" spans="1:2" ht="15" customHeight="1" x14ac:dyDescent="0.25"/>
  </sheetData>
  <sheetProtection algorithmName="SHA-512" hashValue="ApE/1OJHON9Pej++HRUZPSUsqT0xyMnD8al5HuyEi4Owvsn3JyxywCGmPAmjmIt8lMm6hYn1js78vMScD6Pxkw==" saltValue="MHYRG11CP+3TM4byOolu9g==" spinCount="100000" sheet="1" objects="1" scenarios="1" formatColumns="0" formatRows="0"/>
  <mergeCells count="5">
    <mergeCell ref="A1:F1"/>
    <mergeCell ref="A3:D3"/>
    <mergeCell ref="A15:D15"/>
    <mergeCell ref="A18:B18"/>
    <mergeCell ref="A31:B3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25"/>
  <sheetViews>
    <sheetView showRuler="0" workbookViewId="0">
      <selection activeCell="D18" sqref="D18"/>
    </sheetView>
  </sheetViews>
  <sheetFormatPr defaultColWidth="13.6640625" defaultRowHeight="13.2" x14ac:dyDescent="0.25"/>
  <cols>
    <col min="1" max="1" width="31.109375" customWidth="1"/>
    <col min="9" max="9" width="25.5546875" customWidth="1"/>
    <col min="16" max="16" width="27.109375" customWidth="1"/>
  </cols>
  <sheetData>
    <row r="1" spans="1:7" ht="26.7" customHeight="1" x14ac:dyDescent="0.25">
      <c r="A1" s="741" t="s">
        <v>1359</v>
      </c>
      <c r="B1" s="742"/>
      <c r="C1" s="742"/>
      <c r="D1" s="742"/>
      <c r="E1" s="742"/>
      <c r="F1" s="742"/>
    </row>
    <row r="2" spans="1:7" ht="57.6" customHeight="1" x14ac:dyDescent="0.25">
      <c r="A2" s="743" t="s">
        <v>1360</v>
      </c>
      <c r="B2" s="518"/>
      <c r="C2" s="518"/>
      <c r="D2" s="518"/>
      <c r="E2" s="518"/>
      <c r="F2" s="518"/>
    </row>
    <row r="3" spans="1:7" ht="15" customHeight="1" x14ac:dyDescent="0.25"/>
    <row r="4" spans="1:7" ht="37.5" customHeight="1" x14ac:dyDescent="0.3">
      <c r="A4" s="267" t="s">
        <v>1361</v>
      </c>
      <c r="B4" s="270">
        <v>2019</v>
      </c>
      <c r="C4" s="270">
        <v>2020</v>
      </c>
      <c r="D4" s="270">
        <v>2021</v>
      </c>
      <c r="E4" s="270">
        <v>2022</v>
      </c>
      <c r="F4" s="270">
        <v>2023</v>
      </c>
      <c r="G4" s="13"/>
    </row>
    <row r="5" spans="1:7" ht="15" customHeight="1" x14ac:dyDescent="0.3">
      <c r="A5" s="744" t="s">
        <v>1362</v>
      </c>
      <c r="B5" s="745"/>
      <c r="C5" s="745"/>
      <c r="D5" s="745"/>
      <c r="E5" s="745"/>
      <c r="F5" s="746"/>
      <c r="G5" s="13"/>
    </row>
    <row r="6" spans="1:7" ht="15" customHeight="1" x14ac:dyDescent="0.3">
      <c r="A6" s="271" t="s">
        <v>350</v>
      </c>
      <c r="B6" s="272">
        <v>2192</v>
      </c>
      <c r="C6" s="272">
        <v>2088</v>
      </c>
      <c r="D6" s="272">
        <v>2198</v>
      </c>
      <c r="E6" s="272">
        <v>2190</v>
      </c>
      <c r="F6" s="272">
        <v>2447</v>
      </c>
      <c r="G6" s="13"/>
    </row>
    <row r="7" spans="1:7" ht="15" customHeight="1" x14ac:dyDescent="0.3">
      <c r="A7" s="271" t="s">
        <v>252</v>
      </c>
      <c r="B7" s="272">
        <v>2874</v>
      </c>
      <c r="C7" s="272">
        <v>2171</v>
      </c>
      <c r="D7" s="272">
        <v>2157</v>
      </c>
      <c r="E7" s="272">
        <v>2232</v>
      </c>
      <c r="F7" s="272">
        <v>2347</v>
      </c>
      <c r="G7" s="13"/>
    </row>
    <row r="8" spans="1:7" ht="15" customHeight="1" x14ac:dyDescent="0.3">
      <c r="A8" s="32" t="s">
        <v>1363</v>
      </c>
      <c r="B8" s="272">
        <v>5808</v>
      </c>
      <c r="C8" s="272">
        <v>5593</v>
      </c>
      <c r="D8" s="272">
        <v>5680</v>
      </c>
      <c r="E8" s="272">
        <v>5609</v>
      </c>
      <c r="F8" s="272">
        <v>5731</v>
      </c>
      <c r="G8" s="13"/>
    </row>
    <row r="9" spans="1:7" ht="15" customHeight="1" x14ac:dyDescent="0.3">
      <c r="A9" s="271" t="s">
        <v>351</v>
      </c>
      <c r="B9" s="272">
        <v>4303</v>
      </c>
      <c r="C9" s="272">
        <v>3263</v>
      </c>
      <c r="D9" s="272">
        <v>3285</v>
      </c>
      <c r="E9" s="272">
        <v>3384</v>
      </c>
      <c r="F9" s="273">
        <v>3489</v>
      </c>
      <c r="G9" s="13"/>
    </row>
    <row r="10" spans="1:7" ht="15" customHeight="1" x14ac:dyDescent="0.3">
      <c r="A10" s="271" t="s">
        <v>235</v>
      </c>
      <c r="B10" s="272">
        <v>1459</v>
      </c>
      <c r="C10" s="272">
        <v>1353</v>
      </c>
      <c r="D10" s="272">
        <v>1304</v>
      </c>
      <c r="E10" s="272">
        <v>1316</v>
      </c>
      <c r="F10" s="273">
        <v>1094</v>
      </c>
      <c r="G10" s="13"/>
    </row>
    <row r="11" spans="1:7" ht="15" customHeight="1" x14ac:dyDescent="0.3">
      <c r="A11" s="274" t="s">
        <v>1364</v>
      </c>
      <c r="B11" s="273">
        <v>16636</v>
      </c>
      <c r="C11" s="273">
        <v>14468</v>
      </c>
      <c r="D11" s="273">
        <v>14624</v>
      </c>
      <c r="E11" s="273">
        <v>14731</v>
      </c>
      <c r="F11" s="273">
        <v>15108</v>
      </c>
      <c r="G11" s="13"/>
    </row>
    <row r="12" spans="1:7" ht="15" customHeight="1" x14ac:dyDescent="0.3">
      <c r="A12" s="744" t="s">
        <v>1365</v>
      </c>
      <c r="B12" s="745"/>
      <c r="C12" s="745"/>
      <c r="D12" s="745"/>
      <c r="E12" s="745"/>
      <c r="F12" s="746"/>
      <c r="G12" s="13"/>
    </row>
    <row r="13" spans="1:7" ht="15" customHeight="1" x14ac:dyDescent="0.3">
      <c r="A13" s="271" t="s">
        <v>350</v>
      </c>
      <c r="B13" s="272">
        <v>3448</v>
      </c>
      <c r="C13" s="272">
        <v>3271</v>
      </c>
      <c r="D13" s="272">
        <v>3736</v>
      </c>
      <c r="E13" s="272">
        <v>3329</v>
      </c>
      <c r="F13" s="272">
        <v>4919</v>
      </c>
      <c r="G13" s="13"/>
    </row>
    <row r="14" spans="1:7" ht="15" customHeight="1" x14ac:dyDescent="0.3">
      <c r="A14" s="271" t="s">
        <v>252</v>
      </c>
      <c r="B14" s="272">
        <v>1706</v>
      </c>
      <c r="C14" s="272">
        <v>2450</v>
      </c>
      <c r="D14" s="272">
        <v>1541</v>
      </c>
      <c r="E14" s="272">
        <v>2256</v>
      </c>
      <c r="F14" s="272">
        <v>468</v>
      </c>
      <c r="G14" s="13"/>
    </row>
    <row r="15" spans="1:7" ht="15" customHeight="1" x14ac:dyDescent="0.3">
      <c r="A15" s="32" t="s">
        <v>1363</v>
      </c>
      <c r="B15" s="272">
        <v>3687</v>
      </c>
      <c r="C15" s="272">
        <v>2635</v>
      </c>
      <c r="D15" s="272">
        <v>5478</v>
      </c>
      <c r="E15" s="272">
        <v>5121</v>
      </c>
      <c r="F15" s="272">
        <v>1522</v>
      </c>
      <c r="G15" s="13"/>
    </row>
    <row r="16" spans="1:7" ht="15" customHeight="1" x14ac:dyDescent="0.3">
      <c r="A16" s="271" t="s">
        <v>351</v>
      </c>
      <c r="B16" s="272">
        <v>2336</v>
      </c>
      <c r="C16" s="272">
        <v>1971</v>
      </c>
      <c r="D16" s="272">
        <v>1977</v>
      </c>
      <c r="E16" s="272">
        <v>2489</v>
      </c>
      <c r="F16" s="272">
        <v>2715</v>
      </c>
      <c r="G16" s="13"/>
    </row>
    <row r="17" spans="1:7" ht="15" customHeight="1" x14ac:dyDescent="0.3">
      <c r="A17" s="271" t="s">
        <v>235</v>
      </c>
      <c r="B17" s="272">
        <v>3848</v>
      </c>
      <c r="C17" s="272">
        <v>3213</v>
      </c>
      <c r="D17" s="272">
        <v>3893</v>
      </c>
      <c r="E17" s="272">
        <v>4628</v>
      </c>
      <c r="F17" s="273">
        <v>4322</v>
      </c>
      <c r="G17" s="13"/>
    </row>
    <row r="18" spans="1:7" ht="14.1" customHeight="1" x14ac:dyDescent="0.3">
      <c r="A18" s="274" t="s">
        <v>1366</v>
      </c>
      <c r="B18" s="273">
        <v>15025</v>
      </c>
      <c r="C18" s="273">
        <v>13540</v>
      </c>
      <c r="D18" s="273">
        <v>16625</v>
      </c>
      <c r="E18" s="273">
        <v>17823</v>
      </c>
      <c r="F18" s="273">
        <v>13946</v>
      </c>
      <c r="G18" s="13"/>
    </row>
    <row r="19" spans="1:7" ht="19.2" customHeight="1" x14ac:dyDescent="0.3">
      <c r="A19" s="274" t="s">
        <v>1367</v>
      </c>
      <c r="B19" s="273">
        <v>31661</v>
      </c>
      <c r="C19" s="273">
        <v>28008</v>
      </c>
      <c r="D19" s="273">
        <v>31249</v>
      </c>
      <c r="E19" s="273">
        <v>32554</v>
      </c>
      <c r="F19" s="273">
        <v>29054</v>
      </c>
      <c r="G19" s="13"/>
    </row>
    <row r="20" spans="1:7" ht="45.75" customHeight="1" x14ac:dyDescent="0.3">
      <c r="A20" s="695" t="s">
        <v>1368</v>
      </c>
      <c r="B20" s="695"/>
      <c r="C20" s="695"/>
      <c r="D20" s="695"/>
      <c r="E20" s="695"/>
      <c r="F20" s="695"/>
    </row>
    <row r="21" spans="1:7" ht="19.2" customHeight="1" x14ac:dyDescent="0.25">
      <c r="A21" s="100"/>
      <c r="B21" s="100"/>
      <c r="C21" s="100"/>
      <c r="D21" s="100"/>
      <c r="E21" s="100"/>
      <c r="F21" s="100"/>
    </row>
    <row r="22" spans="1:7" ht="19.2" customHeight="1" x14ac:dyDescent="0.25">
      <c r="A22" s="100"/>
      <c r="B22" s="100"/>
      <c r="C22" s="100"/>
      <c r="D22" s="100"/>
      <c r="E22" s="100"/>
      <c r="F22" s="100"/>
    </row>
    <row r="23" spans="1:7" ht="19.2" customHeight="1" x14ac:dyDescent="0.25">
      <c r="A23" s="100"/>
      <c r="B23" s="100"/>
      <c r="C23" s="100"/>
      <c r="D23" s="100"/>
      <c r="E23" s="100"/>
      <c r="F23" s="100"/>
    </row>
    <row r="24" spans="1:7" ht="15" customHeight="1" x14ac:dyDescent="0.25">
      <c r="A24" s="29"/>
    </row>
    <row r="25" spans="1:7" ht="15" customHeight="1" x14ac:dyDescent="0.25">
      <c r="A25" s="29"/>
    </row>
  </sheetData>
  <sheetProtection algorithmName="SHA-512" hashValue="jYa/0vcRP2M7dmoX0Z4BAnDSPNzxf8CIFX0/HtRtPIn31AHdWTzX6nF/F3lIiwKvfZQ+kvmnY6lNMwfKY1vH/w==" saltValue="e0Ar27h7ZxQkzJVgv8Fv9A==" spinCount="100000" sheet="1" objects="1" scenarios="1" formatColumns="0" formatRows="0"/>
  <mergeCells count="5">
    <mergeCell ref="A1:F1"/>
    <mergeCell ref="A2:F2"/>
    <mergeCell ref="A5:F5"/>
    <mergeCell ref="A12:F12"/>
    <mergeCell ref="A20:F20"/>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49"/>
  <sheetViews>
    <sheetView showRuler="0" workbookViewId="0">
      <selection activeCell="D18" sqref="D18"/>
    </sheetView>
  </sheetViews>
  <sheetFormatPr defaultColWidth="13.6640625" defaultRowHeight="13.2" x14ac:dyDescent="0.25"/>
  <cols>
    <col min="1" max="1" width="37" customWidth="1"/>
    <col min="2" max="6" width="20.88671875" customWidth="1"/>
    <col min="8" max="8" width="31.44140625" customWidth="1"/>
    <col min="9" max="13" width="19.88671875" customWidth="1"/>
  </cols>
  <sheetData>
    <row r="1" spans="1:7" ht="23.25" customHeight="1" x14ac:dyDescent="0.25">
      <c r="A1" s="742" t="s">
        <v>1369</v>
      </c>
      <c r="B1" s="742"/>
      <c r="C1" s="742"/>
      <c r="D1" s="742"/>
      <c r="E1" s="742"/>
      <c r="F1" s="742"/>
    </row>
    <row r="2" spans="1:7" ht="26.7" customHeight="1" x14ac:dyDescent="0.3">
      <c r="A2" s="64"/>
      <c r="B2" s="64"/>
      <c r="C2" s="64"/>
      <c r="D2" s="64"/>
      <c r="E2" s="64"/>
      <c r="F2" s="64"/>
    </row>
    <row r="3" spans="1:7" ht="48.45" customHeight="1" x14ac:dyDescent="0.3">
      <c r="A3" s="49" t="s">
        <v>1370</v>
      </c>
      <c r="B3" s="5" t="s">
        <v>1371</v>
      </c>
      <c r="C3" s="5" t="s">
        <v>1372</v>
      </c>
      <c r="D3" s="5" t="s">
        <v>1373</v>
      </c>
      <c r="E3" s="5" t="s">
        <v>1374</v>
      </c>
      <c r="F3" s="5" t="s">
        <v>1375</v>
      </c>
      <c r="G3" s="13"/>
    </row>
    <row r="4" spans="1:7" ht="21.6" customHeight="1" x14ac:dyDescent="0.3">
      <c r="A4" s="40" t="s">
        <v>344</v>
      </c>
      <c r="B4" s="191">
        <v>39</v>
      </c>
      <c r="C4" s="275">
        <v>333310</v>
      </c>
      <c r="D4" s="191">
        <v>78</v>
      </c>
      <c r="E4" s="275">
        <v>349169</v>
      </c>
      <c r="F4" s="276">
        <v>0.95458073311204605</v>
      </c>
      <c r="G4" s="13"/>
    </row>
    <row r="5" spans="1:7" ht="21.6" customHeight="1" x14ac:dyDescent="0.3">
      <c r="A5" s="40" t="s">
        <v>345</v>
      </c>
      <c r="B5" s="191">
        <v>354</v>
      </c>
      <c r="C5" s="275">
        <v>105837</v>
      </c>
      <c r="D5" s="252">
        <v>1818</v>
      </c>
      <c r="E5" s="275">
        <v>98679</v>
      </c>
      <c r="F5" s="276">
        <v>1.07253823001854</v>
      </c>
      <c r="G5" s="13"/>
    </row>
    <row r="6" spans="1:7" ht="21.6" customHeight="1" x14ac:dyDescent="0.3">
      <c r="A6" s="40" t="s">
        <v>346</v>
      </c>
      <c r="B6" s="191">
        <v>1136</v>
      </c>
      <c r="C6" s="275">
        <v>67673</v>
      </c>
      <c r="D6" s="252">
        <v>2895</v>
      </c>
      <c r="E6" s="275">
        <v>76936</v>
      </c>
      <c r="F6" s="276">
        <v>0.879601226993865</v>
      </c>
      <c r="G6" s="13"/>
    </row>
    <row r="7" spans="1:7" ht="21.6" customHeight="1" x14ac:dyDescent="0.3">
      <c r="A7" s="40" t="s">
        <v>1376</v>
      </c>
      <c r="B7" s="191">
        <v>843</v>
      </c>
      <c r="C7" s="275">
        <v>37293</v>
      </c>
      <c r="D7" s="252">
        <v>7665</v>
      </c>
      <c r="E7" s="275">
        <v>36611</v>
      </c>
      <c r="F7" s="276">
        <v>1.0186282811177001</v>
      </c>
      <c r="G7" s="13"/>
    </row>
    <row r="8" spans="1:7" ht="21.6" customHeight="1" x14ac:dyDescent="0.3">
      <c r="A8" s="40" t="s">
        <v>644</v>
      </c>
      <c r="B8" s="191">
        <v>2372</v>
      </c>
      <c r="C8" s="275">
        <v>66939</v>
      </c>
      <c r="D8" s="252">
        <v>12456</v>
      </c>
      <c r="E8" s="275">
        <v>56999</v>
      </c>
      <c r="F8" s="276">
        <v>1.17438902436885</v>
      </c>
      <c r="G8" s="13"/>
    </row>
    <row r="9" spans="1:7" ht="71.25" customHeight="1" x14ac:dyDescent="0.25">
      <c r="A9" s="747" t="s">
        <v>1377</v>
      </c>
      <c r="B9" s="747"/>
      <c r="C9" s="747"/>
      <c r="D9" s="747"/>
      <c r="E9" s="747"/>
      <c r="F9" s="747"/>
    </row>
    <row r="10" spans="1:7" ht="22.5" customHeight="1" x14ac:dyDescent="0.3">
      <c r="A10" s="17"/>
      <c r="B10" s="17"/>
      <c r="C10" s="17"/>
      <c r="D10" s="17"/>
      <c r="E10" s="17"/>
      <c r="F10" s="17"/>
    </row>
    <row r="11" spans="1:7" ht="22.5" customHeight="1" x14ac:dyDescent="0.25"/>
    <row r="12" spans="1:7" ht="40.950000000000003" customHeight="1" x14ac:dyDescent="0.3">
      <c r="A12" s="49" t="s">
        <v>1378</v>
      </c>
      <c r="B12" s="5" t="s">
        <v>1371</v>
      </c>
      <c r="C12" s="5" t="s">
        <v>1372</v>
      </c>
      <c r="D12" s="5" t="s">
        <v>1373</v>
      </c>
      <c r="E12" s="5" t="s">
        <v>1374</v>
      </c>
      <c r="F12" s="5" t="s">
        <v>1375</v>
      </c>
      <c r="G12" s="13"/>
    </row>
    <row r="13" spans="1:7" ht="20.85" customHeight="1" x14ac:dyDescent="0.3">
      <c r="A13" s="149" t="s">
        <v>328</v>
      </c>
      <c r="B13" s="191">
        <v>183</v>
      </c>
      <c r="C13" s="275">
        <v>74435</v>
      </c>
      <c r="D13" s="191">
        <v>1292</v>
      </c>
      <c r="E13" s="275">
        <v>68581</v>
      </c>
      <c r="F13" s="276">
        <v>1.08535891865094</v>
      </c>
      <c r="G13" s="13"/>
    </row>
    <row r="14" spans="1:7" ht="20.85" customHeight="1" x14ac:dyDescent="0.3">
      <c r="A14" s="149" t="s">
        <v>252</v>
      </c>
      <c r="B14" s="191">
        <v>454</v>
      </c>
      <c r="C14" s="275">
        <v>90182</v>
      </c>
      <c r="D14" s="191">
        <v>1861</v>
      </c>
      <c r="E14" s="275">
        <v>104045</v>
      </c>
      <c r="F14" s="276">
        <v>0.86675957518381497</v>
      </c>
      <c r="G14" s="13"/>
    </row>
    <row r="15" spans="1:7" ht="20.85" customHeight="1" x14ac:dyDescent="0.3">
      <c r="A15" s="149" t="s">
        <v>225</v>
      </c>
      <c r="B15" s="191">
        <v>353</v>
      </c>
      <c r="C15" s="275">
        <v>80032</v>
      </c>
      <c r="D15" s="191">
        <v>1960</v>
      </c>
      <c r="E15" s="275">
        <v>82751</v>
      </c>
      <c r="F15" s="276">
        <v>0.96714239102850696</v>
      </c>
      <c r="G15" s="13"/>
    </row>
    <row r="16" spans="1:7" ht="20.85" customHeight="1" x14ac:dyDescent="0.3">
      <c r="A16" s="149" t="s">
        <v>329</v>
      </c>
      <c r="B16" s="191">
        <v>14</v>
      </c>
      <c r="C16" s="275">
        <v>33279</v>
      </c>
      <c r="D16" s="191">
        <v>38</v>
      </c>
      <c r="E16" s="275">
        <v>78879</v>
      </c>
      <c r="F16" s="276">
        <v>0.42189936484995999</v>
      </c>
      <c r="G16" s="13"/>
    </row>
    <row r="17" spans="1:7" ht="20.85" customHeight="1" x14ac:dyDescent="0.3">
      <c r="A17" s="149" t="s">
        <v>246</v>
      </c>
      <c r="B17" s="191">
        <v>369</v>
      </c>
      <c r="C17" s="275">
        <v>27056</v>
      </c>
      <c r="D17" s="191">
        <v>1839</v>
      </c>
      <c r="E17" s="275">
        <v>29852</v>
      </c>
      <c r="F17" s="276">
        <v>0.90633793380677996</v>
      </c>
      <c r="G17" s="13"/>
    </row>
    <row r="18" spans="1:7" ht="20.85" customHeight="1" x14ac:dyDescent="0.3">
      <c r="A18" s="149" t="s">
        <v>214</v>
      </c>
      <c r="B18" s="191">
        <v>312</v>
      </c>
      <c r="C18" s="275">
        <v>20579</v>
      </c>
      <c r="D18" s="191">
        <v>2472</v>
      </c>
      <c r="E18" s="275">
        <v>12142</v>
      </c>
      <c r="F18" s="276">
        <v>1.6948608137045</v>
      </c>
      <c r="G18" s="13"/>
    </row>
    <row r="19" spans="1:7" ht="20.100000000000001" customHeight="1" x14ac:dyDescent="0.3">
      <c r="A19" s="149" t="s">
        <v>235</v>
      </c>
      <c r="B19" s="191">
        <v>104</v>
      </c>
      <c r="C19" s="275">
        <v>57443</v>
      </c>
      <c r="D19" s="191">
        <v>990</v>
      </c>
      <c r="E19" s="275">
        <v>46531</v>
      </c>
      <c r="F19" s="276">
        <v>1.23451032644903</v>
      </c>
      <c r="G19" s="13"/>
    </row>
    <row r="20" spans="1:7" ht="19.2" customHeight="1" x14ac:dyDescent="0.3">
      <c r="A20" s="149" t="s">
        <v>265</v>
      </c>
      <c r="B20" s="191">
        <v>238</v>
      </c>
      <c r="C20" s="275">
        <v>21339</v>
      </c>
      <c r="D20" s="191">
        <v>1202</v>
      </c>
      <c r="E20" s="275">
        <v>21350</v>
      </c>
      <c r="F20" s="276">
        <v>0.99948477751756404</v>
      </c>
      <c r="G20" s="13"/>
    </row>
    <row r="21" spans="1:7" ht="19.2" customHeight="1" x14ac:dyDescent="0.3">
      <c r="A21" s="149" t="s">
        <v>276</v>
      </c>
      <c r="B21" s="191">
        <v>336</v>
      </c>
      <c r="C21" s="275">
        <v>141300</v>
      </c>
      <c r="D21" s="191">
        <v>745</v>
      </c>
      <c r="E21" s="275">
        <v>137534</v>
      </c>
      <c r="F21" s="276">
        <v>1.02738232000814</v>
      </c>
      <c r="G21" s="13"/>
    </row>
    <row r="22" spans="1:7" ht="60" customHeight="1" x14ac:dyDescent="0.25">
      <c r="A22" s="747" t="s">
        <v>1379</v>
      </c>
      <c r="B22" s="747"/>
      <c r="C22" s="747"/>
      <c r="D22" s="747"/>
      <c r="E22" s="747"/>
      <c r="F22" s="747"/>
    </row>
    <row r="23" spans="1:7" ht="14.1" customHeight="1" x14ac:dyDescent="0.3">
      <c r="A23" s="2"/>
      <c r="B23" s="2"/>
      <c r="C23" s="2"/>
      <c r="D23" s="2"/>
      <c r="E23" s="2"/>
      <c r="F23" s="2"/>
    </row>
    <row r="24" spans="1:7" ht="14.1" customHeight="1" x14ac:dyDescent="0.3">
      <c r="A24" s="2"/>
      <c r="B24" s="2"/>
      <c r="C24" s="2"/>
      <c r="D24" s="2"/>
      <c r="E24" s="2"/>
      <c r="F24" s="2"/>
    </row>
    <row r="25" spans="1:7" ht="14.1" customHeight="1" x14ac:dyDescent="0.3">
      <c r="A25" s="2"/>
      <c r="B25" s="2"/>
      <c r="C25" s="2"/>
      <c r="D25" s="2"/>
      <c r="E25" s="2"/>
      <c r="F25" s="2"/>
    </row>
    <row r="26" spans="1:7" ht="14.1" customHeight="1" x14ac:dyDescent="0.3">
      <c r="A26" s="2"/>
      <c r="B26" s="2"/>
      <c r="C26" s="2"/>
      <c r="D26" s="2"/>
      <c r="E26" s="2"/>
      <c r="F26" s="2"/>
    </row>
    <row r="27" spans="1:7" ht="14.1" customHeight="1" x14ac:dyDescent="0.3">
      <c r="A27" s="2"/>
      <c r="B27" s="2"/>
      <c r="C27" s="2"/>
      <c r="D27" s="234"/>
      <c r="E27" s="2"/>
      <c r="F27" s="2"/>
    </row>
    <row r="28" spans="1:7" ht="15" customHeight="1" x14ac:dyDescent="0.25"/>
    <row r="29" spans="1:7" ht="15" customHeight="1" x14ac:dyDescent="0.25"/>
    <row r="30" spans="1:7" ht="15" customHeight="1" x14ac:dyDescent="0.25"/>
    <row r="31" spans="1:7" ht="15" customHeight="1" x14ac:dyDescent="0.25"/>
    <row r="32" spans="1:7"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sheetProtection algorithmName="SHA-512" hashValue="P4A0kOgpXFTE1guhiku4j7N1B7xegZVq6hjuf2eIC7Wm0cZzmMQ1MlKujG9tiVT835BG/IGCa4PB4pVszmrH+w==" saltValue="/USvZdYPBQOmM1V6o8Cpug==" spinCount="100000" sheet="1" objects="1" scenarios="1" formatColumns="0" formatRows="0"/>
  <mergeCells count="3">
    <mergeCell ref="A1:F1"/>
    <mergeCell ref="A9:F9"/>
    <mergeCell ref="A22:F2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55"/>
  <sheetViews>
    <sheetView showRuler="0" workbookViewId="0">
      <selection activeCell="D18" sqref="D18"/>
    </sheetView>
  </sheetViews>
  <sheetFormatPr defaultColWidth="13.6640625" defaultRowHeight="13.2" x14ac:dyDescent="0.25"/>
  <cols>
    <col min="1" max="1" width="30.109375" customWidth="1"/>
    <col min="2" max="4" width="16.33203125" customWidth="1"/>
    <col min="5" max="6" width="16.44140625" customWidth="1"/>
    <col min="7" max="9" width="16.33203125" customWidth="1"/>
    <col min="10" max="10" width="21.88671875" customWidth="1"/>
    <col min="11" max="11" width="33" customWidth="1"/>
    <col min="12" max="16" width="17.33203125" customWidth="1"/>
    <col min="18" max="18" width="43.6640625" customWidth="1"/>
    <col min="19" max="26" width="17.44140625" customWidth="1"/>
    <col min="27" max="28" width="21.33203125" customWidth="1"/>
    <col min="29" max="29" width="26.6640625" customWidth="1"/>
    <col min="30" max="30" width="21.33203125" customWidth="1"/>
  </cols>
  <sheetData>
    <row r="1" spans="1:14" ht="20.85" customHeight="1" x14ac:dyDescent="0.3">
      <c r="A1" s="595" t="s">
        <v>1380</v>
      </c>
      <c r="B1" s="595"/>
      <c r="C1" s="595"/>
      <c r="D1" s="595"/>
      <c r="E1" s="595"/>
      <c r="F1" s="595"/>
      <c r="G1" s="17"/>
      <c r="H1" s="17"/>
      <c r="I1" s="17"/>
      <c r="J1" s="17"/>
      <c r="K1" s="17"/>
      <c r="L1" s="17"/>
      <c r="M1" s="17"/>
      <c r="N1" s="17"/>
    </row>
    <row r="2" spans="1:14" ht="22.5" customHeight="1" x14ac:dyDescent="0.3">
      <c r="A2" s="64"/>
      <c r="B2" s="64"/>
      <c r="C2" s="64"/>
      <c r="D2" s="64"/>
      <c r="E2" s="2"/>
      <c r="F2" s="2"/>
      <c r="G2" s="2"/>
      <c r="H2" s="2"/>
      <c r="I2" s="2"/>
      <c r="J2" s="2"/>
      <c r="K2" s="2"/>
      <c r="L2" s="2"/>
      <c r="M2" s="2"/>
      <c r="N2" s="2"/>
    </row>
    <row r="3" spans="1:14" ht="26.7" customHeight="1" x14ac:dyDescent="0.3">
      <c r="A3" s="277" t="s">
        <v>1381</v>
      </c>
      <c r="B3" s="278" t="s">
        <v>1382</v>
      </c>
      <c r="C3" s="278" t="s">
        <v>1383</v>
      </c>
      <c r="D3" s="278" t="s">
        <v>318</v>
      </c>
      <c r="E3" s="13"/>
      <c r="F3" s="2"/>
      <c r="G3" s="2"/>
      <c r="H3" s="2"/>
    </row>
    <row r="4" spans="1:14" ht="15" customHeight="1" x14ac:dyDescent="0.3">
      <c r="A4" s="58" t="s">
        <v>328</v>
      </c>
      <c r="B4" s="279">
        <v>183</v>
      </c>
      <c r="C4" s="279">
        <v>1292</v>
      </c>
      <c r="D4" s="279">
        <v>1475</v>
      </c>
      <c r="E4" s="280"/>
      <c r="F4" s="281"/>
      <c r="G4" s="281"/>
      <c r="H4" s="2"/>
    </row>
    <row r="5" spans="1:14" ht="22.5" customHeight="1" x14ac:dyDescent="0.3">
      <c r="A5" s="58" t="s">
        <v>252</v>
      </c>
      <c r="B5" s="279">
        <v>454</v>
      </c>
      <c r="C5" s="279">
        <v>1861</v>
      </c>
      <c r="D5" s="279">
        <v>2315</v>
      </c>
      <c r="E5" s="13"/>
      <c r="F5" s="2"/>
      <c r="G5" s="3"/>
      <c r="H5" s="3"/>
    </row>
    <row r="6" spans="1:14" ht="22.5" customHeight="1" x14ac:dyDescent="0.3">
      <c r="A6" s="58" t="s">
        <v>225</v>
      </c>
      <c r="B6" s="279">
        <v>353</v>
      </c>
      <c r="C6" s="279">
        <v>1960</v>
      </c>
      <c r="D6" s="279">
        <v>2313</v>
      </c>
      <c r="E6" s="13"/>
      <c r="F6" s="2"/>
      <c r="G6" s="3"/>
      <c r="H6" s="3"/>
    </row>
    <row r="7" spans="1:14" ht="22.5" customHeight="1" x14ac:dyDescent="0.3">
      <c r="A7" s="58" t="s">
        <v>329</v>
      </c>
      <c r="B7" s="279">
        <v>14</v>
      </c>
      <c r="C7" s="279">
        <v>38</v>
      </c>
      <c r="D7" s="279">
        <v>52</v>
      </c>
      <c r="E7" s="13"/>
      <c r="F7" s="2"/>
      <c r="G7" s="3"/>
      <c r="H7" s="3"/>
    </row>
    <row r="8" spans="1:14" ht="22.5" customHeight="1" x14ac:dyDescent="0.3">
      <c r="A8" s="58" t="s">
        <v>246</v>
      </c>
      <c r="B8" s="279">
        <v>369</v>
      </c>
      <c r="C8" s="279">
        <v>1839</v>
      </c>
      <c r="D8" s="279">
        <v>2208</v>
      </c>
      <c r="E8" s="13"/>
      <c r="F8" s="2"/>
      <c r="G8" s="3"/>
      <c r="H8" s="3"/>
    </row>
    <row r="9" spans="1:14" ht="22.5" customHeight="1" x14ac:dyDescent="0.3">
      <c r="A9" s="58" t="s">
        <v>214</v>
      </c>
      <c r="B9" s="279">
        <v>312</v>
      </c>
      <c r="C9" s="279">
        <v>2472</v>
      </c>
      <c r="D9" s="279">
        <v>2784</v>
      </c>
      <c r="E9" s="13"/>
      <c r="F9" s="2"/>
      <c r="G9" s="3"/>
      <c r="H9" s="3"/>
    </row>
    <row r="10" spans="1:14" ht="22.5" customHeight="1" x14ac:dyDescent="0.3">
      <c r="A10" s="58" t="s">
        <v>235</v>
      </c>
      <c r="B10" s="279">
        <v>104</v>
      </c>
      <c r="C10" s="279">
        <v>990</v>
      </c>
      <c r="D10" s="279">
        <v>1094</v>
      </c>
      <c r="E10" s="13"/>
      <c r="F10" s="2"/>
      <c r="G10" s="3"/>
      <c r="H10" s="3"/>
    </row>
    <row r="11" spans="1:14" ht="22.5" customHeight="1" x14ac:dyDescent="0.3">
      <c r="A11" s="58" t="s">
        <v>265</v>
      </c>
      <c r="B11" s="279">
        <v>238</v>
      </c>
      <c r="C11" s="279">
        <v>1202</v>
      </c>
      <c r="D11" s="279">
        <v>1440</v>
      </c>
      <c r="E11" s="13"/>
      <c r="F11" s="2"/>
      <c r="G11" s="3"/>
      <c r="H11" s="3"/>
    </row>
    <row r="12" spans="1:14" ht="23.25" customHeight="1" x14ac:dyDescent="0.3">
      <c r="A12" s="58" t="s">
        <v>276</v>
      </c>
      <c r="B12" s="279">
        <v>336</v>
      </c>
      <c r="C12" s="279">
        <v>745</v>
      </c>
      <c r="D12" s="279">
        <v>1081</v>
      </c>
      <c r="E12" s="80"/>
      <c r="F12" s="3"/>
      <c r="G12" s="3"/>
      <c r="H12" s="3"/>
    </row>
    <row r="13" spans="1:14" ht="22.5" customHeight="1" x14ac:dyDescent="0.3">
      <c r="A13" s="58" t="s">
        <v>1286</v>
      </c>
      <c r="B13" s="279">
        <v>9</v>
      </c>
      <c r="C13" s="279">
        <v>57</v>
      </c>
      <c r="D13" s="279">
        <v>66</v>
      </c>
      <c r="E13" s="13"/>
      <c r="I13" s="301"/>
      <c r="J13" s="301"/>
      <c r="K13" s="301"/>
    </row>
    <row r="14" spans="1:14" ht="22.5" customHeight="1" x14ac:dyDescent="0.3">
      <c r="A14" s="58" t="s">
        <v>644</v>
      </c>
      <c r="B14" s="279">
        <v>2372</v>
      </c>
      <c r="C14" s="279">
        <v>12456</v>
      </c>
      <c r="D14" s="279">
        <v>14828</v>
      </c>
      <c r="E14" s="13"/>
      <c r="I14" s="301"/>
      <c r="J14" s="301"/>
      <c r="K14" s="301"/>
    </row>
    <row r="15" spans="1:14" ht="75.75" customHeight="1" x14ac:dyDescent="0.3">
      <c r="A15" s="547" t="s">
        <v>1384</v>
      </c>
      <c r="B15" s="547"/>
      <c r="C15" s="547"/>
      <c r="D15" s="547"/>
      <c r="I15" s="301"/>
      <c r="J15" s="301"/>
      <c r="K15" s="301"/>
    </row>
    <row r="16" spans="1:14" ht="22.5" customHeight="1" x14ac:dyDescent="0.25">
      <c r="I16" s="301"/>
      <c r="J16" s="301"/>
      <c r="K16" s="301"/>
    </row>
    <row r="17" spans="1:11" ht="22.5" customHeight="1" x14ac:dyDescent="0.25">
      <c r="E17" s="301"/>
      <c r="F17" s="301"/>
      <c r="G17" s="301"/>
      <c r="H17" s="301"/>
      <c r="I17" s="301"/>
      <c r="J17" s="301"/>
      <c r="K17" s="301"/>
    </row>
    <row r="18" spans="1:11" ht="39.15" customHeight="1" x14ac:dyDescent="0.3">
      <c r="A18" s="49" t="s">
        <v>1385</v>
      </c>
      <c r="B18" s="5" t="s">
        <v>1382</v>
      </c>
      <c r="C18" s="5" t="s">
        <v>1383</v>
      </c>
      <c r="D18" s="5" t="s">
        <v>318</v>
      </c>
      <c r="E18" s="335"/>
      <c r="F18" s="301"/>
      <c r="G18" s="301"/>
      <c r="H18" s="301"/>
      <c r="I18" s="301"/>
      <c r="J18" s="301"/>
      <c r="K18" s="301"/>
    </row>
    <row r="19" spans="1:11" ht="22.5" customHeight="1" x14ac:dyDescent="0.3">
      <c r="A19" s="40" t="s">
        <v>344</v>
      </c>
      <c r="B19" s="169">
        <v>39</v>
      </c>
      <c r="C19" s="169">
        <v>78</v>
      </c>
      <c r="D19" s="279">
        <v>117</v>
      </c>
      <c r="E19" s="335"/>
      <c r="F19" s="301"/>
      <c r="G19" s="301"/>
      <c r="H19" s="301"/>
      <c r="I19" s="301"/>
      <c r="J19" s="301"/>
      <c r="K19" s="301"/>
    </row>
    <row r="20" spans="1:11" ht="22.5" customHeight="1" x14ac:dyDescent="0.3">
      <c r="A20" s="40" t="s">
        <v>345</v>
      </c>
      <c r="B20" s="169">
        <v>354</v>
      </c>
      <c r="C20" s="169">
        <v>1818</v>
      </c>
      <c r="D20" s="279">
        <v>2172</v>
      </c>
      <c r="E20" s="335"/>
      <c r="F20" s="301"/>
      <c r="G20" s="301"/>
      <c r="H20" s="301"/>
      <c r="I20" s="301"/>
      <c r="J20" s="301"/>
      <c r="K20" s="301"/>
    </row>
    <row r="21" spans="1:11" ht="22.5" customHeight="1" x14ac:dyDescent="0.3">
      <c r="A21" s="40" t="s">
        <v>346</v>
      </c>
      <c r="B21" s="169">
        <v>1136</v>
      </c>
      <c r="C21" s="169">
        <v>2895</v>
      </c>
      <c r="D21" s="279">
        <v>4031</v>
      </c>
      <c r="E21" s="335"/>
      <c r="F21" s="301"/>
      <c r="G21" s="301"/>
      <c r="H21" s="301"/>
      <c r="I21" s="301"/>
      <c r="J21" s="301"/>
      <c r="K21" s="301"/>
    </row>
    <row r="22" spans="1:11" ht="22.5" customHeight="1" x14ac:dyDescent="0.3">
      <c r="A22" s="40" t="s">
        <v>1376</v>
      </c>
      <c r="B22" s="169">
        <v>843</v>
      </c>
      <c r="C22" s="169">
        <v>7665</v>
      </c>
      <c r="D22" s="279">
        <v>8508</v>
      </c>
      <c r="E22" s="335"/>
      <c r="F22" s="301"/>
      <c r="G22" s="301"/>
      <c r="H22" s="301"/>
      <c r="I22" s="301"/>
      <c r="J22" s="301"/>
      <c r="K22" s="301"/>
    </row>
    <row r="23" spans="1:11" ht="22.5" customHeight="1" x14ac:dyDescent="0.3">
      <c r="A23" s="40" t="s">
        <v>644</v>
      </c>
      <c r="B23" s="169">
        <v>2372</v>
      </c>
      <c r="C23" s="169">
        <v>12456</v>
      </c>
      <c r="D23" s="169">
        <v>14828</v>
      </c>
      <c r="E23" s="13"/>
      <c r="F23" s="2"/>
      <c r="G23" s="2"/>
      <c r="H23" s="2"/>
      <c r="I23" s="2"/>
      <c r="J23" s="2"/>
      <c r="K23" s="2"/>
    </row>
    <row r="24" spans="1:11" ht="54.15" customHeight="1" x14ac:dyDescent="0.3">
      <c r="A24" s="547" t="s">
        <v>1386</v>
      </c>
      <c r="B24" s="547"/>
      <c r="C24" s="547"/>
      <c r="D24" s="547"/>
      <c r="E24" s="301"/>
      <c r="F24" s="301"/>
      <c r="G24" s="301"/>
      <c r="H24" s="301"/>
      <c r="I24" s="301"/>
      <c r="J24" s="301"/>
      <c r="K24" s="301"/>
    </row>
    <row r="25" spans="1:11" ht="22.5" customHeight="1" x14ac:dyDescent="0.3">
      <c r="G25" s="301"/>
      <c r="H25" s="301"/>
      <c r="I25" s="301"/>
      <c r="J25" s="301"/>
      <c r="K25" s="2"/>
    </row>
    <row r="26" spans="1:11" ht="22.5" customHeight="1" x14ac:dyDescent="0.3">
      <c r="G26" s="301"/>
      <c r="H26" s="301"/>
      <c r="I26" s="301"/>
      <c r="J26" s="301"/>
      <c r="K26" s="2"/>
    </row>
    <row r="27" spans="1:11" ht="50.85" customHeight="1" x14ac:dyDescent="0.3">
      <c r="A27" s="49" t="s">
        <v>1387</v>
      </c>
      <c r="B27" s="25">
        <v>2019</v>
      </c>
      <c r="C27" s="25">
        <v>2020</v>
      </c>
      <c r="D27" s="25">
        <v>2021</v>
      </c>
      <c r="E27" s="25">
        <v>2022</v>
      </c>
      <c r="F27" s="25">
        <v>2023</v>
      </c>
      <c r="G27" s="335"/>
      <c r="H27" s="301"/>
      <c r="I27" s="301"/>
      <c r="J27" s="301"/>
      <c r="K27" s="2"/>
    </row>
    <row r="28" spans="1:11" ht="22.5" customHeight="1" x14ac:dyDescent="0.3">
      <c r="A28" s="32" t="s">
        <v>1388</v>
      </c>
      <c r="B28" s="282">
        <v>0.4</v>
      </c>
      <c r="C28" s="283">
        <v>0.45500000000000002</v>
      </c>
      <c r="D28" s="283">
        <v>0.38500000000000001</v>
      </c>
      <c r="E28" s="283">
        <v>0.41699999999999998</v>
      </c>
      <c r="F28" s="283">
        <v>0.42899999999999999</v>
      </c>
      <c r="G28" s="335"/>
      <c r="H28" s="301"/>
      <c r="I28" s="301"/>
      <c r="J28" s="301"/>
      <c r="K28" s="2"/>
    </row>
    <row r="29" spans="1:11" ht="22.5" customHeight="1" x14ac:dyDescent="0.3">
      <c r="A29" s="40" t="s">
        <v>1389</v>
      </c>
      <c r="B29" s="282">
        <v>0.44400000000000001</v>
      </c>
      <c r="C29" s="283">
        <v>0.42899999999999999</v>
      </c>
      <c r="D29" s="283">
        <v>0.42899999999999999</v>
      </c>
      <c r="E29" s="283">
        <v>0.25</v>
      </c>
      <c r="F29" s="283">
        <v>0.44400000000000001</v>
      </c>
      <c r="G29" s="335"/>
      <c r="H29" s="301"/>
      <c r="I29" s="301"/>
      <c r="J29" s="301"/>
      <c r="K29" s="2"/>
    </row>
    <row r="30" spans="1:11" ht="22.5" customHeight="1" x14ac:dyDescent="0.3">
      <c r="A30" s="32" t="s">
        <v>1390</v>
      </c>
      <c r="B30" s="282">
        <v>0.21</v>
      </c>
      <c r="C30" s="283">
        <v>0.253</v>
      </c>
      <c r="D30" s="283">
        <v>0.25600000000000001</v>
      </c>
      <c r="E30" s="283">
        <v>0.30599999999999999</v>
      </c>
      <c r="F30" s="283">
        <v>0.33300000000000002</v>
      </c>
      <c r="G30" s="335"/>
      <c r="H30" s="301"/>
      <c r="I30" s="301"/>
      <c r="J30" s="301"/>
      <c r="K30" s="2"/>
    </row>
    <row r="31" spans="1:11" ht="22.5" customHeight="1" x14ac:dyDescent="0.3">
      <c r="A31" s="40" t="s">
        <v>345</v>
      </c>
      <c r="B31" s="282">
        <v>0.14000000000000001</v>
      </c>
      <c r="C31" s="283">
        <v>0.13800000000000001</v>
      </c>
      <c r="D31" s="283">
        <v>0.14199999999999999</v>
      </c>
      <c r="E31" s="283">
        <v>0.157</v>
      </c>
      <c r="F31" s="283">
        <v>0.16300000000000001</v>
      </c>
      <c r="G31" s="335"/>
      <c r="H31" s="301"/>
      <c r="I31" s="301"/>
      <c r="J31" s="301"/>
      <c r="K31" s="2"/>
    </row>
    <row r="32" spans="1:11" ht="22.5" customHeight="1" x14ac:dyDescent="0.3">
      <c r="A32" s="40" t="s">
        <v>346</v>
      </c>
      <c r="B32" s="282">
        <v>0.26500000000000001</v>
      </c>
      <c r="C32" s="283">
        <v>0.24</v>
      </c>
      <c r="D32" s="283">
        <v>0.25600000000000001</v>
      </c>
      <c r="E32" s="283">
        <v>0.27200000000000002</v>
      </c>
      <c r="F32" s="283">
        <v>0.28199999999999997</v>
      </c>
      <c r="G32" s="335"/>
      <c r="H32" s="301"/>
      <c r="I32" s="301"/>
      <c r="J32" s="301"/>
      <c r="K32" s="2"/>
    </row>
    <row r="33" spans="1:11" ht="22.5" customHeight="1" x14ac:dyDescent="0.3">
      <c r="A33" s="40" t="s">
        <v>1376</v>
      </c>
      <c r="B33" s="282">
        <v>9.8000000000000004E-2</v>
      </c>
      <c r="C33" s="283">
        <v>8.3000000000000004E-2</v>
      </c>
      <c r="D33" s="283">
        <v>8.6999999999999994E-2</v>
      </c>
      <c r="E33" s="283">
        <v>9.1999999999999998E-2</v>
      </c>
      <c r="F33" s="283">
        <v>9.9000000000000005E-2</v>
      </c>
      <c r="G33" s="335"/>
      <c r="H33" s="301"/>
      <c r="I33" s="301"/>
      <c r="J33" s="301"/>
      <c r="K33" s="2"/>
    </row>
    <row r="34" spans="1:11" ht="22.5" customHeight="1" x14ac:dyDescent="0.3">
      <c r="A34" s="40" t="s">
        <v>1391</v>
      </c>
      <c r="B34" s="282">
        <v>0.14599999999999999</v>
      </c>
      <c r="C34" s="282">
        <v>0.13</v>
      </c>
      <c r="D34" s="282">
        <v>0.13900000000000001</v>
      </c>
      <c r="E34" s="282">
        <v>0.151</v>
      </c>
      <c r="F34" s="282">
        <v>0.16</v>
      </c>
      <c r="G34" s="335"/>
      <c r="H34" s="301"/>
      <c r="I34" s="301"/>
      <c r="J34" s="301"/>
      <c r="K34" s="2"/>
    </row>
    <row r="35" spans="1:11" ht="69.150000000000006" customHeight="1" x14ac:dyDescent="0.3">
      <c r="A35" s="547" t="s">
        <v>1392</v>
      </c>
      <c r="B35" s="547"/>
      <c r="C35" s="547"/>
      <c r="D35" s="547"/>
      <c r="E35" s="547"/>
      <c r="F35" s="547"/>
      <c r="G35" s="301"/>
      <c r="H35" s="301"/>
      <c r="I35" s="301"/>
      <c r="J35" s="301"/>
      <c r="K35" s="2"/>
    </row>
    <row r="36" spans="1:11" ht="22.5" customHeight="1" x14ac:dyDescent="0.3">
      <c r="J36" s="301"/>
      <c r="K36" s="2"/>
    </row>
    <row r="37" spans="1:11" ht="22.5" customHeight="1" x14ac:dyDescent="0.3">
      <c r="J37" s="301"/>
      <c r="K37" s="2"/>
    </row>
    <row r="38" spans="1:11" ht="52.5" customHeight="1" x14ac:dyDescent="0.3">
      <c r="A38" s="33" t="s">
        <v>185</v>
      </c>
      <c r="B38" s="5" t="s">
        <v>1393</v>
      </c>
      <c r="C38" s="5" t="s">
        <v>1394</v>
      </c>
      <c r="D38" s="5" t="s">
        <v>1395</v>
      </c>
      <c r="E38" s="5" t="s">
        <v>1396</v>
      </c>
      <c r="F38" s="5" t="s">
        <v>1397</v>
      </c>
      <c r="G38" s="22" t="s">
        <v>1398</v>
      </c>
      <c r="H38" s="22" t="s">
        <v>1399</v>
      </c>
      <c r="I38" s="22" t="s">
        <v>1400</v>
      </c>
      <c r="J38" s="335"/>
      <c r="K38" s="2"/>
    </row>
    <row r="39" spans="1:11" ht="22.5" customHeight="1" x14ac:dyDescent="0.3">
      <c r="A39" s="40" t="s">
        <v>344</v>
      </c>
      <c r="B39" s="191">
        <v>0</v>
      </c>
      <c r="C39" s="284">
        <v>0</v>
      </c>
      <c r="D39" s="167">
        <v>70</v>
      </c>
      <c r="E39" s="284">
        <v>0.59829059829059805</v>
      </c>
      <c r="F39" s="167">
        <v>47</v>
      </c>
      <c r="G39" s="284">
        <v>0.401709401709402</v>
      </c>
      <c r="H39" s="167">
        <v>117</v>
      </c>
      <c r="I39" s="284">
        <v>7.7442414614773596E-3</v>
      </c>
      <c r="J39" s="335"/>
      <c r="K39" s="2"/>
    </row>
    <row r="40" spans="1:11" ht="22.5" customHeight="1" x14ac:dyDescent="0.3">
      <c r="A40" s="40" t="s">
        <v>345</v>
      </c>
      <c r="B40" s="167">
        <v>36</v>
      </c>
      <c r="C40" s="284">
        <v>1.65669581224114E-2</v>
      </c>
      <c r="D40" s="167">
        <v>1581</v>
      </c>
      <c r="E40" s="284">
        <v>0.72756557754256801</v>
      </c>
      <c r="F40" s="167">
        <v>556</v>
      </c>
      <c r="G40" s="284">
        <v>0.255867464335021</v>
      </c>
      <c r="H40" s="167">
        <v>2173</v>
      </c>
      <c r="I40" s="284">
        <v>0.14383108287000301</v>
      </c>
      <c r="J40" s="335"/>
      <c r="K40" s="2"/>
    </row>
    <row r="41" spans="1:11" ht="22.5" customHeight="1" x14ac:dyDescent="0.3">
      <c r="A41" s="40" t="s">
        <v>346</v>
      </c>
      <c r="B41" s="167">
        <v>557</v>
      </c>
      <c r="C41" s="284">
        <v>0.13797374287837499</v>
      </c>
      <c r="D41" s="167">
        <v>2788</v>
      </c>
      <c r="E41" s="284">
        <v>0.69061184047560098</v>
      </c>
      <c r="F41" s="167">
        <v>692</v>
      </c>
      <c r="G41" s="284">
        <v>0.171414416646024</v>
      </c>
      <c r="H41" s="167">
        <v>4037</v>
      </c>
      <c r="I41" s="284">
        <v>0.26720942546995002</v>
      </c>
      <c r="J41" s="13"/>
      <c r="K41" s="2"/>
    </row>
    <row r="42" spans="1:11" ht="22.5" customHeight="1" x14ac:dyDescent="0.3">
      <c r="A42" s="40" t="s">
        <v>1376</v>
      </c>
      <c r="B42" s="167">
        <v>1292</v>
      </c>
      <c r="C42" s="284">
        <v>0.147135861519189</v>
      </c>
      <c r="D42" s="167">
        <v>5790</v>
      </c>
      <c r="E42" s="284">
        <v>0.65937820293816196</v>
      </c>
      <c r="F42" s="167">
        <v>1699</v>
      </c>
      <c r="G42" s="284">
        <v>0.19348593554264901</v>
      </c>
      <c r="H42" s="167">
        <v>8781</v>
      </c>
      <c r="I42" s="284">
        <v>0.58121525019857001</v>
      </c>
      <c r="J42" s="13"/>
    </row>
    <row r="43" spans="1:11" ht="22.5" customHeight="1" x14ac:dyDescent="0.3">
      <c r="A43" s="40" t="s">
        <v>644</v>
      </c>
      <c r="B43" s="167">
        <v>1885</v>
      </c>
      <c r="C43" s="284">
        <v>0.12476833465713499</v>
      </c>
      <c r="D43" s="167">
        <v>10229</v>
      </c>
      <c r="E43" s="284">
        <v>0.67705851204659795</v>
      </c>
      <c r="F43" s="167">
        <v>2994</v>
      </c>
      <c r="G43" s="284">
        <v>0.198173153296267</v>
      </c>
      <c r="H43" s="167">
        <v>15108</v>
      </c>
      <c r="I43" s="284">
        <v>1</v>
      </c>
      <c r="J43" s="13"/>
    </row>
    <row r="44" spans="1:11" ht="22.5" customHeight="1" x14ac:dyDescent="0.3">
      <c r="A44" s="546"/>
      <c r="B44" s="547"/>
      <c r="C44" s="547"/>
      <c r="D44" s="547"/>
      <c r="E44" s="547"/>
      <c r="F44" s="547"/>
      <c r="G44" s="547"/>
      <c r="H44" s="547"/>
      <c r="I44" s="547"/>
    </row>
    <row r="45" spans="1:11" ht="15" customHeight="1" x14ac:dyDescent="0.25"/>
    <row r="46" spans="1:11" ht="15" customHeight="1" x14ac:dyDescent="0.25"/>
    <row r="47" spans="1:11" ht="15" customHeight="1" x14ac:dyDescent="0.25"/>
    <row r="48" spans="1:11"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sheetProtection algorithmName="SHA-512" hashValue="rO/KSacL3z1GjFfaXHitk58uZj5B885zdoes/kJqWyJZLqrE6H8tUX5wrhuJByxSXNOsGPDGfQ0K5tKiq3QxYQ==" saltValue="iX/pk/ahsOC5beMO8RwX4A==" spinCount="100000" sheet="1" objects="1" scenarios="1" formatColumns="0" formatRows="0"/>
  <mergeCells count="5">
    <mergeCell ref="A1:F1"/>
    <mergeCell ref="A15:D15"/>
    <mergeCell ref="A24:D24"/>
    <mergeCell ref="A35:F35"/>
    <mergeCell ref="A44:I4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98"/>
  <sheetViews>
    <sheetView showRuler="0" workbookViewId="0">
      <selection activeCell="D18" sqref="D18"/>
    </sheetView>
  </sheetViews>
  <sheetFormatPr defaultColWidth="13.6640625" defaultRowHeight="13.2" x14ac:dyDescent="0.25"/>
  <cols>
    <col min="1" max="1" width="27.44140625" customWidth="1"/>
    <col min="2" max="6" width="17.109375" customWidth="1"/>
    <col min="7" max="7" width="20.109375" customWidth="1"/>
    <col min="8" max="8" width="31.88671875" customWidth="1"/>
    <col min="9" max="9" width="17.5546875" customWidth="1"/>
    <col min="10" max="10" width="25.6640625" customWidth="1"/>
    <col min="12" max="12" width="48.44140625" customWidth="1"/>
    <col min="19" max="19" width="32.5546875" customWidth="1"/>
  </cols>
  <sheetData>
    <row r="1" spans="1:7" ht="20.85" customHeight="1" x14ac:dyDescent="0.3">
      <c r="A1" s="742" t="s">
        <v>1401</v>
      </c>
      <c r="B1" s="742"/>
      <c r="C1" s="742"/>
      <c r="D1" s="742"/>
      <c r="E1" s="742"/>
      <c r="F1" s="742"/>
      <c r="G1" s="2"/>
    </row>
    <row r="2" spans="1:7" ht="32.4" customHeight="1" x14ac:dyDescent="0.3">
      <c r="B2" s="64"/>
      <c r="C2" s="64"/>
      <c r="D2" s="64"/>
      <c r="E2" s="64"/>
      <c r="G2" s="2"/>
    </row>
    <row r="3" spans="1:7" ht="62.4" customHeight="1" x14ac:dyDescent="0.3">
      <c r="A3" s="49" t="s">
        <v>1402</v>
      </c>
      <c r="B3" s="25">
        <v>2019</v>
      </c>
      <c r="C3" s="25">
        <v>2020</v>
      </c>
      <c r="D3" s="61" t="s">
        <v>1403</v>
      </c>
      <c r="E3" s="25">
        <v>2022</v>
      </c>
      <c r="F3" s="25">
        <v>2023</v>
      </c>
      <c r="G3" s="335"/>
    </row>
    <row r="4" spans="1:7" ht="20.100000000000001" customHeight="1" x14ac:dyDescent="0.25">
      <c r="A4" s="40" t="s">
        <v>328</v>
      </c>
      <c r="B4" s="285">
        <v>0.878</v>
      </c>
      <c r="C4" s="285">
        <v>0.872</v>
      </c>
      <c r="D4" s="285">
        <v>0.88002773925104005</v>
      </c>
      <c r="E4" s="215">
        <v>0.88700000000000001</v>
      </c>
      <c r="F4" s="215">
        <v>0.67900000000000005</v>
      </c>
      <c r="G4" s="335"/>
    </row>
    <row r="5" spans="1:7" ht="20.100000000000001" customHeight="1" x14ac:dyDescent="0.25">
      <c r="A5" s="40" t="s">
        <v>252</v>
      </c>
      <c r="B5" s="285">
        <v>0.24</v>
      </c>
      <c r="C5" s="285">
        <v>0.14000000000000001</v>
      </c>
      <c r="D5" s="285">
        <v>0.14643188137164001</v>
      </c>
      <c r="E5" s="215">
        <v>0.14099999999999999</v>
      </c>
      <c r="F5" s="215">
        <v>0</v>
      </c>
      <c r="G5" s="335"/>
    </row>
    <row r="6" spans="1:7" ht="20.100000000000001" customHeight="1" x14ac:dyDescent="0.25">
      <c r="A6" s="40" t="s">
        <v>225</v>
      </c>
      <c r="B6" s="285">
        <v>6.6000000000000003E-2</v>
      </c>
      <c r="C6" s="285">
        <v>0.106</v>
      </c>
      <c r="D6" s="285">
        <v>0.10760667903524999</v>
      </c>
      <c r="E6" s="215">
        <v>9.7000000000000003E-2</v>
      </c>
      <c r="F6" s="215">
        <v>0.11</v>
      </c>
      <c r="G6" s="335"/>
    </row>
    <row r="7" spans="1:7" ht="20.100000000000001" customHeight="1" x14ac:dyDescent="0.25">
      <c r="A7" s="40" t="s">
        <v>1288</v>
      </c>
      <c r="B7" s="285">
        <v>0</v>
      </c>
      <c r="C7" s="285">
        <v>0</v>
      </c>
      <c r="D7" s="285">
        <v>0</v>
      </c>
      <c r="E7" s="215">
        <v>0</v>
      </c>
      <c r="F7" s="215">
        <v>0</v>
      </c>
      <c r="G7" s="335"/>
    </row>
    <row r="8" spans="1:7" ht="20.100000000000001" customHeight="1" x14ac:dyDescent="0.25">
      <c r="A8" s="40" t="s">
        <v>330</v>
      </c>
      <c r="B8" s="285">
        <v>0</v>
      </c>
      <c r="C8" s="285">
        <v>0</v>
      </c>
      <c r="D8" s="285">
        <v>0</v>
      </c>
      <c r="E8" s="215">
        <v>0</v>
      </c>
      <c r="F8" s="215">
        <v>0</v>
      </c>
      <c r="G8" s="335"/>
    </row>
    <row r="9" spans="1:7" ht="20.100000000000001" customHeight="1" x14ac:dyDescent="0.25">
      <c r="A9" s="32" t="s">
        <v>1404</v>
      </c>
      <c r="B9" s="285">
        <v>0.85299999999999998</v>
      </c>
      <c r="C9" s="285">
        <v>0.90600000000000003</v>
      </c>
      <c r="D9" s="285">
        <v>0.94699999999999995</v>
      </c>
      <c r="E9" s="215">
        <v>0.128</v>
      </c>
      <c r="F9" s="215">
        <v>0.215</v>
      </c>
      <c r="G9" s="335"/>
    </row>
    <row r="10" spans="1:7" ht="20.100000000000001" customHeight="1" x14ac:dyDescent="0.25">
      <c r="A10" s="40" t="s">
        <v>331</v>
      </c>
      <c r="B10" s="285">
        <v>0</v>
      </c>
      <c r="C10" s="285">
        <v>0</v>
      </c>
      <c r="D10" s="285">
        <v>0</v>
      </c>
      <c r="E10" s="215">
        <v>0</v>
      </c>
      <c r="F10" s="215">
        <v>0</v>
      </c>
      <c r="G10" s="335"/>
    </row>
    <row r="11" spans="1:7" ht="20.100000000000001" customHeight="1" x14ac:dyDescent="0.25">
      <c r="A11" s="40" t="s">
        <v>214</v>
      </c>
      <c r="B11" s="285">
        <v>0.70599999999999996</v>
      </c>
      <c r="C11" s="285">
        <v>0.72899999999999998</v>
      </c>
      <c r="D11" s="285">
        <v>0.71399999999999997</v>
      </c>
      <c r="E11" s="215">
        <v>0.70899999999999996</v>
      </c>
      <c r="F11" s="215">
        <v>0.70899999999999996</v>
      </c>
      <c r="G11" s="335"/>
    </row>
    <row r="12" spans="1:7" ht="20.100000000000001" customHeight="1" x14ac:dyDescent="0.3">
      <c r="A12" s="40" t="s">
        <v>235</v>
      </c>
      <c r="B12" s="285">
        <v>0.35899999999999999</v>
      </c>
      <c r="C12" s="285">
        <v>0.44400000000000001</v>
      </c>
      <c r="D12" s="285">
        <v>0.45500000000000002</v>
      </c>
      <c r="E12" s="215">
        <v>0.45</v>
      </c>
      <c r="F12" s="215">
        <v>0.42899999999999999</v>
      </c>
      <c r="G12" s="13"/>
    </row>
    <row r="13" spans="1:7" ht="20.100000000000001" customHeight="1" x14ac:dyDescent="0.25">
      <c r="A13" s="40" t="s">
        <v>265</v>
      </c>
      <c r="B13" s="285">
        <v>0.42399999999999999</v>
      </c>
      <c r="C13" s="285">
        <v>0.41099999999999998</v>
      </c>
      <c r="D13" s="285">
        <v>0.52100000000000002</v>
      </c>
      <c r="E13" s="215">
        <v>0.56100000000000005</v>
      </c>
      <c r="F13" s="215">
        <v>0.61299999999999999</v>
      </c>
      <c r="G13" s="335"/>
    </row>
    <row r="14" spans="1:7" ht="20.100000000000001" customHeight="1" x14ac:dyDescent="0.25">
      <c r="A14" s="40" t="s">
        <v>276</v>
      </c>
      <c r="B14" s="285">
        <v>0</v>
      </c>
      <c r="C14" s="285">
        <v>0</v>
      </c>
      <c r="D14" s="285">
        <v>0</v>
      </c>
      <c r="E14" s="215">
        <v>0</v>
      </c>
      <c r="F14" s="215">
        <v>0</v>
      </c>
      <c r="G14" s="335"/>
    </row>
    <row r="15" spans="1:7" ht="20.100000000000001" customHeight="1" x14ac:dyDescent="0.25">
      <c r="A15" s="32" t="s">
        <v>1405</v>
      </c>
      <c r="B15" s="285">
        <v>0</v>
      </c>
      <c r="C15" s="285">
        <v>0</v>
      </c>
      <c r="D15" s="285">
        <v>0</v>
      </c>
      <c r="E15" s="215">
        <v>0</v>
      </c>
      <c r="F15" s="215">
        <v>0</v>
      </c>
      <c r="G15" s="335"/>
    </row>
    <row r="16" spans="1:7" ht="20.100000000000001" customHeight="1" x14ac:dyDescent="0.25">
      <c r="A16" s="40" t="s">
        <v>644</v>
      </c>
      <c r="B16" s="286">
        <v>0.434</v>
      </c>
      <c r="C16" s="286">
        <v>0.47199999999999998</v>
      </c>
      <c r="D16" s="287">
        <v>0.49320000000000003</v>
      </c>
      <c r="E16" s="287">
        <v>0.32600000000000001</v>
      </c>
      <c r="F16" s="287">
        <v>0.33800000000000002</v>
      </c>
      <c r="G16" s="335"/>
    </row>
    <row r="17" spans="1:8" ht="134.25" customHeight="1" x14ac:dyDescent="0.3">
      <c r="A17" s="547" t="s">
        <v>1406</v>
      </c>
      <c r="B17" s="547"/>
      <c r="C17" s="547"/>
      <c r="D17" s="547"/>
      <c r="E17" s="547"/>
      <c r="F17" s="547"/>
      <c r="G17" s="301"/>
    </row>
    <row r="18" spans="1:8" ht="20.100000000000001" customHeight="1" x14ac:dyDescent="0.3">
      <c r="G18" s="2"/>
    </row>
    <row r="19" spans="1:8" ht="20.100000000000001" customHeight="1" x14ac:dyDescent="0.3">
      <c r="A19" s="64"/>
      <c r="B19" s="64"/>
      <c r="C19" s="64"/>
      <c r="D19" s="64"/>
      <c r="E19" s="64"/>
      <c r="F19" s="64"/>
      <c r="G19" s="2"/>
    </row>
    <row r="20" spans="1:8" ht="39.15" customHeight="1" x14ac:dyDescent="0.3">
      <c r="A20" s="63" t="s">
        <v>188</v>
      </c>
      <c r="B20" s="164" t="s">
        <v>207</v>
      </c>
      <c r="C20" s="724" t="s">
        <v>1407</v>
      </c>
      <c r="D20" s="724"/>
      <c r="E20" s="724"/>
      <c r="F20" s="724"/>
      <c r="G20" s="13"/>
    </row>
    <row r="21" spans="1:8" ht="19.2" customHeight="1" x14ac:dyDescent="0.3">
      <c r="A21" s="602" t="s">
        <v>245</v>
      </c>
      <c r="B21" s="751" t="s">
        <v>246</v>
      </c>
      <c r="C21" s="751"/>
      <c r="D21" s="751"/>
      <c r="E21" s="751"/>
      <c r="F21" s="751"/>
      <c r="G21" s="13"/>
    </row>
    <row r="22" spans="1:8" ht="26.7" customHeight="1" x14ac:dyDescent="0.3">
      <c r="A22" s="602"/>
      <c r="B22" s="85" t="s">
        <v>1198</v>
      </c>
      <c r="C22" s="750" t="s">
        <v>1408</v>
      </c>
      <c r="D22" s="750"/>
      <c r="E22" s="750"/>
      <c r="F22" s="750"/>
      <c r="G22" s="13"/>
    </row>
    <row r="23" spans="1:8" ht="26.7" customHeight="1" x14ac:dyDescent="0.3">
      <c r="A23" s="602"/>
      <c r="B23" s="85" t="s">
        <v>514</v>
      </c>
      <c r="C23" s="750" t="s">
        <v>1408</v>
      </c>
      <c r="D23" s="750"/>
      <c r="E23" s="750"/>
      <c r="F23" s="750"/>
      <c r="G23" s="13"/>
    </row>
    <row r="24" spans="1:8" ht="26.7" customHeight="1" x14ac:dyDescent="0.3">
      <c r="A24" s="602"/>
      <c r="B24" s="85" t="s">
        <v>247</v>
      </c>
      <c r="C24" s="750" t="s">
        <v>1408</v>
      </c>
      <c r="D24" s="750"/>
      <c r="E24" s="750"/>
      <c r="F24" s="750"/>
      <c r="G24" s="13"/>
    </row>
    <row r="25" spans="1:8" ht="19.2" customHeight="1" x14ac:dyDescent="0.3">
      <c r="A25" s="602" t="s">
        <v>251</v>
      </c>
      <c r="B25" s="650" t="s">
        <v>252</v>
      </c>
      <c r="C25" s="650"/>
      <c r="D25" s="650"/>
      <c r="E25" s="650"/>
      <c r="F25" s="650"/>
      <c r="G25" s="13"/>
    </row>
    <row r="26" spans="1:8" ht="19.2" customHeight="1" x14ac:dyDescent="0.3">
      <c r="A26" s="602"/>
      <c r="B26" s="288" t="s">
        <v>253</v>
      </c>
      <c r="C26" s="750" t="s">
        <v>1409</v>
      </c>
      <c r="D26" s="750"/>
      <c r="E26" s="750"/>
      <c r="F26" s="750"/>
      <c r="G26" s="13"/>
      <c r="H26" s="2"/>
    </row>
    <row r="27" spans="1:8" ht="19.2" customHeight="1" x14ac:dyDescent="0.3">
      <c r="A27" s="602"/>
      <c r="B27" s="288" t="s">
        <v>1297</v>
      </c>
      <c r="C27" s="750" t="s">
        <v>1409</v>
      </c>
      <c r="D27" s="750"/>
      <c r="E27" s="750"/>
      <c r="F27" s="750"/>
      <c r="G27" s="13"/>
      <c r="H27" s="2"/>
    </row>
    <row r="28" spans="1:8" ht="19.2" customHeight="1" x14ac:dyDescent="0.3">
      <c r="A28" s="602"/>
      <c r="B28" s="289" t="s">
        <v>256</v>
      </c>
      <c r="C28" s="750" t="s">
        <v>1410</v>
      </c>
      <c r="D28" s="750"/>
      <c r="E28" s="750"/>
      <c r="F28" s="750"/>
      <c r="G28" s="13"/>
      <c r="H28" s="2"/>
    </row>
    <row r="29" spans="1:8" ht="19.2" customHeight="1" x14ac:dyDescent="0.3">
      <c r="A29" s="602" t="s">
        <v>213</v>
      </c>
      <c r="B29" s="650" t="s">
        <v>328</v>
      </c>
      <c r="C29" s="650"/>
      <c r="D29" s="650"/>
      <c r="E29" s="650"/>
      <c r="F29" s="650"/>
      <c r="G29" s="13"/>
    </row>
    <row r="30" spans="1:8" ht="19.2" customHeight="1" x14ac:dyDescent="0.3">
      <c r="A30" s="602"/>
      <c r="B30" s="288" t="s">
        <v>453</v>
      </c>
      <c r="C30" s="750" t="s">
        <v>1411</v>
      </c>
      <c r="D30" s="750"/>
      <c r="E30" s="750"/>
      <c r="F30" s="750"/>
      <c r="G30" s="13"/>
      <c r="H30" s="2"/>
    </row>
    <row r="31" spans="1:8" ht="19.2" customHeight="1" x14ac:dyDescent="0.3">
      <c r="A31" s="602"/>
      <c r="B31" s="650" t="s">
        <v>214</v>
      </c>
      <c r="C31" s="650"/>
      <c r="D31" s="650"/>
      <c r="E31" s="650"/>
      <c r="F31" s="650"/>
      <c r="G31" s="13"/>
      <c r="H31" s="2"/>
    </row>
    <row r="32" spans="1:8" ht="30.75" customHeight="1" x14ac:dyDescent="0.3">
      <c r="A32" s="602"/>
      <c r="B32" s="288" t="s">
        <v>1412</v>
      </c>
      <c r="C32" s="750" t="s">
        <v>1409</v>
      </c>
      <c r="D32" s="750"/>
      <c r="E32" s="750"/>
      <c r="F32" s="750"/>
      <c r="G32" s="13"/>
      <c r="H32" s="2"/>
    </row>
    <row r="33" spans="1:8" ht="19.2" customHeight="1" x14ac:dyDescent="0.3">
      <c r="A33" s="602"/>
      <c r="B33" s="288" t="s">
        <v>215</v>
      </c>
      <c r="C33" s="750" t="s">
        <v>1409</v>
      </c>
      <c r="D33" s="750"/>
      <c r="E33" s="750"/>
      <c r="F33" s="750"/>
      <c r="G33" s="13"/>
      <c r="H33" s="2"/>
    </row>
    <row r="34" spans="1:8" ht="19.2" customHeight="1" x14ac:dyDescent="0.3">
      <c r="A34" s="602"/>
      <c r="B34" s="650" t="s">
        <v>265</v>
      </c>
      <c r="C34" s="650"/>
      <c r="D34" s="650"/>
      <c r="E34" s="650"/>
      <c r="F34" s="650"/>
      <c r="G34" s="13"/>
    </row>
    <row r="35" spans="1:8" ht="42.6" customHeight="1" x14ac:dyDescent="0.3">
      <c r="A35" s="602" t="s">
        <v>224</v>
      </c>
      <c r="B35" s="288" t="s">
        <v>266</v>
      </c>
      <c r="C35" s="750" t="s">
        <v>1413</v>
      </c>
      <c r="D35" s="750"/>
      <c r="E35" s="750"/>
      <c r="F35" s="750"/>
      <c r="G35" s="13"/>
      <c r="H35" s="2"/>
    </row>
    <row r="36" spans="1:8" ht="19.2" customHeight="1" x14ac:dyDescent="0.3">
      <c r="A36" s="602"/>
      <c r="B36" s="650" t="s">
        <v>225</v>
      </c>
      <c r="C36" s="650"/>
      <c r="D36" s="650"/>
      <c r="E36" s="650"/>
      <c r="F36" s="650"/>
      <c r="G36" s="13"/>
      <c r="H36" s="2"/>
    </row>
    <row r="37" spans="1:8" ht="19.2" customHeight="1" x14ac:dyDescent="0.3">
      <c r="A37" s="602"/>
      <c r="B37" s="289" t="s">
        <v>226</v>
      </c>
      <c r="C37" s="750" t="s">
        <v>1414</v>
      </c>
      <c r="D37" s="750"/>
      <c r="E37" s="750"/>
      <c r="F37" s="750"/>
      <c r="G37" s="13"/>
    </row>
    <row r="38" spans="1:8" ht="19.2" customHeight="1" x14ac:dyDescent="0.3">
      <c r="A38" s="602"/>
      <c r="B38" s="289" t="s">
        <v>454</v>
      </c>
      <c r="C38" s="750" t="s">
        <v>1411</v>
      </c>
      <c r="D38" s="750"/>
      <c r="E38" s="750"/>
      <c r="F38" s="750"/>
      <c r="G38" s="13"/>
      <c r="H38" s="2"/>
    </row>
    <row r="39" spans="1:8" ht="19.2" customHeight="1" x14ac:dyDescent="0.3">
      <c r="A39" s="602"/>
      <c r="B39" s="289" t="s">
        <v>230</v>
      </c>
      <c r="C39" s="750" t="s">
        <v>1411</v>
      </c>
      <c r="D39" s="750"/>
      <c r="E39" s="750"/>
      <c r="F39" s="750"/>
      <c r="G39" s="13"/>
    </row>
    <row r="40" spans="1:8" ht="29.1" customHeight="1" x14ac:dyDescent="0.3">
      <c r="A40" s="602"/>
      <c r="B40" s="289" t="s">
        <v>1298</v>
      </c>
      <c r="C40" s="750" t="s">
        <v>1411</v>
      </c>
      <c r="D40" s="750"/>
      <c r="E40" s="750"/>
      <c r="F40" s="750"/>
      <c r="G40" s="13"/>
      <c r="H40" s="2"/>
    </row>
    <row r="41" spans="1:8" ht="19.2" customHeight="1" x14ac:dyDescent="0.3">
      <c r="A41" s="602"/>
      <c r="B41" s="751" t="s">
        <v>276</v>
      </c>
      <c r="C41" s="751"/>
      <c r="D41" s="751"/>
      <c r="E41" s="751"/>
      <c r="F41" s="751"/>
      <c r="G41" s="13"/>
    </row>
    <row r="42" spans="1:8" ht="19.2" customHeight="1" x14ac:dyDescent="0.3">
      <c r="A42" s="602"/>
      <c r="B42" s="85" t="s">
        <v>277</v>
      </c>
      <c r="C42" s="750" t="s">
        <v>1415</v>
      </c>
      <c r="D42" s="750"/>
      <c r="E42" s="750"/>
      <c r="F42" s="750"/>
      <c r="G42" s="13"/>
      <c r="H42" s="2"/>
    </row>
    <row r="43" spans="1:8" ht="19.2" customHeight="1" x14ac:dyDescent="0.3">
      <c r="A43" s="602"/>
      <c r="B43" s="85" t="s">
        <v>1284</v>
      </c>
      <c r="C43" s="750" t="s">
        <v>1411</v>
      </c>
      <c r="D43" s="750"/>
      <c r="E43" s="750"/>
      <c r="F43" s="750"/>
      <c r="G43" s="13"/>
      <c r="H43" s="2"/>
    </row>
    <row r="44" spans="1:8" ht="19.2" customHeight="1" x14ac:dyDescent="0.3">
      <c r="A44" s="602"/>
      <c r="B44" s="85" t="s">
        <v>1416</v>
      </c>
      <c r="C44" s="750" t="s">
        <v>1411</v>
      </c>
      <c r="D44" s="750"/>
      <c r="E44" s="750"/>
      <c r="F44" s="750"/>
      <c r="G44" s="13"/>
    </row>
    <row r="45" spans="1:8" ht="19.2" customHeight="1" x14ac:dyDescent="0.3">
      <c r="A45" s="602" t="s">
        <v>234</v>
      </c>
      <c r="B45" s="650" t="s">
        <v>235</v>
      </c>
      <c r="C45" s="650"/>
      <c r="D45" s="650"/>
      <c r="E45" s="650"/>
      <c r="F45" s="650"/>
      <c r="G45" s="13"/>
      <c r="H45" s="2"/>
    </row>
    <row r="46" spans="1:8" ht="19.2" customHeight="1" x14ac:dyDescent="0.3">
      <c r="A46" s="602"/>
      <c r="B46" s="288" t="s">
        <v>1417</v>
      </c>
      <c r="C46" s="750" t="s">
        <v>1409</v>
      </c>
      <c r="D46" s="750"/>
      <c r="E46" s="750"/>
      <c r="F46" s="750"/>
      <c r="G46" s="13"/>
      <c r="H46" s="2"/>
    </row>
    <row r="47" spans="1:8" ht="24.15" customHeight="1" x14ac:dyDescent="0.3">
      <c r="A47" s="602"/>
      <c r="B47" s="288" t="s">
        <v>236</v>
      </c>
      <c r="C47" s="750" t="s">
        <v>1409</v>
      </c>
      <c r="D47" s="750"/>
      <c r="E47" s="750"/>
      <c r="F47" s="750"/>
      <c r="G47" s="13"/>
      <c r="H47" s="2"/>
    </row>
    <row r="48" spans="1:8" ht="15.75" customHeight="1" x14ac:dyDescent="0.25">
      <c r="A48" s="546"/>
      <c r="B48" s="546"/>
      <c r="C48" s="546"/>
      <c r="D48" s="546"/>
      <c r="E48" s="546"/>
      <c r="F48" s="546"/>
    </row>
    <row r="49" spans="1:7" ht="15.75" customHeight="1" x14ac:dyDescent="0.25">
      <c r="A49" s="625"/>
      <c r="B49" s="625"/>
      <c r="C49" s="625"/>
      <c r="D49" s="625"/>
      <c r="E49" s="625"/>
      <c r="F49" s="625"/>
    </row>
    <row r="50" spans="1:7" ht="15" customHeight="1" x14ac:dyDescent="0.25"/>
    <row r="51" spans="1:7" ht="15" customHeight="1" x14ac:dyDescent="0.25"/>
    <row r="52" spans="1:7" ht="37.5" customHeight="1" x14ac:dyDescent="0.3">
      <c r="A52" s="63" t="s">
        <v>189</v>
      </c>
      <c r="B52" s="164" t="s">
        <v>207</v>
      </c>
      <c r="C52" s="164" t="s">
        <v>1418</v>
      </c>
      <c r="D52" s="164" t="s">
        <v>1419</v>
      </c>
      <c r="E52" s="622" t="s">
        <v>1420</v>
      </c>
      <c r="F52" s="622"/>
      <c r="G52" s="13"/>
    </row>
    <row r="53" spans="1:7" ht="23.25" customHeight="1" x14ac:dyDescent="0.3">
      <c r="A53" s="599" t="s">
        <v>213</v>
      </c>
      <c r="B53" s="631" t="s">
        <v>214</v>
      </c>
      <c r="C53" s="632"/>
      <c r="D53" s="632"/>
      <c r="E53" s="632"/>
      <c r="F53" s="633"/>
      <c r="G53" s="13"/>
    </row>
    <row r="54" spans="1:7" ht="126.6" customHeight="1" x14ac:dyDescent="0.3">
      <c r="A54" s="600"/>
      <c r="B54" s="290" t="s">
        <v>215</v>
      </c>
      <c r="C54" s="110">
        <v>128</v>
      </c>
      <c r="D54" s="110">
        <v>2000</v>
      </c>
      <c r="E54" s="748" t="s">
        <v>1421</v>
      </c>
      <c r="F54" s="708"/>
      <c r="G54" s="13"/>
    </row>
    <row r="55" spans="1:7" ht="93.45" customHeight="1" x14ac:dyDescent="0.3">
      <c r="A55" s="601"/>
      <c r="B55" s="290" t="s">
        <v>453</v>
      </c>
      <c r="C55" s="110">
        <v>7</v>
      </c>
      <c r="D55" s="110">
        <v>1270</v>
      </c>
      <c r="E55" s="748" t="s">
        <v>1422</v>
      </c>
      <c r="F55" s="749"/>
      <c r="G55" s="13"/>
    </row>
    <row r="56" spans="1:7" ht="12.6" customHeight="1" x14ac:dyDescent="0.25">
      <c r="A56" s="544"/>
      <c r="B56" s="544"/>
      <c r="C56" s="544"/>
      <c r="D56" s="544"/>
      <c r="E56" s="544"/>
      <c r="F56" s="544"/>
    </row>
    <row r="57" spans="1:7" ht="15" customHeight="1" x14ac:dyDescent="0.25"/>
    <row r="58" spans="1:7" ht="15" customHeight="1" x14ac:dyDescent="0.25"/>
    <row r="59" spans="1:7" ht="15" customHeight="1" x14ac:dyDescent="0.3">
      <c r="A59" s="650" t="s">
        <v>190</v>
      </c>
      <c r="B59" s="650"/>
      <c r="C59" s="650"/>
      <c r="D59" s="650"/>
      <c r="E59" s="650"/>
      <c r="F59" s="650"/>
      <c r="G59" s="13"/>
    </row>
    <row r="60" spans="1:7" ht="15" customHeight="1" x14ac:dyDescent="0.3">
      <c r="A60" s="562" t="s">
        <v>1423</v>
      </c>
      <c r="B60" s="562"/>
      <c r="C60" s="562"/>
      <c r="D60" s="562"/>
      <c r="E60" s="562"/>
      <c r="F60" s="562"/>
      <c r="G60" s="13"/>
    </row>
    <row r="61" spans="1:7" ht="15" customHeight="1" x14ac:dyDescent="0.3">
      <c r="A61" s="562"/>
      <c r="B61" s="562"/>
      <c r="C61" s="562"/>
      <c r="D61" s="562"/>
      <c r="E61" s="562"/>
      <c r="F61" s="562"/>
      <c r="G61" s="13"/>
    </row>
    <row r="62" spans="1:7" ht="15.75" customHeight="1" x14ac:dyDescent="0.25">
      <c r="A62" s="544"/>
      <c r="B62" s="544"/>
      <c r="C62" s="544"/>
      <c r="D62" s="544"/>
      <c r="E62" s="544"/>
      <c r="F62" s="544"/>
    </row>
    <row r="63" spans="1:7" ht="15.75" customHeight="1" x14ac:dyDescent="0.25">
      <c r="A63" s="641"/>
      <c r="B63" s="641"/>
      <c r="C63" s="641"/>
      <c r="D63" s="641"/>
      <c r="E63" s="641"/>
      <c r="F63" s="641"/>
    </row>
    <row r="64" spans="1:7"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sheetData>
  <sheetProtection algorithmName="SHA-512" hashValue="NoJeARb0xopevlsv0Z/1rUm0TlvboGJLz01xd9DZHWqYD/ypdzrvPGElKpsVoHG/hVtOXupS+XxWLoJNClQRMQ==" saltValue="+UFFqpyELewtukSFJHiQ9A==" spinCount="100000" sheet="1" objects="1" scenarios="1" formatColumns="0" formatRows="0"/>
  <mergeCells count="45">
    <mergeCell ref="A1:F1"/>
    <mergeCell ref="C20:F20"/>
    <mergeCell ref="A17:F17"/>
    <mergeCell ref="C24:F24"/>
    <mergeCell ref="C23:F23"/>
    <mergeCell ref="C22:F22"/>
    <mergeCell ref="B21:F21"/>
    <mergeCell ref="A21:A24"/>
    <mergeCell ref="A25:A28"/>
    <mergeCell ref="B25:F25"/>
    <mergeCell ref="C26:F26"/>
    <mergeCell ref="C27:F27"/>
    <mergeCell ref="C28:F28"/>
    <mergeCell ref="B34:F34"/>
    <mergeCell ref="C33:F33"/>
    <mergeCell ref="C37:F37"/>
    <mergeCell ref="A29:A34"/>
    <mergeCell ref="C32:F32"/>
    <mergeCell ref="B31:F31"/>
    <mergeCell ref="C30:F30"/>
    <mergeCell ref="B29:F29"/>
    <mergeCell ref="C38:F38"/>
    <mergeCell ref="C39:F39"/>
    <mergeCell ref="C40:F40"/>
    <mergeCell ref="A35:A44"/>
    <mergeCell ref="C44:F44"/>
    <mergeCell ref="C43:F43"/>
    <mergeCell ref="C42:F42"/>
    <mergeCell ref="B41:F41"/>
    <mergeCell ref="B36:F36"/>
    <mergeCell ref="C35:F35"/>
    <mergeCell ref="A48:F49"/>
    <mergeCell ref="C47:F47"/>
    <mergeCell ref="C46:F46"/>
    <mergeCell ref="B45:F45"/>
    <mergeCell ref="A45:A47"/>
    <mergeCell ref="E52:F52"/>
    <mergeCell ref="A60:F61"/>
    <mergeCell ref="A59:F59"/>
    <mergeCell ref="A62:F63"/>
    <mergeCell ref="A53:A55"/>
    <mergeCell ref="A56:F56"/>
    <mergeCell ref="B53:F53"/>
    <mergeCell ref="E54:F54"/>
    <mergeCell ref="E55:F5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69"/>
  <sheetViews>
    <sheetView showRuler="0" workbookViewId="0">
      <selection activeCell="D18" sqref="D18"/>
    </sheetView>
  </sheetViews>
  <sheetFormatPr defaultColWidth="13.6640625" defaultRowHeight="13.2" x14ac:dyDescent="0.25"/>
  <cols>
    <col min="1" max="1" width="32.5546875" customWidth="1"/>
    <col min="2" max="4" width="15.109375" customWidth="1"/>
    <col min="5" max="5" width="14.33203125" customWidth="1"/>
    <col min="6" max="6" width="16" customWidth="1"/>
    <col min="7" max="7" width="14.33203125" customWidth="1"/>
    <col min="10" max="10" width="27.6640625" customWidth="1"/>
    <col min="17" max="17" width="36.5546875" customWidth="1"/>
    <col min="24" max="24" width="35" customWidth="1"/>
    <col min="25" max="25" width="27.109375" customWidth="1"/>
    <col min="26" max="26" width="35" customWidth="1"/>
  </cols>
  <sheetData>
    <row r="1" spans="1:7" ht="23.25" customHeight="1" x14ac:dyDescent="0.3">
      <c r="A1" s="742" t="s">
        <v>1424</v>
      </c>
      <c r="B1" s="742"/>
      <c r="C1" s="742"/>
      <c r="D1" s="742"/>
      <c r="E1" s="742"/>
      <c r="F1" s="742"/>
      <c r="G1" s="291"/>
    </row>
    <row r="2" spans="1:7" ht="20.100000000000001" customHeight="1" x14ac:dyDescent="0.3">
      <c r="B2" s="369"/>
      <c r="C2" s="369"/>
      <c r="D2" s="369"/>
      <c r="E2" s="366"/>
      <c r="F2" s="366"/>
      <c r="G2" s="366"/>
    </row>
    <row r="3" spans="1:7" s="341" customFormat="1" ht="39" customHeight="1" x14ac:dyDescent="0.3">
      <c r="A3" s="338" t="s">
        <v>192</v>
      </c>
      <c r="B3" s="339" t="s">
        <v>1425</v>
      </c>
      <c r="C3" s="339" t="s">
        <v>1426</v>
      </c>
      <c r="D3" s="339" t="s">
        <v>318</v>
      </c>
      <c r="E3" s="348"/>
    </row>
    <row r="4" spans="1:7" s="341" customFormat="1" ht="17.25" customHeight="1" x14ac:dyDescent="0.3">
      <c r="A4" s="342" t="s">
        <v>350</v>
      </c>
      <c r="B4" s="343">
        <v>2.1000000000000001E-2</v>
      </c>
      <c r="C4" s="343">
        <v>3.7999999999999999E-2</v>
      </c>
      <c r="D4" s="343">
        <v>5.8999999999999997E-2</v>
      </c>
      <c r="E4" s="348"/>
    </row>
    <row r="5" spans="1:7" s="341" customFormat="1" ht="17.25" customHeight="1" x14ac:dyDescent="0.3">
      <c r="A5" s="342" t="s">
        <v>252</v>
      </c>
      <c r="B5" s="343">
        <v>0.112</v>
      </c>
      <c r="C5" s="343">
        <v>2.1999999999999999E-2</v>
      </c>
      <c r="D5" s="343">
        <v>0.13400000000000001</v>
      </c>
      <c r="E5" s="348"/>
    </row>
    <row r="6" spans="1:7" s="341" customFormat="1" ht="17.25" customHeight="1" x14ac:dyDescent="0.3">
      <c r="A6" s="344" t="s">
        <v>1427</v>
      </c>
      <c r="B6" s="343">
        <v>1.4E-2</v>
      </c>
      <c r="C6" s="343">
        <v>2.9000000000000001E-2</v>
      </c>
      <c r="D6" s="343">
        <v>4.2999999999999997E-2</v>
      </c>
      <c r="E6" s="348"/>
    </row>
    <row r="7" spans="1:7" s="341" customFormat="1" ht="17.25" customHeight="1" x14ac:dyDescent="0.3">
      <c r="A7" s="344" t="s">
        <v>1428</v>
      </c>
      <c r="B7" s="343">
        <v>9.0999999999999998E-2</v>
      </c>
      <c r="C7" s="343">
        <v>4.4999999999999998E-2</v>
      </c>
      <c r="D7" s="343">
        <v>0.13600000000000001</v>
      </c>
      <c r="E7" s="348"/>
    </row>
    <row r="8" spans="1:7" s="341" customFormat="1" ht="17.25" customHeight="1" x14ac:dyDescent="0.3">
      <c r="A8" s="342" t="s">
        <v>235</v>
      </c>
      <c r="B8" s="343">
        <v>1.2E-2</v>
      </c>
      <c r="C8" s="343">
        <v>0.155</v>
      </c>
      <c r="D8" s="343">
        <v>0.16700000000000001</v>
      </c>
      <c r="E8" s="348"/>
    </row>
    <row r="9" spans="1:7" s="341" customFormat="1" ht="42" customHeight="1" x14ac:dyDescent="0.3">
      <c r="A9" s="747" t="s">
        <v>1429</v>
      </c>
      <c r="B9" s="747"/>
      <c r="C9" s="747"/>
      <c r="D9" s="747"/>
      <c r="E9" s="302"/>
      <c r="F9" s="302"/>
      <c r="G9" s="302"/>
    </row>
    <row r="10" spans="1:7" s="341" customFormat="1" ht="17.25" customHeight="1" x14ac:dyDescent="0.3">
      <c r="A10" s="302"/>
      <c r="B10" s="302"/>
      <c r="C10" s="302"/>
      <c r="D10" s="302"/>
      <c r="E10" s="302"/>
      <c r="F10" s="302"/>
      <c r="G10" s="302"/>
    </row>
    <row r="11" spans="1:7" s="341" customFormat="1" ht="17.25" customHeight="1" x14ac:dyDescent="0.3">
      <c r="A11" s="365"/>
      <c r="B11" s="365"/>
      <c r="C11" s="365"/>
      <c r="D11" s="302"/>
      <c r="E11" s="302"/>
      <c r="F11" s="302"/>
      <c r="G11" s="302"/>
    </row>
    <row r="12" spans="1:7" s="341" customFormat="1" ht="17.25" customHeight="1" x14ac:dyDescent="0.3">
      <c r="A12" s="347" t="s">
        <v>193</v>
      </c>
      <c r="B12" s="339" t="s">
        <v>1430</v>
      </c>
      <c r="C12" s="339" t="s">
        <v>1431</v>
      </c>
      <c r="D12" s="348"/>
      <c r="E12" s="302"/>
      <c r="F12" s="302"/>
      <c r="G12" s="302"/>
    </row>
    <row r="13" spans="1:7" s="341" customFormat="1" ht="17.25" customHeight="1" x14ac:dyDescent="0.3">
      <c r="A13" s="342" t="s">
        <v>1432</v>
      </c>
      <c r="B13" s="349"/>
      <c r="C13" s="349"/>
      <c r="D13" s="348"/>
      <c r="E13" s="302"/>
      <c r="F13" s="302"/>
      <c r="G13" s="302"/>
    </row>
    <row r="14" spans="1:7" s="341" customFormat="1" ht="17.25" customHeight="1" x14ac:dyDescent="0.3">
      <c r="A14" s="350" t="s">
        <v>1433</v>
      </c>
      <c r="B14" s="351">
        <v>195</v>
      </c>
      <c r="C14" s="343">
        <v>0.11600000000000001</v>
      </c>
      <c r="D14" s="348"/>
      <c r="E14" s="302"/>
      <c r="F14" s="302"/>
      <c r="G14" s="302"/>
    </row>
    <row r="15" spans="1:7" s="341" customFormat="1" ht="17.25" customHeight="1" x14ac:dyDescent="0.3">
      <c r="A15" s="350" t="s">
        <v>1434</v>
      </c>
      <c r="B15" s="351">
        <v>742</v>
      </c>
      <c r="C15" s="343">
        <v>7.3999999999999996E-2</v>
      </c>
      <c r="D15" s="348"/>
      <c r="E15" s="302"/>
      <c r="F15" s="302"/>
      <c r="G15" s="302"/>
    </row>
    <row r="16" spans="1:7" s="341" customFormat="1" ht="17.25" customHeight="1" x14ac:dyDescent="0.3">
      <c r="A16" s="350" t="s">
        <v>1435</v>
      </c>
      <c r="B16" s="351">
        <v>376</v>
      </c>
      <c r="C16" s="343">
        <v>0.13400000000000001</v>
      </c>
      <c r="D16" s="348"/>
      <c r="E16" s="302"/>
      <c r="F16" s="302"/>
      <c r="G16" s="302"/>
    </row>
    <row r="17" spans="1:7" s="341" customFormat="1" ht="17.25" customHeight="1" x14ac:dyDescent="0.3">
      <c r="A17" s="755"/>
      <c r="B17" s="756"/>
      <c r="C17" s="756"/>
      <c r="E17" s="302"/>
      <c r="F17" s="302"/>
      <c r="G17" s="302"/>
    </row>
    <row r="18" spans="1:7" s="341" customFormat="1" ht="17.25" customHeight="1" x14ac:dyDescent="0.3">
      <c r="E18" s="302"/>
      <c r="F18" s="302"/>
      <c r="G18" s="302"/>
    </row>
    <row r="19" spans="1:7" s="341" customFormat="1" ht="17.25" customHeight="1" x14ac:dyDescent="0.3">
      <c r="E19" s="365"/>
      <c r="F19" s="365"/>
      <c r="G19" s="302"/>
    </row>
    <row r="20" spans="1:7" s="341" customFormat="1" ht="30.75" customHeight="1" x14ac:dyDescent="0.3">
      <c r="A20" s="338" t="s">
        <v>194</v>
      </c>
      <c r="B20" s="352">
        <v>2019</v>
      </c>
      <c r="C20" s="352">
        <v>2020</v>
      </c>
      <c r="D20" s="352">
        <v>2021</v>
      </c>
      <c r="E20" s="367">
        <v>2022</v>
      </c>
      <c r="F20" s="367">
        <v>2023</v>
      </c>
      <c r="G20" s="348"/>
    </row>
    <row r="21" spans="1:7" s="341" customFormat="1" ht="17.25" customHeight="1" x14ac:dyDescent="0.3">
      <c r="A21" s="339" t="s">
        <v>1425</v>
      </c>
      <c r="B21" s="353">
        <v>4.5999999999999999E-2</v>
      </c>
      <c r="C21" s="353">
        <v>4.2000000000000003E-2</v>
      </c>
      <c r="D21" s="353">
        <v>5.4176544415004899E-2</v>
      </c>
      <c r="E21" s="353">
        <v>5.2999999999999999E-2</v>
      </c>
      <c r="F21" s="353">
        <v>4.7E-2</v>
      </c>
      <c r="G21" s="340"/>
    </row>
    <row r="22" spans="1:7" s="341" customFormat="1" ht="17.25" customHeight="1" x14ac:dyDescent="0.3">
      <c r="A22" s="339" t="s">
        <v>1426</v>
      </c>
      <c r="B22" s="353">
        <v>4.9000000000000002E-2</v>
      </c>
      <c r="C22" s="353">
        <v>4.9000000000000002E-2</v>
      </c>
      <c r="D22" s="353">
        <v>3.7303026077255601E-2</v>
      </c>
      <c r="E22" s="353">
        <v>3.3000000000000002E-2</v>
      </c>
      <c r="F22" s="353">
        <v>4.2999999999999997E-2</v>
      </c>
      <c r="G22" s="340"/>
    </row>
    <row r="23" spans="1:7" s="341" customFormat="1" ht="17.25" customHeight="1" x14ac:dyDescent="0.3">
      <c r="A23" s="339" t="s">
        <v>644</v>
      </c>
      <c r="B23" s="353">
        <v>9.5000000000000001E-2</v>
      </c>
      <c r="C23" s="353">
        <v>9.0999999999999998E-2</v>
      </c>
      <c r="D23" s="353">
        <v>9.0999999999999998E-2</v>
      </c>
      <c r="E23" s="353">
        <v>8.5999999999999993E-2</v>
      </c>
      <c r="F23" s="353">
        <v>0.09</v>
      </c>
      <c r="G23" s="340"/>
    </row>
    <row r="24" spans="1:7" s="341" customFormat="1" ht="30" customHeight="1" x14ac:dyDescent="0.3">
      <c r="A24" s="756"/>
      <c r="B24" s="756"/>
      <c r="C24" s="756"/>
      <c r="D24" s="756"/>
      <c r="E24" s="756"/>
      <c r="F24" s="756"/>
      <c r="G24" s="302"/>
    </row>
    <row r="25" spans="1:7" s="341" customFormat="1" ht="22.5" customHeight="1" x14ac:dyDescent="0.3">
      <c r="E25" s="302"/>
      <c r="F25" s="302"/>
      <c r="G25" s="302"/>
    </row>
    <row r="26" spans="1:7" s="341" customFormat="1" ht="22.5" customHeight="1" x14ac:dyDescent="0.3">
      <c r="E26" s="365"/>
      <c r="F26" s="365"/>
      <c r="G26" s="302"/>
    </row>
    <row r="27" spans="1:7" s="341" customFormat="1" ht="42.6" customHeight="1" x14ac:dyDescent="0.3">
      <c r="A27" s="354" t="s">
        <v>1436</v>
      </c>
      <c r="B27" s="352">
        <v>2019</v>
      </c>
      <c r="C27" s="352">
        <v>2020</v>
      </c>
      <c r="D27" s="352">
        <v>2021</v>
      </c>
      <c r="E27" s="352">
        <v>2022</v>
      </c>
      <c r="F27" s="352">
        <v>2023</v>
      </c>
      <c r="G27" s="348"/>
    </row>
    <row r="28" spans="1:7" s="341" customFormat="1" ht="23.25" customHeight="1" x14ac:dyDescent="0.3">
      <c r="A28" s="752" t="s">
        <v>1437</v>
      </c>
      <c r="B28" s="753"/>
      <c r="C28" s="753"/>
      <c r="D28" s="753"/>
      <c r="E28" s="753"/>
      <c r="F28" s="754"/>
      <c r="G28" s="348"/>
    </row>
    <row r="29" spans="1:7" s="341" customFormat="1" ht="20.85" customHeight="1" x14ac:dyDescent="0.3">
      <c r="A29" s="355" t="s">
        <v>1426</v>
      </c>
      <c r="B29" s="356">
        <v>627</v>
      </c>
      <c r="C29" s="356">
        <v>540</v>
      </c>
      <c r="D29" s="356">
        <v>452</v>
      </c>
      <c r="E29" s="357">
        <v>426</v>
      </c>
      <c r="F29" s="357">
        <v>535</v>
      </c>
      <c r="G29" s="348"/>
    </row>
    <row r="30" spans="1:7" s="341" customFormat="1" ht="20.85" customHeight="1" x14ac:dyDescent="0.3">
      <c r="A30" s="355" t="s">
        <v>1425</v>
      </c>
      <c r="B30" s="356">
        <v>581</v>
      </c>
      <c r="C30" s="356">
        <v>500</v>
      </c>
      <c r="D30" s="356">
        <v>641</v>
      </c>
      <c r="E30" s="357">
        <v>631</v>
      </c>
      <c r="F30" s="357">
        <v>521</v>
      </c>
      <c r="G30" s="348"/>
    </row>
    <row r="31" spans="1:7" s="341" customFormat="1" ht="20.85" customHeight="1" x14ac:dyDescent="0.3">
      <c r="A31" s="358" t="s">
        <v>1438</v>
      </c>
      <c r="B31" s="359">
        <v>1208</v>
      </c>
      <c r="C31" s="359">
        <v>1040</v>
      </c>
      <c r="D31" s="359">
        <v>1093</v>
      </c>
      <c r="E31" s="360">
        <v>1057</v>
      </c>
      <c r="F31" s="360">
        <v>1056</v>
      </c>
      <c r="G31" s="348"/>
    </row>
    <row r="32" spans="1:7" s="341" customFormat="1" ht="20.85" customHeight="1" x14ac:dyDescent="0.3">
      <c r="A32" s="355" t="s">
        <v>1439</v>
      </c>
      <c r="B32" s="343">
        <v>4.4999999999999998E-2</v>
      </c>
      <c r="C32" s="343">
        <v>4.2999999999999997E-2</v>
      </c>
      <c r="D32" s="343">
        <v>3.5999999999999997E-2</v>
      </c>
      <c r="E32" s="343">
        <v>3.3000000000000002E-2</v>
      </c>
      <c r="F32" s="343">
        <v>4.3999999999999997E-2</v>
      </c>
      <c r="G32" s="348"/>
    </row>
    <row r="33" spans="1:7" s="341" customFormat="1" ht="20.85" customHeight="1" x14ac:dyDescent="0.3">
      <c r="A33" s="355" t="s">
        <v>1440</v>
      </c>
      <c r="B33" s="343">
        <v>4.1000000000000002E-2</v>
      </c>
      <c r="C33" s="343">
        <v>0.04</v>
      </c>
      <c r="D33" s="343">
        <v>5.1999999999999998E-2</v>
      </c>
      <c r="E33" s="343">
        <v>4.9000000000000002E-2</v>
      </c>
      <c r="F33" s="343">
        <v>4.2999999999999997E-2</v>
      </c>
      <c r="G33" s="348"/>
    </row>
    <row r="34" spans="1:7" s="341" customFormat="1" ht="20.85" customHeight="1" x14ac:dyDescent="0.3">
      <c r="A34" s="358" t="s">
        <v>1441</v>
      </c>
      <c r="B34" s="361">
        <v>8.5999999999999993E-2</v>
      </c>
      <c r="C34" s="361">
        <v>8.4000000000000005E-2</v>
      </c>
      <c r="D34" s="361">
        <v>8.7999999999999995E-2</v>
      </c>
      <c r="E34" s="361">
        <v>8.2000000000000003E-2</v>
      </c>
      <c r="F34" s="361">
        <v>8.6999999999999994E-2</v>
      </c>
      <c r="G34" s="348"/>
    </row>
    <row r="35" spans="1:7" s="341" customFormat="1" ht="20.85" customHeight="1" x14ac:dyDescent="0.3">
      <c r="A35" s="752" t="s">
        <v>1442</v>
      </c>
      <c r="B35" s="753"/>
      <c r="C35" s="753"/>
      <c r="D35" s="753"/>
      <c r="E35" s="753"/>
      <c r="F35" s="754"/>
      <c r="G35" s="348"/>
    </row>
    <row r="36" spans="1:7" s="341" customFormat="1" ht="20.85" customHeight="1" x14ac:dyDescent="0.3">
      <c r="A36" s="355" t="s">
        <v>1426</v>
      </c>
      <c r="B36" s="356">
        <v>172</v>
      </c>
      <c r="C36" s="356">
        <v>154</v>
      </c>
      <c r="D36" s="356">
        <v>83</v>
      </c>
      <c r="E36" s="351">
        <v>79</v>
      </c>
      <c r="F36" s="351">
        <v>92</v>
      </c>
      <c r="G36" s="348"/>
    </row>
    <row r="37" spans="1:7" s="341" customFormat="1" ht="20.85" customHeight="1" x14ac:dyDescent="0.3">
      <c r="A37" s="355" t="s">
        <v>1425</v>
      </c>
      <c r="B37" s="356">
        <v>172</v>
      </c>
      <c r="C37" s="356">
        <v>104</v>
      </c>
      <c r="D37" s="356">
        <v>134</v>
      </c>
      <c r="E37" s="351">
        <v>170</v>
      </c>
      <c r="F37" s="351">
        <v>160</v>
      </c>
      <c r="G37" s="348"/>
    </row>
    <row r="38" spans="1:7" s="341" customFormat="1" ht="20.85" customHeight="1" x14ac:dyDescent="0.3">
      <c r="A38" s="358" t="s">
        <v>1443</v>
      </c>
      <c r="B38" s="359">
        <v>344</v>
      </c>
      <c r="C38" s="359">
        <v>258</v>
      </c>
      <c r="D38" s="359">
        <v>217</v>
      </c>
      <c r="E38" s="362">
        <v>249</v>
      </c>
      <c r="F38" s="362">
        <v>252</v>
      </c>
      <c r="G38" s="348"/>
    </row>
    <row r="39" spans="1:7" s="341" customFormat="1" ht="20.85" customHeight="1" x14ac:dyDescent="0.3">
      <c r="A39" s="355" t="s">
        <v>1439</v>
      </c>
      <c r="B39" s="343">
        <v>7.3999999999999996E-2</v>
      </c>
      <c r="C39" s="343">
        <v>8.4000000000000005E-2</v>
      </c>
      <c r="D39" s="343">
        <v>4.2999999999999997E-2</v>
      </c>
      <c r="E39" s="343">
        <v>3.5000000000000003E-2</v>
      </c>
      <c r="F39" s="343">
        <v>4.1000000000000002E-2</v>
      </c>
      <c r="G39" s="348"/>
    </row>
    <row r="40" spans="1:7" s="341" customFormat="1" ht="20.85" customHeight="1" x14ac:dyDescent="0.3">
      <c r="A40" s="355" t="s">
        <v>1440</v>
      </c>
      <c r="B40" s="343">
        <v>7.3999999999999996E-2</v>
      </c>
      <c r="C40" s="343">
        <v>5.7000000000000002E-2</v>
      </c>
      <c r="D40" s="343">
        <v>6.9000000000000006E-2</v>
      </c>
      <c r="E40" s="343">
        <v>7.4999999999999997E-2</v>
      </c>
      <c r="F40" s="343">
        <v>7.1999999999999995E-2</v>
      </c>
      <c r="G40" s="348"/>
    </row>
    <row r="41" spans="1:7" s="341" customFormat="1" ht="20.85" customHeight="1" x14ac:dyDescent="0.3">
      <c r="A41" s="358" t="s">
        <v>1444</v>
      </c>
      <c r="B41" s="361">
        <v>0.14699999999999999</v>
      </c>
      <c r="C41" s="361">
        <v>0.14000000000000001</v>
      </c>
      <c r="D41" s="361">
        <v>0.112</v>
      </c>
      <c r="E41" s="361">
        <v>0.11</v>
      </c>
      <c r="F41" s="361">
        <v>0.113</v>
      </c>
      <c r="G41" s="348"/>
    </row>
    <row r="42" spans="1:7" s="341" customFormat="1" ht="27.6" customHeight="1" x14ac:dyDescent="0.25">
      <c r="A42" s="747" t="s">
        <v>1445</v>
      </c>
      <c r="B42" s="747"/>
      <c r="C42" s="747"/>
      <c r="D42" s="747"/>
      <c r="E42" s="747"/>
      <c r="F42" s="747"/>
    </row>
    <row r="43" spans="1:7" s="341" customFormat="1" ht="22.5" customHeight="1" x14ac:dyDescent="0.3">
      <c r="E43" s="346"/>
      <c r="F43" s="346"/>
      <c r="G43" s="346"/>
    </row>
    <row r="44" spans="1:7" s="341" customFormat="1" ht="22.5" customHeight="1" x14ac:dyDescent="0.3">
      <c r="E44" s="302"/>
      <c r="F44" s="302"/>
      <c r="G44" s="302"/>
    </row>
    <row r="45" spans="1:7" s="341" customFormat="1" ht="50.85" customHeight="1" x14ac:dyDescent="0.3">
      <c r="A45" s="347" t="s">
        <v>196</v>
      </c>
      <c r="B45" s="339" t="s">
        <v>1446</v>
      </c>
      <c r="C45" s="339" t="s">
        <v>1447</v>
      </c>
      <c r="D45" s="348"/>
      <c r="E45" s="302"/>
      <c r="F45" s="302"/>
      <c r="G45" s="302"/>
    </row>
    <row r="46" spans="1:7" s="341" customFormat="1" ht="22.5" customHeight="1" x14ac:dyDescent="0.3">
      <c r="A46" s="363" t="s">
        <v>1448</v>
      </c>
      <c r="B46" s="349"/>
      <c r="C46" s="349"/>
      <c r="D46" s="348"/>
      <c r="E46" s="302"/>
      <c r="F46" s="302"/>
      <c r="G46" s="302"/>
    </row>
    <row r="47" spans="1:7" s="341" customFormat="1" ht="22.5" customHeight="1" x14ac:dyDescent="0.3">
      <c r="A47" s="350" t="s">
        <v>350</v>
      </c>
      <c r="B47" s="351">
        <v>570</v>
      </c>
      <c r="C47" s="343">
        <v>0.23300000000000001</v>
      </c>
      <c r="D47" s="348"/>
      <c r="E47" s="302"/>
      <c r="F47" s="302"/>
      <c r="G47" s="302"/>
    </row>
    <row r="48" spans="1:7" s="341" customFormat="1" ht="22.5" customHeight="1" x14ac:dyDescent="0.3">
      <c r="A48" s="350" t="s">
        <v>252</v>
      </c>
      <c r="B48" s="351">
        <v>440</v>
      </c>
      <c r="C48" s="343">
        <v>0.187</v>
      </c>
      <c r="D48" s="348"/>
      <c r="E48" s="302"/>
      <c r="F48" s="302"/>
      <c r="G48" s="302"/>
    </row>
    <row r="49" spans="1:7" s="341" customFormat="1" ht="22.5" customHeight="1" x14ac:dyDescent="0.3">
      <c r="A49" s="344" t="s">
        <v>1449</v>
      </c>
      <c r="B49" s="351">
        <v>396</v>
      </c>
      <c r="C49" s="343">
        <v>6.9000000000000006E-2</v>
      </c>
      <c r="D49" s="348"/>
      <c r="E49" s="302"/>
      <c r="F49" s="302"/>
      <c r="G49" s="302"/>
    </row>
    <row r="50" spans="1:7" s="341" customFormat="1" ht="22.5" customHeight="1" x14ac:dyDescent="0.3">
      <c r="A50" s="344" t="s">
        <v>1450</v>
      </c>
      <c r="B50" s="351">
        <v>632</v>
      </c>
      <c r="C50" s="343">
        <v>0.18099999999999999</v>
      </c>
      <c r="D50" s="348"/>
      <c r="E50" s="302"/>
      <c r="F50" s="302"/>
      <c r="G50" s="302"/>
    </row>
    <row r="51" spans="1:7" s="341" customFormat="1" ht="22.5" customHeight="1" x14ac:dyDescent="0.3">
      <c r="A51" s="350" t="s">
        <v>235</v>
      </c>
      <c r="B51" s="351">
        <v>185</v>
      </c>
      <c r="C51" s="343">
        <v>0.16900000000000001</v>
      </c>
      <c r="D51" s="348"/>
      <c r="E51" s="302"/>
      <c r="F51" s="302"/>
      <c r="G51" s="302"/>
    </row>
    <row r="52" spans="1:7" s="341" customFormat="1" ht="22.5" customHeight="1" x14ac:dyDescent="0.3">
      <c r="A52" s="342" t="s">
        <v>1446</v>
      </c>
      <c r="B52" s="360">
        <v>2223</v>
      </c>
      <c r="C52" s="361">
        <v>0.14699999999999999</v>
      </c>
      <c r="D52" s="348"/>
      <c r="E52" s="302"/>
      <c r="F52" s="302"/>
      <c r="G52" s="302"/>
    </row>
    <row r="53" spans="1:7" s="341" customFormat="1" ht="22.5" customHeight="1" x14ac:dyDescent="0.3">
      <c r="A53" s="363" t="s">
        <v>1451</v>
      </c>
      <c r="B53" s="349"/>
      <c r="C53" s="349"/>
      <c r="D53" s="348"/>
      <c r="E53" s="302"/>
      <c r="F53" s="302"/>
      <c r="G53" s="302"/>
    </row>
    <row r="54" spans="1:7" s="341" customFormat="1" ht="22.5" customHeight="1" x14ac:dyDescent="0.3">
      <c r="A54" s="350" t="s">
        <v>1452</v>
      </c>
      <c r="B54" s="357">
        <v>1</v>
      </c>
      <c r="C54" s="343">
        <v>0.111</v>
      </c>
      <c r="D54" s="348"/>
      <c r="E54" s="302"/>
      <c r="F54" s="302"/>
      <c r="G54" s="302"/>
    </row>
    <row r="55" spans="1:7" s="341" customFormat="1" ht="22.5" customHeight="1" x14ac:dyDescent="0.3">
      <c r="A55" s="350" t="s">
        <v>1382</v>
      </c>
      <c r="B55" s="357">
        <v>513</v>
      </c>
      <c r="C55" s="343">
        <v>0.216</v>
      </c>
      <c r="D55" s="348"/>
      <c r="E55" s="302"/>
      <c r="F55" s="302"/>
      <c r="G55" s="302"/>
    </row>
    <row r="56" spans="1:7" s="341" customFormat="1" ht="22.5" customHeight="1" x14ac:dyDescent="0.3">
      <c r="A56" s="350" t="s">
        <v>1383</v>
      </c>
      <c r="B56" s="357">
        <v>1329</v>
      </c>
      <c r="C56" s="343">
        <v>0.107</v>
      </c>
      <c r="D56" s="348"/>
      <c r="E56" s="302"/>
      <c r="F56" s="302"/>
      <c r="G56" s="302"/>
    </row>
    <row r="57" spans="1:7" s="341" customFormat="1" ht="22.5" customHeight="1" x14ac:dyDescent="0.3">
      <c r="A57" s="342" t="s">
        <v>1446</v>
      </c>
      <c r="B57" s="360">
        <v>1843</v>
      </c>
      <c r="C57" s="361">
        <v>0.124</v>
      </c>
      <c r="D57" s="348"/>
      <c r="E57" s="302"/>
      <c r="F57" s="302"/>
      <c r="G57" s="302"/>
    </row>
    <row r="58" spans="1:7" s="341" customFormat="1" ht="21.6" customHeight="1" x14ac:dyDescent="0.3">
      <c r="A58" s="363" t="s">
        <v>1453</v>
      </c>
      <c r="B58" s="349"/>
      <c r="C58" s="349"/>
      <c r="D58" s="348"/>
      <c r="E58" s="302"/>
      <c r="F58" s="302"/>
      <c r="G58" s="302"/>
    </row>
    <row r="59" spans="1:7" s="341" customFormat="1" ht="21.6" customHeight="1" x14ac:dyDescent="0.3">
      <c r="A59" s="355" t="s">
        <v>1433</v>
      </c>
      <c r="B59" s="351">
        <v>854</v>
      </c>
      <c r="C59" s="343">
        <v>0.45300000000000001</v>
      </c>
      <c r="D59" s="348"/>
      <c r="E59" s="302"/>
      <c r="F59" s="302"/>
      <c r="G59" s="302"/>
    </row>
    <row r="60" spans="1:7" s="341" customFormat="1" ht="21.6" customHeight="1" x14ac:dyDescent="0.3">
      <c r="A60" s="355" t="s">
        <v>1434</v>
      </c>
      <c r="B60" s="351">
        <v>1132</v>
      </c>
      <c r="C60" s="343">
        <v>0.111</v>
      </c>
      <c r="D60" s="348"/>
      <c r="E60" s="302"/>
      <c r="F60" s="302"/>
      <c r="G60" s="302"/>
    </row>
    <row r="61" spans="1:7" s="341" customFormat="1" ht="21.6" customHeight="1" x14ac:dyDescent="0.3">
      <c r="A61" s="355" t="s">
        <v>1435</v>
      </c>
      <c r="B61" s="351">
        <v>237</v>
      </c>
      <c r="C61" s="343">
        <v>7.9000000000000001E-2</v>
      </c>
      <c r="D61" s="348"/>
      <c r="E61" s="302"/>
      <c r="F61" s="302"/>
      <c r="G61" s="302"/>
    </row>
    <row r="62" spans="1:7" s="341" customFormat="1" ht="22.5" customHeight="1" x14ac:dyDescent="0.3">
      <c r="A62" s="364" t="s">
        <v>1446</v>
      </c>
      <c r="B62" s="360">
        <v>2223</v>
      </c>
      <c r="C62" s="361">
        <v>0.14699999999999999</v>
      </c>
      <c r="D62" s="348"/>
      <c r="E62" s="302"/>
      <c r="F62" s="302"/>
      <c r="G62" s="302"/>
    </row>
    <row r="63" spans="1:7" s="341" customFormat="1" ht="106.5" customHeight="1" x14ac:dyDescent="0.3">
      <c r="A63" s="747" t="s">
        <v>1454</v>
      </c>
      <c r="B63" s="747"/>
      <c r="C63" s="747"/>
      <c r="D63" s="302"/>
      <c r="E63" s="302"/>
      <c r="F63" s="302"/>
      <c r="G63" s="302"/>
    </row>
    <row r="64" spans="1:7" s="341" customFormat="1" ht="21.6" customHeight="1" x14ac:dyDescent="0.3">
      <c r="A64" s="368"/>
      <c r="B64" s="368"/>
      <c r="C64" s="368"/>
      <c r="D64" s="302"/>
      <c r="E64" s="302"/>
      <c r="F64" s="302"/>
      <c r="G64" s="302"/>
    </row>
    <row r="65" spans="4:7" s="341" customFormat="1" ht="21.6" customHeight="1" x14ac:dyDescent="0.3">
      <c r="D65" s="302"/>
      <c r="E65" s="302"/>
      <c r="F65" s="302"/>
      <c r="G65" s="302"/>
    </row>
    <row r="66" spans="4:7" s="341" customFormat="1" ht="21.6" customHeight="1" x14ac:dyDescent="0.3">
      <c r="D66" s="302"/>
      <c r="E66" s="302"/>
      <c r="F66" s="302"/>
      <c r="G66" s="302"/>
    </row>
    <row r="67" spans="4:7" s="341" customFormat="1" ht="39.9" customHeight="1" x14ac:dyDescent="0.3">
      <c r="D67" s="302"/>
      <c r="E67" s="302"/>
      <c r="F67" s="302"/>
      <c r="G67" s="302"/>
    </row>
    <row r="68" spans="4:7" ht="14.1" customHeight="1" x14ac:dyDescent="0.3">
      <c r="D68" s="366"/>
      <c r="E68" s="366"/>
      <c r="F68" s="366"/>
      <c r="G68" s="366"/>
    </row>
    <row r="69" spans="4:7" ht="65.849999999999994" customHeight="1" x14ac:dyDescent="0.3">
      <c r="D69" s="366"/>
      <c r="E69" s="366"/>
      <c r="F69" s="366"/>
      <c r="G69" s="366"/>
    </row>
  </sheetData>
  <sheetProtection algorithmName="SHA-512" hashValue="NicZq4FU6fZvJQ8q1odP6hdOnB+TYBvB8WMg8MuMDHs2tlB+vyNBzFwjFmaSSq2MsCZ3WFYwOUh7jB4Zv39qhA==" saltValue="M18Y+baQDMrm7noinVYjYA==" spinCount="100000" sheet="1" objects="1" scenarios="1" formatColumns="0" formatRows="0"/>
  <mergeCells count="8">
    <mergeCell ref="A35:F35"/>
    <mergeCell ref="A42:F42"/>
    <mergeCell ref="A63:C63"/>
    <mergeCell ref="A1:F1"/>
    <mergeCell ref="A9:D9"/>
    <mergeCell ref="A17:C17"/>
    <mergeCell ref="A24:F24"/>
    <mergeCell ref="A28:F28"/>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60"/>
  <sheetViews>
    <sheetView showRuler="0" workbookViewId="0">
      <selection activeCell="D18" sqref="D18"/>
    </sheetView>
  </sheetViews>
  <sheetFormatPr defaultColWidth="13.6640625" defaultRowHeight="13.2" x14ac:dyDescent="0.25"/>
  <cols>
    <col min="1" max="1" width="28.33203125" customWidth="1"/>
    <col min="2" max="7" width="20" customWidth="1"/>
    <col min="8" max="8" width="22.44140625" customWidth="1"/>
    <col min="9" max="9" width="22.6640625" customWidth="1"/>
    <col min="10" max="14" width="17.33203125" customWidth="1"/>
    <col min="15" max="15" width="7.5546875" customWidth="1"/>
    <col min="16" max="16" width="50.33203125" customWidth="1"/>
    <col min="17" max="21" width="19.5546875" customWidth="1"/>
    <col min="22" max="22" width="7.5546875" customWidth="1"/>
    <col min="23" max="23" width="33.6640625" customWidth="1"/>
    <col min="26" max="26" width="20" customWidth="1"/>
  </cols>
  <sheetData>
    <row r="1" spans="1:26" ht="22.5" customHeight="1" x14ac:dyDescent="0.3">
      <c r="A1" s="595" t="s">
        <v>1455</v>
      </c>
      <c r="B1" s="595"/>
      <c r="C1" s="595"/>
      <c r="D1" s="595"/>
      <c r="E1" s="595"/>
      <c r="F1" s="595"/>
      <c r="G1" s="17"/>
      <c r="H1" s="17"/>
    </row>
    <row r="2" spans="1:26" ht="23.25" customHeight="1" x14ac:dyDescent="0.3">
      <c r="A2" s="64"/>
      <c r="B2" s="64"/>
      <c r="C2" s="64"/>
      <c r="D2" s="64"/>
      <c r="E2" s="64"/>
      <c r="F2" s="64"/>
      <c r="G2" s="64"/>
      <c r="H2" s="2"/>
    </row>
    <row r="3" spans="1:26" ht="52.5" customHeight="1" x14ac:dyDescent="0.3">
      <c r="A3" s="45" t="s">
        <v>1456</v>
      </c>
      <c r="B3" s="18" t="s">
        <v>1457</v>
      </c>
      <c r="C3" s="18" t="s">
        <v>1371</v>
      </c>
      <c r="D3" s="18" t="s">
        <v>1458</v>
      </c>
      <c r="E3" s="18" t="s">
        <v>1459</v>
      </c>
      <c r="F3" s="18" t="s">
        <v>1373</v>
      </c>
      <c r="G3" s="18" t="s">
        <v>1460</v>
      </c>
      <c r="H3" s="13"/>
      <c r="V3" s="54"/>
      <c r="Z3" s="54"/>
    </row>
    <row r="4" spans="1:26" ht="21.6" customHeight="1" x14ac:dyDescent="0.3">
      <c r="A4" s="32" t="s">
        <v>344</v>
      </c>
      <c r="B4" s="166">
        <v>34</v>
      </c>
      <c r="C4" s="166">
        <v>39</v>
      </c>
      <c r="D4" s="48">
        <v>0.87179487179487203</v>
      </c>
      <c r="E4" s="166">
        <v>70</v>
      </c>
      <c r="F4" s="166">
        <v>78</v>
      </c>
      <c r="G4" s="48">
        <v>0.89743589743589702</v>
      </c>
      <c r="H4" s="13"/>
      <c r="V4" s="29"/>
      <c r="Z4" s="29"/>
    </row>
    <row r="5" spans="1:26" ht="21.6" customHeight="1" x14ac:dyDescent="0.3">
      <c r="A5" s="32" t="s">
        <v>345</v>
      </c>
      <c r="B5" s="166">
        <v>350</v>
      </c>
      <c r="C5" s="166">
        <v>354</v>
      </c>
      <c r="D5" s="48">
        <v>0.98870056497175096</v>
      </c>
      <c r="E5" s="166">
        <v>1778</v>
      </c>
      <c r="F5" s="166">
        <v>1818</v>
      </c>
      <c r="G5" s="48">
        <v>0.97799779977997803</v>
      </c>
      <c r="H5" s="13"/>
      <c r="V5" s="29"/>
      <c r="Z5" s="29"/>
    </row>
    <row r="6" spans="1:26" ht="21.6" customHeight="1" x14ac:dyDescent="0.3">
      <c r="A6" s="32" t="s">
        <v>346</v>
      </c>
      <c r="B6" s="166">
        <v>1031</v>
      </c>
      <c r="C6" s="166">
        <v>1136</v>
      </c>
      <c r="D6" s="48">
        <v>0.90757042253521103</v>
      </c>
      <c r="E6" s="167">
        <v>2730</v>
      </c>
      <c r="F6" s="167">
        <v>2895</v>
      </c>
      <c r="G6" s="48">
        <v>0.94300518134714995</v>
      </c>
      <c r="H6" s="13"/>
      <c r="V6" s="29"/>
      <c r="Z6" s="29"/>
    </row>
    <row r="7" spans="1:26" ht="21.6" customHeight="1" x14ac:dyDescent="0.3">
      <c r="A7" s="32" t="s">
        <v>347</v>
      </c>
      <c r="B7" s="166">
        <v>609</v>
      </c>
      <c r="C7" s="166">
        <v>843</v>
      </c>
      <c r="D7" s="48">
        <v>0.722419928825623</v>
      </c>
      <c r="E7" s="166">
        <v>3465</v>
      </c>
      <c r="F7" s="166">
        <v>7665</v>
      </c>
      <c r="G7" s="48">
        <v>0.45205479452054798</v>
      </c>
      <c r="H7" s="13"/>
      <c r="V7" s="29"/>
      <c r="Z7" s="29"/>
    </row>
    <row r="8" spans="1:26" ht="21.6" customHeight="1" x14ac:dyDescent="0.3">
      <c r="A8" s="32" t="s">
        <v>318</v>
      </c>
      <c r="B8" s="168">
        <v>2024</v>
      </c>
      <c r="C8" s="168">
        <v>2372</v>
      </c>
      <c r="D8" s="292">
        <v>0.85328836424957799</v>
      </c>
      <c r="E8" s="168">
        <v>8043</v>
      </c>
      <c r="F8" s="168">
        <v>12456</v>
      </c>
      <c r="G8" s="292">
        <v>0.64571290944123305</v>
      </c>
      <c r="H8" s="13"/>
      <c r="V8" s="17"/>
      <c r="Z8" s="67"/>
    </row>
    <row r="9" spans="1:26" ht="42.6" customHeight="1" x14ac:dyDescent="0.3">
      <c r="A9" s="532" t="s">
        <v>1461</v>
      </c>
      <c r="B9" s="547"/>
      <c r="C9" s="547"/>
      <c r="D9" s="547"/>
      <c r="E9" s="547"/>
      <c r="F9" s="547"/>
      <c r="G9" s="547"/>
      <c r="V9" s="2"/>
      <c r="Z9" s="316"/>
    </row>
    <row r="10" spans="1:26" ht="15" customHeight="1" x14ac:dyDescent="0.3">
      <c r="A10" s="301"/>
      <c r="B10" s="301"/>
      <c r="C10" s="2"/>
      <c r="D10" s="2"/>
      <c r="E10" s="2"/>
      <c r="P10" s="316"/>
      <c r="Q10" s="316"/>
      <c r="R10" s="316"/>
      <c r="S10" s="316"/>
      <c r="T10" s="316"/>
      <c r="U10" s="316"/>
      <c r="V10" s="2"/>
      <c r="W10" s="316"/>
      <c r="X10" s="316"/>
      <c r="Y10" s="316"/>
      <c r="Z10" s="316"/>
    </row>
    <row r="11" spans="1:26" ht="15" customHeight="1" x14ac:dyDescent="0.3">
      <c r="A11" s="319"/>
      <c r="B11" s="319"/>
      <c r="C11" s="64"/>
      <c r="D11" s="64"/>
      <c r="E11" s="64"/>
      <c r="W11" s="316"/>
      <c r="X11" s="316"/>
      <c r="Y11" s="316"/>
      <c r="Z11" s="316"/>
    </row>
    <row r="12" spans="1:26" ht="55.95" customHeight="1" x14ac:dyDescent="0.3">
      <c r="A12" s="45" t="s">
        <v>199</v>
      </c>
      <c r="B12" s="18" t="s">
        <v>1462</v>
      </c>
      <c r="C12" s="164" t="s">
        <v>1463</v>
      </c>
      <c r="D12" s="164" t="s">
        <v>1464</v>
      </c>
      <c r="E12" s="164" t="s">
        <v>1465</v>
      </c>
      <c r="F12" s="13"/>
      <c r="H12" s="3"/>
      <c r="S12" s="67"/>
      <c r="T12" s="67"/>
      <c r="U12" s="67"/>
      <c r="V12" s="67"/>
    </row>
    <row r="13" spans="1:26" ht="26.7" customHeight="1" x14ac:dyDescent="0.3">
      <c r="A13" s="32"/>
      <c r="B13" s="252">
        <v>549726.74</v>
      </c>
      <c r="C13" s="191">
        <v>36.386466772570799</v>
      </c>
      <c r="D13" s="275">
        <v>11344086.869999999</v>
      </c>
      <c r="E13" s="275">
        <v>750.86622120730704</v>
      </c>
      <c r="F13" s="13"/>
      <c r="H13" s="3"/>
      <c r="I13" s="2"/>
    </row>
    <row r="14" spans="1:26" ht="27.6" customHeight="1" x14ac:dyDescent="0.3">
      <c r="A14" s="532" t="s">
        <v>1466</v>
      </c>
      <c r="B14" s="532"/>
      <c r="C14" s="532"/>
      <c r="D14" s="532"/>
      <c r="E14" s="532"/>
      <c r="F14" s="27"/>
      <c r="H14" s="3"/>
      <c r="I14" s="2"/>
    </row>
    <row r="15" spans="1:26" ht="26.7" customHeight="1" x14ac:dyDescent="0.3">
      <c r="A15" s="64"/>
      <c r="B15" s="64"/>
      <c r="C15" s="64"/>
      <c r="D15" s="2"/>
      <c r="E15" s="2"/>
      <c r="H15" s="3"/>
      <c r="I15" s="2"/>
    </row>
    <row r="16" spans="1:26" ht="37.5" customHeight="1" x14ac:dyDescent="0.3">
      <c r="A16" s="33" t="s">
        <v>1467</v>
      </c>
      <c r="B16" s="18" t="s">
        <v>1382</v>
      </c>
      <c r="C16" s="18" t="s">
        <v>1383</v>
      </c>
      <c r="D16" s="13"/>
      <c r="E16" s="2"/>
      <c r="H16" s="3"/>
      <c r="I16" s="2"/>
    </row>
    <row r="17" spans="1:17" ht="27.6" customHeight="1" x14ac:dyDescent="0.3">
      <c r="A17" s="32" t="s">
        <v>344</v>
      </c>
      <c r="B17" s="166">
        <v>12.4007692307692</v>
      </c>
      <c r="C17" s="166">
        <v>26.234743589743601</v>
      </c>
      <c r="D17" s="226"/>
      <c r="E17" s="233"/>
      <c r="F17" s="233"/>
    </row>
    <row r="18" spans="1:17" ht="27.6" customHeight="1" x14ac:dyDescent="0.3">
      <c r="A18" s="32" t="s">
        <v>345</v>
      </c>
      <c r="B18" s="166">
        <v>20.422288135593199</v>
      </c>
      <c r="C18" s="166">
        <v>28.268173817381701</v>
      </c>
      <c r="D18" s="226"/>
      <c r="E18" s="233"/>
      <c r="F18" s="233"/>
    </row>
    <row r="19" spans="1:17" ht="27.6" customHeight="1" x14ac:dyDescent="0.3">
      <c r="A19" s="32" t="s">
        <v>346</v>
      </c>
      <c r="B19" s="166">
        <v>21.5747975352113</v>
      </c>
      <c r="C19" s="166">
        <v>27.0382003454231</v>
      </c>
      <c r="D19" s="226"/>
      <c r="E19" s="233"/>
      <c r="F19" s="233"/>
    </row>
    <row r="20" spans="1:17" ht="27.6" customHeight="1" x14ac:dyDescent="0.3">
      <c r="A20" s="32" t="s">
        <v>347</v>
      </c>
      <c r="B20" s="166">
        <v>71.651304863582496</v>
      </c>
      <c r="C20" s="166">
        <v>42.451292889758598</v>
      </c>
      <c r="D20" s="226"/>
      <c r="E20" s="233"/>
      <c r="F20" s="233"/>
    </row>
    <row r="21" spans="1:17" ht="19.2" customHeight="1" x14ac:dyDescent="0.3">
      <c r="A21" s="532" t="s">
        <v>1468</v>
      </c>
      <c r="B21" s="532"/>
      <c r="C21" s="532"/>
      <c r="D21" s="233"/>
      <c r="E21" s="233"/>
      <c r="F21" s="233"/>
    </row>
    <row r="22" spans="1:17" ht="19.2" customHeight="1" x14ac:dyDescent="0.3">
      <c r="A22" s="598"/>
      <c r="B22" s="598"/>
      <c r="C22" s="598"/>
      <c r="D22" s="233"/>
      <c r="E22" s="233"/>
      <c r="F22" s="233"/>
    </row>
    <row r="23" spans="1:17" ht="19.2" customHeight="1" x14ac:dyDescent="0.3">
      <c r="B23" s="233"/>
      <c r="C23" s="233"/>
      <c r="D23" s="233"/>
      <c r="E23" s="233"/>
      <c r="F23" s="233"/>
    </row>
    <row r="24" spans="1:17" ht="19.2" customHeight="1" x14ac:dyDescent="0.3">
      <c r="B24" s="370"/>
      <c r="C24" s="370"/>
      <c r="D24" s="370"/>
      <c r="E24" s="370"/>
      <c r="F24" s="370"/>
    </row>
    <row r="25" spans="1:17" ht="44.25" customHeight="1" x14ac:dyDescent="0.3">
      <c r="A25" s="45" t="s">
        <v>201</v>
      </c>
      <c r="B25" s="18" t="s">
        <v>1469</v>
      </c>
      <c r="C25" s="112" t="s">
        <v>222</v>
      </c>
      <c r="D25" s="112" t="s">
        <v>387</v>
      </c>
      <c r="E25" s="112" t="s">
        <v>217</v>
      </c>
      <c r="F25" s="18" t="s">
        <v>1470</v>
      </c>
      <c r="G25" s="13"/>
    </row>
    <row r="26" spans="1:17" ht="24.15" customHeight="1" x14ac:dyDescent="0.3">
      <c r="A26" s="32" t="s">
        <v>344</v>
      </c>
      <c r="B26" s="166">
        <v>5</v>
      </c>
      <c r="C26" s="166">
        <v>5</v>
      </c>
      <c r="D26" s="166">
        <v>5.8475609756097597</v>
      </c>
      <c r="E26" s="166">
        <v>13.767647058823499</v>
      </c>
      <c r="F26" s="166">
        <v>21.623418803418801</v>
      </c>
      <c r="G26" s="13"/>
    </row>
    <row r="27" spans="1:17" ht="24.15" customHeight="1" x14ac:dyDescent="0.3">
      <c r="A27" s="32" t="s">
        <v>345</v>
      </c>
      <c r="B27" s="166">
        <v>31</v>
      </c>
      <c r="C27" s="166">
        <v>22</v>
      </c>
      <c r="D27" s="166">
        <v>34.900590799031498</v>
      </c>
      <c r="E27" s="166">
        <v>36.8437558247903</v>
      </c>
      <c r="F27" s="166">
        <v>26.989424493554299</v>
      </c>
      <c r="G27" s="55"/>
      <c r="H27" s="17"/>
    </row>
    <row r="28" spans="1:17" ht="24.15" customHeight="1" x14ac:dyDescent="0.25">
      <c r="A28" s="32" t="s">
        <v>346</v>
      </c>
      <c r="B28" s="166">
        <v>36</v>
      </c>
      <c r="C28" s="166">
        <v>22</v>
      </c>
      <c r="D28" s="166">
        <v>25.3166422962361</v>
      </c>
      <c r="E28" s="166">
        <v>27.9047477899116</v>
      </c>
      <c r="F28" s="166">
        <v>14.8561225502357</v>
      </c>
      <c r="G28" s="266"/>
      <c r="H28" s="29"/>
    </row>
    <row r="29" spans="1:17" ht="24.15" customHeight="1" x14ac:dyDescent="0.25">
      <c r="A29" s="32" t="s">
        <v>347</v>
      </c>
      <c r="B29" s="166">
        <v>51</v>
      </c>
      <c r="C29" s="166">
        <v>42</v>
      </c>
      <c r="D29" s="166">
        <v>49.114437924289497</v>
      </c>
      <c r="E29" s="166">
        <v>64.135226980977905</v>
      </c>
      <c r="F29" s="166">
        <v>90.666363422660993</v>
      </c>
      <c r="G29" s="266"/>
      <c r="H29" s="29"/>
    </row>
    <row r="30" spans="1:17" ht="21.6" customHeight="1" x14ac:dyDescent="0.25">
      <c r="A30" s="532" t="s">
        <v>1471</v>
      </c>
      <c r="B30" s="532"/>
      <c r="C30" s="532"/>
      <c r="D30" s="532"/>
      <c r="E30" s="532"/>
      <c r="F30" s="532"/>
      <c r="G30" s="301"/>
      <c r="H30" s="301"/>
    </row>
    <row r="31" spans="1:17" ht="21.6" customHeight="1" x14ac:dyDescent="0.25">
      <c r="A31" s="598"/>
      <c r="B31" s="598"/>
      <c r="C31" s="598"/>
      <c r="D31" s="598"/>
      <c r="E31" s="598"/>
      <c r="F31" s="598"/>
      <c r="G31" s="301"/>
      <c r="H31" s="301"/>
      <c r="P31" s="518"/>
      <c r="Q31" s="518"/>
    </row>
    <row r="32" spans="1:17" ht="15" customHeight="1" x14ac:dyDescent="0.25">
      <c r="G32" s="301"/>
      <c r="H32" s="301"/>
    </row>
    <row r="33" spans="1:8" ht="15" customHeight="1" x14ac:dyDescent="0.25">
      <c r="G33" s="301"/>
      <c r="H33" s="301"/>
    </row>
    <row r="34" spans="1:8" ht="39.9" customHeight="1" x14ac:dyDescent="0.3">
      <c r="A34" s="2"/>
      <c r="B34" s="2"/>
      <c r="C34" s="2"/>
      <c r="G34" s="2"/>
      <c r="H34" s="2"/>
    </row>
    <row r="35" spans="1:8" ht="24.15" customHeight="1" x14ac:dyDescent="0.3">
      <c r="A35" s="2"/>
      <c r="B35" s="2"/>
      <c r="C35" s="2"/>
      <c r="D35" s="2"/>
      <c r="E35" s="2"/>
      <c r="F35" s="2"/>
      <c r="G35" s="2"/>
      <c r="H35" s="2"/>
    </row>
    <row r="36" spans="1:8" ht="24.15" customHeight="1" x14ac:dyDescent="0.3">
      <c r="A36" s="2"/>
      <c r="B36" s="2"/>
      <c r="C36" s="2"/>
      <c r="F36" s="2"/>
      <c r="G36" s="2"/>
      <c r="H36" s="2"/>
    </row>
    <row r="37" spans="1:8" ht="24.15" customHeight="1" x14ac:dyDescent="0.3">
      <c r="A37" s="2"/>
      <c r="B37" s="2"/>
      <c r="C37" s="2"/>
      <c r="F37" s="17"/>
      <c r="G37" s="17"/>
      <c r="H37" s="17"/>
    </row>
    <row r="38" spans="1:8" ht="24.15" customHeight="1" x14ac:dyDescent="0.3">
      <c r="A38" s="2"/>
      <c r="B38" s="2"/>
      <c r="C38" s="2"/>
      <c r="F38" s="17"/>
      <c r="G38" s="17"/>
      <c r="H38" s="17"/>
    </row>
    <row r="39" spans="1:8" ht="15.75" customHeight="1" x14ac:dyDescent="0.3">
      <c r="A39" s="2"/>
      <c r="F39" s="17"/>
      <c r="G39" s="17"/>
      <c r="H39" s="17"/>
    </row>
    <row r="40" spans="1:8" ht="15.75" customHeight="1" x14ac:dyDescent="0.3">
      <c r="F40" s="17"/>
      <c r="G40" s="17"/>
      <c r="H40" s="17"/>
    </row>
    <row r="41" spans="1:8" ht="36.6" customHeight="1" x14ac:dyDescent="0.3">
      <c r="A41" s="17"/>
      <c r="B41" s="17"/>
      <c r="C41" s="17"/>
      <c r="D41" s="17"/>
      <c r="E41" s="17"/>
      <c r="F41" s="17"/>
      <c r="G41" s="17"/>
      <c r="H41" s="17"/>
    </row>
    <row r="42" spans="1:8" ht="36.6" customHeight="1" x14ac:dyDescent="0.3">
      <c r="F42" s="29"/>
      <c r="G42" s="17"/>
      <c r="H42" s="17"/>
    </row>
    <row r="43" spans="1:8" ht="21.6" customHeight="1" x14ac:dyDescent="0.3">
      <c r="F43" s="29"/>
      <c r="G43" s="17"/>
      <c r="H43" s="17"/>
    </row>
    <row r="44" spans="1:8" ht="21.6" customHeight="1" x14ac:dyDescent="0.3">
      <c r="F44" s="29"/>
      <c r="G44" s="17"/>
      <c r="H44" s="17"/>
    </row>
    <row r="45" spans="1:8" ht="21.6" customHeight="1" x14ac:dyDescent="0.3">
      <c r="F45" s="29"/>
      <c r="G45" s="17"/>
      <c r="H45" s="17"/>
    </row>
    <row r="46" spans="1:8" ht="21.6" customHeight="1" x14ac:dyDescent="0.3">
      <c r="F46" s="29"/>
      <c r="G46" s="17"/>
      <c r="H46" s="17"/>
    </row>
    <row r="47" spans="1:8" ht="14.1" customHeight="1" x14ac:dyDescent="0.3">
      <c r="F47" s="17"/>
      <c r="G47" s="17"/>
      <c r="H47" s="17"/>
    </row>
    <row r="48" spans="1:8" ht="14.1" customHeight="1" x14ac:dyDescent="0.3">
      <c r="F48" s="17"/>
      <c r="G48" s="17"/>
      <c r="H48" s="17"/>
    </row>
    <row r="49" spans="1:8" ht="14.1" customHeight="1" x14ac:dyDescent="0.3">
      <c r="F49" s="17"/>
      <c r="G49" s="17"/>
      <c r="H49" s="17"/>
    </row>
    <row r="50" spans="1:8" ht="66.599999999999994" customHeight="1" x14ac:dyDescent="0.3">
      <c r="A50" s="17"/>
      <c r="B50" s="17"/>
      <c r="C50" s="17"/>
      <c r="D50" s="17"/>
      <c r="E50" s="17"/>
      <c r="F50" s="17"/>
      <c r="G50" s="17"/>
      <c r="H50" s="17"/>
    </row>
    <row r="51" spans="1:8" ht="46.65" customHeight="1" x14ac:dyDescent="0.3">
      <c r="C51" s="17"/>
      <c r="D51" s="17"/>
      <c r="E51" s="17"/>
      <c r="F51" s="17"/>
      <c r="G51" s="17"/>
      <c r="H51" s="17"/>
    </row>
    <row r="52" spans="1:8" ht="21.6" customHeight="1" x14ac:dyDescent="0.3">
      <c r="C52" s="17"/>
      <c r="D52" s="17"/>
      <c r="E52" s="17"/>
      <c r="F52" s="17"/>
      <c r="G52" s="17"/>
      <c r="H52" s="17"/>
    </row>
    <row r="53" spans="1:8" ht="21.6" customHeight="1" x14ac:dyDescent="0.3">
      <c r="C53" s="17"/>
      <c r="D53" s="17"/>
      <c r="E53" s="17"/>
      <c r="F53" s="17"/>
      <c r="G53" s="17"/>
      <c r="H53" s="17"/>
    </row>
    <row r="54" spans="1:8" ht="21.6" customHeight="1" x14ac:dyDescent="0.3">
      <c r="C54" s="17"/>
      <c r="D54" s="17"/>
      <c r="E54" s="17"/>
      <c r="F54" s="17"/>
      <c r="G54" s="17"/>
      <c r="H54" s="17"/>
    </row>
    <row r="55" spans="1:8" ht="21.6" customHeight="1" x14ac:dyDescent="0.3">
      <c r="C55" s="17"/>
      <c r="D55" s="17"/>
      <c r="E55" s="17"/>
      <c r="F55" s="17"/>
      <c r="G55" s="17"/>
      <c r="H55" s="17"/>
    </row>
    <row r="56" spans="1:8" ht="14.1" customHeight="1" x14ac:dyDescent="0.3">
      <c r="C56" s="17"/>
      <c r="D56" s="17"/>
      <c r="E56" s="17"/>
      <c r="F56" s="17"/>
      <c r="G56" s="17"/>
      <c r="H56" s="17"/>
    </row>
    <row r="57" spans="1:8" ht="14.1" customHeight="1" x14ac:dyDescent="0.3">
      <c r="C57" s="17"/>
      <c r="D57" s="17"/>
      <c r="E57" s="17"/>
      <c r="F57" s="17"/>
      <c r="G57" s="17"/>
      <c r="H57" s="17"/>
    </row>
    <row r="58" spans="1:8" ht="14.1" customHeight="1" x14ac:dyDescent="0.3">
      <c r="C58" s="17"/>
      <c r="D58" s="17"/>
      <c r="E58" s="17"/>
      <c r="F58" s="17"/>
      <c r="G58" s="17"/>
      <c r="H58" s="17"/>
    </row>
    <row r="59" spans="1:8" ht="14.1" customHeight="1" x14ac:dyDescent="0.3">
      <c r="C59" s="17"/>
      <c r="D59" s="17"/>
      <c r="E59" s="17"/>
      <c r="F59" s="17"/>
      <c r="G59" s="17"/>
      <c r="H59" s="17"/>
    </row>
    <row r="60" spans="1:8" ht="14.1" customHeight="1" x14ac:dyDescent="0.3">
      <c r="C60" s="17"/>
      <c r="D60" s="17"/>
      <c r="E60" s="17"/>
      <c r="F60" s="17"/>
      <c r="G60" s="17"/>
      <c r="H60" s="17"/>
    </row>
  </sheetData>
  <sheetProtection algorithmName="SHA-512" hashValue="lWmPLSnw4Hj0ev14w7Y9NHpOAkJZNPhyiGzq3jiPdx9TMx0tRni99BtnAW+B9mfnPvkXx/zII6Jo86XXGdLrMw==" saltValue="5cz+Y6CsoiF2NNscNQxmbw==" spinCount="100000" sheet="1" objects="1" scenarios="1" formatColumns="0" formatRows="0"/>
  <mergeCells count="6">
    <mergeCell ref="P31:Q31"/>
    <mergeCell ref="A1:F1"/>
    <mergeCell ref="A9:G9"/>
    <mergeCell ref="A14:E14"/>
    <mergeCell ref="A30:F31"/>
    <mergeCell ref="A21:C2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49"/>
  <sheetViews>
    <sheetView showRuler="0" topLeftCell="A3" workbookViewId="0">
      <selection activeCell="F33" sqref="F33"/>
    </sheetView>
  </sheetViews>
  <sheetFormatPr defaultColWidth="13.6640625" defaultRowHeight="13.8" x14ac:dyDescent="0.3"/>
  <cols>
    <col min="1" max="1" width="13.6640625" style="371"/>
    <col min="2" max="2" width="24.33203125" style="371" customWidth="1"/>
    <col min="3" max="3" width="24.88671875" style="371" customWidth="1"/>
    <col min="4" max="4" width="16.6640625" style="371" customWidth="1"/>
    <col min="5" max="16384" width="13.6640625" style="371"/>
  </cols>
  <sheetData>
    <row r="1" spans="1:8" ht="22.5" customHeight="1" x14ac:dyDescent="0.3">
      <c r="A1" s="741" t="s">
        <v>1472</v>
      </c>
      <c r="B1" s="741"/>
      <c r="C1" s="741"/>
      <c r="D1" s="741"/>
      <c r="E1" s="741"/>
    </row>
    <row r="2" spans="1:8" ht="15" customHeight="1" x14ac:dyDescent="0.3"/>
    <row r="3" spans="1:8" ht="57.75" customHeight="1" x14ac:dyDescent="0.3">
      <c r="A3" s="347" t="s">
        <v>1473</v>
      </c>
      <c r="B3" s="339" t="s">
        <v>1009</v>
      </c>
      <c r="C3" s="339" t="s">
        <v>1474</v>
      </c>
      <c r="D3" s="339" t="s">
        <v>1475</v>
      </c>
      <c r="E3" s="339" t="s">
        <v>1476</v>
      </c>
      <c r="G3" s="302"/>
      <c r="H3" s="302"/>
    </row>
    <row r="4" spans="1:8" ht="15" customHeight="1" x14ac:dyDescent="0.3">
      <c r="A4" s="760" t="s">
        <v>245</v>
      </c>
      <c r="B4" s="372" t="s">
        <v>246</v>
      </c>
      <c r="C4" s="373">
        <v>876</v>
      </c>
      <c r="D4" s="373">
        <v>15622</v>
      </c>
      <c r="E4" s="373">
        <v>1704</v>
      </c>
      <c r="G4" s="302"/>
      <c r="H4" s="302"/>
    </row>
    <row r="5" spans="1:8" ht="15" customHeight="1" x14ac:dyDescent="0.3">
      <c r="A5" s="757"/>
      <c r="B5" s="374" t="s">
        <v>514</v>
      </c>
      <c r="C5" s="375">
        <v>581</v>
      </c>
      <c r="D5" s="375">
        <v>7976</v>
      </c>
      <c r="E5" s="375">
        <v>1130</v>
      </c>
      <c r="G5" s="302"/>
      <c r="H5" s="302"/>
    </row>
    <row r="6" spans="1:8" ht="15" customHeight="1" x14ac:dyDescent="0.3">
      <c r="A6" s="758"/>
      <c r="B6" s="374" t="s">
        <v>247</v>
      </c>
      <c r="C6" s="375">
        <v>295</v>
      </c>
      <c r="D6" s="375">
        <v>7646</v>
      </c>
      <c r="E6" s="375">
        <v>574</v>
      </c>
      <c r="G6" s="302"/>
      <c r="H6" s="302"/>
    </row>
    <row r="7" spans="1:8" ht="15" customHeight="1" x14ac:dyDescent="0.3">
      <c r="A7" s="760" t="s">
        <v>251</v>
      </c>
      <c r="B7" s="372" t="s">
        <v>252</v>
      </c>
      <c r="C7" s="373">
        <v>1438</v>
      </c>
      <c r="D7" s="373">
        <v>38836</v>
      </c>
      <c r="E7" s="373">
        <v>2681</v>
      </c>
      <c r="G7" s="302"/>
      <c r="H7" s="302"/>
    </row>
    <row r="8" spans="1:8" ht="15" customHeight="1" x14ac:dyDescent="0.3">
      <c r="A8" s="757"/>
      <c r="B8" s="374" t="s">
        <v>253</v>
      </c>
      <c r="C8" s="375">
        <v>990</v>
      </c>
      <c r="D8" s="375">
        <v>36467</v>
      </c>
      <c r="E8" s="375">
        <v>1814</v>
      </c>
      <c r="G8" s="302"/>
      <c r="H8" s="302"/>
    </row>
    <row r="9" spans="1:8" ht="15" customHeight="1" x14ac:dyDescent="0.3">
      <c r="A9" s="761"/>
      <c r="B9" s="374" t="s">
        <v>256</v>
      </c>
      <c r="C9" s="376">
        <v>448</v>
      </c>
      <c r="D9" s="377">
        <v>2369</v>
      </c>
      <c r="E9" s="376">
        <v>867</v>
      </c>
      <c r="G9" s="302"/>
      <c r="H9" s="302"/>
    </row>
    <row r="10" spans="1:8" ht="15" customHeight="1" x14ac:dyDescent="0.3">
      <c r="A10" s="759" t="s">
        <v>213</v>
      </c>
      <c r="B10" s="380" t="s">
        <v>328</v>
      </c>
      <c r="C10" s="373">
        <v>269</v>
      </c>
      <c r="D10" s="373">
        <v>1084</v>
      </c>
      <c r="E10" s="373">
        <v>510</v>
      </c>
      <c r="G10" s="302"/>
      <c r="H10" s="302"/>
    </row>
    <row r="11" spans="1:8" ht="15" customHeight="1" x14ac:dyDescent="0.3">
      <c r="A11" s="759"/>
      <c r="B11" s="381" t="s">
        <v>453</v>
      </c>
      <c r="C11" s="375">
        <v>269</v>
      </c>
      <c r="D11" s="375">
        <v>1084</v>
      </c>
      <c r="E11" s="375">
        <v>510</v>
      </c>
      <c r="G11" s="302"/>
      <c r="H11" s="302"/>
    </row>
    <row r="12" spans="1:8" ht="15" customHeight="1" x14ac:dyDescent="0.3">
      <c r="A12" s="759"/>
      <c r="B12" s="380" t="s">
        <v>214</v>
      </c>
      <c r="C12" s="373">
        <v>672</v>
      </c>
      <c r="D12" s="373">
        <v>20850</v>
      </c>
      <c r="E12" s="373">
        <v>901</v>
      </c>
      <c r="G12" s="302"/>
      <c r="H12" s="302"/>
    </row>
    <row r="13" spans="1:8" ht="15" customHeight="1" x14ac:dyDescent="0.3">
      <c r="A13" s="759"/>
      <c r="B13" s="381" t="s">
        <v>215</v>
      </c>
      <c r="C13" s="376">
        <v>672</v>
      </c>
      <c r="D13" s="377">
        <v>20850</v>
      </c>
      <c r="E13" s="376">
        <v>901</v>
      </c>
      <c r="G13" s="302"/>
      <c r="H13" s="302"/>
    </row>
    <row r="14" spans="1:8" ht="15" customHeight="1" x14ac:dyDescent="0.3">
      <c r="A14" s="759"/>
      <c r="B14" s="380" t="s">
        <v>265</v>
      </c>
      <c r="C14" s="373">
        <v>242</v>
      </c>
      <c r="D14" s="373">
        <v>14403</v>
      </c>
      <c r="E14" s="373">
        <v>625</v>
      </c>
      <c r="G14" s="302"/>
      <c r="H14" s="302"/>
    </row>
    <row r="15" spans="1:8" ht="15" customHeight="1" x14ac:dyDescent="0.3">
      <c r="A15" s="759"/>
      <c r="B15" s="381" t="s">
        <v>266</v>
      </c>
      <c r="C15" s="376">
        <v>242</v>
      </c>
      <c r="D15" s="377">
        <v>14403</v>
      </c>
      <c r="E15" s="376">
        <v>625</v>
      </c>
      <c r="G15" s="302"/>
      <c r="H15" s="302"/>
    </row>
    <row r="16" spans="1:8" ht="15" customHeight="1" x14ac:dyDescent="0.3">
      <c r="A16" s="757" t="s">
        <v>224</v>
      </c>
      <c r="B16" s="372" t="s">
        <v>225</v>
      </c>
      <c r="C16" s="373">
        <v>672</v>
      </c>
      <c r="D16" s="373">
        <v>5600</v>
      </c>
      <c r="E16" s="373">
        <v>1307</v>
      </c>
      <c r="G16" s="302"/>
      <c r="H16" s="302"/>
    </row>
    <row r="17" spans="1:8" ht="15" customHeight="1" x14ac:dyDescent="0.3">
      <c r="A17" s="757"/>
      <c r="B17" s="374" t="s">
        <v>226</v>
      </c>
      <c r="C17" s="376">
        <v>232</v>
      </c>
      <c r="D17" s="377">
        <v>1661</v>
      </c>
      <c r="E17" s="376">
        <v>453</v>
      </c>
      <c r="G17" s="302"/>
      <c r="H17" s="302"/>
    </row>
    <row r="18" spans="1:8" ht="15" customHeight="1" x14ac:dyDescent="0.3">
      <c r="A18" s="757"/>
      <c r="B18" s="374" t="s">
        <v>454</v>
      </c>
      <c r="C18" s="375">
        <v>180</v>
      </c>
      <c r="D18" s="378">
        <v>1028</v>
      </c>
      <c r="E18" s="375">
        <v>351</v>
      </c>
      <c r="G18" s="302"/>
      <c r="H18" s="302"/>
    </row>
    <row r="19" spans="1:8" ht="15" customHeight="1" x14ac:dyDescent="0.3">
      <c r="A19" s="757"/>
      <c r="B19" s="374" t="s">
        <v>230</v>
      </c>
      <c r="C19" s="376">
        <v>260</v>
      </c>
      <c r="D19" s="377">
        <v>2911</v>
      </c>
      <c r="E19" s="376">
        <v>503</v>
      </c>
      <c r="G19" s="302"/>
      <c r="H19" s="302"/>
    </row>
    <row r="20" spans="1:8" ht="15" customHeight="1" x14ac:dyDescent="0.3">
      <c r="A20" s="757"/>
      <c r="B20" s="372" t="s">
        <v>276</v>
      </c>
      <c r="C20" s="373">
        <v>172</v>
      </c>
      <c r="D20" s="373">
        <v>25566</v>
      </c>
      <c r="E20" s="373">
        <v>332</v>
      </c>
      <c r="G20" s="302"/>
      <c r="H20" s="302"/>
    </row>
    <row r="21" spans="1:8" ht="15" customHeight="1" x14ac:dyDescent="0.3">
      <c r="A21" s="758"/>
      <c r="B21" s="374" t="s">
        <v>277</v>
      </c>
      <c r="C21" s="376">
        <v>172</v>
      </c>
      <c r="D21" s="377">
        <v>25566</v>
      </c>
      <c r="E21" s="376">
        <v>332</v>
      </c>
      <c r="G21" s="302"/>
      <c r="H21" s="302"/>
    </row>
    <row r="22" spans="1:8" ht="15" customHeight="1" x14ac:dyDescent="0.3">
      <c r="A22" s="760" t="s">
        <v>234</v>
      </c>
      <c r="B22" s="372" t="s">
        <v>235</v>
      </c>
      <c r="C22" s="373">
        <v>276</v>
      </c>
      <c r="D22" s="373">
        <v>19682</v>
      </c>
      <c r="E22" s="373">
        <v>537</v>
      </c>
      <c r="G22" s="302"/>
      <c r="H22" s="302"/>
    </row>
    <row r="23" spans="1:8" ht="15" customHeight="1" x14ac:dyDescent="0.3">
      <c r="A23" s="758"/>
      <c r="B23" s="374" t="s">
        <v>236</v>
      </c>
      <c r="C23" s="375">
        <v>276</v>
      </c>
      <c r="D23" s="375">
        <v>19682</v>
      </c>
      <c r="E23" s="375">
        <v>537</v>
      </c>
      <c r="G23" s="302"/>
      <c r="H23" s="302"/>
    </row>
    <row r="24" spans="1:8" ht="15" customHeight="1" x14ac:dyDescent="0.3">
      <c r="A24" s="379" t="s">
        <v>455</v>
      </c>
      <c r="B24" s="347" t="s">
        <v>318</v>
      </c>
      <c r="C24" s="373">
        <v>4617</v>
      </c>
      <c r="D24" s="373">
        <v>141643</v>
      </c>
      <c r="E24" s="373">
        <v>8597</v>
      </c>
      <c r="G24" s="302"/>
      <c r="H24" s="302"/>
    </row>
    <row r="25" spans="1:8" ht="32.4" customHeight="1" x14ac:dyDescent="0.3">
      <c r="B25" s="345"/>
      <c r="C25" s="345"/>
      <c r="D25" s="345"/>
      <c r="E25" s="345"/>
      <c r="F25" s="302"/>
    </row>
    <row r="26" spans="1:8" ht="15" customHeight="1" x14ac:dyDescent="0.3"/>
    <row r="27" spans="1:8" ht="39.9" customHeight="1" x14ac:dyDescent="0.3"/>
    <row r="28" spans="1:8" ht="15" customHeight="1" x14ac:dyDescent="0.3"/>
    <row r="29" spans="1:8" ht="15" customHeight="1" x14ac:dyDescent="0.3"/>
    <row r="30" spans="1:8" ht="15" customHeight="1" x14ac:dyDescent="0.3"/>
    <row r="31" spans="1:8" ht="15" customHeight="1" x14ac:dyDescent="0.3"/>
    <row r="32" spans="1:8"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sheetData>
  <sheetProtection algorithmName="SHA-512" hashValue="sMYCSsZcnq/VO58JOxB4GBne4EXC17G8JTB/+6dvhrkexaZI0PMru2aCZH1hS1uWLUOKhmks5W5Pruic73oaNA==" saltValue="1XLK88K9H4FXkllmPPEe6A==" spinCount="100000" sheet="1" objects="1" scenarios="1" formatColumns="0" formatRows="0"/>
  <mergeCells count="6">
    <mergeCell ref="A1:E1"/>
    <mergeCell ref="A16:A21"/>
    <mergeCell ref="A10:A15"/>
    <mergeCell ref="A7:A9"/>
    <mergeCell ref="A22:A23"/>
    <mergeCell ref="A4:A6"/>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50"/>
  <sheetViews>
    <sheetView showRuler="0" workbookViewId="0">
      <selection sqref="A1:F4"/>
    </sheetView>
  </sheetViews>
  <sheetFormatPr defaultColWidth="13.6640625" defaultRowHeight="13.2" x14ac:dyDescent="0.25"/>
  <sheetData>
    <row r="1" spans="1:4" ht="22.5" customHeight="1" x14ac:dyDescent="0.25">
      <c r="A1" s="517" t="s">
        <v>1477</v>
      </c>
      <c r="B1" s="518"/>
      <c r="C1" s="518"/>
      <c r="D1" s="518"/>
    </row>
    <row r="2" spans="1:4" ht="22.5" customHeight="1" x14ac:dyDescent="0.25">
      <c r="A2" s="518"/>
      <c r="B2" s="518"/>
      <c r="C2" s="518"/>
      <c r="D2" s="518"/>
    </row>
    <row r="3" spans="1:4" ht="22.5" customHeight="1" x14ac:dyDescent="0.25">
      <c r="A3" s="518"/>
      <c r="B3" s="518"/>
      <c r="C3" s="518"/>
      <c r="D3" s="518"/>
    </row>
    <row r="4" spans="1:4" ht="22.5" customHeight="1" x14ac:dyDescent="0.25">
      <c r="A4" s="518"/>
      <c r="B4" s="518"/>
      <c r="C4" s="518"/>
      <c r="D4" s="518"/>
    </row>
    <row r="5" spans="1:4" ht="15" customHeight="1" x14ac:dyDescent="0.25"/>
    <row r="6" spans="1:4" ht="15" customHeight="1" x14ac:dyDescent="0.25"/>
    <row r="7" spans="1:4" ht="15" customHeight="1" x14ac:dyDescent="0.25"/>
    <row r="8" spans="1:4" ht="15" customHeight="1" x14ac:dyDescent="0.25"/>
    <row r="9" spans="1:4" ht="15" customHeight="1" x14ac:dyDescent="0.25"/>
    <row r="10" spans="1:4" ht="15" customHeight="1" x14ac:dyDescent="0.25"/>
    <row r="11" spans="1:4" ht="15" customHeight="1" x14ac:dyDescent="0.25"/>
    <row r="12" spans="1:4" ht="15" customHeight="1" x14ac:dyDescent="0.25"/>
    <row r="13" spans="1:4" ht="15" customHeight="1" x14ac:dyDescent="0.25"/>
    <row r="14" spans="1:4" ht="15" customHeight="1" x14ac:dyDescent="0.25"/>
    <row r="15" spans="1:4" ht="15" customHeight="1" x14ac:dyDescent="0.25"/>
    <row r="16" spans="1:4"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sheetProtection algorithmName="SHA-512" hashValue="ehbAdiA4uXBNA/41KS7Li+5T9sNdIGUOKzYsnTKkQwFDPrd6N62tbN4TWctanzNjK8La0HXL3q1VBfG7+k4ykA==" saltValue="e1PVy+aPzMtRvKhEFb7K4w==" spinCount="100000" sheet="1" objects="1" scenarios="1"/>
  <mergeCells count="1">
    <mergeCell ref="A1:D4"/>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4"/>
  <sheetViews>
    <sheetView showRuler="0" workbookViewId="0">
      <selection sqref="A1:F1"/>
    </sheetView>
  </sheetViews>
  <sheetFormatPr defaultColWidth="13.6640625" defaultRowHeight="13.2" x14ac:dyDescent="0.25"/>
  <cols>
    <col min="1" max="1" width="23.44140625" customWidth="1"/>
    <col min="2" max="2" width="47.109375" customWidth="1"/>
    <col min="3" max="3" width="15.44140625" customWidth="1"/>
    <col min="4" max="4" width="13" customWidth="1"/>
    <col min="5" max="5" width="9.33203125" customWidth="1"/>
  </cols>
  <sheetData>
    <row r="1" spans="1:6" ht="22.5" customHeight="1" x14ac:dyDescent="0.3">
      <c r="A1" s="595" t="s">
        <v>1015</v>
      </c>
      <c r="B1" s="595"/>
      <c r="C1" s="595"/>
      <c r="D1" s="595"/>
      <c r="E1" s="595"/>
      <c r="F1" s="595"/>
    </row>
    <row r="2" spans="1:6" ht="16.649999999999999" customHeight="1" x14ac:dyDescent="0.25"/>
    <row r="3" spans="1:6" ht="26.7" customHeight="1" x14ac:dyDescent="0.3">
      <c r="A3" s="194" t="s">
        <v>1478</v>
      </c>
      <c r="B3" s="18" t="s">
        <v>1018</v>
      </c>
      <c r="C3" s="13"/>
    </row>
    <row r="4" spans="1:6" ht="15.75" customHeight="1" x14ac:dyDescent="0.3">
      <c r="A4" s="293" t="s">
        <v>252</v>
      </c>
      <c r="B4" s="294"/>
      <c r="C4" s="13"/>
    </row>
    <row r="5" spans="1:6" ht="15.75" customHeight="1" x14ac:dyDescent="0.3">
      <c r="A5" s="161" t="s">
        <v>724</v>
      </c>
      <c r="B5" s="162">
        <v>7.72</v>
      </c>
      <c r="C5" s="13"/>
    </row>
    <row r="6" spans="1:6" ht="15.75" customHeight="1" x14ac:dyDescent="0.3">
      <c r="A6" s="161" t="s">
        <v>725</v>
      </c>
      <c r="B6" s="162">
        <v>14.3</v>
      </c>
      <c r="C6" s="13"/>
    </row>
    <row r="7" spans="1:6" ht="15.75" customHeight="1" x14ac:dyDescent="0.3">
      <c r="A7" s="293" t="s">
        <v>225</v>
      </c>
      <c r="B7" s="294"/>
      <c r="C7" s="13"/>
    </row>
    <row r="8" spans="1:6" ht="15.75" customHeight="1" x14ac:dyDescent="0.3">
      <c r="A8" s="161" t="s">
        <v>726</v>
      </c>
      <c r="B8" s="162">
        <v>2.89</v>
      </c>
      <c r="C8" s="13"/>
    </row>
    <row r="9" spans="1:6" ht="15.75" customHeight="1" x14ac:dyDescent="0.3">
      <c r="A9" s="161" t="s">
        <v>727</v>
      </c>
      <c r="B9" s="162">
        <v>4.9000000000000004</v>
      </c>
      <c r="C9" s="13"/>
    </row>
    <row r="10" spans="1:6" ht="15" customHeight="1" x14ac:dyDescent="0.3">
      <c r="A10" s="293" t="s">
        <v>332</v>
      </c>
      <c r="B10" s="294"/>
      <c r="C10" s="13"/>
    </row>
    <row r="11" spans="1:6" ht="15" customHeight="1" x14ac:dyDescent="0.3">
      <c r="A11" s="161" t="s">
        <v>731</v>
      </c>
      <c r="B11" s="162">
        <v>0</v>
      </c>
      <c r="C11" s="13"/>
    </row>
    <row r="12" spans="1:6" ht="82.5" customHeight="1" x14ac:dyDescent="0.25">
      <c r="A12" s="532" t="s">
        <v>1479</v>
      </c>
      <c r="B12" s="532"/>
    </row>
    <row r="13" spans="1:6" ht="15" customHeight="1" x14ac:dyDescent="0.3">
      <c r="A13" s="2"/>
    </row>
    <row r="14" spans="1:6" ht="15" customHeight="1" x14ac:dyDescent="0.25"/>
    <row r="15" spans="1:6" ht="26.7" customHeight="1" x14ac:dyDescent="0.3">
      <c r="A15" s="194" t="s">
        <v>1480</v>
      </c>
      <c r="B15" s="18" t="s">
        <v>1018</v>
      </c>
      <c r="C15" s="13"/>
    </row>
    <row r="16" spans="1:6" ht="15" customHeight="1" x14ac:dyDescent="0.3">
      <c r="A16" s="293" t="s">
        <v>252</v>
      </c>
      <c r="B16" s="294"/>
      <c r="C16" s="13"/>
    </row>
    <row r="17" spans="1:3" ht="15" customHeight="1" x14ac:dyDescent="0.3">
      <c r="A17" s="161" t="s">
        <v>724</v>
      </c>
      <c r="B17" s="162">
        <v>4.2300000000000004</v>
      </c>
      <c r="C17" s="13"/>
    </row>
    <row r="18" spans="1:3" ht="15" customHeight="1" x14ac:dyDescent="0.3">
      <c r="A18" s="161" t="s">
        <v>725</v>
      </c>
      <c r="B18" s="162">
        <v>12.58</v>
      </c>
      <c r="C18" s="13"/>
    </row>
    <row r="19" spans="1:3" ht="15" customHeight="1" x14ac:dyDescent="0.3">
      <c r="A19" s="293" t="s">
        <v>225</v>
      </c>
      <c r="B19" s="294"/>
      <c r="C19" s="13"/>
    </row>
    <row r="20" spans="1:3" ht="15" customHeight="1" x14ac:dyDescent="0.3">
      <c r="A20" s="161" t="s">
        <v>726</v>
      </c>
      <c r="B20" s="162">
        <v>41.15</v>
      </c>
      <c r="C20" s="13"/>
    </row>
    <row r="21" spans="1:3" ht="15" customHeight="1" x14ac:dyDescent="0.3">
      <c r="A21" s="161" t="s">
        <v>727</v>
      </c>
      <c r="B21" s="162">
        <v>6.5</v>
      </c>
      <c r="C21" s="13"/>
    </row>
    <row r="22" spans="1:3" ht="15" customHeight="1" x14ac:dyDescent="0.3">
      <c r="A22" s="293" t="s">
        <v>332</v>
      </c>
      <c r="B22" s="294"/>
      <c r="C22" s="13"/>
    </row>
    <row r="23" spans="1:3" ht="15" customHeight="1" x14ac:dyDescent="0.3">
      <c r="A23" s="161" t="s">
        <v>731</v>
      </c>
      <c r="B23" s="162">
        <v>0.8</v>
      </c>
      <c r="C23" s="13"/>
    </row>
    <row r="24" spans="1:3" ht="78" customHeight="1" x14ac:dyDescent="0.25">
      <c r="A24" s="532" t="s">
        <v>1481</v>
      </c>
      <c r="B24" s="532"/>
    </row>
    <row r="25" spans="1:3" ht="15" customHeight="1" x14ac:dyDescent="0.25"/>
    <row r="26" spans="1:3" ht="15" customHeight="1" x14ac:dyDescent="0.25"/>
    <row r="27" spans="1:3" ht="37.5" customHeight="1" x14ac:dyDescent="0.3">
      <c r="A27" s="194" t="s">
        <v>1482</v>
      </c>
      <c r="B27" s="18" t="s">
        <v>1018</v>
      </c>
      <c r="C27" s="13"/>
    </row>
    <row r="28" spans="1:3" ht="15" customHeight="1" x14ac:dyDescent="0.3">
      <c r="A28" s="293" t="s">
        <v>252</v>
      </c>
      <c r="B28" s="294"/>
      <c r="C28" s="13"/>
    </row>
    <row r="29" spans="1:3" ht="15" customHeight="1" x14ac:dyDescent="0.3">
      <c r="A29" s="161" t="s">
        <v>724</v>
      </c>
      <c r="B29" s="162">
        <v>6.4</v>
      </c>
      <c r="C29" s="13"/>
    </row>
    <row r="30" spans="1:3" ht="15" customHeight="1" x14ac:dyDescent="0.3">
      <c r="A30" s="161" t="s">
        <v>725</v>
      </c>
      <c r="B30" s="162">
        <v>12.97</v>
      </c>
      <c r="C30" s="13"/>
    </row>
    <row r="31" spans="1:3" ht="15" customHeight="1" x14ac:dyDescent="0.3">
      <c r="A31" s="293" t="s">
        <v>225</v>
      </c>
      <c r="B31" s="294"/>
      <c r="C31" s="13"/>
    </row>
    <row r="32" spans="1:3" ht="15" customHeight="1" x14ac:dyDescent="0.3">
      <c r="A32" s="161" t="s">
        <v>726</v>
      </c>
      <c r="B32" s="162">
        <v>11.3</v>
      </c>
      <c r="C32" s="13"/>
    </row>
    <row r="33" spans="1:3" ht="15" customHeight="1" x14ac:dyDescent="0.3">
      <c r="A33" s="161" t="s">
        <v>727</v>
      </c>
      <c r="B33" s="162">
        <v>5.59</v>
      </c>
      <c r="C33" s="13"/>
    </row>
    <row r="34" spans="1:3" ht="15" customHeight="1" x14ac:dyDescent="0.3">
      <c r="A34" s="293" t="s">
        <v>332</v>
      </c>
      <c r="B34" s="294"/>
      <c r="C34" s="13"/>
    </row>
    <row r="35" spans="1:3" ht="15" customHeight="1" x14ac:dyDescent="0.3">
      <c r="A35" s="161" t="s">
        <v>731</v>
      </c>
      <c r="B35" s="162">
        <v>0.47</v>
      </c>
      <c r="C35" s="13"/>
    </row>
    <row r="36" spans="1:3" ht="81.75" customHeight="1" x14ac:dyDescent="0.25">
      <c r="A36" s="532" t="s">
        <v>1483</v>
      </c>
      <c r="B36" s="532"/>
    </row>
    <row r="37" spans="1:3" ht="15" customHeight="1" x14ac:dyDescent="0.3">
      <c r="A37" s="2"/>
      <c r="B37" s="2"/>
    </row>
    <row r="38" spans="1:3" ht="15" customHeight="1" x14ac:dyDescent="0.3">
      <c r="A38" s="2"/>
      <c r="B38" s="2"/>
    </row>
    <row r="39" spans="1:3" ht="15" customHeight="1" x14ac:dyDescent="0.3">
      <c r="A39" s="2"/>
      <c r="B39" s="2"/>
    </row>
    <row r="40" spans="1:3" ht="15" customHeight="1" x14ac:dyDescent="0.3">
      <c r="A40" s="2"/>
      <c r="B40" s="2"/>
    </row>
    <row r="41" spans="1:3" ht="15" customHeight="1" x14ac:dyDescent="0.3">
      <c r="A41" s="2"/>
      <c r="B41" s="2"/>
    </row>
    <row r="42" spans="1:3" ht="15" customHeight="1" x14ac:dyDescent="0.3">
      <c r="A42" s="2"/>
      <c r="B42" s="2"/>
    </row>
    <row r="43" spans="1:3" ht="15" customHeight="1" x14ac:dyDescent="0.3">
      <c r="A43" s="2"/>
      <c r="B43" s="2"/>
    </row>
    <row r="44" spans="1:3" ht="15" customHeight="1" x14ac:dyDescent="0.3">
      <c r="A44" s="2"/>
      <c r="B44" s="2"/>
    </row>
  </sheetData>
  <sheetProtection algorithmName="SHA-512" hashValue="xQovLOfqINmgkVHt1gtT9qEtWYVwnNvum7DmIJh6QP0YbTYsrJ6VGDs7hNKXJfKQPpAcrTELveYi+ZValshSTA==" saltValue="7IOtmqk4PVOCue/XwzgMpw==" spinCount="100000" sheet="1" objects="1" scenarios="1" formatColumns="0" formatRows="0"/>
  <mergeCells count="4">
    <mergeCell ref="A1:F1"/>
    <mergeCell ref="A12:B12"/>
    <mergeCell ref="A24:B24"/>
    <mergeCell ref="A36:B36"/>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8980-1442-4664-95E2-2A989E3478D4}">
  <dimension ref="A1:Q48"/>
  <sheetViews>
    <sheetView showRuler="0" workbookViewId="0">
      <selection sqref="A1:F1"/>
    </sheetView>
  </sheetViews>
  <sheetFormatPr defaultColWidth="13.6640625" defaultRowHeight="13.2" x14ac:dyDescent="0.25"/>
  <cols>
    <col min="1" max="1" width="21.109375" style="455" customWidth="1"/>
    <col min="2" max="2" width="18.5546875" style="455" customWidth="1"/>
    <col min="3" max="15" width="13.5546875" style="455" customWidth="1"/>
    <col min="16" max="17" width="13.6640625" style="455"/>
    <col min="18" max="19" width="16.6640625" style="455" customWidth="1"/>
    <col min="20" max="16384" width="13.6640625" style="455"/>
  </cols>
  <sheetData>
    <row r="1" spans="1:17" ht="25.95" customHeight="1" x14ac:dyDescent="0.3">
      <c r="A1" s="768" t="s">
        <v>1484</v>
      </c>
      <c r="B1" s="768"/>
      <c r="C1" s="768"/>
      <c r="D1" s="768"/>
      <c r="E1" s="768"/>
      <c r="F1" s="768"/>
    </row>
    <row r="2" spans="1:17" ht="16.649999999999999" customHeight="1" x14ac:dyDescent="0.25"/>
    <row r="3" spans="1:17" ht="39.15" customHeight="1" x14ac:dyDescent="0.3">
      <c r="A3" s="465" t="s">
        <v>1485</v>
      </c>
      <c r="B3" s="464" t="s">
        <v>207</v>
      </c>
      <c r="C3" s="464" t="s">
        <v>1486</v>
      </c>
      <c r="D3" s="464" t="s">
        <v>1487</v>
      </c>
      <c r="E3" s="464" t="s">
        <v>1488</v>
      </c>
      <c r="F3" s="464" t="s">
        <v>1489</v>
      </c>
      <c r="G3" s="464" t="s">
        <v>1490</v>
      </c>
      <c r="H3" s="464" t="s">
        <v>1491</v>
      </c>
      <c r="I3" s="464" t="s">
        <v>1492</v>
      </c>
      <c r="J3" s="464" t="s">
        <v>1493</v>
      </c>
      <c r="K3" s="464" t="s">
        <v>1494</v>
      </c>
      <c r="L3" s="464" t="s">
        <v>569</v>
      </c>
      <c r="M3" s="464" t="s">
        <v>1495</v>
      </c>
      <c r="N3" s="464" t="s">
        <v>318</v>
      </c>
      <c r="O3" s="456"/>
      <c r="P3" s="471"/>
      <c r="Q3" s="471"/>
    </row>
    <row r="4" spans="1:17" ht="15" customHeight="1" x14ac:dyDescent="0.3">
      <c r="A4" s="766" t="s">
        <v>251</v>
      </c>
      <c r="B4" s="458" t="s">
        <v>252</v>
      </c>
      <c r="C4" s="467">
        <v>1</v>
      </c>
      <c r="D4" s="467">
        <v>71.3</v>
      </c>
      <c r="E4" s="467">
        <v>21.3</v>
      </c>
      <c r="F4" s="457">
        <v>32375</v>
      </c>
      <c r="G4" s="467">
        <v>334.6</v>
      </c>
      <c r="H4" s="467">
        <v>0</v>
      </c>
      <c r="I4" s="467">
        <v>6.1</v>
      </c>
      <c r="J4" s="467">
        <v>7.8</v>
      </c>
      <c r="K4" s="467">
        <v>89.9</v>
      </c>
      <c r="L4" s="457">
        <v>45185.1</v>
      </c>
      <c r="M4" s="467">
        <v>0</v>
      </c>
      <c r="N4" s="457">
        <v>78092.100000000006</v>
      </c>
      <c r="O4" s="456"/>
      <c r="P4" s="471"/>
      <c r="Q4" s="471"/>
    </row>
    <row r="5" spans="1:17" ht="15" customHeight="1" x14ac:dyDescent="0.3">
      <c r="A5" s="766"/>
      <c r="B5" s="462" t="s">
        <v>724</v>
      </c>
      <c r="C5" s="469" t="s">
        <v>730</v>
      </c>
      <c r="D5" s="466">
        <v>71.3</v>
      </c>
      <c r="E5" s="466">
        <v>0</v>
      </c>
      <c r="F5" s="461">
        <v>11480.4</v>
      </c>
      <c r="G5" s="466">
        <v>0</v>
      </c>
      <c r="H5" s="466">
        <v>0</v>
      </c>
      <c r="I5" s="466">
        <v>0</v>
      </c>
      <c r="J5" s="466">
        <v>2.2999999999999998</v>
      </c>
      <c r="K5" s="466">
        <v>0</v>
      </c>
      <c r="L5" s="466">
        <v>0</v>
      </c>
      <c r="M5" s="466">
        <v>0</v>
      </c>
      <c r="N5" s="468">
        <v>11554</v>
      </c>
      <c r="O5" s="456"/>
    </row>
    <row r="6" spans="1:17" ht="15" customHeight="1" x14ac:dyDescent="0.3">
      <c r="A6" s="766"/>
      <c r="B6" s="462" t="s">
        <v>725</v>
      </c>
      <c r="C6" s="469" t="s">
        <v>730</v>
      </c>
      <c r="D6" s="466">
        <v>0</v>
      </c>
      <c r="E6" s="466">
        <v>21.3</v>
      </c>
      <c r="F6" s="461">
        <v>20894.599999999999</v>
      </c>
      <c r="G6" s="466">
        <v>334.6</v>
      </c>
      <c r="H6" s="466">
        <v>0</v>
      </c>
      <c r="I6" s="466">
        <v>6.1</v>
      </c>
      <c r="J6" s="466">
        <v>5.5</v>
      </c>
      <c r="K6" s="466">
        <v>89.9</v>
      </c>
      <c r="L6" s="461">
        <v>45185.1</v>
      </c>
      <c r="M6" s="466">
        <v>0</v>
      </c>
      <c r="N6" s="468">
        <v>66538</v>
      </c>
      <c r="O6" s="456"/>
    </row>
    <row r="7" spans="1:17" ht="15" customHeight="1" x14ac:dyDescent="0.3">
      <c r="A7" s="766" t="s">
        <v>224</v>
      </c>
      <c r="B7" s="458" t="s">
        <v>225</v>
      </c>
      <c r="C7" s="470" t="s">
        <v>730</v>
      </c>
      <c r="D7" s="467">
        <v>84.7</v>
      </c>
      <c r="E7" s="467">
        <v>71.900000000000006</v>
      </c>
      <c r="F7" s="457">
        <v>15483.4</v>
      </c>
      <c r="G7" s="467">
        <v>0</v>
      </c>
      <c r="H7" s="467">
        <v>0</v>
      </c>
      <c r="I7" s="467">
        <v>0.8</v>
      </c>
      <c r="J7" s="457">
        <v>1931.1</v>
      </c>
      <c r="K7" s="457">
        <v>55.6</v>
      </c>
      <c r="L7" s="467">
        <v>0</v>
      </c>
      <c r="M7" s="457">
        <v>497.2</v>
      </c>
      <c r="N7" s="457">
        <v>18124.7</v>
      </c>
      <c r="O7" s="456"/>
    </row>
    <row r="8" spans="1:17" ht="15" customHeight="1" x14ac:dyDescent="0.3">
      <c r="A8" s="766"/>
      <c r="B8" s="462" t="s">
        <v>1496</v>
      </c>
      <c r="C8" s="466">
        <v>0</v>
      </c>
      <c r="D8" s="466">
        <v>0</v>
      </c>
      <c r="E8" s="466">
        <v>0</v>
      </c>
      <c r="F8" s="461">
        <v>3283.7</v>
      </c>
      <c r="G8" s="466">
        <v>0</v>
      </c>
      <c r="H8" s="466">
        <v>0</v>
      </c>
      <c r="I8" s="466">
        <v>0</v>
      </c>
      <c r="J8" s="461">
        <v>477.8</v>
      </c>
      <c r="K8" s="461">
        <v>19.399999999999999</v>
      </c>
      <c r="L8" s="466">
        <v>0</v>
      </c>
      <c r="M8" s="461">
        <v>161.1</v>
      </c>
      <c r="N8" s="468">
        <v>3942</v>
      </c>
      <c r="O8" s="456"/>
    </row>
    <row r="9" spans="1:17" ht="15" customHeight="1" x14ac:dyDescent="0.3">
      <c r="A9" s="766"/>
      <c r="B9" s="462" t="s">
        <v>1497</v>
      </c>
      <c r="C9" s="469" t="s">
        <v>730</v>
      </c>
      <c r="D9" s="466">
        <v>84.7</v>
      </c>
      <c r="E9" s="466">
        <v>71.900000000000006</v>
      </c>
      <c r="F9" s="461">
        <v>12199.7</v>
      </c>
      <c r="G9" s="466">
        <v>0</v>
      </c>
      <c r="H9" s="466">
        <v>0</v>
      </c>
      <c r="I9" s="466">
        <v>0.8</v>
      </c>
      <c r="J9" s="461">
        <v>1453.3</v>
      </c>
      <c r="K9" s="461">
        <v>36.200000000000003</v>
      </c>
      <c r="L9" s="466">
        <v>0</v>
      </c>
      <c r="M9" s="461">
        <v>336.1</v>
      </c>
      <c r="N9" s="468">
        <v>14182.7</v>
      </c>
      <c r="O9" s="456"/>
    </row>
    <row r="10" spans="1:17" ht="15" customHeight="1" x14ac:dyDescent="0.3">
      <c r="A10" s="766" t="s">
        <v>1498</v>
      </c>
      <c r="B10" s="463" t="s">
        <v>332</v>
      </c>
      <c r="C10" s="467">
        <v>2.6</v>
      </c>
      <c r="D10" s="467">
        <v>79.900000000000006</v>
      </c>
      <c r="E10" s="467">
        <v>289.89999999999998</v>
      </c>
      <c r="F10" s="457">
        <v>25813.4</v>
      </c>
      <c r="G10" s="457">
        <v>1272.0999999999999</v>
      </c>
      <c r="H10" s="457">
        <v>101762.3</v>
      </c>
      <c r="I10" s="467">
        <v>4.3</v>
      </c>
      <c r="J10" s="467">
        <v>0</v>
      </c>
      <c r="K10" s="467">
        <v>72.7</v>
      </c>
      <c r="L10" s="467">
        <v>0</v>
      </c>
      <c r="M10" s="467">
        <v>54.6</v>
      </c>
      <c r="N10" s="457">
        <v>129351.8</v>
      </c>
      <c r="O10" s="456"/>
    </row>
    <row r="11" spans="1:17" ht="15" customHeight="1" x14ac:dyDescent="0.3">
      <c r="A11" s="766"/>
      <c r="B11" s="462" t="s">
        <v>731</v>
      </c>
      <c r="C11" s="466">
        <v>2.6</v>
      </c>
      <c r="D11" s="466">
        <v>79.900000000000006</v>
      </c>
      <c r="E11" s="466">
        <v>289.89999999999998</v>
      </c>
      <c r="F11" s="461">
        <v>25813.4</v>
      </c>
      <c r="G11" s="461">
        <v>1272.0999999999999</v>
      </c>
      <c r="H11" s="461">
        <v>101762.3</v>
      </c>
      <c r="I11" s="466">
        <v>4.3</v>
      </c>
      <c r="J11" s="466">
        <v>0</v>
      </c>
      <c r="K11" s="466">
        <v>72.7</v>
      </c>
      <c r="L11" s="466">
        <v>0</v>
      </c>
      <c r="M11" s="466">
        <v>54.6</v>
      </c>
      <c r="N11" s="468">
        <v>129351.8</v>
      </c>
      <c r="O11" s="456"/>
    </row>
    <row r="12" spans="1:17" ht="15" customHeight="1" x14ac:dyDescent="0.3">
      <c r="A12" s="459" t="s">
        <v>455</v>
      </c>
      <c r="B12" s="458" t="s">
        <v>318</v>
      </c>
      <c r="C12" s="467">
        <v>3.6</v>
      </c>
      <c r="D12" s="467">
        <v>235.9</v>
      </c>
      <c r="E12" s="467">
        <v>383.1</v>
      </c>
      <c r="F12" s="457">
        <v>73671.8</v>
      </c>
      <c r="G12" s="457">
        <v>1606.7</v>
      </c>
      <c r="H12" s="457">
        <v>101762.3</v>
      </c>
      <c r="I12" s="467">
        <v>11.2</v>
      </c>
      <c r="J12" s="457">
        <v>1938.9</v>
      </c>
      <c r="K12" s="457">
        <v>218.2</v>
      </c>
      <c r="L12" s="457">
        <v>45185.1</v>
      </c>
      <c r="M12" s="457">
        <v>551.79999999999995</v>
      </c>
      <c r="N12" s="457">
        <v>225568.6</v>
      </c>
      <c r="O12" s="456"/>
    </row>
    <row r="13" spans="1:17" ht="66.75" customHeight="1" x14ac:dyDescent="0.25">
      <c r="A13" s="765" t="s">
        <v>1499</v>
      </c>
      <c r="B13" s="765"/>
      <c r="C13" s="765"/>
      <c r="D13" s="765"/>
      <c r="E13" s="765"/>
      <c r="F13" s="765"/>
      <c r="G13" s="765"/>
      <c r="H13" s="765"/>
      <c r="I13" s="765"/>
      <c r="J13" s="765"/>
      <c r="K13" s="765"/>
      <c r="L13" s="765"/>
      <c r="M13" s="765"/>
      <c r="N13" s="765"/>
    </row>
    <row r="14" spans="1:17" ht="15" customHeight="1" x14ac:dyDescent="0.25"/>
    <row r="15" spans="1:17" ht="15" customHeight="1" x14ac:dyDescent="0.25"/>
    <row r="16" spans="1:17" ht="39.15" customHeight="1" x14ac:dyDescent="0.3">
      <c r="A16" s="465" t="s">
        <v>1500</v>
      </c>
      <c r="B16" s="464" t="s">
        <v>207</v>
      </c>
      <c r="C16" s="464" t="s">
        <v>1501</v>
      </c>
      <c r="D16" s="460"/>
    </row>
    <row r="17" spans="1:6" ht="15" customHeight="1" x14ac:dyDescent="0.3">
      <c r="A17" s="766" t="s">
        <v>251</v>
      </c>
      <c r="B17" s="458" t="s">
        <v>252</v>
      </c>
      <c r="C17" s="457">
        <v>127755.1</v>
      </c>
      <c r="D17" s="460"/>
    </row>
    <row r="18" spans="1:6" ht="15" customHeight="1" x14ac:dyDescent="0.3">
      <c r="A18" s="766"/>
      <c r="B18" s="462" t="s">
        <v>724</v>
      </c>
      <c r="C18" s="461">
        <v>127755.1</v>
      </c>
      <c r="D18" s="460"/>
    </row>
    <row r="19" spans="1:6" ht="15" customHeight="1" x14ac:dyDescent="0.3">
      <c r="A19" s="766"/>
      <c r="B19" s="462" t="s">
        <v>725</v>
      </c>
      <c r="C19" s="466">
        <v>0</v>
      </c>
      <c r="D19" s="460"/>
    </row>
    <row r="20" spans="1:6" ht="15" customHeight="1" x14ac:dyDescent="0.3">
      <c r="A20" s="762" t="s">
        <v>224</v>
      </c>
      <c r="B20" s="458" t="s">
        <v>225</v>
      </c>
      <c r="C20" s="457">
        <v>976.3</v>
      </c>
      <c r="D20" s="460"/>
    </row>
    <row r="21" spans="1:6" ht="15" customHeight="1" x14ac:dyDescent="0.3">
      <c r="A21" s="763"/>
      <c r="B21" s="462" t="s">
        <v>726</v>
      </c>
      <c r="C21" s="461">
        <v>304.2</v>
      </c>
      <c r="D21" s="460"/>
    </row>
    <row r="22" spans="1:6" ht="15" customHeight="1" x14ac:dyDescent="0.3">
      <c r="A22" s="764"/>
      <c r="B22" s="462" t="s">
        <v>1502</v>
      </c>
      <c r="C22" s="461">
        <v>672.1</v>
      </c>
      <c r="D22" s="460"/>
    </row>
    <row r="23" spans="1:6" ht="15" customHeight="1" x14ac:dyDescent="0.3">
      <c r="A23" s="762" t="s">
        <v>1498</v>
      </c>
      <c r="B23" s="463" t="s">
        <v>332</v>
      </c>
      <c r="C23" s="467">
        <v>0</v>
      </c>
      <c r="D23" s="460"/>
    </row>
    <row r="24" spans="1:6" ht="15" customHeight="1" x14ac:dyDescent="0.3">
      <c r="A24" s="764"/>
      <c r="B24" s="462" t="s">
        <v>731</v>
      </c>
      <c r="C24" s="466">
        <v>0</v>
      </c>
      <c r="D24" s="460"/>
    </row>
    <row r="25" spans="1:6" ht="15" customHeight="1" x14ac:dyDescent="0.3">
      <c r="A25" s="459" t="s">
        <v>455</v>
      </c>
      <c r="B25" s="458" t="s">
        <v>318</v>
      </c>
      <c r="C25" s="457">
        <v>128731.4</v>
      </c>
      <c r="D25" s="460"/>
    </row>
    <row r="26" spans="1:6" ht="40.950000000000003" customHeight="1" x14ac:dyDescent="0.25">
      <c r="A26" s="767" t="s">
        <v>1503</v>
      </c>
      <c r="B26" s="767"/>
      <c r="C26" s="767"/>
    </row>
    <row r="27" spans="1:6" ht="15" customHeight="1" x14ac:dyDescent="0.25"/>
    <row r="28" spans="1:6" ht="15" customHeight="1" x14ac:dyDescent="0.25"/>
    <row r="29" spans="1:6" ht="60.75" customHeight="1" x14ac:dyDescent="0.3">
      <c r="A29" s="465" t="s">
        <v>1504</v>
      </c>
      <c r="B29" s="464" t="s">
        <v>207</v>
      </c>
      <c r="C29" s="464" t="s">
        <v>1505</v>
      </c>
      <c r="D29" s="464" t="s">
        <v>1506</v>
      </c>
      <c r="E29" s="464" t="s">
        <v>1507</v>
      </c>
      <c r="F29" s="460"/>
    </row>
    <row r="30" spans="1:6" ht="15" customHeight="1" x14ac:dyDescent="0.3">
      <c r="A30" s="762" t="s">
        <v>251</v>
      </c>
      <c r="B30" s="458" t="s">
        <v>252</v>
      </c>
      <c r="C30" s="457">
        <v>205846.8</v>
      </c>
      <c r="D30" s="457">
        <v>6998177</v>
      </c>
      <c r="E30" s="457">
        <v>29.414346050407101</v>
      </c>
      <c r="F30" s="460"/>
    </row>
    <row r="31" spans="1:6" ht="15" customHeight="1" x14ac:dyDescent="0.3">
      <c r="A31" s="763"/>
      <c r="B31" s="462" t="s">
        <v>724</v>
      </c>
      <c r="C31" s="461">
        <v>139309.4</v>
      </c>
      <c r="D31" s="461">
        <v>4765416</v>
      </c>
      <c r="E31" s="461">
        <v>29.2</v>
      </c>
      <c r="F31" s="460"/>
    </row>
    <row r="32" spans="1:6" ht="15" customHeight="1" x14ac:dyDescent="0.3">
      <c r="A32" s="764"/>
      <c r="B32" s="462" t="s">
        <v>725</v>
      </c>
      <c r="C32" s="461">
        <v>66537.399999999994</v>
      </c>
      <c r="D32" s="461">
        <v>2232761</v>
      </c>
      <c r="E32" s="461">
        <v>29.8</v>
      </c>
      <c r="F32" s="460"/>
    </row>
    <row r="33" spans="1:6" ht="15" customHeight="1" x14ac:dyDescent="0.3">
      <c r="A33" s="762" t="s">
        <v>224</v>
      </c>
      <c r="B33" s="458" t="s">
        <v>225</v>
      </c>
      <c r="C33" s="457">
        <v>19101.5</v>
      </c>
      <c r="D33" s="457">
        <v>1635792</v>
      </c>
      <c r="E33" s="457">
        <v>11.6772181304224</v>
      </c>
      <c r="F33" s="460"/>
    </row>
    <row r="34" spans="1:6" ht="15" customHeight="1" x14ac:dyDescent="0.3">
      <c r="A34" s="763"/>
      <c r="B34" s="462" t="s">
        <v>726</v>
      </c>
      <c r="C34" s="461">
        <v>4246.3999999999996</v>
      </c>
      <c r="D34" s="461">
        <v>147776</v>
      </c>
      <c r="E34" s="461">
        <v>28.9</v>
      </c>
      <c r="F34" s="460"/>
    </row>
    <row r="35" spans="1:6" ht="15" customHeight="1" x14ac:dyDescent="0.3">
      <c r="A35" s="764"/>
      <c r="B35" s="462" t="s">
        <v>1508</v>
      </c>
      <c r="C35" s="461">
        <v>14855.1</v>
      </c>
      <c r="D35" s="461">
        <v>1488016</v>
      </c>
      <c r="E35" s="461">
        <v>10</v>
      </c>
      <c r="F35" s="460"/>
    </row>
    <row r="36" spans="1:6" ht="15" customHeight="1" x14ac:dyDescent="0.3">
      <c r="A36" s="762" t="s">
        <v>1498</v>
      </c>
      <c r="B36" s="463" t="s">
        <v>332</v>
      </c>
      <c r="C36" s="457">
        <v>129351.7</v>
      </c>
      <c r="D36" s="457">
        <v>1905783</v>
      </c>
      <c r="E36" s="457">
        <v>67.873257343569506</v>
      </c>
      <c r="F36" s="460"/>
    </row>
    <row r="37" spans="1:6" ht="15" customHeight="1" x14ac:dyDescent="0.3">
      <c r="A37" s="764"/>
      <c r="B37" s="462" t="s">
        <v>731</v>
      </c>
      <c r="C37" s="461">
        <v>129351.7</v>
      </c>
      <c r="D37" s="461">
        <v>1905783</v>
      </c>
      <c r="E37" s="461">
        <v>67.900000000000006</v>
      </c>
      <c r="F37" s="460"/>
    </row>
    <row r="38" spans="1:6" ht="15" customHeight="1" x14ac:dyDescent="0.3">
      <c r="A38" s="459" t="s">
        <v>455</v>
      </c>
      <c r="B38" s="458" t="s">
        <v>318</v>
      </c>
      <c r="C38" s="457">
        <v>354300</v>
      </c>
      <c r="D38" s="457">
        <v>10539752</v>
      </c>
      <c r="E38" s="457">
        <v>33.615591714112398</v>
      </c>
      <c r="F38" s="456"/>
    </row>
    <row r="39" spans="1:6" ht="117.75" customHeight="1" x14ac:dyDescent="0.25">
      <c r="A39" s="765" t="s">
        <v>1509</v>
      </c>
      <c r="B39" s="765"/>
      <c r="C39" s="765"/>
      <c r="D39" s="765"/>
      <c r="E39" s="765"/>
    </row>
    <row r="40" spans="1:6" ht="15" customHeight="1" x14ac:dyDescent="0.25"/>
    <row r="41" spans="1:6" ht="15" customHeight="1" x14ac:dyDescent="0.25"/>
    <row r="42" spans="1:6" ht="15" customHeight="1" x14ac:dyDescent="0.25"/>
    <row r="43" spans="1:6" ht="15" customHeight="1" x14ac:dyDescent="0.25"/>
    <row r="44" spans="1:6" ht="15" customHeight="1" x14ac:dyDescent="0.25"/>
    <row r="45" spans="1:6" ht="15" customHeight="1" x14ac:dyDescent="0.25"/>
    <row r="46" spans="1:6" ht="15" customHeight="1" x14ac:dyDescent="0.25"/>
    <row r="47" spans="1:6" ht="15" customHeight="1" x14ac:dyDescent="0.25"/>
    <row r="48" spans="1:6" ht="15" customHeight="1" x14ac:dyDescent="0.25"/>
  </sheetData>
  <sheetProtection algorithmName="SHA-512" hashValue="szKeMlefrjlBpgCZcuUffLk5VtK87o6TNU/2wgw3poNjxQPvEXm5IN/lQAxfIo8w1sboxMV+ihQkpLYr3/NE7A==" saltValue="styJj2UaSItFc3TzO9Zb7w==" spinCount="100000" sheet="1" objects="1" scenarios="1" formatColumns="0" formatRows="0"/>
  <mergeCells count="13">
    <mergeCell ref="A1:F1"/>
    <mergeCell ref="A13:N13"/>
    <mergeCell ref="A17:A19"/>
    <mergeCell ref="A23:A24"/>
    <mergeCell ref="A4:A6"/>
    <mergeCell ref="A30:A32"/>
    <mergeCell ref="A33:A35"/>
    <mergeCell ref="A36:A37"/>
    <mergeCell ref="A39:E39"/>
    <mergeCell ref="A7:A9"/>
    <mergeCell ref="A10:A11"/>
    <mergeCell ref="A26:C26"/>
    <mergeCell ref="A20:A2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44"/>
  <sheetViews>
    <sheetView showRuler="0" workbookViewId="0">
      <selection sqref="A1:F1"/>
    </sheetView>
  </sheetViews>
  <sheetFormatPr defaultColWidth="13.6640625" defaultRowHeight="13.2" x14ac:dyDescent="0.25"/>
  <cols>
    <col min="1" max="1" width="24.33203125" customWidth="1"/>
    <col min="2" max="2" width="17.44140625" customWidth="1"/>
    <col min="3" max="8" width="16.6640625" customWidth="1"/>
    <col min="9" max="14" width="9.33203125" customWidth="1"/>
  </cols>
  <sheetData>
    <row r="1" spans="1:15" ht="26.7" customHeight="1" x14ac:dyDescent="0.3">
      <c r="A1" s="595" t="s">
        <v>890</v>
      </c>
      <c r="B1" s="595"/>
      <c r="C1" s="595"/>
      <c r="D1" s="595"/>
      <c r="E1" s="595"/>
      <c r="F1" s="595"/>
    </row>
    <row r="2" spans="1:15" ht="15" customHeight="1" x14ac:dyDescent="0.3">
      <c r="A2" s="64"/>
      <c r="B2" s="64"/>
      <c r="C2" s="64"/>
      <c r="D2" s="64"/>
      <c r="E2" s="64"/>
      <c r="F2" s="64"/>
      <c r="G2" s="64"/>
      <c r="H2" s="64"/>
      <c r="I2" s="2"/>
      <c r="J2" s="2"/>
    </row>
    <row r="3" spans="1:15" ht="40.950000000000003" customHeight="1" x14ac:dyDescent="0.3">
      <c r="A3" s="194" t="s">
        <v>1510</v>
      </c>
      <c r="B3" s="769" t="s">
        <v>904</v>
      </c>
      <c r="C3" s="769"/>
      <c r="D3" s="769"/>
      <c r="E3" s="769"/>
      <c r="F3" s="769"/>
      <c r="G3" s="769"/>
      <c r="H3" s="769"/>
      <c r="I3" s="13"/>
      <c r="J3" s="2"/>
    </row>
    <row r="4" spans="1:15" ht="26.7" customHeight="1" x14ac:dyDescent="0.3">
      <c r="A4" s="164" t="s">
        <v>1511</v>
      </c>
      <c r="B4" s="164" t="s">
        <v>207</v>
      </c>
      <c r="C4" s="164" t="s">
        <v>909</v>
      </c>
      <c r="D4" s="164" t="s">
        <v>910</v>
      </c>
      <c r="E4" s="164" t="s">
        <v>1512</v>
      </c>
      <c r="F4" s="164" t="s">
        <v>1513</v>
      </c>
      <c r="G4" s="164" t="s">
        <v>912</v>
      </c>
      <c r="H4" s="164" t="s">
        <v>318</v>
      </c>
      <c r="I4" s="13"/>
    </row>
    <row r="5" spans="1:15" ht="15" customHeight="1" x14ac:dyDescent="0.3">
      <c r="A5" s="640" t="s">
        <v>251</v>
      </c>
      <c r="B5" s="63" t="s">
        <v>252</v>
      </c>
      <c r="C5" s="295">
        <v>383</v>
      </c>
      <c r="D5" s="295">
        <v>143</v>
      </c>
      <c r="E5" s="295">
        <v>0</v>
      </c>
      <c r="F5" s="295">
        <v>0</v>
      </c>
      <c r="G5" s="295">
        <v>0</v>
      </c>
      <c r="H5" s="295">
        <v>526</v>
      </c>
      <c r="I5" s="13"/>
      <c r="J5" s="2"/>
    </row>
    <row r="6" spans="1:15" ht="15" customHeight="1" x14ac:dyDescent="0.3">
      <c r="A6" s="640"/>
      <c r="B6" s="161" t="s">
        <v>1514</v>
      </c>
      <c r="C6" s="10">
        <v>368</v>
      </c>
      <c r="D6" s="10">
        <v>0</v>
      </c>
      <c r="E6" s="10">
        <v>0</v>
      </c>
      <c r="F6" s="10">
        <v>0</v>
      </c>
      <c r="G6" s="10">
        <v>0</v>
      </c>
      <c r="H6" s="52">
        <v>368</v>
      </c>
      <c r="I6" s="13"/>
      <c r="J6" s="2"/>
    </row>
    <row r="7" spans="1:15" ht="15" customHeight="1" x14ac:dyDescent="0.3">
      <c r="A7" s="640"/>
      <c r="B7" s="161" t="s">
        <v>1515</v>
      </c>
      <c r="C7" s="10">
        <v>15</v>
      </c>
      <c r="D7" s="10">
        <v>143</v>
      </c>
      <c r="E7" s="10">
        <v>0</v>
      </c>
      <c r="F7" s="10">
        <v>0</v>
      </c>
      <c r="G7" s="10">
        <v>0</v>
      </c>
      <c r="H7" s="52">
        <v>158</v>
      </c>
      <c r="I7" s="13"/>
    </row>
    <row r="8" spans="1:15" ht="15" customHeight="1" x14ac:dyDescent="0.3">
      <c r="A8" s="640" t="s">
        <v>224</v>
      </c>
      <c r="B8" s="63" t="s">
        <v>225</v>
      </c>
      <c r="C8" s="295">
        <v>0</v>
      </c>
      <c r="D8" s="296">
        <v>1048</v>
      </c>
      <c r="E8" s="295">
        <v>0</v>
      </c>
      <c r="F8" s="295">
        <v>0</v>
      </c>
      <c r="G8" s="295">
        <v>0</v>
      </c>
      <c r="H8" s="296">
        <v>1048</v>
      </c>
      <c r="I8" s="13"/>
      <c r="M8" s="297"/>
      <c r="N8" s="297"/>
      <c r="O8" s="297"/>
    </row>
    <row r="9" spans="1:15" ht="15" customHeight="1" x14ac:dyDescent="0.3">
      <c r="A9" s="640"/>
      <c r="B9" s="161" t="s">
        <v>726</v>
      </c>
      <c r="C9" s="10">
        <v>0</v>
      </c>
      <c r="D9" s="10">
        <v>7</v>
      </c>
      <c r="E9" s="10">
        <v>0</v>
      </c>
      <c r="F9" s="10">
        <v>0</v>
      </c>
      <c r="G9" s="10">
        <v>0</v>
      </c>
      <c r="H9" s="52">
        <v>7</v>
      </c>
      <c r="I9" s="13"/>
      <c r="M9" s="297"/>
      <c r="N9" s="297"/>
      <c r="O9" s="297"/>
    </row>
    <row r="10" spans="1:15" ht="15" customHeight="1" x14ac:dyDescent="0.3">
      <c r="A10" s="640"/>
      <c r="B10" s="161" t="s">
        <v>727</v>
      </c>
      <c r="C10" s="10">
        <v>0</v>
      </c>
      <c r="D10" s="136">
        <v>1042</v>
      </c>
      <c r="E10" s="10">
        <v>0</v>
      </c>
      <c r="F10" s="10">
        <v>0</v>
      </c>
      <c r="G10" s="10">
        <v>0</v>
      </c>
      <c r="H10" s="279">
        <v>1042</v>
      </c>
      <c r="I10" s="13"/>
      <c r="M10" s="297"/>
      <c r="N10" s="297"/>
      <c r="O10" s="297"/>
    </row>
    <row r="11" spans="1:15" ht="29.1" customHeight="1" x14ac:dyDescent="0.3">
      <c r="A11" s="640" t="s">
        <v>1498</v>
      </c>
      <c r="B11" s="293" t="s">
        <v>332</v>
      </c>
      <c r="C11" s="296">
        <v>1064</v>
      </c>
      <c r="D11" s="295">
        <v>0</v>
      </c>
      <c r="E11" s="295">
        <v>0</v>
      </c>
      <c r="F11" s="295">
        <v>0</v>
      </c>
      <c r="G11" s="295">
        <v>0</v>
      </c>
      <c r="H11" s="296">
        <v>1064</v>
      </c>
      <c r="I11" s="13"/>
      <c r="M11" s="297"/>
      <c r="N11" s="297"/>
      <c r="O11" s="297"/>
    </row>
    <row r="12" spans="1:15" ht="15" customHeight="1" x14ac:dyDescent="0.3">
      <c r="A12" s="640"/>
      <c r="B12" s="161" t="s">
        <v>1516</v>
      </c>
      <c r="C12" s="136">
        <v>1064</v>
      </c>
      <c r="D12" s="10">
        <v>0</v>
      </c>
      <c r="E12" s="10">
        <v>0</v>
      </c>
      <c r="F12" s="10">
        <v>0</v>
      </c>
      <c r="G12" s="10">
        <v>0</v>
      </c>
      <c r="H12" s="279">
        <v>1064</v>
      </c>
      <c r="I12" s="13"/>
      <c r="J12" s="2"/>
    </row>
    <row r="13" spans="1:15" ht="22.5" customHeight="1" x14ac:dyDescent="0.3">
      <c r="A13" s="149" t="s">
        <v>455</v>
      </c>
      <c r="B13" s="63" t="s">
        <v>318</v>
      </c>
      <c r="C13" s="296">
        <v>1447</v>
      </c>
      <c r="D13" s="296">
        <v>1191</v>
      </c>
      <c r="E13" s="295">
        <v>0</v>
      </c>
      <c r="F13" s="295">
        <v>0</v>
      </c>
      <c r="G13" s="295">
        <v>0</v>
      </c>
      <c r="H13" s="296">
        <v>2638</v>
      </c>
      <c r="I13" s="13"/>
      <c r="J13" s="2"/>
    </row>
    <row r="14" spans="1:15" ht="15" customHeight="1" x14ac:dyDescent="0.3">
      <c r="A14" s="9"/>
      <c r="B14" s="769" t="s">
        <v>905</v>
      </c>
      <c r="C14" s="769"/>
      <c r="D14" s="769"/>
      <c r="E14" s="769"/>
      <c r="F14" s="769"/>
      <c r="G14" s="769"/>
      <c r="H14" s="769"/>
      <c r="I14" s="13"/>
      <c r="J14" s="2"/>
    </row>
    <row r="15" spans="1:15" ht="26.7" customHeight="1" x14ac:dyDescent="0.3">
      <c r="A15" s="164" t="s">
        <v>1511</v>
      </c>
      <c r="B15" s="9"/>
      <c r="C15" s="164" t="s">
        <v>909</v>
      </c>
      <c r="D15" s="164" t="s">
        <v>910</v>
      </c>
      <c r="E15" s="164" t="s">
        <v>1512</v>
      </c>
      <c r="F15" s="164" t="s">
        <v>1513</v>
      </c>
      <c r="G15" s="164" t="s">
        <v>912</v>
      </c>
      <c r="H15" s="164" t="s">
        <v>318</v>
      </c>
      <c r="I15" s="13"/>
      <c r="J15" s="2"/>
    </row>
    <row r="16" spans="1:15" ht="15" customHeight="1" x14ac:dyDescent="0.3">
      <c r="A16" s="690" t="s">
        <v>251</v>
      </c>
      <c r="B16" s="298" t="s">
        <v>252</v>
      </c>
      <c r="C16" s="296">
        <v>495</v>
      </c>
      <c r="D16" s="296">
        <v>2405</v>
      </c>
      <c r="E16" s="295">
        <v>0</v>
      </c>
      <c r="F16" s="295">
        <v>0</v>
      </c>
      <c r="G16" s="295">
        <v>0</v>
      </c>
      <c r="H16" s="296">
        <v>2900</v>
      </c>
      <c r="I16" s="13"/>
      <c r="J16" s="2"/>
    </row>
    <row r="17" spans="1:17" ht="15" customHeight="1" x14ac:dyDescent="0.3">
      <c r="A17" s="771"/>
      <c r="B17" s="161" t="s">
        <v>1514</v>
      </c>
      <c r="C17" s="136">
        <v>495</v>
      </c>
      <c r="D17" s="136">
        <v>76</v>
      </c>
      <c r="E17" s="10">
        <v>0</v>
      </c>
      <c r="F17" s="10">
        <v>0</v>
      </c>
      <c r="G17" s="10">
        <v>0</v>
      </c>
      <c r="H17" s="279">
        <v>571</v>
      </c>
      <c r="I17" s="13"/>
      <c r="J17" s="2"/>
    </row>
    <row r="18" spans="1:17" ht="15" customHeight="1" x14ac:dyDescent="0.3">
      <c r="A18" s="770"/>
      <c r="B18" s="161" t="s">
        <v>1515</v>
      </c>
      <c r="C18" s="10">
        <v>0</v>
      </c>
      <c r="D18" s="136">
        <v>2329</v>
      </c>
      <c r="E18" s="10">
        <v>0</v>
      </c>
      <c r="F18" s="10">
        <v>0</v>
      </c>
      <c r="G18" s="10">
        <v>0</v>
      </c>
      <c r="H18" s="279">
        <v>2329</v>
      </c>
      <c r="I18" s="13"/>
      <c r="J18" s="2"/>
    </row>
    <row r="19" spans="1:17" ht="15" customHeight="1" x14ac:dyDescent="0.3">
      <c r="A19" s="690" t="s">
        <v>224</v>
      </c>
      <c r="B19" s="298" t="s">
        <v>225</v>
      </c>
      <c r="C19" s="296">
        <v>92</v>
      </c>
      <c r="D19" s="295">
        <v>0</v>
      </c>
      <c r="E19" s="295">
        <v>0</v>
      </c>
      <c r="F19" s="295">
        <v>0</v>
      </c>
      <c r="G19" s="295">
        <v>0</v>
      </c>
      <c r="H19" s="296">
        <v>92</v>
      </c>
      <c r="I19" s="13"/>
    </row>
    <row r="20" spans="1:17" ht="15" customHeight="1" x14ac:dyDescent="0.3">
      <c r="A20" s="771"/>
      <c r="B20" s="161" t="s">
        <v>726</v>
      </c>
      <c r="C20" s="136">
        <v>92</v>
      </c>
      <c r="D20" s="10">
        <v>0</v>
      </c>
      <c r="E20" s="10">
        <v>0</v>
      </c>
      <c r="F20" s="10">
        <v>0</v>
      </c>
      <c r="G20" s="10">
        <v>0</v>
      </c>
      <c r="H20" s="279">
        <v>92</v>
      </c>
      <c r="I20" s="13"/>
    </row>
    <row r="21" spans="1:17" ht="15" customHeight="1" x14ac:dyDescent="0.3">
      <c r="A21" s="770"/>
      <c r="B21" s="161" t="s">
        <v>727</v>
      </c>
      <c r="C21" s="10">
        <v>0</v>
      </c>
      <c r="D21" s="10">
        <v>0</v>
      </c>
      <c r="E21" s="10">
        <v>0</v>
      </c>
      <c r="F21" s="10">
        <v>0</v>
      </c>
      <c r="G21" s="10">
        <v>0</v>
      </c>
      <c r="H21" s="52">
        <v>0</v>
      </c>
      <c r="I21" s="13"/>
    </row>
    <row r="22" spans="1:17" ht="29.1" customHeight="1" x14ac:dyDescent="0.3">
      <c r="A22" s="690" t="s">
        <v>1498</v>
      </c>
      <c r="B22" s="298" t="s">
        <v>332</v>
      </c>
      <c r="C22" s="296">
        <v>4908</v>
      </c>
      <c r="D22" s="295">
        <v>0</v>
      </c>
      <c r="E22" s="295">
        <v>0</v>
      </c>
      <c r="F22" s="295">
        <v>0</v>
      </c>
      <c r="G22" s="295">
        <v>0</v>
      </c>
      <c r="H22" s="296">
        <v>4908</v>
      </c>
      <c r="I22" s="13"/>
    </row>
    <row r="23" spans="1:17" ht="15" customHeight="1" x14ac:dyDescent="0.3">
      <c r="A23" s="770"/>
      <c r="B23" s="161" t="s">
        <v>1516</v>
      </c>
      <c r="C23" s="136">
        <v>4908</v>
      </c>
      <c r="D23" s="10">
        <v>0</v>
      </c>
      <c r="E23" s="10">
        <v>0</v>
      </c>
      <c r="F23" s="10">
        <v>0</v>
      </c>
      <c r="G23" s="10">
        <v>0</v>
      </c>
      <c r="H23" s="279">
        <v>4908</v>
      </c>
      <c r="I23" s="13"/>
    </row>
    <row r="24" spans="1:17" ht="20.85" customHeight="1" x14ac:dyDescent="0.3">
      <c r="A24" s="149" t="s">
        <v>455</v>
      </c>
      <c r="B24" s="293" t="s">
        <v>318</v>
      </c>
      <c r="C24" s="296">
        <v>5495</v>
      </c>
      <c r="D24" s="296">
        <v>2405</v>
      </c>
      <c r="E24" s="295">
        <v>0</v>
      </c>
      <c r="F24" s="295">
        <v>0</v>
      </c>
      <c r="G24" s="295">
        <v>0</v>
      </c>
      <c r="H24" s="296">
        <v>7900</v>
      </c>
      <c r="I24" s="13"/>
    </row>
    <row r="25" spans="1:17" ht="15" customHeight="1" x14ac:dyDescent="0.3">
      <c r="A25" s="9"/>
      <c r="B25" s="769" t="s">
        <v>906</v>
      </c>
      <c r="C25" s="769"/>
      <c r="D25" s="769"/>
      <c r="E25" s="769"/>
      <c r="F25" s="769"/>
      <c r="G25" s="769"/>
      <c r="H25" s="769"/>
      <c r="I25" s="13"/>
    </row>
    <row r="26" spans="1:17" ht="26.7" customHeight="1" x14ac:dyDescent="0.3">
      <c r="A26" s="164" t="s">
        <v>1511</v>
      </c>
      <c r="B26" s="9"/>
      <c r="C26" s="164" t="s">
        <v>909</v>
      </c>
      <c r="D26" s="164" t="s">
        <v>910</v>
      </c>
      <c r="E26" s="164" t="s">
        <v>1512</v>
      </c>
      <c r="F26" s="164" t="s">
        <v>1513</v>
      </c>
      <c r="G26" s="164" t="s">
        <v>912</v>
      </c>
      <c r="H26" s="164" t="s">
        <v>318</v>
      </c>
      <c r="I26" s="13"/>
    </row>
    <row r="27" spans="1:17" ht="15" customHeight="1" x14ac:dyDescent="0.3">
      <c r="A27" s="690" t="s">
        <v>251</v>
      </c>
      <c r="B27" s="293" t="s">
        <v>252</v>
      </c>
      <c r="C27" s="295">
        <v>17</v>
      </c>
      <c r="D27" s="295">
        <v>134</v>
      </c>
      <c r="E27" s="295">
        <v>0</v>
      </c>
      <c r="F27" s="295">
        <v>0</v>
      </c>
      <c r="G27" s="295">
        <v>26</v>
      </c>
      <c r="H27" s="295">
        <v>177</v>
      </c>
      <c r="I27" s="13"/>
    </row>
    <row r="28" spans="1:17" ht="15" customHeight="1" x14ac:dyDescent="0.3">
      <c r="A28" s="771"/>
      <c r="B28" s="161" t="s">
        <v>1514</v>
      </c>
      <c r="C28" s="10">
        <v>0</v>
      </c>
      <c r="D28" s="10">
        <v>90</v>
      </c>
      <c r="E28" s="10">
        <v>0</v>
      </c>
      <c r="F28" s="10">
        <v>0</v>
      </c>
      <c r="G28" s="10">
        <v>26</v>
      </c>
      <c r="H28" s="52">
        <v>116</v>
      </c>
      <c r="I28" s="13"/>
      <c r="M28" s="518"/>
      <c r="N28" s="518"/>
      <c r="O28" s="518"/>
      <c r="P28" s="518"/>
      <c r="Q28" s="518"/>
    </row>
    <row r="29" spans="1:17" ht="15" customHeight="1" x14ac:dyDescent="0.3">
      <c r="A29" s="770"/>
      <c r="B29" s="161" t="s">
        <v>1515</v>
      </c>
      <c r="C29" s="10">
        <v>17</v>
      </c>
      <c r="D29" s="10">
        <v>44</v>
      </c>
      <c r="E29" s="10">
        <v>0</v>
      </c>
      <c r="F29" s="10">
        <v>0</v>
      </c>
      <c r="G29" s="10">
        <v>0</v>
      </c>
      <c r="H29" s="52">
        <v>61</v>
      </c>
      <c r="I29" s="13"/>
      <c r="J29" s="2"/>
    </row>
    <row r="30" spans="1:17" ht="15" customHeight="1" x14ac:dyDescent="0.3">
      <c r="A30" s="690" t="s">
        <v>224</v>
      </c>
      <c r="B30" s="293" t="s">
        <v>225</v>
      </c>
      <c r="C30" s="295">
        <v>13</v>
      </c>
      <c r="D30" s="295">
        <v>114</v>
      </c>
      <c r="E30" s="295">
        <v>0</v>
      </c>
      <c r="F30" s="295">
        <v>0</v>
      </c>
      <c r="G30" s="295">
        <v>0</v>
      </c>
      <c r="H30" s="295">
        <v>127</v>
      </c>
      <c r="I30" s="13"/>
    </row>
    <row r="31" spans="1:17" ht="15" customHeight="1" x14ac:dyDescent="0.3">
      <c r="A31" s="771"/>
      <c r="B31" s="161" t="s">
        <v>726</v>
      </c>
      <c r="C31" s="10">
        <v>13</v>
      </c>
      <c r="D31" s="10">
        <v>79</v>
      </c>
      <c r="E31" s="10">
        <v>0</v>
      </c>
      <c r="F31" s="10">
        <v>0</v>
      </c>
      <c r="G31" s="10">
        <v>0</v>
      </c>
      <c r="H31" s="52">
        <v>92</v>
      </c>
      <c r="I31" s="13"/>
    </row>
    <row r="32" spans="1:17" ht="15" customHeight="1" x14ac:dyDescent="0.3">
      <c r="A32" s="770"/>
      <c r="B32" s="161" t="s">
        <v>727</v>
      </c>
      <c r="C32" s="10">
        <v>0</v>
      </c>
      <c r="D32" s="10">
        <v>35</v>
      </c>
      <c r="E32" s="10">
        <v>0</v>
      </c>
      <c r="F32" s="10">
        <v>0</v>
      </c>
      <c r="G32" s="10">
        <v>0</v>
      </c>
      <c r="H32" s="52">
        <v>35</v>
      </c>
      <c r="I32" s="13"/>
    </row>
    <row r="33" spans="1:9" ht="26.7" customHeight="1" x14ac:dyDescent="0.3">
      <c r="A33" s="690" t="s">
        <v>1498</v>
      </c>
      <c r="B33" s="293" t="s">
        <v>332</v>
      </c>
      <c r="C33" s="296">
        <v>8</v>
      </c>
      <c r="D33" s="296">
        <v>1851</v>
      </c>
      <c r="E33" s="295">
        <v>0</v>
      </c>
      <c r="F33" s="296">
        <v>37480</v>
      </c>
      <c r="G33" s="295">
        <v>0</v>
      </c>
      <c r="H33" s="296">
        <v>39339</v>
      </c>
      <c r="I33" s="13"/>
    </row>
    <row r="34" spans="1:9" ht="15" customHeight="1" x14ac:dyDescent="0.3">
      <c r="A34" s="770"/>
      <c r="B34" s="161" t="s">
        <v>1516</v>
      </c>
      <c r="C34" s="136">
        <v>8</v>
      </c>
      <c r="D34" s="136">
        <v>1851</v>
      </c>
      <c r="E34" s="10">
        <v>0</v>
      </c>
      <c r="F34" s="136">
        <v>37480</v>
      </c>
      <c r="G34" s="10">
        <v>0</v>
      </c>
      <c r="H34" s="279">
        <v>39339</v>
      </c>
      <c r="I34" s="13"/>
    </row>
    <row r="35" spans="1:9" ht="15" customHeight="1" x14ac:dyDescent="0.3">
      <c r="A35" s="149" t="s">
        <v>455</v>
      </c>
      <c r="B35" s="293" t="s">
        <v>318</v>
      </c>
      <c r="C35" s="296">
        <v>38</v>
      </c>
      <c r="D35" s="296">
        <v>2099</v>
      </c>
      <c r="E35" s="295">
        <v>0</v>
      </c>
      <c r="F35" s="296">
        <v>37480</v>
      </c>
      <c r="G35" s="296">
        <v>26</v>
      </c>
      <c r="H35" s="296">
        <v>39643</v>
      </c>
      <c r="I35" s="13"/>
    </row>
    <row r="36" spans="1:9" ht="26.7" customHeight="1" x14ac:dyDescent="0.3">
      <c r="A36" s="149" t="s">
        <v>455</v>
      </c>
      <c r="B36" s="293" t="s">
        <v>1517</v>
      </c>
      <c r="C36" s="279">
        <v>6980</v>
      </c>
      <c r="D36" s="279">
        <v>5695</v>
      </c>
      <c r="E36" s="52">
        <v>0</v>
      </c>
      <c r="F36" s="279">
        <v>37480</v>
      </c>
      <c r="G36" s="279">
        <v>26</v>
      </c>
      <c r="H36" s="279">
        <v>50181</v>
      </c>
      <c r="I36" s="13"/>
    </row>
    <row r="37" spans="1:9" ht="172.5" customHeight="1" x14ac:dyDescent="0.25">
      <c r="A37" s="532" t="s">
        <v>1518</v>
      </c>
      <c r="B37" s="532"/>
      <c r="C37" s="532"/>
      <c r="D37" s="532"/>
      <c r="E37" s="532"/>
      <c r="F37" s="532"/>
      <c r="G37" s="532"/>
      <c r="H37" s="532"/>
    </row>
    <row r="38" spans="1:9" ht="15" customHeight="1" x14ac:dyDescent="0.25"/>
    <row r="39" spans="1:9" ht="15" customHeight="1" x14ac:dyDescent="0.25"/>
    <row r="40" spans="1:9" ht="15" customHeight="1" x14ac:dyDescent="0.25"/>
    <row r="41" spans="1:9" ht="15" customHeight="1" x14ac:dyDescent="0.25"/>
    <row r="42" spans="1:9" ht="15" customHeight="1" x14ac:dyDescent="0.25"/>
    <row r="43" spans="1:9" ht="15" customHeight="1" x14ac:dyDescent="0.25"/>
    <row r="44" spans="1:9" ht="15" customHeight="1" x14ac:dyDescent="0.25"/>
  </sheetData>
  <sheetProtection algorithmName="SHA-512" hashValue="7Pv7doLE76W/gNaPvbouhqH+zQuyw7gEmNwV+53iLzj4eEtMJbSsli/G0eLWrouOu6PKKej5CtAw08FIZnj93w==" saltValue="eP6cSmaqSp/yTQ58g/0jPQ==" spinCount="100000" sheet="1" objects="1" scenarios="1" formatColumns="0" formatRows="0"/>
  <mergeCells count="15">
    <mergeCell ref="A1:F1"/>
    <mergeCell ref="A5:A7"/>
    <mergeCell ref="B3:H3"/>
    <mergeCell ref="B14:H14"/>
    <mergeCell ref="A8:A10"/>
    <mergeCell ref="A11:A12"/>
    <mergeCell ref="B25:H25"/>
    <mergeCell ref="M28:Q28"/>
    <mergeCell ref="A33:A34"/>
    <mergeCell ref="A37:H37"/>
    <mergeCell ref="A16:A18"/>
    <mergeCell ref="A19:A21"/>
    <mergeCell ref="A22:A23"/>
    <mergeCell ref="A27:A29"/>
    <mergeCell ref="A30:A3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81"/>
  <sheetViews>
    <sheetView showRuler="0" workbookViewId="0">
      <selection activeCell="A3" sqref="A3"/>
    </sheetView>
  </sheetViews>
  <sheetFormatPr defaultColWidth="13.6640625" defaultRowHeight="13.2" x14ac:dyDescent="0.25"/>
  <cols>
    <col min="1" max="1" width="27.109375" customWidth="1"/>
    <col min="2" max="5" width="14.44140625" customWidth="1"/>
    <col min="6" max="9" width="15.44140625" customWidth="1"/>
  </cols>
  <sheetData>
    <row r="1" spans="1:6" ht="21" customHeight="1" x14ac:dyDescent="0.25">
      <c r="A1" s="741" t="s">
        <v>1519</v>
      </c>
      <c r="B1" s="742"/>
      <c r="C1" s="742"/>
      <c r="D1" s="742"/>
      <c r="E1" s="742"/>
      <c r="F1" s="742"/>
    </row>
    <row r="2" spans="1:6" ht="16.649999999999999" customHeight="1" x14ac:dyDescent="0.25"/>
    <row r="3" spans="1:6" ht="37.5" customHeight="1" x14ac:dyDescent="0.3">
      <c r="A3" s="382" t="s">
        <v>1520</v>
      </c>
      <c r="B3" s="95" t="s">
        <v>1521</v>
      </c>
      <c r="C3" s="95" t="s">
        <v>1522</v>
      </c>
      <c r="D3" s="95" t="s">
        <v>1523</v>
      </c>
      <c r="E3" s="95" t="s">
        <v>318</v>
      </c>
      <c r="F3" s="13"/>
    </row>
    <row r="4" spans="1:6" ht="16.649999999999999" customHeight="1" x14ac:dyDescent="0.3">
      <c r="A4" s="622" t="s">
        <v>1442</v>
      </c>
      <c r="B4" s="622"/>
      <c r="C4" s="622"/>
      <c r="D4" s="622"/>
      <c r="E4" s="622"/>
      <c r="F4" s="13"/>
    </row>
    <row r="5" spans="1:6" ht="16.649999999999999" customHeight="1" x14ac:dyDescent="0.3">
      <c r="A5" s="63" t="s">
        <v>252</v>
      </c>
      <c r="B5" s="384">
        <v>203</v>
      </c>
      <c r="C5" s="384">
        <v>35</v>
      </c>
      <c r="D5" s="384">
        <v>0</v>
      </c>
      <c r="E5" s="295">
        <v>238</v>
      </c>
      <c r="F5" s="13"/>
    </row>
    <row r="6" spans="1:6" ht="16.649999999999999" customHeight="1" x14ac:dyDescent="0.3">
      <c r="A6" s="198" t="s">
        <v>724</v>
      </c>
      <c r="B6" s="10">
        <v>136</v>
      </c>
      <c r="C6" s="10">
        <v>32</v>
      </c>
      <c r="D6" s="10">
        <v>0</v>
      </c>
      <c r="E6" s="376">
        <v>168</v>
      </c>
      <c r="F6" s="13"/>
    </row>
    <row r="7" spans="1:6" ht="16.649999999999999" customHeight="1" x14ac:dyDescent="0.3">
      <c r="A7" s="198" t="s">
        <v>725</v>
      </c>
      <c r="B7" s="10">
        <v>67</v>
      </c>
      <c r="C7" s="10">
        <v>3</v>
      </c>
      <c r="D7" s="10">
        <v>0</v>
      </c>
      <c r="E7" s="376">
        <v>70</v>
      </c>
      <c r="F7" s="13"/>
    </row>
    <row r="8" spans="1:6" ht="16.649999999999999" customHeight="1" x14ac:dyDescent="0.3">
      <c r="A8" s="63" t="s">
        <v>225</v>
      </c>
      <c r="B8" s="384">
        <v>344</v>
      </c>
      <c r="C8" s="384">
        <v>18</v>
      </c>
      <c r="D8" s="384">
        <v>13</v>
      </c>
      <c r="E8" s="295">
        <v>375</v>
      </c>
      <c r="F8" s="13"/>
    </row>
    <row r="9" spans="1:6" ht="16.649999999999999" customHeight="1" x14ac:dyDescent="0.3">
      <c r="A9" s="198" t="s">
        <v>726</v>
      </c>
      <c r="B9" s="10">
        <v>187</v>
      </c>
      <c r="C9" s="10">
        <v>14</v>
      </c>
      <c r="D9" s="10">
        <v>13</v>
      </c>
      <c r="E9" s="376">
        <v>214</v>
      </c>
      <c r="F9" s="13"/>
    </row>
    <row r="10" spans="1:6" ht="15" customHeight="1" x14ac:dyDescent="0.3">
      <c r="A10" s="198" t="s">
        <v>727</v>
      </c>
      <c r="B10" s="10">
        <v>157</v>
      </c>
      <c r="C10" s="10">
        <v>4</v>
      </c>
      <c r="D10" s="10">
        <v>0</v>
      </c>
      <c r="E10" s="376">
        <v>161</v>
      </c>
      <c r="F10" s="13"/>
    </row>
    <row r="11" spans="1:6" ht="15" customHeight="1" x14ac:dyDescent="0.3">
      <c r="A11" s="63" t="s">
        <v>332</v>
      </c>
      <c r="B11" s="384">
        <v>333</v>
      </c>
      <c r="C11" s="384">
        <v>36</v>
      </c>
      <c r="D11" s="384">
        <v>7</v>
      </c>
      <c r="E11" s="295">
        <v>369</v>
      </c>
      <c r="F11" s="13"/>
    </row>
    <row r="12" spans="1:6" ht="15" customHeight="1" x14ac:dyDescent="0.3">
      <c r="A12" s="198" t="s">
        <v>731</v>
      </c>
      <c r="B12" s="10">
        <v>333</v>
      </c>
      <c r="C12" s="10">
        <v>36</v>
      </c>
      <c r="D12" s="10">
        <v>7</v>
      </c>
      <c r="E12" s="376">
        <v>369</v>
      </c>
      <c r="F12" s="13"/>
    </row>
    <row r="13" spans="1:6" ht="15" customHeight="1" x14ac:dyDescent="0.3">
      <c r="A13" s="385" t="s">
        <v>318</v>
      </c>
      <c r="B13" s="384">
        <v>880</v>
      </c>
      <c r="C13" s="384">
        <v>89</v>
      </c>
      <c r="D13" s="384">
        <v>20</v>
      </c>
      <c r="E13" s="295">
        <v>982</v>
      </c>
      <c r="F13" s="13"/>
    </row>
    <row r="14" spans="1:6" ht="15" customHeight="1" x14ac:dyDescent="0.3">
      <c r="A14" s="622" t="s">
        <v>1437</v>
      </c>
      <c r="B14" s="622"/>
      <c r="C14" s="622"/>
      <c r="D14" s="622"/>
      <c r="E14" s="622"/>
      <c r="F14" s="13"/>
    </row>
    <row r="15" spans="1:6" ht="15" customHeight="1" x14ac:dyDescent="0.3">
      <c r="A15" s="63" t="s">
        <v>252</v>
      </c>
      <c r="B15" s="384">
        <v>1456</v>
      </c>
      <c r="C15" s="384">
        <v>259</v>
      </c>
      <c r="D15" s="384">
        <v>0</v>
      </c>
      <c r="E15" s="295">
        <v>1715</v>
      </c>
      <c r="F15" s="13"/>
    </row>
    <row r="16" spans="1:6" ht="15" customHeight="1" x14ac:dyDescent="0.3">
      <c r="A16" s="198" t="s">
        <v>724</v>
      </c>
      <c r="B16" s="10">
        <v>1045</v>
      </c>
      <c r="C16" s="10">
        <v>246</v>
      </c>
      <c r="D16" s="10">
        <v>0</v>
      </c>
      <c r="E16" s="376">
        <v>1291</v>
      </c>
      <c r="F16" s="13"/>
    </row>
    <row r="17" spans="1:6" ht="15" customHeight="1" x14ac:dyDescent="0.3">
      <c r="A17" s="198" t="s">
        <v>725</v>
      </c>
      <c r="B17" s="10">
        <v>411</v>
      </c>
      <c r="C17" s="10">
        <v>13</v>
      </c>
      <c r="D17" s="10">
        <v>0</v>
      </c>
      <c r="E17" s="376">
        <v>424</v>
      </c>
      <c r="F17" s="13"/>
    </row>
    <row r="18" spans="1:6" ht="15" customHeight="1" x14ac:dyDescent="0.3">
      <c r="A18" s="63" t="s">
        <v>225</v>
      </c>
      <c r="B18" s="384">
        <v>1319</v>
      </c>
      <c r="C18" s="384">
        <v>79</v>
      </c>
      <c r="D18" s="384">
        <v>13</v>
      </c>
      <c r="E18" s="295">
        <v>1398</v>
      </c>
      <c r="F18" s="13"/>
    </row>
    <row r="19" spans="1:6" ht="15" customHeight="1" x14ac:dyDescent="0.3">
      <c r="A19" s="198" t="s">
        <v>726</v>
      </c>
      <c r="B19" s="10">
        <v>721</v>
      </c>
      <c r="C19" s="10">
        <v>71</v>
      </c>
      <c r="D19" s="10">
        <v>13</v>
      </c>
      <c r="E19" s="376">
        <v>792</v>
      </c>
      <c r="F19" s="13"/>
    </row>
    <row r="20" spans="1:6" ht="15" customHeight="1" x14ac:dyDescent="0.3">
      <c r="A20" s="198" t="s">
        <v>727</v>
      </c>
      <c r="B20" s="10">
        <v>598</v>
      </c>
      <c r="C20" s="10">
        <v>8</v>
      </c>
      <c r="D20" s="10">
        <v>0</v>
      </c>
      <c r="E20" s="376">
        <v>606</v>
      </c>
      <c r="F20" s="13"/>
    </row>
    <row r="21" spans="1:6" ht="15" customHeight="1" x14ac:dyDescent="0.3">
      <c r="A21" s="63" t="s">
        <v>332</v>
      </c>
      <c r="B21" s="384">
        <v>1876</v>
      </c>
      <c r="C21" s="384">
        <v>260</v>
      </c>
      <c r="D21" s="384">
        <v>16</v>
      </c>
      <c r="E21" s="295">
        <v>2136</v>
      </c>
      <c r="F21" s="13"/>
    </row>
    <row r="22" spans="1:6" ht="15" customHeight="1" x14ac:dyDescent="0.3">
      <c r="A22" s="198" t="s">
        <v>731</v>
      </c>
      <c r="B22" s="10">
        <v>1876</v>
      </c>
      <c r="C22" s="10">
        <v>260</v>
      </c>
      <c r="D22" s="10">
        <v>16</v>
      </c>
      <c r="E22" s="376">
        <v>2136</v>
      </c>
      <c r="F22" s="13"/>
    </row>
    <row r="23" spans="1:6" ht="15" customHeight="1" x14ac:dyDescent="0.3">
      <c r="A23" s="63" t="s">
        <v>318</v>
      </c>
      <c r="B23" s="384">
        <v>4651</v>
      </c>
      <c r="C23" s="384">
        <v>598</v>
      </c>
      <c r="D23" s="384">
        <v>29</v>
      </c>
      <c r="E23" s="295">
        <v>5249</v>
      </c>
      <c r="F23" s="13"/>
    </row>
    <row r="24" spans="1:6" ht="15" customHeight="1" x14ac:dyDescent="0.3">
      <c r="A24" s="622" t="s">
        <v>1524</v>
      </c>
      <c r="B24" s="622"/>
      <c r="C24" s="622"/>
      <c r="D24" s="622"/>
      <c r="E24" s="622"/>
      <c r="F24" s="13"/>
    </row>
    <row r="25" spans="1:6" ht="15" customHeight="1" x14ac:dyDescent="0.3">
      <c r="A25" s="63" t="s">
        <v>252</v>
      </c>
      <c r="B25" s="384">
        <v>0</v>
      </c>
      <c r="C25" s="384">
        <v>0</v>
      </c>
      <c r="D25" s="384">
        <v>0</v>
      </c>
      <c r="E25" s="295">
        <v>0</v>
      </c>
      <c r="F25" s="13"/>
    </row>
    <row r="26" spans="1:6" ht="15" customHeight="1" x14ac:dyDescent="0.3">
      <c r="A26" s="198" t="s">
        <v>724</v>
      </c>
      <c r="B26" s="10">
        <v>0</v>
      </c>
      <c r="C26" s="10">
        <v>0</v>
      </c>
      <c r="D26" s="10">
        <v>0</v>
      </c>
      <c r="E26" s="376">
        <v>0</v>
      </c>
      <c r="F26" s="13"/>
    </row>
    <row r="27" spans="1:6" ht="15" customHeight="1" x14ac:dyDescent="0.3">
      <c r="A27" s="198" t="s">
        <v>725</v>
      </c>
      <c r="B27" s="10">
        <v>0</v>
      </c>
      <c r="C27" s="10">
        <v>0</v>
      </c>
      <c r="D27" s="10">
        <v>0</v>
      </c>
      <c r="E27" s="376">
        <v>0</v>
      </c>
      <c r="F27" s="13"/>
    </row>
    <row r="28" spans="1:6" ht="15" customHeight="1" x14ac:dyDescent="0.3">
      <c r="A28" s="63" t="s">
        <v>225</v>
      </c>
      <c r="B28" s="384">
        <v>1</v>
      </c>
      <c r="C28" s="384">
        <v>0</v>
      </c>
      <c r="D28" s="384">
        <v>0</v>
      </c>
      <c r="E28" s="295">
        <v>1</v>
      </c>
      <c r="F28" s="13"/>
    </row>
    <row r="29" spans="1:6" ht="15" customHeight="1" x14ac:dyDescent="0.3">
      <c r="A29" s="198" t="s">
        <v>726</v>
      </c>
      <c r="B29" s="10">
        <v>1</v>
      </c>
      <c r="C29" s="10">
        <v>0</v>
      </c>
      <c r="D29" s="10">
        <v>0</v>
      </c>
      <c r="E29" s="376">
        <v>1</v>
      </c>
      <c r="F29" s="13"/>
    </row>
    <row r="30" spans="1:6" ht="15" customHeight="1" x14ac:dyDescent="0.3">
      <c r="A30" s="198" t="s">
        <v>727</v>
      </c>
      <c r="B30" s="10">
        <v>0</v>
      </c>
      <c r="C30" s="10">
        <v>0</v>
      </c>
      <c r="D30" s="10">
        <v>0</v>
      </c>
      <c r="E30" s="376">
        <v>0</v>
      </c>
      <c r="F30" s="13"/>
    </row>
    <row r="31" spans="1:6" ht="15" customHeight="1" x14ac:dyDescent="0.3">
      <c r="A31" s="63" t="s">
        <v>332</v>
      </c>
      <c r="B31" s="384">
        <v>0</v>
      </c>
      <c r="C31" s="384">
        <v>0</v>
      </c>
      <c r="D31" s="384">
        <v>0</v>
      </c>
      <c r="E31" s="295">
        <v>0</v>
      </c>
      <c r="F31" s="13"/>
    </row>
    <row r="32" spans="1:6" ht="15" customHeight="1" x14ac:dyDescent="0.3">
      <c r="A32" s="198" t="s">
        <v>731</v>
      </c>
      <c r="B32" s="10">
        <v>0</v>
      </c>
      <c r="C32" s="10">
        <v>0</v>
      </c>
      <c r="D32" s="10">
        <v>0</v>
      </c>
      <c r="E32" s="376">
        <v>0</v>
      </c>
      <c r="F32" s="13"/>
    </row>
    <row r="33" spans="1:6" ht="15" customHeight="1" x14ac:dyDescent="0.3">
      <c r="A33" s="63" t="s">
        <v>318</v>
      </c>
      <c r="B33" s="384">
        <v>1</v>
      </c>
      <c r="C33" s="384">
        <v>0</v>
      </c>
      <c r="D33" s="384">
        <v>0</v>
      </c>
      <c r="E33" s="295">
        <v>1</v>
      </c>
      <c r="F33" s="13"/>
    </row>
    <row r="34" spans="1:6" ht="30.75" customHeight="1" x14ac:dyDescent="0.25">
      <c r="A34" s="532" t="s">
        <v>1525</v>
      </c>
      <c r="B34" s="532"/>
      <c r="C34" s="532"/>
      <c r="D34" s="532"/>
      <c r="E34" s="532"/>
    </row>
    <row r="35" spans="1:6" ht="15" customHeight="1" x14ac:dyDescent="0.25"/>
    <row r="36" spans="1:6" ht="15" customHeight="1" x14ac:dyDescent="0.25"/>
    <row r="37" spans="1:6" ht="42.6" customHeight="1" x14ac:dyDescent="0.3">
      <c r="A37" s="382" t="s">
        <v>1526</v>
      </c>
      <c r="B37" s="225" t="s">
        <v>1527</v>
      </c>
      <c r="C37" s="225" t="s">
        <v>1528</v>
      </c>
      <c r="D37" s="225" t="s">
        <v>318</v>
      </c>
      <c r="E37" s="13"/>
    </row>
    <row r="38" spans="1:6" ht="15.75" customHeight="1" x14ac:dyDescent="0.3">
      <c r="A38" s="772" t="s">
        <v>1442</v>
      </c>
      <c r="B38" s="773"/>
      <c r="C38" s="773"/>
      <c r="D38" s="774"/>
      <c r="E38" s="13"/>
    </row>
    <row r="39" spans="1:6" ht="15.75" customHeight="1" x14ac:dyDescent="0.3">
      <c r="A39" s="63" t="s">
        <v>252</v>
      </c>
      <c r="B39" s="384">
        <v>211</v>
      </c>
      <c r="C39" s="384">
        <v>27</v>
      </c>
      <c r="D39" s="384">
        <v>238</v>
      </c>
      <c r="E39" s="13"/>
    </row>
    <row r="40" spans="1:6" ht="15.75" customHeight="1" x14ac:dyDescent="0.3">
      <c r="A40" s="198" t="s">
        <v>724</v>
      </c>
      <c r="B40" s="10">
        <v>145</v>
      </c>
      <c r="C40" s="10">
        <v>23</v>
      </c>
      <c r="D40" s="376">
        <v>168</v>
      </c>
      <c r="E40" s="13"/>
    </row>
    <row r="41" spans="1:6" ht="15.75" customHeight="1" x14ac:dyDescent="0.3">
      <c r="A41" s="198" t="s">
        <v>725</v>
      </c>
      <c r="B41" s="10">
        <v>66</v>
      </c>
      <c r="C41" s="10">
        <v>4</v>
      </c>
      <c r="D41" s="376">
        <v>70</v>
      </c>
      <c r="E41" s="13"/>
    </row>
    <row r="42" spans="1:6" ht="15.75" customHeight="1" x14ac:dyDescent="0.3">
      <c r="A42" s="63" t="s">
        <v>225</v>
      </c>
      <c r="B42" s="384">
        <v>362</v>
      </c>
      <c r="C42" s="384">
        <v>13</v>
      </c>
      <c r="D42" s="384">
        <v>375</v>
      </c>
      <c r="E42" s="13"/>
    </row>
    <row r="43" spans="1:6" ht="15.75" customHeight="1" x14ac:dyDescent="0.3">
      <c r="A43" s="198" t="s">
        <v>726</v>
      </c>
      <c r="B43" s="10">
        <v>201</v>
      </c>
      <c r="C43" s="10">
        <v>13</v>
      </c>
      <c r="D43" s="376">
        <v>214</v>
      </c>
      <c r="E43" s="13"/>
    </row>
    <row r="44" spans="1:6" ht="15.75" customHeight="1" x14ac:dyDescent="0.3">
      <c r="A44" s="198" t="s">
        <v>727</v>
      </c>
      <c r="B44" s="10">
        <v>161</v>
      </c>
      <c r="C44" s="10">
        <v>0</v>
      </c>
      <c r="D44" s="376">
        <v>161</v>
      </c>
      <c r="E44" s="13"/>
    </row>
    <row r="45" spans="1:6" ht="15.75" customHeight="1" x14ac:dyDescent="0.3">
      <c r="A45" s="63" t="s">
        <v>332</v>
      </c>
      <c r="B45" s="384">
        <v>368</v>
      </c>
      <c r="C45" s="384">
        <v>8</v>
      </c>
      <c r="D45" s="384">
        <v>376</v>
      </c>
      <c r="E45" s="13"/>
    </row>
    <row r="46" spans="1:6" ht="15.75" customHeight="1" x14ac:dyDescent="0.3">
      <c r="A46" s="198" t="s">
        <v>731</v>
      </c>
      <c r="B46" s="10">
        <v>368</v>
      </c>
      <c r="C46" s="10">
        <v>8</v>
      </c>
      <c r="D46" s="376">
        <v>376</v>
      </c>
      <c r="E46" s="13"/>
    </row>
    <row r="47" spans="1:6" ht="15.75" customHeight="1" x14ac:dyDescent="0.3">
      <c r="A47" s="63" t="s">
        <v>318</v>
      </c>
      <c r="B47" s="384">
        <v>941</v>
      </c>
      <c r="C47" s="384">
        <v>48</v>
      </c>
      <c r="D47" s="384">
        <v>989</v>
      </c>
      <c r="E47" s="13"/>
    </row>
    <row r="48" spans="1:6" ht="15.75" customHeight="1" x14ac:dyDescent="0.3">
      <c r="A48" s="772" t="s">
        <v>1437</v>
      </c>
      <c r="B48" s="773"/>
      <c r="C48" s="773"/>
      <c r="D48" s="774"/>
      <c r="E48" s="13"/>
    </row>
    <row r="49" spans="1:5" ht="15.75" customHeight="1" x14ac:dyDescent="0.3">
      <c r="A49" s="63" t="s">
        <v>252</v>
      </c>
      <c r="B49" s="384">
        <v>1708</v>
      </c>
      <c r="C49" s="384">
        <v>7</v>
      </c>
      <c r="D49" s="384">
        <v>1715</v>
      </c>
      <c r="E49" s="13"/>
    </row>
    <row r="50" spans="1:5" ht="15.75" customHeight="1" x14ac:dyDescent="0.3">
      <c r="A50" s="198" t="s">
        <v>724</v>
      </c>
      <c r="B50" s="10">
        <v>1285</v>
      </c>
      <c r="C50" s="10">
        <v>6</v>
      </c>
      <c r="D50" s="376">
        <v>1291</v>
      </c>
      <c r="E50" s="13"/>
    </row>
    <row r="51" spans="1:5" ht="15.75" customHeight="1" x14ac:dyDescent="0.3">
      <c r="A51" s="198" t="s">
        <v>725</v>
      </c>
      <c r="B51" s="10">
        <v>423</v>
      </c>
      <c r="C51" s="10">
        <v>1</v>
      </c>
      <c r="D51" s="376">
        <v>424</v>
      </c>
      <c r="E51" s="13"/>
    </row>
    <row r="52" spans="1:5" ht="15.75" customHeight="1" x14ac:dyDescent="0.3">
      <c r="A52" s="63" t="s">
        <v>225</v>
      </c>
      <c r="B52" s="384">
        <v>1397</v>
      </c>
      <c r="C52" s="384">
        <v>14</v>
      </c>
      <c r="D52" s="384">
        <v>1411</v>
      </c>
      <c r="E52" s="13"/>
    </row>
    <row r="53" spans="1:5" ht="15.75" customHeight="1" x14ac:dyDescent="0.3">
      <c r="A53" s="198" t="s">
        <v>726</v>
      </c>
      <c r="B53" s="10">
        <v>791</v>
      </c>
      <c r="C53" s="10">
        <v>14</v>
      </c>
      <c r="D53" s="376">
        <v>805</v>
      </c>
      <c r="E53" s="13"/>
    </row>
    <row r="54" spans="1:5" ht="15.75" customHeight="1" x14ac:dyDescent="0.3">
      <c r="A54" s="198" t="s">
        <v>727</v>
      </c>
      <c r="B54" s="10">
        <v>606</v>
      </c>
      <c r="C54" s="10">
        <v>0</v>
      </c>
      <c r="D54" s="376">
        <v>606</v>
      </c>
      <c r="E54" s="13"/>
    </row>
    <row r="55" spans="1:5" ht="15.75" customHeight="1" x14ac:dyDescent="0.3">
      <c r="A55" s="63" t="s">
        <v>332</v>
      </c>
      <c r="B55" s="384">
        <v>2136</v>
      </c>
      <c r="C55" s="384">
        <v>16</v>
      </c>
      <c r="D55" s="384">
        <v>2152</v>
      </c>
      <c r="E55" s="13"/>
    </row>
    <row r="56" spans="1:5" ht="15.75" customHeight="1" x14ac:dyDescent="0.3">
      <c r="A56" s="198" t="s">
        <v>731</v>
      </c>
      <c r="B56" s="10">
        <v>2136</v>
      </c>
      <c r="C56" s="10">
        <v>16</v>
      </c>
      <c r="D56" s="376">
        <v>2152</v>
      </c>
      <c r="E56" s="13"/>
    </row>
    <row r="57" spans="1:5" ht="15.75" customHeight="1" x14ac:dyDescent="0.3">
      <c r="A57" s="63" t="s">
        <v>318</v>
      </c>
      <c r="B57" s="384">
        <v>5241</v>
      </c>
      <c r="C57" s="384">
        <v>37</v>
      </c>
      <c r="D57" s="384">
        <v>5278</v>
      </c>
      <c r="E57" s="13"/>
    </row>
    <row r="58" spans="1:5" ht="15.75" customHeight="1" x14ac:dyDescent="0.3">
      <c r="A58" s="772" t="s">
        <v>1524</v>
      </c>
      <c r="B58" s="773"/>
      <c r="C58" s="773"/>
      <c r="D58" s="774"/>
      <c r="E58" s="13"/>
    </row>
    <row r="59" spans="1:5" ht="15.75" customHeight="1" x14ac:dyDescent="0.3">
      <c r="A59" s="63" t="s">
        <v>252</v>
      </c>
      <c r="B59" s="384">
        <v>0</v>
      </c>
      <c r="C59" s="384">
        <v>0</v>
      </c>
      <c r="D59" s="384">
        <v>0</v>
      </c>
      <c r="E59" s="13"/>
    </row>
    <row r="60" spans="1:5" ht="15.75" customHeight="1" x14ac:dyDescent="0.3">
      <c r="A60" s="198" t="s">
        <v>724</v>
      </c>
      <c r="B60" s="10">
        <v>0</v>
      </c>
      <c r="C60" s="10">
        <v>0</v>
      </c>
      <c r="D60" s="376">
        <v>0</v>
      </c>
      <c r="E60" s="13"/>
    </row>
    <row r="61" spans="1:5" ht="15.75" customHeight="1" x14ac:dyDescent="0.3">
      <c r="A61" s="198" t="s">
        <v>725</v>
      </c>
      <c r="B61" s="10">
        <v>0</v>
      </c>
      <c r="C61" s="10">
        <v>0</v>
      </c>
      <c r="D61" s="376">
        <v>0</v>
      </c>
      <c r="E61" s="13"/>
    </row>
    <row r="62" spans="1:5" ht="15.75" customHeight="1" x14ac:dyDescent="0.3">
      <c r="A62" s="63" t="s">
        <v>225</v>
      </c>
      <c r="B62" s="384">
        <v>1</v>
      </c>
      <c r="C62" s="384">
        <v>0</v>
      </c>
      <c r="D62" s="384">
        <v>1</v>
      </c>
      <c r="E62" s="13"/>
    </row>
    <row r="63" spans="1:5" ht="15.75" customHeight="1" x14ac:dyDescent="0.3">
      <c r="A63" s="198" t="s">
        <v>726</v>
      </c>
      <c r="B63" s="10">
        <v>1</v>
      </c>
      <c r="C63" s="10">
        <v>0</v>
      </c>
      <c r="D63" s="376">
        <v>1</v>
      </c>
      <c r="E63" s="13"/>
    </row>
    <row r="64" spans="1:5" ht="15.75" customHeight="1" x14ac:dyDescent="0.3">
      <c r="A64" s="198" t="s">
        <v>727</v>
      </c>
      <c r="B64" s="10">
        <v>0</v>
      </c>
      <c r="C64" s="10">
        <v>0</v>
      </c>
      <c r="D64" s="376">
        <v>0</v>
      </c>
      <c r="E64" s="13"/>
    </row>
    <row r="65" spans="1:5" ht="15.75" customHeight="1" x14ac:dyDescent="0.3">
      <c r="A65" s="63" t="s">
        <v>332</v>
      </c>
      <c r="B65" s="384">
        <v>0</v>
      </c>
      <c r="C65" s="384">
        <v>0</v>
      </c>
      <c r="D65" s="384">
        <v>0</v>
      </c>
      <c r="E65" s="13"/>
    </row>
    <row r="66" spans="1:5" ht="15.75" customHeight="1" x14ac:dyDescent="0.3">
      <c r="A66" s="198" t="s">
        <v>731</v>
      </c>
      <c r="B66" s="10">
        <v>0</v>
      </c>
      <c r="C66" s="10">
        <v>0</v>
      </c>
      <c r="D66" s="376">
        <v>0</v>
      </c>
      <c r="E66" s="13"/>
    </row>
    <row r="67" spans="1:5" ht="15.75" customHeight="1" x14ac:dyDescent="0.3">
      <c r="A67" s="63" t="s">
        <v>318</v>
      </c>
      <c r="B67" s="384">
        <v>1</v>
      </c>
      <c r="C67" s="384">
        <v>0</v>
      </c>
      <c r="D67" s="384">
        <v>1</v>
      </c>
      <c r="E67" s="13"/>
    </row>
    <row r="68" spans="1:5" ht="52.5" customHeight="1" x14ac:dyDescent="0.25">
      <c r="A68" s="532" t="s">
        <v>1529</v>
      </c>
      <c r="B68" s="532"/>
      <c r="C68" s="532"/>
      <c r="D68" s="532"/>
      <c r="E68" s="27"/>
    </row>
    <row r="69" spans="1:5" ht="15" customHeight="1" x14ac:dyDescent="0.25"/>
    <row r="70" spans="1:5" ht="15" customHeight="1" x14ac:dyDescent="0.25"/>
    <row r="71" spans="1:5" ht="15" customHeight="1" x14ac:dyDescent="0.25"/>
    <row r="72" spans="1:5" ht="15" customHeight="1" x14ac:dyDescent="0.25"/>
    <row r="73" spans="1:5" ht="15" customHeight="1" x14ac:dyDescent="0.25"/>
    <row r="74" spans="1:5" ht="15" customHeight="1" x14ac:dyDescent="0.25"/>
    <row r="75" spans="1:5" ht="15" customHeight="1" x14ac:dyDescent="0.25"/>
    <row r="76" spans="1:5" ht="15" customHeight="1" x14ac:dyDescent="0.25"/>
    <row r="77" spans="1:5" ht="15" customHeight="1" x14ac:dyDescent="0.25"/>
    <row r="78" spans="1:5" ht="15" customHeight="1" x14ac:dyDescent="0.25"/>
    <row r="79" spans="1:5" ht="15" customHeight="1" x14ac:dyDescent="0.25"/>
    <row r="80" spans="1:5" ht="15" customHeight="1" x14ac:dyDescent="0.25"/>
    <row r="81" ht="15" customHeight="1" x14ac:dyDescent="0.25"/>
  </sheetData>
  <sheetProtection algorithmName="SHA-512" hashValue="Ln4Eft8HF9a5zsgU5A+Qq+4Qj4TX9kOahiNr80mN00poOHNm42MZaR1rgZdVoPO+Y6O8shv/boEv+41f5v0W8Q==" saltValue="InloVqz993LETZM4tyqGvg==" spinCount="100000" sheet="1" objects="1" scenarios="1" formatColumns="0" formatRows="0"/>
  <mergeCells count="9">
    <mergeCell ref="A1:F1"/>
    <mergeCell ref="A4:E4"/>
    <mergeCell ref="A14:E14"/>
    <mergeCell ref="A68:D68"/>
    <mergeCell ref="A24:E24"/>
    <mergeCell ref="A38:D38"/>
    <mergeCell ref="A48:D48"/>
    <mergeCell ref="A34:E34"/>
    <mergeCell ref="A58:D58"/>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36"/>
  <sheetViews>
    <sheetView showRuler="0" workbookViewId="0">
      <selection sqref="A1:F1"/>
    </sheetView>
  </sheetViews>
  <sheetFormatPr defaultColWidth="13.6640625" defaultRowHeight="13.2" x14ac:dyDescent="0.25"/>
  <cols>
    <col min="1" max="1" width="24.88671875" customWidth="1"/>
    <col min="2" max="5" width="18.6640625" customWidth="1"/>
    <col min="6" max="8" width="16.6640625" customWidth="1"/>
  </cols>
  <sheetData>
    <row r="1" spans="1:6" ht="20.25" customHeight="1" x14ac:dyDescent="0.25">
      <c r="A1" s="742" t="s">
        <v>1369</v>
      </c>
      <c r="B1" s="742"/>
      <c r="C1" s="742"/>
      <c r="D1" s="742"/>
      <c r="E1" s="742"/>
      <c r="F1" s="742"/>
    </row>
    <row r="2" spans="1:6" ht="15" customHeight="1" x14ac:dyDescent="0.25"/>
    <row r="3" spans="1:6" ht="49.2" customHeight="1" x14ac:dyDescent="0.3">
      <c r="A3" s="33" t="s">
        <v>1530</v>
      </c>
      <c r="B3" s="18" t="s">
        <v>1531</v>
      </c>
      <c r="C3" s="13"/>
    </row>
    <row r="4" spans="1:6" ht="15.75" customHeight="1" x14ac:dyDescent="0.3">
      <c r="A4" s="293" t="s">
        <v>252</v>
      </c>
      <c r="B4" s="32"/>
      <c r="C4" s="13"/>
    </row>
    <row r="5" spans="1:6" ht="15.75" customHeight="1" x14ac:dyDescent="0.3">
      <c r="A5" s="161" t="s">
        <v>724</v>
      </c>
      <c r="B5" s="299">
        <v>80.37</v>
      </c>
      <c r="C5" s="13"/>
    </row>
    <row r="6" spans="1:6" ht="15.75" customHeight="1" x14ac:dyDescent="0.3">
      <c r="A6" s="161" t="s">
        <v>725</v>
      </c>
      <c r="B6" s="299">
        <v>88.54</v>
      </c>
      <c r="C6" s="13"/>
    </row>
    <row r="7" spans="1:6" ht="15.75" customHeight="1" x14ac:dyDescent="0.3">
      <c r="A7" s="293" t="s">
        <v>225</v>
      </c>
      <c r="B7" s="32"/>
      <c r="C7" s="13"/>
    </row>
    <row r="8" spans="1:6" ht="15.75" customHeight="1" x14ac:dyDescent="0.3">
      <c r="A8" s="161" t="s">
        <v>726</v>
      </c>
      <c r="B8" s="299">
        <v>86.3</v>
      </c>
      <c r="C8" s="13"/>
    </row>
    <row r="9" spans="1:6" ht="15.75" customHeight="1" x14ac:dyDescent="0.3">
      <c r="A9" s="161" t="s">
        <v>727</v>
      </c>
      <c r="B9" s="299">
        <v>89.31</v>
      </c>
      <c r="C9" s="13"/>
    </row>
    <row r="10" spans="1:6" ht="15.75" customHeight="1" x14ac:dyDescent="0.3">
      <c r="A10" s="293" t="s">
        <v>332</v>
      </c>
      <c r="B10" s="32"/>
      <c r="C10" s="13"/>
    </row>
    <row r="11" spans="1:6" ht="15.75" customHeight="1" x14ac:dyDescent="0.3">
      <c r="A11" s="161" t="s">
        <v>731</v>
      </c>
      <c r="B11" s="299">
        <v>80.180000000000007</v>
      </c>
      <c r="C11" s="13"/>
    </row>
    <row r="12" spans="1:6" ht="37.5" customHeight="1" x14ac:dyDescent="0.25">
      <c r="A12" s="532" t="s">
        <v>1532</v>
      </c>
      <c r="B12" s="532"/>
    </row>
    <row r="13" spans="1:6" ht="15" customHeight="1" x14ac:dyDescent="0.25"/>
    <row r="14" spans="1:6" ht="15" customHeight="1" x14ac:dyDescent="0.25"/>
    <row r="15" spans="1:6" ht="49.2" customHeight="1" x14ac:dyDescent="0.3">
      <c r="A15" s="33" t="s">
        <v>1533</v>
      </c>
      <c r="B15" s="18" t="s">
        <v>1534</v>
      </c>
      <c r="C15" s="18" t="s">
        <v>1535</v>
      </c>
      <c r="D15" s="18" t="s">
        <v>1536</v>
      </c>
      <c r="E15" s="18" t="s">
        <v>1537</v>
      </c>
      <c r="F15" s="13"/>
    </row>
    <row r="16" spans="1:6" ht="15.75" customHeight="1" x14ac:dyDescent="0.3">
      <c r="A16" s="293" t="s">
        <v>252</v>
      </c>
      <c r="B16" s="32"/>
      <c r="C16" s="9"/>
      <c r="D16" s="9"/>
      <c r="E16" s="9"/>
      <c r="F16" s="13"/>
    </row>
    <row r="17" spans="1:6" ht="15.75" customHeight="1" x14ac:dyDescent="0.3">
      <c r="A17" s="161" t="s">
        <v>724</v>
      </c>
      <c r="B17" s="32" t="s">
        <v>410</v>
      </c>
      <c r="C17" s="300">
        <v>95.1</v>
      </c>
      <c r="D17" s="300">
        <v>82.8</v>
      </c>
      <c r="E17" s="300">
        <v>79.599999999999994</v>
      </c>
      <c r="F17" s="13"/>
    </row>
    <row r="18" spans="1:6" ht="15.75" customHeight="1" x14ac:dyDescent="0.3">
      <c r="A18" s="161" t="s">
        <v>725</v>
      </c>
      <c r="B18" s="32" t="s">
        <v>410</v>
      </c>
      <c r="C18" s="300">
        <v>93.2</v>
      </c>
      <c r="D18" s="300">
        <v>92.5</v>
      </c>
      <c r="E18" s="300">
        <v>85.3</v>
      </c>
      <c r="F18" s="13"/>
    </row>
    <row r="19" spans="1:6" ht="15.75" customHeight="1" x14ac:dyDescent="0.3">
      <c r="A19" s="293" t="s">
        <v>225</v>
      </c>
      <c r="B19" s="32"/>
      <c r="C19" s="9"/>
      <c r="D19" s="9"/>
      <c r="E19" s="9"/>
      <c r="F19" s="13"/>
    </row>
    <row r="20" spans="1:6" ht="15.75" customHeight="1" x14ac:dyDescent="0.3">
      <c r="A20" s="161" t="s">
        <v>726</v>
      </c>
      <c r="B20" s="32" t="s">
        <v>410</v>
      </c>
      <c r="C20" s="300">
        <v>96.1</v>
      </c>
      <c r="D20" s="300">
        <v>94.6</v>
      </c>
      <c r="E20" s="300">
        <v>79.3</v>
      </c>
      <c r="F20" s="13"/>
    </row>
    <row r="21" spans="1:6" ht="15.75" customHeight="1" x14ac:dyDescent="0.3">
      <c r="A21" s="161" t="s">
        <v>727</v>
      </c>
      <c r="B21" s="32" t="s">
        <v>410</v>
      </c>
      <c r="C21" s="300">
        <v>84.4</v>
      </c>
      <c r="D21" s="300">
        <v>96.4</v>
      </c>
      <c r="E21" s="300">
        <v>90.4</v>
      </c>
      <c r="F21" s="13"/>
    </row>
    <row r="22" spans="1:6" ht="15.75" customHeight="1" x14ac:dyDescent="0.3">
      <c r="A22" s="293" t="s">
        <v>332</v>
      </c>
      <c r="B22" s="32"/>
      <c r="C22" s="9"/>
      <c r="D22" s="9"/>
      <c r="E22" s="9"/>
      <c r="F22" s="13"/>
    </row>
    <row r="23" spans="1:6" ht="15.75" customHeight="1" x14ac:dyDescent="0.3">
      <c r="A23" s="161" t="s">
        <v>731</v>
      </c>
      <c r="B23" s="32" t="s">
        <v>410</v>
      </c>
      <c r="C23" s="300">
        <v>73.2</v>
      </c>
      <c r="D23" s="300">
        <v>84.2</v>
      </c>
      <c r="E23" s="300">
        <v>84.6</v>
      </c>
      <c r="F23" s="13"/>
    </row>
    <row r="24" spans="1:6" ht="33" customHeight="1" x14ac:dyDescent="0.25">
      <c r="A24" s="532" t="s">
        <v>1538</v>
      </c>
      <c r="B24" s="532"/>
      <c r="C24" s="532"/>
      <c r="D24" s="532"/>
      <c r="E24" s="532"/>
    </row>
    <row r="25" spans="1:6" ht="15" customHeight="1" x14ac:dyDescent="0.25"/>
    <row r="26" spans="1:6" ht="15" customHeight="1" x14ac:dyDescent="0.25"/>
    <row r="27" spans="1:6" ht="15" customHeight="1" x14ac:dyDescent="0.25"/>
    <row r="28" spans="1:6" ht="15" customHeight="1" x14ac:dyDescent="0.25"/>
    <row r="29" spans="1:6" ht="15" customHeight="1" x14ac:dyDescent="0.25"/>
    <row r="30" spans="1:6" ht="15" customHeight="1" x14ac:dyDescent="0.25"/>
    <row r="31" spans="1:6" ht="15" customHeight="1" x14ac:dyDescent="0.25"/>
    <row r="32" spans="1:6" ht="15" customHeight="1" x14ac:dyDescent="0.25"/>
    <row r="33" ht="15" customHeight="1" x14ac:dyDescent="0.25"/>
    <row r="34" ht="15" customHeight="1" x14ac:dyDescent="0.25"/>
    <row r="35" ht="15" customHeight="1" x14ac:dyDescent="0.25"/>
    <row r="36" ht="15" customHeight="1" x14ac:dyDescent="0.25"/>
  </sheetData>
  <sheetProtection algorithmName="SHA-512" hashValue="ehKv68CvAYNBHP4zFvioP14utbmUOC9535Lx3BNVcH7Jf8nHBSgPrrt6XZMw74lcDFoMHbotNDgTa8ZJx2vekQ==" saltValue="+3l/LYwJkzs8iOXRN3F5Dw==" spinCount="100000" sheet="1" objects="1" scenarios="1" formatColumns="0" formatRows="0"/>
  <mergeCells count="3">
    <mergeCell ref="A1:F1"/>
    <mergeCell ref="A12:B12"/>
    <mergeCell ref="A24:E2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2C80B44FEA264DB4ADC0CD3CD53981" ma:contentTypeVersion="14" ma:contentTypeDescription="Create a new document." ma:contentTypeScope="" ma:versionID="0f081a04b8b28f8642c87c5f1d5eb4bf">
  <xsd:schema xmlns:xsd="http://www.w3.org/2001/XMLSchema" xmlns:xs="http://www.w3.org/2001/XMLSchema" xmlns:p="http://schemas.microsoft.com/office/2006/metadata/properties" xmlns:ns2="d6e6b022-47c5-42de-a36e-ee87c4da2d20" xmlns:ns3="1c187869-5aff-4386-a8c1-f0d89bb5fe1e" xmlns:ns4="d3357640-56e9-4c43-8d7b-74be2cad0d40" targetNamespace="http://schemas.microsoft.com/office/2006/metadata/properties" ma:root="true" ma:fieldsID="b5f37c11fbfb2be62b776a8619376682" ns2:_="" ns3:_="" ns4:_="">
    <xsd:import namespace="d6e6b022-47c5-42de-a36e-ee87c4da2d20"/>
    <xsd:import namespace="1c187869-5aff-4386-a8c1-f0d89bb5fe1e"/>
    <xsd:import namespace="d3357640-56e9-4c43-8d7b-74be2cad0d4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e6b022-47c5-42de-a36e-ee87c4da2d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3eb8f9d-d63d-419c-bff7-49c9424b9ae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187869-5aff-4386-a8c1-f0d89bb5fe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357640-56e9-4c43-8d7b-74be2cad0d4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20e02f0-99da-4aa4-b457-81d68cd0db93}" ma:internalName="TaxCatchAll" ma:showField="CatchAllData" ma:web="1c187869-5aff-4386-a8c1-f0d89bb5fe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357640-56e9-4c43-8d7b-74be2cad0d40" xsi:nil="true"/>
    <lcf76f155ced4ddcb4097134ff3c332f xmlns="d6e6b022-47c5-42de-a36e-ee87c4da2d2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A19AD2-0FA3-4095-8301-81872D17C2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e6b022-47c5-42de-a36e-ee87c4da2d20"/>
    <ds:schemaRef ds:uri="1c187869-5aff-4386-a8c1-f0d89bb5fe1e"/>
    <ds:schemaRef ds:uri="d3357640-56e9-4c43-8d7b-74be2cad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E659D4-655D-4356-BFD2-399333F441C4}">
  <ds:schemaRefs>
    <ds:schemaRef ds:uri="http://schemas.microsoft.com/office/2006/metadata/properties"/>
    <ds:schemaRef ds:uri="http://schemas.microsoft.com/office/infopath/2007/PartnerControls"/>
    <ds:schemaRef ds:uri="d3357640-56e9-4c43-8d7b-74be2cad0d40"/>
    <ds:schemaRef ds:uri="d6e6b022-47c5-42de-a36e-ee87c4da2d20"/>
  </ds:schemaRefs>
</ds:datastoreItem>
</file>

<file path=customXml/itemProps3.xml><?xml version="1.0" encoding="utf-8"?>
<ds:datastoreItem xmlns:ds="http://schemas.openxmlformats.org/officeDocument/2006/customXml" ds:itemID="{C6276D39-2973-453A-82BE-EC9144E85B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ABOUT THE ESG DATA TABLES</vt:lpstr>
      <vt:lpstr>TABLE OF CONTENTS</vt:lpstr>
      <vt:lpstr>Compliance-Significant Events</vt:lpstr>
      <vt:lpstr>Integrity-Anti-Corruption</vt:lpstr>
      <vt:lpstr>Policy Influence</vt:lpstr>
      <vt:lpstr>Air Emissions</vt:lpstr>
      <vt:lpstr>Biodiversity</vt:lpstr>
      <vt:lpstr>Closure and Reclamation</vt:lpstr>
      <vt:lpstr>Cyanide Management</vt:lpstr>
      <vt:lpstr>Climate Change</vt:lpstr>
      <vt:lpstr>Pro forma Climate Change</vt:lpstr>
      <vt:lpstr>Significant Materials Consumpti</vt:lpstr>
      <vt:lpstr>Spills</vt:lpstr>
      <vt:lpstr>Tailings Management</vt:lpstr>
      <vt:lpstr>Waste</vt:lpstr>
      <vt:lpstr>Water Stewardship</vt:lpstr>
      <vt:lpstr>Emergency Preparedness</vt:lpstr>
      <vt:lpstr>Workforce Safety Stats</vt:lpstr>
      <vt:lpstr>ASM</vt:lpstr>
      <vt:lpstr>Community Impacts</vt:lpstr>
      <vt:lpstr>Complaints</vt:lpstr>
      <vt:lpstr>HumRts-Assessments</vt:lpstr>
      <vt:lpstr>HumRts-Supplier Screening</vt:lpstr>
      <vt:lpstr>HumRts-Training-Security Person</vt:lpstr>
      <vt:lpstr>HumRts-Training-Workforce</vt:lpstr>
      <vt:lpstr>Indigenous Peoples</vt:lpstr>
      <vt:lpstr>Land or Resource Use Disputes</vt:lpstr>
      <vt:lpstr>Resettlement</vt:lpstr>
      <vt:lpstr>SIA and Engagement</vt:lpstr>
      <vt:lpstr>COVID Global Community Support </vt:lpstr>
      <vt:lpstr>Community Investments</vt:lpstr>
      <vt:lpstr>Economic Value Gen-Distri</vt:lpstr>
      <vt:lpstr>Supply Chain Spending</vt:lpstr>
      <vt:lpstr>Tax Transparency</vt:lpstr>
      <vt:lpstr>Breakout of Total Workforce</vt:lpstr>
      <vt:lpstr>Compensation and Equal Remunera</vt:lpstr>
      <vt:lpstr>Diversity</vt:lpstr>
      <vt:lpstr>Labor-Mgmt Relations</vt:lpstr>
      <vt:lpstr>Talent Attraction and Retention</vt:lpstr>
      <vt:lpstr>Training and Professional Devel</vt:lpstr>
      <vt:lpstr>2023 Normalizing Denominators</vt:lpstr>
      <vt:lpstr>NEWCREST DATA</vt:lpstr>
      <vt:lpstr>403-9 Work-related injuries</vt:lpstr>
      <vt:lpstr>305 Scope 1 &amp; 2</vt:lpstr>
      <vt:lpstr>303-3 Water withdrawal</vt:lpstr>
      <vt:lpstr>2-7 Employees</vt:lpstr>
      <vt:lpstr>405-2 Ratio of basic salary</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Marin PELLAN</cp:lastModifiedBy>
  <cp:revision>2</cp:revision>
  <dcterms:created xsi:type="dcterms:W3CDTF">2024-04-16T02:14:23Z</dcterms:created>
  <dcterms:modified xsi:type="dcterms:W3CDTF">2025-04-16T21:47:04Z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0x010100582C80B44FEA264DB4ADC0CD3CD53981</vt:lpwstr>
  </property>
  <property fmtid="{D5CDD505-2E9C-101B-9397-08002B2CF9AE}" pid="3" name="MediaServiceImageTags">
    <vt:lpwstr/>
  </property>
</Properties>
</file>